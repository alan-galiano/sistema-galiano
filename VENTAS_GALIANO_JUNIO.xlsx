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COSTOS" sheetId="2" state="visible" r:id="rId2"/>
    <sheet xmlns:r="http://schemas.openxmlformats.org/officeDocument/2006/relationships" name="Enero" sheetId="3" state="visible" r:id="rId3"/>
    <sheet xmlns:r="http://schemas.openxmlformats.org/officeDocument/2006/relationships" name="Febrero" sheetId="4" state="visible" r:id="rId4"/>
    <sheet xmlns:r="http://schemas.openxmlformats.org/officeDocument/2006/relationships" name="Marzo" sheetId="5" state="visible" r:id="rId5"/>
    <sheet xmlns:r="http://schemas.openxmlformats.org/officeDocument/2006/relationships" name="Abril" sheetId="6" state="visible" r:id="rId6"/>
    <sheet xmlns:r="http://schemas.openxmlformats.org/officeDocument/2006/relationships" name="Junio" sheetId="7" state="visible" r:id="rId7"/>
    <sheet xmlns:r="http://schemas.openxmlformats.org/officeDocument/2006/relationships" name="Mayo" sheetId="8" state="visible" r:id="rId8"/>
    <sheet xmlns:r="http://schemas.openxmlformats.org/officeDocument/2006/relationships" name="Julio" sheetId="9" state="visible" r:id="rId9"/>
    <sheet xmlns:r="http://schemas.openxmlformats.org/officeDocument/2006/relationships" name="Agosto" sheetId="10" state="visible" r:id="rId10"/>
    <sheet xmlns:r="http://schemas.openxmlformats.org/officeDocument/2006/relationships" name="Septiembre" sheetId="11" state="visible" r:id="rId11"/>
    <sheet xmlns:r="http://schemas.openxmlformats.org/officeDocument/2006/relationships" name="Octubre" sheetId="12" state="visible" r:id="rId12"/>
    <sheet xmlns:r="http://schemas.openxmlformats.org/officeDocument/2006/relationships" name="Noviembre" sheetId="13" state="visible" r:id="rId13"/>
    <sheet xmlns:r="http://schemas.openxmlformats.org/officeDocument/2006/relationships" name="Diciembre" sheetId="14" state="visible" r:id="rId14"/>
    <sheet xmlns:r="http://schemas.openxmlformats.org/officeDocument/2006/relationships" name="GASTOS" sheetId="15" state="visible" r:id="rId15"/>
    <sheet xmlns:r="http://schemas.openxmlformats.org/officeDocument/2006/relationships" name="LISTAS" sheetId="16" state="visible" r:id="rId16"/>
    <sheet xmlns:r="http://schemas.openxmlformats.org/officeDocument/2006/relationships" name="RANKING" sheetId="17" state="visible" r:id="rId17"/>
  </sheets>
  <definedNames>
    <definedName name="_xlnm._FilterDatabase" localSheetId="2" hidden="1">'Enero'!$A$4:$K$4</definedName>
    <definedName name="_xlnm._FilterDatabase" localSheetId="3" hidden="1">'Febrero'!$A$4:$K$4</definedName>
    <definedName name="_xlnm._FilterDatabase" localSheetId="4" hidden="1">'Marzo'!$A$4:$K$4</definedName>
    <definedName name="_xlnm._FilterDatabase" localSheetId="5" hidden="1">'Abril'!$A$4:$K$4</definedName>
    <definedName name="_xlnm._FilterDatabase" localSheetId="7" hidden="1">'Mayo'!$A$4:$K$4</definedName>
    <definedName name="_xlnm._FilterDatabase" localSheetId="8" hidden="1">'Julio'!$A$4:$K$4</definedName>
    <definedName name="_xlnm._FilterDatabase" localSheetId="9" hidden="1">'Agosto'!$A$4:$K$4</definedName>
    <definedName name="_xlnm._FilterDatabase" localSheetId="10" hidden="1">'Septiembre'!$A$4:$K$4</definedName>
    <definedName name="_xlnm._FilterDatabase" localSheetId="11" hidden="1">'Octubre'!$A$4:$K$4</definedName>
    <definedName name="_xlnm._FilterDatabase" localSheetId="12" hidden="1">'Noviembre'!$A$4:$K$4</definedName>
    <definedName name="_xlnm._FilterDatabase" localSheetId="13" hidden="1">'Diciembre'!$A$4:$K$4</definedName>
    <definedName name="_xlnm._FilterDatabase" localSheetId="16" hidden="1">'RANKING'!$A$687:$L$1932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dd/mm/yyyy"/>
    <numFmt numFmtId="166" formatCode="#,##0;\-;\-"/>
    <numFmt numFmtId="167" formatCode="\$#,##0;&quot;($&quot;#,##0\);\-"/>
    <numFmt numFmtId="168" formatCode="0.0%"/>
  </numFmts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6E606"/>
      <sz val="16"/>
    </font>
    <font>
      <name val="Arial"/>
      <charset val="1"/>
      <family val="0"/>
      <color rgb="FF888888"/>
      <sz val="10"/>
    </font>
    <font>
      <name val="Arial"/>
      <charset val="1"/>
      <family val="0"/>
      <b val="1"/>
      <color rgb="FFF6E606"/>
      <sz val="11"/>
    </font>
    <font>
      <name val="Arial"/>
      <charset val="1"/>
      <family val="0"/>
      <b val="1"/>
      <color rgb="FFF6E606"/>
      <sz val="14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888888"/>
      <sz val="14"/>
    </font>
    <font>
      <name val="Arial"/>
      <charset val="1"/>
      <family val="0"/>
      <b val="1"/>
      <color rgb="FFCC2222"/>
      <sz val="14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6E606"/>
      <sz val="9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6E606"/>
      <sz val="10"/>
    </font>
    <font>
      <name val="Arial"/>
      <charset val="1"/>
      <family val="0"/>
      <b val="1"/>
      <color rgb="FFF6E606"/>
      <sz val="13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F6E606"/>
      <sz val="10"/>
    </font>
    <font>
      <name val="Arial"/>
      <charset val="1"/>
      <family val="0"/>
      <b val="1"/>
      <color rgb="FF1A1A1A"/>
      <sz val="12"/>
    </font>
    <font>
      <name val="Arial"/>
      <charset val="1"/>
      <family val="0"/>
      <b val="1"/>
      <color rgb="FF1A1A1A"/>
      <sz val="9"/>
    </font>
    <font>
      <name val="Arial"/>
      <charset val="1"/>
      <family val="0"/>
      <b val="1"/>
      <color rgb="FFFFD700"/>
      <sz val="9"/>
    </font>
    <font>
      <name val="Arial"/>
      <charset val="1"/>
      <family val="0"/>
      <color rgb="FFFFD700"/>
      <sz val="9"/>
    </font>
    <font>
      <name val="Arial"/>
      <charset val="1"/>
      <family val="0"/>
      <b val="1"/>
      <color rgb="FFFF4444"/>
      <sz val="9"/>
    </font>
    <font>
      <name val="Arial"/>
      <charset val="1"/>
      <family val="0"/>
      <color rgb="FFB8860B"/>
      <sz val="9"/>
    </font>
    <font>
      <name val="Arial"/>
      <charset val="1"/>
      <family val="0"/>
      <b val="1"/>
      <color rgb="FF00C8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444444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888888"/>
      <sz val="11"/>
    </font>
    <font>
      <name val="Arial"/>
      <charset val="1"/>
      <family val="0"/>
      <color rgb="FFF6E606"/>
      <sz val="9"/>
    </font>
    <font>
      <name val="Arial"/>
      <charset val="1"/>
      <family val="0"/>
      <b val="1"/>
      <color rgb="FFFFD700"/>
      <sz val="14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1A1A1A"/>
      <sz val="11"/>
    </font>
    <font>
      <b val="1"/>
      <color rgb="00C9A84C"/>
      <sz val="14"/>
    </font>
    <font>
      <b val="1"/>
      <color rgb="00F0ECE0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2A2A2A"/>
        <bgColor rgb="FF2D2D2D"/>
      </patternFill>
    </fill>
    <fill>
      <patternFill patternType="solid">
        <fgColor rgb="FFF6E606"/>
        <bgColor rgb="FFFFD700"/>
      </patternFill>
    </fill>
    <fill>
      <patternFill patternType="solid">
        <fgColor rgb="FF111111"/>
        <bgColor rgb="FF1A1A1A"/>
      </patternFill>
    </fill>
    <fill>
      <patternFill patternType="solid">
        <fgColor rgb="FFFFD700"/>
        <bgColor rgb="FFF6E606"/>
      </patternFill>
    </fill>
    <fill>
      <patternFill patternType="solid">
        <fgColor rgb="FF1A1A1A"/>
        <bgColor rgb="FF111111"/>
      </patternFill>
    </fill>
    <fill>
      <patternFill patternType="solid">
        <fgColor rgb="FF2D2D2D"/>
        <bgColor rgb="FF2A2A2A"/>
      </patternFill>
    </fill>
    <fill>
      <patternFill patternType="solid">
        <fgColor rgb="FF444444"/>
        <bgColor rgb="FF2D2D2D"/>
      </patternFill>
    </fill>
    <fill>
      <patternFill patternType="solid">
        <fgColor rgb="001A1A1A"/>
      </patternFill>
    </fill>
  </fills>
  <borders count="20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medium">
        <color rgb="FFF6E606"/>
      </top>
      <bottom style="thin">
        <color rgb="FF444444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medium">
        <color rgb="FFF6E606"/>
      </left>
      <right style="medium">
        <color rgb="FFF6E606"/>
      </right>
      <top style="medium">
        <color rgb="FFF6E606"/>
      </top>
      <bottom style="medium">
        <color rgb="FFF6E606"/>
      </bottom>
      <diagonal/>
    </border>
    <border>
      <left style="thin"/>
      <right style="thin"/>
      <top style="thin"/>
      <bottom style="thin"/>
      <diagonal/>
    </border>
    <border>
      <left style="thin">
        <color rgb="FFB8860B"/>
      </left>
      <right/>
      <top style="medium">
        <color rgb="FFFFD700"/>
      </top>
      <bottom style="medium">
        <color rgb="FFFFD700"/>
      </bottom>
      <diagonal/>
    </border>
    <border>
      <left style="thin">
        <color rgb="FFB8860B"/>
      </left>
      <right style="thin">
        <color rgb="FFB8860B"/>
      </right>
      <top style="medium">
        <color rgb="FFFFD700"/>
      </top>
      <bottom style="medium">
        <color rgb="FFFFD700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/>
      <right/>
      <top/>
      <bottom style="thin">
        <color rgb="FF444444"/>
      </bottom>
      <diagonal/>
    </border>
    <border>
      <left/>
      <right/>
      <top style="medium">
        <color rgb="FFF6E606"/>
      </top>
      <bottom/>
      <diagonal/>
    </border>
    <border>
      <left/>
      <right style="thin">
        <color rgb="FF444444"/>
      </right>
      <top style="medium">
        <color rgb="FFF6E606"/>
      </top>
      <bottom/>
      <diagonal/>
    </border>
    <border>
      <left/>
      <right/>
      <top style="medium">
        <color rgb="FFF6E606"/>
      </top>
      <bottom style="thin">
        <color rgb="FF444444"/>
      </bottom>
      <diagonal/>
    </border>
    <border>
      <left/>
      <right style="thin">
        <color rgb="FF444444"/>
      </right>
      <top style="medium">
        <color rgb="FFF6E606"/>
      </top>
      <bottom style="thin">
        <color rgb="FF444444"/>
      </bottom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medium">
        <color rgb="FFFFD700"/>
      </top>
      <bottom/>
      <diagonal/>
    </border>
    <border>
      <left/>
      <right/>
      <top style="medium">
        <color rgb="FFFFD700"/>
      </top>
      <bottom style="medium">
        <color rgb="FFFFD7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164" fontId="14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164" fontId="0" fillId="2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left" vertical="center"/>
    </xf>
    <xf numFmtId="164" fontId="14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/>
    </xf>
    <xf numFmtId="3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right" vertical="center"/>
    </xf>
    <xf numFmtId="0" fontId="15" fillId="3" borderId="3" applyAlignment="1" pivotButton="0" quotePrefix="0" xfId="0">
      <alignment horizontal="left" vertical="center"/>
    </xf>
    <xf numFmtId="164" fontId="15" fillId="3" borderId="3" applyAlignment="1" pivotButton="0" quotePrefix="0" xfId="0">
      <alignment horizontal="right" vertical="center"/>
    </xf>
    <xf numFmtId="0" fontId="15" fillId="3" borderId="3" applyAlignment="1" pivotButton="0" quotePrefix="0" xfId="0">
      <alignment horizontal="center" vertical="center"/>
    </xf>
    <xf numFmtId="3" fontId="15" fillId="3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/>
    </xf>
    <xf numFmtId="0" fontId="18" fillId="4" borderId="4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left" vertical="center"/>
    </xf>
    <xf numFmtId="164" fontId="6" fillId="5" borderId="3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left" vertical="center"/>
    </xf>
    <xf numFmtId="164" fontId="6" fillId="2" borderId="3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164" fontId="20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5" fontId="5" fillId="2" borderId="2" applyAlignment="1" pivotButton="0" quotePrefix="0" xfId="0">
      <alignment horizontal="center" vertical="center"/>
    </xf>
    <xf numFmtId="164" fontId="20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general" vertical="bottom"/>
    </xf>
    <xf numFmtId="165" fontId="19" fillId="5" borderId="2" applyAlignment="1" pivotButton="0" quotePrefix="0" xfId="0">
      <alignment horizontal="general" vertical="bottom"/>
    </xf>
    <xf numFmtId="164" fontId="19" fillId="5" borderId="2" applyAlignment="1" pivotButton="0" quotePrefix="0" xfId="0">
      <alignment horizontal="general" vertical="bottom"/>
    </xf>
    <xf numFmtId="0" fontId="19" fillId="2" borderId="2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general" vertical="bottom"/>
    </xf>
    <xf numFmtId="164" fontId="19" fillId="2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49" fontId="23" fillId="7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left" vertical="center"/>
    </xf>
    <xf numFmtId="164" fontId="24" fillId="7" borderId="7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/>
    </xf>
    <xf numFmtId="3" fontId="11" fillId="7" borderId="7" applyAlignment="1" pivotButton="0" quotePrefix="0" xfId="0">
      <alignment horizontal="center" vertical="center"/>
    </xf>
    <xf numFmtId="49" fontId="26" fillId="7" borderId="7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49" fontId="23" fillId="8" borderId="7" applyAlignment="1" pivotButton="0" quotePrefix="0" xfId="0">
      <alignment horizontal="center" vertical="center"/>
    </xf>
    <xf numFmtId="49" fontId="24" fillId="8" borderId="7" applyAlignment="1" pivotButton="0" quotePrefix="0" xfId="0">
      <alignment horizontal="left" vertical="center"/>
    </xf>
    <xf numFmtId="164" fontId="24" fillId="8" borderId="7" applyAlignment="1" pivotButton="0" quotePrefix="0" xfId="0">
      <alignment horizontal="center" vertical="center"/>
    </xf>
    <xf numFmtId="164" fontId="27" fillId="8" borderId="7" applyAlignment="1" pivotButton="0" quotePrefix="0" xfId="0">
      <alignment horizontal="center" vertical="center"/>
    </xf>
    <xf numFmtId="3" fontId="11" fillId="8" borderId="7" applyAlignment="1" pivotButton="0" quotePrefix="0" xfId="0">
      <alignment horizontal="center" vertical="center"/>
    </xf>
    <xf numFmtId="49" fontId="26" fillId="8" borderId="7" applyAlignment="1" pivotButton="0" quotePrefix="0" xfId="0">
      <alignment horizontal="center" vertical="center"/>
    </xf>
    <xf numFmtId="165" fontId="20" fillId="5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left" vertical="center"/>
    </xf>
    <xf numFmtId="166" fontId="19" fillId="5" borderId="2" applyAlignment="1" pivotButton="0" quotePrefix="0" xfId="0">
      <alignment horizontal="center" vertical="center"/>
    </xf>
    <xf numFmtId="166" fontId="29" fillId="5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right" vertical="center"/>
    </xf>
    <xf numFmtId="167" fontId="19" fillId="5" borderId="2" applyAlignment="1" pivotButton="0" quotePrefix="0" xfId="0">
      <alignment horizontal="right" vertical="center"/>
    </xf>
    <xf numFmtId="3" fontId="15" fillId="5" borderId="2" applyAlignment="1" pivotButton="0" quotePrefix="0" xfId="0">
      <alignment horizontal="right" vertical="center"/>
    </xf>
    <xf numFmtId="0" fontId="5" fillId="3" borderId="8" applyAlignment="1" pivotButton="0" quotePrefix="0" xfId="0">
      <alignment horizontal="left" vertical="center"/>
    </xf>
    <xf numFmtId="166" fontId="30" fillId="3" borderId="8" applyAlignment="1" pivotButton="0" quotePrefix="0" xfId="0">
      <alignment horizontal="right" vertical="center"/>
    </xf>
    <xf numFmtId="164" fontId="27" fillId="7" borderId="7" applyAlignment="1" pivotButton="0" quotePrefix="0" xfId="0">
      <alignment horizontal="center" vertical="center"/>
    </xf>
    <xf numFmtId="165" fontId="20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left" vertical="center"/>
    </xf>
    <xf numFmtId="166" fontId="19" fillId="2" borderId="2" applyAlignment="1" pivotButton="0" quotePrefix="0" xfId="0">
      <alignment horizontal="center" vertical="center"/>
    </xf>
    <xf numFmtId="166" fontId="29" fillId="2" borderId="2" applyAlignment="1" pivotButton="0" quotePrefix="0" xfId="0">
      <alignment horizontal="center" vertical="center"/>
    </xf>
    <xf numFmtId="167" fontId="15" fillId="2" borderId="2" applyAlignment="1" pivotButton="0" quotePrefix="0" xfId="0">
      <alignment horizontal="right" vertical="center"/>
    </xf>
    <xf numFmtId="167" fontId="19" fillId="2" borderId="2" applyAlignment="1" pivotButton="0" quotePrefix="0" xfId="0">
      <alignment horizontal="right" vertical="center"/>
    </xf>
    <xf numFmtId="0" fontId="31" fillId="2" borderId="8" applyAlignment="1" pivotButton="0" quotePrefix="0" xfId="0">
      <alignment horizontal="left" vertical="center"/>
    </xf>
    <xf numFmtId="0" fontId="17" fillId="2" borderId="8" applyAlignment="1" pivotButton="0" quotePrefix="0" xfId="0">
      <alignment horizontal="right" vertical="center"/>
    </xf>
    <xf numFmtId="164" fontId="25" fillId="8" borderId="7" applyAlignment="1" pivotButton="0" quotePrefix="0" xfId="0">
      <alignment horizontal="center" vertical="center"/>
    </xf>
    <xf numFmtId="0" fontId="19" fillId="3" borderId="8" applyAlignment="1" pivotButton="0" quotePrefix="0" xfId="0">
      <alignment horizontal="left" vertical="center"/>
    </xf>
    <xf numFmtId="164" fontId="6" fillId="3" borderId="8" applyAlignment="1" pivotButton="0" quotePrefix="0" xfId="0">
      <alignment horizontal="right" vertical="center"/>
    </xf>
    <xf numFmtId="168" fontId="30" fillId="3" borderId="8" applyAlignment="1" pivotButton="0" quotePrefix="0" xfId="0">
      <alignment horizontal="right" vertical="center"/>
    </xf>
    <xf numFmtId="164" fontId="30" fillId="3" borderId="8" applyAlignment="1" pivotButton="0" quotePrefix="0" xfId="0">
      <alignment horizontal="right" vertical="center"/>
    </xf>
    <xf numFmtId="3" fontId="30" fillId="3" borderId="8" applyAlignment="1" pivotButton="0" quotePrefix="0" xfId="0">
      <alignment horizontal="right" vertical="center"/>
    </xf>
    <xf numFmtId="167" fontId="30" fillId="3" borderId="8" applyAlignment="1" pivotButton="0" quotePrefix="0" xfId="0">
      <alignment horizontal="right" vertical="center"/>
    </xf>
    <xf numFmtId="3" fontId="19" fillId="3" borderId="8" applyAlignment="1" pivotButton="0" quotePrefix="0" xfId="0">
      <alignment horizontal="left" vertical="center"/>
    </xf>
    <xf numFmtId="164" fontId="19" fillId="3" borderId="8" applyAlignment="1" pivotButton="0" quotePrefix="0" xfId="0">
      <alignment horizontal="left" vertical="center"/>
    </xf>
    <xf numFmtId="0" fontId="17" fillId="4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164" fontId="15" fillId="5" borderId="2" applyAlignment="1" pivotButton="0" quotePrefix="0" xfId="0">
      <alignment horizontal="right" vertical="center"/>
    </xf>
    <xf numFmtId="164" fontId="19" fillId="5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164" fontId="19" fillId="2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right" vertical="center"/>
    </xf>
    <xf numFmtId="0" fontId="32" fillId="4" borderId="0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center" vertical="center"/>
    </xf>
    <xf numFmtId="164" fontId="19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3" fontId="19" fillId="2" borderId="2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164" fontId="15" fillId="3" borderId="3" applyAlignment="1" pivotButton="0" quotePrefix="0" xfId="0">
      <alignment horizontal="center" vertical="center"/>
    </xf>
    <xf numFmtId="164" fontId="28" fillId="3" borderId="2" applyAlignment="1" pivotButton="0" quotePrefix="0" xfId="0">
      <alignment horizontal="center" vertical="center"/>
    </xf>
    <xf numFmtId="3" fontId="28" fillId="3" borderId="2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34" fillId="5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/>
    </xf>
    <xf numFmtId="0" fontId="34" fillId="2" borderId="2" applyAlignment="1" pivotButton="0" quotePrefix="0" xfId="0">
      <alignment horizontal="left" vertical="center"/>
    </xf>
    <xf numFmtId="0" fontId="35" fillId="7" borderId="5" applyAlignment="1" pivotButton="0" quotePrefix="0" xfId="0">
      <alignment horizontal="center" vertical="center"/>
    </xf>
    <xf numFmtId="0" fontId="36" fillId="6" borderId="5" applyAlignment="1" pivotButton="0" quotePrefix="0" xfId="0">
      <alignment horizontal="left" vertical="center" wrapText="1"/>
    </xf>
    <xf numFmtId="0" fontId="37" fillId="6" borderId="5" applyAlignment="1" pivotButton="0" quotePrefix="0" xfId="0">
      <alignment horizontal="left" vertical="center"/>
    </xf>
    <xf numFmtId="0" fontId="36" fillId="6" borderId="6" applyAlignment="1" pivotButton="0" quotePrefix="0" xfId="0">
      <alignment horizontal="center" vertical="center" wrapText="1"/>
    </xf>
    <xf numFmtId="168" fontId="24" fillId="7" borderId="7" applyAlignment="1" pivotButton="0" quotePrefix="0" xfId="0">
      <alignment horizontal="center" vertical="center"/>
    </xf>
    <xf numFmtId="3" fontId="24" fillId="7" borderId="7" applyAlignment="1" pivotButton="0" quotePrefix="0" xfId="0">
      <alignment horizontal="center" vertical="center"/>
    </xf>
    <xf numFmtId="168" fontId="11" fillId="8" borderId="7" applyAlignment="1" pivotButton="0" quotePrefix="0" xfId="0">
      <alignment horizontal="center" vertical="center"/>
    </xf>
    <xf numFmtId="168" fontId="11" fillId="7" borderId="7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37" fillId="6" borderId="5" applyAlignment="1" pivotButton="0" quotePrefix="0" xfId="0">
      <alignment horizontal="left" vertical="center" wrapText="1"/>
    </xf>
    <xf numFmtId="164" fontId="36" fillId="6" borderId="6" applyAlignment="1" pivotButton="0" quotePrefix="0" xfId="0">
      <alignment horizontal="center" vertical="center" wrapText="1"/>
    </xf>
    <xf numFmtId="168" fontId="36" fillId="6" borderId="6" applyAlignment="1" pivotButton="0" quotePrefix="0" xfId="0">
      <alignment horizontal="center" vertical="center" wrapText="1"/>
    </xf>
    <xf numFmtId="49" fontId="24" fillId="8" borderId="7" applyAlignment="1" pivotButton="0" quotePrefix="0" xfId="0">
      <alignment horizontal="center" vertical="center"/>
    </xf>
    <xf numFmtId="49" fontId="11" fillId="8" borderId="7" applyAlignment="1" pivotButton="0" quotePrefix="0" xfId="0">
      <alignment horizontal="center" vertical="center"/>
    </xf>
    <xf numFmtId="164" fontId="23" fillId="8" borderId="7" applyAlignment="1" pivotButton="0" quotePrefix="0" xfId="0">
      <alignment horizontal="left" vertical="center"/>
    </xf>
    <xf numFmtId="164" fontId="11" fillId="8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center" vertical="center"/>
    </xf>
    <xf numFmtId="49" fontId="11" fillId="7" borderId="7" applyAlignment="1" pivotButton="0" quotePrefix="0" xfId="0">
      <alignment horizontal="center" vertical="center"/>
    </xf>
    <xf numFmtId="164" fontId="23" fillId="7" borderId="7" applyAlignment="1" pivotButton="0" quotePrefix="0" xfId="0">
      <alignment horizontal="left" vertical="center"/>
    </xf>
    <xf numFmtId="164" fontId="11" fillId="7" borderId="7" applyAlignment="1" pivotButton="0" quotePrefix="0" xfId="0">
      <alignment horizontal="center" vertical="center"/>
    </xf>
    <xf numFmtId="49" fontId="23" fillId="7" borderId="7" applyAlignment="1" pivotButton="0" quotePrefix="0" xfId="0">
      <alignment horizontal="left" vertical="center"/>
    </xf>
    <xf numFmtId="49" fontId="23" fillId="8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4" fontId="8" fillId="3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9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164" fontId="14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164" fontId="0" fillId="2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left" vertical="center"/>
    </xf>
    <xf numFmtId="164" fontId="14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/>
    </xf>
    <xf numFmtId="3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right" vertical="center"/>
    </xf>
    <xf numFmtId="0" fontId="15" fillId="3" borderId="3" applyAlignment="1" pivotButton="0" quotePrefix="0" xfId="0">
      <alignment horizontal="left" vertical="center"/>
    </xf>
    <xf numFmtId="164" fontId="15" fillId="3" borderId="3" applyAlignment="1" pivotButton="0" quotePrefix="0" xfId="0">
      <alignment horizontal="right" vertical="center"/>
    </xf>
    <xf numFmtId="0" fontId="15" fillId="3" borderId="3" applyAlignment="1" pivotButton="0" quotePrefix="0" xfId="0">
      <alignment horizontal="center" vertical="center"/>
    </xf>
    <xf numFmtId="3" fontId="15" fillId="3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/>
    </xf>
    <xf numFmtId="0" fontId="18" fillId="4" borderId="4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left" vertical="center"/>
    </xf>
    <xf numFmtId="164" fontId="6" fillId="5" borderId="3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left" vertical="center"/>
    </xf>
    <xf numFmtId="164" fontId="6" fillId="2" borderId="3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164" fontId="20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5" fontId="5" fillId="2" borderId="2" applyAlignment="1" pivotButton="0" quotePrefix="0" xfId="0">
      <alignment horizontal="center" vertical="center"/>
    </xf>
    <xf numFmtId="164" fontId="20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general" vertical="bottom"/>
    </xf>
    <xf numFmtId="165" fontId="19" fillId="5" borderId="2" applyAlignment="1" pivotButton="0" quotePrefix="0" xfId="0">
      <alignment horizontal="general" vertical="bottom"/>
    </xf>
    <xf numFmtId="164" fontId="19" fillId="5" borderId="2" applyAlignment="1" pivotButton="0" quotePrefix="0" xfId="0">
      <alignment horizontal="general" vertical="bottom"/>
    </xf>
    <xf numFmtId="0" fontId="19" fillId="2" borderId="2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general" vertical="bottom"/>
    </xf>
    <xf numFmtId="164" fontId="19" fillId="2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0" fillId="0" borderId="18" pivotButton="0" quotePrefix="0" xfId="0"/>
    <xf numFmtId="0" fontId="11" fillId="3" borderId="0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49" fontId="23" fillId="7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left" vertical="center"/>
    </xf>
    <xf numFmtId="164" fontId="24" fillId="7" borderId="7" applyAlignment="1" pivotButton="0" quotePrefix="0" xfId="0">
      <alignment horizontal="center" vertical="center"/>
    </xf>
    <xf numFmtId="164" fontId="25" fillId="7" borderId="7" applyAlignment="1" pivotButton="0" quotePrefix="0" xfId="0">
      <alignment horizontal="center" vertical="center"/>
    </xf>
    <xf numFmtId="3" fontId="11" fillId="7" borderId="7" applyAlignment="1" pivotButton="0" quotePrefix="0" xfId="0">
      <alignment horizontal="center" vertical="center"/>
    </xf>
    <xf numFmtId="49" fontId="26" fillId="7" borderId="7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49" fontId="23" fillId="8" borderId="7" applyAlignment="1" pivotButton="0" quotePrefix="0" xfId="0">
      <alignment horizontal="center" vertical="center"/>
    </xf>
    <xf numFmtId="49" fontId="24" fillId="8" borderId="7" applyAlignment="1" pivotButton="0" quotePrefix="0" xfId="0">
      <alignment horizontal="left" vertical="center"/>
    </xf>
    <xf numFmtId="164" fontId="24" fillId="8" borderId="7" applyAlignment="1" pivotButton="0" quotePrefix="0" xfId="0">
      <alignment horizontal="center" vertical="center"/>
    </xf>
    <xf numFmtId="164" fontId="27" fillId="8" borderId="7" applyAlignment="1" pivotButton="0" quotePrefix="0" xfId="0">
      <alignment horizontal="center" vertical="center"/>
    </xf>
    <xf numFmtId="3" fontId="11" fillId="8" borderId="7" applyAlignment="1" pivotButton="0" quotePrefix="0" xfId="0">
      <alignment horizontal="center" vertical="center"/>
    </xf>
    <xf numFmtId="49" fontId="26" fillId="8" borderId="7" applyAlignment="1" pivotButton="0" quotePrefix="0" xfId="0">
      <alignment horizontal="center" vertical="center"/>
    </xf>
    <xf numFmtId="165" fontId="20" fillId="5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left" vertical="center"/>
    </xf>
    <xf numFmtId="166" fontId="19" fillId="5" borderId="2" applyAlignment="1" pivotButton="0" quotePrefix="0" xfId="0">
      <alignment horizontal="center" vertical="center"/>
    </xf>
    <xf numFmtId="166" fontId="29" fillId="5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right" vertical="center"/>
    </xf>
    <xf numFmtId="167" fontId="19" fillId="5" borderId="2" applyAlignment="1" pivotButton="0" quotePrefix="0" xfId="0">
      <alignment horizontal="right" vertical="center"/>
    </xf>
    <xf numFmtId="3" fontId="15" fillId="5" borderId="2" applyAlignment="1" pivotButton="0" quotePrefix="0" xfId="0">
      <alignment horizontal="right" vertical="center"/>
    </xf>
    <xf numFmtId="0" fontId="5" fillId="3" borderId="8" applyAlignment="1" pivotButton="0" quotePrefix="0" xfId="0">
      <alignment horizontal="left" vertical="center"/>
    </xf>
    <xf numFmtId="166" fontId="30" fillId="3" borderId="8" applyAlignment="1" pivotButton="0" quotePrefix="0" xfId="0">
      <alignment horizontal="right" vertical="center"/>
    </xf>
    <xf numFmtId="164" fontId="27" fillId="7" borderId="7" applyAlignment="1" pivotButton="0" quotePrefix="0" xfId="0">
      <alignment horizontal="center" vertical="center"/>
    </xf>
    <xf numFmtId="165" fontId="20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left" vertical="center"/>
    </xf>
    <xf numFmtId="166" fontId="19" fillId="2" borderId="2" applyAlignment="1" pivotButton="0" quotePrefix="0" xfId="0">
      <alignment horizontal="center" vertical="center"/>
    </xf>
    <xf numFmtId="166" fontId="29" fillId="2" borderId="2" applyAlignment="1" pivotButton="0" quotePrefix="0" xfId="0">
      <alignment horizontal="center" vertical="center"/>
    </xf>
    <xf numFmtId="167" fontId="15" fillId="2" borderId="2" applyAlignment="1" pivotButton="0" quotePrefix="0" xfId="0">
      <alignment horizontal="right" vertical="center"/>
    </xf>
    <xf numFmtId="167" fontId="19" fillId="2" borderId="2" applyAlignment="1" pivotButton="0" quotePrefix="0" xfId="0">
      <alignment horizontal="right" vertical="center"/>
    </xf>
    <xf numFmtId="0" fontId="31" fillId="2" borderId="8" applyAlignment="1" pivotButton="0" quotePrefix="0" xfId="0">
      <alignment horizontal="left" vertical="center"/>
    </xf>
    <xf numFmtId="0" fontId="17" fillId="2" borderId="8" applyAlignment="1" pivotButton="0" quotePrefix="0" xfId="0">
      <alignment horizontal="right" vertical="center"/>
    </xf>
    <xf numFmtId="164" fontId="25" fillId="8" borderId="7" applyAlignment="1" pivotButton="0" quotePrefix="0" xfId="0">
      <alignment horizontal="center" vertical="center"/>
    </xf>
    <xf numFmtId="0" fontId="19" fillId="3" borderId="8" applyAlignment="1" pivotButton="0" quotePrefix="0" xfId="0">
      <alignment horizontal="left" vertical="center"/>
    </xf>
    <xf numFmtId="164" fontId="6" fillId="3" borderId="8" applyAlignment="1" pivotButton="0" quotePrefix="0" xfId="0">
      <alignment horizontal="right" vertical="center"/>
    </xf>
    <xf numFmtId="168" fontId="30" fillId="3" borderId="8" applyAlignment="1" pivotButton="0" quotePrefix="0" xfId="0">
      <alignment horizontal="right" vertical="center"/>
    </xf>
    <xf numFmtId="164" fontId="30" fillId="3" borderId="8" applyAlignment="1" pivotButton="0" quotePrefix="0" xfId="0">
      <alignment horizontal="right" vertical="center"/>
    </xf>
    <xf numFmtId="3" fontId="30" fillId="3" borderId="8" applyAlignment="1" pivotButton="0" quotePrefix="0" xfId="0">
      <alignment horizontal="right" vertical="center"/>
    </xf>
    <xf numFmtId="167" fontId="30" fillId="3" borderId="8" applyAlignment="1" pivotButton="0" quotePrefix="0" xfId="0">
      <alignment horizontal="right" vertical="center"/>
    </xf>
    <xf numFmtId="3" fontId="19" fillId="3" borderId="8" applyAlignment="1" pivotButton="0" quotePrefix="0" xfId="0">
      <alignment horizontal="left" vertical="center"/>
    </xf>
    <xf numFmtId="164" fontId="19" fillId="3" borderId="8" applyAlignment="1" pivotButton="0" quotePrefix="0" xfId="0">
      <alignment horizontal="left" vertical="center"/>
    </xf>
    <xf numFmtId="0" fontId="17" fillId="4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164" fontId="15" fillId="5" borderId="2" applyAlignment="1" pivotButton="0" quotePrefix="0" xfId="0">
      <alignment horizontal="right" vertical="center"/>
    </xf>
    <xf numFmtId="164" fontId="19" fillId="5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164" fontId="19" fillId="2" borderId="2" applyAlignment="1" pivotButton="0" quotePrefix="0" xfId="0">
      <alignment horizontal="right" vertical="center"/>
    </xf>
    <xf numFmtId="0" fontId="38" fillId="0" borderId="0" pivotButton="0" quotePrefix="0" xfId="0"/>
    <xf numFmtId="0" fontId="39" fillId="10" borderId="19" applyAlignment="1" pivotButton="0" quotePrefix="0" xfId="0">
      <alignment horizontal="center"/>
    </xf>
    <xf numFmtId="0" fontId="40" fillId="0" borderId="19" pivotButton="0" quotePrefix="0" xfId="0"/>
    <xf numFmtId="0" fontId="20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right" vertical="center"/>
    </xf>
    <xf numFmtId="0" fontId="32" fillId="4" borderId="0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19" fillId="2" borderId="2" applyAlignment="1" pivotButton="0" quotePrefix="0" xfId="0">
      <alignment horizontal="center" vertical="center"/>
    </xf>
    <xf numFmtId="164" fontId="19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3" fontId="19" fillId="2" borderId="2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164" fontId="15" fillId="3" borderId="3" applyAlignment="1" pivotButton="0" quotePrefix="0" xfId="0">
      <alignment horizontal="center" vertical="center"/>
    </xf>
    <xf numFmtId="164" fontId="28" fillId="3" borderId="2" applyAlignment="1" pivotButton="0" quotePrefix="0" xfId="0">
      <alignment horizontal="center" vertical="center"/>
    </xf>
    <xf numFmtId="3" fontId="28" fillId="3" borderId="2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34" fillId="5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/>
    </xf>
    <xf numFmtId="0" fontId="34" fillId="2" borderId="2" applyAlignment="1" pivotButton="0" quotePrefix="0" xfId="0">
      <alignment horizontal="left" vertical="center"/>
    </xf>
    <xf numFmtId="0" fontId="35" fillId="7" borderId="5" applyAlignment="1" pivotButton="0" quotePrefix="0" xfId="0">
      <alignment horizontal="center" vertical="center"/>
    </xf>
    <xf numFmtId="0" fontId="36" fillId="6" borderId="5" applyAlignment="1" pivotButton="0" quotePrefix="0" xfId="0">
      <alignment horizontal="left" vertical="center" wrapText="1"/>
    </xf>
    <xf numFmtId="0" fontId="37" fillId="6" borderId="5" applyAlignment="1" pivotButton="0" quotePrefix="0" xfId="0">
      <alignment horizontal="left" vertical="center"/>
    </xf>
    <xf numFmtId="0" fontId="36" fillId="6" borderId="6" applyAlignment="1" pivotButton="0" quotePrefix="0" xfId="0">
      <alignment horizontal="center" vertical="center" wrapText="1"/>
    </xf>
    <xf numFmtId="168" fontId="24" fillId="7" borderId="7" applyAlignment="1" pivotButton="0" quotePrefix="0" xfId="0">
      <alignment horizontal="center" vertical="center"/>
    </xf>
    <xf numFmtId="3" fontId="24" fillId="7" borderId="7" applyAlignment="1" pivotButton="0" quotePrefix="0" xfId="0">
      <alignment horizontal="center" vertical="center"/>
    </xf>
    <xf numFmtId="168" fontId="11" fillId="8" borderId="7" applyAlignment="1" pivotButton="0" quotePrefix="0" xfId="0">
      <alignment horizontal="center" vertical="center"/>
    </xf>
    <xf numFmtId="168" fontId="11" fillId="7" borderId="7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37" fillId="6" borderId="5" applyAlignment="1" pivotButton="0" quotePrefix="0" xfId="0">
      <alignment horizontal="left" vertical="center" wrapText="1"/>
    </xf>
    <xf numFmtId="164" fontId="36" fillId="6" borderId="6" applyAlignment="1" pivotButton="0" quotePrefix="0" xfId="0">
      <alignment horizontal="center" vertical="center" wrapText="1"/>
    </xf>
    <xf numFmtId="168" fontId="36" fillId="6" borderId="6" applyAlignment="1" pivotButton="0" quotePrefix="0" xfId="0">
      <alignment horizontal="center" vertical="center" wrapText="1"/>
    </xf>
    <xf numFmtId="49" fontId="24" fillId="8" borderId="7" applyAlignment="1" pivotButton="0" quotePrefix="0" xfId="0">
      <alignment horizontal="center" vertical="center"/>
    </xf>
    <xf numFmtId="49" fontId="11" fillId="8" borderId="7" applyAlignment="1" pivotButton="0" quotePrefix="0" xfId="0">
      <alignment horizontal="center" vertical="center"/>
    </xf>
    <xf numFmtId="164" fontId="23" fillId="8" borderId="7" applyAlignment="1" pivotButton="0" quotePrefix="0" xfId="0">
      <alignment horizontal="left" vertical="center"/>
    </xf>
    <xf numFmtId="164" fontId="11" fillId="8" borderId="7" applyAlignment="1" pivotButton="0" quotePrefix="0" xfId="0">
      <alignment horizontal="center" vertical="center"/>
    </xf>
    <xf numFmtId="49" fontId="24" fillId="7" borderId="7" applyAlignment="1" pivotButton="0" quotePrefix="0" xfId="0">
      <alignment horizontal="center" vertical="center"/>
    </xf>
    <xf numFmtId="49" fontId="11" fillId="7" borderId="7" applyAlignment="1" pivotButton="0" quotePrefix="0" xfId="0">
      <alignment horizontal="center" vertical="center"/>
    </xf>
    <xf numFmtId="164" fontId="23" fillId="7" borderId="7" applyAlignment="1" pivotButton="0" quotePrefix="0" xfId="0">
      <alignment horizontal="left" vertical="center"/>
    </xf>
    <xf numFmtId="164" fontId="11" fillId="7" borderId="7" applyAlignment="1" pivotButton="0" quotePrefix="0" xfId="0">
      <alignment horizontal="center" vertical="center"/>
    </xf>
    <xf numFmtId="49" fontId="23" fillId="7" borderId="7" applyAlignment="1" pivotButton="0" quotePrefix="0" xfId="0">
      <alignment horizontal="left" vertical="center"/>
    </xf>
    <xf numFmtId="49" fontId="23" fillId="8" borderId="7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F6E60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2D2D2D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0C800"/>
          <bgColor rgb="FF000000"/>
        </patternFill>
      </fill>
    </dxf>
    <dxf>
      <fill>
        <patternFill patternType="solid">
          <fgColor rgb="FFFF4444"/>
          <bgColor rgb="FF000000"/>
        </patternFill>
      </fill>
    </dxf>
  </dxfs>
  <colors>
    <indexedColors>
      <rgbColor rgb="FF000000"/>
      <rgbColor rgb="FFFFFFFF"/>
      <rgbColor rgb="FFFF0000"/>
      <rgbColor rgb="FF00C800"/>
      <rgbColor rgb="FF0000FF"/>
      <rgbColor rgb="FFF6E606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4444"/>
      <rgbColor rgb="FF666699"/>
      <rgbColor rgb="FF969696"/>
      <rgbColor rgb="FF111111"/>
      <rgbColor rgb="FF339966"/>
      <rgbColor rgb="FF1A1A1A"/>
      <rgbColor rgb="FF2A2A2A"/>
      <rgbColor rgb="FFCC2222"/>
      <rgbColor rgb="FF993366"/>
      <rgbColor rgb="FF444444"/>
      <rgbColor rgb="FF2D2D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6E606"/>
    <outlinePr summaryBelow="1" summaryRight="1"/>
    <pageSetUpPr fitToPage="0"/>
  </sheetPr>
  <dimension ref="A1:U7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2" min="1" max="1"/>
    <col width="16" customWidth="1" style="152" min="2" max="3"/>
    <col width="12" customWidth="1" style="152" min="4" max="4"/>
    <col width="10" customWidth="1" style="152" min="5" max="5"/>
    <col width="8" customWidth="1" style="152" min="6" max="8"/>
    <col width="15" customWidth="1" style="152" min="9" max="10"/>
    <col width="16" customWidth="1" style="152" min="11" max="11"/>
    <col hidden="1" width="13" customWidth="1" style="152" min="13" max="16"/>
  </cols>
  <sheetData>
    <row r="1" ht="45" customHeight="1" s="153">
      <c r="A1" s="154" t="inlineStr">
        <is>
          <t>ALAN GALIANO DISTRIBUCIONES  —  PANEL DE CONTROL 2026</t>
        </is>
      </c>
    </row>
    <row r="2" ht="19.5" customHeight="1" s="153">
      <c r="A2" s="155" t="inlineStr">
        <is>
          <t>Gas envasado a domicilio  ·  365 días al año  ·  Santa Fe  ·  3425-331010</t>
        </is>
      </c>
    </row>
    <row r="3" ht="12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</row>
    <row r="4" ht="27.75" customHeight="1" s="153">
      <c r="A4" s="157" t="inlineStr">
        <is>
          <t xml:space="preserve">  RESUMEN DEL AÑO</t>
        </is>
      </c>
    </row>
    <row r="5" ht="31.5" customHeight="1" s="153">
      <c r="A5" s="158">
        <f>B22</f>
        <v/>
      </c>
      <c r="B5" s="159" t="n"/>
      <c r="C5" s="160" t="n"/>
      <c r="D5" s="161">
        <f>C22</f>
        <v/>
      </c>
      <c r="E5" s="162" t="n"/>
      <c r="F5" s="163" t="n"/>
      <c r="G5" s="164">
        <f>IFERROR(C22/B22,0)</f>
        <v/>
      </c>
      <c r="H5" s="162" t="n"/>
      <c r="I5" s="163" t="n"/>
      <c r="J5" s="165">
        <f>E22</f>
        <v/>
      </c>
      <c r="K5" s="162" t="n"/>
      <c r="L5" s="163" t="n"/>
      <c r="M5" s="166" t="inlineStr">
        <is>
          <t>698</t>
        </is>
      </c>
      <c r="N5" s="162" t="n"/>
      <c r="O5" s="163" t="n"/>
      <c r="P5" s="167" t="inlineStr">
        <is>
          <t>492</t>
        </is>
      </c>
      <c r="Q5" s="162" t="n"/>
      <c r="R5" s="163" t="n"/>
      <c r="S5" s="164" t="inlineStr">
        <is>
          <t>$46,102</t>
        </is>
      </c>
      <c r="T5" s="162" t="n"/>
      <c r="U5" s="163" t="n"/>
    </row>
    <row r="6" ht="18" customHeight="1" s="153">
      <c r="A6" s="168" t="inlineStr">
        <is>
          <t>FACTURADO AÑO</t>
        </is>
      </c>
      <c r="B6" s="162" t="n"/>
      <c r="C6" s="163" t="n"/>
      <c r="D6" s="168" t="inlineStr">
        <is>
          <t>GANANCIA AÑO</t>
        </is>
      </c>
      <c r="E6" s="162" t="n"/>
      <c r="F6" s="163" t="n"/>
      <c r="G6" s="168" t="inlineStr">
        <is>
          <t>% GANANCIA</t>
        </is>
      </c>
      <c r="H6" s="162" t="n"/>
      <c r="I6" s="163" t="n"/>
      <c r="J6" s="168" t="inlineStr">
        <is>
          <t>Nº VENTAS</t>
        </is>
      </c>
      <c r="K6" s="162" t="n"/>
      <c r="L6" s="163" t="n"/>
      <c r="M6" s="168" t="inlineStr">
        <is>
          <t>CLIENTES</t>
        </is>
      </c>
      <c r="N6" s="162" t="n"/>
      <c r="O6" s="163" t="n"/>
      <c r="P6" s="168" t="inlineStr">
        <is>
          <t>A REACTIVAR</t>
        </is>
      </c>
      <c r="Q6" s="162" t="n"/>
      <c r="R6" s="163" t="n"/>
      <c r="S6" s="168" t="inlineStr">
        <is>
          <t>PROM. VENTA</t>
        </is>
      </c>
      <c r="T6" s="162" t="n"/>
      <c r="U6" s="163" t="n"/>
    </row>
    <row r="7" ht="12" customHeight="1" s="153">
      <c r="A7" s="156" t="n"/>
      <c r="B7" s="156" t="n"/>
      <c r="C7" s="156" t="n"/>
      <c r="D7" s="156" t="n"/>
      <c r="E7" s="156" t="n"/>
      <c r="F7" s="156" t="n"/>
      <c r="G7" s="156" t="n"/>
      <c r="H7" s="156" t="n"/>
      <c r="I7" s="156" t="n"/>
      <c r="J7" s="156" t="n"/>
      <c r="K7" s="156" t="n"/>
      <c r="L7" s="156" t="n"/>
      <c r="M7" s="156" t="n"/>
      <c r="N7" s="156" t="n"/>
      <c r="O7" s="156" t="n"/>
      <c r="P7" s="156" t="n"/>
      <c r="Q7" s="156" t="n"/>
      <c r="R7" s="156" t="n"/>
      <c r="S7" s="156" t="n"/>
      <c r="T7" s="156" t="n"/>
      <c r="U7" s="156" t="n"/>
    </row>
    <row r="8" ht="27.75" customHeight="1" s="153">
      <c r="A8" s="157" t="inlineStr">
        <is>
          <t xml:space="preserve">  RESUMEN MENSUAL</t>
        </is>
      </c>
    </row>
    <row r="9" ht="24" customHeight="1" s="153">
      <c r="A9" s="169" t="inlineStr">
        <is>
          <t>MES</t>
        </is>
      </c>
      <c r="B9" s="170" t="inlineStr">
        <is>
          <t>FACTURADO ($)</t>
        </is>
      </c>
      <c r="C9" s="170" t="inlineStr">
        <is>
          <t>GANANCIA ($)</t>
        </is>
      </c>
      <c r="D9" s="170" t="inlineStr">
        <is>
          <t>% GANANCIA</t>
        </is>
      </c>
      <c r="E9" s="170" t="inlineStr">
        <is>
          <t>Nº VENTAS</t>
        </is>
      </c>
      <c r="F9" s="170" t="inlineStr">
        <is>
          <t>10</t>
        </is>
      </c>
      <c r="G9" s="170" t="inlineStr">
        <is>
          <t>15</t>
        </is>
      </c>
      <c r="H9" s="170" t="inlineStr">
        <is>
          <t>45</t>
        </is>
      </c>
      <c r="I9" s="170" t="inlineStr">
        <is>
          <t>EFECTIVO ($)</t>
        </is>
      </c>
      <c r="J9" s="170" t="inlineStr">
        <is>
          <t>TRANSFER ($)</t>
        </is>
      </c>
      <c r="K9" s="170" t="inlineStr">
        <is>
          <t>PROM. VENTA ($)</t>
        </is>
      </c>
      <c r="L9" s="156" t="n"/>
      <c r="M9" s="156" t="inlineStr">
        <is>
          <t>Mes</t>
        </is>
      </c>
      <c r="N9" s="156" t="inlineStr">
        <is>
          <t>Facturado</t>
        </is>
      </c>
      <c r="O9" s="156" t="inlineStr">
        <is>
          <t>Ganancia</t>
        </is>
      </c>
      <c r="P9" s="156" t="n"/>
      <c r="Q9" s="156" t="n"/>
      <c r="R9" s="156" t="n"/>
      <c r="S9" s="156" t="n"/>
      <c r="T9" s="156" t="n"/>
      <c r="U9" s="156" t="n"/>
    </row>
    <row r="10" ht="19.5" customHeight="1" s="153">
      <c r="A10" s="171" t="inlineStr">
        <is>
          <t>Enero</t>
        </is>
      </c>
      <c r="B10" s="172">
        <f>IFERROR(Enero!O11,0)</f>
        <v/>
      </c>
      <c r="C10" s="172">
        <f>IFERROR(Enero!O12,0)</f>
        <v/>
      </c>
      <c r="D10" s="173">
        <f>IFERROR(C10/B10,0)</f>
        <v/>
      </c>
      <c r="E10" s="174">
        <f>IFERROR(Enero!O18,0)</f>
        <v/>
      </c>
      <c r="F10" s="174">
        <f>IFERROR(Enero!O5,0)</f>
        <v/>
      </c>
      <c r="G10" s="174">
        <f>IFERROR(Enero!O6,0)</f>
        <v/>
      </c>
      <c r="H10" s="174">
        <f>IFERROR(Enero!O7,0)</f>
        <v/>
      </c>
      <c r="I10" s="172">
        <f>IFERROR(Enero!O15,0)</f>
        <v/>
      </c>
      <c r="J10" s="172">
        <f>IFERROR(Enero!O16,0)</f>
        <v/>
      </c>
      <c r="K10" s="175">
        <f>IFERROR(B10/E10,0)</f>
        <v/>
      </c>
      <c r="L10" s="156" t="n"/>
      <c r="M10" s="156" t="inlineStr">
        <is>
          <t>Enero</t>
        </is>
      </c>
      <c r="N10" s="176">
        <f>IFERROR(Enero!O11,0)</f>
        <v/>
      </c>
      <c r="O10" s="176">
        <f>IFERROR(Enero!O12,0)</f>
        <v/>
      </c>
      <c r="P10" s="156" t="n"/>
      <c r="Q10" s="156" t="n"/>
      <c r="R10" s="156" t="n"/>
      <c r="S10" s="156" t="n"/>
      <c r="T10" s="156" t="n"/>
      <c r="U10" s="156" t="n"/>
    </row>
    <row r="11" ht="19.5" customHeight="1" s="153">
      <c r="A11" s="177" t="inlineStr">
        <is>
          <t>Febrero</t>
        </is>
      </c>
      <c r="B11" s="178">
        <f>IFERROR(Febrero!O11,0)</f>
        <v/>
      </c>
      <c r="C11" s="178">
        <f>IFERROR(Febrero!O12,0)</f>
        <v/>
      </c>
      <c r="D11" s="179">
        <f>IFERROR(C11/B11,0)</f>
        <v/>
      </c>
      <c r="E11" s="180">
        <f>IFERROR(Febrero!O18,0)</f>
        <v/>
      </c>
      <c r="F11" s="180">
        <f>IFERROR(Febrero!O5,0)</f>
        <v/>
      </c>
      <c r="G11" s="180">
        <f>IFERROR(Febrero!O6,0)</f>
        <v/>
      </c>
      <c r="H11" s="180">
        <f>IFERROR(Febrero!O7,0)</f>
        <v/>
      </c>
      <c r="I11" s="178">
        <f>IFERROR(Febrero!O15,0)</f>
        <v/>
      </c>
      <c r="J11" s="178">
        <f>IFERROR(Febrero!O16,0)</f>
        <v/>
      </c>
      <c r="K11" s="181">
        <f>IFERROR(B11/E11,0)</f>
        <v/>
      </c>
      <c r="L11" s="156" t="n"/>
      <c r="M11" s="156" t="inlineStr">
        <is>
          <t>Febrero</t>
        </is>
      </c>
      <c r="N11" s="176">
        <f>IFERROR(Febrero!O11,0)</f>
        <v/>
      </c>
      <c r="O11" s="176">
        <f>IFERROR(Febrero!O12,0)</f>
        <v/>
      </c>
      <c r="P11" s="156" t="n"/>
      <c r="Q11" s="156" t="n"/>
      <c r="R11" s="156" t="n"/>
      <c r="S11" s="156" t="n"/>
      <c r="T11" s="156" t="n"/>
      <c r="U11" s="156" t="n"/>
    </row>
    <row r="12" ht="19.5" customHeight="1" s="153">
      <c r="A12" s="171" t="inlineStr">
        <is>
          <t>Marzo</t>
        </is>
      </c>
      <c r="B12" s="172">
        <f>IFERROR(Marzo!O11,0)</f>
        <v/>
      </c>
      <c r="C12" s="172">
        <f>IFERROR(Marzo!O12,0)</f>
        <v/>
      </c>
      <c r="D12" s="173">
        <f>IFERROR(C12/B12,0)</f>
        <v/>
      </c>
      <c r="E12" s="174">
        <f>IFERROR(Marzo!O18,0)</f>
        <v/>
      </c>
      <c r="F12" s="174">
        <f>IFERROR(Marzo!O5,0)</f>
        <v/>
      </c>
      <c r="G12" s="174">
        <f>IFERROR(Marzo!O6,0)</f>
        <v/>
      </c>
      <c r="H12" s="174">
        <f>IFERROR(Marzo!O7,0)</f>
        <v/>
      </c>
      <c r="I12" s="172">
        <f>IFERROR(Marzo!O15,0)</f>
        <v/>
      </c>
      <c r="J12" s="172">
        <f>IFERROR(Marzo!O16,0)</f>
        <v/>
      </c>
      <c r="K12" s="175">
        <f>IFERROR(B12/E12,0)</f>
        <v/>
      </c>
      <c r="L12" s="156" t="n"/>
      <c r="M12" s="156" t="inlineStr">
        <is>
          <t>Marzo</t>
        </is>
      </c>
      <c r="N12" s="176">
        <f>IFERROR(Marzo!O11,0)</f>
        <v/>
      </c>
      <c r="O12" s="176">
        <f>IFERROR(Marzo!O12,0)</f>
        <v/>
      </c>
      <c r="P12" s="156" t="n"/>
      <c r="Q12" s="156" t="n"/>
      <c r="R12" s="156" t="n"/>
      <c r="S12" s="156" t="n"/>
      <c r="T12" s="156" t="n"/>
      <c r="U12" s="156" t="n"/>
    </row>
    <row r="13" ht="19.5" customHeight="1" s="153">
      <c r="A13" s="177" t="inlineStr">
        <is>
          <t>Abril</t>
        </is>
      </c>
      <c r="B13" s="178">
        <f>IFERROR(Abril!O11,0)</f>
        <v/>
      </c>
      <c r="C13" s="178">
        <f>IFERROR(Abril!O12,0)</f>
        <v/>
      </c>
      <c r="D13" s="179">
        <f>IFERROR(C13/B13,0)</f>
        <v/>
      </c>
      <c r="E13" s="180">
        <f>IFERROR(Abril!O18,0)</f>
        <v/>
      </c>
      <c r="F13" s="180">
        <f>IFERROR(Abril!O5,0)</f>
        <v/>
      </c>
      <c r="G13" s="180">
        <f>IFERROR(Abril!O6,0)</f>
        <v/>
      </c>
      <c r="H13" s="180">
        <f>IFERROR(Abril!O7,0)</f>
        <v/>
      </c>
      <c r="I13" s="178">
        <f>IFERROR(Abril!O15,0)</f>
        <v/>
      </c>
      <c r="J13" s="178">
        <f>IFERROR(Abril!O16,0)</f>
        <v/>
      </c>
      <c r="K13" s="181">
        <f>IFERROR(B13/E13,0)</f>
        <v/>
      </c>
      <c r="L13" s="156" t="n"/>
      <c r="M13" s="156" t="inlineStr">
        <is>
          <t>Abril</t>
        </is>
      </c>
      <c r="N13" s="176">
        <f>IFERROR(Abril!O11,0)</f>
        <v/>
      </c>
      <c r="O13" s="176">
        <f>IFERROR(Abril!O12,0)</f>
        <v/>
      </c>
      <c r="P13" s="156" t="n"/>
      <c r="Q13" s="156" t="n"/>
      <c r="R13" s="156" t="n"/>
      <c r="S13" s="156" t="n"/>
      <c r="T13" s="156" t="n"/>
      <c r="U13" s="156" t="n"/>
    </row>
    <row r="14" ht="19.5" customHeight="1" s="153">
      <c r="A14" s="171" t="inlineStr">
        <is>
          <t>Mayo</t>
        </is>
      </c>
      <c r="B14" s="172">
        <f>IFERROR(Mayo!O11,0)</f>
        <v/>
      </c>
      <c r="C14" s="172">
        <f>IFERROR(Mayo!O12,0)</f>
        <v/>
      </c>
      <c r="D14" s="173">
        <f>IFERROR(C14/B14,0)</f>
        <v/>
      </c>
      <c r="E14" s="174">
        <f>IFERROR(Mayo!O18,0)</f>
        <v/>
      </c>
      <c r="F14" s="174">
        <f>IFERROR(Mayo!O5,0)</f>
        <v/>
      </c>
      <c r="G14" s="174">
        <f>IFERROR(Mayo!O6,0)</f>
        <v/>
      </c>
      <c r="H14" s="174">
        <f>IFERROR(Mayo!O7,0)</f>
        <v/>
      </c>
      <c r="I14" s="172">
        <f>IFERROR(Mayo!O15,0)</f>
        <v/>
      </c>
      <c r="J14" s="172">
        <f>IFERROR(Mayo!O16,0)</f>
        <v/>
      </c>
      <c r="K14" s="175">
        <f>IFERROR(B14/E14,0)</f>
        <v/>
      </c>
      <c r="L14" s="156" t="n"/>
      <c r="M14" s="156" t="inlineStr">
        <is>
          <t>Mayo</t>
        </is>
      </c>
      <c r="N14" s="176">
        <f>IFERROR(Mayo!O11,0)</f>
        <v/>
      </c>
      <c r="O14" s="176">
        <f>IFERROR(Mayo!O12,0)</f>
        <v/>
      </c>
      <c r="P14" s="156" t="n"/>
      <c r="Q14" s="156" t="n"/>
      <c r="R14" s="156" t="n"/>
      <c r="S14" s="156" t="n"/>
      <c r="T14" s="156" t="n"/>
      <c r="U14" s="156" t="n"/>
    </row>
    <row r="15" ht="19.5" customHeight="1" s="153">
      <c r="A15" s="177" t="inlineStr">
        <is>
          <t>Junio</t>
        </is>
      </c>
      <c r="B15" s="178">
        <f>IFERROR(Junio!O11,0)</f>
        <v/>
      </c>
      <c r="C15" s="178">
        <f>IFERROR(Junio!O12,0)</f>
        <v/>
      </c>
      <c r="D15" s="179">
        <f>IFERROR(C15/B15,0)</f>
        <v/>
      </c>
      <c r="E15" s="180">
        <f>IFERROR(Junio!O18,0)</f>
        <v/>
      </c>
      <c r="F15" s="180">
        <f>IFERROR(Junio!O5,0)</f>
        <v/>
      </c>
      <c r="G15" s="180">
        <f>IFERROR(Junio!O6,0)</f>
        <v/>
      </c>
      <c r="H15" s="180">
        <f>IFERROR(Junio!O7,0)</f>
        <v/>
      </c>
      <c r="I15" s="178">
        <f>IFERROR(Junio!O15,0)</f>
        <v/>
      </c>
      <c r="J15" s="178">
        <f>IFERROR(Junio!O16,0)</f>
        <v/>
      </c>
      <c r="K15" s="181">
        <f>IFERROR(B15/E15,0)</f>
        <v/>
      </c>
      <c r="L15" s="156" t="n"/>
      <c r="M15" s="156" t="inlineStr">
        <is>
          <t>Junio</t>
        </is>
      </c>
      <c r="N15" s="176">
        <f>IFERROR(Junio!O11,0)</f>
        <v/>
      </c>
      <c r="O15" s="176">
        <f>IFERROR(Junio!O12,0)</f>
        <v/>
      </c>
      <c r="P15" s="156" t="n"/>
      <c r="Q15" s="156" t="n"/>
      <c r="R15" s="156" t="n"/>
      <c r="S15" s="156" t="n"/>
      <c r="T15" s="156" t="n"/>
      <c r="U15" s="156" t="n"/>
    </row>
    <row r="16" ht="19.5" customHeight="1" s="153">
      <c r="A16" s="171" t="inlineStr">
        <is>
          <t>Julio</t>
        </is>
      </c>
      <c r="B16" s="172">
        <f>IFERROR(Julio!O11,0)</f>
        <v/>
      </c>
      <c r="C16" s="172">
        <f>IFERROR(Julio!O12,0)</f>
        <v/>
      </c>
      <c r="D16" s="173">
        <f>IFERROR(C16/B16,0)</f>
        <v/>
      </c>
      <c r="E16" s="174">
        <f>IFERROR(Julio!O18,0)</f>
        <v/>
      </c>
      <c r="F16" s="174">
        <f>IFERROR(Julio!O5,0)</f>
        <v/>
      </c>
      <c r="G16" s="174">
        <f>IFERROR(Julio!O6,0)</f>
        <v/>
      </c>
      <c r="H16" s="174">
        <f>IFERROR(Julio!O7,0)</f>
        <v/>
      </c>
      <c r="I16" s="172">
        <f>IFERROR(Julio!O15,0)</f>
        <v/>
      </c>
      <c r="J16" s="172">
        <f>IFERROR(Julio!O16,0)</f>
        <v/>
      </c>
      <c r="K16" s="175">
        <f>IFERROR(B16/E16,0)</f>
        <v/>
      </c>
      <c r="L16" s="156" t="n"/>
      <c r="M16" s="156" t="inlineStr">
        <is>
          <t>Julio</t>
        </is>
      </c>
      <c r="N16" s="176">
        <f>IFERROR(Julio!O11,0)</f>
        <v/>
      </c>
      <c r="O16" s="176">
        <f>IFERROR(Julio!O12,0)</f>
        <v/>
      </c>
      <c r="P16" s="156" t="n"/>
      <c r="Q16" s="156" t="n"/>
      <c r="R16" s="156" t="n"/>
      <c r="S16" s="156" t="n"/>
      <c r="T16" s="156" t="n"/>
      <c r="U16" s="156" t="n"/>
    </row>
    <row r="17" ht="19.5" customHeight="1" s="153">
      <c r="A17" s="177" t="inlineStr">
        <is>
          <t>Agosto</t>
        </is>
      </c>
      <c r="B17" s="178">
        <f>IFERROR(Agosto!O11,0)</f>
        <v/>
      </c>
      <c r="C17" s="178">
        <f>IFERROR(Agosto!O12,0)</f>
        <v/>
      </c>
      <c r="D17" s="179">
        <f>IFERROR(C17/B17,0)</f>
        <v/>
      </c>
      <c r="E17" s="180">
        <f>IFERROR(Agosto!O18,0)</f>
        <v/>
      </c>
      <c r="F17" s="180">
        <f>IFERROR(Agosto!O5,0)</f>
        <v/>
      </c>
      <c r="G17" s="180">
        <f>IFERROR(Agosto!O6,0)</f>
        <v/>
      </c>
      <c r="H17" s="180">
        <f>IFERROR(Agosto!O7,0)</f>
        <v/>
      </c>
      <c r="I17" s="178">
        <f>IFERROR(Agosto!O15,0)</f>
        <v/>
      </c>
      <c r="J17" s="178">
        <f>IFERROR(Agosto!O16,0)</f>
        <v/>
      </c>
      <c r="K17" s="181">
        <f>IFERROR(B17/E17,0)</f>
        <v/>
      </c>
      <c r="L17" s="156" t="n"/>
      <c r="M17" s="156" t="inlineStr">
        <is>
          <t>Agosto</t>
        </is>
      </c>
      <c r="N17" s="176">
        <f>IFERROR(Agosto!O11,0)</f>
        <v/>
      </c>
      <c r="O17" s="176">
        <f>IFERROR(Agosto!O12,0)</f>
        <v/>
      </c>
      <c r="P17" s="156" t="n"/>
      <c r="Q17" s="156" t="n"/>
      <c r="R17" s="156" t="n"/>
      <c r="S17" s="156" t="n"/>
      <c r="T17" s="156" t="n"/>
      <c r="U17" s="156" t="n"/>
    </row>
    <row r="18" ht="19.5" customHeight="1" s="153">
      <c r="A18" s="171" t="inlineStr">
        <is>
          <t>Septiembre</t>
        </is>
      </c>
      <c r="B18" s="172">
        <f>IFERROR(Septiembre!O11,0)</f>
        <v/>
      </c>
      <c r="C18" s="172">
        <f>IFERROR(Septiembre!O12,0)</f>
        <v/>
      </c>
      <c r="D18" s="173">
        <f>IFERROR(C18/B18,0)</f>
        <v/>
      </c>
      <c r="E18" s="174">
        <f>IFERROR(Septiembre!O18,0)</f>
        <v/>
      </c>
      <c r="F18" s="174">
        <f>IFERROR(Septiembre!O5,0)</f>
        <v/>
      </c>
      <c r="G18" s="174">
        <f>IFERROR(Septiembre!O6,0)</f>
        <v/>
      </c>
      <c r="H18" s="174">
        <f>IFERROR(Septiembre!O7,0)</f>
        <v/>
      </c>
      <c r="I18" s="172">
        <f>IFERROR(Septiembre!O15,0)</f>
        <v/>
      </c>
      <c r="J18" s="172">
        <f>IFERROR(Septiembre!O16,0)</f>
        <v/>
      </c>
      <c r="K18" s="175">
        <f>IFERROR(B18/E18,0)</f>
        <v/>
      </c>
      <c r="L18" s="156" t="n"/>
      <c r="M18" s="156" t="inlineStr">
        <is>
          <t>Septiembre</t>
        </is>
      </c>
      <c r="N18" s="176">
        <f>IFERROR(Septiembre!O11,0)</f>
        <v/>
      </c>
      <c r="O18" s="176">
        <f>IFERROR(Septiembre!O12,0)</f>
        <v/>
      </c>
      <c r="P18" s="156" t="n"/>
      <c r="Q18" s="156" t="n"/>
      <c r="R18" s="156" t="n"/>
      <c r="S18" s="156" t="n"/>
      <c r="T18" s="156" t="n"/>
      <c r="U18" s="156" t="n"/>
    </row>
    <row r="19" ht="19.5" customHeight="1" s="153">
      <c r="A19" s="177" t="inlineStr">
        <is>
          <t>Octubre</t>
        </is>
      </c>
      <c r="B19" s="178">
        <f>IFERROR(Octubre!O11,0)</f>
        <v/>
      </c>
      <c r="C19" s="178">
        <f>IFERROR(Octubre!O12,0)</f>
        <v/>
      </c>
      <c r="D19" s="179">
        <f>IFERROR(C19/B19,0)</f>
        <v/>
      </c>
      <c r="E19" s="180">
        <f>IFERROR(Octubre!O18,0)</f>
        <v/>
      </c>
      <c r="F19" s="180">
        <f>IFERROR(Octubre!O5,0)</f>
        <v/>
      </c>
      <c r="G19" s="180">
        <f>IFERROR(Octubre!O6,0)</f>
        <v/>
      </c>
      <c r="H19" s="180">
        <f>IFERROR(Octubre!O7,0)</f>
        <v/>
      </c>
      <c r="I19" s="178">
        <f>IFERROR(Octubre!O15,0)</f>
        <v/>
      </c>
      <c r="J19" s="178">
        <f>IFERROR(Octubre!O16,0)</f>
        <v/>
      </c>
      <c r="K19" s="181">
        <f>IFERROR(B19/E19,0)</f>
        <v/>
      </c>
      <c r="L19" s="156" t="n"/>
      <c r="M19" s="156" t="inlineStr">
        <is>
          <t>Octubre</t>
        </is>
      </c>
      <c r="N19" s="176">
        <f>IFERROR(Octubre!O11,0)</f>
        <v/>
      </c>
      <c r="O19" s="176">
        <f>IFERROR(Octubre!O12,0)</f>
        <v/>
      </c>
      <c r="P19" s="156" t="n"/>
      <c r="Q19" s="156" t="n"/>
      <c r="R19" s="156" t="n"/>
      <c r="S19" s="156" t="n"/>
      <c r="T19" s="156" t="n"/>
      <c r="U19" s="156" t="n"/>
    </row>
    <row r="20" ht="19.5" customHeight="1" s="153">
      <c r="A20" s="171" t="inlineStr">
        <is>
          <t>Noviembre</t>
        </is>
      </c>
      <c r="B20" s="172">
        <f>IFERROR(Noviembre!O11,0)</f>
        <v/>
      </c>
      <c r="C20" s="172">
        <f>IFERROR(Noviembre!O12,0)</f>
        <v/>
      </c>
      <c r="D20" s="173">
        <f>IFERROR(C20/B20,0)</f>
        <v/>
      </c>
      <c r="E20" s="174">
        <f>IFERROR(Noviembre!O18,0)</f>
        <v/>
      </c>
      <c r="F20" s="174">
        <f>IFERROR(Noviembre!O5,0)</f>
        <v/>
      </c>
      <c r="G20" s="174">
        <f>IFERROR(Noviembre!O6,0)</f>
        <v/>
      </c>
      <c r="H20" s="174">
        <f>IFERROR(Noviembre!O7,0)</f>
        <v/>
      </c>
      <c r="I20" s="172">
        <f>IFERROR(Noviembre!O15,0)</f>
        <v/>
      </c>
      <c r="J20" s="172">
        <f>IFERROR(Noviembre!O16,0)</f>
        <v/>
      </c>
      <c r="K20" s="175">
        <f>IFERROR(B20/E20,0)</f>
        <v/>
      </c>
      <c r="L20" s="156" t="n"/>
      <c r="M20" s="156" t="inlineStr">
        <is>
          <t>Noviembre</t>
        </is>
      </c>
      <c r="N20" s="176">
        <f>IFERROR(Noviembre!O11,0)</f>
        <v/>
      </c>
      <c r="O20" s="176">
        <f>IFERROR(Noviembre!O12,0)</f>
        <v/>
      </c>
      <c r="P20" s="156" t="n"/>
      <c r="Q20" s="156" t="n"/>
      <c r="R20" s="156" t="n"/>
      <c r="S20" s="156" t="n"/>
      <c r="T20" s="156" t="n"/>
      <c r="U20" s="156" t="n"/>
    </row>
    <row r="21" ht="19.5" customHeight="1" s="153">
      <c r="A21" s="177" t="inlineStr">
        <is>
          <t>Diciembre</t>
        </is>
      </c>
      <c r="B21" s="178">
        <f>IFERROR(Diciembre!O11,0)</f>
        <v/>
      </c>
      <c r="C21" s="178">
        <f>IFERROR(Diciembre!O12,0)</f>
        <v/>
      </c>
      <c r="D21" s="179">
        <f>IFERROR(C21/B21,0)</f>
        <v/>
      </c>
      <c r="E21" s="180">
        <f>IFERROR(Diciembre!O18,0)</f>
        <v/>
      </c>
      <c r="F21" s="180">
        <f>IFERROR(Diciembre!O5,0)</f>
        <v/>
      </c>
      <c r="G21" s="180">
        <f>IFERROR(Diciembre!O6,0)</f>
        <v/>
      </c>
      <c r="H21" s="180">
        <f>IFERROR(Diciembre!O7,0)</f>
        <v/>
      </c>
      <c r="I21" s="178">
        <f>IFERROR(Diciembre!O15,0)</f>
        <v/>
      </c>
      <c r="J21" s="178">
        <f>IFERROR(Diciembre!O16,0)</f>
        <v/>
      </c>
      <c r="K21" s="181">
        <f>IFERROR(B21/E21,0)</f>
        <v/>
      </c>
      <c r="L21" s="156" t="n"/>
      <c r="M21" s="156" t="inlineStr">
        <is>
          <t>Diciembre</t>
        </is>
      </c>
      <c r="N21" s="176">
        <f>IFERROR(Diciembre!O11,0)</f>
        <v/>
      </c>
      <c r="O21" s="176">
        <f>IFERROR(Diciembre!O12,0)</f>
        <v/>
      </c>
      <c r="P21" s="156" t="n"/>
      <c r="Q21" s="156" t="n"/>
      <c r="R21" s="156" t="n"/>
      <c r="S21" s="156" t="n"/>
      <c r="T21" s="156" t="n"/>
      <c r="U21" s="156" t="n"/>
    </row>
    <row r="22" ht="27.75" customHeight="1" s="153">
      <c r="A22" s="182" t="inlineStr">
        <is>
          <t>TOTAL AÑO</t>
        </is>
      </c>
      <c r="B22" s="183">
        <f>SUM(B10:B21)</f>
        <v/>
      </c>
      <c r="C22" s="183">
        <f>SUM(C10:C21)</f>
        <v/>
      </c>
      <c r="D22" s="184">
        <f>IFERROR(C22/B22,0)</f>
        <v/>
      </c>
      <c r="E22" s="185">
        <f>SUM(E10:E21)</f>
        <v/>
      </c>
      <c r="F22" s="185">
        <f>SUM(F10:F21)</f>
        <v/>
      </c>
      <c r="G22" s="185">
        <f>SUM(G10:G21)</f>
        <v/>
      </c>
      <c r="H22" s="185">
        <f>SUM(H10:H21)</f>
        <v/>
      </c>
      <c r="I22" s="183">
        <f>SUM(I10:I21)</f>
        <v/>
      </c>
      <c r="J22" s="183">
        <f>SUM(J10:J21)</f>
        <v/>
      </c>
      <c r="K22" s="183">
        <f>IFERROR(B22/E22,0)</f>
        <v/>
      </c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6" t="n"/>
      <c r="U22" s="156" t="n"/>
    </row>
    <row r="23" ht="12" customHeight="1" s="153">
      <c r="A23" s="156" t="n"/>
      <c r="B23" s="156" t="n"/>
      <c r="C23" s="156" t="n"/>
      <c r="D23" s="156" t="n"/>
      <c r="E23" s="156" t="n"/>
      <c r="F23" s="156" t="n"/>
      <c r="G23" s="156" t="n"/>
      <c r="H23" s="156" t="n"/>
      <c r="I23" s="156" t="n"/>
      <c r="J23" s="156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6" t="n"/>
      <c r="U23" s="156" t="n"/>
    </row>
    <row r="24" ht="27.75" customHeight="1" s="153">
      <c r="A24" s="157" t="inlineStr">
        <is>
          <t xml:space="preserve">  FACTURADO VS GANANCIA POR MES  ($)</t>
        </is>
      </c>
      <c r="L24" s="156" t="n"/>
      <c r="M24" s="156" t="n"/>
      <c r="N24" s="156" t="n"/>
      <c r="O24" s="156" t="n"/>
      <c r="P24" s="156" t="n"/>
      <c r="Q24" s="156" t="n"/>
      <c r="R24" s="156" t="n"/>
      <c r="S24" s="156" t="n"/>
      <c r="T24" s="156" t="n"/>
      <c r="U24" s="156" t="n"/>
    </row>
    <row r="25" ht="15" customHeight="1" s="153">
      <c r="A25" s="156" t="n"/>
      <c r="B25" s="156" t="n"/>
      <c r="C25" s="156" t="n"/>
      <c r="D25" s="156" t="n"/>
      <c r="E25" s="156" t="n"/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  <c r="T25" s="156" t="n"/>
      <c r="U25" s="156" t="n"/>
    </row>
    <row r="26" ht="15" customHeight="1" s="153">
      <c r="A26" s="156" t="n"/>
      <c r="B26" s="156" t="n"/>
      <c r="C26" s="156" t="n"/>
      <c r="D26" s="156" t="n"/>
      <c r="E26" s="156" t="n"/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</row>
    <row r="27" ht="15" customHeight="1" s="153">
      <c r="A27" s="156" t="n"/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</row>
    <row r="28" ht="15" customHeight="1" s="153">
      <c r="A28" s="156" t="n"/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</row>
    <row r="29" ht="15" customHeight="1" s="153">
      <c r="A29" s="156" t="n"/>
      <c r="B29" s="156" t="n"/>
      <c r="C29" s="156" t="n"/>
      <c r="D29" s="156" t="n"/>
      <c r="E29" s="156" t="n"/>
      <c r="F29" s="156" t="n"/>
      <c r="G29" s="156" t="n"/>
      <c r="H29" s="156" t="n"/>
      <c r="I29" s="156" t="n"/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</row>
    <row r="30" ht="15" customHeight="1" s="153">
      <c r="A30" s="156" t="n"/>
      <c r="B30" s="156" t="n"/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</row>
    <row r="31" ht="15" customHeight="1" s="153">
      <c r="A31" s="156" t="n"/>
      <c r="B31" s="156" t="n"/>
      <c r="C31" s="156" t="n"/>
      <c r="D31" s="156" t="n"/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6" t="n"/>
    </row>
    <row r="32" ht="15" customHeight="1" s="153">
      <c r="A32" s="156" t="n"/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</row>
    <row r="33" ht="15" customHeight="1" s="153">
      <c r="A33" s="156" t="n"/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6" t="n"/>
    </row>
    <row r="34" ht="15" customHeight="1" s="153">
      <c r="A34" s="156" t="n"/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</row>
    <row r="35" ht="15" customHeight="1" s="153">
      <c r="A35" s="156" t="n"/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</row>
    <row r="36" ht="15" customHeight="1" s="153">
      <c r="A36" s="156" t="n"/>
      <c r="B36" s="156" t="n"/>
      <c r="C36" s="156" t="n"/>
      <c r="D36" s="156" t="n"/>
      <c r="E36" s="156" t="n"/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6" t="n"/>
      <c r="S36" s="156" t="n"/>
      <c r="T36" s="156" t="n"/>
      <c r="U36" s="156" t="n"/>
    </row>
    <row r="37" ht="15" customHeight="1" s="153">
      <c r="A37" s="156" t="n"/>
      <c r="B37" s="156" t="n"/>
      <c r="C37" s="156" t="n"/>
      <c r="D37" s="156" t="n"/>
      <c r="E37" s="156" t="n"/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  <c r="O37" s="156" t="n"/>
      <c r="P37" s="156" t="n"/>
      <c r="Q37" s="156" t="n"/>
      <c r="R37" s="156" t="n"/>
      <c r="S37" s="156" t="n"/>
      <c r="T37" s="156" t="n"/>
      <c r="U37" s="156" t="n"/>
    </row>
    <row r="38" ht="15" customHeight="1" s="153">
      <c r="A38" s="156" t="n"/>
      <c r="B38" s="156" t="n"/>
      <c r="C38" s="156" t="n"/>
      <c r="D38" s="156" t="n"/>
      <c r="E38" s="156" t="n"/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6" t="n"/>
      <c r="Q38" s="156" t="n"/>
      <c r="R38" s="156" t="n"/>
      <c r="S38" s="156" t="n"/>
      <c r="T38" s="156" t="n"/>
      <c r="U38" s="156" t="n"/>
    </row>
    <row r="39" ht="15" customHeight="1" s="153">
      <c r="A39" s="156" t="n"/>
      <c r="B39" s="156" t="n"/>
      <c r="C39" s="156" t="n"/>
      <c r="D39" s="156" t="n"/>
      <c r="E39" s="156" t="n"/>
      <c r="F39" s="156" t="n"/>
      <c r="G39" s="156" t="n"/>
      <c r="H39" s="156" t="n"/>
      <c r="I39" s="156" t="n"/>
      <c r="J39" s="156" t="n"/>
      <c r="K39" s="156" t="n"/>
      <c r="L39" s="156" t="n"/>
      <c r="M39" s="156" t="n"/>
      <c r="N39" s="156" t="n"/>
      <c r="O39" s="156" t="n"/>
      <c r="P39" s="156" t="n"/>
      <c r="Q39" s="156" t="n"/>
      <c r="R39" s="156" t="n"/>
      <c r="S39" s="156" t="n"/>
      <c r="T39" s="156" t="n"/>
      <c r="U39" s="156" t="n"/>
    </row>
    <row r="40" ht="15" customHeight="1" s="153">
      <c r="A40" s="156" t="n"/>
      <c r="B40" s="156" t="n"/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6" t="n"/>
      <c r="S40" s="156" t="n"/>
      <c r="T40" s="156" t="n"/>
      <c r="U40" s="156" t="n"/>
    </row>
    <row r="41" ht="15" customHeight="1" s="153">
      <c r="A41" s="156" t="n"/>
      <c r="B41" s="156" t="n"/>
      <c r="C41" s="156" t="n"/>
      <c r="D41" s="156" t="n"/>
      <c r="E41" s="156" t="n"/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6" t="n"/>
      <c r="O41" s="156" t="n"/>
      <c r="P41" s="156" t="n"/>
      <c r="Q41" s="156" t="n"/>
      <c r="R41" s="156" t="n"/>
      <c r="S41" s="156" t="n"/>
      <c r="T41" s="156" t="n"/>
      <c r="U41" s="156" t="n"/>
    </row>
    <row r="42" ht="15" customHeight="1" s="153">
      <c r="A42" s="156" t="n"/>
      <c r="B42" s="156" t="n"/>
      <c r="C42" s="156" t="n"/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</row>
    <row r="43" ht="15" customHeight="1" s="153">
      <c r="A43" s="156" t="n"/>
      <c r="B43" s="156" t="n"/>
      <c r="C43" s="156" t="n"/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6" t="n"/>
      <c r="O43" s="156" t="n"/>
      <c r="P43" s="156" t="n"/>
      <c r="Q43" s="156" t="n"/>
      <c r="R43" s="156" t="n"/>
      <c r="S43" s="156" t="n"/>
      <c r="T43" s="156" t="n"/>
      <c r="U43" s="156" t="n"/>
    </row>
    <row r="44" ht="15" customHeight="1" s="153">
      <c r="A44" s="156" t="n"/>
      <c r="B44" s="156" t="n"/>
      <c r="C44" s="156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156" t="n"/>
      <c r="N44" s="156" t="n"/>
      <c r="O44" s="156" t="n"/>
      <c r="P44" s="156" t="n"/>
      <c r="Q44" s="156" t="n"/>
      <c r="R44" s="156" t="n"/>
      <c r="S44" s="156" t="n"/>
      <c r="T44" s="156" t="n"/>
      <c r="U44" s="156" t="n"/>
    </row>
    <row r="45" ht="15" customHeight="1" s="153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56" t="n"/>
      <c r="M45" s="156" t="n"/>
      <c r="N45" s="156" t="n"/>
      <c r="O45" s="156" t="n"/>
      <c r="P45" s="156" t="n"/>
      <c r="Q45" s="156" t="n"/>
      <c r="R45" s="156" t="n"/>
      <c r="S45" s="156" t="n"/>
      <c r="T45" s="156" t="n"/>
      <c r="U45" s="156" t="n"/>
    </row>
    <row r="46" ht="15" customHeight="1" s="153">
      <c r="A46" s="156" t="n"/>
      <c r="B46" s="156" t="n"/>
      <c r="C46" s="156" t="n"/>
      <c r="D46" s="156" t="n"/>
      <c r="E46" s="156" t="n"/>
      <c r="F46" s="156" t="n"/>
      <c r="G46" s="156" t="n"/>
      <c r="H46" s="156" t="n"/>
      <c r="I46" s="156" t="n"/>
      <c r="J46" s="156" t="n"/>
      <c r="K46" s="156" t="n"/>
      <c r="L46" s="156" t="n"/>
      <c r="M46" s="156" t="n"/>
      <c r="N46" s="156" t="n"/>
      <c r="O46" s="156" t="n"/>
      <c r="P46" s="156" t="n"/>
      <c r="Q46" s="156" t="n"/>
      <c r="R46" s="156" t="n"/>
      <c r="S46" s="156" t="n"/>
      <c r="T46" s="156" t="n"/>
      <c r="U46" s="156" t="n"/>
    </row>
    <row r="47" ht="15" customHeight="1" s="153">
      <c r="A47" s="156" t="n"/>
      <c r="B47" s="156" t="n"/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</row>
    <row r="48" ht="15" customHeight="1" s="153">
      <c r="A48" s="156" t="n"/>
      <c r="B48" s="156" t="n"/>
      <c r="C48" s="156" t="n"/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6" t="n"/>
      <c r="O48" s="156" t="n"/>
      <c r="P48" s="156" t="n"/>
      <c r="Q48" s="156" t="n"/>
      <c r="R48" s="156" t="n"/>
      <c r="S48" s="156" t="n"/>
      <c r="T48" s="156" t="n"/>
      <c r="U48" s="156" t="n"/>
    </row>
    <row r="49" ht="15" customHeight="1" s="153">
      <c r="A49" s="156" t="n"/>
      <c r="B49" s="156" t="n"/>
      <c r="C49" s="156" t="n"/>
      <c r="D49" s="156" t="n"/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</row>
    <row r="50" ht="15" customHeight="1" s="153">
      <c r="A50" s="156" t="n"/>
      <c r="B50" s="156" t="n"/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</row>
    <row r="51" ht="15" customHeight="1" s="153">
      <c r="A51" s="156" t="n"/>
      <c r="B51" s="156" t="n"/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6" t="n"/>
      <c r="U51" s="156" t="n"/>
    </row>
    <row r="52" ht="15" customHeight="1" s="153">
      <c r="A52" s="156" t="n"/>
      <c r="B52" s="156" t="n"/>
      <c r="C52" s="156" t="n"/>
      <c r="D52" s="156" t="n"/>
      <c r="E52" s="156" t="n"/>
      <c r="F52" s="156" t="n"/>
      <c r="G52" s="156" t="n"/>
      <c r="H52" s="156" t="n"/>
      <c r="I52" s="156" t="n"/>
      <c r="J52" s="156" t="n"/>
      <c r="K52" s="156" t="n"/>
      <c r="L52" s="156" t="n"/>
      <c r="M52" s="156" t="n"/>
      <c r="N52" s="156" t="n"/>
      <c r="O52" s="156" t="n"/>
      <c r="P52" s="156" t="n"/>
      <c r="Q52" s="156" t="n"/>
      <c r="R52" s="156" t="n"/>
      <c r="S52" s="156" t="n"/>
      <c r="T52" s="156" t="n"/>
      <c r="U52" s="156" t="n"/>
    </row>
    <row r="53" ht="15" customHeight="1" s="153">
      <c r="A53" s="156" t="n"/>
      <c r="B53" s="156" t="n"/>
      <c r="C53" s="156" t="n"/>
      <c r="D53" s="156" t="n"/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</row>
    <row r="54" ht="15" customHeight="1" s="153">
      <c r="A54" s="156" t="n"/>
      <c r="B54" s="156" t="n"/>
      <c r="C54" s="156" t="n"/>
      <c r="D54" s="156" t="n"/>
      <c r="E54" s="156" t="n"/>
      <c r="F54" s="156" t="n"/>
      <c r="G54" s="156" t="n"/>
      <c r="H54" s="156" t="n"/>
      <c r="I54" s="156" t="n"/>
      <c r="J54" s="156" t="n"/>
      <c r="K54" s="156" t="n"/>
      <c r="L54" s="156" t="n"/>
      <c r="M54" s="156" t="n"/>
      <c r="N54" s="156" t="n"/>
      <c r="O54" s="156" t="n"/>
      <c r="P54" s="156" t="n"/>
      <c r="Q54" s="156" t="n"/>
      <c r="R54" s="156" t="n"/>
      <c r="S54" s="156" t="n"/>
      <c r="T54" s="156" t="n"/>
      <c r="U54" s="156" t="n"/>
    </row>
    <row r="55" ht="15" customHeight="1" s="153">
      <c r="A55" s="156" t="n"/>
      <c r="B55" s="156" t="n"/>
      <c r="C55" s="156" t="n"/>
      <c r="D55" s="156" t="n"/>
      <c r="E55" s="156" t="n"/>
      <c r="F55" s="156" t="n"/>
      <c r="G55" s="156" t="n"/>
      <c r="H55" s="156" t="n"/>
      <c r="I55" s="156" t="n"/>
      <c r="J55" s="156" t="n"/>
      <c r="K55" s="156" t="n"/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n"/>
      <c r="U55" s="156" t="n"/>
    </row>
    <row r="56" ht="15" customHeight="1" s="153">
      <c r="A56" s="156" t="n"/>
      <c r="B56" s="156" t="n"/>
      <c r="C56" s="156" t="n"/>
      <c r="D56" s="156" t="n"/>
      <c r="E56" s="156" t="n"/>
      <c r="F56" s="156" t="n"/>
      <c r="G56" s="156" t="n"/>
      <c r="H56" s="156" t="n"/>
      <c r="I56" s="156" t="n"/>
      <c r="J56" s="156" t="n"/>
      <c r="K56" s="156" t="n"/>
      <c r="L56" s="156" t="n"/>
      <c r="M56" s="156" t="n"/>
      <c r="N56" s="156" t="n"/>
      <c r="O56" s="156" t="n"/>
      <c r="P56" s="156" t="n"/>
      <c r="Q56" s="156" t="n"/>
      <c r="R56" s="156" t="n"/>
      <c r="S56" s="156" t="n"/>
      <c r="T56" s="156" t="n"/>
      <c r="U56" s="156" t="n"/>
    </row>
    <row r="57" ht="15" customHeight="1" s="153">
      <c r="A57" s="156" t="n"/>
      <c r="B57" s="156" t="n"/>
      <c r="C57" s="156" t="n"/>
      <c r="D57" s="156" t="n"/>
      <c r="E57" s="156" t="n"/>
      <c r="F57" s="156" t="n"/>
      <c r="G57" s="156" t="n"/>
      <c r="H57" s="156" t="n"/>
      <c r="I57" s="156" t="n"/>
      <c r="J57" s="156" t="n"/>
      <c r="K57" s="156" t="n"/>
      <c r="L57" s="156" t="n"/>
      <c r="M57" s="156" t="n"/>
      <c r="N57" s="156" t="n"/>
      <c r="O57" s="156" t="n"/>
      <c r="P57" s="156" t="n"/>
      <c r="Q57" s="156" t="n"/>
      <c r="R57" s="156" t="n"/>
      <c r="S57" s="156" t="n"/>
      <c r="T57" s="156" t="n"/>
      <c r="U57" s="156" t="n"/>
    </row>
    <row r="58" ht="15" customHeight="1" s="153">
      <c r="A58" s="156" t="n"/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</row>
    <row r="59" ht="15" customHeight="1" s="153">
      <c r="A59" s="156" t="n"/>
      <c r="B59" s="156" t="n"/>
      <c r="C59" s="156" t="n"/>
      <c r="D59" s="156" t="n"/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n"/>
      <c r="U59" s="156" t="n"/>
    </row>
    <row r="60" ht="15" customHeight="1" s="153">
      <c r="A60" s="156" t="n"/>
      <c r="B60" s="156" t="n"/>
      <c r="C60" s="156" t="n"/>
      <c r="D60" s="156" t="n"/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6" t="n"/>
      <c r="Q60" s="156" t="n"/>
      <c r="R60" s="156" t="n"/>
      <c r="S60" s="156" t="n"/>
      <c r="T60" s="156" t="n"/>
      <c r="U60" s="156" t="n"/>
    </row>
    <row r="61" ht="15" customHeight="1" s="153">
      <c r="A61" s="156" t="n"/>
      <c r="B61" s="156" t="n"/>
      <c r="C61" s="156" t="n"/>
      <c r="D61" s="156" t="n"/>
      <c r="E61" s="156" t="n"/>
      <c r="F61" s="156" t="n"/>
      <c r="G61" s="156" t="n"/>
      <c r="H61" s="156" t="n"/>
      <c r="I61" s="156" t="n"/>
      <c r="J61" s="156" t="n"/>
      <c r="K61" s="156" t="n"/>
      <c r="L61" s="156" t="n"/>
      <c r="M61" s="156" t="n"/>
      <c r="N61" s="156" t="n"/>
      <c r="O61" s="156" t="n"/>
      <c r="P61" s="156" t="n"/>
      <c r="Q61" s="156" t="n"/>
      <c r="R61" s="156" t="n"/>
      <c r="S61" s="156" t="n"/>
      <c r="T61" s="156" t="n"/>
      <c r="U61" s="156" t="n"/>
    </row>
    <row r="62" ht="15" customHeight="1" s="153">
      <c r="A62" s="156" t="n"/>
      <c r="B62" s="156" t="n"/>
      <c r="C62" s="156" t="n"/>
      <c r="D62" s="156" t="n"/>
      <c r="E62" s="156" t="n"/>
      <c r="F62" s="156" t="n"/>
      <c r="G62" s="156" t="n"/>
      <c r="H62" s="156" t="n"/>
      <c r="I62" s="156" t="n"/>
      <c r="J62" s="156" t="n"/>
      <c r="K62" s="156" t="n"/>
      <c r="L62" s="156" t="n"/>
      <c r="M62" s="156" t="n"/>
      <c r="N62" s="156" t="n"/>
      <c r="O62" s="156" t="n"/>
      <c r="P62" s="156" t="n"/>
      <c r="Q62" s="156" t="n"/>
      <c r="R62" s="156" t="n"/>
      <c r="S62" s="156" t="n"/>
      <c r="T62" s="156" t="n"/>
      <c r="U62" s="156" t="n"/>
    </row>
    <row r="63" ht="15" customHeight="1" s="153">
      <c r="A63" s="156" t="n"/>
      <c r="B63" s="156" t="n"/>
      <c r="C63" s="156" t="n"/>
      <c r="D63" s="156" t="n"/>
      <c r="E63" s="156" t="n"/>
      <c r="F63" s="156" t="n"/>
      <c r="G63" s="156" t="n"/>
      <c r="H63" s="156" t="n"/>
      <c r="I63" s="156" t="n"/>
      <c r="J63" s="156" t="n"/>
      <c r="K63" s="156" t="n"/>
      <c r="L63" s="156" t="n"/>
      <c r="M63" s="156" t="n"/>
      <c r="N63" s="156" t="n"/>
      <c r="O63" s="156" t="n"/>
      <c r="P63" s="156" t="n"/>
      <c r="Q63" s="156" t="n"/>
      <c r="R63" s="156" t="n"/>
      <c r="S63" s="156" t="n"/>
      <c r="T63" s="156" t="n"/>
      <c r="U63" s="156" t="n"/>
    </row>
    <row r="64" ht="15" customHeight="1" s="153">
      <c r="A64" s="156" t="n"/>
      <c r="B64" s="156" t="n"/>
      <c r="C64" s="156" t="n"/>
      <c r="D64" s="156" t="n"/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6" t="n"/>
      <c r="S64" s="156" t="n"/>
      <c r="T64" s="156" t="n"/>
      <c r="U64" s="156" t="n"/>
    </row>
    <row r="65" ht="15" customHeight="1" s="153">
      <c r="A65" s="156" t="n"/>
      <c r="B65" s="156" t="n"/>
      <c r="C65" s="156" t="n"/>
      <c r="D65" s="156" t="n"/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6" t="n"/>
      <c r="S65" s="156" t="n"/>
      <c r="T65" s="156" t="n"/>
      <c r="U65" s="156" t="n"/>
    </row>
    <row r="66" ht="15" customHeight="1" s="153">
      <c r="A66" s="156" t="n"/>
      <c r="B66" s="156" t="n"/>
      <c r="C66" s="156" t="n"/>
      <c r="D66" s="156" t="n"/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6" t="n"/>
      <c r="U66" s="156" t="n"/>
    </row>
    <row r="67" ht="15" customHeight="1" s="153">
      <c r="A67" s="156" t="n"/>
      <c r="B67" s="156" t="n"/>
      <c r="C67" s="156" t="n"/>
      <c r="D67" s="156" t="n"/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6" t="n"/>
      <c r="S67" s="156" t="n"/>
      <c r="T67" s="156" t="n"/>
      <c r="U67" s="156" t="n"/>
    </row>
    <row r="68" ht="15" customHeight="1" s="153">
      <c r="A68" s="156" t="n"/>
      <c r="B68" s="156" t="n"/>
      <c r="C68" s="156" t="n"/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56" t="n"/>
      <c r="M68" s="156" t="n"/>
      <c r="N68" s="156" t="n"/>
      <c r="O68" s="156" t="n"/>
      <c r="P68" s="156" t="n"/>
      <c r="Q68" s="156" t="n"/>
      <c r="R68" s="156" t="n"/>
      <c r="S68" s="156" t="n"/>
      <c r="T68" s="156" t="n"/>
      <c r="U68" s="156" t="n"/>
    </row>
    <row r="69" ht="15" customHeight="1" s="153">
      <c r="A69" s="156" t="n"/>
      <c r="B69" s="156" t="n"/>
      <c r="C69" s="156" t="n"/>
      <c r="D69" s="156" t="n"/>
      <c r="E69" s="156" t="n"/>
      <c r="F69" s="156" t="n"/>
      <c r="G69" s="156" t="n"/>
      <c r="H69" s="156" t="n"/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</row>
    <row r="70" ht="15" customHeight="1" s="153">
      <c r="A70" s="156" t="n"/>
      <c r="B70" s="156" t="n"/>
      <c r="C70" s="156" t="n"/>
      <c r="D70" s="156" t="n"/>
      <c r="E70" s="156" t="n"/>
      <c r="F70" s="156" t="n"/>
      <c r="G70" s="156" t="n"/>
      <c r="H70" s="156" t="n"/>
      <c r="I70" s="156" t="n"/>
      <c r="J70" s="156" t="n"/>
      <c r="K70" s="156" t="n"/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n"/>
      <c r="U70" s="156" t="n"/>
    </row>
    <row r="71" ht="15" customHeight="1" s="153">
      <c r="A71" s="156" t="n"/>
      <c r="B71" s="156" t="n"/>
      <c r="C71" s="156" t="n"/>
      <c r="D71" s="156" t="n"/>
      <c r="E71" s="156" t="n"/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6" t="n"/>
      <c r="O71" s="156" t="n"/>
      <c r="P71" s="156" t="n"/>
      <c r="Q71" s="156" t="n"/>
      <c r="R71" s="156" t="n"/>
      <c r="S71" s="156" t="n"/>
      <c r="T71" s="156" t="n"/>
      <c r="U71" s="156" t="n"/>
    </row>
    <row r="72" ht="15" customHeight="1" s="153">
      <c r="A72" s="156" t="n"/>
      <c r="B72" s="156" t="n"/>
      <c r="C72" s="156" t="n"/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56" t="n"/>
      <c r="M72" s="156" t="n"/>
      <c r="N72" s="156" t="n"/>
      <c r="O72" s="156" t="n"/>
      <c r="P72" s="156" t="n"/>
      <c r="Q72" s="156" t="n"/>
      <c r="R72" s="156" t="n"/>
      <c r="S72" s="156" t="n"/>
      <c r="T72" s="156" t="n"/>
      <c r="U72" s="156" t="n"/>
    </row>
    <row r="73" ht="15" customHeight="1" s="153">
      <c r="A73" s="156" t="n"/>
      <c r="B73" s="156" t="n"/>
      <c r="C73" s="156" t="n"/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n"/>
      <c r="U73" s="156" t="n"/>
    </row>
    <row r="74" ht="15" customHeight="1" s="153">
      <c r="A74" s="156" t="n"/>
      <c r="B74" s="156" t="n"/>
      <c r="C74" s="156" t="n"/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</row>
    <row r="75" ht="15" customHeight="1" s="153">
      <c r="A75" s="156" t="n"/>
      <c r="B75" s="156" t="n"/>
      <c r="C75" s="156" t="n"/>
      <c r="D75" s="156" t="n"/>
      <c r="E75" s="156" t="n"/>
      <c r="F75" s="156" t="n"/>
      <c r="G75" s="156" t="n"/>
      <c r="H75" s="156" t="n"/>
      <c r="I75" s="156" t="n"/>
      <c r="J75" s="156" t="n"/>
      <c r="K75" s="156" t="n"/>
      <c r="L75" s="156" t="n"/>
      <c r="M75" s="156" t="n"/>
      <c r="N75" s="156" t="n"/>
      <c r="O75" s="156" t="n"/>
      <c r="P75" s="156" t="n"/>
      <c r="Q75" s="156" t="n"/>
      <c r="R75" s="156" t="n"/>
      <c r="S75" s="156" t="n"/>
      <c r="T75" s="156" t="n"/>
      <c r="U75" s="156" t="n"/>
    </row>
    <row r="76" ht="15" customHeight="1" s="153">
      <c r="A76" s="156" t="n"/>
      <c r="B76" s="156" t="n"/>
      <c r="C76" s="156" t="n"/>
      <c r="D76" s="156" t="n"/>
      <c r="E76" s="156" t="n"/>
      <c r="F76" s="156" t="n"/>
      <c r="G76" s="156" t="n"/>
      <c r="H76" s="156" t="n"/>
      <c r="I76" s="156" t="n"/>
      <c r="J76" s="156" t="n"/>
      <c r="K76" s="156" t="n"/>
      <c r="L76" s="156" t="n"/>
      <c r="M76" s="156" t="n"/>
      <c r="N76" s="156" t="n"/>
      <c r="O76" s="156" t="n"/>
      <c r="P76" s="156" t="n"/>
      <c r="Q76" s="156" t="n"/>
      <c r="R76" s="156" t="n"/>
      <c r="S76" s="156" t="n"/>
      <c r="T76" s="156" t="n"/>
      <c r="U76" s="156" t="n"/>
    </row>
    <row r="77" ht="15" customHeight="1" s="153">
      <c r="A77" s="156" t="n"/>
      <c r="B77" s="156" t="n"/>
      <c r="C77" s="156" t="n"/>
      <c r="D77" s="156" t="n"/>
      <c r="E77" s="156" t="n"/>
      <c r="F77" s="156" t="n"/>
      <c r="G77" s="156" t="n"/>
      <c r="H77" s="156" t="n"/>
      <c r="I77" s="156" t="n"/>
      <c r="J77" s="156" t="n"/>
      <c r="K77" s="156" t="n"/>
      <c r="L77" s="156" t="n"/>
      <c r="M77" s="156" t="n"/>
      <c r="N77" s="156" t="n"/>
      <c r="O77" s="156" t="n"/>
      <c r="P77" s="156" t="n"/>
      <c r="Q77" s="156" t="n"/>
      <c r="R77" s="156" t="n"/>
      <c r="S77" s="156" t="n"/>
      <c r="T77" s="156" t="n"/>
      <c r="U77" s="156" t="n"/>
    </row>
    <row r="78" ht="15" customHeight="1" s="153">
      <c r="A78" s="156" t="n"/>
      <c r="B78" s="156" t="n"/>
      <c r="C78" s="156" t="n"/>
      <c r="D78" s="156" t="n"/>
      <c r="E78" s="156" t="n"/>
      <c r="F78" s="156" t="n"/>
      <c r="G78" s="156" t="n"/>
      <c r="H78" s="156" t="n"/>
      <c r="I78" s="156" t="n"/>
      <c r="J78" s="156" t="n"/>
      <c r="K78" s="156" t="n"/>
      <c r="L78" s="156" t="n"/>
      <c r="M78" s="156" t="n"/>
      <c r="N78" s="156" t="n"/>
      <c r="O78" s="156" t="n"/>
      <c r="P78" s="156" t="n"/>
      <c r="Q78" s="156" t="n"/>
      <c r="R78" s="156" t="n"/>
      <c r="S78" s="156" t="n"/>
      <c r="T78" s="156" t="n"/>
      <c r="U78" s="156" t="n"/>
    </row>
    <row r="79" ht="15" customHeight="1" s="153">
      <c r="A79" s="156" t="n"/>
      <c r="B79" s="156" t="n"/>
      <c r="C79" s="156" t="n"/>
      <c r="D79" s="156" t="n"/>
      <c r="E79" s="156" t="n"/>
      <c r="F79" s="156" t="n"/>
      <c r="G79" s="156" t="n"/>
      <c r="H79" s="156" t="n"/>
      <c r="I79" s="156" t="n"/>
      <c r="J79" s="156" t="n"/>
      <c r="K79" s="156" t="n"/>
      <c r="L79" s="156" t="n"/>
      <c r="M79" s="156" t="n"/>
      <c r="N79" s="156" t="n"/>
      <c r="O79" s="156" t="n"/>
      <c r="P79" s="156" t="n"/>
      <c r="Q79" s="156" t="n"/>
      <c r="R79" s="156" t="n"/>
      <c r="S79" s="156" t="n"/>
      <c r="T79" s="156" t="n"/>
      <c r="U79" s="156" t="n"/>
    </row>
  </sheetData>
  <mergeCells count="19">
    <mergeCell ref="J6:L6"/>
    <mergeCell ref="G6:I6"/>
    <mergeCell ref="A24:K24"/>
    <mergeCell ref="M6:O6"/>
    <mergeCell ref="S6:U6"/>
    <mergeCell ref="A2:U2"/>
    <mergeCell ref="A5:C5"/>
    <mergeCell ref="G5:I5"/>
    <mergeCell ref="A8:U8"/>
    <mergeCell ref="A4:U4"/>
    <mergeCell ref="S5:U5"/>
    <mergeCell ref="D5:F5"/>
    <mergeCell ref="P5:R5"/>
    <mergeCell ref="J5:L5"/>
    <mergeCell ref="M5:O5"/>
    <mergeCell ref="A6:C6"/>
    <mergeCell ref="A1:U1"/>
    <mergeCell ref="D6:F6"/>
    <mergeCell ref="P6:R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88888"/>
    <outlinePr summaryBelow="1" summaryRight="1"/>
    <pageSetUpPr fitToPage="0"/>
  </sheetPr>
  <dimension ref="A1:G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52" min="1" max="1"/>
    <col width="30" customWidth="1" style="152" min="2" max="2"/>
    <col width="22" customWidth="1" style="152" min="3" max="3"/>
    <col width="35" customWidth="1" style="152" min="4" max="4"/>
    <col width="8" customWidth="1" style="152" min="5" max="7"/>
  </cols>
  <sheetData>
    <row r="1" ht="37.5" customHeight="1" s="153">
      <c r="A1" s="186" t="inlineStr">
        <is>
          <t>COSTOS — Actualizá aquí cuando cambien los precios</t>
        </is>
      </c>
    </row>
    <row r="2" ht="30" customHeight="1" s="153">
      <c r="A2" s="187" t="inlineStr">
        <is>
          <t>⚠  Cada vez que cambie un costo, agregá una fila nueva con la Fecha Desde. Las ganancias se calculan con el costo vigente a la fecha de cada venta.</t>
        </is>
      </c>
    </row>
    <row r="3" ht="9.75" customHeight="1" s="153">
      <c r="A3" s="156" t="n"/>
      <c r="B3" s="156" t="n"/>
      <c r="C3" s="156" t="n"/>
      <c r="D3" s="156" t="n"/>
      <c r="E3" s="156" t="n"/>
      <c r="F3" s="156" t="n"/>
      <c r="G3" s="156" t="n"/>
    </row>
    <row r="4" ht="25.5" customHeight="1" s="153">
      <c r="A4" s="188" t="inlineStr">
        <is>
          <t xml:space="preserve">  COSTOS VIGENTES ACTUALES</t>
        </is>
      </c>
      <c r="D4" s="156" t="n"/>
      <c r="E4" s="156" t="n"/>
      <c r="F4" s="156" t="n"/>
      <c r="G4" s="156" t="n"/>
    </row>
    <row r="5" ht="24" customHeight="1" s="153">
      <c r="A5" s="189" t="inlineStr">
        <is>
          <t>PRODUCTO</t>
        </is>
      </c>
      <c r="B5" s="189" t="inlineStr">
        <is>
          <t>DESCRIPCION</t>
        </is>
      </c>
      <c r="C5" s="189" t="inlineStr">
        <is>
          <t>COSTO UNITARIO ($)</t>
        </is>
      </c>
      <c r="D5" s="156" t="n"/>
      <c r="E5" s="156" t="n"/>
      <c r="F5" s="156" t="n"/>
      <c r="G5" s="156" t="n"/>
    </row>
    <row r="6" ht="25.5" customHeight="1" s="153">
      <c r="A6" s="190" t="inlineStr">
        <is>
          <t>Garrafa 10</t>
        </is>
      </c>
      <c r="B6" s="191" t="inlineStr">
        <is>
          <t>Garrafa 10kg — Doméstico</t>
        </is>
      </c>
      <c r="C6" s="192" t="n">
        <v>15000</v>
      </c>
      <c r="D6" s="156" t="n"/>
      <c r="E6" s="156" t="n"/>
      <c r="F6" s="156" t="n"/>
      <c r="G6" s="156" t="n"/>
    </row>
    <row r="7" ht="25.5" customHeight="1" s="153">
      <c r="A7" s="193" t="inlineStr">
        <is>
          <t>Garrafa 15</t>
        </is>
      </c>
      <c r="B7" s="194" t="inlineStr">
        <is>
          <t>Garrafa 15kg — Doméstico</t>
        </is>
      </c>
      <c r="C7" s="195" t="n">
        <v>22500</v>
      </c>
      <c r="D7" s="156" t="n"/>
      <c r="E7" s="156" t="n"/>
      <c r="F7" s="156" t="n"/>
      <c r="G7" s="156" t="n"/>
    </row>
    <row r="8" ht="25.5" customHeight="1" s="153">
      <c r="A8" s="190" t="inlineStr">
        <is>
          <t>Garrafa 45</t>
        </is>
      </c>
      <c r="B8" s="191" t="inlineStr">
        <is>
          <t>Garrafa 45kg — Comercial</t>
        </is>
      </c>
      <c r="C8" s="192" t="n">
        <v>60000</v>
      </c>
      <c r="D8" s="156" t="n"/>
      <c r="E8" s="156" t="n"/>
      <c r="F8" s="156" t="n"/>
      <c r="G8" s="156" t="n"/>
    </row>
    <row r="9" ht="25.5" customHeight="1" s="153">
      <c r="A9" s="193" t="inlineStr">
        <is>
          <t>Yerba 500gr</t>
        </is>
      </c>
      <c r="B9" s="194" t="inlineStr">
        <is>
          <t>Yerba 500 gramos</t>
        </is>
      </c>
      <c r="C9" s="195" t="n">
        <v>2300</v>
      </c>
      <c r="D9" s="156" t="n"/>
      <c r="E9" s="156" t="n"/>
      <c r="F9" s="156" t="n"/>
      <c r="G9" s="156" t="n"/>
    </row>
    <row r="10" ht="25.5" customHeight="1" s="153">
      <c r="A10" s="190" t="inlineStr">
        <is>
          <t>Bidón</t>
        </is>
      </c>
      <c r="B10" s="191" t="inlineStr">
        <is>
          <t>Bidón de agua</t>
        </is>
      </c>
      <c r="C10" s="192" t="n">
        <v>850</v>
      </c>
      <c r="D10" s="156" t="n"/>
      <c r="E10" s="156" t="n"/>
      <c r="F10" s="156" t="n"/>
      <c r="G10" s="156" t="n"/>
    </row>
    <row r="11" ht="15" customHeight="1" s="153">
      <c r="A11" s="156" t="n"/>
      <c r="B11" s="156" t="n"/>
      <c r="C11" s="156" t="n"/>
      <c r="D11" s="156" t="n"/>
      <c r="E11" s="156" t="n"/>
      <c r="F11" s="156" t="n"/>
      <c r="G11" s="156" t="n"/>
    </row>
    <row r="12" ht="13.5" customHeight="1" s="153">
      <c r="A12" s="156" t="n"/>
      <c r="B12" s="156" t="n"/>
      <c r="C12" s="156" t="n"/>
      <c r="D12" s="156" t="n"/>
      <c r="E12" s="156" t="n"/>
      <c r="F12" s="156" t="n"/>
      <c r="G12" s="156" t="n"/>
    </row>
    <row r="13" ht="25.5" customHeight="1" s="153">
      <c r="A13" s="196" t="inlineStr">
        <is>
          <t xml:space="preserve">  HISTORIAL DE COSTOS CON VIGENCIA — Agregá una fila nueva cada vez que cambien los precios</t>
        </is>
      </c>
    </row>
    <row r="14" ht="21.75" customHeight="1" s="153">
      <c r="A14" s="189" t="inlineStr">
        <is>
          <t>PRODUCTO</t>
        </is>
      </c>
      <c r="B14" s="189" t="inlineStr">
        <is>
          <t>FECHA DESDE</t>
        </is>
      </c>
      <c r="C14" s="189" t="inlineStr">
        <is>
          <t>COSTO ($)</t>
        </is>
      </c>
      <c r="D14" s="189" t="inlineStr">
        <is>
          <t>NOTAS</t>
        </is>
      </c>
      <c r="E14" s="156" t="n"/>
      <c r="F14" s="156" t="n"/>
      <c r="G14" s="156" t="n"/>
    </row>
    <row r="15" ht="19.5" customHeight="1" s="153">
      <c r="A15" s="191" t="inlineStr">
        <is>
          <t>Garrafa 10</t>
        </is>
      </c>
      <c r="B15" s="197" t="n">
        <v>46023</v>
      </c>
      <c r="C15" s="198" t="n">
        <v>10500</v>
      </c>
      <c r="D15" s="199" t="inlineStr">
        <is>
          <t>Enero-Febrero</t>
        </is>
      </c>
      <c r="E15" s="156" t="n"/>
      <c r="F15" s="156" t="n"/>
      <c r="G15" s="156" t="n"/>
    </row>
    <row r="16" ht="19.5" customHeight="1" s="153">
      <c r="A16" s="194" t="inlineStr">
        <is>
          <t>Garrafa 15</t>
        </is>
      </c>
      <c r="B16" s="200" t="n">
        <v>46023</v>
      </c>
      <c r="C16" s="201" t="n">
        <v>15750</v>
      </c>
      <c r="D16" s="202" t="inlineStr">
        <is>
          <t>Enero-Febrero</t>
        </is>
      </c>
      <c r="E16" s="156" t="n"/>
      <c r="F16" s="156" t="n"/>
      <c r="G16" s="156" t="n"/>
    </row>
    <row r="17" ht="19.5" customHeight="1" s="153">
      <c r="A17" s="191" t="inlineStr">
        <is>
          <t>Garrafa 45</t>
        </is>
      </c>
      <c r="B17" s="197" t="n">
        <v>46023</v>
      </c>
      <c r="C17" s="198" t="n">
        <v>47000</v>
      </c>
      <c r="D17" s="199" t="inlineStr">
        <is>
          <t>Enero-Febrero</t>
        </is>
      </c>
      <c r="E17" s="156" t="n"/>
      <c r="F17" s="156" t="n"/>
      <c r="G17" s="156" t="n"/>
    </row>
    <row r="18" ht="19.5" customHeight="1" s="153">
      <c r="A18" s="194" t="inlineStr">
        <is>
          <t>Yerba 500gr</t>
        </is>
      </c>
      <c r="B18" s="200" t="n">
        <v>46023</v>
      </c>
      <c r="C18" s="201" t="n">
        <v>2325</v>
      </c>
      <c r="D18" s="202" t="inlineStr">
        <is>
          <t>Enero-Febrero</t>
        </is>
      </c>
      <c r="E18" s="156" t="n"/>
      <c r="F18" s="156" t="n"/>
      <c r="G18" s="156" t="n"/>
    </row>
    <row r="19" ht="19.5" customHeight="1" s="153">
      <c r="A19" s="191" t="inlineStr">
        <is>
          <t>Bidón</t>
        </is>
      </c>
      <c r="B19" s="197" t="n">
        <v>46023</v>
      </c>
      <c r="C19" s="198" t="n">
        <v>800</v>
      </c>
      <c r="D19" s="199" t="inlineStr">
        <is>
          <t>Enero-Febrero</t>
        </is>
      </c>
      <c r="E19" s="156" t="n"/>
      <c r="F19" s="156" t="n"/>
      <c r="G19" s="156" t="n"/>
    </row>
    <row r="20" ht="19.5" customHeight="1" s="153">
      <c r="A20" s="194" t="inlineStr">
        <is>
          <t>Garrafa 10</t>
        </is>
      </c>
      <c r="B20" s="200" t="n">
        <v>46082</v>
      </c>
      <c r="C20" s="201" t="n">
        <v>13500</v>
      </c>
      <c r="D20" s="202" t="inlineStr">
        <is>
          <t>Marzo 1-24</t>
        </is>
      </c>
      <c r="E20" s="156" t="n"/>
      <c r="F20" s="156" t="n"/>
      <c r="G20" s="156" t="n"/>
    </row>
    <row r="21" ht="19.5" customHeight="1" s="153">
      <c r="A21" s="191" t="inlineStr">
        <is>
          <t>Garrafa 15</t>
        </is>
      </c>
      <c r="B21" s="197" t="n">
        <v>46082</v>
      </c>
      <c r="C21" s="198" t="n">
        <v>20250</v>
      </c>
      <c r="D21" s="199" t="inlineStr">
        <is>
          <t>Marzo 1-24</t>
        </is>
      </c>
      <c r="E21" s="156" t="n"/>
      <c r="F21" s="156" t="n"/>
      <c r="G21" s="156" t="n"/>
    </row>
    <row r="22" ht="19.5" customHeight="1" s="153">
      <c r="A22" s="194" t="inlineStr">
        <is>
          <t>Garrafa 45</t>
        </is>
      </c>
      <c r="B22" s="200" t="n">
        <v>46082</v>
      </c>
      <c r="C22" s="201" t="n">
        <v>49000</v>
      </c>
      <c r="D22" s="202" t="inlineStr">
        <is>
          <t>Marzo 1-24</t>
        </is>
      </c>
      <c r="E22" s="156" t="n"/>
      <c r="F22" s="156" t="n"/>
      <c r="G22" s="156" t="n"/>
    </row>
    <row r="23" ht="19.5" customHeight="1" s="153">
      <c r="A23" s="191" t="inlineStr">
        <is>
          <t>Yerba 500gr</t>
        </is>
      </c>
      <c r="B23" s="197" t="n">
        <v>46082</v>
      </c>
      <c r="C23" s="198" t="n">
        <v>2300</v>
      </c>
      <c r="D23" s="199" t="inlineStr">
        <is>
          <t>Marzo 1-24</t>
        </is>
      </c>
      <c r="E23" s="156" t="n"/>
      <c r="F23" s="156" t="n"/>
      <c r="G23" s="156" t="n"/>
    </row>
    <row r="24" ht="19.5" customHeight="1" s="153">
      <c r="A24" s="194" t="inlineStr">
        <is>
          <t>Bidón</t>
        </is>
      </c>
      <c r="B24" s="200" t="n">
        <v>46082</v>
      </c>
      <c r="C24" s="201" t="n">
        <v>850</v>
      </c>
      <c r="D24" s="202" t="inlineStr">
        <is>
          <t>Marzo 1-24</t>
        </is>
      </c>
      <c r="E24" s="156" t="n"/>
      <c r="F24" s="156" t="n"/>
      <c r="G24" s="156" t="n"/>
    </row>
    <row r="25" ht="19.5" customHeight="1" s="153">
      <c r="A25" s="203" t="inlineStr">
        <is>
          <t>Garrafa 10</t>
        </is>
      </c>
      <c r="B25" s="204" t="n">
        <v>46106</v>
      </c>
      <c r="C25" s="205" t="n">
        <v>15000</v>
      </c>
      <c r="D25" s="203" t="inlineStr">
        <is>
          <t>Marzo 25+</t>
        </is>
      </c>
      <c r="E25" s="156" t="n"/>
      <c r="F25" s="156" t="n"/>
      <c r="G25" s="156" t="n"/>
    </row>
    <row r="26" ht="19.5" customHeight="1" s="153">
      <c r="A26" s="206" t="inlineStr">
        <is>
          <t>Garrafa 15</t>
        </is>
      </c>
      <c r="B26" s="207" t="n">
        <v>46106</v>
      </c>
      <c r="C26" s="208" t="n">
        <v>22500</v>
      </c>
      <c r="D26" s="206" t="inlineStr">
        <is>
          <t>Marzo 25+</t>
        </is>
      </c>
      <c r="E26" s="156" t="n"/>
      <c r="F26" s="156" t="n"/>
      <c r="G26" s="156" t="n"/>
    </row>
    <row r="27" ht="19.5" customHeight="1" s="153">
      <c r="A27" s="203" t="inlineStr">
        <is>
          <t>Garrafa 45</t>
        </is>
      </c>
      <c r="B27" s="204" t="n">
        <v>46106</v>
      </c>
      <c r="C27" s="205" t="n">
        <v>60000</v>
      </c>
      <c r="D27" s="203" t="inlineStr">
        <is>
          <t>Marzo 25+</t>
        </is>
      </c>
      <c r="E27" s="156" t="n"/>
      <c r="F27" s="156" t="n"/>
      <c r="G27" s="156" t="n"/>
    </row>
    <row r="28" ht="19.5" customHeight="1" s="153">
      <c r="A28" s="206" t="inlineStr">
        <is>
          <t>Yerba 500gr</t>
        </is>
      </c>
      <c r="B28" s="207" t="n">
        <v>46106</v>
      </c>
      <c r="C28" s="208" t="n">
        <v>2300</v>
      </c>
      <c r="D28" s="206" t="inlineStr">
        <is>
          <t>Marzo 25+</t>
        </is>
      </c>
      <c r="E28" s="156" t="n"/>
      <c r="F28" s="156" t="n"/>
      <c r="G28" s="156" t="n"/>
    </row>
    <row r="29" ht="19.5" customHeight="1" s="153">
      <c r="A29" s="203" t="inlineStr">
        <is>
          <t>Bidón</t>
        </is>
      </c>
      <c r="B29" s="204" t="n">
        <v>46106</v>
      </c>
      <c r="C29" s="205" t="n">
        <v>850</v>
      </c>
      <c r="D29" s="203" t="inlineStr">
        <is>
          <t>Marzo 25+</t>
        </is>
      </c>
      <c r="E29" s="156" t="n"/>
      <c r="F29" s="156" t="n"/>
      <c r="G29" s="156" t="n"/>
    </row>
    <row r="30" ht="19.5" customHeight="1" s="153">
      <c r="A30" s="206" t="n"/>
      <c r="B30" s="207" t="n"/>
      <c r="C30" s="208" t="n"/>
      <c r="D30" s="206" t="n"/>
      <c r="E30" s="156" t="n"/>
      <c r="F30" s="156" t="n"/>
      <c r="G30" s="156" t="n"/>
    </row>
    <row r="31" ht="19.5" customHeight="1" s="153">
      <c r="A31" s="203" t="n"/>
      <c r="B31" s="204" t="n"/>
      <c r="C31" s="205" t="n"/>
      <c r="D31" s="203" t="n"/>
      <c r="E31" s="156" t="n"/>
      <c r="F31" s="156" t="n"/>
      <c r="G31" s="156" t="n"/>
    </row>
    <row r="32" ht="19.5" customHeight="1" s="153">
      <c r="A32" s="206" t="n"/>
      <c r="B32" s="207" t="n"/>
      <c r="C32" s="208" t="n"/>
      <c r="D32" s="206" t="n"/>
      <c r="E32" s="156" t="n"/>
      <c r="F32" s="156" t="n"/>
      <c r="G32" s="156" t="n"/>
    </row>
    <row r="33" ht="19.5" customHeight="1" s="153">
      <c r="A33" s="203" t="n"/>
      <c r="B33" s="204" t="n"/>
      <c r="C33" s="205" t="n"/>
      <c r="D33" s="203" t="n"/>
      <c r="E33" s="156" t="n"/>
      <c r="F33" s="156" t="n"/>
      <c r="G33" s="156" t="n"/>
    </row>
    <row r="34" ht="19.5" customHeight="1" s="153">
      <c r="A34" s="206" t="n"/>
      <c r="B34" s="207" t="n"/>
      <c r="C34" s="208" t="n"/>
      <c r="D34" s="206" t="n"/>
      <c r="E34" s="156" t="n"/>
      <c r="F34" s="156" t="n"/>
      <c r="G34" s="156" t="n"/>
    </row>
    <row r="35" ht="19.5" customHeight="1" s="153">
      <c r="A35" s="203" t="n"/>
      <c r="B35" s="204" t="n"/>
      <c r="C35" s="205" t="n"/>
      <c r="D35" s="203" t="n"/>
      <c r="E35" s="156" t="n"/>
      <c r="F35" s="156" t="n"/>
      <c r="G35" s="156" t="n"/>
    </row>
    <row r="36" ht="19.5" customHeight="1" s="153">
      <c r="A36" s="206" t="n"/>
      <c r="B36" s="207" t="n"/>
      <c r="C36" s="208" t="n"/>
      <c r="D36" s="206" t="n"/>
      <c r="E36" s="156" t="n"/>
      <c r="F36" s="156" t="n"/>
      <c r="G36" s="156" t="n"/>
    </row>
    <row r="37" ht="19.5" customHeight="1" s="153">
      <c r="A37" s="203" t="n"/>
      <c r="B37" s="204" t="n"/>
      <c r="C37" s="205" t="n"/>
      <c r="D37" s="203" t="n"/>
      <c r="E37" s="156" t="n"/>
      <c r="F37" s="156" t="n"/>
      <c r="G37" s="156" t="n"/>
    </row>
    <row r="38" ht="19.5" customHeight="1" s="153">
      <c r="A38" s="206" t="n"/>
      <c r="B38" s="207" t="n"/>
      <c r="C38" s="208" t="n"/>
      <c r="D38" s="206" t="n"/>
      <c r="E38" s="156" t="n"/>
      <c r="F38" s="156" t="n"/>
      <c r="G38" s="156" t="n"/>
    </row>
    <row r="39" ht="19.5" customHeight="1" s="153">
      <c r="A39" s="203" t="n"/>
      <c r="B39" s="204" t="n"/>
      <c r="C39" s="205" t="n"/>
      <c r="D39" s="203" t="n"/>
      <c r="E39" s="156" t="n"/>
      <c r="F39" s="156" t="n"/>
      <c r="G39" s="156" t="n"/>
    </row>
    <row r="40" ht="19.5" customHeight="1" s="153">
      <c r="A40" s="206" t="n"/>
      <c r="B40" s="207" t="n"/>
      <c r="C40" s="208" t="n"/>
      <c r="D40" s="206" t="n"/>
      <c r="E40" s="156" t="n"/>
      <c r="F40" s="156" t="n"/>
      <c r="G40" s="156" t="n"/>
    </row>
    <row r="41" ht="19.5" customHeight="1" s="153">
      <c r="A41" s="203" t="n"/>
      <c r="B41" s="204" t="n"/>
      <c r="C41" s="205" t="n"/>
      <c r="D41" s="203" t="n"/>
      <c r="E41" s="156" t="n"/>
      <c r="F41" s="156" t="n"/>
      <c r="G41" s="156" t="n"/>
    </row>
    <row r="42" ht="19.5" customHeight="1" s="153">
      <c r="A42" s="206" t="n"/>
      <c r="B42" s="207" t="n"/>
      <c r="C42" s="208" t="n"/>
      <c r="D42" s="206" t="n"/>
      <c r="E42" s="156" t="n"/>
      <c r="F42" s="156" t="n"/>
      <c r="G42" s="156" t="n"/>
    </row>
    <row r="43" ht="19.5" customHeight="1" s="153">
      <c r="A43" s="203" t="n"/>
      <c r="B43" s="204" t="n"/>
      <c r="C43" s="205" t="n"/>
      <c r="D43" s="203" t="n"/>
      <c r="E43" s="156" t="n"/>
      <c r="F43" s="156" t="n"/>
      <c r="G43" s="156" t="n"/>
    </row>
    <row r="44" ht="19.5" customHeight="1" s="153">
      <c r="A44" s="206" t="n"/>
      <c r="B44" s="207" t="n"/>
      <c r="C44" s="208" t="n"/>
      <c r="D44" s="206" t="n"/>
      <c r="E44" s="156" t="n"/>
      <c r="F44" s="156" t="n"/>
      <c r="G44" s="156" t="n"/>
    </row>
    <row r="45" ht="15" customHeight="1" s="153">
      <c r="A45" s="156" t="n"/>
      <c r="B45" s="156" t="n"/>
      <c r="C45" s="156" t="n"/>
      <c r="D45" s="156" t="n"/>
      <c r="E45" s="156" t="n"/>
      <c r="F45" s="156" t="n"/>
      <c r="G45" s="156" t="n"/>
    </row>
    <row r="46" ht="15" customHeight="1" s="153">
      <c r="A46" s="156" t="n"/>
      <c r="B46" s="156" t="n"/>
      <c r="C46" s="156" t="n"/>
      <c r="D46" s="156" t="n"/>
      <c r="E46" s="156" t="n"/>
      <c r="F46" s="156" t="n"/>
      <c r="G46" s="156" t="n"/>
    </row>
    <row r="47" ht="15" customHeight="1" s="153">
      <c r="A47" s="156" t="n"/>
      <c r="B47" s="156" t="n"/>
      <c r="C47" s="156" t="n"/>
      <c r="D47" s="156" t="n"/>
      <c r="E47" s="156" t="n"/>
      <c r="F47" s="156" t="n"/>
      <c r="G47" s="156" t="n"/>
    </row>
    <row r="48" ht="15" customHeight="1" s="153">
      <c r="A48" s="156" t="n"/>
      <c r="B48" s="156" t="n"/>
      <c r="C48" s="156" t="n"/>
      <c r="D48" s="156" t="n"/>
      <c r="E48" s="156" t="n"/>
      <c r="F48" s="156" t="n"/>
      <c r="G48" s="156" t="n"/>
    </row>
    <row r="49" ht="15" customHeight="1" s="153">
      <c r="A49" s="156" t="n"/>
      <c r="B49" s="156" t="n"/>
      <c r="C49" s="156" t="n"/>
      <c r="D49" s="156" t="n"/>
      <c r="E49" s="156" t="n"/>
      <c r="F49" s="156" t="n"/>
      <c r="G49" s="156" t="n"/>
    </row>
    <row r="50" ht="15" customHeight="1" s="153">
      <c r="A50" s="156" t="n"/>
      <c r="B50" s="156" t="n"/>
      <c r="C50" s="156" t="n"/>
      <c r="D50" s="156" t="n"/>
      <c r="E50" s="156" t="n"/>
      <c r="F50" s="156" t="n"/>
      <c r="G50" s="156" t="n"/>
    </row>
    <row r="51" ht="15" customHeight="1" s="153">
      <c r="A51" s="156" t="n"/>
      <c r="B51" s="156" t="n"/>
      <c r="C51" s="156" t="n"/>
      <c r="D51" s="156" t="n"/>
      <c r="E51" s="156" t="n"/>
      <c r="F51" s="156" t="n"/>
      <c r="G51" s="156" t="n"/>
    </row>
    <row r="52" ht="15" customHeight="1" s="153">
      <c r="A52" s="156" t="n"/>
      <c r="B52" s="156" t="n"/>
      <c r="C52" s="156" t="n"/>
      <c r="D52" s="156" t="n"/>
      <c r="E52" s="156" t="n"/>
      <c r="F52" s="156" t="n"/>
      <c r="G52" s="156" t="n"/>
    </row>
    <row r="53" ht="15" customHeight="1" s="153">
      <c r="A53" s="156" t="n"/>
      <c r="B53" s="156" t="n"/>
      <c r="C53" s="156" t="n"/>
      <c r="D53" s="156" t="n"/>
      <c r="E53" s="156" t="n"/>
      <c r="F53" s="156" t="n"/>
      <c r="G53" s="156" t="n"/>
    </row>
    <row r="54" ht="15" customHeight="1" s="153">
      <c r="A54" s="156" t="n"/>
      <c r="B54" s="156" t="n"/>
      <c r="C54" s="156" t="n"/>
      <c r="D54" s="156" t="n"/>
      <c r="E54" s="156" t="n"/>
      <c r="F54" s="156" t="n"/>
      <c r="G54" s="156" t="n"/>
    </row>
    <row r="55" ht="15" customHeight="1" s="153">
      <c r="A55" s="156" t="n"/>
      <c r="B55" s="156" t="n"/>
      <c r="C55" s="156" t="n"/>
      <c r="D55" s="156" t="n"/>
      <c r="E55" s="156" t="n"/>
      <c r="F55" s="156" t="n"/>
      <c r="G55" s="156" t="n"/>
    </row>
    <row r="56" ht="15" customHeight="1" s="153">
      <c r="A56" s="156" t="n"/>
      <c r="B56" s="156" t="n"/>
      <c r="C56" s="156" t="n"/>
      <c r="D56" s="156" t="n"/>
      <c r="E56" s="156" t="n"/>
      <c r="F56" s="156" t="n"/>
      <c r="G56" s="156" t="n"/>
    </row>
    <row r="57" ht="15" customHeight="1" s="153">
      <c r="A57" s="156" t="n"/>
      <c r="B57" s="156" t="n"/>
      <c r="C57" s="156" t="n"/>
      <c r="D57" s="156" t="n"/>
      <c r="E57" s="156" t="n"/>
      <c r="F57" s="156" t="n"/>
      <c r="G57" s="156" t="n"/>
    </row>
    <row r="58" ht="15" customHeight="1" s="153">
      <c r="A58" s="156" t="n"/>
      <c r="B58" s="156" t="n"/>
      <c r="C58" s="156" t="n"/>
      <c r="D58" s="156" t="n"/>
      <c r="E58" s="156" t="n"/>
      <c r="F58" s="156" t="n"/>
      <c r="G58" s="156" t="n"/>
    </row>
    <row r="59" ht="15" customHeight="1" s="153">
      <c r="A59" s="156" t="n"/>
      <c r="B59" s="156" t="n"/>
      <c r="C59" s="156" t="n"/>
      <c r="D59" s="156" t="n"/>
      <c r="E59" s="156" t="n"/>
      <c r="F59" s="156" t="n"/>
      <c r="G59" s="156" t="n"/>
    </row>
  </sheetData>
  <mergeCells count="4">
    <mergeCell ref="A4:C4"/>
    <mergeCell ref="A2:G2"/>
    <mergeCell ref="A1:G1"/>
    <mergeCell ref="A13:G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V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  <col width="5" customWidth="1" style="152" min="17" max="17"/>
    <col width="28" customWidth="1" style="152" min="18" max="18"/>
    <col width="14" customWidth="1" style="152" min="19" max="20"/>
    <col width="8" customWidth="1" style="152" min="21" max="21"/>
    <col width="13" customWidth="1" style="152" min="22" max="22"/>
  </cols>
  <sheetData>
    <row r="1" ht="37.5" customHeight="1" s="153">
      <c r="A1" s="209" t="inlineStr">
        <is>
          <t>VENTAS — ENERO 2026</t>
        </is>
      </c>
      <c r="L1" s="156" t="n"/>
      <c r="M1" s="156" t="n"/>
      <c r="N1" s="156" t="n"/>
      <c r="O1" s="156" t="n"/>
      <c r="Q1" s="210" t="inlineStr">
        <is>
          <t>🏆  RANKING ENERO</t>
        </is>
      </c>
      <c r="R1" s="211" t="n"/>
      <c r="S1" s="211" t="n"/>
      <c r="T1" s="211" t="n"/>
      <c r="U1" s="211" t="n"/>
      <c r="V1" s="211" t="n"/>
    </row>
    <row r="2" ht="21.7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  <c r="Q2" s="213" t="inlineStr">
        <is>
          <t>#</t>
        </is>
      </c>
      <c r="R2" s="213" t="inlineStr">
        <is>
          <t>Cliente</t>
        </is>
      </c>
      <c r="S2" s="213" t="inlineStr">
        <is>
          <t>Facturado</t>
        </is>
      </c>
      <c r="T2" s="213" t="inlineStr">
        <is>
          <t>Ganancia</t>
        </is>
      </c>
      <c r="U2" s="213" t="inlineStr">
        <is>
          <t>Pedidos</t>
        </is>
      </c>
      <c r="V2" s="213" t="inlineStr">
        <is>
          <t>Últ. compra</t>
        </is>
      </c>
    </row>
    <row r="3" ht="15.7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Q3" s="214" t="inlineStr">
        <is>
          <t>🥇</t>
        </is>
      </c>
      <c r="R3" s="215" t="inlineStr">
        <is>
          <t>AZCUENAGA 5023</t>
        </is>
      </c>
      <c r="S3" s="216" t="n">
        <v>551500</v>
      </c>
      <c r="T3" s="217" t="n">
        <v>-26000</v>
      </c>
      <c r="U3" s="218" t="n">
        <v>9</v>
      </c>
      <c r="V3" s="219" t="inlineStr">
        <is>
          <t>20/04/2026</t>
        </is>
      </c>
    </row>
    <row r="4" ht="15.7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ENERO</t>
        </is>
      </c>
      <c r="Q4" s="221" t="inlineStr">
        <is>
          <t>🥈</t>
        </is>
      </c>
      <c r="R4" s="222" t="inlineStr">
        <is>
          <t>PANA GENESIO</t>
        </is>
      </c>
      <c r="S4" s="223" t="n">
        <v>520500</v>
      </c>
      <c r="T4" s="224" t="n">
        <v>70500</v>
      </c>
      <c r="U4" s="225" t="n">
        <v>7</v>
      </c>
      <c r="V4" s="226" t="inlineStr">
        <is>
          <t>09/03/2026</t>
        </is>
      </c>
    </row>
    <row r="5" ht="15.75" customHeight="1" s="153">
      <c r="A5" s="227" t="n">
        <v>46023</v>
      </c>
      <c r="B5" s="228" t="inlineStr">
        <is>
          <t>LOS PORKI</t>
        </is>
      </c>
      <c r="C5" s="229" t="n"/>
      <c r="D5" s="229" t="n"/>
      <c r="E5" s="229" t="n">
        <v>1</v>
      </c>
      <c r="F5" s="230" t="n"/>
      <c r="G5" s="230" t="n"/>
      <c r="H5" s="231" t="n">
        <v>69000</v>
      </c>
      <c r="I5" s="232" t="n"/>
      <c r="J5" s="232" t="n">
        <v>69000</v>
      </c>
      <c r="K5" s="233" t="n"/>
      <c r="L5" s="233">
        <f>IF(K5&lt;&gt;"",22000+K5,22000)</f>
        <v/>
      </c>
      <c r="M5" s="156" t="n"/>
      <c r="N5" s="234" t="inlineStr">
        <is>
          <t>TOTAL 10</t>
        </is>
      </c>
      <c r="O5" s="235">
        <f>IFERROR(SUM(C5:C700),0)</f>
        <v/>
      </c>
      <c r="Q5" s="214" t="inlineStr">
        <is>
          <t>🥉</t>
        </is>
      </c>
      <c r="R5" s="215" t="inlineStr">
        <is>
          <t>FILOMENA</t>
        </is>
      </c>
      <c r="S5" s="216" t="n">
        <v>468000</v>
      </c>
      <c r="T5" s="236" t="n">
        <v>78000</v>
      </c>
      <c r="U5" s="218" t="n">
        <v>16</v>
      </c>
      <c r="V5" s="219" t="inlineStr">
        <is>
          <t>20/04/2026</t>
        </is>
      </c>
    </row>
    <row r="6" ht="15.75" customHeight="1" s="153">
      <c r="A6" s="237" t="n"/>
      <c r="B6" s="238" t="inlineStr">
        <is>
          <t>PANA GENESIO</t>
        </is>
      </c>
      <c r="C6" s="239" t="n">
        <v>1</v>
      </c>
      <c r="D6" s="239" t="n"/>
      <c r="E6" s="239" t="n">
        <v>1</v>
      </c>
      <c r="F6" s="240" t="n"/>
      <c r="G6" s="240" t="n"/>
      <c r="H6" s="241" t="n">
        <v>88500</v>
      </c>
      <c r="I6" s="242" t="n"/>
      <c r="J6" s="242" t="n">
        <v>88500</v>
      </c>
      <c r="K6" s="233" t="n"/>
      <c r="L6" s="233">
        <f>IF(K6&lt;&gt;"",31000+K6,31000)</f>
        <v/>
      </c>
      <c r="M6" s="156" t="n"/>
      <c r="N6" s="234" t="inlineStr">
        <is>
          <t>TOTAL 15</t>
        </is>
      </c>
      <c r="O6" s="235">
        <f>IFERROR(SUM(D5:D700),0)</f>
        <v/>
      </c>
      <c r="Q6" s="221" t="inlineStr">
        <is>
          <t>4</t>
        </is>
      </c>
      <c r="R6" s="222" t="inlineStr">
        <is>
          <t>OTNIEL</t>
        </is>
      </c>
      <c r="S6" s="223" t="n">
        <v>423400</v>
      </c>
      <c r="T6" s="224" t="n">
        <v>105700</v>
      </c>
      <c r="U6" s="225" t="n">
        <v>10</v>
      </c>
      <c r="V6" s="226" t="inlineStr">
        <is>
          <t>16/04/2026</t>
        </is>
      </c>
    </row>
    <row r="7" ht="15.75" customHeight="1" s="153">
      <c r="A7" s="227" t="n"/>
      <c r="B7" s="228" t="inlineStr">
        <is>
          <t>TACUARI 5717</t>
        </is>
      </c>
      <c r="C7" s="229" t="n">
        <v>1</v>
      </c>
      <c r="D7" s="229" t="n"/>
      <c r="E7" s="229" t="n"/>
      <c r="F7" s="230" t="n"/>
      <c r="G7" s="230" t="n"/>
      <c r="H7" s="231" t="n">
        <v>19500</v>
      </c>
      <c r="I7" s="232" t="n"/>
      <c r="J7" s="232" t="n">
        <v>19500</v>
      </c>
      <c r="K7" s="233" t="n"/>
      <c r="L7" s="233">
        <f>IF(K7&lt;&gt;"",9000+K7,9000)</f>
        <v/>
      </c>
      <c r="M7" s="156" t="n"/>
      <c r="N7" s="234" t="inlineStr">
        <is>
          <t>TOTAL 45</t>
        </is>
      </c>
      <c r="O7" s="235">
        <f>IFERROR(SUM(E5:E700),0)</f>
        <v/>
      </c>
      <c r="Q7" s="214" t="inlineStr">
        <is>
          <t>5</t>
        </is>
      </c>
      <c r="R7" s="215" t="inlineStr">
        <is>
          <t>CAREN</t>
        </is>
      </c>
      <c r="S7" s="216" t="n">
        <v>414000</v>
      </c>
      <c r="T7" s="236" t="n">
        <v>54000</v>
      </c>
      <c r="U7" s="218" t="n">
        <v>6</v>
      </c>
      <c r="V7" s="219" t="inlineStr">
        <is>
          <t>20/04/2026</t>
        </is>
      </c>
    </row>
    <row r="8" ht="15.75" customHeight="1" s="153">
      <c r="A8" s="237" t="n">
        <v>46024</v>
      </c>
      <c r="B8" s="238" t="inlineStr">
        <is>
          <t>PANA VIEYTES</t>
        </is>
      </c>
      <c r="C8" s="239" t="n"/>
      <c r="D8" s="239" t="n"/>
      <c r="E8" s="239" t="n">
        <v>1</v>
      </c>
      <c r="F8" s="240" t="n"/>
      <c r="G8" s="240" t="n"/>
      <c r="H8" s="241" t="n">
        <v>65000</v>
      </c>
      <c r="I8" s="242" t="n">
        <v>65000</v>
      </c>
      <c r="J8" s="242" t="n"/>
      <c r="K8" s="233" t="n"/>
      <c r="L8" s="233">
        <f>IF(K8&lt;&gt;"",18000+K8,18000)</f>
        <v/>
      </c>
      <c r="M8" s="156" t="n"/>
      <c r="N8" s="234" t="inlineStr">
        <is>
          <t>TOTAL YERBA</t>
        </is>
      </c>
      <c r="O8" s="235">
        <f>IFERROR(SUM(F5:F700),0)</f>
        <v/>
      </c>
      <c r="Q8" s="221" t="inlineStr">
        <is>
          <t>6</t>
        </is>
      </c>
      <c r="R8" s="222" t="inlineStr">
        <is>
          <t>EXE</t>
        </is>
      </c>
      <c r="S8" s="223" t="n">
        <v>414000</v>
      </c>
      <c r="T8" s="224" t="n">
        <v>54000</v>
      </c>
      <c r="U8" s="225" t="n">
        <v>6</v>
      </c>
      <c r="V8" s="226" t="inlineStr">
        <is>
          <t>19/04/2026</t>
        </is>
      </c>
    </row>
    <row r="9" ht="15.75" customHeight="1" s="153">
      <c r="A9" s="227" t="n"/>
      <c r="B9" s="228" t="inlineStr">
        <is>
          <t>CAREN</t>
        </is>
      </c>
      <c r="C9" s="229" t="n"/>
      <c r="D9" s="229" t="n"/>
      <c r="E9" s="229" t="n">
        <v>1</v>
      </c>
      <c r="F9" s="230" t="n"/>
      <c r="G9" s="230" t="n"/>
      <c r="H9" s="231" t="n">
        <v>69000</v>
      </c>
      <c r="I9" s="232" t="n"/>
      <c r="J9" s="232" t="n">
        <v>69000</v>
      </c>
      <c r="K9" s="233" t="n"/>
      <c r="L9" s="233">
        <f>IF(K9&lt;&gt;"",22000+K9,22000)</f>
        <v/>
      </c>
      <c r="M9" s="156" t="n"/>
      <c r="N9" s="234" t="inlineStr">
        <is>
          <t>TOTAL AGUA</t>
        </is>
      </c>
      <c r="O9" s="235">
        <f>IFERROR(SUM(G5:G700),0)</f>
        <v/>
      </c>
      <c r="Q9" s="214" t="inlineStr">
        <is>
          <t>7</t>
        </is>
      </c>
      <c r="R9" s="215" t="inlineStr">
        <is>
          <t>SABOREAR</t>
        </is>
      </c>
      <c r="S9" s="216" t="n">
        <v>329000</v>
      </c>
      <c r="T9" s="236" t="n">
        <v>51500</v>
      </c>
      <c r="U9" s="218" t="n">
        <v>8</v>
      </c>
      <c r="V9" s="219" t="inlineStr">
        <is>
          <t>22/04/2026</t>
        </is>
      </c>
    </row>
    <row r="10" ht="15.75" customHeight="1" s="153">
      <c r="A10" s="237" t="n"/>
      <c r="B10" s="238" t="inlineStr">
        <is>
          <t>EXE</t>
        </is>
      </c>
      <c r="C10" s="239" t="n"/>
      <c r="D10" s="239" t="n"/>
      <c r="E10" s="239" t="n">
        <v>1</v>
      </c>
      <c r="F10" s="240" t="n"/>
      <c r="G10" s="240" t="n"/>
      <c r="H10" s="241" t="n">
        <v>69000</v>
      </c>
      <c r="I10" s="242" t="n"/>
      <c r="J10" s="242" t="n">
        <v>69000</v>
      </c>
      <c r="K10" s="233" t="n"/>
      <c r="L10" s="233">
        <f>IF(K10&lt;&gt;"",22000+K10,22000)</f>
        <v/>
      </c>
      <c r="M10" s="156" t="n"/>
      <c r="N10" s="243" t="n"/>
      <c r="O10" s="244" t="n"/>
      <c r="Q10" s="221" t="inlineStr">
        <is>
          <t>8</t>
        </is>
      </c>
      <c r="R10" s="222" t="inlineStr">
        <is>
          <t>LUCHO</t>
        </is>
      </c>
      <c r="S10" s="223" t="n">
        <v>316300</v>
      </c>
      <c r="T10" s="245" t="n">
        <v>-7900</v>
      </c>
      <c r="U10" s="225" t="n">
        <v>13</v>
      </c>
      <c r="V10" s="226" t="inlineStr">
        <is>
          <t>20/04/2026</t>
        </is>
      </c>
    </row>
    <row r="11" ht="15.75" customHeight="1" s="153">
      <c r="A11" s="227" t="n"/>
      <c r="B11" s="228" t="inlineStr">
        <is>
          <t>GARMENDIA 9250</t>
        </is>
      </c>
      <c r="C11" s="229" t="n"/>
      <c r="D11" s="229" t="n"/>
      <c r="E11" s="229" t="n"/>
      <c r="F11" s="230" t="n"/>
      <c r="G11" s="230" t="n">
        <v>2</v>
      </c>
      <c r="H11" s="231" t="n">
        <v>9600</v>
      </c>
      <c r="I11" s="232" t="n"/>
      <c r="J11" s="232" t="n">
        <v>9600</v>
      </c>
      <c r="K11" s="233" t="n"/>
      <c r="L11" s="233">
        <f>IF(K11&lt;&gt;"",8000+K11,8000)</f>
        <v/>
      </c>
      <c r="M11" s="156" t="n"/>
      <c r="N11" s="246" t="inlineStr">
        <is>
          <t>FACTURACIÓN</t>
        </is>
      </c>
      <c r="O11" s="247">
        <f>IFERROR(SUM(H5:H700),0)</f>
        <v/>
      </c>
      <c r="Q11" s="214" t="inlineStr">
        <is>
          <t>9</t>
        </is>
      </c>
      <c r="R11" s="215" t="inlineStr">
        <is>
          <t>GOLD BURGUER</t>
        </is>
      </c>
      <c r="S11" s="216" t="n">
        <v>316000</v>
      </c>
      <c r="T11" s="236" t="n">
        <v>76000</v>
      </c>
      <c r="U11" s="218" t="n">
        <v>2</v>
      </c>
      <c r="V11" s="219" t="inlineStr">
        <is>
          <t>20/02/2026</t>
        </is>
      </c>
    </row>
    <row r="12" ht="15.75" customHeight="1" s="153">
      <c r="A12" s="237" t="n"/>
      <c r="B12" s="238" t="inlineStr">
        <is>
          <t>DUSSO 6638</t>
        </is>
      </c>
      <c r="C12" s="239" t="n"/>
      <c r="D12" s="239" t="n"/>
      <c r="E12" s="239" t="n">
        <v>1</v>
      </c>
      <c r="F12" s="240" t="n"/>
      <c r="G12" s="240" t="n"/>
      <c r="H12" s="241" t="n">
        <v>65000</v>
      </c>
      <c r="I12" s="242" t="n">
        <v>65000</v>
      </c>
      <c r="J12" s="242" t="n"/>
      <c r="K12" s="233" t="n"/>
      <c r="L12" s="233">
        <f>IF(K12&lt;&gt;"",18000+K12,18000)</f>
        <v/>
      </c>
      <c r="M12" s="156" t="n"/>
      <c r="N12" s="246" t="inlineStr">
        <is>
          <t>GANANCIA</t>
        </is>
      </c>
      <c r="O12" s="247">
        <f>IFERROR(SUM(L5:L700),0)</f>
        <v/>
      </c>
      <c r="Q12" s="221" t="inlineStr">
        <is>
          <t>10</t>
        </is>
      </c>
      <c r="R12" s="222" t="inlineStr">
        <is>
          <t>PANA ALBERTI</t>
        </is>
      </c>
      <c r="S12" s="223" t="n">
        <v>298000</v>
      </c>
      <c r="T12" s="224" t="n">
        <v>43000</v>
      </c>
      <c r="U12" s="225" t="n">
        <v>4</v>
      </c>
      <c r="V12" s="226" t="inlineStr">
        <is>
          <t>22/04/2026</t>
        </is>
      </c>
    </row>
    <row r="13" ht="15.75" customHeight="1" s="153">
      <c r="A13" s="227" t="n">
        <v>46025</v>
      </c>
      <c r="B13" s="228" t="inlineStr">
        <is>
          <t>FACU DONA</t>
        </is>
      </c>
      <c r="C13" s="229" t="n">
        <v>1</v>
      </c>
      <c r="D13" s="229" t="n"/>
      <c r="E13" s="229" t="n"/>
      <c r="F13" s="230" t="n"/>
      <c r="G13" s="230" t="n"/>
      <c r="H13" s="231" t="n">
        <v>13500</v>
      </c>
      <c r="I13" s="232" t="n">
        <v>13500</v>
      </c>
      <c r="J13" s="232" t="n"/>
      <c r="K13" s="233" t="n"/>
      <c r="L13" s="233">
        <f>IF(K13&lt;&gt;"",3000+K13,3000)</f>
        <v/>
      </c>
      <c r="M13" s="156" t="n"/>
      <c r="N13" s="246" t="inlineStr">
        <is>
          <t>% GANANCIA</t>
        </is>
      </c>
      <c r="O13" s="248">
        <f>IFERROR(SUM(L5:L700)/SUM(H5:H700),0)</f>
        <v/>
      </c>
      <c r="Q13" s="214" t="inlineStr">
        <is>
          <t>11</t>
        </is>
      </c>
      <c r="R13" s="215" t="inlineStr">
        <is>
          <t>BRASERIA</t>
        </is>
      </c>
      <c r="S13" s="216" t="n">
        <v>282000</v>
      </c>
      <c r="T13" s="236" t="n">
        <v>42000</v>
      </c>
      <c r="U13" s="218" t="n">
        <v>4</v>
      </c>
      <c r="V13" s="219" t="inlineStr">
        <is>
          <t>18/04/2026</t>
        </is>
      </c>
    </row>
    <row r="14" ht="15.75" customHeight="1" s="153">
      <c r="A14" s="237" t="n"/>
      <c r="B14" s="238" t="inlineStr">
        <is>
          <t>VICTO CAPE DRUGSTORE</t>
        </is>
      </c>
      <c r="C14" s="239" t="n">
        <v>1</v>
      </c>
      <c r="D14" s="239" t="n"/>
      <c r="E14" s="239" t="n"/>
      <c r="F14" s="240" t="n"/>
      <c r="G14" s="240" t="n"/>
      <c r="H14" s="241" t="n">
        <v>19500</v>
      </c>
      <c r="I14" s="242" t="n"/>
      <c r="J14" s="242" t="n">
        <v>19500</v>
      </c>
      <c r="K14" s="233" t="n"/>
      <c r="L14" s="233">
        <f>IF(K14&lt;&gt;"",9000+K14,9000)</f>
        <v/>
      </c>
      <c r="M14" s="156" t="n"/>
      <c r="N14" s="243" t="n"/>
      <c r="O14" s="244" t="n"/>
      <c r="Q14" s="221" t="inlineStr">
        <is>
          <t>12</t>
        </is>
      </c>
      <c r="R14" s="222" t="inlineStr">
        <is>
          <t>RIO NEGRO 6558</t>
        </is>
      </c>
      <c r="S14" s="223" t="n">
        <v>270000</v>
      </c>
      <c r="T14" s="224" t="n">
        <v>210000</v>
      </c>
      <c r="U14" s="225" t="n">
        <v>1</v>
      </c>
      <c r="V14" s="226" t="inlineStr">
        <is>
          <t>13/02/2026</t>
        </is>
      </c>
    </row>
    <row r="15" ht="15.75" customHeight="1" s="153">
      <c r="A15" s="227" t="n"/>
      <c r="B15" s="228" t="inlineStr">
        <is>
          <t>LUCHO</t>
        </is>
      </c>
      <c r="C15" s="229" t="n">
        <v>1</v>
      </c>
      <c r="D15" s="229" t="n"/>
      <c r="E15" s="229" t="n"/>
      <c r="F15" s="230" t="n"/>
      <c r="G15" s="230" t="n"/>
      <c r="H15" s="231" t="n">
        <v>13000</v>
      </c>
      <c r="I15" s="232" t="n">
        <v>13000</v>
      </c>
      <c r="J15" s="232" t="n"/>
      <c r="K15" s="233" t="n"/>
      <c r="L15" s="233">
        <f>IF(K15&lt;&gt;"",2500+K15,2500)</f>
        <v/>
      </c>
      <c r="M15" s="156" t="n"/>
      <c r="N15" s="234" t="inlineStr">
        <is>
          <t>EFECTIVO</t>
        </is>
      </c>
      <c r="O15" s="249">
        <f>IFERROR(SUM(I5:I700),0)</f>
        <v/>
      </c>
      <c r="Q15" s="214" t="inlineStr">
        <is>
          <t>13</t>
        </is>
      </c>
      <c r="R15" s="215" t="inlineStr">
        <is>
          <t>GOLD COSTA ESTE</t>
        </is>
      </c>
      <c r="S15" s="216" t="n">
        <v>231000</v>
      </c>
      <c r="T15" s="236" t="n">
        <v>51000</v>
      </c>
      <c r="U15" s="218" t="n">
        <v>1</v>
      </c>
      <c r="V15" s="219" t="inlineStr">
        <is>
          <t>06/01/2026</t>
        </is>
      </c>
    </row>
    <row r="16" ht="15.75" customHeight="1" s="153">
      <c r="A16" s="237" t="n"/>
      <c r="B16" s="238" t="inlineStr">
        <is>
          <t>BONEO 5315</t>
        </is>
      </c>
      <c r="C16" s="239" t="n">
        <v>2</v>
      </c>
      <c r="D16" s="239" t="n"/>
      <c r="E16" s="239" t="n"/>
      <c r="F16" s="240" t="n"/>
      <c r="G16" s="240" t="n"/>
      <c r="H16" s="241" t="n">
        <v>41000</v>
      </c>
      <c r="I16" s="242" t="n"/>
      <c r="J16" s="242" t="n">
        <v>41000</v>
      </c>
      <c r="K16" s="233" t="n"/>
      <c r="L16" s="233">
        <f>IF(K16&lt;&gt;"",20000+K16,20000)</f>
        <v/>
      </c>
      <c r="M16" s="156" t="n"/>
      <c r="N16" s="234" t="inlineStr">
        <is>
          <t>TRANSFERENCIA</t>
        </is>
      </c>
      <c r="O16" s="249">
        <f>IFERROR(SUM(J5:J700),0)</f>
        <v/>
      </c>
      <c r="Q16" s="221" t="inlineStr">
        <is>
          <t>14</t>
        </is>
      </c>
      <c r="R16" s="222" t="inlineStr">
        <is>
          <t>PANA VIEYTES 4500</t>
        </is>
      </c>
      <c r="S16" s="223" t="n">
        <v>214000</v>
      </c>
      <c r="T16" s="224" t="n">
        <v>19000</v>
      </c>
      <c r="U16" s="225" t="n">
        <v>3</v>
      </c>
      <c r="V16" s="226" t="inlineStr">
        <is>
          <t>16/04/2026</t>
        </is>
      </c>
    </row>
    <row r="17" ht="15.75" customHeight="1" s="153">
      <c r="A17" s="227" t="n"/>
      <c r="B17" s="228" t="inlineStr">
        <is>
          <t>OTNIEL</t>
        </is>
      </c>
      <c r="C17" s="229" t="n"/>
      <c r="D17" s="229" t="n"/>
      <c r="E17" s="229" t="n">
        <v>1</v>
      </c>
      <c r="F17" s="230" t="n"/>
      <c r="G17" s="230" t="n"/>
      <c r="H17" s="231" t="n">
        <v>69000</v>
      </c>
      <c r="I17" s="232" t="n"/>
      <c r="J17" s="232" t="n">
        <v>69000</v>
      </c>
      <c r="K17" s="233" t="n"/>
      <c r="L17" s="233">
        <f>IF(K17&lt;&gt;"",22000+K17,22000)</f>
        <v/>
      </c>
      <c r="M17" s="156" t="n"/>
      <c r="N17" s="243" t="n"/>
      <c r="O17" s="244" t="n"/>
      <c r="Q17" s="214" t="inlineStr">
        <is>
          <t>15</t>
        </is>
      </c>
      <c r="R17" s="215" t="inlineStr">
        <is>
          <t>9 DE JULIO 1144 BAR</t>
        </is>
      </c>
      <c r="S17" s="216" t="n">
        <v>152000</v>
      </c>
      <c r="T17" s="236" t="n">
        <v>32000</v>
      </c>
      <c r="U17" s="218" t="n">
        <v>1</v>
      </c>
      <c r="V17" s="219" t="inlineStr">
        <is>
          <t>20/01/2026</t>
        </is>
      </c>
    </row>
    <row r="18" ht="15.75" customHeight="1" s="153">
      <c r="A18" s="237" t="n"/>
      <c r="B18" s="238" t="inlineStr">
        <is>
          <t>ARISTOBULO 5879</t>
        </is>
      </c>
      <c r="C18" s="239" t="n"/>
      <c r="D18" s="239" t="n">
        <v>1</v>
      </c>
      <c r="E18" s="239" t="n"/>
      <c r="F18" s="240" t="n"/>
      <c r="G18" s="240" t="n"/>
      <c r="H18" s="241" t="n">
        <v>34500</v>
      </c>
      <c r="I18" s="242" t="n">
        <v>34500</v>
      </c>
      <c r="J18" s="242" t="n"/>
      <c r="K18" s="233" t="n"/>
      <c r="L18" s="233">
        <f>IF(K18&lt;&gt;"",18750+K18,18750)</f>
        <v/>
      </c>
      <c r="M18" s="156" t="n"/>
      <c r="N18" s="234" t="inlineStr">
        <is>
          <t>Nº VENTAS</t>
        </is>
      </c>
      <c r="O18" s="250">
        <f>IFERROR(COUNTA(B5:B700),0)</f>
        <v/>
      </c>
      <c r="Q18" s="221" t="inlineStr">
        <is>
          <t>16</t>
        </is>
      </c>
      <c r="R18" s="222" t="inlineStr">
        <is>
          <t>SANDRA</t>
        </is>
      </c>
      <c r="S18" s="223" t="n">
        <v>149000</v>
      </c>
      <c r="T18" s="224" t="n">
        <v>3950</v>
      </c>
      <c r="U18" s="225" t="n">
        <v>6</v>
      </c>
      <c r="V18" s="226" t="inlineStr">
        <is>
          <t>16/04/2026</t>
        </is>
      </c>
    </row>
    <row r="19" ht="15.75" customHeight="1" s="153">
      <c r="A19" s="227" t="n"/>
      <c r="B19" s="228" t="inlineStr">
        <is>
          <t>SABOREAR</t>
        </is>
      </c>
      <c r="C19" s="229" t="n">
        <v>1</v>
      </c>
      <c r="D19" s="229" t="n"/>
      <c r="E19" s="229" t="n"/>
      <c r="F19" s="230" t="n"/>
      <c r="G19" s="230" t="n"/>
      <c r="H19" s="231" t="n">
        <v>18000</v>
      </c>
      <c r="I19" s="232" t="n"/>
      <c r="J19" s="232" t="n">
        <v>18000</v>
      </c>
      <c r="K19" s="233" t="n"/>
      <c r="L19" s="233">
        <f>IF(K19&lt;&gt;"",7500+K19,7500)</f>
        <v/>
      </c>
      <c r="M19" s="156" t="n"/>
      <c r="N19" s="234" t="inlineStr">
        <is>
          <t>DÍAS DEL MES</t>
        </is>
      </c>
      <c r="O19" s="250" t="n">
        <v>31</v>
      </c>
      <c r="Q19" s="214" t="inlineStr">
        <is>
          <t>17</t>
        </is>
      </c>
      <c r="R19" s="215" t="inlineStr">
        <is>
          <t>PAULO</t>
        </is>
      </c>
      <c r="S19" s="216" t="n">
        <v>146500</v>
      </c>
      <c r="T19" s="217" t="n">
        <v>-11000</v>
      </c>
      <c r="U19" s="218" t="n">
        <v>4</v>
      </c>
      <c r="V19" s="219" t="inlineStr">
        <is>
          <t>13/04/2026</t>
        </is>
      </c>
    </row>
    <row r="20" ht="15.75" customHeight="1" s="153">
      <c r="A20" s="237" t="n"/>
      <c r="B20" s="238" t="inlineStr">
        <is>
          <t>LUCIANDO LEIVA Y ALBERTI</t>
        </is>
      </c>
      <c r="C20" s="239" t="n">
        <v>1</v>
      </c>
      <c r="D20" s="239" t="n"/>
      <c r="E20" s="239" t="n"/>
      <c r="F20" s="240" t="n"/>
      <c r="G20" s="240" t="n"/>
      <c r="H20" s="241" t="n">
        <v>20500</v>
      </c>
      <c r="I20" s="242" t="n">
        <v>20500</v>
      </c>
      <c r="J20" s="242" t="n"/>
      <c r="K20" s="233" t="n"/>
      <c r="L20" s="233">
        <f>IF(K20&lt;&gt;"",10000+K20,10000)</f>
        <v/>
      </c>
      <c r="M20" s="156" t="n"/>
      <c r="N20" s="243" t="n"/>
      <c r="O20" s="244" t="n"/>
      <c r="Q20" s="221" t="inlineStr">
        <is>
          <t>18</t>
        </is>
      </c>
      <c r="R20" s="222" t="inlineStr">
        <is>
          <t>DOMINGO SILVA 4217</t>
        </is>
      </c>
      <c r="S20" s="223" t="n">
        <v>146500</v>
      </c>
      <c r="T20" s="245" t="n">
        <v>-3500</v>
      </c>
      <c r="U20" s="225" t="n">
        <v>2</v>
      </c>
      <c r="V20" s="226" t="inlineStr">
        <is>
          <t>19/04/2026</t>
        </is>
      </c>
    </row>
    <row r="21" ht="15.75" customHeight="1" s="153">
      <c r="A21" s="227" t="n"/>
      <c r="B21" s="228" t="inlineStr">
        <is>
          <t>OTNIEL</t>
        </is>
      </c>
      <c r="C21" s="229" t="n"/>
      <c r="D21" s="229" t="n"/>
      <c r="E21" s="229" t="n"/>
      <c r="F21" s="230" t="n"/>
      <c r="G21" s="230" t="n">
        <v>2</v>
      </c>
      <c r="H21" s="231" t="n">
        <v>9600</v>
      </c>
      <c r="I21" s="232" t="n">
        <v>4800</v>
      </c>
      <c r="J21" s="232" t="n">
        <v>4800</v>
      </c>
      <c r="K21" s="233" t="n"/>
      <c r="L21" s="233">
        <f>IF(K21&lt;&gt;"",8000+K21,8000)</f>
        <v/>
      </c>
      <c r="M21" s="156" t="n"/>
      <c r="N21" s="234" t="inlineStr">
        <is>
          <t>OBJETIVO ($)</t>
        </is>
      </c>
      <c r="O21" s="249" t="n"/>
      <c r="Q21" s="214" t="inlineStr">
        <is>
          <t>19</t>
        </is>
      </c>
      <c r="R21" s="215" t="inlineStr">
        <is>
          <t>PANA GORRITI</t>
        </is>
      </c>
      <c r="S21" s="216" t="n">
        <v>144000</v>
      </c>
      <c r="T21" s="236" t="n">
        <v>24000</v>
      </c>
      <c r="U21" s="218" t="n">
        <v>2</v>
      </c>
      <c r="V21" s="219" t="inlineStr">
        <is>
          <t>12/01/2026</t>
        </is>
      </c>
    </row>
    <row r="22" ht="15.75" customHeight="1" s="153">
      <c r="A22" s="237" t="n"/>
      <c r="B22" s="238" t="inlineStr">
        <is>
          <t>DIOGENES ANTILLES 675</t>
        </is>
      </c>
      <c r="C22" s="239" t="n"/>
      <c r="D22" s="239" t="n"/>
      <c r="E22" s="239" t="n">
        <v>1</v>
      </c>
      <c r="F22" s="240" t="n"/>
      <c r="G22" s="240" t="n"/>
      <c r="H22" s="241" t="n">
        <v>76000</v>
      </c>
      <c r="I22" s="242" t="n"/>
      <c r="J22" s="242" t="n">
        <v>76000</v>
      </c>
      <c r="K22" s="233" t="n"/>
      <c r="L22" s="233">
        <f>IF(K22&lt;&gt;"",29000+K22,29000)</f>
        <v/>
      </c>
      <c r="M22" s="156" t="n"/>
      <c r="N22" s="234" t="inlineStr">
        <is>
          <t>DIFERENCIA</t>
        </is>
      </c>
      <c r="O22" s="251">
        <f>IFERROR(SUM(L5:L700)-N21,0)</f>
        <v/>
      </c>
      <c r="Q22" s="221" t="inlineStr">
        <is>
          <t>20</t>
        </is>
      </c>
      <c r="R22" s="222" t="inlineStr">
        <is>
          <t>ALISOS 5837</t>
        </is>
      </c>
      <c r="S22" s="223" t="n">
        <v>139500</v>
      </c>
      <c r="T22" s="224" t="n">
        <v>124500</v>
      </c>
      <c r="U22" s="225" t="n">
        <v>1</v>
      </c>
      <c r="V22" s="226" t="inlineStr">
        <is>
          <t>04/01/2026</t>
        </is>
      </c>
    </row>
    <row r="23" ht="15.75" customHeight="1" s="153">
      <c r="A23" s="227" t="n"/>
      <c r="B23" s="228" t="inlineStr">
        <is>
          <t>GRAL PAZ 7826</t>
        </is>
      </c>
      <c r="C23" s="229" t="n">
        <v>1</v>
      </c>
      <c r="D23" s="229" t="n"/>
      <c r="E23" s="229" t="n"/>
      <c r="F23" s="230" t="n"/>
      <c r="G23" s="230" t="n"/>
      <c r="H23" s="231" t="n">
        <v>22000</v>
      </c>
      <c r="I23" s="232" t="n">
        <v>22000</v>
      </c>
      <c r="J23" s="232" t="n"/>
      <c r="K23" s="233" t="n"/>
      <c r="L23" s="233">
        <f>IF(K23&lt;&gt;"",11500+K23,11500)</f>
        <v/>
      </c>
      <c r="M23" s="156" t="n"/>
      <c r="N23" s="156" t="n"/>
      <c r="O23" s="156" t="n"/>
      <c r="Q23" s="214" t="inlineStr">
        <is>
          <t>21</t>
        </is>
      </c>
      <c r="R23" s="215" t="inlineStr">
        <is>
          <t>PANA VIEYTES</t>
        </is>
      </c>
      <c r="S23" s="216" t="n">
        <v>135700</v>
      </c>
      <c r="T23" s="236" t="n">
        <v>13400</v>
      </c>
      <c r="U23" s="218" t="n">
        <v>5</v>
      </c>
      <c r="V23" s="219" t="inlineStr">
        <is>
          <t>16/01/2026</t>
        </is>
      </c>
    </row>
    <row r="24" ht="15.75" customHeight="1" s="153">
      <c r="A24" s="237" t="n"/>
      <c r="B24" s="238" t="inlineStr">
        <is>
          <t>FILOMENA</t>
        </is>
      </c>
      <c r="C24" s="239" t="n">
        <v>2</v>
      </c>
      <c r="D24" s="239" t="n"/>
      <c r="E24" s="239" t="n"/>
      <c r="F24" s="240" t="n"/>
      <c r="G24" s="240" t="n"/>
      <c r="H24" s="241" t="n">
        <v>36000</v>
      </c>
      <c r="I24" s="242" t="n"/>
      <c r="J24" s="242" t="n">
        <v>36000</v>
      </c>
      <c r="K24" s="233" t="n"/>
      <c r="L24" s="233">
        <f>IF(K24&lt;&gt;"",15000+K24,15000)</f>
        <v/>
      </c>
      <c r="M24" s="156" t="n"/>
      <c r="N24" s="246" t="inlineStr">
        <is>
          <t>KG BUTANO</t>
        </is>
      </c>
      <c r="O24" s="252">
        <f>IFERROR((SUM(C5:C700)*10)+(SUM(D5:D700)*15),0)</f>
        <v/>
      </c>
      <c r="Q24" s="221" t="inlineStr">
        <is>
          <t>22</t>
        </is>
      </c>
      <c r="R24" s="222" t="inlineStr">
        <is>
          <t>ROTI AGUADO</t>
        </is>
      </c>
      <c r="S24" s="223" t="n">
        <v>115000</v>
      </c>
      <c r="T24" s="224" t="n">
        <v>17500</v>
      </c>
      <c r="U24" s="225" t="n">
        <v>1</v>
      </c>
      <c r="V24" s="226" t="inlineStr">
        <is>
          <t>17/04/2026</t>
        </is>
      </c>
    </row>
    <row r="25" ht="15.75" customHeight="1" s="153">
      <c r="A25" s="227" t="n"/>
      <c r="B25" s="228" t="inlineStr">
        <is>
          <t>SABOREARTE CARRO</t>
        </is>
      </c>
      <c r="C25" s="229" t="n">
        <v>1</v>
      </c>
      <c r="D25" s="229" t="n"/>
      <c r="E25" s="229" t="n"/>
      <c r="F25" s="230" t="n"/>
      <c r="G25" s="230" t="n"/>
      <c r="H25" s="231" t="n">
        <v>18000</v>
      </c>
      <c r="I25" s="232" t="n"/>
      <c r="J25" s="232" t="n">
        <v>18000</v>
      </c>
      <c r="K25" s="233" t="n"/>
      <c r="L25" s="233">
        <f>IF(K25&lt;&gt;"",7500+K25,7500)</f>
        <v/>
      </c>
      <c r="M25" s="156" t="n"/>
      <c r="N25" s="246" t="inlineStr">
        <is>
          <t>KG PROPANO</t>
        </is>
      </c>
      <c r="O25" s="252">
        <f>IFERROR(SUM(E5:E700)*45,0)</f>
        <v/>
      </c>
      <c r="Q25" s="214" t="inlineStr">
        <is>
          <t>23</t>
        </is>
      </c>
      <c r="R25" s="215" t="inlineStr">
        <is>
          <t>NACHO CUEVA</t>
        </is>
      </c>
      <c r="S25" s="216" t="n">
        <v>115000</v>
      </c>
      <c r="T25" s="236" t="n">
        <v>17500</v>
      </c>
      <c r="U25" s="218" t="n">
        <v>3</v>
      </c>
      <c r="V25" s="219" t="inlineStr">
        <is>
          <t>28/01/2026</t>
        </is>
      </c>
    </row>
    <row r="26" ht="15.75" customHeight="1" s="153">
      <c r="A26" s="237" t="n"/>
      <c r="B26" s="238" t="inlineStr">
        <is>
          <t>DRAXXO</t>
        </is>
      </c>
      <c r="C26" s="239" t="n">
        <v>1</v>
      </c>
      <c r="D26" s="239" t="n"/>
      <c r="E26" s="239" t="n"/>
      <c r="F26" s="240" t="n"/>
      <c r="G26" s="240" t="n"/>
      <c r="H26" s="241" t="n">
        <v>22000</v>
      </c>
      <c r="I26" s="242" t="n">
        <v>22000</v>
      </c>
      <c r="J26" s="242" t="n"/>
      <c r="K26" s="233" t="n"/>
      <c r="L26" s="233">
        <f>IF(K26&lt;&gt;"",11500+K26,11500)</f>
        <v/>
      </c>
      <c r="M26" s="156" t="n"/>
      <c r="N26" s="246" t="inlineStr">
        <is>
          <t>KG TOTAL</t>
        </is>
      </c>
      <c r="O26" s="252">
        <f>IFERROR(O24+O25,0)</f>
        <v/>
      </c>
      <c r="Q26" s="221" t="inlineStr">
        <is>
          <t>24</t>
        </is>
      </c>
      <c r="R26" s="222" t="inlineStr">
        <is>
          <t>ROTI SAN LORENZO</t>
        </is>
      </c>
      <c r="S26" s="223" t="n">
        <v>107000</v>
      </c>
      <c r="T26" s="224" t="n">
        <v>24500</v>
      </c>
      <c r="U26" s="225" t="n">
        <v>3</v>
      </c>
      <c r="V26" s="226" t="inlineStr">
        <is>
          <t>15/04/2026</t>
        </is>
      </c>
    </row>
    <row r="27" ht="15.75" customHeight="1" s="153">
      <c r="A27" s="227" t="n"/>
      <c r="B27" s="228" t="inlineStr">
        <is>
          <t>TACUARI 5717</t>
        </is>
      </c>
      <c r="C27" s="229" t="n">
        <v>1</v>
      </c>
      <c r="D27" s="229" t="n"/>
      <c r="E27" s="229" t="n"/>
      <c r="F27" s="230" t="n"/>
      <c r="G27" s="230" t="n"/>
      <c r="H27" s="231" t="n">
        <v>19500</v>
      </c>
      <c r="I27" s="232" t="n"/>
      <c r="J27" s="232" t="n">
        <v>19500</v>
      </c>
      <c r="K27" s="233" t="n"/>
      <c r="L27" s="233">
        <f>IF(K27&lt;&gt;"",9000+K27,9000)</f>
        <v/>
      </c>
      <c r="M27" s="156" t="n"/>
      <c r="N27" s="156" t="n"/>
      <c r="O27" s="156" t="n"/>
      <c r="Q27" s="214" t="inlineStr">
        <is>
          <t>25</t>
        </is>
      </c>
      <c r="R27" s="215" t="inlineStr">
        <is>
          <t>CHICLANA 9671</t>
        </is>
      </c>
      <c r="S27" s="216" t="n">
        <v>84000</v>
      </c>
      <c r="T27" s="236" t="n">
        <v>24000</v>
      </c>
      <c r="U27" s="218" t="n">
        <v>1</v>
      </c>
      <c r="V27" s="219" t="inlineStr">
        <is>
          <t>03/01/2026</t>
        </is>
      </c>
    </row>
    <row r="28" ht="15.75" customHeight="1" s="153">
      <c r="A28" s="237" t="n"/>
      <c r="B28" s="238" t="inlineStr">
        <is>
          <t xml:space="preserve">NACHO CUEVA </t>
        </is>
      </c>
      <c r="C28" s="239" t="n">
        <v>2</v>
      </c>
      <c r="D28" s="239" t="n"/>
      <c r="E28" s="239" t="n"/>
      <c r="F28" s="240" t="n"/>
      <c r="G28" s="240" t="n"/>
      <c r="H28" s="241" t="n">
        <v>34000</v>
      </c>
      <c r="I28" s="242" t="n">
        <v>34000</v>
      </c>
      <c r="J28" s="242" t="n"/>
      <c r="K28" s="233" t="n"/>
      <c r="L28" s="233">
        <f>IF(K28&lt;&gt;"",13000+K28,13000)</f>
        <v/>
      </c>
      <c r="M28" s="156" t="n"/>
      <c r="N28" s="246" t="inlineStr">
        <is>
          <t>TICKET PROM. VENTA</t>
        </is>
      </c>
      <c r="O28" s="253">
        <f>IFERROR(SUM(H5:H700)/COUNTA(B5:B700),0)</f>
        <v/>
      </c>
      <c r="Q28" s="221" t="inlineStr">
        <is>
          <t>26</t>
        </is>
      </c>
      <c r="R28" s="222" t="inlineStr">
        <is>
          <t>D SILVA 4217</t>
        </is>
      </c>
      <c r="S28" s="223" t="n">
        <v>80500</v>
      </c>
      <c r="T28" s="245" t="n">
        <v>-2000</v>
      </c>
      <c r="U28" s="225" t="n">
        <v>1</v>
      </c>
      <c r="V28" s="226" t="inlineStr">
        <is>
          <t>11/04/2026</t>
        </is>
      </c>
    </row>
    <row r="29" ht="15.75" customHeight="1" s="153">
      <c r="A29" s="227" t="n"/>
      <c r="B29" s="228" t="inlineStr">
        <is>
          <t>CHICLANA 9671</t>
        </is>
      </c>
      <c r="C29" s="229" t="n"/>
      <c r="D29" s="229" t="n"/>
      <c r="E29" s="229" t="n">
        <v>1</v>
      </c>
      <c r="F29" s="230" t="n"/>
      <c r="G29" s="230" t="n"/>
      <c r="H29" s="231" t="n">
        <v>84000</v>
      </c>
      <c r="I29" s="232" t="n"/>
      <c r="J29" s="232" t="n">
        <v>84000</v>
      </c>
      <c r="K29" s="233" t="n"/>
      <c r="L29" s="233">
        <f>IF(K29&lt;&gt;"",37000+K29,37000)</f>
        <v/>
      </c>
      <c r="M29" s="156" t="n"/>
      <c r="N29" s="246" t="inlineStr">
        <is>
          <t>TICKET PROM. GANANCIA</t>
        </is>
      </c>
      <c r="O29" s="253">
        <f>IFERROR(SUM(L5:L700)/COUNTA(B5:B700),0)</f>
        <v/>
      </c>
      <c r="Q29" s="214" t="inlineStr">
        <is>
          <t>27</t>
        </is>
      </c>
      <c r="R29" s="215" t="inlineStr">
        <is>
          <t>ROTI VIEYTES</t>
        </is>
      </c>
      <c r="S29" s="216" t="n">
        <v>78000</v>
      </c>
      <c r="T29" s="217" t="n">
        <v>-12000</v>
      </c>
      <c r="U29" s="218" t="n">
        <v>1</v>
      </c>
      <c r="V29" s="219" t="inlineStr">
        <is>
          <t>17/04/2026</t>
        </is>
      </c>
    </row>
    <row r="30" ht="15.75" customHeight="1" s="153">
      <c r="A30" s="237" t="n"/>
      <c r="B30" s="238" t="inlineStr">
        <is>
          <t xml:space="preserve">BRASERIA </t>
        </is>
      </c>
      <c r="C30" s="239" t="n"/>
      <c r="D30" s="239" t="n"/>
      <c r="E30" s="239" t="n">
        <v>1</v>
      </c>
      <c r="F30" s="240" t="n"/>
      <c r="G30" s="240" t="n"/>
      <c r="H30" s="241" t="n">
        <v>69000</v>
      </c>
      <c r="I30" s="242" t="n"/>
      <c r="J30" s="242" t="n">
        <v>69000</v>
      </c>
      <c r="K30" s="233" t="n"/>
      <c r="L30" s="233">
        <f>IF(K30&lt;&gt;"",22000+K30,22000)</f>
        <v/>
      </c>
      <c r="M30" s="156" t="n"/>
      <c r="N30" s="156" t="n"/>
      <c r="O30" s="156" t="n"/>
      <c r="Q30" s="221" t="inlineStr">
        <is>
          <t>28</t>
        </is>
      </c>
      <c r="R30" s="222" t="inlineStr">
        <is>
          <t>TACUARI 5717</t>
        </is>
      </c>
      <c r="S30" s="223" t="n">
        <v>78000</v>
      </c>
      <c r="T30" s="224" t="n">
        <v>18000</v>
      </c>
      <c r="U30" s="225" t="n">
        <v>3</v>
      </c>
      <c r="V30" s="226" t="inlineStr">
        <is>
          <t>11/04/2026</t>
        </is>
      </c>
    </row>
    <row r="31" ht="15.75" customHeight="1" s="153">
      <c r="A31" s="227" t="n">
        <v>46026</v>
      </c>
      <c r="B31" s="228" t="inlineStr">
        <is>
          <t xml:space="preserve">PARRILA BLAS PARERA </t>
        </is>
      </c>
      <c r="C31" s="229" t="n">
        <v>1</v>
      </c>
      <c r="D31" s="229" t="n"/>
      <c r="E31" s="229" t="n"/>
      <c r="F31" s="230" t="n"/>
      <c r="G31" s="230" t="n"/>
      <c r="H31" s="231" t="n">
        <v>16000</v>
      </c>
      <c r="I31" s="232" t="n"/>
      <c r="J31" s="232" t="n">
        <v>16000</v>
      </c>
      <c r="K31" s="233" t="n"/>
      <c r="L31" s="233">
        <f>IF(K31&lt;&gt;"",5500+K31,5500)</f>
        <v/>
      </c>
      <c r="M31" s="156" t="n"/>
      <c r="N31" s="156" t="n"/>
      <c r="O31" s="156" t="n"/>
      <c r="Q31" s="214" t="inlineStr">
        <is>
          <t>29</t>
        </is>
      </c>
      <c r="R31" s="215" t="inlineStr">
        <is>
          <t>BENTEVEOS DAMIAN</t>
        </is>
      </c>
      <c r="S31" s="216" t="n">
        <v>78000</v>
      </c>
      <c r="T31" s="236" t="n">
        <v>18000</v>
      </c>
      <c r="U31" s="218" t="n">
        <v>1</v>
      </c>
      <c r="V31" s="219" t="inlineStr">
        <is>
          <t>11/01/2026</t>
        </is>
      </c>
    </row>
    <row r="32" ht="15.75" customHeight="1" s="153">
      <c r="A32" s="237" t="n"/>
      <c r="B32" s="238" t="inlineStr">
        <is>
          <t>ALISOS 5837</t>
        </is>
      </c>
      <c r="C32" s="239" t="n">
        <v>1</v>
      </c>
      <c r="D32" s="239" t="n"/>
      <c r="E32" s="239" t="n"/>
      <c r="F32" s="240" t="n"/>
      <c r="G32" s="240" t="n"/>
      <c r="H32" s="241" t="n">
        <v>139500</v>
      </c>
      <c r="I32" s="242" t="n"/>
      <c r="J32" s="242" t="n">
        <v>139500</v>
      </c>
      <c r="K32" s="233" t="n"/>
      <c r="L32" s="233">
        <f>IF(K32&lt;&gt;"",129000+K32,129000)</f>
        <v/>
      </c>
      <c r="M32" s="156" t="n"/>
      <c r="N32" s="156" t="n"/>
      <c r="O32" s="156" t="n"/>
      <c r="Q32" s="221" t="inlineStr">
        <is>
          <t>30</t>
        </is>
      </c>
      <c r="R32" s="222" t="inlineStr">
        <is>
          <t>BONEO 5363</t>
        </is>
      </c>
      <c r="S32" s="223" t="n">
        <v>78000</v>
      </c>
      <c r="T32" s="224" t="n">
        <v>18000</v>
      </c>
      <c r="U32" s="225" t="n">
        <v>1</v>
      </c>
      <c r="V32" s="226" t="inlineStr">
        <is>
          <t>16/01/2026</t>
        </is>
      </c>
    </row>
    <row r="33" ht="15.75" customHeight="1" s="153">
      <c r="A33" s="227" t="n"/>
      <c r="B33" s="228" t="inlineStr">
        <is>
          <t>PANA ALBERTI</t>
        </is>
      </c>
      <c r="C33" s="229" t="n">
        <v>1</v>
      </c>
      <c r="D33" s="229" t="n"/>
      <c r="E33" s="229" t="n">
        <v>1</v>
      </c>
      <c r="F33" s="230" t="n"/>
      <c r="G33" s="230" t="n"/>
      <c r="H33" s="231" t="n">
        <v>87000</v>
      </c>
      <c r="I33" s="232" t="n">
        <v>87000</v>
      </c>
      <c r="J33" s="232" t="n"/>
      <c r="K33" s="233" t="n"/>
      <c r="L33" s="233">
        <f>IF(K33&lt;&gt;"",29500+K33,29500)</f>
        <v/>
      </c>
      <c r="M33" s="156" t="n"/>
      <c r="N33" s="156" t="n"/>
      <c r="O33" s="156" t="n"/>
      <c r="Q33" s="214" t="inlineStr">
        <is>
          <t>31</t>
        </is>
      </c>
      <c r="R33" s="215" t="inlineStr">
        <is>
          <t>9 DE JULIO 1144</t>
        </is>
      </c>
      <c r="S33" s="216" t="n">
        <v>77000</v>
      </c>
      <c r="T33" s="236" t="n">
        <v>17000</v>
      </c>
      <c r="U33" s="218" t="n">
        <v>1</v>
      </c>
      <c r="V33" s="219" t="inlineStr">
        <is>
          <t>06/03/2026</t>
        </is>
      </c>
    </row>
    <row r="34" ht="15.75" customHeight="1" s="153">
      <c r="A34" s="237" t="n"/>
      <c r="B34" s="238" t="inlineStr">
        <is>
          <t>C FUNES 4553</t>
        </is>
      </c>
      <c r="C34" s="239" t="n"/>
      <c r="D34" s="239" t="n"/>
      <c r="E34" s="239" t="n">
        <v>1</v>
      </c>
      <c r="F34" s="240" t="n"/>
      <c r="G34" s="240" t="n"/>
      <c r="H34" s="241" t="n">
        <v>69000</v>
      </c>
      <c r="I34" s="242" t="n"/>
      <c r="J34" s="242" t="n">
        <v>69000</v>
      </c>
      <c r="K34" s="233" t="n"/>
      <c r="L34" s="233">
        <f>IF(K34&lt;&gt;"",22000+K34,22000)</f>
        <v/>
      </c>
      <c r="M34" s="156" t="n"/>
      <c r="N34" s="156" t="n"/>
      <c r="O34" s="156" t="n"/>
      <c r="Q34" s="221" t="inlineStr">
        <is>
          <t>32</t>
        </is>
      </c>
      <c r="R34" s="222" t="inlineStr">
        <is>
          <t>SAVEDRA 10125</t>
        </is>
      </c>
      <c r="S34" s="223" t="n">
        <v>77000</v>
      </c>
      <c r="T34" s="224" t="n">
        <v>17000</v>
      </c>
      <c r="U34" s="225" t="n">
        <v>1</v>
      </c>
      <c r="V34" s="226" t="inlineStr">
        <is>
          <t>09/04/2026</t>
        </is>
      </c>
    </row>
    <row r="35" ht="15.75" customHeight="1" s="153">
      <c r="A35" s="227" t="n"/>
      <c r="B35" s="228" t="inlineStr">
        <is>
          <t>J CIBILS 2519</t>
        </is>
      </c>
      <c r="C35" s="229" t="n"/>
      <c r="D35" s="229" t="n"/>
      <c r="E35" s="229" t="n">
        <v>1</v>
      </c>
      <c r="F35" s="230" t="n"/>
      <c r="G35" s="230" t="n"/>
      <c r="H35" s="231" t="n">
        <v>72000</v>
      </c>
      <c r="I35" s="232" t="n"/>
      <c r="J35" s="232" t="n">
        <v>72000</v>
      </c>
      <c r="K35" s="233" t="n"/>
      <c r="L35" s="233">
        <f>IF(K35&lt;&gt;"",25000+K35,25000)</f>
        <v/>
      </c>
      <c r="M35" s="156" t="n"/>
      <c r="N35" s="156" t="n"/>
      <c r="O35" s="156" t="n"/>
      <c r="Q35" s="214" t="inlineStr">
        <is>
          <t>33</t>
        </is>
      </c>
      <c r="R35" s="215" t="inlineStr">
        <is>
          <t>GASTON AMARAL</t>
        </is>
      </c>
      <c r="S35" s="216" t="n">
        <v>77000</v>
      </c>
      <c r="T35" s="236" t="n">
        <v>17000</v>
      </c>
      <c r="U35" s="218" t="n">
        <v>1</v>
      </c>
      <c r="V35" s="219" t="inlineStr">
        <is>
          <t>15/04/2026</t>
        </is>
      </c>
    </row>
    <row r="36" ht="15.75" customHeight="1" s="153">
      <c r="A36" s="237" t="n"/>
      <c r="B36" s="238" t="inlineStr">
        <is>
          <t>M ZAPATA 3304</t>
        </is>
      </c>
      <c r="C36" s="239" t="n">
        <v>1</v>
      </c>
      <c r="D36" s="239" t="n"/>
      <c r="E36" s="239" t="n"/>
      <c r="F36" s="240" t="n"/>
      <c r="G36" s="240" t="n"/>
      <c r="H36" s="241" t="n">
        <v>22000</v>
      </c>
      <c r="I36" s="242" t="n"/>
      <c r="J36" s="242" t="n">
        <v>22000</v>
      </c>
      <c r="K36" s="233" t="n"/>
      <c r="L36" s="233">
        <f>IF(K36&lt;&gt;"",11500+K36,11500)</f>
        <v/>
      </c>
      <c r="M36" s="156" t="n"/>
      <c r="N36" s="156" t="n"/>
      <c r="O36" s="156" t="n"/>
      <c r="Q36" s="221" t="inlineStr">
        <is>
          <t>34</t>
        </is>
      </c>
      <c r="R36" s="222" t="inlineStr">
        <is>
          <t>NOGALES 2412</t>
        </is>
      </c>
      <c r="S36" s="223" t="n">
        <v>77000</v>
      </c>
      <c r="T36" s="224" t="n">
        <v>17000</v>
      </c>
      <c r="U36" s="225" t="n">
        <v>1</v>
      </c>
      <c r="V36" s="226" t="inlineStr">
        <is>
          <t>23/03/2026</t>
        </is>
      </c>
    </row>
    <row r="37" ht="15.75" customHeight="1" s="153">
      <c r="A37" s="227" t="n"/>
      <c r="B37" s="228" t="inlineStr">
        <is>
          <t>SABOREAR</t>
        </is>
      </c>
      <c r="C37" s="229" t="n"/>
      <c r="D37" s="229" t="n">
        <v>1</v>
      </c>
      <c r="E37" s="229" t="n"/>
      <c r="F37" s="230" t="n"/>
      <c r="G37" s="230" t="n"/>
      <c r="H37" s="231" t="n">
        <v>27000</v>
      </c>
      <c r="I37" s="232" t="n"/>
      <c r="J37" s="232" t="n">
        <v>27000</v>
      </c>
      <c r="K37" s="233" t="n"/>
      <c r="L37" s="233">
        <f>IF(K37&lt;&gt;"",11250+K37,11250)</f>
        <v/>
      </c>
      <c r="M37" s="156" t="n"/>
      <c r="N37" s="156" t="n"/>
      <c r="O37" s="156" t="n"/>
      <c r="Q37" s="214" t="inlineStr">
        <is>
          <t>35</t>
        </is>
      </c>
      <c r="R37" s="215" t="inlineStr">
        <is>
          <t>JOSE MONTEVERA</t>
        </is>
      </c>
      <c r="S37" s="216" t="n">
        <v>77000</v>
      </c>
      <c r="T37" s="236" t="n">
        <v>17000</v>
      </c>
      <c r="U37" s="218" t="n">
        <v>1</v>
      </c>
      <c r="V37" s="219" t="inlineStr">
        <is>
          <t>18/03/2026</t>
        </is>
      </c>
    </row>
    <row r="38" ht="15.75" customHeight="1" s="153">
      <c r="A38" s="237" t="n">
        <v>46027</v>
      </c>
      <c r="B38" s="238" t="inlineStr">
        <is>
          <t>PANA VIEYTES</t>
        </is>
      </c>
      <c r="C38" s="239" t="n">
        <v>1</v>
      </c>
      <c r="D38" s="239" t="n"/>
      <c r="E38" s="239" t="n"/>
      <c r="F38" s="240" t="n"/>
      <c r="G38" s="240" t="n"/>
      <c r="H38" s="241" t="n">
        <v>16000</v>
      </c>
      <c r="I38" s="242" t="n"/>
      <c r="J38" s="242" t="n">
        <v>16000</v>
      </c>
      <c r="K38" s="233" t="n"/>
      <c r="L38" s="233">
        <f>IF(K38&lt;&gt;"",5500+K38,5500)</f>
        <v/>
      </c>
      <c r="M38" s="156" t="n"/>
      <c r="N38" s="156" t="n"/>
      <c r="O38" s="156" t="n"/>
      <c r="Q38" s="221" t="inlineStr">
        <is>
          <t>36</t>
        </is>
      </c>
      <c r="R38" s="222" t="inlineStr">
        <is>
          <t>BAIGORRIA 9350</t>
        </is>
      </c>
      <c r="S38" s="223" t="n">
        <v>77000</v>
      </c>
      <c r="T38" s="224" t="n">
        <v>17000</v>
      </c>
      <c r="U38" s="225" t="n">
        <v>1</v>
      </c>
      <c r="V38" s="226" t="inlineStr">
        <is>
          <t>24/02/2026</t>
        </is>
      </c>
    </row>
    <row r="39" ht="15.75" customHeight="1" s="153">
      <c r="A39" s="227" t="n"/>
      <c r="B39" s="228" t="inlineStr">
        <is>
          <t>PAULO</t>
        </is>
      </c>
      <c r="C39" s="229" t="n">
        <v>2</v>
      </c>
      <c r="D39" s="229" t="n">
        <v>1</v>
      </c>
      <c r="E39" s="229" t="n"/>
      <c r="F39" s="230" t="n"/>
      <c r="G39" s="230" t="n"/>
      <c r="H39" s="231" t="n">
        <v>45000</v>
      </c>
      <c r="I39" s="232" t="n">
        <v>45000</v>
      </c>
      <c r="J39" s="232" t="n"/>
      <c r="K39" s="233" t="n"/>
      <c r="L39" s="233">
        <f>IF(K39&lt;&gt;"",8250+K39,8250)</f>
        <v/>
      </c>
      <c r="M39" s="156" t="n"/>
      <c r="N39" s="156" t="n"/>
      <c r="O39" s="156" t="n"/>
      <c r="Q39" s="214" t="inlineStr">
        <is>
          <t>37</t>
        </is>
      </c>
      <c r="R39" s="215" t="inlineStr">
        <is>
          <t>LALO</t>
        </is>
      </c>
      <c r="S39" s="216" t="n">
        <v>77000</v>
      </c>
      <c r="T39" s="236" t="n">
        <v>17000</v>
      </c>
      <c r="U39" s="218" t="n">
        <v>1</v>
      </c>
      <c r="V39" s="219" t="inlineStr">
        <is>
          <t>27/02/2026</t>
        </is>
      </c>
    </row>
    <row r="40" ht="15.75" customHeight="1" s="153">
      <c r="A40" s="237" t="n"/>
      <c r="B40" s="238" t="inlineStr">
        <is>
          <t>SANDRA</t>
        </is>
      </c>
      <c r="C40" s="239" t="n">
        <v>1</v>
      </c>
      <c r="D40" s="239" t="n"/>
      <c r="E40" s="239" t="n"/>
      <c r="F40" s="240" t="n"/>
      <c r="G40" s="240" t="n">
        <v>1</v>
      </c>
      <c r="H40" s="241" t="n">
        <v>17000</v>
      </c>
      <c r="I40" s="242" t="n">
        <v>17000</v>
      </c>
      <c r="J40" s="242" t="n"/>
      <c r="K40" s="233" t="n"/>
      <c r="L40" s="233">
        <f>IF(K40&lt;&gt;"",5700+K40,5700)</f>
        <v/>
      </c>
      <c r="M40" s="156" t="n"/>
      <c r="N40" s="156" t="n"/>
      <c r="O40" s="156" t="n"/>
      <c r="Q40" s="221" t="inlineStr">
        <is>
          <t>38</t>
        </is>
      </c>
      <c r="R40" s="222" t="inlineStr">
        <is>
          <t>ESPORA 5335</t>
        </is>
      </c>
      <c r="S40" s="223" t="n">
        <v>77000</v>
      </c>
      <c r="T40" s="224" t="n">
        <v>17000</v>
      </c>
      <c r="U40" s="225" t="n">
        <v>1</v>
      </c>
      <c r="V40" s="226" t="inlineStr">
        <is>
          <t>07/01/2026</t>
        </is>
      </c>
    </row>
    <row r="41" ht="15.75" customHeight="1" s="153">
      <c r="A41" s="227" t="n"/>
      <c r="B41" s="228" t="inlineStr">
        <is>
          <t>LUCHO</t>
        </is>
      </c>
      <c r="C41" s="229" t="n">
        <v>2</v>
      </c>
      <c r="D41" s="229" t="n"/>
      <c r="E41" s="229" t="n"/>
      <c r="F41" s="230" t="n"/>
      <c r="G41" s="230" t="n"/>
      <c r="H41" s="231" t="n">
        <v>26000</v>
      </c>
      <c r="I41" s="232" t="n">
        <v>26000</v>
      </c>
      <c r="J41" s="232" t="n"/>
      <c r="K41" s="233" t="n"/>
      <c r="L41" s="233">
        <f>IF(K41&lt;&gt;"",5000+K41,5000)</f>
        <v/>
      </c>
      <c r="M41" s="156" t="n"/>
      <c r="N41" s="156" t="n"/>
      <c r="O41" s="156" t="n"/>
      <c r="Q41" s="214" t="inlineStr">
        <is>
          <t>39</t>
        </is>
      </c>
      <c r="R41" s="215" t="inlineStr">
        <is>
          <t>ALSINA 7981</t>
        </is>
      </c>
      <c r="S41" s="216" t="n">
        <v>77000</v>
      </c>
      <c r="T41" s="236" t="n">
        <v>17000</v>
      </c>
      <c r="U41" s="218" t="n">
        <v>1</v>
      </c>
      <c r="V41" s="219" t="inlineStr">
        <is>
          <t>17/01/2026</t>
        </is>
      </c>
    </row>
    <row r="42" ht="15.75" customHeight="1" s="153">
      <c r="A42" s="237" t="n"/>
      <c r="B42" s="238" t="inlineStr">
        <is>
          <t>CAREN</t>
        </is>
      </c>
      <c r="C42" s="239" t="n"/>
      <c r="D42" s="239" t="n"/>
      <c r="E42" s="239" t="n">
        <v>1</v>
      </c>
      <c r="F42" s="240" t="n"/>
      <c r="G42" s="240" t="n"/>
      <c r="H42" s="241" t="n">
        <v>69000</v>
      </c>
      <c r="I42" s="242" t="n"/>
      <c r="J42" s="242" t="n">
        <v>69000</v>
      </c>
      <c r="K42" s="233" t="n"/>
      <c r="L42" s="233">
        <f>IF(K42&lt;&gt;"",22000+K42,22000)</f>
        <v/>
      </c>
      <c r="M42" s="156" t="n"/>
      <c r="N42" s="156" t="n"/>
      <c r="O42" s="156" t="n"/>
      <c r="Q42" s="221" t="inlineStr">
        <is>
          <t>40</t>
        </is>
      </c>
      <c r="R42" s="222" t="inlineStr">
        <is>
          <t>MISIONES 5281</t>
        </is>
      </c>
      <c r="S42" s="223" t="n">
        <v>77000</v>
      </c>
      <c r="T42" s="224" t="n">
        <v>17000</v>
      </c>
      <c r="U42" s="225" t="n">
        <v>1</v>
      </c>
      <c r="V42" s="226" t="inlineStr">
        <is>
          <t>20/01/2026</t>
        </is>
      </c>
    </row>
    <row r="43" ht="15.75" customHeight="1" s="153">
      <c r="A43" s="227" t="n"/>
      <c r="B43" s="228" t="inlineStr">
        <is>
          <t>FILOMENA</t>
        </is>
      </c>
      <c r="C43" s="229" t="n">
        <v>2</v>
      </c>
      <c r="D43" s="229" t="n"/>
      <c r="E43" s="229" t="n"/>
      <c r="F43" s="230" t="n"/>
      <c r="G43" s="230" t="n"/>
      <c r="H43" s="231" t="n">
        <v>36000</v>
      </c>
      <c r="I43" s="232" t="n">
        <v>36000</v>
      </c>
      <c r="J43" s="232" t="n"/>
      <c r="K43" s="233" t="n"/>
      <c r="L43" s="233">
        <f>IF(K43&lt;&gt;"",15000+K43,15000)</f>
        <v/>
      </c>
      <c r="M43" s="156" t="n"/>
      <c r="N43" s="156" t="n"/>
      <c r="O43" s="156" t="n"/>
      <c r="Q43" s="214" t="inlineStr">
        <is>
          <t>41</t>
        </is>
      </c>
      <c r="R43" s="215" t="inlineStr">
        <is>
          <t>LOBOS ROCIO</t>
        </is>
      </c>
      <c r="S43" s="216" t="n">
        <v>77000</v>
      </c>
      <c r="T43" s="236" t="n">
        <v>17000</v>
      </c>
      <c r="U43" s="218" t="n">
        <v>1</v>
      </c>
      <c r="V43" s="219" t="inlineStr">
        <is>
          <t>27/01/2026</t>
        </is>
      </c>
    </row>
    <row r="44" ht="15.75" customHeight="1" s="153">
      <c r="A44" s="237" t="n"/>
      <c r="B44" s="238" t="inlineStr">
        <is>
          <t>SAN MARTIN 1925</t>
        </is>
      </c>
      <c r="C44" s="239" t="n">
        <v>1</v>
      </c>
      <c r="D44" s="239" t="n"/>
      <c r="E44" s="239" t="n"/>
      <c r="F44" s="240" t="n"/>
      <c r="G44" s="240" t="n"/>
      <c r="H44" s="241" t="n">
        <v>19500</v>
      </c>
      <c r="I44" s="242" t="n">
        <v>19500</v>
      </c>
      <c r="J44" s="242" t="n"/>
      <c r="K44" s="233" t="n"/>
      <c r="L44" s="233">
        <f>IF(K44&lt;&gt;"",9000+K44,9000)</f>
        <v/>
      </c>
      <c r="M44" s="156" t="n"/>
      <c r="N44" s="156" t="n"/>
      <c r="O44" s="156" t="n"/>
      <c r="Q44" s="221" t="inlineStr">
        <is>
          <t>42</t>
        </is>
      </c>
      <c r="R44" s="222" t="inlineStr">
        <is>
          <t>DIOGENES ANTILLES 675</t>
        </is>
      </c>
      <c r="S44" s="223" t="n">
        <v>76000</v>
      </c>
      <c r="T44" s="224" t="n">
        <v>16000</v>
      </c>
      <c r="U44" s="225" t="n">
        <v>1</v>
      </c>
      <c r="V44" s="226" t="inlineStr">
        <is>
          <t>03/01/2026</t>
        </is>
      </c>
    </row>
    <row r="45" ht="15.75" customHeight="1" s="153">
      <c r="A45" s="227" t="n"/>
      <c r="B45" s="228" t="inlineStr">
        <is>
          <t>LAVAISE 1074</t>
        </is>
      </c>
      <c r="C45" s="229" t="n">
        <v>1</v>
      </c>
      <c r="D45" s="229" t="n"/>
      <c r="E45" s="229" t="n"/>
      <c r="F45" s="230" t="n"/>
      <c r="G45" s="230" t="n">
        <v>2</v>
      </c>
      <c r="H45" s="231" t="n">
        <v>33600</v>
      </c>
      <c r="I45" s="232" t="n"/>
      <c r="J45" s="232" t="n">
        <v>33600</v>
      </c>
      <c r="K45" s="233" t="n"/>
      <c r="L45" s="233">
        <f>IF(K45&lt;&gt;"",21500+K45,21500)</f>
        <v/>
      </c>
      <c r="M45" s="156" t="n"/>
      <c r="N45" s="156" t="n"/>
      <c r="O45" s="156" t="n"/>
      <c r="Q45" s="214" t="inlineStr">
        <is>
          <t>43</t>
        </is>
      </c>
      <c r="R45" s="215" t="inlineStr">
        <is>
          <t>NAMUNCURA 4436</t>
        </is>
      </c>
      <c r="S45" s="216" t="n">
        <v>75000</v>
      </c>
      <c r="T45" s="236" t="n">
        <v>15000</v>
      </c>
      <c r="U45" s="218" t="n">
        <v>1</v>
      </c>
      <c r="V45" s="219" t="inlineStr">
        <is>
          <t>07/04/2026</t>
        </is>
      </c>
    </row>
    <row r="46" ht="15.75" customHeight="1" s="153">
      <c r="A46" s="237" t="n"/>
      <c r="B46" s="238" t="inlineStr">
        <is>
          <t>MAURITO</t>
        </is>
      </c>
      <c r="C46" s="239" t="n">
        <v>2</v>
      </c>
      <c r="D46" s="239" t="n"/>
      <c r="E46" s="239" t="n"/>
      <c r="F46" s="240" t="n"/>
      <c r="G46" s="240" t="n"/>
      <c r="H46" s="241" t="n">
        <v>26000</v>
      </c>
      <c r="I46" s="242" t="n"/>
      <c r="J46" s="242" t="n">
        <v>26000</v>
      </c>
      <c r="K46" s="233" t="n"/>
      <c r="L46" s="233">
        <f>IF(K46&lt;&gt;"",5000+K46,5000)</f>
        <v/>
      </c>
      <c r="M46" s="156" t="n"/>
      <c r="N46" s="156" t="n"/>
      <c r="O46" s="156" t="n"/>
      <c r="Q46" s="221" t="inlineStr">
        <is>
          <t>44</t>
        </is>
      </c>
      <c r="R46" s="222" t="inlineStr">
        <is>
          <t>LOBATO BARBARA</t>
        </is>
      </c>
      <c r="S46" s="223" t="n">
        <v>75000</v>
      </c>
      <c r="T46" s="224" t="n">
        <v>15000</v>
      </c>
      <c r="U46" s="225" t="n">
        <v>1</v>
      </c>
      <c r="V46" s="226" t="inlineStr">
        <is>
          <t>09/01/2026</t>
        </is>
      </c>
    </row>
    <row r="47" ht="15.75" customHeight="1" s="153">
      <c r="A47" s="227" t="n">
        <v>46028</v>
      </c>
      <c r="B47" s="228" t="inlineStr">
        <is>
          <t>GOLD COSTA ESTE</t>
        </is>
      </c>
      <c r="C47" s="229" t="n"/>
      <c r="D47" s="229" t="n"/>
      <c r="E47" s="229" t="n">
        <v>3</v>
      </c>
      <c r="F47" s="230" t="n"/>
      <c r="G47" s="230" t="n"/>
      <c r="H47" s="231" t="n">
        <v>231000</v>
      </c>
      <c r="I47" s="232" t="n"/>
      <c r="J47" s="232" t="n">
        <v>231000</v>
      </c>
      <c r="K47" s="233" t="n"/>
      <c r="L47" s="233">
        <f>IF(K47&lt;&gt;"",90000+K47,90000)</f>
        <v/>
      </c>
      <c r="M47" s="156" t="n"/>
      <c r="N47" s="156" t="n"/>
      <c r="O47" s="156" t="n"/>
      <c r="Q47" s="214" t="inlineStr">
        <is>
          <t>45</t>
        </is>
      </c>
      <c r="R47" s="215" t="inlineStr">
        <is>
          <t>PUBLICO 4746</t>
        </is>
      </c>
      <c r="S47" s="216" t="n">
        <v>75000</v>
      </c>
      <c r="T47" s="236" t="n">
        <v>15000</v>
      </c>
      <c r="U47" s="218" t="n">
        <v>1</v>
      </c>
      <c r="V47" s="219" t="inlineStr">
        <is>
          <t>10/01/2026</t>
        </is>
      </c>
    </row>
    <row r="48" ht="15.75" customHeight="1" s="153">
      <c r="A48" s="237" t="n"/>
      <c r="B48" s="238" t="inlineStr">
        <is>
          <t xml:space="preserve">ROTI DOMINGO SILVA </t>
        </is>
      </c>
      <c r="C48" s="239" t="n">
        <v>4</v>
      </c>
      <c r="D48" s="239" t="n"/>
      <c r="E48" s="239" t="n"/>
      <c r="F48" s="240" t="n"/>
      <c r="G48" s="240" t="n"/>
      <c r="H48" s="241" t="n">
        <v>52000</v>
      </c>
      <c r="I48" s="242" t="n">
        <v>52000</v>
      </c>
      <c r="J48" s="242" t="n"/>
      <c r="K48" s="233" t="n"/>
      <c r="L48" s="233">
        <f>IF(K48&lt;&gt;"",10000+K48,10000)</f>
        <v/>
      </c>
      <c r="M48" s="156" t="n"/>
      <c r="N48" s="156" t="n"/>
      <c r="O48" s="156" t="n"/>
      <c r="Q48" s="221" t="inlineStr">
        <is>
          <t>46</t>
        </is>
      </c>
      <c r="R48" s="222" t="inlineStr">
        <is>
          <t>PUBLICO 8821</t>
        </is>
      </c>
      <c r="S48" s="223" t="n">
        <v>75000</v>
      </c>
      <c r="T48" s="224" t="n">
        <v>15000</v>
      </c>
      <c r="U48" s="225" t="n">
        <v>1</v>
      </c>
      <c r="V48" s="226" t="inlineStr">
        <is>
          <t>13/01/2026</t>
        </is>
      </c>
    </row>
    <row r="49" ht="15.75" customHeight="1" s="153">
      <c r="A49" s="227" t="n"/>
      <c r="B49" s="228" t="inlineStr">
        <is>
          <t>LUCHO</t>
        </is>
      </c>
      <c r="C49" s="229" t="n"/>
      <c r="D49" s="229" t="n"/>
      <c r="E49" s="229" t="n"/>
      <c r="F49" s="230" t="n"/>
      <c r="G49" s="230" t="n">
        <v>1</v>
      </c>
      <c r="H49" s="231" t="n">
        <v>4800</v>
      </c>
      <c r="I49" s="232" t="n">
        <v>4800</v>
      </c>
      <c r="J49" s="232" t="n"/>
      <c r="K49" s="233" t="n"/>
      <c r="L49" s="233">
        <f>IF(K49&lt;&gt;"",4000+K49,4000)</f>
        <v/>
      </c>
      <c r="M49" s="156" t="n"/>
      <c r="N49" s="156" t="n"/>
      <c r="O49" s="156" t="n"/>
      <c r="Q49" s="214" t="inlineStr">
        <is>
          <t>47</t>
        </is>
      </c>
      <c r="R49" s="215" t="inlineStr">
        <is>
          <t>B IRIGOYEN 8383</t>
        </is>
      </c>
      <c r="S49" s="216" t="n">
        <v>75000</v>
      </c>
      <c r="T49" s="236" t="n">
        <v>15000</v>
      </c>
      <c r="U49" s="218" t="n">
        <v>1</v>
      </c>
      <c r="V49" s="219" t="inlineStr">
        <is>
          <t>18/01/2026</t>
        </is>
      </c>
    </row>
    <row r="50" ht="15.75" customHeight="1" s="153">
      <c r="A50" s="237" t="n"/>
      <c r="B50" s="238" t="inlineStr">
        <is>
          <t>AZCUENAGA 5023</t>
        </is>
      </c>
      <c r="C50" s="239" t="n">
        <v>7</v>
      </c>
      <c r="D50" s="239" t="n"/>
      <c r="E50" s="239" t="n"/>
      <c r="F50" s="240" t="n"/>
      <c r="G50" s="240" t="n"/>
      <c r="H50" s="241" t="n">
        <v>91000</v>
      </c>
      <c r="I50" s="242" t="n"/>
      <c r="J50" s="242" t="n">
        <v>91000</v>
      </c>
      <c r="K50" s="233" t="n"/>
      <c r="L50" s="233">
        <f>IF(K50&lt;&gt;"",17500+K50,17500)</f>
        <v/>
      </c>
      <c r="M50" s="156" t="n"/>
      <c r="N50" s="156" t="n"/>
      <c r="O50" s="156" t="n"/>
      <c r="Q50" s="221" t="inlineStr">
        <is>
          <t>48</t>
        </is>
      </c>
      <c r="R50" s="222" t="inlineStr">
        <is>
          <t>FLORENCIO FERNANDEZ 6033</t>
        </is>
      </c>
      <c r="S50" s="223" t="n">
        <v>75000</v>
      </c>
      <c r="T50" s="224" t="n">
        <v>15000</v>
      </c>
      <c r="U50" s="225" t="n">
        <v>1</v>
      </c>
      <c r="V50" s="226" t="inlineStr">
        <is>
          <t>19/01/2026</t>
        </is>
      </c>
    </row>
    <row r="51" ht="15.75" customHeight="1" s="153">
      <c r="A51" s="227" t="n"/>
      <c r="B51" s="228" t="inlineStr">
        <is>
          <t>R GODOY 1614</t>
        </is>
      </c>
      <c r="C51" s="229" t="n">
        <v>1</v>
      </c>
      <c r="D51" s="229" t="n"/>
      <c r="E51" s="229" t="n"/>
      <c r="F51" s="230" t="n"/>
      <c r="G51" s="230" t="n"/>
      <c r="H51" s="231" t="n">
        <v>19000</v>
      </c>
      <c r="I51" s="232" t="n">
        <v>19000</v>
      </c>
      <c r="J51" s="232" t="n"/>
      <c r="K51" s="233" t="n"/>
      <c r="L51" s="233">
        <f>IF(K51&lt;&gt;"",8500+K51,8500)</f>
        <v/>
      </c>
      <c r="M51" s="156" t="n"/>
      <c r="N51" s="156" t="n"/>
      <c r="O51" s="156" t="n"/>
      <c r="Q51" s="214" t="inlineStr">
        <is>
          <t>49</t>
        </is>
      </c>
      <c r="R51" s="215" t="inlineStr">
        <is>
          <t>MACHUCA RAMONA1</t>
        </is>
      </c>
      <c r="S51" s="216" t="n">
        <v>75000</v>
      </c>
      <c r="T51" s="236" t="n">
        <v>15000</v>
      </c>
      <c r="U51" s="218" t="n">
        <v>1</v>
      </c>
      <c r="V51" s="219" t="inlineStr">
        <is>
          <t>23/01/2026</t>
        </is>
      </c>
    </row>
    <row r="52" ht="15.75" customHeight="1" s="153">
      <c r="A52" s="237" t="n"/>
      <c r="B52" s="238" t="inlineStr">
        <is>
          <t>PJE MITRE 2409</t>
        </is>
      </c>
      <c r="C52" s="239" t="n">
        <v>1</v>
      </c>
      <c r="D52" s="239" t="n"/>
      <c r="E52" s="239" t="n"/>
      <c r="F52" s="240" t="n"/>
      <c r="G52" s="240" t="n"/>
      <c r="H52" s="241" t="n">
        <v>19500</v>
      </c>
      <c r="I52" s="242" t="n">
        <v>19500</v>
      </c>
      <c r="J52" s="242" t="n"/>
      <c r="K52" s="233" t="n"/>
      <c r="L52" s="233">
        <f>IF(K52&lt;&gt;"",9000+K52,9000)</f>
        <v/>
      </c>
      <c r="M52" s="156" t="n"/>
      <c r="N52" s="156" t="n"/>
      <c r="O52" s="156" t="n"/>
      <c r="Q52" s="221" t="inlineStr">
        <is>
          <t>50</t>
        </is>
      </c>
      <c r="R52" s="222" t="inlineStr">
        <is>
          <t>ALVEAR 8278</t>
        </is>
      </c>
      <c r="S52" s="223" t="n">
        <v>75000</v>
      </c>
      <c r="T52" s="224" t="n">
        <v>15000</v>
      </c>
      <c r="U52" s="225" t="n">
        <v>1</v>
      </c>
      <c r="V52" s="226" t="inlineStr">
        <is>
          <t>26/01/2026</t>
        </is>
      </c>
    </row>
    <row r="53" ht="15.75" customHeight="1" s="153">
      <c r="A53" s="227" t="n"/>
      <c r="B53" s="228" t="inlineStr">
        <is>
          <t xml:space="preserve">CINDO </t>
        </is>
      </c>
      <c r="C53" s="229" t="n"/>
      <c r="D53" s="229" t="n"/>
      <c r="E53" s="229" t="n"/>
      <c r="F53" s="230" t="n">
        <v>2</v>
      </c>
      <c r="G53" s="230" t="n"/>
      <c r="H53" s="231" t="n">
        <v>6500</v>
      </c>
      <c r="I53" s="232" t="n"/>
      <c r="J53" s="232" t="n">
        <v>6500</v>
      </c>
      <c r="K53" s="233" t="n"/>
      <c r="L53" s="233">
        <f>IF(K53&lt;&gt;"",1850+K53,1850)</f>
        <v/>
      </c>
      <c r="M53" s="156" t="n"/>
      <c r="N53" s="156" t="n"/>
      <c r="O53" s="156" t="n"/>
      <c r="Q53" s="214" t="inlineStr">
        <is>
          <t>51</t>
        </is>
      </c>
      <c r="R53" s="215" t="inlineStr">
        <is>
          <t>BLAS PARERA 5224</t>
        </is>
      </c>
      <c r="S53" s="216" t="n">
        <v>73500</v>
      </c>
      <c r="T53" s="236" t="n">
        <v>13500</v>
      </c>
      <c r="U53" s="218" t="n">
        <v>1</v>
      </c>
      <c r="V53" s="219" t="inlineStr">
        <is>
          <t>09/04/2026</t>
        </is>
      </c>
    </row>
    <row r="54" ht="15.75" customHeight="1" s="153">
      <c r="A54" s="237" t="n"/>
      <c r="B54" s="238" t="inlineStr">
        <is>
          <t>9 DE JULIO 1144</t>
        </is>
      </c>
      <c r="C54" s="239" t="n"/>
      <c r="D54" s="239" t="n"/>
      <c r="E54" s="239" t="n">
        <v>1</v>
      </c>
      <c r="F54" s="240" t="n"/>
      <c r="G54" s="240" t="n"/>
      <c r="H54" s="241" t="n">
        <v>77000</v>
      </c>
      <c r="I54" s="242" t="n"/>
      <c r="J54" s="242" t="n">
        <v>77000</v>
      </c>
      <c r="K54" s="233" t="n"/>
      <c r="L54" s="233">
        <f>IF(K54&lt;&gt;"",30000+K54,30000)</f>
        <v/>
      </c>
      <c r="M54" s="156" t="n"/>
      <c r="N54" s="156" t="n"/>
      <c r="O54" s="156" t="n"/>
      <c r="Q54" s="221" t="inlineStr">
        <is>
          <t>52</t>
        </is>
      </c>
      <c r="R54" s="222" t="inlineStr">
        <is>
          <t>HERNANDARIAS 5150</t>
        </is>
      </c>
      <c r="S54" s="223" t="n">
        <v>73000</v>
      </c>
      <c r="T54" s="224" t="n">
        <v>13000</v>
      </c>
      <c r="U54" s="225" t="n">
        <v>1</v>
      </c>
      <c r="V54" s="226" t="inlineStr">
        <is>
          <t>12/01/2026</t>
        </is>
      </c>
    </row>
    <row r="55" ht="15.75" customHeight="1" s="153">
      <c r="A55" s="227" t="n"/>
      <c r="B55" s="228" t="inlineStr">
        <is>
          <t>SAVEDRA 6445</t>
        </is>
      </c>
      <c r="C55" s="229" t="n"/>
      <c r="D55" s="229" t="n"/>
      <c r="E55" s="229" t="n">
        <v>1</v>
      </c>
      <c r="F55" s="230" t="n"/>
      <c r="G55" s="230" t="n"/>
      <c r="H55" s="231" t="n">
        <v>72000</v>
      </c>
      <c r="I55" s="232" t="n"/>
      <c r="J55" s="232" t="n">
        <v>72000</v>
      </c>
      <c r="K55" s="233" t="n"/>
      <c r="L55" s="233">
        <f>IF(K55&lt;&gt;"",25000+K55,25000)</f>
        <v/>
      </c>
      <c r="M55" s="156" t="n"/>
      <c r="N55" s="156" t="n"/>
      <c r="O55" s="156" t="n"/>
      <c r="Q55" s="214" t="inlineStr">
        <is>
          <t>53</t>
        </is>
      </c>
      <c r="R55" s="215" t="inlineStr">
        <is>
          <t>ALELIES 10358</t>
        </is>
      </c>
      <c r="S55" s="216" t="n">
        <v>73000</v>
      </c>
      <c r="T55" s="236" t="n">
        <v>13000</v>
      </c>
      <c r="U55" s="218" t="n">
        <v>1</v>
      </c>
      <c r="V55" s="219" t="inlineStr">
        <is>
          <t>23/01/2026</t>
        </is>
      </c>
    </row>
    <row r="56" ht="15.75" customHeight="1" s="153">
      <c r="A56" s="237" t="n">
        <v>46029</v>
      </c>
      <c r="B56" s="238" t="inlineStr">
        <is>
          <t>ESPORA 5335</t>
        </is>
      </c>
      <c r="C56" s="239" t="n"/>
      <c r="D56" s="239" t="n"/>
      <c r="E56" s="239" t="n">
        <v>1</v>
      </c>
      <c r="F56" s="240" t="n"/>
      <c r="G56" s="240" t="n"/>
      <c r="H56" s="241" t="n">
        <v>77000</v>
      </c>
      <c r="I56" s="242" t="n">
        <v>77000</v>
      </c>
      <c r="J56" s="242" t="n"/>
      <c r="K56" s="233" t="n"/>
      <c r="L56" s="233">
        <f>IF(K56&lt;&gt;"",30000+K56,30000)</f>
        <v/>
      </c>
      <c r="M56" s="156" t="n"/>
      <c r="N56" s="156" t="n"/>
      <c r="O56" s="156" t="n"/>
      <c r="Q56" s="221" t="inlineStr">
        <is>
          <t>54</t>
        </is>
      </c>
      <c r="R56" s="222" t="inlineStr">
        <is>
          <t>PANA GORRITI 4600</t>
        </is>
      </c>
      <c r="S56" s="223" t="n">
        <v>72000</v>
      </c>
      <c r="T56" s="224" t="n">
        <v>12000</v>
      </c>
      <c r="U56" s="225" t="n">
        <v>1</v>
      </c>
      <c r="V56" s="226" t="inlineStr">
        <is>
          <t>08/04/2026</t>
        </is>
      </c>
    </row>
    <row r="57" ht="15.75" customHeight="1" s="153">
      <c r="A57" s="227" t="n"/>
      <c r="B57" s="228" t="inlineStr">
        <is>
          <t>WILLIAN</t>
        </is>
      </c>
      <c r="C57" s="229" t="n"/>
      <c r="D57" s="229" t="n">
        <v>1</v>
      </c>
      <c r="E57" s="229" t="n"/>
      <c r="F57" s="230" t="n"/>
      <c r="G57" s="230" t="n"/>
      <c r="H57" s="231" t="n">
        <v>29500</v>
      </c>
      <c r="I57" s="232" t="n"/>
      <c r="J57" s="232" t="n">
        <v>29500</v>
      </c>
      <c r="K57" s="233" t="n"/>
      <c r="L57" s="233">
        <f>IF(K57&lt;&gt;"",13750+K57,13750)</f>
        <v/>
      </c>
      <c r="M57" s="156" t="n"/>
      <c r="N57" s="156" t="n"/>
      <c r="O57" s="156" t="n"/>
      <c r="Q57" s="214" t="inlineStr">
        <is>
          <t>55</t>
        </is>
      </c>
      <c r="R57" s="215" t="inlineStr">
        <is>
          <t>J CIBILS 2519</t>
        </is>
      </c>
      <c r="S57" s="216" t="n">
        <v>72000</v>
      </c>
      <c r="T57" s="236" t="n">
        <v>12000</v>
      </c>
      <c r="U57" s="218" t="n">
        <v>1</v>
      </c>
      <c r="V57" s="219" t="inlineStr">
        <is>
          <t>04/01/2026</t>
        </is>
      </c>
    </row>
    <row r="58" ht="15.75" customHeight="1" s="153">
      <c r="A58" s="237" t="n"/>
      <c r="B58" s="238" t="inlineStr">
        <is>
          <t>LUCHO</t>
        </is>
      </c>
      <c r="C58" s="239" t="n"/>
      <c r="D58" s="239" t="n">
        <v>1</v>
      </c>
      <c r="E58" s="239" t="n"/>
      <c r="F58" s="240" t="n"/>
      <c r="G58" s="240" t="n"/>
      <c r="H58" s="241" t="n">
        <v>21000</v>
      </c>
      <c r="I58" s="242" t="n">
        <v>21000</v>
      </c>
      <c r="J58" s="242" t="n"/>
      <c r="K58" s="233" t="n"/>
      <c r="L58" s="233">
        <f>IF(K58&lt;&gt;"",5250+K58,5250)</f>
        <v/>
      </c>
      <c r="M58" s="156" t="n"/>
      <c r="N58" s="156" t="n"/>
      <c r="O58" s="156" t="n"/>
      <c r="Q58" s="221" t="inlineStr">
        <is>
          <t>56</t>
        </is>
      </c>
      <c r="R58" s="222" t="inlineStr">
        <is>
          <t>SAVEDRA 6445</t>
        </is>
      </c>
      <c r="S58" s="223" t="n">
        <v>72000</v>
      </c>
      <c r="T58" s="224" t="n">
        <v>12000</v>
      </c>
      <c r="U58" s="225" t="n">
        <v>1</v>
      </c>
      <c r="V58" s="226" t="inlineStr">
        <is>
          <t>06/01/2026</t>
        </is>
      </c>
    </row>
    <row r="59" ht="15.75" customHeight="1" s="153">
      <c r="A59" s="227" t="n"/>
      <c r="B59" s="228" t="inlineStr">
        <is>
          <t>ROTI SAN LORENZO</t>
        </is>
      </c>
      <c r="C59" s="229" t="n"/>
      <c r="D59" s="229" t="n">
        <v>1</v>
      </c>
      <c r="E59" s="229" t="n"/>
      <c r="F59" s="230" t="n"/>
      <c r="G59" s="230" t="n"/>
      <c r="H59" s="231" t="n">
        <v>28000</v>
      </c>
      <c r="I59" s="232" t="n"/>
      <c r="J59" s="232" t="n">
        <v>28000</v>
      </c>
      <c r="K59" s="233" t="n"/>
      <c r="L59" s="233">
        <f>IF(K59&lt;&gt;"",12250+K59,12250)</f>
        <v/>
      </c>
      <c r="M59" s="156" t="n"/>
      <c r="N59" s="156" t="n"/>
      <c r="O59" s="156" t="n"/>
      <c r="Q59" s="214" t="inlineStr">
        <is>
          <t>57</t>
        </is>
      </c>
      <c r="R59" s="215" t="inlineStr">
        <is>
          <t>ALFEREZ MOREIRA 1845</t>
        </is>
      </c>
      <c r="S59" s="216" t="n">
        <v>72000</v>
      </c>
      <c r="T59" s="236" t="n">
        <v>12000</v>
      </c>
      <c r="U59" s="218" t="n">
        <v>1</v>
      </c>
      <c r="V59" s="219" t="inlineStr">
        <is>
          <t>23/01/2026</t>
        </is>
      </c>
    </row>
    <row r="60" ht="15.75" customHeight="1" s="153">
      <c r="A60" s="237" t="n"/>
      <c r="B60" s="238" t="inlineStr">
        <is>
          <t>PANA HNO FIGUERIOA</t>
        </is>
      </c>
      <c r="C60" s="239" t="n"/>
      <c r="D60" s="239" t="n"/>
      <c r="E60" s="239" t="n">
        <v>1</v>
      </c>
      <c r="F60" s="240" t="n"/>
      <c r="G60" s="240" t="n"/>
      <c r="H60" s="241" t="n">
        <v>65000</v>
      </c>
      <c r="I60" s="242" t="n"/>
      <c r="J60" s="242" t="n">
        <v>65000</v>
      </c>
      <c r="K60" s="233" t="n"/>
      <c r="L60" s="233">
        <f>IF(K60&lt;&gt;"",18000+K60,18000)</f>
        <v/>
      </c>
      <c r="M60" s="156" t="n"/>
      <c r="N60" s="156" t="n"/>
      <c r="O60" s="156" t="n"/>
      <c r="Q60" s="221" t="inlineStr">
        <is>
          <t>58</t>
        </is>
      </c>
      <c r="R60" s="222" t="inlineStr">
        <is>
          <t>GORRITI 6512</t>
        </is>
      </c>
      <c r="S60" s="223" t="n">
        <v>72000</v>
      </c>
      <c r="T60" s="224" t="n">
        <v>12000</v>
      </c>
      <c r="U60" s="225" t="n">
        <v>1</v>
      </c>
      <c r="V60" s="226" t="inlineStr">
        <is>
          <t>24/01/2026</t>
        </is>
      </c>
    </row>
    <row r="61" ht="15.75" customHeight="1" s="153">
      <c r="A61" s="227" t="n">
        <v>46030</v>
      </c>
      <c r="B61" s="228" t="inlineStr">
        <is>
          <t>BLAS PARERA 6054</t>
        </is>
      </c>
      <c r="C61" s="229" t="n"/>
      <c r="D61" s="229" t="n"/>
      <c r="E61" s="229" t="n">
        <v>1</v>
      </c>
      <c r="F61" s="230" t="n"/>
      <c r="G61" s="230" t="n"/>
      <c r="H61" s="231" t="n">
        <v>69000</v>
      </c>
      <c r="I61" s="232" t="n">
        <v>69000</v>
      </c>
      <c r="J61" s="232" t="n"/>
      <c r="K61" s="233" t="n"/>
      <c r="L61" s="233">
        <f>IF(K61&lt;&gt;"",22000+K61,22000)</f>
        <v/>
      </c>
      <c r="M61" s="156" t="n"/>
      <c r="N61" s="156" t="n"/>
      <c r="O61" s="156" t="n"/>
      <c r="Q61" s="214" t="inlineStr">
        <is>
          <t>59</t>
        </is>
      </c>
      <c r="R61" s="215" t="inlineStr">
        <is>
          <t>GORRITI 4600</t>
        </is>
      </c>
      <c r="S61" s="216" t="n">
        <v>72000</v>
      </c>
      <c r="T61" s="236" t="n">
        <v>12000</v>
      </c>
      <c r="U61" s="218" t="n">
        <v>1</v>
      </c>
      <c r="V61" s="219" t="inlineStr">
        <is>
          <t>31/01/2026</t>
        </is>
      </c>
    </row>
    <row r="62" ht="15.75" customHeight="1" s="153">
      <c r="A62" s="237" t="n"/>
      <c r="B62" s="238" t="inlineStr">
        <is>
          <t>OTNIEL</t>
        </is>
      </c>
      <c r="C62" s="239" t="n">
        <v>1</v>
      </c>
      <c r="D62" s="239" t="n"/>
      <c r="E62" s="239" t="n">
        <v>1</v>
      </c>
      <c r="F62" s="240" t="n"/>
      <c r="G62" s="240" t="n">
        <v>3</v>
      </c>
      <c r="H62" s="241" t="n">
        <v>101400</v>
      </c>
      <c r="I62" s="242" t="n"/>
      <c r="J62" s="242" t="n">
        <v>101400</v>
      </c>
      <c r="K62" s="233" t="n"/>
      <c r="L62" s="233">
        <f>IF(K62&lt;&gt;"",41500+K62,41500)</f>
        <v/>
      </c>
      <c r="M62" s="156" t="n"/>
      <c r="N62" s="156" t="n"/>
      <c r="O62" s="156" t="n"/>
      <c r="Q62" s="221" t="inlineStr">
        <is>
          <t>60</t>
        </is>
      </c>
      <c r="R62" s="222" t="inlineStr">
        <is>
          <t>CONDOMINIO 3728</t>
        </is>
      </c>
      <c r="S62" s="223" t="n">
        <v>71000</v>
      </c>
      <c r="T62" s="224" t="n">
        <v>11000</v>
      </c>
      <c r="U62" s="225" t="n">
        <v>1</v>
      </c>
      <c r="V62" s="226" t="inlineStr">
        <is>
          <t>24/01/2026</t>
        </is>
      </c>
    </row>
    <row r="63" ht="15.75" customHeight="1" s="153">
      <c r="A63" s="227" t="n"/>
      <c r="B63" s="228" t="inlineStr">
        <is>
          <t>JEMA BURGUER</t>
        </is>
      </c>
      <c r="C63" s="229" t="n"/>
      <c r="D63" s="229" t="n"/>
      <c r="E63" s="229" t="n"/>
      <c r="F63" s="230" t="n"/>
      <c r="G63" s="230" t="n">
        <v>3</v>
      </c>
      <c r="H63" s="231" t="n">
        <v>14400</v>
      </c>
      <c r="I63" s="232" t="n">
        <v>14400</v>
      </c>
      <c r="J63" s="232" t="n"/>
      <c r="K63" s="233" t="n"/>
      <c r="L63" s="233">
        <f>IF(K63&lt;&gt;"",12000+K63,12000)</f>
        <v/>
      </c>
      <c r="M63" s="156" t="n"/>
      <c r="N63" s="156" t="n"/>
      <c r="O63" s="156" t="n"/>
      <c r="Q63" s="214" t="inlineStr">
        <is>
          <t>61</t>
        </is>
      </c>
      <c r="R63" s="215" t="inlineStr">
        <is>
          <t>PANA VIEYTES 3800</t>
        </is>
      </c>
      <c r="S63" s="216" t="n">
        <v>69000</v>
      </c>
      <c r="T63" s="236" t="n">
        <v>9000</v>
      </c>
      <c r="U63" s="218" t="n">
        <v>1</v>
      </c>
      <c r="V63" s="219" t="inlineStr">
        <is>
          <t>08/04/2026</t>
        </is>
      </c>
    </row>
    <row r="64" ht="15.75" customHeight="1" s="153">
      <c r="A64" s="237" t="n"/>
      <c r="B64" s="238" t="inlineStr">
        <is>
          <t>GORRITI 4331</t>
        </is>
      </c>
      <c r="C64" s="239" t="n"/>
      <c r="D64" s="239" t="n">
        <v>1</v>
      </c>
      <c r="E64" s="239" t="n"/>
      <c r="F64" s="240" t="n"/>
      <c r="G64" s="240" t="n"/>
      <c r="H64" s="241" t="n">
        <v>33000</v>
      </c>
      <c r="I64" s="242" t="n"/>
      <c r="J64" s="242" t="n">
        <v>33000</v>
      </c>
      <c r="K64" s="233" t="n"/>
      <c r="L64" s="233">
        <f>IF(K64&lt;&gt;"",17250+K64,17250)</f>
        <v/>
      </c>
      <c r="M64" s="156" t="n"/>
      <c r="N64" s="156" t="n"/>
      <c r="O64" s="156" t="n"/>
      <c r="Q64" s="221" t="inlineStr">
        <is>
          <t>62</t>
        </is>
      </c>
      <c r="R64" s="222" t="inlineStr">
        <is>
          <t>LOS PORKI</t>
        </is>
      </c>
      <c r="S64" s="223" t="n">
        <v>69000</v>
      </c>
      <c r="T64" s="224" t="n">
        <v>9000</v>
      </c>
      <c r="U64" s="225" t="n">
        <v>1</v>
      </c>
      <c r="V64" s="226" t="inlineStr">
        <is>
          <t>23/03/2026</t>
        </is>
      </c>
    </row>
    <row r="65" ht="15.75" customHeight="1" s="153">
      <c r="A65" s="227" t="n"/>
      <c r="B65" s="228" t="inlineStr">
        <is>
          <t>FILOMENA</t>
        </is>
      </c>
      <c r="C65" s="229" t="n">
        <v>2</v>
      </c>
      <c r="D65" s="229" t="n"/>
      <c r="E65" s="229" t="n"/>
      <c r="F65" s="230" t="n"/>
      <c r="G65" s="230" t="n"/>
      <c r="H65" s="231" t="n">
        <v>36000</v>
      </c>
      <c r="I65" s="232" t="n">
        <v>36000</v>
      </c>
      <c r="J65" s="232" t="n"/>
      <c r="K65" s="233" t="n"/>
      <c r="L65" s="233">
        <f>IF(K65&lt;&gt;"",15000+K65,15000)</f>
        <v/>
      </c>
      <c r="M65" s="156" t="n"/>
      <c r="N65" s="156" t="n"/>
      <c r="O65" s="156" t="n"/>
      <c r="Q65" s="214" t="inlineStr">
        <is>
          <t>63</t>
        </is>
      </c>
      <c r="R65" s="215" t="inlineStr">
        <is>
          <t>C FUNES 4553</t>
        </is>
      </c>
      <c r="S65" s="216" t="n">
        <v>69000</v>
      </c>
      <c r="T65" s="236" t="n">
        <v>9000</v>
      </c>
      <c r="U65" s="218" t="n">
        <v>1</v>
      </c>
      <c r="V65" s="219" t="inlineStr">
        <is>
          <t>04/01/2026</t>
        </is>
      </c>
    </row>
    <row r="66" ht="15.75" customHeight="1" s="153">
      <c r="A66" s="237" t="n"/>
      <c r="B66" s="238" t="inlineStr">
        <is>
          <t xml:space="preserve">NACHI CUEVA </t>
        </is>
      </c>
      <c r="C66" s="239" t="n">
        <v>1</v>
      </c>
      <c r="D66" s="239" t="n">
        <v>1</v>
      </c>
      <c r="E66" s="239" t="n"/>
      <c r="F66" s="240" t="n"/>
      <c r="G66" s="240" t="n"/>
      <c r="H66" s="241" t="n">
        <v>45000</v>
      </c>
      <c r="I66" s="242" t="n">
        <v>45000</v>
      </c>
      <c r="J66" s="242" t="n"/>
      <c r="K66" s="233" t="n"/>
      <c r="L66" s="233">
        <f>IF(K66&lt;&gt;"",18750+K66,18750)</f>
        <v/>
      </c>
      <c r="M66" s="156" t="n"/>
      <c r="N66" s="156" t="n"/>
      <c r="O66" s="156" t="n"/>
      <c r="Q66" s="221" t="inlineStr">
        <is>
          <t>64</t>
        </is>
      </c>
      <c r="R66" s="222" t="inlineStr">
        <is>
          <t>BLAS PARERA 6054</t>
        </is>
      </c>
      <c r="S66" s="223" t="n">
        <v>69000</v>
      </c>
      <c r="T66" s="224" t="n">
        <v>9000</v>
      </c>
      <c r="U66" s="225" t="n">
        <v>1</v>
      </c>
      <c r="V66" s="226" t="inlineStr">
        <is>
          <t>08/01/2026</t>
        </is>
      </c>
    </row>
    <row r="67" ht="15.75" customHeight="1" s="153">
      <c r="A67" s="227" t="n"/>
      <c r="B67" s="228" t="inlineStr">
        <is>
          <t>EXE</t>
        </is>
      </c>
      <c r="C67" s="229" t="n"/>
      <c r="D67" s="229" t="n"/>
      <c r="E67" s="229" t="n">
        <v>1</v>
      </c>
      <c r="F67" s="230" t="n"/>
      <c r="G67" s="230" t="n"/>
      <c r="H67" s="231" t="n">
        <v>69000</v>
      </c>
      <c r="I67" s="232" t="n"/>
      <c r="J67" s="232" t="n">
        <v>69000</v>
      </c>
      <c r="K67" s="233" t="n"/>
      <c r="L67" s="233">
        <f>IF(K67&lt;&gt;"",22000+K67,22000)</f>
        <v/>
      </c>
      <c r="M67" s="156" t="n"/>
      <c r="N67" s="156" t="n"/>
      <c r="O67" s="156" t="n"/>
      <c r="Q67" s="214" t="inlineStr">
        <is>
          <t>65</t>
        </is>
      </c>
      <c r="R67" s="215" t="inlineStr">
        <is>
          <t>PANA BERUTI 6400</t>
        </is>
      </c>
      <c r="S67" s="216" t="n">
        <v>65000</v>
      </c>
      <c r="T67" s="236" t="n">
        <v>5000</v>
      </c>
      <c r="U67" s="218" t="n">
        <v>1</v>
      </c>
      <c r="V67" s="219" t="inlineStr">
        <is>
          <t>22/04/2026</t>
        </is>
      </c>
    </row>
    <row r="68" ht="15.75" customHeight="1" s="153">
      <c r="A68" s="237" t="n"/>
      <c r="B68" s="238" t="inlineStr">
        <is>
          <t>PANA VIEYTES 3800</t>
        </is>
      </c>
      <c r="C68" s="239" t="n"/>
      <c r="D68" s="239" t="n"/>
      <c r="E68" s="239" t="n">
        <v>1</v>
      </c>
      <c r="F68" s="240" t="n"/>
      <c r="G68" s="240" t="n"/>
      <c r="H68" s="241" t="n">
        <v>69000</v>
      </c>
      <c r="I68" s="242" t="n">
        <v>69000</v>
      </c>
      <c r="J68" s="242" t="n"/>
      <c r="K68" s="233" t="n"/>
      <c r="L68" s="233">
        <f>IF(K68&lt;&gt;"",22000+K68,22000)</f>
        <v/>
      </c>
      <c r="M68" s="156" t="n"/>
      <c r="N68" s="156" t="n"/>
      <c r="O68" s="156" t="n"/>
      <c r="Q68" s="221" t="inlineStr">
        <is>
          <t>66</t>
        </is>
      </c>
      <c r="R68" s="222" t="inlineStr">
        <is>
          <t>DUSSO 6638</t>
        </is>
      </c>
      <c r="S68" s="223" t="n">
        <v>65000</v>
      </c>
      <c r="T68" s="224" t="n">
        <v>5000</v>
      </c>
      <c r="U68" s="225" t="n">
        <v>1</v>
      </c>
      <c r="V68" s="226" t="inlineStr">
        <is>
          <t>02/01/2026</t>
        </is>
      </c>
    </row>
    <row r="69" ht="15.75" customHeight="1" s="153">
      <c r="A69" s="227" t="n"/>
      <c r="B69" s="228" t="inlineStr">
        <is>
          <t>PANA GENESIO</t>
        </is>
      </c>
      <c r="C69" s="229" t="n"/>
      <c r="D69" s="229" t="n"/>
      <c r="E69" s="229" t="n">
        <v>1</v>
      </c>
      <c r="F69" s="230" t="n"/>
      <c r="G69" s="230" t="n"/>
      <c r="H69" s="231" t="n">
        <v>69000</v>
      </c>
      <c r="I69" s="232" t="n">
        <v>69000</v>
      </c>
      <c r="J69" s="232" t="n"/>
      <c r="K69" s="233" t="n"/>
      <c r="L69" s="233">
        <f>IF(K69&lt;&gt;"",22000+K69,22000)</f>
        <v/>
      </c>
      <c r="M69" s="156" t="n"/>
      <c r="N69" s="156" t="n"/>
      <c r="O69" s="156" t="n"/>
      <c r="Q69" s="214" t="inlineStr">
        <is>
          <t>67</t>
        </is>
      </c>
      <c r="R69" s="215" t="inlineStr">
        <is>
          <t>PANA HNO FIGUERIOA</t>
        </is>
      </c>
      <c r="S69" s="216" t="n">
        <v>65000</v>
      </c>
      <c r="T69" s="236" t="n">
        <v>5000</v>
      </c>
      <c r="U69" s="218" t="n">
        <v>1</v>
      </c>
      <c r="V69" s="219" t="inlineStr">
        <is>
          <t>07/01/2026</t>
        </is>
      </c>
    </row>
    <row r="70" ht="15.75" customHeight="1" s="153">
      <c r="A70" s="237" t="n"/>
      <c r="B70" s="238" t="inlineStr">
        <is>
          <t>PANA VIEYTES 4500</t>
        </is>
      </c>
      <c r="C70" s="239" t="n"/>
      <c r="D70" s="239" t="n"/>
      <c r="E70" s="239" t="n">
        <v>1</v>
      </c>
      <c r="F70" s="240" t="n"/>
      <c r="G70" s="240" t="n"/>
      <c r="H70" s="241" t="n">
        <v>65000</v>
      </c>
      <c r="I70" s="242" t="n">
        <v>65000</v>
      </c>
      <c r="J70" s="242" t="n"/>
      <c r="K70" s="233" t="n"/>
      <c r="L70" s="233">
        <f>IF(K70&lt;&gt;"",18000+K70,18000)</f>
        <v/>
      </c>
      <c r="M70" s="156" t="n"/>
      <c r="N70" s="156" t="n"/>
      <c r="O70" s="156" t="n"/>
      <c r="Q70" s="221" t="inlineStr">
        <is>
          <t>68</t>
        </is>
      </c>
      <c r="R70" s="222" t="inlineStr">
        <is>
          <t>SABORERARTE</t>
        </is>
      </c>
      <c r="S70" s="223" t="n">
        <v>64000</v>
      </c>
      <c r="T70" s="224" t="n">
        <v>11500</v>
      </c>
      <c r="U70" s="225" t="n">
        <v>3</v>
      </c>
      <c r="V70" s="226" t="inlineStr">
        <is>
          <t>26/02/2026</t>
        </is>
      </c>
    </row>
    <row r="71" ht="15.75" customHeight="1" s="153">
      <c r="A71" s="227" t="n"/>
      <c r="B71" s="228" t="inlineStr">
        <is>
          <t xml:space="preserve">POLLERIA. BLAS PAREA </t>
        </is>
      </c>
      <c r="C71" s="229" t="n">
        <v>1</v>
      </c>
      <c r="D71" s="229" t="n"/>
      <c r="E71" s="229" t="n"/>
      <c r="F71" s="230" t="n"/>
      <c r="G71" s="230" t="n"/>
      <c r="H71" s="231" t="n">
        <v>17000</v>
      </c>
      <c r="I71" s="232" t="n">
        <v>17000</v>
      </c>
      <c r="J71" s="232" t="n"/>
      <c r="K71" s="233" t="n"/>
      <c r="L71" s="233">
        <f>IF(K71&lt;&gt;"",6500+K71,6500)</f>
        <v/>
      </c>
      <c r="M71" s="156" t="n"/>
      <c r="N71" s="156" t="n"/>
      <c r="O71" s="156" t="n"/>
      <c r="Q71" s="214" t="inlineStr">
        <is>
          <t>69</t>
        </is>
      </c>
      <c r="R71" s="215" t="inlineStr">
        <is>
          <t>PANA VIEYTES GISELA</t>
        </is>
      </c>
      <c r="S71" s="216" t="n">
        <v>63100</v>
      </c>
      <c r="T71" s="236" t="n">
        <v>11200</v>
      </c>
      <c r="U71" s="218" t="n">
        <v>4</v>
      </c>
      <c r="V71" s="219" t="inlineStr">
        <is>
          <t>16/04/2026</t>
        </is>
      </c>
    </row>
    <row r="72" ht="15.75" customHeight="1" s="153">
      <c r="A72" s="237" t="n">
        <v>46031</v>
      </c>
      <c r="B72" s="238" t="inlineStr">
        <is>
          <t>FABIAN</t>
        </is>
      </c>
      <c r="C72" s="239" t="n">
        <v>1</v>
      </c>
      <c r="D72" s="239" t="n"/>
      <c r="E72" s="239" t="n"/>
      <c r="F72" s="240" t="n"/>
      <c r="G72" s="240" t="n"/>
      <c r="H72" s="241" t="n">
        <v>20000</v>
      </c>
      <c r="I72" s="242" t="n">
        <v>20000</v>
      </c>
      <c r="J72" s="242" t="n"/>
      <c r="K72" s="233" t="n"/>
      <c r="L72" s="233">
        <f>IF(K72&lt;&gt;"",9500+K72,9500)</f>
        <v/>
      </c>
      <c r="M72" s="156" t="n"/>
      <c r="N72" s="156" t="n"/>
      <c r="O72" s="156" t="n"/>
      <c r="Q72" s="221" t="inlineStr">
        <is>
          <t>70</t>
        </is>
      </c>
      <c r="R72" s="222" t="inlineStr">
        <is>
          <t>ESTELA PJE PARAGUAY</t>
        </is>
      </c>
      <c r="S72" s="223" t="n">
        <v>56000</v>
      </c>
      <c r="T72" s="245" t="n">
        <v>-4000</v>
      </c>
      <c r="U72" s="225" t="n">
        <v>1</v>
      </c>
      <c r="V72" s="226" t="inlineStr">
        <is>
          <t>18/01/2026</t>
        </is>
      </c>
    </row>
    <row r="73" ht="15.75" customHeight="1" s="153">
      <c r="A73" s="227" t="n"/>
      <c r="B73" s="228" t="inlineStr">
        <is>
          <t xml:space="preserve">PANA VIEYTES </t>
        </is>
      </c>
      <c r="C73" s="229" t="n">
        <v>1</v>
      </c>
      <c r="D73" s="229" t="n"/>
      <c r="E73" s="229" t="n"/>
      <c r="F73" s="230" t="n">
        <v>1</v>
      </c>
      <c r="G73" s="230" t="n"/>
      <c r="H73" s="231" t="n">
        <v>19700</v>
      </c>
      <c r="I73" s="232" t="n"/>
      <c r="J73" s="232" t="n">
        <v>19700</v>
      </c>
      <c r="K73" s="233" t="n"/>
      <c r="L73" s="233">
        <f>IF(K73&lt;&gt;"",6875+K73,6875)</f>
        <v/>
      </c>
      <c r="M73" s="156" t="n"/>
      <c r="N73" s="156" t="n"/>
      <c r="O73" s="156" t="n"/>
      <c r="Q73" s="214" t="inlineStr">
        <is>
          <t>71</t>
        </is>
      </c>
      <c r="R73" s="215" t="inlineStr">
        <is>
          <t>BONEO 4054</t>
        </is>
      </c>
      <c r="S73" s="216" t="n">
        <v>55000</v>
      </c>
      <c r="T73" s="236" t="n">
        <v>17500</v>
      </c>
      <c r="U73" s="218" t="n">
        <v>1</v>
      </c>
      <c r="V73" s="219" t="inlineStr">
        <is>
          <t>11/04/2026</t>
        </is>
      </c>
    </row>
    <row r="74" ht="15.75" customHeight="1" s="153">
      <c r="A74" s="237" t="n"/>
      <c r="B74" s="238" t="inlineStr">
        <is>
          <t>OTNIEL</t>
        </is>
      </c>
      <c r="C74" s="239" t="n"/>
      <c r="D74" s="239" t="n"/>
      <c r="E74" s="239" t="n"/>
      <c r="F74" s="240" t="n">
        <v>4</v>
      </c>
      <c r="G74" s="240" t="n"/>
      <c r="H74" s="241" t="n">
        <v>14400</v>
      </c>
      <c r="I74" s="242" t="n">
        <v>14400</v>
      </c>
      <c r="J74" s="242" t="n"/>
      <c r="K74" s="233" t="n"/>
      <c r="L74" s="233">
        <f>IF(K74&lt;&gt;"",5100+K74,5100)</f>
        <v/>
      </c>
      <c r="M74" s="156" t="n"/>
      <c r="N74" s="156" t="n"/>
      <c r="O74" s="156" t="n"/>
      <c r="Q74" s="221" t="inlineStr">
        <is>
          <t>72</t>
        </is>
      </c>
      <c r="R74" s="222" t="inlineStr">
        <is>
          <t>SEGUI 1680</t>
        </is>
      </c>
      <c r="S74" s="223" t="n">
        <v>54000</v>
      </c>
      <c r="T74" s="224" t="n">
        <v>16500</v>
      </c>
      <c r="U74" s="225" t="n">
        <v>2</v>
      </c>
      <c r="V74" s="226" t="inlineStr">
        <is>
          <t>25/03/2026</t>
        </is>
      </c>
    </row>
    <row r="75" ht="15.75" customHeight="1" s="153">
      <c r="A75" s="227" t="n"/>
      <c r="B75" s="228" t="inlineStr">
        <is>
          <t xml:space="preserve">ROTI VIEYTES </t>
        </is>
      </c>
      <c r="C75" s="229" t="n"/>
      <c r="D75" s="229" t="n">
        <v>4</v>
      </c>
      <c r="E75" s="229" t="n"/>
      <c r="F75" s="230" t="n"/>
      <c r="G75" s="230" t="n"/>
      <c r="H75" s="231" t="n">
        <v>78000</v>
      </c>
      <c r="I75" s="232" t="n"/>
      <c r="J75" s="232" t="n">
        <v>78000</v>
      </c>
      <c r="K75" s="233" t="n"/>
      <c r="L75" s="233">
        <f>IF(K75&lt;&gt;"",15000+K75,15000)</f>
        <v/>
      </c>
      <c r="M75" s="156" t="n"/>
      <c r="N75" s="156" t="n"/>
      <c r="O75" s="156" t="n"/>
      <c r="Q75" s="214" t="inlineStr">
        <is>
          <t>73</t>
        </is>
      </c>
      <c r="R75" s="215" t="inlineStr">
        <is>
          <t>ROTI DOMINGO SILVA</t>
        </is>
      </c>
      <c r="S75" s="216" t="n">
        <v>52000</v>
      </c>
      <c r="T75" s="217" t="n">
        <v>-8000</v>
      </c>
      <c r="U75" s="218" t="n">
        <v>1</v>
      </c>
      <c r="V75" s="219" t="inlineStr">
        <is>
          <t>06/01/2026</t>
        </is>
      </c>
    </row>
    <row r="76" ht="15.75" customHeight="1" s="153">
      <c r="A76" s="237" t="n"/>
      <c r="B76" s="238" t="inlineStr">
        <is>
          <t>LOBATO BARBARA</t>
        </is>
      </c>
      <c r="C76" s="239" t="n"/>
      <c r="D76" s="239" t="n"/>
      <c r="E76" s="239" t="n">
        <v>1</v>
      </c>
      <c r="F76" s="240" t="n"/>
      <c r="G76" s="240" t="n"/>
      <c r="H76" s="241" t="n">
        <v>75000</v>
      </c>
      <c r="I76" s="242" t="n">
        <v>75000</v>
      </c>
      <c r="J76" s="242" t="n"/>
      <c r="K76" s="233" t="n"/>
      <c r="L76" s="233">
        <f>IF(K76&lt;&gt;"",28000+K76,28000)</f>
        <v/>
      </c>
      <c r="M76" s="156" t="n"/>
      <c r="N76" s="156" t="n"/>
      <c r="O76" s="156" t="n"/>
      <c r="Q76" s="221" t="inlineStr">
        <is>
          <t>74</t>
        </is>
      </c>
      <c r="R76" s="222" t="inlineStr">
        <is>
          <t>P CEBALLOS 8134</t>
        </is>
      </c>
      <c r="S76" s="223" t="n">
        <v>49000</v>
      </c>
      <c r="T76" s="245" t="n">
        <v>-3500</v>
      </c>
      <c r="U76" s="225" t="n">
        <v>1</v>
      </c>
      <c r="V76" s="226" t="inlineStr">
        <is>
          <t>17/03/2026</t>
        </is>
      </c>
    </row>
    <row r="77" ht="15.75" customHeight="1" s="153">
      <c r="A77" s="227" t="n"/>
      <c r="B77" s="228" t="inlineStr">
        <is>
          <t>ANA ABDALA</t>
        </is>
      </c>
      <c r="C77" s="229" t="n">
        <v>1</v>
      </c>
      <c r="D77" s="229" t="n"/>
      <c r="E77" s="229" t="n"/>
      <c r="F77" s="230" t="n"/>
      <c r="G77" s="230" t="n"/>
      <c r="H77" s="231" t="n">
        <v>22000</v>
      </c>
      <c r="I77" s="232" t="n">
        <v>22000</v>
      </c>
      <c r="J77" s="232" t="n"/>
      <c r="K77" s="233" t="n"/>
      <c r="L77" s="233">
        <f>IF(K77&lt;&gt;"",11500+K77,11500)</f>
        <v/>
      </c>
      <c r="M77" s="156" t="n"/>
      <c r="N77" s="156" t="n"/>
      <c r="O77" s="156" t="n"/>
      <c r="Q77" s="214" t="inlineStr">
        <is>
          <t>75</t>
        </is>
      </c>
      <c r="R77" s="215" t="inlineStr">
        <is>
          <t>NACHI CUEVA</t>
        </is>
      </c>
      <c r="S77" s="216" t="n">
        <v>45000</v>
      </c>
      <c r="T77" s="236" t="n">
        <v>7500</v>
      </c>
      <c r="U77" s="218" t="n">
        <v>1</v>
      </c>
      <c r="V77" s="219" t="inlineStr">
        <is>
          <t>08/01/2026</t>
        </is>
      </c>
    </row>
    <row r="78" ht="15.75" customHeight="1" s="153">
      <c r="A78" s="237" t="n"/>
      <c r="B78" s="238" t="inlineStr">
        <is>
          <t>JUJUY 3451</t>
        </is>
      </c>
      <c r="C78" s="239" t="n">
        <v>1</v>
      </c>
      <c r="D78" s="239" t="n"/>
      <c r="E78" s="239" t="n"/>
      <c r="F78" s="240" t="n"/>
      <c r="G78" s="240" t="n"/>
      <c r="H78" s="241" t="n">
        <v>22000</v>
      </c>
      <c r="I78" s="242" t="n">
        <v>22000</v>
      </c>
      <c r="J78" s="242" t="n"/>
      <c r="K78" s="233" t="n"/>
      <c r="L78" s="233">
        <f>IF(K78&lt;&gt;"",11500+K78,11500)</f>
        <v/>
      </c>
      <c r="M78" s="156" t="n"/>
      <c r="N78" s="156" t="n"/>
      <c r="O78" s="156" t="n"/>
      <c r="Q78" s="221" t="inlineStr">
        <is>
          <t>76</t>
        </is>
      </c>
      <c r="R78" s="222" t="inlineStr">
        <is>
          <t>GENERAL PAZ 7826</t>
        </is>
      </c>
      <c r="S78" s="223" t="n">
        <v>44000</v>
      </c>
      <c r="T78" s="224" t="n">
        <v>14000</v>
      </c>
      <c r="U78" s="225" t="n">
        <v>2</v>
      </c>
      <c r="V78" s="226" t="inlineStr">
        <is>
          <t>13/02/2026</t>
        </is>
      </c>
    </row>
    <row r="79" ht="15.75" customHeight="1" s="153">
      <c r="A79" s="227" t="n"/>
      <c r="B79" s="228" t="inlineStr">
        <is>
          <t>SABOREAR</t>
        </is>
      </c>
      <c r="C79" s="229" t="n">
        <v>1</v>
      </c>
      <c r="D79" s="229" t="n"/>
      <c r="E79" s="229" t="n">
        <v>1</v>
      </c>
      <c r="F79" s="230" t="n"/>
      <c r="G79" s="230" t="n"/>
      <c r="H79" s="231" t="n">
        <v>87000</v>
      </c>
      <c r="I79" s="232" t="n"/>
      <c r="J79" s="232" t="n">
        <v>87000</v>
      </c>
      <c r="K79" s="233" t="n"/>
      <c r="L79" s="233">
        <f>IF(K79&lt;&gt;"",29500+K79,29500)</f>
        <v/>
      </c>
      <c r="M79" s="156" t="n"/>
      <c r="N79" s="156" t="n"/>
      <c r="O79" s="156" t="n"/>
      <c r="Q79" s="214" t="inlineStr">
        <is>
          <t>77</t>
        </is>
      </c>
      <c r="R79" s="215" t="inlineStr">
        <is>
          <t>LAVADERO</t>
        </is>
      </c>
      <c r="S79" s="216" t="n">
        <v>43500</v>
      </c>
      <c r="T79" s="217" t="n">
        <v>-1500</v>
      </c>
      <c r="U79" s="218" t="n">
        <v>3</v>
      </c>
      <c r="V79" s="219" t="inlineStr">
        <is>
          <t>19/03/2026</t>
        </is>
      </c>
    </row>
    <row r="80" ht="15.75" customHeight="1" s="153">
      <c r="A80" s="237" t="n">
        <v>46032</v>
      </c>
      <c r="B80" s="238" t="inlineStr">
        <is>
          <t>PANA GORRITI</t>
        </is>
      </c>
      <c r="C80" s="239" t="n"/>
      <c r="D80" s="239" t="n"/>
      <c r="E80" s="239" t="n">
        <v>1</v>
      </c>
      <c r="F80" s="240" t="n"/>
      <c r="G80" s="240" t="n"/>
      <c r="H80" s="241" t="n">
        <v>72000</v>
      </c>
      <c r="I80" s="242" t="n">
        <v>72000</v>
      </c>
      <c r="J80" s="242" t="n"/>
      <c r="K80" s="233" t="n"/>
      <c r="L80" s="233">
        <f>IF(K80&lt;&gt;"",25000+K80,25000)</f>
        <v/>
      </c>
      <c r="M80" s="156" t="n"/>
      <c r="N80" s="156" t="n"/>
      <c r="O80" s="156" t="n"/>
      <c r="Q80" s="221" t="inlineStr">
        <is>
          <t>78</t>
        </is>
      </c>
      <c r="R80" s="222" t="inlineStr">
        <is>
          <t>LAVAISE 3786</t>
        </is>
      </c>
      <c r="S80" s="223" t="n">
        <v>42000</v>
      </c>
      <c r="T80" s="224" t="n">
        <v>12000</v>
      </c>
      <c r="U80" s="225" t="n">
        <v>1</v>
      </c>
      <c r="V80" s="226" t="inlineStr">
        <is>
          <t>08/04/2026</t>
        </is>
      </c>
    </row>
    <row r="81" ht="15.75" customHeight="1" s="153">
      <c r="A81" s="227" t="n"/>
      <c r="B81" s="228" t="inlineStr">
        <is>
          <t>BERUTI 5520</t>
        </is>
      </c>
      <c r="C81" s="229" t="n"/>
      <c r="D81" s="229" t="n"/>
      <c r="E81" s="229" t="n"/>
      <c r="F81" s="230" t="n"/>
      <c r="G81" s="230" t="n">
        <v>2</v>
      </c>
      <c r="H81" s="231" t="n">
        <v>10000</v>
      </c>
      <c r="I81" s="232" t="n"/>
      <c r="J81" s="232" t="n">
        <v>10000</v>
      </c>
      <c r="K81" s="233" t="n"/>
      <c r="L81" s="233">
        <f>IF(K81&lt;&gt;"",8400+K81,8400)</f>
        <v/>
      </c>
      <c r="M81" s="156" t="n"/>
      <c r="N81" s="156" t="n"/>
      <c r="O81" s="156" t="n"/>
      <c r="Q81" s="214" t="inlineStr">
        <is>
          <t>79</t>
        </is>
      </c>
      <c r="R81" s="215" t="inlineStr">
        <is>
          <t>BONEO 5315</t>
        </is>
      </c>
      <c r="S81" s="216" t="n">
        <v>41000</v>
      </c>
      <c r="T81" s="236" t="n">
        <v>11000</v>
      </c>
      <c r="U81" s="218" t="n">
        <v>1</v>
      </c>
      <c r="V81" s="219" t="inlineStr">
        <is>
          <t>19/04/2026</t>
        </is>
      </c>
    </row>
    <row r="82" ht="15.75" customHeight="1" s="153">
      <c r="A82" s="237" t="n"/>
      <c r="B82" s="238" t="inlineStr">
        <is>
          <t>AZOPARDO 7219</t>
        </is>
      </c>
      <c r="C82" s="239" t="n">
        <v>1</v>
      </c>
      <c r="D82" s="239" t="n"/>
      <c r="E82" s="239" t="n"/>
      <c r="F82" s="240" t="n"/>
      <c r="G82" s="240" t="n"/>
      <c r="H82" s="241" t="n">
        <v>22000</v>
      </c>
      <c r="I82" s="242" t="n"/>
      <c r="J82" s="242" t="n">
        <v>22000</v>
      </c>
      <c r="K82" s="233" t="n"/>
      <c r="L82" s="233">
        <f>IF(K82&lt;&gt;"",11500+K82,11500)</f>
        <v/>
      </c>
      <c r="M82" s="156" t="n"/>
      <c r="N82" s="156" t="n"/>
      <c r="O82" s="156" t="n"/>
      <c r="Q82" s="221" t="inlineStr">
        <is>
          <t>80</t>
        </is>
      </c>
      <c r="R82" s="222" t="inlineStr">
        <is>
          <t>FORMOSOA 6058</t>
        </is>
      </c>
      <c r="S82" s="223" t="n">
        <v>37900</v>
      </c>
      <c r="T82" s="224" t="n">
        <v>20350</v>
      </c>
      <c r="U82" s="225" t="n">
        <v>1</v>
      </c>
      <c r="V82" s="226" t="inlineStr">
        <is>
          <t>30/01/2026</t>
        </is>
      </c>
    </row>
    <row r="83" ht="15.75" customHeight="1" s="153">
      <c r="A83" s="227" t="n"/>
      <c r="B83" s="228" t="inlineStr">
        <is>
          <t>FILOMENA</t>
        </is>
      </c>
      <c r="C83" s="229" t="n">
        <v>2</v>
      </c>
      <c r="D83" s="229" t="n"/>
      <c r="E83" s="229" t="n"/>
      <c r="F83" s="230" t="n"/>
      <c r="G83" s="230" t="n"/>
      <c r="H83" s="231" t="n">
        <v>36000</v>
      </c>
      <c r="I83" s="232" t="n">
        <v>36000</v>
      </c>
      <c r="J83" s="232" t="n"/>
      <c r="K83" s="233" t="n"/>
      <c r="L83" s="233">
        <f>IF(K83&lt;&gt;"",15000+K83,15000)</f>
        <v/>
      </c>
      <c r="M83" s="156" t="n"/>
      <c r="N83" s="156" t="n"/>
      <c r="O83" s="156" t="n"/>
      <c r="Q83" s="214" t="inlineStr">
        <is>
          <t>81</t>
        </is>
      </c>
      <c r="R83" s="215" t="inlineStr">
        <is>
          <t>HERNANDARIAS 5211</t>
        </is>
      </c>
      <c r="S83" s="216" t="n">
        <v>36000</v>
      </c>
      <c r="T83" s="236" t="n">
        <v>13500</v>
      </c>
      <c r="U83" s="218" t="n">
        <v>1</v>
      </c>
      <c r="V83" s="219" t="inlineStr">
        <is>
          <t>22/01/2026</t>
        </is>
      </c>
    </row>
    <row r="84" ht="15.75" customHeight="1" s="153">
      <c r="A84" s="237" t="n"/>
      <c r="B84" s="238" t="inlineStr">
        <is>
          <t>SAMDRA</t>
        </is>
      </c>
      <c r="C84" s="239" t="n">
        <v>1</v>
      </c>
      <c r="D84" s="239" t="n"/>
      <c r="E84" s="239" t="n"/>
      <c r="F84" s="240" t="n"/>
      <c r="G84" s="240" t="n"/>
      <c r="H84" s="241" t="n">
        <v>14500</v>
      </c>
      <c r="I84" s="242" t="n">
        <v>14500</v>
      </c>
      <c r="J84" s="242" t="n"/>
      <c r="K84" s="233" t="n"/>
      <c r="L84" s="233">
        <f>IF(K84&lt;&gt;"",4000+K84,4000)</f>
        <v/>
      </c>
      <c r="M84" s="156" t="n"/>
      <c r="N84" s="156" t="n"/>
      <c r="O84" s="156" t="n"/>
      <c r="Q84" s="221" t="inlineStr">
        <is>
          <t>82</t>
        </is>
      </c>
      <c r="R84" s="222" t="inlineStr">
        <is>
          <t>ARISTOBULO 5879</t>
        </is>
      </c>
      <c r="S84" s="223" t="n">
        <v>34500</v>
      </c>
      <c r="T84" s="224" t="n">
        <v>12000</v>
      </c>
      <c r="U84" s="225" t="n">
        <v>1</v>
      </c>
      <c r="V84" s="226" t="inlineStr">
        <is>
          <t>14/03/2026</t>
        </is>
      </c>
    </row>
    <row r="85" ht="15.75" customHeight="1" s="153">
      <c r="A85" s="227" t="n"/>
      <c r="B85" s="228" t="inlineStr">
        <is>
          <t>PUBLICO 4746</t>
        </is>
      </c>
      <c r="C85" s="229" t="n"/>
      <c r="D85" s="229" t="n"/>
      <c r="E85" s="229" t="n">
        <v>1</v>
      </c>
      <c r="F85" s="230" t="n"/>
      <c r="G85" s="230" t="n"/>
      <c r="H85" s="231" t="n">
        <v>75000</v>
      </c>
      <c r="I85" s="232" t="n"/>
      <c r="J85" s="232" t="n">
        <v>75000</v>
      </c>
      <c r="K85" s="233" t="n"/>
      <c r="L85" s="233">
        <f>IF(K85&lt;&gt;"",28000+K85,28000)</f>
        <v/>
      </c>
      <c r="M85" s="156" t="n"/>
      <c r="N85" s="156" t="n"/>
      <c r="O85" s="156" t="n"/>
      <c r="Q85" s="214" t="inlineStr">
        <is>
          <t>83</t>
        </is>
      </c>
      <c r="R85" s="215" t="inlineStr">
        <is>
          <t>GARMENDIA 9249</t>
        </is>
      </c>
      <c r="S85" s="216" t="n">
        <v>34000</v>
      </c>
      <c r="T85" s="236" t="n">
        <v>11500</v>
      </c>
      <c r="U85" s="218" t="n">
        <v>1</v>
      </c>
      <c r="V85" s="219" t="inlineStr">
        <is>
          <t>08/04/2026</t>
        </is>
      </c>
    </row>
    <row r="86" ht="15.75" customHeight="1" s="153">
      <c r="A86" s="237" t="n"/>
      <c r="B86" s="238" t="inlineStr">
        <is>
          <t>ALSUNA 7980</t>
        </is>
      </c>
      <c r="C86" s="239" t="n">
        <v>1</v>
      </c>
      <c r="D86" s="239" t="n"/>
      <c r="E86" s="239" t="n"/>
      <c r="F86" s="240" t="n"/>
      <c r="G86" s="240" t="n"/>
      <c r="H86" s="241" t="n">
        <v>22000</v>
      </c>
      <c r="I86" s="242" t="n">
        <v>22000</v>
      </c>
      <c r="J86" s="242" t="n"/>
      <c r="K86" s="233" t="n"/>
      <c r="L86" s="233">
        <f>IF(K86&lt;&gt;"",11500+K86,11500)</f>
        <v/>
      </c>
      <c r="M86" s="156" t="n"/>
      <c r="N86" s="156" t="n"/>
      <c r="O86" s="156" t="n"/>
      <c r="Q86" s="221" t="inlineStr">
        <is>
          <t>84</t>
        </is>
      </c>
      <c r="R86" s="222" t="inlineStr">
        <is>
          <t>JM ZUVIRIA 2143</t>
        </is>
      </c>
      <c r="S86" s="223" t="n">
        <v>34000</v>
      </c>
      <c r="T86" s="224" t="n">
        <v>11500</v>
      </c>
      <c r="U86" s="225" t="n">
        <v>1</v>
      </c>
      <c r="V86" s="226" t="inlineStr">
        <is>
          <t>12/01/2026</t>
        </is>
      </c>
    </row>
    <row r="87" ht="15.75" customHeight="1" s="153">
      <c r="A87" s="227" t="n"/>
      <c r="B87" s="228" t="inlineStr">
        <is>
          <t>BRASERIA</t>
        </is>
      </c>
      <c r="C87" s="229" t="n"/>
      <c r="D87" s="229" t="n"/>
      <c r="E87" s="229" t="n">
        <v>1</v>
      </c>
      <c r="F87" s="230" t="n"/>
      <c r="G87" s="230" t="n"/>
      <c r="H87" s="231" t="n">
        <v>69000</v>
      </c>
      <c r="I87" s="232" t="n"/>
      <c r="J87" s="232" t="n">
        <v>69000</v>
      </c>
      <c r="K87" s="233" t="n"/>
      <c r="L87" s="233">
        <f>IF(K87&lt;&gt;"",22000+K87,22000)</f>
        <v/>
      </c>
      <c r="M87" s="156" t="n"/>
      <c r="N87" s="156" t="n"/>
      <c r="O87" s="156" t="n"/>
      <c r="Q87" s="214" t="inlineStr">
        <is>
          <t>85</t>
        </is>
      </c>
      <c r="R87" s="215" t="inlineStr">
        <is>
          <t>LAVAISE 1074</t>
        </is>
      </c>
      <c r="S87" s="216" t="n">
        <v>33600</v>
      </c>
      <c r="T87" s="236" t="n">
        <v>16900</v>
      </c>
      <c r="U87" s="218" t="n">
        <v>1</v>
      </c>
      <c r="V87" s="219" t="inlineStr">
        <is>
          <t>05/03/2026</t>
        </is>
      </c>
    </row>
    <row r="88" ht="15.75" customHeight="1" s="153">
      <c r="A88" s="237" t="n"/>
      <c r="B88" s="238" t="inlineStr">
        <is>
          <t>GRAL PAZ 7989</t>
        </is>
      </c>
      <c r="C88" s="239" t="n">
        <v>1</v>
      </c>
      <c r="D88" s="239" t="n"/>
      <c r="E88" s="239" t="n"/>
      <c r="F88" s="240" t="n"/>
      <c r="G88" s="240" t="n"/>
      <c r="H88" s="241" t="n">
        <v>22000</v>
      </c>
      <c r="I88" s="242" t="n">
        <v>22000</v>
      </c>
      <c r="J88" s="242" t="n"/>
      <c r="K88" s="233" t="n"/>
      <c r="L88" s="233">
        <f>IF(K88&lt;&gt;"",11500+K88,11500)</f>
        <v/>
      </c>
      <c r="M88" s="156" t="n"/>
      <c r="N88" s="156" t="n"/>
      <c r="O88" s="156" t="n"/>
      <c r="Q88" s="221" t="inlineStr">
        <is>
          <t>86</t>
        </is>
      </c>
      <c r="R88" s="222" t="inlineStr">
        <is>
          <t>TOFFO</t>
        </is>
      </c>
      <c r="S88" s="223" t="n">
        <v>33000</v>
      </c>
      <c r="T88" s="224" t="n">
        <v>10500</v>
      </c>
      <c r="U88" s="225" t="n">
        <v>1</v>
      </c>
      <c r="V88" s="226" t="inlineStr">
        <is>
          <t>22/04/2026</t>
        </is>
      </c>
    </row>
    <row r="89" ht="15.75" customHeight="1" s="153">
      <c r="A89" s="227" t="n">
        <v>46033</v>
      </c>
      <c r="B89" s="228" t="inlineStr">
        <is>
          <t>BENTEVEOS DAMIAN</t>
        </is>
      </c>
      <c r="C89" s="229" t="n"/>
      <c r="D89" s="229" t="n"/>
      <c r="E89" s="229" t="n">
        <v>1</v>
      </c>
      <c r="F89" s="230" t="n"/>
      <c r="G89" s="230" t="n"/>
      <c r="H89" s="231" t="n">
        <v>78000</v>
      </c>
      <c r="I89" s="232" t="n"/>
      <c r="J89" s="232" t="n">
        <v>78000</v>
      </c>
      <c r="K89" s="233" t="n"/>
      <c r="L89" s="233">
        <f>IF(K89&lt;&gt;"",31000+K89,31000)</f>
        <v/>
      </c>
      <c r="M89" s="156" t="n"/>
      <c r="N89" s="156" t="n"/>
      <c r="O89" s="156" t="n"/>
      <c r="Q89" s="214" t="inlineStr">
        <is>
          <t>87</t>
        </is>
      </c>
      <c r="R89" s="215" t="inlineStr">
        <is>
          <t>PAVON 2124</t>
        </is>
      </c>
      <c r="S89" s="216" t="n">
        <v>33000</v>
      </c>
      <c r="T89" s="236" t="n">
        <v>10500</v>
      </c>
      <c r="U89" s="218" t="n">
        <v>1</v>
      </c>
      <c r="V89" s="219" t="inlineStr">
        <is>
          <t>03/04/2026</t>
        </is>
      </c>
    </row>
    <row r="90" ht="15.75" customHeight="1" s="153">
      <c r="A90" s="237" t="n"/>
      <c r="B90" s="238" t="inlineStr">
        <is>
          <t>ALBERTI 4538</t>
        </is>
      </c>
      <c r="C90" s="239" t="n"/>
      <c r="D90" s="239" t="n">
        <v>1</v>
      </c>
      <c r="E90" s="239" t="n"/>
      <c r="F90" s="240" t="n"/>
      <c r="G90" s="240" t="n"/>
      <c r="H90" s="241" t="n">
        <v>33000</v>
      </c>
      <c r="I90" s="242" t="n"/>
      <c r="J90" s="242" t="n">
        <v>33000</v>
      </c>
      <c r="K90" s="233" t="n"/>
      <c r="L90" s="233">
        <f>IF(K90&lt;&gt;"",17250+K90,17250)</f>
        <v/>
      </c>
      <c r="M90" s="156" t="n"/>
      <c r="N90" s="156" t="n"/>
      <c r="O90" s="156" t="n"/>
      <c r="Q90" s="221" t="inlineStr">
        <is>
          <t>88</t>
        </is>
      </c>
      <c r="R90" s="222" t="inlineStr">
        <is>
          <t>ALBERTI 4538</t>
        </is>
      </c>
      <c r="S90" s="223" t="n">
        <v>33000</v>
      </c>
      <c r="T90" s="224" t="n">
        <v>10500</v>
      </c>
      <c r="U90" s="225" t="n">
        <v>1</v>
      </c>
      <c r="V90" s="226" t="inlineStr">
        <is>
          <t>25/03/2026</t>
        </is>
      </c>
    </row>
    <row r="91" ht="15.75" customHeight="1" s="153">
      <c r="A91" s="227" t="n"/>
      <c r="B91" s="228" t="inlineStr">
        <is>
          <t xml:space="preserve">PANA ALBERTI </t>
        </is>
      </c>
      <c r="C91" s="229" t="n"/>
      <c r="D91" s="229" t="n"/>
      <c r="E91" s="229" t="n">
        <v>1</v>
      </c>
      <c r="F91" s="230" t="n"/>
      <c r="G91" s="230" t="n"/>
      <c r="H91" s="231" t="n">
        <v>69000</v>
      </c>
      <c r="I91" s="232" t="n">
        <v>69000</v>
      </c>
      <c r="J91" s="232" t="n"/>
      <c r="K91" s="233" t="n"/>
      <c r="L91" s="233">
        <f>IF(K91&lt;&gt;"",22000+K91,22000)</f>
        <v/>
      </c>
      <c r="M91" s="156" t="n"/>
      <c r="N91" s="156" t="n"/>
      <c r="O91" s="156" t="n"/>
      <c r="Q91" s="214" t="inlineStr">
        <is>
          <t>89</t>
        </is>
      </c>
      <c r="R91" s="215" t="inlineStr">
        <is>
          <t>GORRITI 4331</t>
        </is>
      </c>
      <c r="S91" s="216" t="n">
        <v>33000</v>
      </c>
      <c r="T91" s="236" t="n">
        <v>10500</v>
      </c>
      <c r="U91" s="218" t="n">
        <v>1</v>
      </c>
      <c r="V91" s="219" t="inlineStr">
        <is>
          <t>08/01/2026</t>
        </is>
      </c>
    </row>
    <row r="92" ht="15.75" customHeight="1" s="153">
      <c r="A92" s="237" t="n"/>
      <c r="B92" s="238" t="inlineStr">
        <is>
          <t>LUCHO</t>
        </is>
      </c>
      <c r="C92" s="239" t="n">
        <v>4</v>
      </c>
      <c r="D92" s="239" t="n"/>
      <c r="E92" s="239" t="n"/>
      <c r="F92" s="240" t="n"/>
      <c r="G92" s="240" t="n"/>
      <c r="H92" s="241" t="n">
        <v>58000</v>
      </c>
      <c r="I92" s="242" t="n">
        <v>58000</v>
      </c>
      <c r="J92" s="242" t="n"/>
      <c r="K92" s="233" t="n"/>
      <c r="L92" s="233">
        <f>IF(K92&lt;&gt;"",16000+K92,16000)</f>
        <v/>
      </c>
      <c r="M92" s="156" t="n"/>
      <c r="N92" s="156" t="n"/>
      <c r="O92" s="156" t="n"/>
      <c r="Q92" s="221" t="inlineStr">
        <is>
          <t>90</t>
        </is>
      </c>
      <c r="R92" s="222" t="inlineStr">
        <is>
          <t>CHICLANA 7565</t>
        </is>
      </c>
      <c r="S92" s="223" t="n">
        <v>33000</v>
      </c>
      <c r="T92" s="224" t="n">
        <v>10500</v>
      </c>
      <c r="U92" s="225" t="n">
        <v>1</v>
      </c>
      <c r="V92" s="226" t="inlineStr">
        <is>
          <t>17/01/2026</t>
        </is>
      </c>
    </row>
    <row r="93" ht="15.75" customHeight="1" s="153">
      <c r="A93" s="227" t="n"/>
      <c r="B93" s="228" t="inlineStr">
        <is>
          <t>M CANDIOTI 6281</t>
        </is>
      </c>
      <c r="C93" s="229" t="n">
        <v>1</v>
      </c>
      <c r="D93" s="229" t="n"/>
      <c r="E93" s="229" t="n"/>
      <c r="F93" s="230" t="n"/>
      <c r="G93" s="230" t="n"/>
      <c r="H93" s="231" t="n">
        <v>22000</v>
      </c>
      <c r="I93" s="232" t="n"/>
      <c r="J93" s="232" t="n">
        <v>22000</v>
      </c>
      <c r="K93" s="233" t="n"/>
      <c r="L93" s="233">
        <f>IF(K93&lt;&gt;"",11500+K93,11500)</f>
        <v/>
      </c>
      <c r="M93" s="156" t="n"/>
      <c r="N93" s="156" t="n"/>
      <c r="O93" s="156" t="n"/>
      <c r="Q93" s="214" t="inlineStr">
        <is>
          <t>91</t>
        </is>
      </c>
      <c r="R93" s="215" t="inlineStr">
        <is>
          <t>AGUAYO 3617</t>
        </is>
      </c>
      <c r="S93" s="216" t="n">
        <v>33000</v>
      </c>
      <c r="T93" s="236" t="n">
        <v>10500</v>
      </c>
      <c r="U93" s="218" t="n">
        <v>1</v>
      </c>
      <c r="V93" s="219" t="inlineStr">
        <is>
          <t>25/01/2026</t>
        </is>
      </c>
    </row>
    <row r="94" ht="15.75" customHeight="1" s="153">
      <c r="A94" s="237" t="n"/>
      <c r="B94" s="238" t="inlineStr">
        <is>
          <t>GARMENDIA 9249</t>
        </is>
      </c>
      <c r="C94" s="239" t="n"/>
      <c r="D94" s="239" t="n">
        <v>1</v>
      </c>
      <c r="E94" s="239" t="n"/>
      <c r="F94" s="240" t="n"/>
      <c r="G94" s="240" t="n"/>
      <c r="H94" s="241" t="n">
        <v>34000</v>
      </c>
      <c r="I94" s="242" t="n"/>
      <c r="J94" s="242" t="n">
        <v>34000</v>
      </c>
      <c r="K94" s="233" t="n"/>
      <c r="L94" s="233">
        <f>IF(K94&lt;&gt;"",18250+K94,18250)</f>
        <v/>
      </c>
      <c r="M94" s="156" t="n"/>
      <c r="N94" s="156" t="n"/>
      <c r="O94" s="156" t="n"/>
      <c r="Q94" s="221" t="inlineStr">
        <is>
          <t>92</t>
        </is>
      </c>
      <c r="R94" s="222" t="inlineStr">
        <is>
          <t>SAN LORENZO 5081</t>
        </is>
      </c>
      <c r="S94" s="223" t="n">
        <v>33000</v>
      </c>
      <c r="T94" s="224" t="n">
        <v>10500</v>
      </c>
      <c r="U94" s="225" t="n">
        <v>1</v>
      </c>
      <c r="V94" s="226" t="inlineStr">
        <is>
          <t>28/01/2026</t>
        </is>
      </c>
    </row>
    <row r="95" ht="15.75" customHeight="1" s="153">
      <c r="A95" s="227" t="n"/>
      <c r="B95" s="228" t="inlineStr">
        <is>
          <t>SABORERARTE</t>
        </is>
      </c>
      <c r="C95" s="229" t="n"/>
      <c r="D95" s="229" t="n">
        <v>1</v>
      </c>
      <c r="E95" s="229" t="n"/>
      <c r="F95" s="230" t="n"/>
      <c r="G95" s="230" t="n"/>
      <c r="H95" s="231" t="n">
        <v>28000</v>
      </c>
      <c r="I95" s="232" t="n">
        <v>12000</v>
      </c>
      <c r="J95" s="232" t="n">
        <v>28000</v>
      </c>
      <c r="K95" s="233" t="n"/>
      <c r="L95" s="233">
        <f>IF(K95&lt;&gt;"",12250+K95,12250)</f>
        <v/>
      </c>
      <c r="M95" s="156" t="n"/>
      <c r="N95" s="156" t="n"/>
      <c r="O95" s="156" t="n"/>
      <c r="Q95" s="214" t="inlineStr">
        <is>
          <t>93</t>
        </is>
      </c>
      <c r="R95" s="215" t="inlineStr">
        <is>
          <t>HERNANDARIAS 5356</t>
        </is>
      </c>
      <c r="S95" s="216" t="n">
        <v>32000</v>
      </c>
      <c r="T95" s="236" t="n">
        <v>9500</v>
      </c>
      <c r="U95" s="218" t="n">
        <v>1</v>
      </c>
      <c r="V95" s="219" t="inlineStr">
        <is>
          <t>07/04/2026</t>
        </is>
      </c>
    </row>
    <row r="96" ht="15.75" customHeight="1" s="153">
      <c r="A96" s="237" t="n"/>
      <c r="B96" s="238" t="inlineStr">
        <is>
          <t>FILOMENA</t>
        </is>
      </c>
      <c r="C96" s="239" t="n">
        <v>1</v>
      </c>
      <c r="D96" s="239" t="n"/>
      <c r="E96" s="239" t="n"/>
      <c r="F96" s="240" t="n"/>
      <c r="G96" s="240" t="n"/>
      <c r="H96" s="241" t="n">
        <v>18000</v>
      </c>
      <c r="I96" s="242" t="n">
        <v>18000</v>
      </c>
      <c r="J96" s="242" t="n"/>
      <c r="K96" s="233" t="n"/>
      <c r="L96" s="233">
        <f>IF(K96&lt;&gt;"",7500+K96,7500)</f>
        <v/>
      </c>
      <c r="M96" s="156" t="n"/>
      <c r="N96" s="156" t="n"/>
      <c r="O96" s="156" t="n"/>
      <c r="Q96" s="221" t="inlineStr">
        <is>
          <t>94</t>
        </is>
      </c>
      <c r="R96" s="222" t="inlineStr">
        <is>
          <t>VICTOR CAPE</t>
        </is>
      </c>
      <c r="S96" s="223" t="n">
        <v>31500</v>
      </c>
      <c r="T96" s="224" t="n">
        <v>9000</v>
      </c>
      <c r="U96" s="225" t="n">
        <v>1</v>
      </c>
      <c r="V96" s="226" t="inlineStr">
        <is>
          <t>02/03/2026</t>
        </is>
      </c>
    </row>
    <row r="97" ht="15.75" customHeight="1" s="153">
      <c r="A97" s="227" t="n">
        <v>46034</v>
      </c>
      <c r="B97" s="228" t="inlineStr">
        <is>
          <t xml:space="preserve">PANA GORRITI </t>
        </is>
      </c>
      <c r="C97" s="229" t="n"/>
      <c r="D97" s="229" t="n"/>
      <c r="E97" s="229" t="n">
        <v>1</v>
      </c>
      <c r="F97" s="230" t="n"/>
      <c r="G97" s="230" t="n"/>
      <c r="H97" s="231" t="n">
        <v>72000</v>
      </c>
      <c r="I97" s="232" t="n">
        <v>72000</v>
      </c>
      <c r="J97" s="232" t="n"/>
      <c r="K97" s="233" t="n"/>
      <c r="L97" s="233">
        <f>IF(K97&lt;&gt;"",25000+K97,25000)</f>
        <v/>
      </c>
      <c r="M97" s="156" t="n"/>
      <c r="N97" s="156" t="n"/>
      <c r="O97" s="156" t="n"/>
      <c r="Q97" s="214" t="inlineStr">
        <is>
          <t>95</t>
        </is>
      </c>
      <c r="R97" s="215" t="inlineStr">
        <is>
          <t>PIRU</t>
        </is>
      </c>
      <c r="S97" s="216" t="n">
        <v>31000</v>
      </c>
      <c r="T97" s="236" t="n">
        <v>8500</v>
      </c>
      <c r="U97" s="218" t="n">
        <v>1</v>
      </c>
      <c r="V97" s="219" t="inlineStr">
        <is>
          <t>04/03/2026</t>
        </is>
      </c>
    </row>
    <row r="98" ht="15.75" customHeight="1" s="153">
      <c r="A98" s="237" t="n"/>
      <c r="B98" s="238" t="inlineStr">
        <is>
          <t>OTNIEL</t>
        </is>
      </c>
      <c r="C98" s="239" t="n"/>
      <c r="D98" s="239" t="n">
        <v>1</v>
      </c>
      <c r="E98" s="239" t="n"/>
      <c r="F98" s="240" t="n"/>
      <c r="G98" s="240" t="n"/>
      <c r="H98" s="241" t="n">
        <v>28500</v>
      </c>
      <c r="I98" s="242" t="n"/>
      <c r="J98" s="242" t="n">
        <v>28500</v>
      </c>
      <c r="K98" s="233" t="n"/>
      <c r="L98" s="233">
        <f>IF(K98&lt;&gt;"",12750+K98,12750)</f>
        <v/>
      </c>
      <c r="M98" s="156" t="n"/>
      <c r="N98" s="156" t="n"/>
      <c r="O98" s="156" t="n"/>
      <c r="Q98" s="221" t="inlineStr">
        <is>
          <t>96</t>
        </is>
      </c>
      <c r="R98" s="222" t="inlineStr">
        <is>
          <t>WILLIAN</t>
        </is>
      </c>
      <c r="S98" s="223" t="n">
        <v>29500</v>
      </c>
      <c r="T98" s="224" t="n">
        <v>7000</v>
      </c>
      <c r="U98" s="225" t="n">
        <v>1</v>
      </c>
      <c r="V98" s="226" t="inlineStr">
        <is>
          <t>07/01/2026</t>
        </is>
      </c>
    </row>
    <row r="99" ht="15.75" customHeight="1" s="153">
      <c r="A99" s="227" t="n"/>
      <c r="B99" s="228" t="inlineStr">
        <is>
          <t>AZCUENAGA 5023</t>
        </is>
      </c>
      <c r="C99" s="229" t="n">
        <v>5</v>
      </c>
      <c r="D99" s="229" t="n"/>
      <c r="E99" s="229" t="n"/>
      <c r="F99" s="230" t="n"/>
      <c r="G99" s="230" t="n"/>
      <c r="H99" s="231" t="n">
        <v>72500</v>
      </c>
      <c r="I99" s="232" t="n"/>
      <c r="J99" s="232" t="n">
        <v>72500</v>
      </c>
      <c r="K99" s="233" t="n"/>
      <c r="L99" s="233">
        <f>IF(K99&lt;&gt;"",20000+K99,20000)</f>
        <v/>
      </c>
      <c r="M99" s="156" t="n"/>
      <c r="N99" s="156" t="n"/>
      <c r="O99" s="156" t="n"/>
      <c r="Q99" s="214" t="inlineStr">
        <is>
          <t>97</t>
        </is>
      </c>
      <c r="R99" s="215" t="inlineStr">
        <is>
          <t>MAURO</t>
        </is>
      </c>
      <c r="S99" s="216" t="n">
        <v>29000</v>
      </c>
      <c r="T99" s="217" t="n">
        <v>-1000</v>
      </c>
      <c r="U99" s="218" t="n">
        <v>1</v>
      </c>
      <c r="V99" s="219" t="inlineStr">
        <is>
          <t>13/01/2026</t>
        </is>
      </c>
    </row>
    <row r="100" ht="15.75" customHeight="1" s="153">
      <c r="A100" s="237" t="n"/>
      <c r="B100" s="238" t="inlineStr">
        <is>
          <t>HERNANDARIAS 5150</t>
        </is>
      </c>
      <c r="C100" s="239" t="n"/>
      <c r="D100" s="239" t="n"/>
      <c r="E100" s="239" t="n">
        <v>1</v>
      </c>
      <c r="F100" s="240" t="n"/>
      <c r="G100" s="240" t="n"/>
      <c r="H100" s="241" t="n">
        <v>73000</v>
      </c>
      <c r="I100" s="242" t="n"/>
      <c r="J100" s="242" t="n">
        <v>73000</v>
      </c>
      <c r="K100" s="233" t="n"/>
      <c r="L100" s="233">
        <f>IF(K100&lt;&gt;"",26000+K100,26000)</f>
        <v/>
      </c>
      <c r="M100" s="156" t="n"/>
      <c r="N100" s="156" t="n"/>
      <c r="O100" s="156" t="n"/>
      <c r="Q100" s="221" t="inlineStr">
        <is>
          <t>98</t>
        </is>
      </c>
      <c r="R100" s="222" t="inlineStr">
        <is>
          <t>MAURITO</t>
        </is>
      </c>
      <c r="S100" s="223" t="n">
        <v>26000</v>
      </c>
      <c r="T100" s="245" t="n">
        <v>-4000</v>
      </c>
      <c r="U100" s="225" t="n">
        <v>1</v>
      </c>
      <c r="V100" s="226" t="inlineStr">
        <is>
          <t>05/01/2026</t>
        </is>
      </c>
    </row>
    <row r="101" ht="15.75" customHeight="1" s="153">
      <c r="A101" s="227" t="n"/>
      <c r="B101" s="228" t="inlineStr">
        <is>
          <t>P CEBALLOS 8134</t>
        </is>
      </c>
      <c r="C101" s="229" t="n">
        <v>2</v>
      </c>
      <c r="D101" s="229" t="n">
        <v>1</v>
      </c>
      <c r="E101" s="229" t="n"/>
      <c r="F101" s="230" t="n"/>
      <c r="G101" s="230" t="n"/>
      <c r="H101" s="231" t="n">
        <v>49000</v>
      </c>
      <c r="I101" s="232" t="n"/>
      <c r="J101" s="232" t="n">
        <v>49000</v>
      </c>
      <c r="K101" s="233" t="n"/>
      <c r="L101" s="233">
        <f>IF(K101&lt;&gt;"",12250+K101,12250)</f>
        <v/>
      </c>
      <c r="M101" s="156" t="n"/>
      <c r="N101" s="156" t="n"/>
      <c r="O101" s="156" t="n"/>
      <c r="Q101" s="214" t="inlineStr">
        <is>
          <t>99</t>
        </is>
      </c>
      <c r="R101" s="215" t="inlineStr">
        <is>
          <t>ECHEVERRAI 5430</t>
        </is>
      </c>
      <c r="S101" s="216" t="n">
        <v>23000</v>
      </c>
      <c r="T101" s="236" t="n">
        <v>8000</v>
      </c>
      <c r="U101" s="218" t="n">
        <v>1</v>
      </c>
      <c r="V101" s="219" t="inlineStr">
        <is>
          <t>14/01/2026</t>
        </is>
      </c>
    </row>
    <row r="102" ht="15.75" customHeight="1" s="153">
      <c r="A102" s="237" t="n"/>
      <c r="B102" s="238" t="inlineStr">
        <is>
          <t>LAVADERO</t>
        </is>
      </c>
      <c r="C102" s="239" t="n">
        <v>1</v>
      </c>
      <c r="D102" s="239" t="n"/>
      <c r="E102" s="239" t="n"/>
      <c r="F102" s="240" t="n"/>
      <c r="G102" s="240" t="n"/>
      <c r="H102" s="241" t="n">
        <v>14500</v>
      </c>
      <c r="I102" s="242" t="n"/>
      <c r="J102" s="242" t="n">
        <v>14500</v>
      </c>
      <c r="K102" s="233" t="n"/>
      <c r="L102" s="233">
        <f>IF(K102&lt;&gt;"",4000+K102,4000)</f>
        <v/>
      </c>
      <c r="M102" s="156" t="n"/>
      <c r="N102" s="156" t="n"/>
      <c r="O102" s="156" t="n"/>
      <c r="Q102" s="221" t="inlineStr">
        <is>
          <t>100</t>
        </is>
      </c>
      <c r="R102" s="222" t="inlineStr">
        <is>
          <t>GRAL PAZ 7826</t>
        </is>
      </c>
      <c r="S102" s="223" t="n">
        <v>22000</v>
      </c>
      <c r="T102" s="224" t="n">
        <v>7000</v>
      </c>
      <c r="U102" s="225" t="n">
        <v>1</v>
      </c>
      <c r="V102" s="226" t="inlineStr">
        <is>
          <t>14/03/2026</t>
        </is>
      </c>
    </row>
    <row r="103" ht="15.75" customHeight="1" s="153">
      <c r="A103" s="227" t="n"/>
      <c r="B103" s="228" t="inlineStr">
        <is>
          <t>LARGUIA 8629</t>
        </is>
      </c>
      <c r="C103" s="229" t="n">
        <v>1</v>
      </c>
      <c r="D103" s="229" t="n"/>
      <c r="E103" s="229" t="n"/>
      <c r="F103" s="230" t="n"/>
      <c r="G103" s="230" t="n"/>
      <c r="H103" s="231" t="n">
        <v>22000</v>
      </c>
      <c r="I103" s="232" t="n"/>
      <c r="J103" s="232" t="n">
        <v>22000</v>
      </c>
      <c r="K103" s="233" t="n"/>
      <c r="L103" s="233">
        <f>IF(K103&lt;&gt;"",11500+K103,11500)</f>
        <v/>
      </c>
      <c r="M103" s="156" t="n"/>
      <c r="N103" s="156" t="n"/>
      <c r="O103" s="156" t="n"/>
      <c r="Q103" s="214" t="inlineStr">
        <is>
          <t>101</t>
        </is>
      </c>
      <c r="R103" s="215" t="inlineStr">
        <is>
          <t>ANA ABDALA</t>
        </is>
      </c>
      <c r="S103" s="216" t="n">
        <v>22000</v>
      </c>
      <c r="T103" s="236" t="n">
        <v>7000</v>
      </c>
      <c r="U103" s="218" t="n">
        <v>1</v>
      </c>
      <c r="V103" s="219" t="inlineStr">
        <is>
          <t>21/04/2026</t>
        </is>
      </c>
    </row>
    <row r="104" ht="15.75" customHeight="1" s="153">
      <c r="A104" s="237" t="n"/>
      <c r="B104" s="238" t="inlineStr">
        <is>
          <t>JM ZUVIRIA 2143</t>
        </is>
      </c>
      <c r="C104" s="239" t="n"/>
      <c r="D104" s="239" t="n">
        <v>1</v>
      </c>
      <c r="E104" s="239" t="n"/>
      <c r="F104" s="240" t="n"/>
      <c r="G104" s="240" t="n"/>
      <c r="H104" s="241" t="n">
        <v>34000</v>
      </c>
      <c r="I104" s="242" t="n">
        <v>34000</v>
      </c>
      <c r="J104" s="242" t="n"/>
      <c r="K104" s="233" t="n"/>
      <c r="L104" s="233">
        <f>IF(K104&lt;&gt;"",18250+K104,18250)</f>
        <v/>
      </c>
      <c r="M104" s="156" t="n"/>
      <c r="N104" s="156" t="n"/>
      <c r="O104" s="156" t="n"/>
      <c r="Q104" s="221" t="inlineStr">
        <is>
          <t>102</t>
        </is>
      </c>
      <c r="R104" s="222" t="inlineStr">
        <is>
          <t>GORRITI 4661</t>
        </is>
      </c>
      <c r="S104" s="223" t="n">
        <v>22000</v>
      </c>
      <c r="T104" s="224" t="n">
        <v>7000</v>
      </c>
      <c r="U104" s="225" t="n">
        <v>1</v>
      </c>
      <c r="V104" s="226" t="inlineStr">
        <is>
          <t>19/03/2026</t>
        </is>
      </c>
    </row>
    <row r="105" ht="15.75" customHeight="1" s="153">
      <c r="A105" s="227" t="n"/>
      <c r="B105" s="228" t="inlineStr">
        <is>
          <t>CAREN</t>
        </is>
      </c>
      <c r="C105" s="229" t="n"/>
      <c r="D105" s="229" t="n"/>
      <c r="E105" s="229" t="n">
        <v>1</v>
      </c>
      <c r="F105" s="230" t="n"/>
      <c r="G105" s="230" t="n"/>
      <c r="H105" s="231" t="n">
        <v>69000</v>
      </c>
      <c r="I105" s="232" t="n"/>
      <c r="J105" s="232" t="n">
        <v>69000</v>
      </c>
      <c r="K105" s="233" t="n"/>
      <c r="L105" s="233">
        <f>IF(K105&lt;&gt;"",22000+K105,22000)</f>
        <v/>
      </c>
      <c r="M105" s="156" t="n"/>
      <c r="N105" s="156" t="n"/>
      <c r="O105" s="156" t="n"/>
      <c r="Q105" s="214" t="inlineStr">
        <is>
          <t>103</t>
        </is>
      </c>
      <c r="R105" s="215" t="inlineStr">
        <is>
          <t>EUROPA 7251</t>
        </is>
      </c>
      <c r="S105" s="216" t="n">
        <v>22000</v>
      </c>
      <c r="T105" s="236" t="n">
        <v>7000</v>
      </c>
      <c r="U105" s="218" t="n">
        <v>1</v>
      </c>
      <c r="V105" s="219" t="inlineStr">
        <is>
          <t>06/02/2026</t>
        </is>
      </c>
    </row>
    <row r="106" ht="15.75" customHeight="1" s="153">
      <c r="A106" s="237" t="n">
        <v>46035</v>
      </c>
      <c r="B106" s="238" t="inlineStr">
        <is>
          <t>NOGALES 2412</t>
        </is>
      </c>
      <c r="C106" s="239" t="n"/>
      <c r="D106" s="239" t="n"/>
      <c r="E106" s="239" t="n">
        <v>1</v>
      </c>
      <c r="F106" s="240" t="n"/>
      <c r="G106" s="240" t="n"/>
      <c r="H106" s="241" t="n">
        <v>77000</v>
      </c>
      <c r="I106" s="242" t="n"/>
      <c r="J106" s="242" t="n">
        <v>77000</v>
      </c>
      <c r="K106" s="233" t="n"/>
      <c r="L106" s="233">
        <f>IF(K106&lt;&gt;"",30000+K106,30000)</f>
        <v/>
      </c>
      <c r="M106" s="156" t="n"/>
      <c r="N106" s="156" t="n"/>
      <c r="O106" s="156" t="n"/>
      <c r="Q106" s="221" t="inlineStr">
        <is>
          <t>104</t>
        </is>
      </c>
      <c r="R106" s="222" t="inlineStr">
        <is>
          <t>DRAXXO</t>
        </is>
      </c>
      <c r="S106" s="223" t="n">
        <v>22000</v>
      </c>
      <c r="T106" s="224" t="n">
        <v>7000</v>
      </c>
      <c r="U106" s="225" t="n">
        <v>1</v>
      </c>
      <c r="V106" s="226" t="inlineStr">
        <is>
          <t>03/01/2026</t>
        </is>
      </c>
    </row>
    <row r="107" ht="15.75" customHeight="1" s="153">
      <c r="A107" s="227" t="n"/>
      <c r="B107" s="228" t="inlineStr">
        <is>
          <t>MAURO</t>
        </is>
      </c>
      <c r="C107" s="229" t="n">
        <v>2</v>
      </c>
      <c r="D107" s="229" t="n"/>
      <c r="E107" s="229" t="n"/>
      <c r="F107" s="230" t="n"/>
      <c r="G107" s="230" t="n"/>
      <c r="H107" s="231" t="n">
        <v>29000</v>
      </c>
      <c r="I107" s="232" t="n"/>
      <c r="J107" s="232" t="n">
        <v>29000</v>
      </c>
      <c r="K107" s="233" t="n"/>
      <c r="L107" s="233">
        <f>IF(K107&lt;&gt;"",8000+K107,8000)</f>
        <v/>
      </c>
      <c r="M107" s="156" t="n"/>
      <c r="N107" s="156" t="n"/>
      <c r="O107" s="156" t="n"/>
      <c r="Q107" s="214" t="inlineStr">
        <is>
          <t>105</t>
        </is>
      </c>
      <c r="R107" s="215" t="inlineStr">
        <is>
          <t>M ZAPATA 3304</t>
        </is>
      </c>
      <c r="S107" s="216" t="n">
        <v>22000</v>
      </c>
      <c r="T107" s="236" t="n">
        <v>7000</v>
      </c>
      <c r="U107" s="218" t="n">
        <v>1</v>
      </c>
      <c r="V107" s="219" t="inlineStr">
        <is>
          <t>04/01/2026</t>
        </is>
      </c>
    </row>
    <row r="108" ht="15.75" customHeight="1" s="153">
      <c r="A108" s="237" t="n"/>
      <c r="B108" s="238" t="inlineStr">
        <is>
          <t>PUBLICO 8821</t>
        </is>
      </c>
      <c r="C108" s="239" t="n"/>
      <c r="D108" s="239" t="n"/>
      <c r="E108" s="239" t="n">
        <v>1</v>
      </c>
      <c r="F108" s="240" t="n"/>
      <c r="G108" s="240" t="n"/>
      <c r="H108" s="241" t="n">
        <v>75000</v>
      </c>
      <c r="I108" s="242" t="n"/>
      <c r="J108" s="242" t="n">
        <v>75000</v>
      </c>
      <c r="K108" s="233" t="n"/>
      <c r="L108" s="233">
        <f>IF(K108&lt;&gt;"",28000+K108,28000)</f>
        <v/>
      </c>
      <c r="M108" s="156" t="n"/>
      <c r="N108" s="156" t="n"/>
      <c r="O108" s="156" t="n"/>
      <c r="Q108" s="221" t="inlineStr">
        <is>
          <t>106</t>
        </is>
      </c>
      <c r="R108" s="222" t="inlineStr">
        <is>
          <t>JUJUY 3451</t>
        </is>
      </c>
      <c r="S108" s="223" t="n">
        <v>22000</v>
      </c>
      <c r="T108" s="224" t="n">
        <v>7000</v>
      </c>
      <c r="U108" s="225" t="n">
        <v>1</v>
      </c>
      <c r="V108" s="226" t="inlineStr">
        <is>
          <t>09/01/2026</t>
        </is>
      </c>
    </row>
    <row r="109" ht="15.75" customHeight="1" s="153">
      <c r="A109" s="227" t="n"/>
      <c r="B109" s="228" t="inlineStr">
        <is>
          <t>PANA VIEYTES</t>
        </is>
      </c>
      <c r="C109" s="229" t="n">
        <v>1</v>
      </c>
      <c r="D109" s="229" t="n"/>
      <c r="E109" s="229" t="n"/>
      <c r="F109" s="230" t="n"/>
      <c r="G109" s="230" t="n"/>
      <c r="H109" s="231" t="n">
        <v>17500</v>
      </c>
      <c r="I109" s="232" t="n"/>
      <c r="J109" s="232" t="n">
        <v>17500</v>
      </c>
      <c r="K109" s="233" t="n"/>
      <c r="L109" s="233">
        <f>IF(K109&lt;&gt;"",7000+K109,7000)</f>
        <v/>
      </c>
      <c r="M109" s="156" t="n"/>
      <c r="N109" s="156" t="n"/>
      <c r="O109" s="156" t="n"/>
      <c r="Q109" s="214" t="inlineStr">
        <is>
          <t>107</t>
        </is>
      </c>
      <c r="R109" s="215" t="inlineStr">
        <is>
          <t>AZOPARDO 7219</t>
        </is>
      </c>
      <c r="S109" s="216" t="n">
        <v>22000</v>
      </c>
      <c r="T109" s="236" t="n">
        <v>7000</v>
      </c>
      <c r="U109" s="218" t="n">
        <v>1</v>
      </c>
      <c r="V109" s="219" t="inlineStr">
        <is>
          <t>10/01/2026</t>
        </is>
      </c>
    </row>
    <row r="110" ht="15.75" customHeight="1" s="153">
      <c r="A110" s="237" t="n"/>
      <c r="B110" s="238" t="inlineStr">
        <is>
          <t>PANA GENESIO</t>
        </is>
      </c>
      <c r="C110" s="239" t="n"/>
      <c r="D110" s="239" t="n"/>
      <c r="E110" s="239" t="n">
        <v>1</v>
      </c>
      <c r="F110" s="240" t="n"/>
      <c r="G110" s="240" t="n"/>
      <c r="H110" s="241" t="n">
        <v>69000</v>
      </c>
      <c r="I110" s="242" t="n"/>
      <c r="J110" s="242" t="n">
        <v>69000</v>
      </c>
      <c r="K110" s="233" t="n"/>
      <c r="L110" s="233">
        <f>IF(K110&lt;&gt;"",22000+K110,22000)</f>
        <v/>
      </c>
      <c r="M110" s="156" t="n"/>
      <c r="N110" s="156" t="n"/>
      <c r="O110" s="156" t="n"/>
      <c r="Q110" s="221" t="inlineStr">
        <is>
          <t>108</t>
        </is>
      </c>
      <c r="R110" s="222" t="inlineStr">
        <is>
          <t>ALSUNA 7980</t>
        </is>
      </c>
      <c r="S110" s="223" t="n">
        <v>22000</v>
      </c>
      <c r="T110" s="224" t="n">
        <v>7000</v>
      </c>
      <c r="U110" s="225" t="n">
        <v>1</v>
      </c>
      <c r="V110" s="226" t="inlineStr">
        <is>
          <t>10/01/2026</t>
        </is>
      </c>
    </row>
    <row r="111" ht="15.75" customHeight="1" s="153">
      <c r="A111" s="227" t="n"/>
      <c r="B111" s="228" t="inlineStr">
        <is>
          <t xml:space="preserve">FILOMEN A </t>
        </is>
      </c>
      <c r="C111" s="229" t="n">
        <v>1</v>
      </c>
      <c r="D111" s="229" t="n"/>
      <c r="E111" s="229" t="n"/>
      <c r="F111" s="230" t="n"/>
      <c r="G111" s="230" t="n"/>
      <c r="H111" s="231" t="n">
        <v>18000</v>
      </c>
      <c r="I111" s="232" t="n">
        <v>18000</v>
      </c>
      <c r="J111" s="232" t="n"/>
      <c r="K111" s="233" t="n"/>
      <c r="L111" s="233">
        <f>IF(K111&lt;&gt;"",7500+K111,7500)</f>
        <v/>
      </c>
      <c r="M111" s="156" t="n"/>
      <c r="N111" s="156" t="n"/>
      <c r="O111" s="156" t="n"/>
      <c r="Q111" s="214" t="inlineStr">
        <is>
          <t>109</t>
        </is>
      </c>
      <c r="R111" s="215" t="inlineStr">
        <is>
          <t>GRAL PAZ 7989</t>
        </is>
      </c>
      <c r="S111" s="216" t="n">
        <v>22000</v>
      </c>
      <c r="T111" s="236" t="n">
        <v>7000</v>
      </c>
      <c r="U111" s="218" t="n">
        <v>1</v>
      </c>
      <c r="V111" s="219" t="inlineStr">
        <is>
          <t>10/01/2026</t>
        </is>
      </c>
    </row>
    <row r="112" ht="15.75" customHeight="1" s="153">
      <c r="A112" s="237" t="n">
        <v>46036</v>
      </c>
      <c r="B112" s="238" t="inlineStr">
        <is>
          <t>BARRETO 8200</t>
        </is>
      </c>
      <c r="C112" s="239" t="n"/>
      <c r="D112" s="239" t="n"/>
      <c r="E112" s="239" t="n"/>
      <c r="F112" s="240" t="n"/>
      <c r="G112" s="240" t="n">
        <v>1</v>
      </c>
      <c r="H112" s="241" t="n">
        <v>5000</v>
      </c>
      <c r="I112" s="242" t="n"/>
      <c r="J112" s="242" t="n">
        <v>5000</v>
      </c>
      <c r="K112" s="233" t="n"/>
      <c r="L112" s="233">
        <f>IF(K112&lt;&gt;"",4200+K112,4200)</f>
        <v/>
      </c>
      <c r="M112" s="156" t="n"/>
      <c r="N112" s="156" t="n"/>
      <c r="O112" s="156" t="n"/>
      <c r="Q112" s="221" t="inlineStr">
        <is>
          <t>110</t>
        </is>
      </c>
      <c r="R112" s="222" t="inlineStr">
        <is>
          <t>M CANDIOTI 6281</t>
        </is>
      </c>
      <c r="S112" s="223" t="n">
        <v>22000</v>
      </c>
      <c r="T112" s="224" t="n">
        <v>7000</v>
      </c>
      <c r="U112" s="225" t="n">
        <v>1</v>
      </c>
      <c r="V112" s="226" t="inlineStr">
        <is>
          <t>11/01/2026</t>
        </is>
      </c>
    </row>
    <row r="113" ht="15.75" customHeight="1" s="153">
      <c r="A113" s="227" t="n"/>
      <c r="B113" s="228" t="inlineStr">
        <is>
          <t>ECHEVERRAI 5430</t>
        </is>
      </c>
      <c r="C113" s="229" t="n">
        <v>1</v>
      </c>
      <c r="D113" s="229" t="n"/>
      <c r="E113" s="229" t="n"/>
      <c r="F113" s="230" t="n"/>
      <c r="G113" s="230" t="n"/>
      <c r="H113" s="231" t="n">
        <v>23000</v>
      </c>
      <c r="I113" s="232" t="n">
        <v>23000</v>
      </c>
      <c r="J113" s="232" t="n"/>
      <c r="K113" s="233" t="n"/>
      <c r="L113" s="233">
        <f>IF(K113&lt;&gt;"",12500+K113,12500)</f>
        <v/>
      </c>
      <c r="M113" s="156" t="n"/>
      <c r="N113" s="156" t="n"/>
      <c r="O113" s="156" t="n"/>
      <c r="Q113" s="214" t="inlineStr">
        <is>
          <t>111</t>
        </is>
      </c>
      <c r="R113" s="215" t="inlineStr">
        <is>
          <t>LARGUIA 8629</t>
        </is>
      </c>
      <c r="S113" s="216" t="n">
        <v>22000</v>
      </c>
      <c r="T113" s="236" t="n">
        <v>7000</v>
      </c>
      <c r="U113" s="218" t="n">
        <v>1</v>
      </c>
      <c r="V113" s="219" t="inlineStr">
        <is>
          <t>12/01/2026</t>
        </is>
      </c>
    </row>
    <row r="114" ht="15.75" customHeight="1" s="153">
      <c r="A114" s="237" t="n"/>
      <c r="B114" s="238" t="inlineStr">
        <is>
          <t>SANDRA</t>
        </is>
      </c>
      <c r="C114" s="239" t="n">
        <v>2</v>
      </c>
      <c r="D114" s="239" t="n"/>
      <c r="E114" s="239" t="n"/>
      <c r="F114" s="240" t="n"/>
      <c r="G114" s="240" t="n">
        <v>1</v>
      </c>
      <c r="H114" s="241" t="n">
        <v>33000</v>
      </c>
      <c r="I114" s="242" t="n">
        <v>33000</v>
      </c>
      <c r="J114" s="242" t="n"/>
      <c r="K114" s="233" t="n"/>
      <c r="L114" s="233">
        <f>IF(K114&lt;&gt;"",11200+K114,11200)</f>
        <v/>
      </c>
      <c r="M114" s="156" t="n"/>
      <c r="N114" s="156" t="n"/>
      <c r="O114" s="156" t="n"/>
      <c r="Q114" s="221" t="inlineStr">
        <is>
          <t>112</t>
        </is>
      </c>
      <c r="R114" s="222" t="inlineStr">
        <is>
          <t>FRESNO DE LOPEZ 8120</t>
        </is>
      </c>
      <c r="S114" s="223" t="n">
        <v>22000</v>
      </c>
      <c r="T114" s="224" t="n">
        <v>7000</v>
      </c>
      <c r="U114" s="225" t="n">
        <v>1</v>
      </c>
      <c r="V114" s="226" t="inlineStr">
        <is>
          <t>14/01/2026</t>
        </is>
      </c>
    </row>
    <row r="115" ht="15.75" customHeight="1" s="153">
      <c r="A115" s="227" t="n"/>
      <c r="B115" s="228" t="inlineStr">
        <is>
          <t>FRESNO DE LOPEZ 8120</t>
        </is>
      </c>
      <c r="C115" s="229" t="n">
        <v>1</v>
      </c>
      <c r="D115" s="229" t="n"/>
      <c r="E115" s="229" t="n"/>
      <c r="F115" s="230" t="n"/>
      <c r="G115" s="230" t="n"/>
      <c r="H115" s="231" t="n">
        <v>22000</v>
      </c>
      <c r="I115" s="232" t="n"/>
      <c r="J115" s="232" t="n">
        <v>22000</v>
      </c>
      <c r="K115" s="233" t="n"/>
      <c r="L115" s="233">
        <f>IF(K115&lt;&gt;"",11500+K115,11500)</f>
        <v/>
      </c>
      <c r="M115" s="156" t="n"/>
      <c r="N115" s="156" t="n"/>
      <c r="O115" s="156" t="n"/>
      <c r="Q115" s="214" t="inlineStr">
        <is>
          <t>113</t>
        </is>
      </c>
      <c r="R115" s="215" t="inlineStr">
        <is>
          <t>INGENIEROS 5501</t>
        </is>
      </c>
      <c r="S115" s="216" t="n">
        <v>22000</v>
      </c>
      <c r="T115" s="236" t="n">
        <v>7000</v>
      </c>
      <c r="U115" s="218" t="n">
        <v>1</v>
      </c>
      <c r="V115" s="219" t="inlineStr">
        <is>
          <t>23/01/2026</t>
        </is>
      </c>
    </row>
    <row r="116" ht="15.75" customHeight="1" s="153">
      <c r="A116" s="237" t="n"/>
      <c r="B116" s="238" t="inlineStr">
        <is>
          <t>FILOMENA</t>
        </is>
      </c>
      <c r="C116" s="239" t="n">
        <v>1</v>
      </c>
      <c r="D116" s="239" t="n"/>
      <c r="E116" s="239" t="n"/>
      <c r="F116" s="240" t="n"/>
      <c r="G116" s="240" t="n"/>
      <c r="H116" s="241" t="n">
        <v>18000</v>
      </c>
      <c r="I116" s="242" t="n">
        <v>18000</v>
      </c>
      <c r="J116" s="242" t="n"/>
      <c r="K116" s="233" t="n"/>
      <c r="L116" s="233">
        <f>IF(K116&lt;&gt;"",7500+K116,7500)</f>
        <v/>
      </c>
      <c r="M116" s="156" t="n"/>
      <c r="N116" s="156" t="n"/>
      <c r="O116" s="156" t="n"/>
      <c r="Q116" s="221" t="inlineStr">
        <is>
          <t>114</t>
        </is>
      </c>
      <c r="R116" s="222" t="inlineStr">
        <is>
          <t>RISSO 2239</t>
        </is>
      </c>
      <c r="S116" s="223" t="n">
        <v>22000</v>
      </c>
      <c r="T116" s="224" t="n">
        <v>7000</v>
      </c>
      <c r="U116" s="225" t="n">
        <v>1</v>
      </c>
      <c r="V116" s="226" t="inlineStr">
        <is>
          <t>24/01/2026</t>
        </is>
      </c>
    </row>
    <row r="117" ht="15.75" customHeight="1" s="153">
      <c r="A117" s="227" t="n"/>
      <c r="B117" s="228" t="inlineStr">
        <is>
          <t>VICTOR CAPE</t>
        </is>
      </c>
      <c r="C117" s="229" t="n"/>
      <c r="D117" s="229" t="n">
        <v>1</v>
      </c>
      <c r="E117" s="229" t="n"/>
      <c r="F117" s="230" t="n"/>
      <c r="G117" s="230" t="n"/>
      <c r="H117" s="231" t="n">
        <v>31500</v>
      </c>
      <c r="I117" s="232" t="n"/>
      <c r="J117" s="232" t="n">
        <v>31500</v>
      </c>
      <c r="K117" s="233" t="n"/>
      <c r="L117" s="233">
        <f>IF(K117&lt;&gt;"",15750+K117,15750)</f>
        <v/>
      </c>
      <c r="M117" s="156" t="n"/>
      <c r="N117" s="156" t="n"/>
      <c r="O117" s="156" t="n"/>
      <c r="Q117" s="214" t="inlineStr">
        <is>
          <t>115</t>
        </is>
      </c>
      <c r="R117" s="215" t="inlineStr">
        <is>
          <t>COLODRERO 1200</t>
        </is>
      </c>
      <c r="S117" s="216" t="n">
        <v>22000</v>
      </c>
      <c r="T117" s="236" t="n">
        <v>7000</v>
      </c>
      <c r="U117" s="218" t="n">
        <v>1</v>
      </c>
      <c r="V117" s="219" t="inlineStr">
        <is>
          <t>25/01/2026</t>
        </is>
      </c>
    </row>
    <row r="118" ht="15.75" customHeight="1" s="153">
      <c r="A118" s="237" t="n"/>
      <c r="B118" s="238" t="inlineStr">
        <is>
          <t xml:space="preserve">JOSE MONTEVERA </t>
        </is>
      </c>
      <c r="C118" s="239" t="n"/>
      <c r="D118" s="239" t="n"/>
      <c r="E118" s="239" t="n">
        <v>1</v>
      </c>
      <c r="F118" s="240" t="n"/>
      <c r="G118" s="240" t="n"/>
      <c r="H118" s="241" t="n">
        <v>77000</v>
      </c>
      <c r="I118" s="242" t="n">
        <v>77000</v>
      </c>
      <c r="J118" s="242" t="n"/>
      <c r="K118" s="233" t="n"/>
      <c r="L118" s="233">
        <f>IF(K118&lt;&gt;"",30000+K118,30000)</f>
        <v/>
      </c>
      <c r="M118" s="156" t="n"/>
      <c r="N118" s="156" t="n"/>
      <c r="O118" s="156" t="n"/>
      <c r="Q118" s="221" t="inlineStr">
        <is>
          <t>116</t>
        </is>
      </c>
      <c r="R118" s="222" t="inlineStr">
        <is>
          <t>PEDRO TAPPA 9731</t>
        </is>
      </c>
      <c r="S118" s="223" t="n">
        <v>22000</v>
      </c>
      <c r="T118" s="224" t="n">
        <v>7000</v>
      </c>
      <c r="U118" s="225" t="n">
        <v>1</v>
      </c>
      <c r="V118" s="226" t="inlineStr">
        <is>
          <t>25/01/2026</t>
        </is>
      </c>
    </row>
    <row r="119" ht="15.75" customHeight="1" s="153">
      <c r="A119" s="227" t="n">
        <v>46037</v>
      </c>
      <c r="B119" s="228" t="inlineStr">
        <is>
          <t>D SILVA 4217</t>
        </is>
      </c>
      <c r="C119" s="229" t="n">
        <v>4</v>
      </c>
      <c r="D119" s="229" t="n">
        <v>1</v>
      </c>
      <c r="E119" s="229" t="n"/>
      <c r="F119" s="230" t="n"/>
      <c r="G119" s="230" t="n"/>
      <c r="H119" s="231" t="n">
        <v>80500</v>
      </c>
      <c r="I119" s="232" t="n"/>
      <c r="J119" s="232" t="n">
        <v>80500</v>
      </c>
      <c r="K119" s="233" t="n"/>
      <c r="L119" s="233">
        <f>IF(K119&lt;&gt;"",22750+K119,22750)</f>
        <v/>
      </c>
      <c r="M119" s="156" t="n"/>
      <c r="N119" s="156" t="n"/>
      <c r="O119" s="156" t="n"/>
      <c r="Q119" s="214" t="inlineStr">
        <is>
          <t>117</t>
        </is>
      </c>
      <c r="R119" s="215" t="inlineStr">
        <is>
          <t>ALBERDI 6449</t>
        </is>
      </c>
      <c r="S119" s="216" t="n">
        <v>22000</v>
      </c>
      <c r="T119" s="236" t="n">
        <v>7000</v>
      </c>
      <c r="U119" s="218" t="n">
        <v>1</v>
      </c>
      <c r="V119" s="219" t="inlineStr">
        <is>
          <t>26/01/2026</t>
        </is>
      </c>
    </row>
    <row r="120" ht="15.75" customHeight="1" s="153">
      <c r="A120" s="237" t="n"/>
      <c r="B120" s="238" t="inlineStr">
        <is>
          <t>ALE</t>
        </is>
      </c>
      <c r="C120" s="239" t="n"/>
      <c r="D120" s="239" t="n"/>
      <c r="E120" s="239" t="n"/>
      <c r="F120" s="240" t="n"/>
      <c r="G120" s="240" t="n">
        <v>1</v>
      </c>
      <c r="H120" s="241" t="n">
        <v>5000</v>
      </c>
      <c r="I120" s="242" t="n">
        <v>5000</v>
      </c>
      <c r="J120" s="242" t="n"/>
      <c r="K120" s="233" t="n"/>
      <c r="L120" s="233">
        <f>IF(K120&lt;&gt;"",4200+K120,4200)</f>
        <v/>
      </c>
      <c r="M120" s="156" t="n"/>
      <c r="N120" s="156" t="n"/>
      <c r="O120" s="156" t="n"/>
      <c r="Q120" s="221" t="inlineStr">
        <is>
          <t>118</t>
        </is>
      </c>
      <c r="R120" s="222" t="inlineStr">
        <is>
          <t>JP LOPEZ 2580</t>
        </is>
      </c>
      <c r="S120" s="223" t="n">
        <v>22000</v>
      </c>
      <c r="T120" s="224" t="n">
        <v>7000</v>
      </c>
      <c r="U120" s="225" t="n">
        <v>1</v>
      </c>
      <c r="V120" s="226" t="inlineStr">
        <is>
          <t>27/01/2026</t>
        </is>
      </c>
    </row>
    <row r="121" ht="15.75" customHeight="1" s="153">
      <c r="A121" s="227" t="n"/>
      <c r="B121" s="228" t="inlineStr">
        <is>
          <t xml:space="preserve">GISE </t>
        </is>
      </c>
      <c r="C121" s="229" t="n"/>
      <c r="D121" s="229" t="n"/>
      <c r="E121" s="229" t="n"/>
      <c r="F121" s="230" t="n">
        <v>2</v>
      </c>
      <c r="G121" s="230" t="n"/>
      <c r="H121" s="231" t="n">
        <v>6900</v>
      </c>
      <c r="I121" s="232" t="n"/>
      <c r="J121" s="232" t="n">
        <v>6900</v>
      </c>
      <c r="K121" s="233" t="n"/>
      <c r="L121" s="233">
        <f>IF(K121&lt;&gt;"",2250+K121,2250)</f>
        <v/>
      </c>
      <c r="M121" s="156" t="n"/>
      <c r="N121" s="156" t="n"/>
      <c r="O121" s="156" t="n"/>
      <c r="Q121" s="214" t="inlineStr">
        <is>
          <t>119</t>
        </is>
      </c>
      <c r="R121" s="215" t="inlineStr">
        <is>
          <t>FLORES 22 CASA 75</t>
        </is>
      </c>
      <c r="S121" s="216" t="n">
        <v>22000</v>
      </c>
      <c r="T121" s="236" t="n">
        <v>7000</v>
      </c>
      <c r="U121" s="218" t="n">
        <v>1</v>
      </c>
      <c r="V121" s="219" t="inlineStr">
        <is>
          <t>27/01/2026</t>
        </is>
      </c>
    </row>
    <row r="122" ht="15.75" customHeight="1" s="153">
      <c r="A122" s="237" t="n"/>
      <c r="B122" s="238" t="inlineStr">
        <is>
          <t>LUCHO</t>
        </is>
      </c>
      <c r="C122" s="239" t="n">
        <v>2</v>
      </c>
      <c r="D122" s="239" t="n"/>
      <c r="E122" s="239" t="n"/>
      <c r="F122" s="240" t="n"/>
      <c r="G122" s="240" t="n"/>
      <c r="H122" s="241" t="n">
        <v>29000</v>
      </c>
      <c r="I122" s="242" t="n"/>
      <c r="J122" s="242" t="n">
        <v>29000</v>
      </c>
      <c r="K122" s="233" t="n"/>
      <c r="L122" s="233">
        <f>IF(K122&lt;&gt;"",8000+K122,8000)</f>
        <v/>
      </c>
      <c r="M122" s="156" t="n"/>
      <c r="N122" s="156" t="n"/>
      <c r="O122" s="156" t="n"/>
      <c r="Q122" s="221" t="inlineStr">
        <is>
          <t>120</t>
        </is>
      </c>
      <c r="R122" s="222" t="inlineStr">
        <is>
          <t>PJE PUBLICO  2553</t>
        </is>
      </c>
      <c r="S122" s="223" t="n">
        <v>22000</v>
      </c>
      <c r="T122" s="224" t="n">
        <v>7000</v>
      </c>
      <c r="U122" s="225" t="n">
        <v>1</v>
      </c>
      <c r="V122" s="226" t="inlineStr">
        <is>
          <t>28/01/2026</t>
        </is>
      </c>
    </row>
    <row r="123" ht="15.75" customHeight="1" s="153">
      <c r="A123" s="227" t="n"/>
      <c r="B123" s="228" t="inlineStr">
        <is>
          <t>SABOREAR</t>
        </is>
      </c>
      <c r="C123" s="229" t="n">
        <v>1</v>
      </c>
      <c r="D123" s="229" t="n"/>
      <c r="E123" s="229" t="n"/>
      <c r="F123" s="230" t="n"/>
      <c r="G123" s="230" t="n"/>
      <c r="H123" s="231" t="n">
        <v>18000</v>
      </c>
      <c r="I123" s="232" t="n"/>
      <c r="J123" s="232" t="n">
        <v>18000</v>
      </c>
      <c r="K123" s="233" t="n"/>
      <c r="L123" s="233">
        <f>IF(K123&lt;&gt;"",7500+K123,7500)</f>
        <v/>
      </c>
      <c r="M123" s="156" t="n"/>
      <c r="N123" s="156" t="n"/>
      <c r="O123" s="156" t="n"/>
      <c r="Q123" s="214" t="inlineStr">
        <is>
          <t>121</t>
        </is>
      </c>
      <c r="R123" s="215" t="inlineStr">
        <is>
          <t>LOLI</t>
        </is>
      </c>
      <c r="S123" s="216" t="n">
        <v>21000</v>
      </c>
      <c r="T123" s="236" t="n">
        <v>7200</v>
      </c>
      <c r="U123" s="218" t="n">
        <v>1</v>
      </c>
      <c r="V123" s="219" t="inlineStr">
        <is>
          <t>08/04/2026</t>
        </is>
      </c>
    </row>
    <row r="124" ht="15.75" customHeight="1" s="153">
      <c r="A124" s="237" t="n"/>
      <c r="B124" s="238" t="inlineStr">
        <is>
          <t>NACHO</t>
        </is>
      </c>
      <c r="C124" s="239" t="n">
        <v>1</v>
      </c>
      <c r="D124" s="239" t="n"/>
      <c r="E124" s="239" t="n"/>
      <c r="F124" s="240" t="n"/>
      <c r="G124" s="240" t="n"/>
      <c r="H124" s="241" t="n">
        <v>18000</v>
      </c>
      <c r="I124" s="242" t="n">
        <v>18000</v>
      </c>
      <c r="J124" s="242" t="n"/>
      <c r="K124" s="233" t="n"/>
      <c r="L124" s="233">
        <f>IF(K124&lt;&gt;"",7500+K124,7500)</f>
        <v/>
      </c>
      <c r="M124" s="156" t="n"/>
      <c r="N124" s="156" t="n"/>
      <c r="O124" s="156" t="n"/>
      <c r="Q124" s="221" t="inlineStr">
        <is>
          <t>122</t>
        </is>
      </c>
      <c r="R124" s="222" t="inlineStr">
        <is>
          <t>LARGUIA 6924</t>
        </is>
      </c>
      <c r="S124" s="223" t="n">
        <v>21000</v>
      </c>
      <c r="T124" s="224" t="n">
        <v>6000</v>
      </c>
      <c r="U124" s="225" t="n">
        <v>1</v>
      </c>
      <c r="V124" s="226" t="inlineStr">
        <is>
          <t>21/04/2026</t>
        </is>
      </c>
    </row>
    <row r="125" ht="15.75" customHeight="1" s="153">
      <c r="A125" s="227" t="n">
        <v>46038</v>
      </c>
      <c r="B125" s="228" t="inlineStr">
        <is>
          <t>BONEO 5363</t>
        </is>
      </c>
      <c r="C125" s="229" t="n"/>
      <c r="D125" s="229" t="n"/>
      <c r="E125" s="229" t="n">
        <v>1</v>
      </c>
      <c r="F125" s="230" t="n"/>
      <c r="G125" s="230" t="n"/>
      <c r="H125" s="231" t="n">
        <v>78000</v>
      </c>
      <c r="I125" s="232" t="n"/>
      <c r="J125" s="232" t="n">
        <v>78000</v>
      </c>
      <c r="K125" s="233" t="n"/>
      <c r="L125" s="233">
        <f>IF(K125&lt;&gt;"",31000+K125,31000)</f>
        <v/>
      </c>
      <c r="M125" s="156" t="n"/>
      <c r="N125" s="156" t="n"/>
      <c r="O125" s="156" t="n"/>
      <c r="Q125" s="214" t="inlineStr">
        <is>
          <t>123</t>
        </is>
      </c>
      <c r="R125" s="215" t="inlineStr">
        <is>
          <t>B IRIGOYEN 6634</t>
        </is>
      </c>
      <c r="S125" s="216" t="n">
        <v>21000</v>
      </c>
      <c r="T125" s="236" t="n">
        <v>6000</v>
      </c>
      <c r="U125" s="218" t="n">
        <v>1</v>
      </c>
      <c r="V125" s="219" t="inlineStr">
        <is>
          <t>02/03/2026</t>
        </is>
      </c>
    </row>
    <row r="126" ht="15.75" customHeight="1" s="153">
      <c r="A126" s="237" t="n"/>
      <c r="B126" s="238" t="inlineStr">
        <is>
          <t>OTNIEL</t>
        </is>
      </c>
      <c r="C126" s="239" t="n">
        <v>1</v>
      </c>
      <c r="D126" s="239" t="n">
        <v>1</v>
      </c>
      <c r="E126" s="239" t="n"/>
      <c r="F126" s="240" t="n"/>
      <c r="G126" s="240" t="n">
        <v>2</v>
      </c>
      <c r="H126" s="241" t="n">
        <v>57500</v>
      </c>
      <c r="I126" s="242" t="n"/>
      <c r="J126" s="242" t="n">
        <v>57500</v>
      </c>
      <c r="K126" s="233" t="n"/>
      <c r="L126" s="233">
        <f>IF(K126&lt;&gt;"",29650+K126,29650)</f>
        <v/>
      </c>
      <c r="M126" s="156" t="n"/>
      <c r="N126" s="156" t="n"/>
      <c r="O126" s="156" t="n"/>
      <c r="Q126" s="221" t="inlineStr">
        <is>
          <t>124</t>
        </is>
      </c>
      <c r="R126" s="222" t="inlineStr">
        <is>
          <t>ALBERTI 5251</t>
        </is>
      </c>
      <c r="S126" s="223" t="n">
        <v>21000</v>
      </c>
      <c r="T126" s="224" t="n">
        <v>6000</v>
      </c>
      <c r="U126" s="225" t="n">
        <v>1</v>
      </c>
      <c r="V126" s="226" t="inlineStr">
        <is>
          <t>03/03/2026</t>
        </is>
      </c>
    </row>
    <row r="127" ht="15.75" customHeight="1" s="153">
      <c r="A127" s="227" t="n"/>
      <c r="B127" s="228" t="inlineStr">
        <is>
          <t xml:space="preserve">BEATRIZ </t>
        </is>
      </c>
      <c r="C127" s="229" t="n"/>
      <c r="D127" s="229" t="n"/>
      <c r="E127" s="229" t="n"/>
      <c r="F127" s="230" t="n"/>
      <c r="G127" s="230" t="n">
        <v>1</v>
      </c>
      <c r="H127" s="231" t="n">
        <v>5000</v>
      </c>
      <c r="I127" s="232" t="n">
        <v>5000</v>
      </c>
      <c r="J127" s="232" t="n"/>
      <c r="K127" s="233" t="n"/>
      <c r="L127" s="233">
        <f>IF(K127&lt;&gt;"",4200+K127,4200)</f>
        <v/>
      </c>
      <c r="M127" s="156" t="n"/>
      <c r="N127" s="156" t="n"/>
      <c r="O127" s="156" t="n"/>
      <c r="Q127" s="214" t="inlineStr">
        <is>
          <t>125</t>
        </is>
      </c>
      <c r="R127" s="215" t="inlineStr">
        <is>
          <t>ALBERDI 4649</t>
        </is>
      </c>
      <c r="S127" s="216" t="n">
        <v>21000</v>
      </c>
      <c r="T127" s="236" t="n">
        <v>6000</v>
      </c>
      <c r="U127" s="218" t="n">
        <v>1</v>
      </c>
      <c r="V127" s="219" t="inlineStr">
        <is>
          <t>18/01/2026</t>
        </is>
      </c>
    </row>
    <row r="128" ht="15.75" customHeight="1" s="153">
      <c r="A128" s="237" t="n"/>
      <c r="B128" s="238" t="inlineStr">
        <is>
          <t>SANDRA</t>
        </is>
      </c>
      <c r="C128" s="239" t="n">
        <v>1</v>
      </c>
      <c r="D128" s="239" t="n">
        <v>1</v>
      </c>
      <c r="E128" s="239" t="n"/>
      <c r="F128" s="240" t="n"/>
      <c r="G128" s="240" t="n"/>
      <c r="H128" s="241" t="n">
        <v>37000</v>
      </c>
      <c r="I128" s="242" t="n">
        <v>37000</v>
      </c>
      <c r="J128" s="242" t="n"/>
      <c r="K128" s="233" t="n"/>
      <c r="L128" s="233">
        <f>IF(K128&lt;&gt;"",10750+K128,10750)</f>
        <v/>
      </c>
      <c r="M128" s="156" t="n"/>
      <c r="N128" s="156" t="n"/>
      <c r="O128" s="156" t="n"/>
      <c r="Q128" s="221" t="inlineStr">
        <is>
          <t>126</t>
        </is>
      </c>
      <c r="R128" s="222" t="inlineStr">
        <is>
          <t>CARRASCO 9350</t>
        </is>
      </c>
      <c r="S128" s="223" t="n">
        <v>21000</v>
      </c>
      <c r="T128" s="224" t="n">
        <v>6000</v>
      </c>
      <c r="U128" s="225" t="n">
        <v>1</v>
      </c>
      <c r="V128" s="226" t="inlineStr">
        <is>
          <t>19/01/2026</t>
        </is>
      </c>
    </row>
    <row r="129" ht="15.75" customHeight="1" s="153">
      <c r="A129" s="227" t="n"/>
      <c r="B129" s="228" t="inlineStr">
        <is>
          <t>PANA VIEYTES</t>
        </is>
      </c>
      <c r="C129" s="229" t="n">
        <v>1</v>
      </c>
      <c r="D129" s="229" t="n"/>
      <c r="E129" s="229" t="n"/>
      <c r="F129" s="230" t="n"/>
      <c r="G129" s="230" t="n"/>
      <c r="H129" s="231" t="n">
        <v>17500</v>
      </c>
      <c r="I129" s="232" t="n"/>
      <c r="J129" s="232" t="n">
        <v>17500</v>
      </c>
      <c r="K129" s="233" t="n"/>
      <c r="L129" s="233">
        <f>IF(K129&lt;&gt;"",7000+K129,7000)</f>
        <v/>
      </c>
      <c r="M129" s="156" t="n"/>
      <c r="N129" s="156" t="n"/>
      <c r="O129" s="156" t="n"/>
      <c r="Q129" s="214" t="inlineStr">
        <is>
          <t>127</t>
        </is>
      </c>
      <c r="R129" s="215" t="inlineStr">
        <is>
          <t>JAVIER DE LA ROSA 2480</t>
        </is>
      </c>
      <c r="S129" s="216" t="n">
        <v>21000</v>
      </c>
      <c r="T129" s="236" t="n">
        <v>6000</v>
      </c>
      <c r="U129" s="218" t="n">
        <v>1</v>
      </c>
      <c r="V129" s="219" t="inlineStr">
        <is>
          <t>20/01/2026</t>
        </is>
      </c>
    </row>
    <row r="130" ht="15.75" customHeight="1" s="153">
      <c r="A130" s="237" t="n"/>
      <c r="B130" s="238" t="inlineStr">
        <is>
          <t>LAVAISE 3786</t>
        </is>
      </c>
      <c r="C130" s="239" t="n">
        <v>2</v>
      </c>
      <c r="D130" s="239" t="n"/>
      <c r="E130" s="239" t="n"/>
      <c r="F130" s="240" t="n"/>
      <c r="G130" s="240" t="n"/>
      <c r="H130" s="241" t="n">
        <v>42000</v>
      </c>
      <c r="I130" s="242" t="n">
        <v>42000</v>
      </c>
      <c r="J130" s="242" t="n"/>
      <c r="K130" s="233" t="n"/>
      <c r="L130" s="233">
        <f>IF(K130&lt;&gt;"",21000+K130,21000)</f>
        <v/>
      </c>
      <c r="M130" s="156" t="n"/>
      <c r="N130" s="156" t="n"/>
      <c r="O130" s="156" t="n"/>
      <c r="Q130" s="221" t="inlineStr">
        <is>
          <t>128</t>
        </is>
      </c>
      <c r="R130" s="222" t="inlineStr">
        <is>
          <t>AGUADO 6970</t>
        </is>
      </c>
      <c r="S130" s="223" t="n">
        <v>21000</v>
      </c>
      <c r="T130" s="224" t="n">
        <v>6000</v>
      </c>
      <c r="U130" s="225" t="n">
        <v>1</v>
      </c>
      <c r="V130" s="226" t="inlineStr">
        <is>
          <t>22/01/2026</t>
        </is>
      </c>
    </row>
    <row r="131" ht="15.75" customHeight="1" s="153">
      <c r="A131" s="227" t="n"/>
      <c r="B131" s="228" t="inlineStr">
        <is>
          <t>BRASERIA</t>
        </is>
      </c>
      <c r="C131" s="229" t="n"/>
      <c r="D131" s="229" t="n"/>
      <c r="E131" s="229" t="n">
        <v>1</v>
      </c>
      <c r="F131" s="230" t="n"/>
      <c r="G131" s="230" t="n"/>
      <c r="H131" s="231" t="n">
        <v>72000</v>
      </c>
      <c r="I131" s="232" t="n"/>
      <c r="J131" s="232" t="n">
        <v>72000</v>
      </c>
      <c r="K131" s="233" t="n"/>
      <c r="L131" s="233">
        <f>IF(K131&lt;&gt;"",25000+K131,25000)</f>
        <v/>
      </c>
      <c r="M131" s="156" t="n"/>
      <c r="N131" s="156" t="n"/>
      <c r="O131" s="156" t="n"/>
      <c r="Q131" s="214" t="inlineStr">
        <is>
          <t>129</t>
        </is>
      </c>
      <c r="R131" s="215" t="inlineStr">
        <is>
          <t>DENIS 6169</t>
        </is>
      </c>
      <c r="S131" s="216" t="n">
        <v>21000</v>
      </c>
      <c r="T131" s="236" t="n">
        <v>6000</v>
      </c>
      <c r="U131" s="218" t="n">
        <v>1</v>
      </c>
      <c r="V131" s="219" t="inlineStr">
        <is>
          <t>25/01/2026</t>
        </is>
      </c>
    </row>
    <row r="132" ht="15.75" customHeight="1" s="153">
      <c r="A132" s="237" t="n"/>
      <c r="B132" s="238" t="inlineStr">
        <is>
          <t>LALO</t>
        </is>
      </c>
      <c r="C132" s="239" t="n"/>
      <c r="D132" s="239" t="n"/>
      <c r="E132" s="239" t="n">
        <v>1</v>
      </c>
      <c r="F132" s="240" t="n"/>
      <c r="G132" s="240" t="n"/>
      <c r="H132" s="241" t="n">
        <v>77000</v>
      </c>
      <c r="I132" s="242" t="n">
        <v>77000</v>
      </c>
      <c r="J132" s="242" t="n"/>
      <c r="K132" s="233" t="n"/>
      <c r="L132" s="233">
        <f>IF(K132&lt;&gt;"",30000+K132,30000)</f>
        <v/>
      </c>
      <c r="M132" s="156" t="n"/>
      <c r="N132" s="156" t="n"/>
      <c r="O132" s="156" t="n"/>
      <c r="Q132" s="221" t="inlineStr">
        <is>
          <t>130</t>
        </is>
      </c>
      <c r="R132" s="222" t="inlineStr">
        <is>
          <t>LA MADRID 4736</t>
        </is>
      </c>
      <c r="S132" s="223" t="n">
        <v>21000</v>
      </c>
      <c r="T132" s="224" t="n">
        <v>6000</v>
      </c>
      <c r="U132" s="225" t="n">
        <v>1</v>
      </c>
      <c r="V132" s="226" t="inlineStr">
        <is>
          <t>30/01/2026</t>
        </is>
      </c>
    </row>
    <row r="133" ht="15.75" customHeight="1" s="153">
      <c r="A133" s="227" t="n"/>
      <c r="B133" s="228" t="inlineStr">
        <is>
          <t>FILOMENA</t>
        </is>
      </c>
      <c r="C133" s="229" t="n">
        <v>2</v>
      </c>
      <c r="D133" s="229" t="n"/>
      <c r="E133" s="229" t="n"/>
      <c r="F133" s="230" t="n"/>
      <c r="G133" s="230" t="n"/>
      <c r="H133" s="231" t="n">
        <v>36000</v>
      </c>
      <c r="I133" s="232" t="n">
        <v>36000</v>
      </c>
      <c r="J133" s="232" t="n"/>
      <c r="K133" s="233" t="n"/>
      <c r="L133" s="233">
        <f>IF(K133&lt;&gt;"",15000+K133,15000)</f>
        <v/>
      </c>
      <c r="M133" s="156" t="n"/>
      <c r="N133" s="156" t="n"/>
      <c r="O133" s="156" t="n"/>
      <c r="Q133" s="214" t="inlineStr">
        <is>
          <t>131</t>
        </is>
      </c>
      <c r="R133" s="215" t="inlineStr">
        <is>
          <t>PENALOZA 6438</t>
        </is>
      </c>
      <c r="S133" s="216" t="n">
        <v>21000</v>
      </c>
      <c r="T133" s="236" t="n">
        <v>6000</v>
      </c>
      <c r="U133" s="218" t="n">
        <v>1</v>
      </c>
      <c r="V133" s="219" t="inlineStr">
        <is>
          <t>30/01/2026</t>
        </is>
      </c>
    </row>
    <row r="134" ht="15.75" customHeight="1" s="153">
      <c r="A134" s="237" t="n"/>
      <c r="B134" s="238" t="inlineStr">
        <is>
          <t>CAREN</t>
        </is>
      </c>
      <c r="C134" s="239" t="n"/>
      <c r="D134" s="239" t="n"/>
      <c r="E134" s="239" t="n">
        <v>1</v>
      </c>
      <c r="F134" s="240" t="n"/>
      <c r="G134" s="240" t="n"/>
      <c r="H134" s="241" t="n">
        <v>69000</v>
      </c>
      <c r="I134" s="242" t="n"/>
      <c r="J134" s="242" t="n">
        <v>69000</v>
      </c>
      <c r="K134" s="233" t="n"/>
      <c r="L134" s="233">
        <f>IF(K134&lt;&gt;"",22000+K134,22000)</f>
        <v/>
      </c>
      <c r="M134" s="156" t="n"/>
      <c r="N134" s="156" t="n"/>
      <c r="O134" s="156" t="n"/>
      <c r="Q134" s="221" t="inlineStr">
        <is>
          <t>132</t>
        </is>
      </c>
      <c r="R134" s="222" t="inlineStr">
        <is>
          <t>GUANELLA 4543</t>
        </is>
      </c>
      <c r="S134" s="223" t="n">
        <v>21000</v>
      </c>
      <c r="T134" s="224" t="n">
        <v>6000</v>
      </c>
      <c r="U134" s="225" t="n">
        <v>1</v>
      </c>
      <c r="V134" s="226" t="inlineStr">
        <is>
          <t>30/01/2026</t>
        </is>
      </c>
    </row>
    <row r="135" ht="15.75" customHeight="1" s="153">
      <c r="A135" s="227" t="n">
        <v>46039</v>
      </c>
      <c r="B135" s="228" t="inlineStr">
        <is>
          <t>GASTON AMARAL</t>
        </is>
      </c>
      <c r="C135" s="229" t="n"/>
      <c r="D135" s="229" t="n"/>
      <c r="E135" s="229" t="n">
        <v>1</v>
      </c>
      <c r="F135" s="230" t="n"/>
      <c r="G135" s="230" t="n"/>
      <c r="H135" s="231" t="n">
        <v>77000</v>
      </c>
      <c r="I135" s="232" t="n">
        <v>77000</v>
      </c>
      <c r="J135" s="232" t="n"/>
      <c r="K135" s="233" t="n"/>
      <c r="L135" s="233">
        <f>IF(K135&lt;&gt;"",30000+K135,30000)</f>
        <v/>
      </c>
      <c r="M135" s="156" t="n"/>
      <c r="N135" s="156" t="n"/>
      <c r="O135" s="156" t="n"/>
      <c r="Q135" s="214" t="inlineStr">
        <is>
          <t>133</t>
        </is>
      </c>
      <c r="R135" s="215" t="inlineStr">
        <is>
          <t>MOLINERO</t>
        </is>
      </c>
      <c r="S135" s="216" t="n">
        <v>21000</v>
      </c>
      <c r="T135" s="236" t="n">
        <v>6000</v>
      </c>
      <c r="U135" s="218" t="n">
        <v>1</v>
      </c>
      <c r="V135" s="219" t="inlineStr">
        <is>
          <t>31/01/2026</t>
        </is>
      </c>
    </row>
    <row r="136" ht="15.75" customHeight="1" s="153">
      <c r="A136" s="237" t="n"/>
      <c r="B136" s="238" t="inlineStr">
        <is>
          <t>PAULO</t>
        </is>
      </c>
      <c r="C136" s="239" t="n">
        <v>3</v>
      </c>
      <c r="D136" s="239" t="n"/>
      <c r="E136" s="239" t="n"/>
      <c r="F136" s="240" t="n"/>
      <c r="G136" s="240" t="n"/>
      <c r="H136" s="241" t="n">
        <v>43500</v>
      </c>
      <c r="I136" s="242" t="n">
        <v>43500</v>
      </c>
      <c r="J136" s="242" t="n"/>
      <c r="K136" s="233" t="n"/>
      <c r="L136" s="233">
        <f>IF(K136&lt;&gt;"",12000+K136,12000)</f>
        <v/>
      </c>
      <c r="M136" s="156" t="n"/>
      <c r="N136" s="156" t="n"/>
      <c r="O136" s="156" t="n"/>
      <c r="Q136" s="221" t="inlineStr">
        <is>
          <t>134</t>
        </is>
      </c>
      <c r="R136" s="222" t="inlineStr">
        <is>
          <t>LUCIANDO LEIVA Y ALBERTI</t>
        </is>
      </c>
      <c r="S136" s="223" t="n">
        <v>20500</v>
      </c>
      <c r="T136" s="224" t="n">
        <v>5500</v>
      </c>
      <c r="U136" s="225" t="n">
        <v>1</v>
      </c>
      <c r="V136" s="226" t="inlineStr">
        <is>
          <t>03/01/2026</t>
        </is>
      </c>
    </row>
    <row r="137" ht="15.75" customHeight="1" s="153">
      <c r="A137" s="227" t="n"/>
      <c r="B137" s="228" t="inlineStr">
        <is>
          <t>GOLD BURGUER</t>
        </is>
      </c>
      <c r="C137" s="229" t="n"/>
      <c r="D137" s="229" t="n"/>
      <c r="E137" s="229" t="n">
        <v>2</v>
      </c>
      <c r="F137" s="230" t="n"/>
      <c r="G137" s="230" t="n"/>
      <c r="H137" s="231" t="n">
        <v>158000</v>
      </c>
      <c r="I137" s="232" t="n"/>
      <c r="J137" s="232" t="n">
        <v>158000</v>
      </c>
      <c r="K137" s="233" t="n"/>
      <c r="L137" s="233">
        <f>IF(K137&lt;&gt;"",64000+K137,64000)</f>
        <v/>
      </c>
      <c r="M137" s="156" t="n"/>
      <c r="N137" s="156" t="n"/>
      <c r="O137" s="156" t="n"/>
      <c r="Q137" s="214" t="inlineStr">
        <is>
          <t>135</t>
        </is>
      </c>
      <c r="R137" s="215" t="inlineStr">
        <is>
          <t>FABIAN</t>
        </is>
      </c>
      <c r="S137" s="216" t="n">
        <v>20000</v>
      </c>
      <c r="T137" s="236" t="n">
        <v>5000</v>
      </c>
      <c r="U137" s="218" t="n">
        <v>1</v>
      </c>
      <c r="V137" s="219" t="inlineStr">
        <is>
          <t>09/01/2026</t>
        </is>
      </c>
    </row>
    <row r="138" ht="15.75" customHeight="1" s="153">
      <c r="A138" s="237" t="n"/>
      <c r="B138" s="238" t="inlineStr">
        <is>
          <t>TOFFO</t>
        </is>
      </c>
      <c r="C138" s="239" t="n"/>
      <c r="D138" s="239" t="n">
        <v>1</v>
      </c>
      <c r="E138" s="239" t="n"/>
      <c r="F138" s="240" t="n"/>
      <c r="G138" s="240" t="n"/>
      <c r="H138" s="241" t="n">
        <v>33000</v>
      </c>
      <c r="I138" s="242" t="n">
        <v>33000</v>
      </c>
      <c r="J138" s="242" t="n"/>
      <c r="K138" s="233" t="n"/>
      <c r="L138" s="233">
        <f>IF(K138&lt;&gt;"",17250+K138,17250)</f>
        <v/>
      </c>
      <c r="M138" s="156" t="n"/>
      <c r="N138" s="156" t="n"/>
      <c r="O138" s="156" t="n"/>
      <c r="Q138" s="221" t="inlineStr">
        <is>
          <t>136</t>
        </is>
      </c>
      <c r="R138" s="222" t="inlineStr">
        <is>
          <t>FRATERNINDAD GUANELIANA</t>
        </is>
      </c>
      <c r="S138" s="223" t="n">
        <v>20000</v>
      </c>
      <c r="T138" s="224" t="n">
        <v>5000</v>
      </c>
      <c r="U138" s="225" t="n">
        <v>1</v>
      </c>
      <c r="V138" s="226" t="inlineStr">
        <is>
          <t>17/01/2026</t>
        </is>
      </c>
    </row>
    <row r="139" ht="15.75" customHeight="1" s="153">
      <c r="A139" s="227" t="n"/>
      <c r="B139" s="228" t="inlineStr">
        <is>
          <t>FRATERNINDAD GUANELIANA</t>
        </is>
      </c>
      <c r="C139" s="229" t="n">
        <v>1</v>
      </c>
      <c r="D139" s="229" t="n"/>
      <c r="E139" s="229" t="n"/>
      <c r="F139" s="230" t="n"/>
      <c r="G139" s="230" t="n"/>
      <c r="H139" s="231" t="n">
        <v>20000</v>
      </c>
      <c r="I139" s="232" t="n">
        <v>20000</v>
      </c>
      <c r="J139" s="232" t="n"/>
      <c r="K139" s="233" t="n"/>
      <c r="L139" s="233">
        <f>IF(K139&lt;&gt;"",9500+K139,9500)</f>
        <v/>
      </c>
      <c r="M139" s="156" t="n"/>
      <c r="N139" s="156" t="n"/>
      <c r="O139" s="156" t="n"/>
      <c r="Q139" s="214" t="inlineStr">
        <is>
          <t>137</t>
        </is>
      </c>
      <c r="R139" s="215" t="inlineStr">
        <is>
          <t>SAN MARTIN 1925</t>
        </is>
      </c>
      <c r="S139" s="216" t="n">
        <v>19500</v>
      </c>
      <c r="T139" s="236" t="n">
        <v>4500</v>
      </c>
      <c r="U139" s="218" t="n">
        <v>1</v>
      </c>
      <c r="V139" s="219" t="inlineStr">
        <is>
          <t>09/03/2026</t>
        </is>
      </c>
    </row>
    <row r="140" ht="15.75" customHeight="1" s="153">
      <c r="A140" s="237" t="n"/>
      <c r="B140" s="238" t="inlineStr">
        <is>
          <t>ROTI AGUADO</t>
        </is>
      </c>
      <c r="C140" s="239" t="n">
        <v>1</v>
      </c>
      <c r="D140" s="239" t="n">
        <v>1</v>
      </c>
      <c r="E140" s="239" t="n">
        <v>1</v>
      </c>
      <c r="F140" s="240" t="n"/>
      <c r="G140" s="240" t="n"/>
      <c r="H140" s="241" t="n">
        <v>115000</v>
      </c>
      <c r="I140" s="242" t="n"/>
      <c r="J140" s="242" t="n">
        <v>115000</v>
      </c>
      <c r="K140" s="233" t="n"/>
      <c r="L140" s="233">
        <f>IF(K140&lt;&gt;"",41750+K140,41750)</f>
        <v/>
      </c>
      <c r="M140" s="156" t="n"/>
      <c r="N140" s="156" t="n"/>
      <c r="O140" s="156" t="n"/>
      <c r="Q140" s="221" t="inlineStr">
        <is>
          <t>138</t>
        </is>
      </c>
      <c r="R140" s="222" t="inlineStr">
        <is>
          <t>VICTO CAPE DRUGSTORE</t>
        </is>
      </c>
      <c r="S140" s="223" t="n">
        <v>19500</v>
      </c>
      <c r="T140" s="224" t="n">
        <v>4500</v>
      </c>
      <c r="U140" s="225" t="n">
        <v>1</v>
      </c>
      <c r="V140" s="226" t="inlineStr">
        <is>
          <t>03/01/2026</t>
        </is>
      </c>
    </row>
    <row r="141" ht="15.75" customHeight="1" s="153">
      <c r="A141" s="227" t="n"/>
      <c r="B141" s="228" t="inlineStr">
        <is>
          <t>SAVEDRA 10125</t>
        </is>
      </c>
      <c r="C141" s="229" t="n"/>
      <c r="D141" s="229" t="n"/>
      <c r="E141" s="229" t="n">
        <v>1</v>
      </c>
      <c r="F141" s="230" t="n"/>
      <c r="G141" s="230" t="n"/>
      <c r="H141" s="231" t="n">
        <v>77000</v>
      </c>
      <c r="I141" s="232" t="n"/>
      <c r="J141" s="232" t="n">
        <v>77000</v>
      </c>
      <c r="K141" s="233" t="n"/>
      <c r="L141" s="233">
        <f>IF(K141&lt;&gt;"",30000+K141,30000)</f>
        <v/>
      </c>
      <c r="M141" s="156" t="n"/>
      <c r="N141" s="156" t="n"/>
      <c r="O141" s="156" t="n"/>
      <c r="Q141" s="214" t="inlineStr">
        <is>
          <t>139</t>
        </is>
      </c>
      <c r="R141" s="215" t="inlineStr">
        <is>
          <t>PJE MITRE 2409</t>
        </is>
      </c>
      <c r="S141" s="216" t="n">
        <v>19500</v>
      </c>
      <c r="T141" s="236" t="n">
        <v>4500</v>
      </c>
      <c r="U141" s="218" t="n">
        <v>1</v>
      </c>
      <c r="V141" s="219" t="inlineStr">
        <is>
          <t>06/01/2026</t>
        </is>
      </c>
    </row>
    <row r="142" ht="15.75" customHeight="1" s="153">
      <c r="A142" s="237" t="n"/>
      <c r="B142" s="238" t="inlineStr">
        <is>
          <t>PICHI</t>
        </is>
      </c>
      <c r="C142" s="239" t="n">
        <v>1</v>
      </c>
      <c r="D142" s="239" t="n"/>
      <c r="E142" s="239" t="n"/>
      <c r="F142" s="240" t="n"/>
      <c r="G142" s="240" t="n"/>
      <c r="H142" s="241" t="n">
        <v>18000</v>
      </c>
      <c r="I142" s="242" t="n">
        <v>18000</v>
      </c>
      <c r="J142" s="242" t="n"/>
      <c r="K142" s="233" t="n"/>
      <c r="L142" s="233">
        <f>IF(K142&lt;&gt;"",7500+K142,7500)</f>
        <v/>
      </c>
      <c r="M142" s="156" t="n"/>
      <c r="N142" s="156" t="n"/>
      <c r="O142" s="156" t="n"/>
      <c r="Q142" s="221" t="inlineStr">
        <is>
          <t>140</t>
        </is>
      </c>
      <c r="R142" s="222" t="inlineStr">
        <is>
          <t>PUESTO PASTELITOS COSTA</t>
        </is>
      </c>
      <c r="S142" s="223" t="n">
        <v>19500</v>
      </c>
      <c r="T142" s="224" t="n">
        <v>4500</v>
      </c>
      <c r="U142" s="225" t="n">
        <v>1</v>
      </c>
      <c r="V142" s="226" t="inlineStr">
        <is>
          <t>25/01/2026</t>
        </is>
      </c>
    </row>
    <row r="143" ht="15.75" customHeight="1" s="153">
      <c r="A143" s="227" t="n"/>
      <c r="B143" s="228" t="inlineStr">
        <is>
          <t>EXE</t>
        </is>
      </c>
      <c r="C143" s="229" t="n"/>
      <c r="D143" s="229" t="n"/>
      <c r="E143" s="229" t="n">
        <v>1</v>
      </c>
      <c r="F143" s="230" t="n"/>
      <c r="G143" s="230" t="n"/>
      <c r="H143" s="231" t="n">
        <v>69000</v>
      </c>
      <c r="I143" s="232" t="n"/>
      <c r="J143" s="232" t="n">
        <v>69000</v>
      </c>
      <c r="K143" s="233" t="n"/>
      <c r="L143" s="233">
        <f>IF(K143&lt;&gt;"",22000+K143,22000)</f>
        <v/>
      </c>
      <c r="M143" s="156" t="n"/>
      <c r="N143" s="156" t="n"/>
      <c r="O143" s="156" t="n"/>
      <c r="Q143" s="214" t="inlineStr">
        <is>
          <t>141</t>
        </is>
      </c>
      <c r="R143" s="215" t="inlineStr">
        <is>
          <t>R GODOY 1614</t>
        </is>
      </c>
      <c r="S143" s="216" t="n">
        <v>19000</v>
      </c>
      <c r="T143" s="236" t="n">
        <v>4000</v>
      </c>
      <c r="U143" s="218" t="n">
        <v>1</v>
      </c>
      <c r="V143" s="219" t="inlineStr">
        <is>
          <t>07/03/2026</t>
        </is>
      </c>
    </row>
    <row r="144" ht="15.75" customHeight="1" s="153">
      <c r="A144" s="237" t="n"/>
      <c r="B144" s="238" t="inlineStr">
        <is>
          <t>FILOMENA</t>
        </is>
      </c>
      <c r="C144" s="239" t="n">
        <v>1</v>
      </c>
      <c r="D144" s="239" t="n"/>
      <c r="E144" s="239" t="n"/>
      <c r="F144" s="240" t="n"/>
      <c r="G144" s="240" t="n"/>
      <c r="H144" s="241" t="n">
        <v>18000</v>
      </c>
      <c r="I144" s="242" t="n">
        <v>18000</v>
      </c>
      <c r="J144" s="242" t="n"/>
      <c r="K144" s="233" t="n"/>
      <c r="L144" s="233">
        <f>IF(K144&lt;&gt;"",7500+K144,7500)</f>
        <v/>
      </c>
      <c r="M144" s="156" t="n"/>
      <c r="N144" s="156" t="n"/>
      <c r="O144" s="156" t="n"/>
      <c r="Q144" s="221" t="inlineStr">
        <is>
          <t>142</t>
        </is>
      </c>
      <c r="R144" s="222" t="inlineStr">
        <is>
          <t>NACHO</t>
        </is>
      </c>
      <c r="S144" s="223" t="n">
        <v>18000</v>
      </c>
      <c r="T144" s="224" t="n">
        <v>3000</v>
      </c>
      <c r="U144" s="225" t="n">
        <v>1</v>
      </c>
      <c r="V144" s="226" t="inlineStr">
        <is>
          <t>02/04/2026</t>
        </is>
      </c>
    </row>
    <row r="145" ht="15.75" customHeight="1" s="153">
      <c r="A145" s="227" t="n"/>
      <c r="B145" s="228" t="inlineStr">
        <is>
          <t>SABOREAR</t>
        </is>
      </c>
      <c r="C145" s="229" t="n">
        <v>1</v>
      </c>
      <c r="D145" s="229" t="n"/>
      <c r="E145" s="229" t="n"/>
      <c r="F145" s="230" t="n"/>
      <c r="G145" s="230" t="n"/>
      <c r="H145" s="231" t="n">
        <v>18000</v>
      </c>
      <c r="I145" s="232" t="n"/>
      <c r="J145" s="232" t="n">
        <v>18000</v>
      </c>
      <c r="K145" s="233" t="n"/>
      <c r="L145" s="233">
        <f>IF(K145&lt;&gt;"",7500+K145,7500)</f>
        <v/>
      </c>
      <c r="M145" s="156" t="n"/>
      <c r="N145" s="156" t="n"/>
      <c r="O145" s="156" t="n"/>
      <c r="Q145" s="214" t="inlineStr">
        <is>
          <t>143</t>
        </is>
      </c>
      <c r="R145" s="215" t="inlineStr">
        <is>
          <t>PICHI</t>
        </is>
      </c>
      <c r="S145" s="216" t="n">
        <v>18000</v>
      </c>
      <c r="T145" s="236" t="n">
        <v>3000</v>
      </c>
      <c r="U145" s="218" t="n">
        <v>1</v>
      </c>
      <c r="V145" s="219" t="inlineStr">
        <is>
          <t>18/04/2026</t>
        </is>
      </c>
    </row>
    <row r="146" ht="15.75" customHeight="1" s="153">
      <c r="A146" s="237" t="n"/>
      <c r="B146" s="238" t="inlineStr">
        <is>
          <t>CHICLANA 7565</t>
        </is>
      </c>
      <c r="C146" s="239" t="n"/>
      <c r="D146" s="239" t="n">
        <v>1</v>
      </c>
      <c r="E146" s="239" t="n"/>
      <c r="F146" s="240" t="n"/>
      <c r="G146" s="240" t="n"/>
      <c r="H146" s="241" t="n">
        <v>33000</v>
      </c>
      <c r="I146" s="242" t="n">
        <v>33000</v>
      </c>
      <c r="J146" s="242" t="n"/>
      <c r="K146" s="233" t="n"/>
      <c r="L146" s="233">
        <f>IF(K146&lt;&gt;"",17250+K146,17250)</f>
        <v/>
      </c>
      <c r="M146" s="156" t="n"/>
      <c r="N146" s="156" t="n"/>
      <c r="O146" s="156" t="n"/>
      <c r="Q146" s="221" t="inlineStr">
        <is>
          <t>144</t>
        </is>
      </c>
      <c r="R146" s="222" t="inlineStr">
        <is>
          <t>FILOMEN A</t>
        </is>
      </c>
      <c r="S146" s="223" t="n">
        <v>18000</v>
      </c>
      <c r="T146" s="224" t="n">
        <v>3000</v>
      </c>
      <c r="U146" s="225" t="n">
        <v>1</v>
      </c>
      <c r="V146" s="226" t="inlineStr">
        <is>
          <t>12/03/2026</t>
        </is>
      </c>
    </row>
    <row r="147" ht="15.75" customHeight="1" s="153">
      <c r="A147" s="227" t="n"/>
      <c r="B147" s="228" t="inlineStr">
        <is>
          <t>BONEO 4054</t>
        </is>
      </c>
      <c r="C147" s="229" t="n">
        <v>1</v>
      </c>
      <c r="D147" s="229" t="n">
        <v>1</v>
      </c>
      <c r="E147" s="229" t="n"/>
      <c r="F147" s="230" t="n"/>
      <c r="G147" s="230" t="n"/>
      <c r="H147" s="231" t="n">
        <v>55000</v>
      </c>
      <c r="I147" s="232" t="n">
        <v>55000</v>
      </c>
      <c r="J147" s="232" t="n"/>
      <c r="K147" s="233" t="n"/>
      <c r="L147" s="233">
        <f>IF(K147&lt;&gt;"",28750+K147,28750)</f>
        <v/>
      </c>
      <c r="M147" s="156" t="n"/>
      <c r="N147" s="156" t="n"/>
      <c r="O147" s="156" t="n"/>
      <c r="Q147" s="214" t="inlineStr">
        <is>
          <t>145</t>
        </is>
      </c>
      <c r="R147" s="215" t="inlineStr">
        <is>
          <t>SABOREARTE CARRO</t>
        </is>
      </c>
      <c r="S147" s="216" t="n">
        <v>18000</v>
      </c>
      <c r="T147" s="236" t="n">
        <v>3000</v>
      </c>
      <c r="U147" s="218" t="n">
        <v>1</v>
      </c>
      <c r="V147" s="219" t="inlineStr">
        <is>
          <t>03/01/2026</t>
        </is>
      </c>
    </row>
    <row r="148" ht="15.75" customHeight="1" s="153">
      <c r="A148" s="237" t="n"/>
      <c r="B148" s="238" t="inlineStr">
        <is>
          <t>ALSINA 7981</t>
        </is>
      </c>
      <c r="C148" s="239" t="n"/>
      <c r="D148" s="239" t="n"/>
      <c r="E148" s="239" t="n">
        <v>1</v>
      </c>
      <c r="F148" s="240" t="n"/>
      <c r="G148" s="240" t="n"/>
      <c r="H148" s="241" t="n">
        <v>77000</v>
      </c>
      <c r="I148" s="242" t="n"/>
      <c r="J148" s="242" t="n">
        <v>77000</v>
      </c>
      <c r="K148" s="233" t="n"/>
      <c r="L148" s="233">
        <f>IF(K148&lt;&gt;"",30000+K148,30000)</f>
        <v/>
      </c>
      <c r="M148" s="156" t="n"/>
      <c r="N148" s="156" t="n"/>
      <c r="O148" s="156" t="n"/>
      <c r="Q148" s="221" t="inlineStr">
        <is>
          <t>146</t>
        </is>
      </c>
      <c r="R148" s="222" t="inlineStr">
        <is>
          <t>POLLERIA BLAS PARERA</t>
        </is>
      </c>
      <c r="S148" s="223" t="n">
        <v>17000</v>
      </c>
      <c r="T148" s="224" t="n">
        <v>2000</v>
      </c>
      <c r="U148" s="225" t="n">
        <v>1</v>
      </c>
      <c r="V148" s="226" t="inlineStr">
        <is>
          <t>15/02/2026</t>
        </is>
      </c>
    </row>
    <row r="149" ht="15.75" customHeight="1" s="153">
      <c r="A149" s="227" t="n"/>
      <c r="B149" s="228" t="inlineStr">
        <is>
          <t>AZCUENAGA 5023</t>
        </is>
      </c>
      <c r="C149" s="229" t="n">
        <v>5</v>
      </c>
      <c r="D149" s="229" t="n">
        <v>1</v>
      </c>
      <c r="E149" s="229" t="n"/>
      <c r="F149" s="230" t="n"/>
      <c r="G149" s="230" t="n"/>
      <c r="H149" s="231" t="n">
        <v>95500</v>
      </c>
      <c r="I149" s="232" t="n"/>
      <c r="J149" s="232" t="n">
        <v>95500</v>
      </c>
      <c r="K149" s="233" t="n"/>
      <c r="L149" s="233">
        <f>IF(K149&lt;&gt;"",27250+K149,27250)</f>
        <v/>
      </c>
      <c r="M149" s="156" t="n"/>
      <c r="N149" s="156" t="n"/>
      <c r="O149" s="156" t="n"/>
      <c r="Q149" s="214" t="inlineStr">
        <is>
          <t>147</t>
        </is>
      </c>
      <c r="R149" s="215" t="inlineStr">
        <is>
          <t>PARRI BLAS PARERA</t>
        </is>
      </c>
      <c r="S149" s="216" t="n">
        <v>17000</v>
      </c>
      <c r="T149" s="236" t="n">
        <v>2000</v>
      </c>
      <c r="U149" s="218" t="n">
        <v>1</v>
      </c>
      <c r="V149" s="219" t="inlineStr">
        <is>
          <t>22/02/2026</t>
        </is>
      </c>
    </row>
    <row r="150" ht="15.75" customHeight="1" s="153">
      <c r="A150" s="237" t="n">
        <v>46040</v>
      </c>
      <c r="B150" s="238" t="inlineStr">
        <is>
          <t>ESTELA PJE PARAGUAY</t>
        </is>
      </c>
      <c r="C150" s="239" t="n">
        <v>4</v>
      </c>
      <c r="D150" s="239" t="n"/>
      <c r="E150" s="239" t="n"/>
      <c r="F150" s="240" t="n"/>
      <c r="G150" s="240" t="n"/>
      <c r="H150" s="241" t="n">
        <v>56000</v>
      </c>
      <c r="I150" s="242" t="n">
        <v>28000</v>
      </c>
      <c r="J150" s="242" t="n">
        <v>28000</v>
      </c>
      <c r="K150" s="233" t="n"/>
      <c r="L150" s="233">
        <f>IF(K150&lt;&gt;"",14000+K150,14000)</f>
        <v/>
      </c>
      <c r="M150" s="156" t="n"/>
      <c r="N150" s="156" t="n"/>
      <c r="O150" s="156" t="n"/>
      <c r="Q150" s="221" t="inlineStr">
        <is>
          <t>148</t>
        </is>
      </c>
      <c r="R150" s="222" t="inlineStr">
        <is>
          <t>POLLERIA. BLAS PAREA</t>
        </is>
      </c>
      <c r="S150" s="223" t="n">
        <v>17000</v>
      </c>
      <c r="T150" s="224" t="n">
        <v>2000</v>
      </c>
      <c r="U150" s="225" t="n">
        <v>1</v>
      </c>
      <c r="V150" s="226" t="inlineStr">
        <is>
          <t>08/01/2026</t>
        </is>
      </c>
    </row>
    <row r="151" ht="15.75" customHeight="1" s="153">
      <c r="A151" s="227" t="n"/>
      <c r="B151" s="228" t="inlineStr">
        <is>
          <t>SANDRA</t>
        </is>
      </c>
      <c r="C151" s="229" t="n">
        <v>2</v>
      </c>
      <c r="D151" s="229" t="n"/>
      <c r="E151" s="229" t="n"/>
      <c r="F151" s="230" t="n"/>
      <c r="G151" s="230" t="n"/>
      <c r="H151" s="231" t="n">
        <v>29000</v>
      </c>
      <c r="I151" s="232" t="n">
        <v>29000</v>
      </c>
      <c r="J151" s="232" t="n"/>
      <c r="K151" s="233" t="n"/>
      <c r="L151" s="233">
        <f>IF(K151&lt;&gt;"",8000+K151,8000)</f>
        <v/>
      </c>
      <c r="M151" s="156" t="n"/>
      <c r="N151" s="156" t="n"/>
      <c r="O151" s="156" t="n"/>
      <c r="Q151" s="214" t="inlineStr">
        <is>
          <t>149</t>
        </is>
      </c>
      <c r="R151" s="215" t="inlineStr">
        <is>
          <t>VICTORIO</t>
        </is>
      </c>
      <c r="S151" s="216" t="n">
        <v>17000</v>
      </c>
      <c r="T151" s="236" t="n">
        <v>2000</v>
      </c>
      <c r="U151" s="218" t="n">
        <v>1</v>
      </c>
      <c r="V151" s="219" t="inlineStr">
        <is>
          <t>26/01/2026</t>
        </is>
      </c>
    </row>
    <row r="152" ht="15.75" customHeight="1" s="153">
      <c r="A152" s="237" t="n"/>
      <c r="B152" s="238" t="inlineStr">
        <is>
          <t xml:space="preserve">POLLERIA BLAS PARERA </t>
        </is>
      </c>
      <c r="C152" s="239" t="n">
        <v>1</v>
      </c>
      <c r="D152" s="239" t="n"/>
      <c r="E152" s="239" t="n"/>
      <c r="F152" s="240" t="n"/>
      <c r="G152" s="240" t="n"/>
      <c r="H152" s="241" t="n">
        <v>17000</v>
      </c>
      <c r="I152" s="242" t="n">
        <v>17000</v>
      </c>
      <c r="J152" s="242" t="n"/>
      <c r="K152" s="233" t="n"/>
      <c r="L152" s="233">
        <f>IF(K152&lt;&gt;"",6500+K152,6500)</f>
        <v/>
      </c>
      <c r="M152" s="156" t="n"/>
      <c r="N152" s="156" t="n"/>
      <c r="O152" s="156" t="n"/>
      <c r="Q152" s="221" t="inlineStr">
        <is>
          <t>150</t>
        </is>
      </c>
      <c r="R152" s="222" t="inlineStr">
        <is>
          <t>PARRILA BLAS PARERA</t>
        </is>
      </c>
      <c r="S152" s="223" t="n">
        <v>16000</v>
      </c>
      <c r="T152" s="224" t="n">
        <v>1000</v>
      </c>
      <c r="U152" s="225" t="n">
        <v>1</v>
      </c>
      <c r="V152" s="226" t="inlineStr">
        <is>
          <t>04/01/2026</t>
        </is>
      </c>
    </row>
    <row r="153" ht="15.75" customHeight="1" s="153">
      <c r="A153" s="227" t="n"/>
      <c r="B153" s="228" t="inlineStr">
        <is>
          <t>B IRIGOYEN 8383</t>
        </is>
      </c>
      <c r="C153" s="229" t="n"/>
      <c r="D153" s="229" t="n"/>
      <c r="E153" s="229" t="n">
        <v>1</v>
      </c>
      <c r="F153" s="230" t="n"/>
      <c r="G153" s="230" t="n"/>
      <c r="H153" s="231" t="n">
        <v>75000</v>
      </c>
      <c r="I153" s="232" t="n">
        <v>75000</v>
      </c>
      <c r="J153" s="232" t="n"/>
      <c r="K153" s="233" t="n"/>
      <c r="L153" s="233">
        <f>IF(K153&lt;&gt;"",28000+K153,28000)</f>
        <v/>
      </c>
      <c r="M153" s="156" t="n"/>
      <c r="N153" s="156" t="n"/>
      <c r="O153" s="156" t="n"/>
      <c r="Q153" s="214" t="inlineStr">
        <is>
          <t>151</t>
        </is>
      </c>
      <c r="R153" s="215" t="inlineStr">
        <is>
          <t>BEATRIZ</t>
        </is>
      </c>
      <c r="S153" s="216" t="n">
        <v>15000</v>
      </c>
      <c r="T153" s="236" t="n">
        <v>12450</v>
      </c>
      <c r="U153" s="218" t="n">
        <v>3</v>
      </c>
      <c r="V153" s="219" t="inlineStr">
        <is>
          <t>16/04/2026</t>
        </is>
      </c>
    </row>
    <row r="154" ht="15.75" customHeight="1" s="153">
      <c r="A154" s="237" t="n"/>
      <c r="B154" s="238" t="inlineStr">
        <is>
          <t>PANA GENESIO</t>
        </is>
      </c>
      <c r="C154" s="239" t="n"/>
      <c r="D154" s="239" t="n"/>
      <c r="E154" s="239" t="n">
        <v>1</v>
      </c>
      <c r="F154" s="240" t="n"/>
      <c r="G154" s="240" t="n"/>
      <c r="H154" s="241" t="n">
        <v>69000</v>
      </c>
      <c r="I154" s="242" t="n"/>
      <c r="J154" s="242" t="n">
        <v>69000</v>
      </c>
      <c r="K154" s="233" t="n"/>
      <c r="L154" s="233">
        <f>IF(K154&lt;&gt;"",22000+K154,22000)</f>
        <v/>
      </c>
      <c r="M154" s="156" t="n"/>
      <c r="N154" s="156" t="n"/>
      <c r="O154" s="156" t="n"/>
      <c r="Q154" s="221" t="inlineStr">
        <is>
          <t>152</t>
        </is>
      </c>
      <c r="R154" s="222" t="inlineStr">
        <is>
          <t>SAMDRA</t>
        </is>
      </c>
      <c r="S154" s="223" t="n">
        <v>14500</v>
      </c>
      <c r="T154" s="245" t="n">
        <v>-500</v>
      </c>
      <c r="U154" s="225" t="n">
        <v>1</v>
      </c>
      <c r="V154" s="226" t="inlineStr">
        <is>
          <t>10/01/2026</t>
        </is>
      </c>
    </row>
    <row r="155" ht="15.75" customHeight="1" s="153">
      <c r="A155" s="227" t="n"/>
      <c r="B155" s="228" t="inlineStr">
        <is>
          <t>ALBERDI 4649</t>
        </is>
      </c>
      <c r="C155" s="229" t="n">
        <v>1</v>
      </c>
      <c r="D155" s="229" t="n"/>
      <c r="E155" s="229" t="n"/>
      <c r="F155" s="230" t="n"/>
      <c r="G155" s="230" t="n"/>
      <c r="H155" s="231" t="n">
        <v>21000</v>
      </c>
      <c r="I155" s="232" t="n"/>
      <c r="J155" s="232" t="n">
        <v>21000</v>
      </c>
      <c r="K155" s="233" t="n"/>
      <c r="L155" s="233">
        <f>IF(K155&lt;&gt;"",10500+K155,10500)</f>
        <v/>
      </c>
      <c r="M155" s="156" t="n"/>
      <c r="N155" s="156" t="n"/>
      <c r="O155" s="156" t="n"/>
      <c r="Q155" s="214" t="inlineStr">
        <is>
          <t>153</t>
        </is>
      </c>
      <c r="R155" s="215" t="inlineStr">
        <is>
          <t>JEMA BURGUER</t>
        </is>
      </c>
      <c r="S155" s="216" t="n">
        <v>14400</v>
      </c>
      <c r="T155" s="236" t="n">
        <v>11850</v>
      </c>
      <c r="U155" s="218" t="n">
        <v>1</v>
      </c>
      <c r="V155" s="219" t="inlineStr">
        <is>
          <t>08/01/2026</t>
        </is>
      </c>
    </row>
    <row r="156" ht="15.75" customHeight="1" s="153">
      <c r="A156" s="237" t="n"/>
      <c r="B156" s="238" t="inlineStr">
        <is>
          <t>LUCHO</t>
        </is>
      </c>
      <c r="C156" s="239" t="n">
        <v>2</v>
      </c>
      <c r="D156" s="239" t="n"/>
      <c r="E156" s="239" t="n"/>
      <c r="F156" s="240" t="n"/>
      <c r="G156" s="240" t="n"/>
      <c r="H156" s="241" t="n">
        <v>29000</v>
      </c>
      <c r="I156" s="242" t="n">
        <v>29000</v>
      </c>
      <c r="J156" s="242" t="n"/>
      <c r="K156" s="233" t="n"/>
      <c r="L156" s="233">
        <f>IF(K156&lt;&gt;"",8000+K156,8000)</f>
        <v/>
      </c>
      <c r="M156" s="156" t="n"/>
      <c r="N156" s="156" t="n"/>
      <c r="O156" s="156" t="n"/>
      <c r="Q156" s="221" t="inlineStr">
        <is>
          <t>154</t>
        </is>
      </c>
      <c r="R156" s="222" t="inlineStr">
        <is>
          <t>FACU DONA</t>
        </is>
      </c>
      <c r="S156" s="223" t="n">
        <v>13500</v>
      </c>
      <c r="T156" s="245" t="n">
        <v>-1500</v>
      </c>
      <c r="U156" s="225" t="n">
        <v>1</v>
      </c>
      <c r="V156" s="226" t="inlineStr">
        <is>
          <t>03/01/2026</t>
        </is>
      </c>
    </row>
    <row r="157" ht="15.75" customHeight="1" s="153">
      <c r="A157" s="227" t="n">
        <v>46041</v>
      </c>
      <c r="B157" s="228" t="inlineStr">
        <is>
          <t>LUCHO</t>
        </is>
      </c>
      <c r="C157" s="229" t="n">
        <v>3</v>
      </c>
      <c r="D157" s="229" t="n"/>
      <c r="E157" s="229" t="n"/>
      <c r="F157" s="230" t="n"/>
      <c r="G157" s="230" t="n"/>
      <c r="H157" s="231" t="n">
        <v>43500</v>
      </c>
      <c r="I157" s="232" t="n">
        <v>43500</v>
      </c>
      <c r="J157" s="232" t="n"/>
      <c r="K157" s="233" t="n"/>
      <c r="L157" s="233">
        <f>IF(K157&lt;&gt;"",12000+K157,12000)</f>
        <v/>
      </c>
      <c r="M157" s="156" t="n"/>
      <c r="N157" s="156" t="n"/>
      <c r="O157" s="156" t="n"/>
      <c r="Q157" s="214" t="inlineStr">
        <is>
          <t>155</t>
        </is>
      </c>
      <c r="R157" s="215" t="inlineStr">
        <is>
          <t>ANGEL</t>
        </is>
      </c>
      <c r="S157" s="216" t="n">
        <v>13000</v>
      </c>
      <c r="T157" s="217" t="n">
        <v>-2000</v>
      </c>
      <c r="U157" s="218" t="n">
        <v>1</v>
      </c>
      <c r="V157" s="219" t="inlineStr">
        <is>
          <t>16/04/2026</t>
        </is>
      </c>
    </row>
    <row r="158" ht="15.75" customHeight="1" s="153">
      <c r="A158" s="237" t="n"/>
      <c r="B158" s="238" t="inlineStr">
        <is>
          <t>CARRASCO 9350</t>
        </is>
      </c>
      <c r="C158" s="239" t="n">
        <v>1</v>
      </c>
      <c r="D158" s="239" t="n"/>
      <c r="E158" s="239" t="n"/>
      <c r="F158" s="240" t="n"/>
      <c r="G158" s="240" t="n"/>
      <c r="H158" s="241" t="n">
        <v>21000</v>
      </c>
      <c r="I158" s="242" t="n">
        <v>21000</v>
      </c>
      <c r="J158" s="242" t="n"/>
      <c r="K158" s="233" t="n"/>
      <c r="L158" s="233">
        <f>IF(K158&lt;&gt;"",10500+K158,10500)</f>
        <v/>
      </c>
      <c r="M158" s="156" t="n"/>
      <c r="N158" s="156" t="n"/>
      <c r="O158" s="156" t="n"/>
      <c r="Q158" s="221" t="inlineStr">
        <is>
          <t>156</t>
        </is>
      </c>
      <c r="R158" s="222" t="inlineStr">
        <is>
          <t>RICARDO ALDAO 2427</t>
        </is>
      </c>
      <c r="S158" s="223" t="n">
        <v>11600</v>
      </c>
      <c r="T158" s="224" t="n">
        <v>9900</v>
      </c>
      <c r="U158" s="225" t="n">
        <v>1</v>
      </c>
      <c r="V158" s="226" t="inlineStr">
        <is>
          <t>20/01/2026</t>
        </is>
      </c>
    </row>
    <row r="159" ht="15.75" customHeight="1" s="153">
      <c r="A159" s="227" t="n"/>
      <c r="B159" s="228" t="inlineStr">
        <is>
          <t>HERNANDARIAS 5356</t>
        </is>
      </c>
      <c r="C159" s="229" t="n"/>
      <c r="D159" s="229" t="n">
        <v>1</v>
      </c>
      <c r="E159" s="229" t="n"/>
      <c r="F159" s="230" t="n"/>
      <c r="G159" s="230" t="n"/>
      <c r="H159" s="231" t="n">
        <v>32000</v>
      </c>
      <c r="I159" s="232" t="n">
        <v>32000</v>
      </c>
      <c r="J159" s="232" t="n"/>
      <c r="K159" s="233" t="n"/>
      <c r="L159" s="233">
        <f>IF(K159&lt;&gt;"",16250+K159,16250)</f>
        <v/>
      </c>
      <c r="M159" s="156" t="n"/>
      <c r="N159" s="156" t="n"/>
      <c r="O159" s="156" t="n"/>
      <c r="Q159" s="214" t="inlineStr">
        <is>
          <t>157</t>
        </is>
      </c>
      <c r="R159" s="215" t="inlineStr">
        <is>
          <t>BERUTI 5520</t>
        </is>
      </c>
      <c r="S159" s="216" t="n">
        <v>10000</v>
      </c>
      <c r="T159" s="236" t="n">
        <v>8300</v>
      </c>
      <c r="U159" s="218" t="n">
        <v>1</v>
      </c>
      <c r="V159" s="219" t="inlineStr">
        <is>
          <t>10/01/2026</t>
        </is>
      </c>
    </row>
    <row r="160" ht="15.75" customHeight="1" s="153">
      <c r="A160" s="237" t="n"/>
      <c r="B160" s="238" t="inlineStr">
        <is>
          <t>FLORENCIO FERNANDEZ 6033</t>
        </is>
      </c>
      <c r="C160" s="239" t="n"/>
      <c r="D160" s="239" t="n"/>
      <c r="E160" s="239" t="n">
        <v>1</v>
      </c>
      <c r="F160" s="240" t="n"/>
      <c r="G160" s="240" t="n"/>
      <c r="H160" s="241" t="n">
        <v>75000</v>
      </c>
      <c r="I160" s="242" t="n">
        <v>75000</v>
      </c>
      <c r="J160" s="242" t="n"/>
      <c r="K160" s="233" t="n"/>
      <c r="L160" s="233">
        <f>IF(K160&lt;&gt;"",28000+K160,28000)</f>
        <v/>
      </c>
      <c r="M160" s="156" t="n"/>
      <c r="N160" s="156" t="n"/>
      <c r="O160" s="156" t="n"/>
      <c r="Q160" s="221" t="inlineStr">
        <is>
          <t>158</t>
        </is>
      </c>
      <c r="R160" s="222" t="inlineStr">
        <is>
          <t>GARMENDIA 9250</t>
        </is>
      </c>
      <c r="S160" s="223" t="n">
        <v>9600</v>
      </c>
      <c r="T160" s="224" t="n">
        <v>7900</v>
      </c>
      <c r="U160" s="225" t="n">
        <v>1</v>
      </c>
      <c r="V160" s="226" t="inlineStr">
        <is>
          <t>17/04/2026</t>
        </is>
      </c>
    </row>
    <row r="161" ht="15.75" customHeight="1" s="153">
      <c r="A161" s="227" t="n"/>
      <c r="B161" s="228" t="inlineStr">
        <is>
          <t>SANDRA</t>
        </is>
      </c>
      <c r="C161" s="229" t="n">
        <v>2</v>
      </c>
      <c r="D161" s="229" t="n"/>
      <c r="E161" s="229" t="n"/>
      <c r="F161" s="230" t="n"/>
      <c r="G161" s="230" t="n"/>
      <c r="H161" s="231" t="n">
        <v>29000</v>
      </c>
      <c r="I161" s="232" t="n">
        <v>29000</v>
      </c>
      <c r="J161" s="232" t="n"/>
      <c r="K161" s="233" t="n"/>
      <c r="L161" s="233">
        <f>IF(K161&lt;&gt;"",8000+K161,8000)</f>
        <v/>
      </c>
      <c r="M161" s="156" t="n"/>
      <c r="N161" s="156" t="n"/>
      <c r="O161" s="156" t="n"/>
      <c r="Q161" s="214" t="inlineStr">
        <is>
          <t>159</t>
        </is>
      </c>
      <c r="R161" s="215" t="inlineStr">
        <is>
          <t>GISE</t>
        </is>
      </c>
      <c r="S161" s="216" t="n">
        <v>6900</v>
      </c>
      <c r="T161" s="236" t="n">
        <v>2300</v>
      </c>
      <c r="U161" s="218" t="n">
        <v>1</v>
      </c>
      <c r="V161" s="219" t="inlineStr">
        <is>
          <t>15/01/2026</t>
        </is>
      </c>
    </row>
    <row r="162" ht="15.75" customHeight="1" s="153">
      <c r="A162" s="237" t="n"/>
      <c r="B162" s="238" t="inlineStr">
        <is>
          <t>LAVADERO</t>
        </is>
      </c>
      <c r="C162" s="239" t="n">
        <v>1</v>
      </c>
      <c r="D162" s="239" t="n"/>
      <c r="E162" s="239" t="n"/>
      <c r="F162" s="240" t="n"/>
      <c r="G162" s="240" t="n"/>
      <c r="H162" s="241" t="n">
        <v>14500</v>
      </c>
      <c r="I162" s="242" t="n"/>
      <c r="J162" s="242" t="n">
        <v>14500</v>
      </c>
      <c r="K162" s="233" t="n"/>
      <c r="L162" s="233">
        <f>IF(K162&lt;&gt;"",4000+K162,4000)</f>
        <v/>
      </c>
      <c r="M162" s="156" t="n"/>
      <c r="N162" s="156" t="n"/>
      <c r="O162" s="156" t="n"/>
      <c r="Q162" s="221" t="inlineStr">
        <is>
          <t>160</t>
        </is>
      </c>
      <c r="R162" s="222" t="inlineStr">
        <is>
          <t>CINDO</t>
        </is>
      </c>
      <c r="S162" s="223" t="n">
        <v>6500</v>
      </c>
      <c r="T162" s="224" t="n">
        <v>1900</v>
      </c>
      <c r="U162" s="225" t="n">
        <v>1</v>
      </c>
      <c r="V162" s="226" t="inlineStr">
        <is>
          <t>06/01/2026</t>
        </is>
      </c>
    </row>
    <row r="163" ht="15.75" customHeight="1" s="153">
      <c r="A163" s="227" t="n"/>
      <c r="B163" s="228" t="inlineStr">
        <is>
          <t>PANA VIEYTES 4500</t>
        </is>
      </c>
      <c r="C163" s="229" t="n"/>
      <c r="D163" s="229" t="n"/>
      <c r="E163" s="229" t="n">
        <v>1</v>
      </c>
      <c r="F163" s="230" t="n"/>
      <c r="G163" s="230" t="n"/>
      <c r="H163" s="231" t="n">
        <v>66000</v>
      </c>
      <c r="I163" s="232" t="n">
        <v>66000</v>
      </c>
      <c r="J163" s="232" t="n"/>
      <c r="K163" s="233" t="n"/>
      <c r="L163" s="233">
        <f>IF(K163&lt;&gt;"",19000+K163,19000)</f>
        <v/>
      </c>
      <c r="M163" s="156" t="n"/>
      <c r="N163" s="156" t="n"/>
      <c r="O163" s="156" t="n"/>
      <c r="Q163" s="214" t="inlineStr">
        <is>
          <t>161</t>
        </is>
      </c>
      <c r="R163" s="215" t="inlineStr">
        <is>
          <t>RITA</t>
        </is>
      </c>
      <c r="S163" s="216" t="n">
        <v>5500</v>
      </c>
      <c r="T163" s="236" t="n">
        <v>4650</v>
      </c>
      <c r="U163" s="218" t="n">
        <v>1</v>
      </c>
      <c r="V163" s="219" t="inlineStr">
        <is>
          <t>30/01/2026</t>
        </is>
      </c>
    </row>
    <row r="164" ht="15.75" customHeight="1" s="153">
      <c r="A164" s="237" t="n"/>
      <c r="B164" s="238" t="inlineStr">
        <is>
          <t>EXE</t>
        </is>
      </c>
      <c r="C164" s="239" t="n"/>
      <c r="D164" s="239" t="n"/>
      <c r="E164" s="239" t="n">
        <v>1</v>
      </c>
      <c r="F164" s="240" t="n"/>
      <c r="G164" s="240" t="n"/>
      <c r="H164" s="241" t="n">
        <v>69000</v>
      </c>
      <c r="I164" s="242" t="n"/>
      <c r="J164" s="242" t="n">
        <v>69000</v>
      </c>
      <c r="K164" s="233" t="n"/>
      <c r="L164" s="233">
        <f>IF(K164&lt;&gt;"",22000+K164,22000)</f>
        <v/>
      </c>
      <c r="M164" s="156" t="n"/>
      <c r="N164" s="156" t="n"/>
      <c r="O164" s="156" t="n"/>
      <c r="Q164" s="221" t="inlineStr">
        <is>
          <t>162</t>
        </is>
      </c>
      <c r="R164" s="222" t="inlineStr">
        <is>
          <t>ALBERTI 4930</t>
        </is>
      </c>
      <c r="S164" s="223" t="n">
        <v>5000</v>
      </c>
      <c r="T164" s="224" t="n">
        <v>4150</v>
      </c>
      <c r="U164" s="225" t="n">
        <v>1</v>
      </c>
      <c r="V164" s="226" t="inlineStr">
        <is>
          <t>24/03/2026</t>
        </is>
      </c>
    </row>
    <row r="165" ht="15.75" customHeight="1" s="153">
      <c r="A165" s="227" t="n">
        <v>46042</v>
      </c>
      <c r="B165" s="228" t="inlineStr">
        <is>
          <t>BAIGORRIA 9350</t>
        </is>
      </c>
      <c r="C165" s="229" t="n"/>
      <c r="D165" s="229" t="n"/>
      <c r="E165" s="229" t="n">
        <v>1</v>
      </c>
      <c r="F165" s="230" t="n"/>
      <c r="G165" s="230" t="n"/>
      <c r="H165" s="231" t="n">
        <v>77000</v>
      </c>
      <c r="I165" s="232" t="n"/>
      <c r="J165" s="232" t="n">
        <v>77000</v>
      </c>
      <c r="K165" s="233" t="n"/>
      <c r="L165" s="233">
        <f>IF(K165&lt;&gt;"",30000+K165,30000)</f>
        <v/>
      </c>
      <c r="M165" s="156" t="n"/>
      <c r="N165" s="156" t="n"/>
      <c r="O165" s="156" t="n"/>
      <c r="Q165" s="214" t="inlineStr">
        <is>
          <t>163</t>
        </is>
      </c>
      <c r="R165" s="215" t="inlineStr">
        <is>
          <t>ALE</t>
        </is>
      </c>
      <c r="S165" s="216" t="n">
        <v>5000</v>
      </c>
      <c r="T165" s="236" t="n">
        <v>4150</v>
      </c>
      <c r="U165" s="218" t="n">
        <v>1</v>
      </c>
      <c r="V165" s="219" t="inlineStr">
        <is>
          <t>18/04/2026</t>
        </is>
      </c>
    </row>
    <row r="166" ht="15.75" customHeight="1" s="153">
      <c r="A166" s="237" t="n"/>
      <c r="B166" s="238" t="inlineStr">
        <is>
          <t>SANDRA</t>
        </is>
      </c>
      <c r="C166" s="239" t="n"/>
      <c r="D166" s="239" t="n"/>
      <c r="E166" s="239" t="n"/>
      <c r="F166" s="240" t="n"/>
      <c r="G166" s="240" t="n">
        <v>1</v>
      </c>
      <c r="H166" s="241" t="n">
        <v>4000</v>
      </c>
      <c r="I166" s="242" t="n"/>
      <c r="J166" s="242" t="n"/>
      <c r="K166" s="233" t="n"/>
      <c r="L166" s="233">
        <f>IF(K166&lt;&gt;"",3200+K166,3200)</f>
        <v/>
      </c>
      <c r="M166" s="156" t="n"/>
      <c r="N166" s="156" t="n"/>
      <c r="O166" s="156" t="n"/>
      <c r="Q166" s="221" t="inlineStr">
        <is>
          <t>164</t>
        </is>
      </c>
      <c r="R166" s="222" t="inlineStr">
        <is>
          <t>BARRETO 8200</t>
        </is>
      </c>
      <c r="S166" s="223" t="n">
        <v>5000</v>
      </c>
      <c r="T166" s="224" t="n">
        <v>4150</v>
      </c>
      <c r="U166" s="225" t="n">
        <v>1</v>
      </c>
      <c r="V166" s="226" t="inlineStr">
        <is>
          <t>14/01/2026</t>
        </is>
      </c>
    </row>
    <row r="167" ht="18.75" customHeight="1" s="153">
      <c r="A167" s="227" t="n"/>
      <c r="B167" s="228" t="inlineStr">
        <is>
          <t>PAVON 2124</t>
        </is>
      </c>
      <c r="C167" s="229" t="n"/>
      <c r="D167" s="229" t="n">
        <v>1</v>
      </c>
      <c r="E167" s="229" t="n"/>
      <c r="F167" s="230" t="n"/>
      <c r="G167" s="230" t="n"/>
      <c r="H167" s="231" t="n">
        <v>33000</v>
      </c>
      <c r="I167" s="232" t="n">
        <v>33000</v>
      </c>
      <c r="J167" s="232" t="n"/>
      <c r="K167" s="233" t="n"/>
      <c r="L167" s="233">
        <f>IF(K167&lt;&gt;"",17250+K167,17250)</f>
        <v/>
      </c>
      <c r="M167" s="156" t="n"/>
      <c r="N167" s="156" t="n"/>
      <c r="O167" s="156" t="n"/>
    </row>
    <row r="168" ht="18.75" customHeight="1" s="153">
      <c r="A168" s="237" t="n"/>
      <c r="B168" s="238" t="inlineStr">
        <is>
          <t>FILOMENA</t>
        </is>
      </c>
      <c r="C168" s="239" t="n">
        <v>2</v>
      </c>
      <c r="D168" s="239" t="n"/>
      <c r="E168" s="239" t="n"/>
      <c r="F168" s="240" t="n"/>
      <c r="G168" s="240" t="n"/>
      <c r="H168" s="241" t="n">
        <v>36000</v>
      </c>
      <c r="I168" s="242" t="n">
        <v>36000</v>
      </c>
      <c r="J168" s="242" t="n"/>
      <c r="K168" s="233" t="n"/>
      <c r="L168" s="233">
        <f>IF(K168&lt;&gt;"",15000+K168,15000)</f>
        <v/>
      </c>
      <c r="M168" s="156" t="n"/>
      <c r="N168" s="156" t="n"/>
      <c r="O168" s="156" t="n"/>
    </row>
    <row r="169" ht="18.75" customHeight="1" s="153">
      <c r="A169" s="227" t="n"/>
      <c r="B169" s="228" t="inlineStr">
        <is>
          <t>PANA ALBERTI</t>
        </is>
      </c>
      <c r="C169" s="229" t="n"/>
      <c r="D169" s="229" t="n"/>
      <c r="E169" s="229" t="n">
        <v>1</v>
      </c>
      <c r="F169" s="230" t="n"/>
      <c r="G169" s="230" t="n"/>
      <c r="H169" s="231" t="n">
        <v>71000</v>
      </c>
      <c r="I169" s="232" t="n">
        <v>71000</v>
      </c>
      <c r="J169" s="232" t="n"/>
      <c r="K169" s="233" t="n"/>
      <c r="L169" s="233">
        <f>IF(K169&lt;&gt;"",24000+K169,24000)</f>
        <v/>
      </c>
      <c r="M169" s="156" t="n"/>
      <c r="N169" s="156" t="n"/>
      <c r="O169" s="156" t="n"/>
    </row>
    <row r="170" ht="18.75" customHeight="1" s="153">
      <c r="A170" s="237" t="n"/>
      <c r="B170" s="238" t="inlineStr">
        <is>
          <t>MISIONES 5281</t>
        </is>
      </c>
      <c r="C170" s="239" t="n"/>
      <c r="D170" s="239" t="n"/>
      <c r="E170" s="239" t="n">
        <v>1</v>
      </c>
      <c r="F170" s="240" t="n"/>
      <c r="G170" s="240" t="n"/>
      <c r="H170" s="241" t="n">
        <v>77000</v>
      </c>
      <c r="I170" s="242" t="n"/>
      <c r="J170" s="242" t="n">
        <v>77000</v>
      </c>
      <c r="K170" s="233" t="n"/>
      <c r="L170" s="233">
        <f>IF(K170&lt;&gt;"",30000+K170,30000)</f>
        <v/>
      </c>
      <c r="M170" s="156" t="n"/>
      <c r="N170" s="156" t="n"/>
      <c r="O170" s="156" t="n"/>
    </row>
    <row r="171" ht="18.75" customHeight="1" s="153">
      <c r="A171" s="227" t="n"/>
      <c r="B171" s="228" t="inlineStr">
        <is>
          <t>B IRIGOYEN 6634</t>
        </is>
      </c>
      <c r="C171" s="229" t="n">
        <v>1</v>
      </c>
      <c r="D171" s="229" t="n"/>
      <c r="E171" s="229" t="n"/>
      <c r="F171" s="230" t="n"/>
      <c r="G171" s="230" t="n"/>
      <c r="H171" s="231" t="n">
        <v>21000</v>
      </c>
      <c r="I171" s="232" t="n">
        <v>21000</v>
      </c>
      <c r="J171" s="232" t="n"/>
      <c r="K171" s="233" t="n"/>
      <c r="L171" s="233">
        <f>IF(K171&lt;&gt;"",10500+K171,10500)</f>
        <v/>
      </c>
      <c r="M171" s="156" t="n"/>
      <c r="N171" s="156" t="n"/>
      <c r="O171" s="156" t="n"/>
    </row>
    <row r="172" ht="18.75" customHeight="1" s="153">
      <c r="A172" s="237" t="n"/>
      <c r="B172" s="238" t="inlineStr">
        <is>
          <t>JAVIER DE LA ROSA 2480</t>
        </is>
      </c>
      <c r="C172" s="239" t="n">
        <v>1</v>
      </c>
      <c r="D172" s="239" t="n"/>
      <c r="E172" s="239" t="n"/>
      <c r="F172" s="240" t="n"/>
      <c r="G172" s="240" t="n"/>
      <c r="H172" s="241" t="n">
        <v>21000</v>
      </c>
      <c r="I172" s="242" t="n"/>
      <c r="J172" s="242" t="n">
        <v>21000</v>
      </c>
      <c r="K172" s="233" t="n"/>
      <c r="L172" s="233">
        <f>IF(K172&lt;&gt;"",10500+K172,10500)</f>
        <v/>
      </c>
      <c r="M172" s="156" t="n"/>
      <c r="N172" s="156" t="n"/>
      <c r="O172" s="156" t="n"/>
    </row>
    <row r="173" ht="18.75" customHeight="1" s="153">
      <c r="A173" s="227" t="n"/>
      <c r="B173" s="228" t="inlineStr">
        <is>
          <t>LUCHO</t>
        </is>
      </c>
      <c r="C173" s="229" t="n">
        <v>2</v>
      </c>
      <c r="D173" s="229" t="n"/>
      <c r="E173" s="229" t="n"/>
      <c r="F173" s="230" t="n"/>
      <c r="G173" s="230" t="n"/>
      <c r="H173" s="231" t="n">
        <v>29000</v>
      </c>
      <c r="I173" s="232" t="n">
        <v>29000</v>
      </c>
      <c r="J173" s="232" t="n"/>
      <c r="K173" s="233" t="n"/>
      <c r="L173" s="233">
        <f>IF(K173&lt;&gt;"",8000+K173,8000)</f>
        <v/>
      </c>
      <c r="M173" s="156" t="n"/>
      <c r="N173" s="156" t="n"/>
      <c r="O173" s="156" t="n"/>
    </row>
    <row r="174" ht="18.75" customHeight="1" s="153">
      <c r="A174" s="237" t="n"/>
      <c r="B174" s="238" t="inlineStr">
        <is>
          <t>AZCUENAGA 5023</t>
        </is>
      </c>
      <c r="C174" s="239" t="n">
        <v>5</v>
      </c>
      <c r="D174" s="239" t="n"/>
      <c r="E174" s="239" t="n"/>
      <c r="F174" s="240" t="n"/>
      <c r="G174" s="240" t="n"/>
      <c r="H174" s="241" t="n">
        <v>72500</v>
      </c>
      <c r="I174" s="242" t="n"/>
      <c r="J174" s="242" t="n">
        <v>72500</v>
      </c>
      <c r="K174" s="233" t="n"/>
      <c r="L174" s="233">
        <f>IF(K174&lt;&gt;"",20000+K174,20000)</f>
        <v/>
      </c>
      <c r="M174" s="156" t="n"/>
      <c r="N174" s="156" t="n"/>
      <c r="O174" s="156" t="n"/>
    </row>
    <row r="175" ht="18.75" customHeight="1" s="153">
      <c r="A175" s="227" t="n"/>
      <c r="B175" s="228" t="inlineStr">
        <is>
          <t>PANA VIEYTES GISELA</t>
        </is>
      </c>
      <c r="C175" s="229" t="n">
        <v>1</v>
      </c>
      <c r="D175" s="229" t="n"/>
      <c r="E175" s="229" t="n"/>
      <c r="F175" s="230" t="n"/>
      <c r="G175" s="230" t="n"/>
      <c r="H175" s="231" t="n">
        <v>17500</v>
      </c>
      <c r="I175" s="232" t="n"/>
      <c r="J175" s="232" t="n">
        <v>17500</v>
      </c>
      <c r="K175" s="233" t="n"/>
      <c r="L175" s="233">
        <f>IF(K175&lt;&gt;"",7000+K175,7000)</f>
        <v/>
      </c>
      <c r="M175" s="156" t="n"/>
      <c r="N175" s="156" t="n"/>
      <c r="O175" s="156" t="n"/>
    </row>
    <row r="176" ht="18.75" customHeight="1" s="153">
      <c r="A176" s="237" t="n"/>
      <c r="B176" s="238" t="inlineStr">
        <is>
          <t>9 DE JULIO 1144 BAR</t>
        </is>
      </c>
      <c r="C176" s="239" t="n"/>
      <c r="D176" s="239" t="n"/>
      <c r="E176" s="239" t="n">
        <v>2</v>
      </c>
      <c r="F176" s="240" t="n"/>
      <c r="G176" s="240" t="n"/>
      <c r="H176" s="241" t="n">
        <v>152000</v>
      </c>
      <c r="I176" s="242" t="n"/>
      <c r="J176" s="242" t="n">
        <v>152000</v>
      </c>
      <c r="K176" s="233" t="n"/>
      <c r="L176" s="233">
        <f>IF(K176&lt;&gt;"",58000+K176,58000)</f>
        <v/>
      </c>
      <c r="M176" s="156" t="n"/>
      <c r="N176" s="156" t="n"/>
      <c r="O176" s="156" t="n"/>
    </row>
    <row r="177" ht="18.75" customHeight="1" s="153">
      <c r="A177" s="227" t="n"/>
      <c r="B177" s="228" t="inlineStr">
        <is>
          <t>ALBERTI 4930</t>
        </is>
      </c>
      <c r="C177" s="229" t="n"/>
      <c r="D177" s="229" t="n"/>
      <c r="E177" s="229" t="n"/>
      <c r="F177" s="230" t="n"/>
      <c r="G177" s="230" t="n">
        <v>1</v>
      </c>
      <c r="H177" s="231" t="n">
        <v>5000</v>
      </c>
      <c r="I177" s="232" t="n"/>
      <c r="J177" s="232" t="n"/>
      <c r="K177" s="233" t="n"/>
      <c r="L177" s="233">
        <f>IF(K177&lt;&gt;"",4200+K177,4200)</f>
        <v/>
      </c>
      <c r="M177" s="156" t="n"/>
      <c r="N177" s="156" t="n"/>
      <c r="O177" s="156" t="n"/>
    </row>
    <row r="178" ht="18.75" customHeight="1" s="153">
      <c r="A178" s="237" t="n"/>
      <c r="B178" s="238" t="inlineStr">
        <is>
          <t>RICARDO ALDAO 2427</t>
        </is>
      </c>
      <c r="C178" s="239" t="n"/>
      <c r="D178" s="239" t="n"/>
      <c r="E178" s="239" t="n"/>
      <c r="F178" s="240" t="n"/>
      <c r="G178" s="240" t="n">
        <v>2</v>
      </c>
      <c r="H178" s="241" t="n">
        <v>11600</v>
      </c>
      <c r="I178" s="242" t="n"/>
      <c r="J178" s="242" t="n"/>
      <c r="K178" s="233" t="n"/>
      <c r="L178" s="233">
        <f>IF(K178&lt;&gt;"",10000+K178,10000)</f>
        <v/>
      </c>
      <c r="M178" s="156" t="n"/>
      <c r="N178" s="156" t="n"/>
      <c r="O178" s="156" t="n"/>
    </row>
    <row r="179" ht="18.75" customHeight="1" s="153">
      <c r="A179" s="227" t="n">
        <v>46043</v>
      </c>
      <c r="B179" s="228" t="inlineStr">
        <is>
          <t>GENERAL PAZ 7826</t>
        </is>
      </c>
      <c r="C179" s="229" t="n">
        <v>1</v>
      </c>
      <c r="D179" s="229" t="n"/>
      <c r="E179" s="229" t="n"/>
      <c r="F179" s="230" t="n"/>
      <c r="G179" s="230" t="n"/>
      <c r="H179" s="231" t="n">
        <v>22000</v>
      </c>
      <c r="I179" s="232" t="n">
        <v>22000</v>
      </c>
      <c r="J179" s="232" t="n"/>
      <c r="K179" s="233" t="n"/>
      <c r="L179" s="233">
        <f>IF(K179&lt;&gt;"",11500+K179,11500)</f>
        <v/>
      </c>
      <c r="M179" s="156" t="n"/>
      <c r="N179" s="156" t="n"/>
      <c r="O179" s="156" t="n"/>
    </row>
    <row r="180" ht="18.75" customHeight="1" s="153">
      <c r="A180" s="237" t="n"/>
      <c r="B180" s="238" t="inlineStr">
        <is>
          <t>RIO NEGRO 6558</t>
        </is>
      </c>
      <c r="C180" s="239" t="n"/>
      <c r="D180" s="239" t="n"/>
      <c r="E180" s="239" t="n">
        <v>1</v>
      </c>
      <c r="F180" s="240" t="n"/>
      <c r="G180" s="240" t="n"/>
      <c r="H180" s="241" t="n">
        <v>270000</v>
      </c>
      <c r="I180" s="242" t="n">
        <v>270000</v>
      </c>
      <c r="J180" s="242" t="n"/>
      <c r="K180" s="233" t="n"/>
      <c r="L180" s="233">
        <f>IF(K180&lt;&gt;"",223000+K180,223000)</f>
        <v/>
      </c>
      <c r="M180" s="156" t="n"/>
      <c r="N180" s="156" t="n"/>
      <c r="O180" s="156" t="n"/>
    </row>
    <row r="181" ht="18.75" customHeight="1" s="153">
      <c r="A181" s="227" t="n"/>
      <c r="B181" s="228" t="inlineStr">
        <is>
          <t>ANGEL</t>
        </is>
      </c>
      <c r="C181" s="229" t="n">
        <v>1</v>
      </c>
      <c r="D181" s="229" t="n"/>
      <c r="E181" s="229" t="n"/>
      <c r="F181" s="230" t="n"/>
      <c r="G181" s="230" t="n"/>
      <c r="H181" s="231" t="n">
        <v>13000</v>
      </c>
      <c r="I181" s="232" t="n">
        <v>13000</v>
      </c>
      <c r="J181" s="232" t="n"/>
      <c r="K181" s="233" t="n"/>
      <c r="L181" s="233">
        <f>IF(K181&lt;&gt;"",2500+K181,2500)</f>
        <v/>
      </c>
      <c r="M181" s="156" t="n"/>
      <c r="N181" s="156" t="n"/>
      <c r="O181" s="156" t="n"/>
    </row>
    <row r="182" ht="18.75" customHeight="1" s="153">
      <c r="A182" s="237" t="n"/>
      <c r="B182" s="238" t="inlineStr">
        <is>
          <t>PANA GORRITI 4600</t>
        </is>
      </c>
      <c r="C182" s="239" t="n"/>
      <c r="D182" s="239" t="n"/>
      <c r="E182" s="239" t="n">
        <v>1</v>
      </c>
      <c r="F182" s="240" t="n"/>
      <c r="G182" s="240" t="n"/>
      <c r="H182" s="241" t="n">
        <v>72000</v>
      </c>
      <c r="I182" s="242" t="n">
        <v>72000</v>
      </c>
      <c r="J182" s="242" t="n"/>
      <c r="K182" s="233" t="n"/>
      <c r="L182" s="233">
        <f>IF(K182&lt;&gt;"",25000+K182,25000)</f>
        <v/>
      </c>
      <c r="M182" s="156" t="n"/>
      <c r="N182" s="156" t="n"/>
      <c r="O182" s="156" t="n"/>
    </row>
    <row r="183" ht="18.75" customHeight="1" s="153">
      <c r="A183" s="227" t="n"/>
      <c r="B183" s="228" t="inlineStr">
        <is>
          <t>SABORERARTE</t>
        </is>
      </c>
      <c r="C183" s="229" t="n">
        <v>1</v>
      </c>
      <c r="D183" s="229" t="n"/>
      <c r="E183" s="229" t="n"/>
      <c r="F183" s="230" t="n"/>
      <c r="G183" s="230" t="n"/>
      <c r="H183" s="231" t="n">
        <v>18000</v>
      </c>
      <c r="I183" s="232" t="n"/>
      <c r="J183" s="232" t="n">
        <v>18000</v>
      </c>
      <c r="K183" s="233" t="n"/>
      <c r="L183" s="233">
        <f>IF(K183&lt;&gt;"",7500+K183,7500)</f>
        <v/>
      </c>
      <c r="M183" s="156" t="n"/>
      <c r="N183" s="156" t="n"/>
      <c r="O183" s="156" t="n"/>
    </row>
    <row r="184" ht="18.75" customHeight="1" s="153">
      <c r="A184" s="237" t="n"/>
      <c r="B184" s="238" t="inlineStr">
        <is>
          <t>BLAS PARERA 5224</t>
        </is>
      </c>
      <c r="C184" s="239" t="n"/>
      <c r="D184" s="239" t="n"/>
      <c r="E184" s="239" t="n">
        <v>1</v>
      </c>
      <c r="F184" s="240" t="n"/>
      <c r="G184" s="240" t="n"/>
      <c r="H184" s="241" t="n">
        <v>73500</v>
      </c>
      <c r="I184" s="242" t="n"/>
      <c r="J184" s="242" t="n">
        <v>73500</v>
      </c>
      <c r="K184" s="233" t="n"/>
      <c r="L184" s="233">
        <f>IF(K184&lt;&gt;"",26500+K184,26500)</f>
        <v/>
      </c>
      <c r="M184" s="156" t="n"/>
      <c r="N184" s="156" t="n"/>
      <c r="O184" s="156" t="n"/>
    </row>
    <row r="185" ht="18.75" customHeight="1" s="153">
      <c r="A185" s="227" t="n"/>
      <c r="B185" s="228" t="inlineStr">
        <is>
          <t xml:space="preserve">FILOMENA </t>
        </is>
      </c>
      <c r="C185" s="229" t="n">
        <v>2</v>
      </c>
      <c r="D185" s="229" t="n"/>
      <c r="E185" s="229" t="n"/>
      <c r="F185" s="230" t="n"/>
      <c r="G185" s="230" t="n"/>
      <c r="H185" s="231" t="n">
        <v>36000</v>
      </c>
      <c r="I185" s="232" t="n"/>
      <c r="J185" s="232" t="n">
        <v>36000</v>
      </c>
      <c r="K185" s="233" t="n"/>
      <c r="L185" s="233">
        <f>IF(K185&lt;&gt;"",15000+K185,15000)</f>
        <v/>
      </c>
      <c r="M185" s="156" t="n"/>
      <c r="N185" s="156" t="n"/>
      <c r="O185" s="156" t="n"/>
    </row>
    <row r="186" ht="18.75" customHeight="1" s="153">
      <c r="A186" s="237" t="n"/>
      <c r="B186" s="238" t="inlineStr">
        <is>
          <t>SEGUI 1680</t>
        </is>
      </c>
      <c r="C186" s="239" t="n">
        <v>1</v>
      </c>
      <c r="D186" s="239" t="n"/>
      <c r="E186" s="239" t="n"/>
      <c r="F186" s="240" t="n"/>
      <c r="G186" s="240" t="n"/>
      <c r="H186" s="241" t="n">
        <v>21000</v>
      </c>
      <c r="I186" s="242" t="n">
        <v>21000</v>
      </c>
      <c r="J186" s="242" t="n"/>
      <c r="K186" s="233" t="n"/>
      <c r="L186" s="233">
        <f>IF(K186&lt;&gt;"",10500+K186,10500)</f>
        <v/>
      </c>
      <c r="M186" s="156" t="n"/>
      <c r="N186" s="156" t="n"/>
      <c r="O186" s="156" t="n"/>
    </row>
    <row r="187" ht="18.75" customHeight="1" s="153">
      <c r="A187" s="227" t="n"/>
      <c r="B187" s="228" t="inlineStr">
        <is>
          <t>LOLI</t>
        </is>
      </c>
      <c r="C187" s="229" t="n"/>
      <c r="D187" s="229" t="n"/>
      <c r="E187" s="229" t="n"/>
      <c r="F187" s="230" t="n">
        <v>6</v>
      </c>
      <c r="G187" s="230" t="n"/>
      <c r="H187" s="231" t="n">
        <v>21000</v>
      </c>
      <c r="I187" s="232" t="n">
        <v>21000</v>
      </c>
      <c r="J187" s="232" t="n"/>
      <c r="K187" s="233" t="n"/>
      <c r="L187" s="233">
        <f>IF(K187&lt;&gt;"",7050+K187,7050)</f>
        <v/>
      </c>
      <c r="M187" s="156" t="n"/>
      <c r="N187" s="156" t="n"/>
      <c r="O187" s="156" t="n"/>
    </row>
    <row r="188" ht="18.75" customHeight="1" s="153">
      <c r="A188" s="237" t="n"/>
      <c r="B188" s="238" t="inlineStr">
        <is>
          <t>PANA BERUTI 6400</t>
        </is>
      </c>
      <c r="C188" s="239" t="n"/>
      <c r="D188" s="239" t="n"/>
      <c r="E188" s="239" t="n">
        <v>1</v>
      </c>
      <c r="F188" s="240" t="n"/>
      <c r="G188" s="240" t="n"/>
      <c r="H188" s="241" t="n">
        <v>65000</v>
      </c>
      <c r="I188" s="242" t="n">
        <v>65000</v>
      </c>
      <c r="J188" s="242" t="n"/>
      <c r="K188" s="233" t="n"/>
      <c r="L188" s="233">
        <f>IF(K188&lt;&gt;"",18000+K188,18000)</f>
        <v/>
      </c>
      <c r="M188" s="156" t="n"/>
      <c r="N188" s="156" t="n"/>
      <c r="O188" s="156" t="n"/>
    </row>
    <row r="189" ht="18.75" customHeight="1" s="153">
      <c r="A189" s="227" t="n">
        <v>46044</v>
      </c>
      <c r="B189" s="228" t="inlineStr">
        <is>
          <t>HERNANDARIAS 5211</t>
        </is>
      </c>
      <c r="C189" s="229" t="n"/>
      <c r="D189" s="229" t="n">
        <v>1</v>
      </c>
      <c r="E189" s="229" t="n"/>
      <c r="F189" s="230" t="n"/>
      <c r="G189" s="230" t="n"/>
      <c r="H189" s="231" t="n">
        <v>36000</v>
      </c>
      <c r="I189" s="232" t="n"/>
      <c r="J189" s="232" t="n">
        <v>36000</v>
      </c>
      <c r="K189" s="233" t="n"/>
      <c r="L189" s="233">
        <f>IF(K189&lt;&gt;"",20250+K189,20250)</f>
        <v/>
      </c>
      <c r="M189" s="156" t="n"/>
      <c r="N189" s="156" t="n"/>
      <c r="O189" s="156" t="n"/>
    </row>
    <row r="190" ht="18.75" customHeight="1" s="153">
      <c r="A190" s="237" t="n"/>
      <c r="B190" s="238" t="inlineStr">
        <is>
          <t>OTNIEL</t>
        </is>
      </c>
      <c r="C190" s="239" t="n"/>
      <c r="D190" s="239" t="n">
        <v>1</v>
      </c>
      <c r="E190" s="239" t="n"/>
      <c r="F190" s="240" t="n"/>
      <c r="G190" s="240" t="n">
        <v>1</v>
      </c>
      <c r="H190" s="241" t="n">
        <v>33500</v>
      </c>
      <c r="I190" s="242" t="n"/>
      <c r="J190" s="242" t="n">
        <v>33500</v>
      </c>
      <c r="K190" s="233" t="n"/>
      <c r="L190" s="233">
        <f>IF(K190&lt;&gt;"",16950+K190,16950)</f>
        <v/>
      </c>
      <c r="M190" s="156" t="n"/>
      <c r="N190" s="156" t="n"/>
      <c r="O190" s="156" t="n"/>
    </row>
    <row r="191" ht="18.75" customHeight="1" s="153">
      <c r="A191" s="227" t="n"/>
      <c r="B191" s="228" t="inlineStr">
        <is>
          <t>AGUADO 6970</t>
        </is>
      </c>
      <c r="C191" s="229" t="n">
        <v>1</v>
      </c>
      <c r="D191" s="229" t="n"/>
      <c r="E191" s="229" t="n"/>
      <c r="F191" s="230" t="n"/>
      <c r="G191" s="230" t="n"/>
      <c r="H191" s="231" t="n">
        <v>21000</v>
      </c>
      <c r="I191" s="232" t="n">
        <v>21000</v>
      </c>
      <c r="J191" s="232" t="n"/>
      <c r="K191" s="233" t="n"/>
      <c r="L191" s="233">
        <f>IF(K191&lt;&gt;"",10500+K191,10500)</f>
        <v/>
      </c>
      <c r="M191" s="156" t="n"/>
      <c r="N191" s="156" t="n"/>
      <c r="O191" s="156" t="n"/>
    </row>
    <row r="192" ht="18.75" customHeight="1" s="153">
      <c r="A192" s="237" t="n"/>
      <c r="B192" s="238" t="inlineStr">
        <is>
          <t>SABOREAR</t>
        </is>
      </c>
      <c r="C192" s="239" t="n"/>
      <c r="D192" s="239" t="n">
        <v>1</v>
      </c>
      <c r="E192" s="239" t="n">
        <v>1</v>
      </c>
      <c r="F192" s="240" t="n"/>
      <c r="G192" s="240" t="n"/>
      <c r="H192" s="241" t="n">
        <v>97000</v>
      </c>
      <c r="I192" s="242" t="n"/>
      <c r="J192" s="242" t="n">
        <v>97000</v>
      </c>
      <c r="K192" s="233" t="n"/>
      <c r="L192" s="233">
        <f>IF(K192&lt;&gt;"",34250+K192,34250)</f>
        <v/>
      </c>
      <c r="M192" s="156" t="n"/>
      <c r="N192" s="156" t="n"/>
      <c r="O192" s="156" t="n"/>
    </row>
    <row r="193" ht="18.75" customHeight="1" s="153">
      <c r="A193" s="227" t="n"/>
      <c r="B193" s="228" t="inlineStr">
        <is>
          <t>CAREN</t>
        </is>
      </c>
      <c r="C193" s="229" t="n"/>
      <c r="D193" s="229" t="n"/>
      <c r="E193" s="229" t="n">
        <v>1</v>
      </c>
      <c r="F193" s="230" t="n"/>
      <c r="G193" s="230" t="n"/>
      <c r="H193" s="231" t="n">
        <v>69000</v>
      </c>
      <c r="I193" s="232" t="n"/>
      <c r="J193" s="232" t="n">
        <v>69000</v>
      </c>
      <c r="K193" s="233" t="n"/>
      <c r="L193" s="233">
        <f>IF(K193&lt;&gt;"",22000+K193,22000)</f>
        <v/>
      </c>
      <c r="M193" s="156" t="n"/>
      <c r="N193" s="156" t="n"/>
      <c r="O193" s="156" t="n"/>
    </row>
    <row r="194" ht="18.75" customHeight="1" s="153">
      <c r="A194" s="237" t="n"/>
      <c r="B194" s="238" t="inlineStr">
        <is>
          <t>BEATRIZ</t>
        </is>
      </c>
      <c r="C194" s="239" t="n"/>
      <c r="D194" s="239" t="n"/>
      <c r="E194" s="239" t="n"/>
      <c r="F194" s="240" t="n"/>
      <c r="G194" s="240" t="n">
        <v>1</v>
      </c>
      <c r="H194" s="241" t="n">
        <v>5000</v>
      </c>
      <c r="I194" s="242" t="n">
        <v>5000</v>
      </c>
      <c r="J194" s="242" t="n"/>
      <c r="K194" s="233" t="n"/>
      <c r="L194" s="233">
        <f>IF(K194&lt;&gt;"",4200+K194,4200)</f>
        <v/>
      </c>
      <c r="M194" s="156" t="n"/>
      <c r="N194" s="156" t="n"/>
      <c r="O194" s="156" t="n"/>
    </row>
    <row r="195" ht="18.75" customHeight="1" s="153">
      <c r="A195" s="227" t="n">
        <v>46045</v>
      </c>
      <c r="B195" s="228" t="inlineStr">
        <is>
          <t>ALELIES 10358</t>
        </is>
      </c>
      <c r="C195" s="229" t="n"/>
      <c r="D195" s="229" t="n"/>
      <c r="E195" s="229" t="n">
        <v>1</v>
      </c>
      <c r="F195" s="230" t="n"/>
      <c r="G195" s="230" t="n"/>
      <c r="H195" s="231" t="n">
        <v>73000</v>
      </c>
      <c r="I195" s="232" t="n">
        <v>73000</v>
      </c>
      <c r="J195" s="232" t="n"/>
      <c r="K195" s="233" t="n"/>
      <c r="L195" s="233">
        <f>IF(K195&lt;&gt;"",26000+K195,26000)</f>
        <v/>
      </c>
      <c r="M195" s="156" t="n"/>
      <c r="N195" s="156" t="n"/>
      <c r="O195" s="156" t="n"/>
    </row>
    <row r="196" ht="18.75" customHeight="1" s="153">
      <c r="A196" s="237" t="n"/>
      <c r="B196" s="238" t="inlineStr">
        <is>
          <t>MACHUCA RAMONA1</t>
        </is>
      </c>
      <c r="C196" s="239" t="n"/>
      <c r="D196" s="239" t="n"/>
      <c r="E196" s="239" t="n">
        <v>1</v>
      </c>
      <c r="F196" s="240" t="n"/>
      <c r="G196" s="240" t="n"/>
      <c r="H196" s="241" t="n">
        <v>75000</v>
      </c>
      <c r="I196" s="242" t="n">
        <v>75000</v>
      </c>
      <c r="J196" s="242" t="n"/>
      <c r="K196" s="233" t="n"/>
      <c r="L196" s="233">
        <f>IF(K196&lt;&gt;"",28000+K196,28000)</f>
        <v/>
      </c>
      <c r="M196" s="156" t="n"/>
      <c r="N196" s="156" t="n"/>
      <c r="O196" s="156" t="n"/>
    </row>
    <row r="197" ht="18.75" customHeight="1" s="153">
      <c r="A197" s="227" t="n"/>
      <c r="B197" s="228" t="inlineStr">
        <is>
          <t>PANA GENESIO</t>
        </is>
      </c>
      <c r="C197" s="229" t="n"/>
      <c r="D197" s="229" t="n"/>
      <c r="E197" s="229" t="n">
        <v>1</v>
      </c>
      <c r="F197" s="230" t="n"/>
      <c r="G197" s="230" t="n"/>
      <c r="H197" s="231" t="n">
        <v>69000</v>
      </c>
      <c r="I197" s="232" t="n">
        <v>69000</v>
      </c>
      <c r="J197" s="232" t="n"/>
      <c r="K197" s="233" t="n"/>
      <c r="L197" s="233">
        <f>IF(K197&lt;&gt;"",22000+K197,22000)</f>
        <v/>
      </c>
      <c r="M197" s="156" t="n"/>
      <c r="N197" s="156" t="n"/>
      <c r="O197" s="156" t="n"/>
    </row>
    <row r="198" ht="18.75" customHeight="1" s="153">
      <c r="A198" s="237" t="n"/>
      <c r="B198" s="238" t="inlineStr">
        <is>
          <t>INGENIEROS 5501</t>
        </is>
      </c>
      <c r="C198" s="239" t="n">
        <v>1</v>
      </c>
      <c r="D198" s="239" t="n"/>
      <c r="E198" s="239" t="n"/>
      <c r="F198" s="240" t="n"/>
      <c r="G198" s="240" t="n"/>
      <c r="H198" s="241" t="n">
        <v>22000</v>
      </c>
      <c r="I198" s="242" t="n">
        <v>22000</v>
      </c>
      <c r="J198" s="242" t="n"/>
      <c r="K198" s="233" t="n"/>
      <c r="L198" s="233">
        <f>IF(K198&lt;&gt;"",11500+K198,11500)</f>
        <v/>
      </c>
      <c r="M198" s="156" t="n"/>
      <c r="N198" s="156" t="n"/>
      <c r="O198" s="156" t="n"/>
    </row>
    <row r="199" ht="18.75" customHeight="1" s="153">
      <c r="A199" s="227" t="n"/>
      <c r="B199" s="228" t="inlineStr">
        <is>
          <t xml:space="preserve">FILOMENA </t>
        </is>
      </c>
      <c r="C199" s="229" t="n">
        <v>1</v>
      </c>
      <c r="D199" s="229" t="n"/>
      <c r="E199" s="229" t="n"/>
      <c r="F199" s="230" t="n"/>
      <c r="G199" s="230" t="n"/>
      <c r="H199" s="231" t="n">
        <v>18000</v>
      </c>
      <c r="I199" s="232" t="n">
        <v>18000</v>
      </c>
      <c r="J199" s="232" t="n"/>
      <c r="K199" s="233" t="n"/>
      <c r="L199" s="233">
        <f>IF(K199&lt;&gt;"",7500+K199,7500)</f>
        <v/>
      </c>
      <c r="M199" s="156" t="n"/>
      <c r="N199" s="156" t="n"/>
      <c r="O199" s="156" t="n"/>
    </row>
    <row r="200" ht="18.75" customHeight="1" s="153">
      <c r="A200" s="237" t="n"/>
      <c r="B200" s="238" t="inlineStr">
        <is>
          <t>SEGUI 1680</t>
        </is>
      </c>
      <c r="C200" s="239" t="n"/>
      <c r="D200" s="239" t="n">
        <v>1</v>
      </c>
      <c r="E200" s="239" t="n"/>
      <c r="F200" s="240" t="n"/>
      <c r="G200" s="240" t="n"/>
      <c r="H200" s="241" t="n">
        <v>33000</v>
      </c>
      <c r="I200" s="242" t="n">
        <v>33000</v>
      </c>
      <c r="J200" s="242" t="n"/>
      <c r="K200" s="233" t="n"/>
      <c r="L200" s="233">
        <f>IF(K200&lt;&gt;"",17250+K200,17250)</f>
        <v/>
      </c>
      <c r="M200" s="156" t="n"/>
      <c r="N200" s="156" t="n"/>
      <c r="O200" s="156" t="n"/>
    </row>
    <row r="201" ht="18.75" customHeight="1" s="153">
      <c r="A201" s="227" t="n"/>
      <c r="B201" s="228" t="inlineStr">
        <is>
          <t>ALFEREZ MOREIRA 1845</t>
        </is>
      </c>
      <c r="C201" s="229" t="n"/>
      <c r="D201" s="229" t="n"/>
      <c r="E201" s="229" t="n">
        <v>1</v>
      </c>
      <c r="F201" s="230" t="n"/>
      <c r="G201" s="230" t="n"/>
      <c r="H201" s="231" t="n">
        <v>72000</v>
      </c>
      <c r="I201" s="232" t="n"/>
      <c r="J201" s="232" t="n">
        <v>72000</v>
      </c>
      <c r="K201" s="233" t="n"/>
      <c r="L201" s="233">
        <f>IF(K201&lt;&gt;"",25000+K201,25000)</f>
        <v/>
      </c>
      <c r="M201" s="156" t="n"/>
      <c r="N201" s="156" t="n"/>
      <c r="O201" s="156" t="n"/>
    </row>
    <row r="202" ht="18.75" customHeight="1" s="153">
      <c r="A202" s="237" t="n"/>
      <c r="B202" s="238" t="inlineStr">
        <is>
          <t>NACHO CUEVA</t>
        </is>
      </c>
      <c r="C202" s="239" t="n">
        <v>1</v>
      </c>
      <c r="D202" s="239" t="n">
        <v>1</v>
      </c>
      <c r="E202" s="239" t="n"/>
      <c r="F202" s="240" t="n"/>
      <c r="G202" s="240" t="n"/>
      <c r="H202" s="241" t="n">
        <v>45000</v>
      </c>
      <c r="I202" s="242" t="n">
        <v>45000</v>
      </c>
      <c r="J202" s="242" t="n"/>
      <c r="K202" s="233" t="n"/>
      <c r="L202" s="233">
        <f>IF(K202&lt;&gt;"",18750+K202,18750)</f>
        <v/>
      </c>
      <c r="M202" s="156" t="n"/>
      <c r="N202" s="156" t="n"/>
      <c r="O202" s="156" t="n"/>
    </row>
    <row r="203" ht="18.75" customHeight="1" s="153">
      <c r="A203" s="227" t="n">
        <v>46046</v>
      </c>
      <c r="B203" s="228" t="inlineStr">
        <is>
          <t>EXE</t>
        </is>
      </c>
      <c r="C203" s="229" t="n"/>
      <c r="D203" s="229" t="n"/>
      <c r="E203" s="229" t="n">
        <v>1</v>
      </c>
      <c r="F203" s="230" t="n"/>
      <c r="G203" s="230" t="n"/>
      <c r="H203" s="231" t="n">
        <v>69000</v>
      </c>
      <c r="I203" s="232" t="n"/>
      <c r="J203" s="232" t="n">
        <v>69000</v>
      </c>
      <c r="K203" s="233" t="n"/>
      <c r="L203" s="233">
        <f>IF(K203&lt;&gt;"",22000+K203,22000)</f>
        <v/>
      </c>
      <c r="M203" s="156" t="n"/>
      <c r="N203" s="156" t="n"/>
      <c r="O203" s="156" t="n"/>
    </row>
    <row r="204" ht="18.75" customHeight="1" s="153">
      <c r="A204" s="237" t="n"/>
      <c r="B204" s="238" t="inlineStr">
        <is>
          <t>AZCUENAGA 5023</t>
        </is>
      </c>
      <c r="C204" s="239" t="n">
        <v>4</v>
      </c>
      <c r="D204" s="239" t="n">
        <v>1</v>
      </c>
      <c r="E204" s="239" t="n"/>
      <c r="F204" s="240" t="n"/>
      <c r="G204" s="240" t="n"/>
      <c r="H204" s="241" t="n">
        <v>81000</v>
      </c>
      <c r="I204" s="242" t="n"/>
      <c r="J204" s="242" t="n">
        <v>81000</v>
      </c>
      <c r="K204" s="233" t="n"/>
      <c r="L204" s="233">
        <f>IF(K204&lt;&gt;"",23250+K204,23250)</f>
        <v/>
      </c>
      <c r="M204" s="156" t="n"/>
      <c r="N204" s="156" t="n"/>
      <c r="O204" s="156" t="n"/>
    </row>
    <row r="205" ht="18.75" customHeight="1" s="153">
      <c r="A205" s="227" t="n"/>
      <c r="B205" s="228" t="inlineStr">
        <is>
          <t>LUCHO</t>
        </is>
      </c>
      <c r="C205" s="229" t="n">
        <v>2</v>
      </c>
      <c r="D205" s="229" t="n"/>
      <c r="E205" s="229" t="n"/>
      <c r="F205" s="230" t="n"/>
      <c r="G205" s="230" t="n"/>
      <c r="H205" s="231" t="n">
        <v>29000</v>
      </c>
      <c r="I205" s="232" t="n">
        <v>29000</v>
      </c>
      <c r="J205" s="232" t="n"/>
      <c r="K205" s="233" t="n"/>
      <c r="L205" s="233">
        <f>IF(K205&lt;&gt;"",8000+K205,8000)</f>
        <v/>
      </c>
      <c r="M205" s="156" t="n"/>
      <c r="N205" s="156" t="n"/>
      <c r="O205" s="156" t="n"/>
    </row>
    <row r="206" ht="18.75" customHeight="1" s="153">
      <c r="A206" s="237" t="n"/>
      <c r="B206" s="238" t="inlineStr">
        <is>
          <t>ROTI SAN LORENZO</t>
        </is>
      </c>
      <c r="C206" s="239" t="n"/>
      <c r="D206" s="239" t="n">
        <v>1</v>
      </c>
      <c r="E206" s="239" t="n"/>
      <c r="F206" s="240" t="n"/>
      <c r="G206" s="240" t="n"/>
      <c r="H206" s="241" t="n">
        <v>28000</v>
      </c>
      <c r="I206" s="242" t="n"/>
      <c r="J206" s="242" t="n">
        <v>28000</v>
      </c>
      <c r="K206" s="233" t="n"/>
      <c r="L206" s="233">
        <f>IF(K206&lt;&gt;"",12250+K206,12250)</f>
        <v/>
      </c>
      <c r="M206" s="156" t="n"/>
      <c r="N206" s="156" t="n"/>
      <c r="O206" s="156" t="n"/>
    </row>
    <row r="207" ht="18.75" customHeight="1" s="153">
      <c r="A207" s="227" t="n"/>
      <c r="B207" s="228" t="inlineStr">
        <is>
          <t>RISSO 2239</t>
        </is>
      </c>
      <c r="C207" s="229" t="n">
        <v>1</v>
      </c>
      <c r="D207" s="229" t="n"/>
      <c r="E207" s="229" t="n"/>
      <c r="F207" s="230" t="n"/>
      <c r="G207" s="230" t="n"/>
      <c r="H207" s="231" t="n">
        <v>22000</v>
      </c>
      <c r="I207" s="232" t="n">
        <v>22000</v>
      </c>
      <c r="J207" s="232" t="n"/>
      <c r="K207" s="233" t="n"/>
      <c r="L207" s="233">
        <f>IF(K207&lt;&gt;"",11500+K207,11500)</f>
        <v/>
      </c>
      <c r="M207" s="156" t="n"/>
      <c r="N207" s="156" t="n"/>
      <c r="O207" s="156" t="n"/>
    </row>
    <row r="208" ht="18.75" customHeight="1" s="153">
      <c r="A208" s="237" t="n"/>
      <c r="B208" s="238" t="inlineStr">
        <is>
          <t>CONDOMINIO 3728</t>
        </is>
      </c>
      <c r="C208" s="239" t="n"/>
      <c r="D208" s="239" t="n"/>
      <c r="E208" s="239" t="n">
        <v>1</v>
      </c>
      <c r="F208" s="240" t="n"/>
      <c r="G208" s="240" t="n"/>
      <c r="H208" s="241" t="n">
        <v>71000</v>
      </c>
      <c r="I208" s="242" t="n"/>
      <c r="J208" s="242" t="n">
        <v>71000</v>
      </c>
      <c r="K208" s="233" t="n"/>
      <c r="L208" s="233">
        <f>IF(K208&lt;&gt;"",24000+K208,24000)</f>
        <v/>
      </c>
      <c r="M208" s="156" t="n"/>
      <c r="N208" s="156" t="n"/>
      <c r="O208" s="156" t="n"/>
    </row>
    <row r="209" ht="18.75" customHeight="1" s="153">
      <c r="A209" s="227" t="n"/>
      <c r="B209" s="228" t="inlineStr">
        <is>
          <t>GORRITI 6512</t>
        </is>
      </c>
      <c r="C209" s="229" t="n"/>
      <c r="D209" s="229" t="n"/>
      <c r="E209" s="229" t="n">
        <v>1</v>
      </c>
      <c r="F209" s="230" t="n"/>
      <c r="G209" s="230" t="n"/>
      <c r="H209" s="231" t="n">
        <v>72000</v>
      </c>
      <c r="I209" s="232" t="n"/>
      <c r="J209" s="232" t="n">
        <v>72000</v>
      </c>
      <c r="K209" s="233" t="n"/>
      <c r="L209" s="233">
        <f>IF(K209&lt;&gt;"",25000+K209,25000)</f>
        <v/>
      </c>
      <c r="M209" s="156" t="n"/>
      <c r="N209" s="156" t="n"/>
      <c r="O209" s="156" t="n"/>
    </row>
    <row r="210" ht="18.75" customHeight="1" s="153">
      <c r="A210" s="237" t="n"/>
      <c r="B210" s="238" t="inlineStr">
        <is>
          <t>TACUARI 5717</t>
        </is>
      </c>
      <c r="C210" s="239" t="n">
        <v>2</v>
      </c>
      <c r="D210" s="239" t="n"/>
      <c r="E210" s="239" t="n"/>
      <c r="F210" s="240" t="n"/>
      <c r="G210" s="240" t="n"/>
      <c r="H210" s="241" t="n">
        <v>39000</v>
      </c>
      <c r="I210" s="242" t="n"/>
      <c r="J210" s="242" t="n">
        <v>39000</v>
      </c>
      <c r="K210" s="233" t="n"/>
      <c r="L210" s="233">
        <f>IF(K210&lt;&gt;"",18000+K210,18000)</f>
        <v/>
      </c>
      <c r="M210" s="156" t="n"/>
      <c r="N210" s="156" t="n"/>
      <c r="O210" s="156" t="n"/>
    </row>
    <row r="211" ht="18.75" customHeight="1" s="153">
      <c r="A211" s="227" t="n"/>
      <c r="B211" s="228" t="inlineStr">
        <is>
          <t>FILOMENA</t>
        </is>
      </c>
      <c r="C211" s="229" t="n">
        <v>2</v>
      </c>
      <c r="D211" s="229" t="n"/>
      <c r="E211" s="229" t="n"/>
      <c r="F211" s="230" t="n"/>
      <c r="G211" s="230" t="n"/>
      <c r="H211" s="231" t="n">
        <v>36000</v>
      </c>
      <c r="I211" s="232" t="n"/>
      <c r="J211" s="232" t="n">
        <v>36000</v>
      </c>
      <c r="K211" s="233" t="n"/>
      <c r="L211" s="233">
        <f>IF(K211&lt;&gt;"",15000+K211,15000)</f>
        <v/>
      </c>
      <c r="M211" s="156" t="n"/>
      <c r="N211" s="156" t="n"/>
      <c r="O211" s="156" t="n"/>
    </row>
    <row r="212" ht="18.75" customHeight="1" s="153">
      <c r="A212" s="237" t="n">
        <v>46047</v>
      </c>
      <c r="B212" s="238" t="inlineStr">
        <is>
          <t>COLODRERO 1200</t>
        </is>
      </c>
      <c r="C212" s="239" t="n">
        <v>1</v>
      </c>
      <c r="D212" s="239" t="n"/>
      <c r="E212" s="239" t="n"/>
      <c r="F212" s="240" t="n"/>
      <c r="G212" s="240" t="n"/>
      <c r="H212" s="241" t="n">
        <v>22000</v>
      </c>
      <c r="I212" s="242" t="n">
        <v>22000</v>
      </c>
      <c r="J212" s="242" t="n"/>
      <c r="K212" s="233" t="n"/>
      <c r="L212" s="233">
        <f>IF(K212&lt;&gt;"",11500+K212,11500)</f>
        <v/>
      </c>
      <c r="M212" s="156" t="n"/>
      <c r="N212" s="156" t="n"/>
      <c r="O212" s="156" t="n"/>
    </row>
    <row r="213" ht="18.75" customHeight="1" s="153">
      <c r="A213" s="227" t="n"/>
      <c r="B213" s="228" t="inlineStr">
        <is>
          <t>AGUAYO 3617</t>
        </is>
      </c>
      <c r="C213" s="229" t="n"/>
      <c r="D213" s="229" t="n">
        <v>1</v>
      </c>
      <c r="E213" s="229" t="n"/>
      <c r="F213" s="230" t="n"/>
      <c r="G213" s="230" t="n"/>
      <c r="H213" s="231" t="n">
        <v>33000</v>
      </c>
      <c r="I213" s="232" t="n">
        <v>33000</v>
      </c>
      <c r="J213" s="232" t="n"/>
      <c r="K213" s="233" t="n"/>
      <c r="L213" s="233">
        <f>IF(K213&lt;&gt;"",17250+K213,17250)</f>
        <v/>
      </c>
      <c r="M213" s="156" t="n"/>
      <c r="N213" s="156" t="n"/>
      <c r="O213" s="156" t="n"/>
    </row>
    <row r="214" ht="18.75" customHeight="1" s="153">
      <c r="A214" s="237" t="n"/>
      <c r="B214" s="238" t="inlineStr">
        <is>
          <t>PEDRO TAPPA 9731</t>
        </is>
      </c>
      <c r="C214" s="239" t="n">
        <v>1</v>
      </c>
      <c r="D214" s="239" t="n"/>
      <c r="E214" s="239" t="n"/>
      <c r="F214" s="240" t="n"/>
      <c r="G214" s="240" t="n"/>
      <c r="H214" s="241" t="n">
        <v>22000</v>
      </c>
      <c r="I214" s="242" t="n">
        <v>22000</v>
      </c>
      <c r="J214" s="242" t="n"/>
      <c r="K214" s="233" t="n"/>
      <c r="L214" s="233">
        <f>IF(K214&lt;&gt;"",11500+K214,11500)</f>
        <v/>
      </c>
      <c r="M214" s="156" t="n"/>
      <c r="N214" s="156" t="n"/>
      <c r="O214" s="156" t="n"/>
    </row>
    <row r="215" ht="18.75" customHeight="1" s="153">
      <c r="A215" s="227" t="n"/>
      <c r="B215" s="228" t="inlineStr">
        <is>
          <t>DENIS 6169</t>
        </is>
      </c>
      <c r="C215" s="229" t="n">
        <v>1</v>
      </c>
      <c r="D215" s="229" t="n"/>
      <c r="E215" s="229" t="n"/>
      <c r="F215" s="230" t="n"/>
      <c r="G215" s="230" t="n"/>
      <c r="H215" s="231" t="n">
        <v>21000</v>
      </c>
      <c r="I215" s="232" t="n">
        <v>21000</v>
      </c>
      <c r="J215" s="232" t="n"/>
      <c r="K215" s="233" t="n"/>
      <c r="L215" s="233">
        <f>IF(K215&lt;&gt;"",10500+K215,10500)</f>
        <v/>
      </c>
      <c r="M215" s="156" t="n"/>
      <c r="N215" s="156" t="n"/>
      <c r="O215" s="156" t="n"/>
    </row>
    <row r="216" ht="18.75" customHeight="1" s="153">
      <c r="A216" s="237" t="n"/>
      <c r="B216" s="238" t="inlineStr">
        <is>
          <t>PUESTO PASTELITOS COSTA</t>
        </is>
      </c>
      <c r="C216" s="239" t="n">
        <v>1</v>
      </c>
      <c r="D216" s="239" t="n"/>
      <c r="E216" s="239" t="n"/>
      <c r="F216" s="240" t="n"/>
      <c r="G216" s="240" t="n"/>
      <c r="H216" s="241" t="n">
        <v>19500</v>
      </c>
      <c r="I216" s="242" t="n">
        <v>19500</v>
      </c>
      <c r="J216" s="242" t="n"/>
      <c r="K216" s="233" t="n"/>
      <c r="L216" s="233">
        <f>IF(K216&lt;&gt;"",9000+K216,9000)</f>
        <v/>
      </c>
      <c r="M216" s="156" t="n"/>
      <c r="N216" s="156" t="n"/>
      <c r="O216" s="156" t="n"/>
    </row>
    <row r="217" ht="18.75" customHeight="1" s="153">
      <c r="A217" s="227" t="n"/>
      <c r="B217" s="228" t="inlineStr">
        <is>
          <t xml:space="preserve">SABORERARTE </t>
        </is>
      </c>
      <c r="C217" s="229" t="n">
        <v>1</v>
      </c>
      <c r="D217" s="229" t="n"/>
      <c r="E217" s="229" t="n"/>
      <c r="F217" s="230" t="n"/>
      <c r="G217" s="230" t="n"/>
      <c r="H217" s="231" t="n">
        <v>18000</v>
      </c>
      <c r="I217" s="232" t="n"/>
      <c r="J217" s="232" t="n">
        <v>18000</v>
      </c>
      <c r="K217" s="233" t="n"/>
      <c r="L217" s="233">
        <f>IF(K217&lt;&gt;"",7500+K217,7500)</f>
        <v/>
      </c>
      <c r="M217" s="156" t="n"/>
      <c r="N217" s="156" t="n"/>
      <c r="O217" s="156" t="n"/>
    </row>
    <row r="218" ht="18.75" customHeight="1" s="153">
      <c r="A218" s="237" t="n">
        <v>46048</v>
      </c>
      <c r="B218" s="238" t="inlineStr">
        <is>
          <t>PANA VIEYTES GISELA</t>
        </is>
      </c>
      <c r="C218" s="239" t="n">
        <v>1</v>
      </c>
      <c r="D218" s="239" t="n"/>
      <c r="E218" s="239" t="n"/>
      <c r="F218" s="240" t="n"/>
      <c r="G218" s="240" t="n"/>
      <c r="H218" s="241" t="n">
        <v>17500</v>
      </c>
      <c r="I218" s="242" t="n"/>
      <c r="J218" s="242" t="n">
        <v>17500</v>
      </c>
      <c r="K218" s="233" t="n"/>
      <c r="L218" s="233">
        <f>IF(K218&lt;&gt;"",7000+K218,7000)</f>
        <v/>
      </c>
      <c r="M218" s="156" t="n"/>
      <c r="N218" s="156" t="n"/>
      <c r="O218" s="156" t="n"/>
    </row>
    <row r="219" ht="18.75" customHeight="1" s="153">
      <c r="A219" s="227" t="n"/>
      <c r="B219" s="228" t="inlineStr">
        <is>
          <t>ALVEAR 8278</t>
        </is>
      </c>
      <c r="C219" s="229" t="n"/>
      <c r="D219" s="229" t="n"/>
      <c r="E219" s="229" t="n">
        <v>1</v>
      </c>
      <c r="F219" s="230" t="n"/>
      <c r="G219" s="230" t="n"/>
      <c r="H219" s="231" t="n">
        <v>75000</v>
      </c>
      <c r="I219" s="232" t="n"/>
      <c r="J219" s="232" t="n">
        <v>75000</v>
      </c>
      <c r="K219" s="233" t="n"/>
      <c r="L219" s="233">
        <f>IF(K219&lt;&gt;"",28000+K219,28000)</f>
        <v/>
      </c>
      <c r="M219" s="156" t="n"/>
      <c r="N219" s="156" t="n"/>
      <c r="O219" s="156" t="n"/>
    </row>
    <row r="220" ht="18.75" customHeight="1" s="153">
      <c r="A220" s="237" t="n"/>
      <c r="B220" s="238" t="inlineStr">
        <is>
          <t>DOMINGO SILVA 4217</t>
        </is>
      </c>
      <c r="C220" s="239" t="n">
        <v>2</v>
      </c>
      <c r="D220" s="239" t="n">
        <v>1</v>
      </c>
      <c r="E220" s="239" t="n"/>
      <c r="F220" s="240" t="n"/>
      <c r="G220" s="240" t="n"/>
      <c r="H220" s="241" t="n">
        <v>51500</v>
      </c>
      <c r="I220" s="242" t="n"/>
      <c r="J220" s="242" t="n">
        <v>51500</v>
      </c>
      <c r="K220" s="233" t="n"/>
      <c r="L220" s="233">
        <f>IF(K220&lt;&gt;"",14750+K220,14750)</f>
        <v/>
      </c>
      <c r="M220" s="156" t="n"/>
      <c r="N220" s="156" t="n"/>
      <c r="O220" s="156" t="n"/>
    </row>
    <row r="221" ht="18.75" customHeight="1" s="153">
      <c r="A221" s="227" t="n"/>
      <c r="B221" s="228" t="inlineStr">
        <is>
          <t>FILOMENA</t>
        </is>
      </c>
      <c r="C221" s="229" t="n">
        <v>1</v>
      </c>
      <c r="D221" s="229" t="n"/>
      <c r="E221" s="229" t="n"/>
      <c r="F221" s="230" t="n"/>
      <c r="G221" s="230" t="n"/>
      <c r="H221" s="231" t="n">
        <v>18000</v>
      </c>
      <c r="I221" s="232" t="n">
        <v>18000</v>
      </c>
      <c r="J221" s="232" t="n"/>
      <c r="K221" s="233" t="n"/>
      <c r="L221" s="233">
        <f>IF(K221&lt;&gt;"",7500+K221,7500)</f>
        <v/>
      </c>
      <c r="M221" s="156" t="n"/>
      <c r="N221" s="156" t="n"/>
      <c r="O221" s="156" t="n"/>
    </row>
    <row r="222" ht="18.75" customHeight="1" s="153">
      <c r="A222" s="237" t="n"/>
      <c r="B222" s="238" t="inlineStr">
        <is>
          <t>ALBERDI 6449</t>
        </is>
      </c>
      <c r="C222" s="239" t="n">
        <v>1</v>
      </c>
      <c r="D222" s="239" t="n"/>
      <c r="E222" s="239" t="n"/>
      <c r="F222" s="240" t="n"/>
      <c r="G222" s="240" t="n"/>
      <c r="H222" s="241" t="n">
        <v>22000</v>
      </c>
      <c r="I222" s="242" t="n">
        <v>22000</v>
      </c>
      <c r="J222" s="242" t="n"/>
      <c r="K222" s="233" t="n"/>
      <c r="L222" s="233">
        <f>IF(K222&lt;&gt;"",11500+K222,11500)</f>
        <v/>
      </c>
      <c r="M222" s="156" t="n"/>
      <c r="N222" s="156" t="n"/>
      <c r="O222" s="156" t="n"/>
    </row>
    <row r="223" ht="18.75" customHeight="1" s="153">
      <c r="A223" s="227" t="n"/>
      <c r="B223" s="228" t="inlineStr">
        <is>
          <t>OTNIEL</t>
        </is>
      </c>
      <c r="C223" s="229" t="n"/>
      <c r="D223" s="229" t="n"/>
      <c r="E223" s="229" t="n"/>
      <c r="F223" s="230" t="n"/>
      <c r="G223" s="230" t="n">
        <v>1</v>
      </c>
      <c r="H223" s="231" t="n">
        <v>5000</v>
      </c>
      <c r="I223" s="232" t="n">
        <v>5000</v>
      </c>
      <c r="J223" s="232" t="n"/>
      <c r="K223" s="233" t="n"/>
      <c r="L223" s="233">
        <f>IF(K223&lt;&gt;"",4200+K223,4200)</f>
        <v/>
      </c>
      <c r="M223" s="156" t="n"/>
      <c r="N223" s="156" t="n"/>
      <c r="O223" s="156" t="n"/>
    </row>
    <row r="224" ht="18.75" customHeight="1" s="153">
      <c r="A224" s="237" t="n"/>
      <c r="B224" s="238" t="inlineStr">
        <is>
          <t>PANA VIEYTES 4500</t>
        </is>
      </c>
      <c r="C224" s="239" t="n">
        <v>1</v>
      </c>
      <c r="D224" s="239" t="n"/>
      <c r="E224" s="239" t="n">
        <v>1</v>
      </c>
      <c r="F224" s="240" t="n"/>
      <c r="G224" s="240" t="n"/>
      <c r="H224" s="241" t="n">
        <v>83000</v>
      </c>
      <c r="I224" s="242" t="n">
        <v>83000</v>
      </c>
      <c r="J224" s="242" t="n"/>
      <c r="K224" s="233" t="n"/>
      <c r="L224" s="233">
        <f>IF(K224&lt;&gt;"",25500+K224,25500)</f>
        <v/>
      </c>
      <c r="M224" s="156" t="n"/>
      <c r="N224" s="156" t="n"/>
      <c r="O224" s="156" t="n"/>
    </row>
    <row r="225" ht="18.75" customHeight="1" s="153">
      <c r="A225" s="227" t="n"/>
      <c r="B225" s="228" t="inlineStr">
        <is>
          <t xml:space="preserve">PANA GENESIO </t>
        </is>
      </c>
      <c r="C225" s="229" t="n"/>
      <c r="D225" s="229" t="n"/>
      <c r="E225" s="229" t="n">
        <v>1</v>
      </c>
      <c r="F225" s="230" t="n"/>
      <c r="G225" s="230" t="n"/>
      <c r="H225" s="231" t="n">
        <v>69000</v>
      </c>
      <c r="I225" s="232" t="n"/>
      <c r="J225" s="232" t="n">
        <v>69000</v>
      </c>
      <c r="K225" s="233" t="n"/>
      <c r="L225" s="233">
        <f>IF(K225&lt;&gt;"",22000+K225,22000)</f>
        <v/>
      </c>
      <c r="M225" s="156" t="n"/>
      <c r="N225" s="156" t="n"/>
      <c r="O225" s="156" t="n"/>
    </row>
    <row r="226" ht="18.75" customHeight="1" s="153">
      <c r="A226" s="237" t="n"/>
      <c r="B226" s="238" t="inlineStr">
        <is>
          <t>LUCHO</t>
        </is>
      </c>
      <c r="C226" s="239" t="n"/>
      <c r="D226" s="239" t="n"/>
      <c r="E226" s="239" t="n"/>
      <c r="F226" s="240" t="n"/>
      <c r="G226" s="240" t="n">
        <v>1</v>
      </c>
      <c r="H226" s="241" t="n">
        <v>5000</v>
      </c>
      <c r="I226" s="242" t="n"/>
      <c r="J226" s="242" t="n">
        <v>5000</v>
      </c>
      <c r="K226" s="233" t="n"/>
      <c r="L226" s="233">
        <f>IF(K226&lt;&gt;"",4200+K226,4200)</f>
        <v/>
      </c>
      <c r="M226" s="156" t="n"/>
      <c r="N226" s="156" t="n"/>
      <c r="O226" s="156" t="n"/>
    </row>
    <row r="227" ht="18.75" customHeight="1" s="153">
      <c r="A227" s="227" t="n"/>
      <c r="B227" s="228" t="inlineStr">
        <is>
          <t>VICTORIO</t>
        </is>
      </c>
      <c r="C227" s="229" t="n">
        <v>1</v>
      </c>
      <c r="D227" s="229" t="n"/>
      <c r="E227" s="229" t="n"/>
      <c r="F227" s="230" t="n"/>
      <c r="G227" s="230" t="n"/>
      <c r="H227" s="231" t="n">
        <v>17000</v>
      </c>
      <c r="I227" s="232" t="n">
        <v>17000</v>
      </c>
      <c r="J227" s="232" t="n"/>
      <c r="K227" s="233" t="n"/>
      <c r="L227" s="233">
        <f>IF(K227&lt;&gt;"",6500+K227,6500)</f>
        <v/>
      </c>
      <c r="M227" s="156" t="n"/>
      <c r="N227" s="156" t="n"/>
      <c r="O227" s="156" t="n"/>
    </row>
    <row r="228" ht="18.75" customHeight="1" s="153">
      <c r="A228" s="237" t="n"/>
      <c r="B228" s="238" t="inlineStr">
        <is>
          <t>AZCUENAGA 5023</t>
        </is>
      </c>
      <c r="C228" s="239" t="n">
        <v>2</v>
      </c>
      <c r="D228" s="239" t="n">
        <v>1</v>
      </c>
      <c r="E228" s="239" t="n"/>
      <c r="F228" s="240" t="n"/>
      <c r="G228" s="240" t="n"/>
      <c r="H228" s="241" t="n">
        <v>52000</v>
      </c>
      <c r="I228" s="242" t="n"/>
      <c r="J228" s="242" t="n">
        <v>52000</v>
      </c>
      <c r="K228" s="233" t="n"/>
      <c r="L228" s="233">
        <f>IF(K228&lt;&gt;"",15250+K228,15250)</f>
        <v/>
      </c>
      <c r="M228" s="156" t="n"/>
      <c r="N228" s="156" t="n"/>
      <c r="O228" s="156" t="n"/>
    </row>
    <row r="229" ht="18.75" customHeight="1" s="153">
      <c r="A229" s="227" t="n"/>
      <c r="B229" s="228" t="inlineStr">
        <is>
          <t>CAREN</t>
        </is>
      </c>
      <c r="C229" s="229" t="n"/>
      <c r="D229" s="229" t="n"/>
      <c r="E229" s="229" t="n">
        <v>1</v>
      </c>
      <c r="F229" s="230" t="n"/>
      <c r="G229" s="230" t="n"/>
      <c r="H229" s="231" t="n">
        <v>69000</v>
      </c>
      <c r="I229" s="232" t="n"/>
      <c r="J229" s="232" t="n">
        <v>69000</v>
      </c>
      <c r="K229" s="233" t="n"/>
      <c r="L229" s="233">
        <f>IF(K229&lt;&gt;"",22000+K229,22000)</f>
        <v/>
      </c>
      <c r="M229" s="156" t="n"/>
      <c r="N229" s="156" t="n"/>
      <c r="O229" s="156" t="n"/>
    </row>
    <row r="230" ht="18.75" customHeight="1" s="153">
      <c r="A230" s="237" t="n">
        <v>46049</v>
      </c>
      <c r="B230" s="238" t="inlineStr">
        <is>
          <t>JP LOPEZ 2580</t>
        </is>
      </c>
      <c r="C230" s="239" t="n">
        <v>1</v>
      </c>
      <c r="D230" s="239" t="n"/>
      <c r="E230" s="239" t="n"/>
      <c r="F230" s="240" t="n"/>
      <c r="G230" s="240" t="n"/>
      <c r="H230" s="241" t="n">
        <v>22000</v>
      </c>
      <c r="I230" s="242" t="n">
        <v>22000</v>
      </c>
      <c r="J230" s="242" t="n"/>
      <c r="K230" s="233" t="n"/>
      <c r="L230" s="233">
        <f>IF(K230&lt;&gt;"",11500+K230,11500)</f>
        <v/>
      </c>
      <c r="M230" s="156" t="n"/>
      <c r="N230" s="156" t="n"/>
      <c r="O230" s="156" t="n"/>
    </row>
    <row r="231" ht="18.75" customHeight="1" s="153">
      <c r="A231" s="227" t="n"/>
      <c r="B231" s="228" t="inlineStr">
        <is>
          <t>PAULO</t>
        </is>
      </c>
      <c r="C231" s="229" t="n">
        <v>2</v>
      </c>
      <c r="D231" s="229" t="n"/>
      <c r="E231" s="229" t="n"/>
      <c r="F231" s="230" t="n"/>
      <c r="G231" s="230" t="n"/>
      <c r="H231" s="231" t="n">
        <v>29000</v>
      </c>
      <c r="I231" s="232" t="n"/>
      <c r="J231" s="232" t="n">
        <v>29000</v>
      </c>
      <c r="K231" s="233" t="n"/>
      <c r="L231" s="233">
        <f>IF(K231&lt;&gt;"",8000+K231,8000)</f>
        <v/>
      </c>
      <c r="M231" s="156" t="n"/>
      <c r="N231" s="156" t="n"/>
      <c r="O231" s="156" t="n"/>
    </row>
    <row r="232" ht="18.75" customHeight="1" s="153">
      <c r="A232" s="237" t="n"/>
      <c r="B232" s="238" t="inlineStr">
        <is>
          <t>FLORES 22 CASA 75</t>
        </is>
      </c>
      <c r="C232" s="239" t="n">
        <v>1</v>
      </c>
      <c r="D232" s="239" t="n"/>
      <c r="E232" s="239" t="n"/>
      <c r="F232" s="240" t="n"/>
      <c r="G232" s="240" t="n"/>
      <c r="H232" s="241" t="n">
        <v>22000</v>
      </c>
      <c r="I232" s="242" t="n">
        <v>22000</v>
      </c>
      <c r="J232" s="242" t="n"/>
      <c r="K232" s="233" t="n"/>
      <c r="L232" s="233">
        <f>IF(K232&lt;&gt;"",11500+K232,11500)</f>
        <v/>
      </c>
      <c r="M232" s="156" t="n"/>
      <c r="N232" s="156" t="n"/>
      <c r="O232" s="156" t="n"/>
    </row>
    <row r="233" ht="18.75" customHeight="1" s="153">
      <c r="A233" s="227" t="n"/>
      <c r="B233" s="228" t="inlineStr">
        <is>
          <t>OTNIEL</t>
        </is>
      </c>
      <c r="C233" s="229" t="n"/>
      <c r="D233" s="229" t="n">
        <v>1</v>
      </c>
      <c r="E233" s="229" t="n">
        <v>1</v>
      </c>
      <c r="F233" s="230" t="n"/>
      <c r="G233" s="230" t="n"/>
      <c r="H233" s="231" t="n">
        <v>99500</v>
      </c>
      <c r="I233" s="232" t="n"/>
      <c r="J233" s="232" t="n">
        <v>99500</v>
      </c>
      <c r="K233" s="233" t="n"/>
      <c r="L233" s="233">
        <f>IF(K233&lt;&gt;"",36750+K233,36750)</f>
        <v/>
      </c>
      <c r="M233" s="156" t="n"/>
      <c r="N233" s="156" t="n"/>
      <c r="O233" s="156" t="n"/>
    </row>
    <row r="234" ht="18.75" customHeight="1" s="153">
      <c r="A234" s="237" t="n"/>
      <c r="B234" s="238" t="inlineStr">
        <is>
          <t>PANA ALBERTI</t>
        </is>
      </c>
      <c r="C234" s="239" t="n"/>
      <c r="D234" s="239" t="n"/>
      <c r="E234" s="239" t="n">
        <v>1</v>
      </c>
      <c r="F234" s="240" t="n"/>
      <c r="G234" s="240" t="n"/>
      <c r="H234" s="241" t="n">
        <v>71000</v>
      </c>
      <c r="I234" s="242" t="n">
        <v>71000</v>
      </c>
      <c r="J234" s="242" t="n"/>
      <c r="K234" s="233" t="n"/>
      <c r="L234" s="233">
        <f>IF(K234&lt;&gt;"",24000+K234,24000)</f>
        <v/>
      </c>
      <c r="M234" s="156" t="n"/>
      <c r="N234" s="156" t="n"/>
      <c r="O234" s="156" t="n"/>
    </row>
    <row r="235" ht="18.75" customHeight="1" s="153">
      <c r="A235" s="227" t="n"/>
      <c r="B235" s="228" t="inlineStr">
        <is>
          <t>GENERAL PAZ 7826</t>
        </is>
      </c>
      <c r="C235" s="229" t="n">
        <v>1</v>
      </c>
      <c r="D235" s="229" t="n"/>
      <c r="E235" s="229" t="n"/>
      <c r="F235" s="230" t="n"/>
      <c r="G235" s="230" t="n"/>
      <c r="H235" s="231" t="n">
        <v>22000</v>
      </c>
      <c r="I235" s="232" t="n">
        <v>22000</v>
      </c>
      <c r="J235" s="232" t="n"/>
      <c r="K235" s="233" t="n"/>
      <c r="L235" s="233">
        <f>IF(K235&lt;&gt;"",11500+K235,11500)</f>
        <v/>
      </c>
      <c r="M235" s="156" t="n"/>
      <c r="N235" s="156" t="n"/>
      <c r="O235" s="156" t="n"/>
    </row>
    <row r="236" ht="18.75" customHeight="1" s="153">
      <c r="A236" s="237" t="n"/>
      <c r="B236" s="238" t="inlineStr">
        <is>
          <t>LOBOS ROCIO</t>
        </is>
      </c>
      <c r="C236" s="239" t="n"/>
      <c r="D236" s="239" t="n"/>
      <c r="E236" s="239" t="n">
        <v>1</v>
      </c>
      <c r="F236" s="240" t="n"/>
      <c r="G236" s="240" t="n"/>
      <c r="H236" s="241" t="n">
        <v>77000</v>
      </c>
      <c r="I236" s="242" t="n">
        <v>77000</v>
      </c>
      <c r="J236" s="242" t="n"/>
      <c r="K236" s="233" t="n"/>
      <c r="L236" s="233">
        <f>IF(K236&lt;&gt;"",30000+K236,30000)</f>
        <v/>
      </c>
      <c r="M236" s="156" t="n"/>
      <c r="N236" s="156" t="n"/>
      <c r="O236" s="156" t="n"/>
    </row>
    <row r="237" ht="18.75" customHeight="1" s="153">
      <c r="A237" s="227" t="n"/>
      <c r="B237" s="228" t="inlineStr">
        <is>
          <t>GORRITI 4661</t>
        </is>
      </c>
      <c r="C237" s="229" t="n">
        <v>1</v>
      </c>
      <c r="D237" s="229" t="n"/>
      <c r="E237" s="229" t="n"/>
      <c r="F237" s="230" t="n"/>
      <c r="G237" s="230" t="n"/>
      <c r="H237" s="231" t="n">
        <v>22000</v>
      </c>
      <c r="I237" s="232" t="n"/>
      <c r="J237" s="232" t="n">
        <v>22000</v>
      </c>
      <c r="K237" s="233" t="n"/>
      <c r="L237" s="233">
        <f>IF(K237&lt;&gt;"",11500+K237,11500)</f>
        <v/>
      </c>
      <c r="M237" s="156" t="n"/>
      <c r="N237" s="156" t="n"/>
      <c r="O237" s="156" t="n"/>
    </row>
    <row r="238" ht="18.75" customHeight="1" s="153">
      <c r="A238" s="237" t="n">
        <v>46050</v>
      </c>
      <c r="B238" s="238" t="inlineStr">
        <is>
          <t xml:space="preserve">GOLD BURGUER </t>
        </is>
      </c>
      <c r="C238" s="239" t="n"/>
      <c r="D238" s="239" t="n"/>
      <c r="E238" s="239" t="n">
        <v>2</v>
      </c>
      <c r="F238" s="240" t="n"/>
      <c r="G238" s="240" t="n"/>
      <c r="H238" s="241" t="n">
        <v>158000</v>
      </c>
      <c r="I238" s="242" t="n">
        <v>158000</v>
      </c>
      <c r="J238" s="242" t="n"/>
      <c r="K238" s="233" t="n"/>
      <c r="L238" s="233">
        <f>IF(K238&lt;&gt;"",64000+K238,64000)</f>
        <v/>
      </c>
      <c r="M238" s="156" t="n"/>
      <c r="N238" s="156" t="n"/>
      <c r="O238" s="156" t="n"/>
    </row>
    <row r="239" ht="18.75" customHeight="1" s="153">
      <c r="A239" s="227" t="n"/>
      <c r="B239" s="228" t="inlineStr">
        <is>
          <t>FILOMENA</t>
        </is>
      </c>
      <c r="C239" s="229" t="n">
        <v>2</v>
      </c>
      <c r="D239" s="229" t="n"/>
      <c r="E239" s="229" t="n"/>
      <c r="F239" s="230" t="n"/>
      <c r="G239" s="230" t="n"/>
      <c r="H239" s="231" t="n">
        <v>36000</v>
      </c>
      <c r="I239" s="232" t="n">
        <v>36000</v>
      </c>
      <c r="J239" s="232" t="n"/>
      <c r="K239" s="233" t="n"/>
      <c r="L239" s="233">
        <f>IF(K239&lt;&gt;"",15000+K239,15000)</f>
        <v/>
      </c>
      <c r="M239" s="156" t="n"/>
      <c r="N239" s="156" t="n"/>
      <c r="O239" s="156" t="n"/>
    </row>
    <row r="240" ht="18.75" customHeight="1" s="153">
      <c r="A240" s="237" t="n"/>
      <c r="B240" s="238" t="inlineStr">
        <is>
          <t>PJE PUBLICO  2553</t>
        </is>
      </c>
      <c r="C240" s="239" t="n">
        <v>1</v>
      </c>
      <c r="D240" s="239" t="n"/>
      <c r="E240" s="239" t="n"/>
      <c r="F240" s="240" t="n"/>
      <c r="G240" s="240" t="n"/>
      <c r="H240" s="241" t="n">
        <v>22000</v>
      </c>
      <c r="I240" s="242" t="n">
        <v>22000</v>
      </c>
      <c r="J240" s="242" t="n"/>
      <c r="K240" s="233" t="n"/>
      <c r="L240" s="233">
        <f>IF(K240&lt;&gt;"",11500+K240,11500)</f>
        <v/>
      </c>
      <c r="M240" s="156" t="n"/>
      <c r="N240" s="156" t="n"/>
      <c r="O240" s="156" t="n"/>
    </row>
    <row r="241" ht="18.75" customHeight="1" s="153">
      <c r="A241" s="227" t="n"/>
      <c r="B241" s="228" t="inlineStr">
        <is>
          <t>LUCHO</t>
        </is>
      </c>
      <c r="C241" s="229" t="n">
        <v>1</v>
      </c>
      <c r="D241" s="229" t="n"/>
      <c r="E241" s="229" t="n"/>
      <c r="F241" s="230" t="n"/>
      <c r="G241" s="230" t="n"/>
      <c r="H241" s="231" t="n">
        <v>14500</v>
      </c>
      <c r="I241" s="232" t="n">
        <v>14500</v>
      </c>
      <c r="J241" s="232" t="n"/>
      <c r="K241" s="233" t="n"/>
      <c r="L241" s="233">
        <f>IF(K241&lt;&gt;"",4000+K241,4000)</f>
        <v/>
      </c>
      <c r="M241" s="156" t="n"/>
      <c r="N241" s="156" t="n"/>
      <c r="O241" s="156" t="n"/>
    </row>
    <row r="242" ht="18.75" customHeight="1" s="153">
      <c r="A242" s="237" t="n"/>
      <c r="B242" s="238" t="inlineStr">
        <is>
          <t>AZCUENAGA 5023</t>
        </is>
      </c>
      <c r="C242" s="239" t="n">
        <v>2</v>
      </c>
      <c r="D242" s="239" t="n"/>
      <c r="E242" s="239" t="n"/>
      <c r="F242" s="240" t="n"/>
      <c r="G242" s="240" t="n"/>
      <c r="H242" s="241" t="n">
        <v>29000</v>
      </c>
      <c r="I242" s="242" t="n">
        <v>29000</v>
      </c>
      <c r="J242" s="242" t="n"/>
      <c r="K242" s="233" t="n"/>
      <c r="L242" s="233">
        <f>IF(K242&lt;&gt;"",8000+K242,8000)</f>
        <v/>
      </c>
      <c r="M242" s="156" t="n"/>
      <c r="N242" s="156" t="n"/>
      <c r="O242" s="156" t="n"/>
    </row>
    <row r="243" ht="18.75" customHeight="1" s="153">
      <c r="A243" s="227" t="n"/>
      <c r="B243" s="228" t="inlineStr">
        <is>
          <t>ALBERTI 5251</t>
        </is>
      </c>
      <c r="C243" s="229" t="n">
        <v>1</v>
      </c>
      <c r="D243" s="229" t="n"/>
      <c r="E243" s="229" t="n"/>
      <c r="F243" s="230" t="n"/>
      <c r="G243" s="230" t="n"/>
      <c r="H243" s="231" t="n">
        <v>21000</v>
      </c>
      <c r="I243" s="232" t="n">
        <v>21000</v>
      </c>
      <c r="J243" s="232" t="n"/>
      <c r="K243" s="233" t="n"/>
      <c r="L243" s="233">
        <f>IF(K243&lt;&gt;"",10500+K243,10500)</f>
        <v/>
      </c>
      <c r="M243" s="156" t="n"/>
      <c r="N243" s="156" t="n"/>
      <c r="O243" s="156" t="n"/>
    </row>
    <row r="244" ht="18.75" customHeight="1" s="153">
      <c r="A244" s="237" t="n"/>
      <c r="B244" s="238" t="inlineStr">
        <is>
          <t>SAN LORENZO 5081</t>
        </is>
      </c>
      <c r="C244" s="239" t="n"/>
      <c r="D244" s="239" t="n">
        <v>1</v>
      </c>
      <c r="E244" s="239" t="n"/>
      <c r="F244" s="240" t="n"/>
      <c r="G244" s="240" t="n"/>
      <c r="H244" s="241" t="n">
        <v>33000</v>
      </c>
      <c r="I244" s="242" t="n">
        <v>33000</v>
      </c>
      <c r="J244" s="242" t="n"/>
      <c r="K244" s="233" t="n"/>
      <c r="L244" s="233">
        <f>IF(K244&lt;&gt;"",17250+K244,17250)</f>
        <v/>
      </c>
      <c r="M244" s="156" t="n"/>
      <c r="N244" s="156" t="n"/>
      <c r="O244" s="156" t="n"/>
    </row>
    <row r="245" ht="18.75" customHeight="1" s="153">
      <c r="A245" s="227" t="n"/>
      <c r="B245" s="228" t="inlineStr">
        <is>
          <t xml:space="preserve">NACHO CUEVA </t>
        </is>
      </c>
      <c r="C245" s="229" t="n">
        <v>2</v>
      </c>
      <c r="D245" s="229" t="n"/>
      <c r="E245" s="229" t="n"/>
      <c r="F245" s="230" t="n"/>
      <c r="G245" s="230" t="n"/>
      <c r="H245" s="231" t="n">
        <v>36000</v>
      </c>
      <c r="I245" s="232" t="n">
        <v>36000</v>
      </c>
      <c r="J245" s="232" t="n"/>
      <c r="K245" s="233" t="n"/>
      <c r="L245" s="233">
        <f>IF(K245&lt;&gt;"",15000+K245,15000)</f>
        <v/>
      </c>
      <c r="M245" s="156" t="n"/>
      <c r="N245" s="156" t="n"/>
      <c r="O245" s="156" t="n"/>
    </row>
    <row r="246" ht="18.75" customHeight="1" s="153">
      <c r="A246" s="237" t="n"/>
      <c r="B246" s="238" t="inlineStr">
        <is>
          <t>PIRU</t>
        </is>
      </c>
      <c r="C246" s="239" t="n"/>
      <c r="D246" s="239" t="n">
        <v>1</v>
      </c>
      <c r="E246" s="239" t="n"/>
      <c r="F246" s="240" t="n"/>
      <c r="G246" s="240" t="n"/>
      <c r="H246" s="241" t="n">
        <v>31000</v>
      </c>
      <c r="I246" s="242" t="n">
        <v>31000</v>
      </c>
      <c r="J246" s="242" t="n"/>
      <c r="K246" s="233" t="n"/>
      <c r="L246" s="233">
        <f>IF(K246&lt;&gt;"",15250+K246,15250)</f>
        <v/>
      </c>
      <c r="M246" s="156" t="n"/>
      <c r="N246" s="156" t="n"/>
      <c r="O246" s="156" t="n"/>
    </row>
    <row r="247" ht="18.75" customHeight="1" s="153">
      <c r="A247" s="227" t="n">
        <v>46051</v>
      </c>
      <c r="B247" s="228" t="inlineStr">
        <is>
          <t>AZCUENAGA 5023</t>
        </is>
      </c>
      <c r="C247" s="229" t="n">
        <v>3</v>
      </c>
      <c r="D247" s="229" t="n"/>
      <c r="E247" s="229" t="n"/>
      <c r="F247" s="230" t="n"/>
      <c r="G247" s="230" t="n"/>
      <c r="H247" s="231" t="n">
        <v>43500</v>
      </c>
      <c r="I247" s="232" t="n"/>
      <c r="J247" s="232" t="n">
        <v>43500</v>
      </c>
      <c r="K247" s="233" t="n"/>
      <c r="L247" s="233">
        <f>IF(K247&lt;&gt;"",12000+K247,12000)</f>
        <v/>
      </c>
      <c r="M247" s="156" t="n"/>
      <c r="N247" s="156" t="n"/>
      <c r="O247" s="156" t="n"/>
    </row>
    <row r="248" ht="18.75" customHeight="1" s="153">
      <c r="A248" s="237" t="n"/>
      <c r="B248" s="238" t="inlineStr">
        <is>
          <t>PANA VIEYTES GISELA</t>
        </is>
      </c>
      <c r="C248" s="239" t="n"/>
      <c r="D248" s="239" t="n"/>
      <c r="E248" s="239" t="n"/>
      <c r="F248" s="240" t="n">
        <v>2</v>
      </c>
      <c r="G248" s="240" t="n"/>
      <c r="H248" s="241" t="n">
        <v>6900</v>
      </c>
      <c r="I248" s="242" t="n"/>
      <c r="J248" s="242" t="n">
        <v>6900</v>
      </c>
      <c r="K248" s="233" t="n"/>
      <c r="L248" s="233">
        <f>IF(K248&lt;&gt;"",2250+K248,2250)</f>
        <v/>
      </c>
      <c r="M248" s="156" t="n"/>
      <c r="N248" s="156" t="n"/>
      <c r="O248" s="156" t="n"/>
    </row>
    <row r="249" ht="18.75" customHeight="1" s="153">
      <c r="A249" s="227" t="n"/>
      <c r="B249" s="228" t="inlineStr">
        <is>
          <t>BEATRIZ</t>
        </is>
      </c>
      <c r="C249" s="229" t="n"/>
      <c r="D249" s="229" t="n"/>
      <c r="E249" s="229" t="n"/>
      <c r="F249" s="230" t="n"/>
      <c r="G249" s="230" t="n">
        <v>1</v>
      </c>
      <c r="H249" s="231" t="n">
        <v>5000</v>
      </c>
      <c r="I249" s="232" t="n">
        <v>5000</v>
      </c>
      <c r="J249" s="232" t="n"/>
      <c r="K249" s="233" t="n"/>
      <c r="L249" s="233">
        <f>IF(K249&lt;&gt;"",4200+K249,4200)</f>
        <v/>
      </c>
      <c r="M249" s="156" t="n"/>
      <c r="N249" s="156" t="n"/>
      <c r="O249" s="156" t="n"/>
    </row>
    <row r="250" ht="18.75" customHeight="1" s="153">
      <c r="A250" s="237" t="n"/>
      <c r="B250" s="238" t="inlineStr">
        <is>
          <t xml:space="preserve">ROTI SAN LORENZO </t>
        </is>
      </c>
      <c r="C250" s="239" t="n">
        <v>1</v>
      </c>
      <c r="D250" s="239" t="n">
        <v>1</v>
      </c>
      <c r="E250" s="239" t="n"/>
      <c r="F250" s="240" t="n"/>
      <c r="G250" s="240" t="n"/>
      <c r="H250" s="241" t="n">
        <v>51000</v>
      </c>
      <c r="I250" s="242" t="n"/>
      <c r="J250" s="242" t="n">
        <v>51000</v>
      </c>
      <c r="K250" s="233" t="n"/>
      <c r="L250" s="233">
        <f>IF(K250&lt;&gt;"",24750+K250,24750)</f>
        <v/>
      </c>
      <c r="M250" s="156" t="n"/>
      <c r="N250" s="156" t="n"/>
      <c r="O250" s="156" t="n"/>
    </row>
    <row r="251" ht="18.75" customHeight="1" s="153">
      <c r="A251" s="227" t="n"/>
      <c r="B251" s="228" t="inlineStr">
        <is>
          <t xml:space="preserve">LAVADERO </t>
        </is>
      </c>
      <c r="C251" s="229" t="n">
        <v>1</v>
      </c>
      <c r="D251" s="229" t="n"/>
      <c r="E251" s="229" t="n"/>
      <c r="F251" s="230" t="n"/>
      <c r="G251" s="230" t="n"/>
      <c r="H251" s="231" t="n">
        <v>14500</v>
      </c>
      <c r="I251" s="232" t="n"/>
      <c r="J251" s="232" t="n">
        <v>14500</v>
      </c>
      <c r="K251" s="233" t="n"/>
      <c r="L251" s="233">
        <f>IF(K251&lt;&gt;"",4000+K251,4000)</f>
        <v/>
      </c>
      <c r="M251" s="156" t="n"/>
      <c r="N251" s="156" t="n"/>
      <c r="O251" s="156" t="n"/>
    </row>
    <row r="252" ht="18.75" customHeight="1" s="153">
      <c r="A252" s="237" t="n"/>
      <c r="B252" s="238" t="inlineStr">
        <is>
          <t>SABOREAR</t>
        </is>
      </c>
      <c r="C252" s="239" t="n">
        <v>1</v>
      </c>
      <c r="D252" s="239" t="n">
        <v>1</v>
      </c>
      <c r="E252" s="239" t="n"/>
      <c r="F252" s="240" t="n"/>
      <c r="G252" s="240" t="n"/>
      <c r="H252" s="241" t="n">
        <v>46000</v>
      </c>
      <c r="I252" s="242" t="n"/>
      <c r="J252" s="242" t="n">
        <v>46000</v>
      </c>
      <c r="K252" s="233" t="n"/>
      <c r="L252" s="233">
        <f>IF(K252&lt;&gt;"",19750+K252,19750)</f>
        <v/>
      </c>
      <c r="M252" s="156" t="n"/>
      <c r="N252" s="156" t="n"/>
      <c r="O252" s="156" t="n"/>
    </row>
    <row r="253" ht="18.75" customHeight="1" s="153">
      <c r="A253" s="227" t="n"/>
      <c r="B253" s="228" t="inlineStr">
        <is>
          <t>PANA GENESIO</t>
        </is>
      </c>
      <c r="C253" s="229" t="n">
        <v>1</v>
      </c>
      <c r="D253" s="229" t="n"/>
      <c r="E253" s="229" t="n">
        <v>1</v>
      </c>
      <c r="F253" s="230" t="n"/>
      <c r="G253" s="230" t="n"/>
      <c r="H253" s="231" t="n">
        <v>87000</v>
      </c>
      <c r="I253" s="232" t="n">
        <v>87000</v>
      </c>
      <c r="J253" s="232" t="n"/>
      <c r="K253" s="233" t="n"/>
      <c r="L253" s="233">
        <f>IF(K253&lt;&gt;"",29500+K253,29500)</f>
        <v/>
      </c>
      <c r="M253" s="156" t="n"/>
      <c r="N253" s="156" t="n"/>
      <c r="O253" s="156" t="n"/>
    </row>
    <row r="254" ht="18.75" customHeight="1" s="153">
      <c r="A254" s="237" t="n">
        <v>46052</v>
      </c>
      <c r="B254" s="238" t="inlineStr">
        <is>
          <t>EUROPA 7251</t>
        </is>
      </c>
      <c r="C254" s="239" t="n">
        <v>1</v>
      </c>
      <c r="D254" s="239" t="n"/>
      <c r="E254" s="239" t="n"/>
      <c r="F254" s="240" t="n"/>
      <c r="G254" s="240" t="n"/>
      <c r="H254" s="241" t="n">
        <v>22000</v>
      </c>
      <c r="I254" s="242" t="n"/>
      <c r="J254" s="242" t="n">
        <v>22000</v>
      </c>
      <c r="K254" s="233" t="n"/>
      <c r="L254" s="233">
        <f>IF(K254&lt;&gt;"",11500+K254,11500)</f>
        <v/>
      </c>
      <c r="M254" s="156" t="n"/>
      <c r="N254" s="156" t="n"/>
      <c r="O254" s="156" t="n"/>
    </row>
    <row r="255" ht="18.75" customHeight="1" s="153">
      <c r="A255" s="227" t="n"/>
      <c r="B255" s="228" t="inlineStr">
        <is>
          <t xml:space="preserve">RITA </t>
        </is>
      </c>
      <c r="C255" s="229" t="n"/>
      <c r="D255" s="229" t="n"/>
      <c r="E255" s="229" t="n"/>
      <c r="F255" s="230" t="n"/>
      <c r="G255" s="230" t="n">
        <v>1</v>
      </c>
      <c r="H255" s="231" t="n">
        <v>5500</v>
      </c>
      <c r="I255" s="232" t="n"/>
      <c r="J255" s="232" t="n">
        <v>5500</v>
      </c>
      <c r="K255" s="233" t="n"/>
      <c r="L255" s="233">
        <f>IF(K255&lt;&gt;"",4700+K255,4700)</f>
        <v/>
      </c>
      <c r="M255" s="156" t="n"/>
      <c r="N255" s="156" t="n"/>
      <c r="O255" s="156" t="n"/>
    </row>
    <row r="256" ht="18.75" customHeight="1" s="153">
      <c r="A256" s="237" t="n"/>
      <c r="B256" s="238" t="inlineStr">
        <is>
          <t>FORMOSOA 6058</t>
        </is>
      </c>
      <c r="C256" s="239" t="n">
        <v>1</v>
      </c>
      <c r="D256" s="239" t="n"/>
      <c r="E256" s="239" t="n"/>
      <c r="F256" s="240" t="n"/>
      <c r="G256" s="240" t="n">
        <v>3</v>
      </c>
      <c r="H256" s="241" t="n">
        <v>37900</v>
      </c>
      <c r="I256" s="242" t="n">
        <v>37900</v>
      </c>
      <c r="J256" s="242" t="n"/>
      <c r="K256" s="233" t="n"/>
      <c r="L256" s="233">
        <f>IF(K256&lt;&gt;"",25000+K256,25000)</f>
        <v/>
      </c>
      <c r="M256" s="156" t="n"/>
      <c r="N256" s="156" t="n"/>
      <c r="O256" s="156" t="n"/>
    </row>
    <row r="257" ht="18.75" customHeight="1" s="153">
      <c r="A257" s="227" t="n"/>
      <c r="B257" s="228" t="inlineStr">
        <is>
          <t>PANA VIEYTES GISELA</t>
        </is>
      </c>
      <c r="C257" s="229" t="n">
        <v>1</v>
      </c>
      <c r="D257" s="229" t="n"/>
      <c r="E257" s="229" t="n"/>
      <c r="F257" s="230" t="n">
        <v>1</v>
      </c>
      <c r="G257" s="230" t="n"/>
      <c r="H257" s="231" t="n">
        <v>21200</v>
      </c>
      <c r="I257" s="232" t="n"/>
      <c r="J257" s="232" t="n">
        <v>21200</v>
      </c>
      <c r="K257" s="233" t="n"/>
      <c r="L257" s="233">
        <f>IF(K257&lt;&gt;"",8375+K257,8375)</f>
        <v/>
      </c>
      <c r="M257" s="156" t="n"/>
      <c r="N257" s="156" t="n"/>
      <c r="O257" s="156" t="n"/>
    </row>
    <row r="258" ht="18.75" customHeight="1" s="153">
      <c r="A258" s="237" t="n"/>
      <c r="B258" s="238" t="inlineStr">
        <is>
          <t>LA MADRID 4736</t>
        </is>
      </c>
      <c r="C258" s="239" t="n">
        <v>1</v>
      </c>
      <c r="D258" s="239" t="n"/>
      <c r="E258" s="239" t="n"/>
      <c r="F258" s="240" t="n"/>
      <c r="G258" s="240" t="n"/>
      <c r="H258" s="241" t="n">
        <v>21000</v>
      </c>
      <c r="I258" s="242" t="n">
        <v>21000</v>
      </c>
      <c r="J258" s="242" t="n"/>
      <c r="K258" s="233" t="n"/>
      <c r="L258" s="233">
        <f>IF(K258&lt;&gt;"",10500+K258,10500)</f>
        <v/>
      </c>
      <c r="M258" s="156" t="n"/>
      <c r="N258" s="156" t="n"/>
      <c r="O258" s="156" t="n"/>
    </row>
    <row r="259" ht="18.75" customHeight="1" s="153">
      <c r="A259" s="227" t="n"/>
      <c r="B259" s="228" t="inlineStr">
        <is>
          <t>LUCHO</t>
        </is>
      </c>
      <c r="C259" s="229" t="n">
        <v>1</v>
      </c>
      <c r="D259" s="229" t="n"/>
      <c r="E259" s="229" t="n"/>
      <c r="F259" s="230" t="n"/>
      <c r="G259" s="230" t="n"/>
      <c r="H259" s="231" t="n">
        <v>14500</v>
      </c>
      <c r="I259" s="232" t="n">
        <v>14500</v>
      </c>
      <c r="J259" s="232" t="n"/>
      <c r="K259" s="233" t="n"/>
      <c r="L259" s="233">
        <f>IF(K259&lt;&gt;"",4000+K259,4000)</f>
        <v/>
      </c>
      <c r="M259" s="156" t="n"/>
      <c r="N259" s="156" t="n"/>
      <c r="O259" s="156" t="n"/>
    </row>
    <row r="260" ht="18.75" customHeight="1" s="153">
      <c r="A260" s="237" t="n"/>
      <c r="B260" s="238" t="inlineStr">
        <is>
          <t>AZCUENAGA 5023</t>
        </is>
      </c>
      <c r="C260" s="239" t="n">
        <v>1</v>
      </c>
      <c r="D260" s="239" t="n"/>
      <c r="E260" s="239" t="n"/>
      <c r="F260" s="240" t="n"/>
      <c r="G260" s="240" t="n"/>
      <c r="H260" s="241" t="n">
        <v>14500</v>
      </c>
      <c r="I260" s="242" t="n"/>
      <c r="J260" s="242" t="n">
        <v>14500</v>
      </c>
      <c r="K260" s="233" t="n"/>
      <c r="L260" s="233">
        <f>IF(K260&lt;&gt;"",4000+K260,4000)</f>
        <v/>
      </c>
      <c r="M260" s="156" t="n"/>
      <c r="N260" s="156" t="n"/>
      <c r="O260" s="156" t="n"/>
    </row>
    <row r="261" ht="18.75" customHeight="1" s="153">
      <c r="A261" s="227" t="n"/>
      <c r="B261" s="228" t="inlineStr">
        <is>
          <t>PENALOZA 6438</t>
        </is>
      </c>
      <c r="C261" s="229" t="n">
        <v>1</v>
      </c>
      <c r="D261" s="229" t="n"/>
      <c r="E261" s="229" t="n"/>
      <c r="F261" s="230" t="n"/>
      <c r="G261" s="230" t="n"/>
      <c r="H261" s="231" t="n">
        <v>21000</v>
      </c>
      <c r="I261" s="232" t="n">
        <v>21000</v>
      </c>
      <c r="J261" s="232" t="n"/>
      <c r="K261" s="233" t="n"/>
      <c r="L261" s="233">
        <f>IF(K261&lt;&gt;"",10500+K261,10500)</f>
        <v/>
      </c>
      <c r="M261" s="156" t="n"/>
      <c r="N261" s="156" t="n"/>
      <c r="O261" s="156" t="n"/>
    </row>
    <row r="262" ht="18.75" customHeight="1" s="153">
      <c r="A262" s="237" t="n"/>
      <c r="B262" s="238" t="inlineStr">
        <is>
          <t>GUANELLA 4543</t>
        </is>
      </c>
      <c r="C262" s="239" t="n">
        <v>1</v>
      </c>
      <c r="D262" s="239" t="n"/>
      <c r="E262" s="239" t="n"/>
      <c r="F262" s="240" t="n"/>
      <c r="G262" s="240" t="n"/>
      <c r="H262" s="241" t="n">
        <v>21000</v>
      </c>
      <c r="I262" s="242" t="n"/>
      <c r="J262" s="242" t="n">
        <v>21000</v>
      </c>
      <c r="K262" s="233" t="n"/>
      <c r="L262" s="233">
        <f>IF(K262&lt;&gt;"",10500+K262,10500)</f>
        <v/>
      </c>
      <c r="M262" s="156" t="n"/>
      <c r="N262" s="156" t="n"/>
      <c r="O262" s="156" t="n"/>
    </row>
    <row r="263" ht="18.75" customHeight="1" s="153">
      <c r="A263" s="227" t="n"/>
      <c r="B263" s="228" t="inlineStr">
        <is>
          <t>FILOMENA</t>
        </is>
      </c>
      <c r="C263" s="229" t="n">
        <v>2</v>
      </c>
      <c r="D263" s="229" t="n"/>
      <c r="E263" s="229" t="n"/>
      <c r="F263" s="230" t="n"/>
      <c r="G263" s="230" t="n"/>
      <c r="H263" s="231" t="n">
        <v>36000</v>
      </c>
      <c r="I263" s="232" t="n">
        <v>36000</v>
      </c>
      <c r="J263" s="232" t="n"/>
      <c r="K263" s="233" t="n"/>
      <c r="L263" s="233">
        <f>IF(K263&lt;&gt;"",15000+K263,15000)</f>
        <v/>
      </c>
      <c r="M263" s="156" t="n"/>
      <c r="N263" s="156" t="n"/>
      <c r="O263" s="156" t="n"/>
    </row>
    <row r="264" ht="18.75" customHeight="1" s="153">
      <c r="A264" s="237" t="n"/>
      <c r="B264" s="238" t="inlineStr">
        <is>
          <t>LARGUIA 6924</t>
        </is>
      </c>
      <c r="C264" s="239" t="n">
        <v>1</v>
      </c>
      <c r="D264" s="239" t="n"/>
      <c r="E264" s="239" t="n"/>
      <c r="F264" s="240" t="n"/>
      <c r="G264" s="240" t="n"/>
      <c r="H264" s="241" t="n">
        <v>21000</v>
      </c>
      <c r="I264" s="242" t="n">
        <v>21000</v>
      </c>
      <c r="J264" s="242" t="n"/>
      <c r="K264" s="233" t="n"/>
      <c r="L264" s="233">
        <f>IF(K264&lt;&gt;"",10500+K264,10500)</f>
        <v/>
      </c>
      <c r="M264" s="156" t="n"/>
      <c r="N264" s="156" t="n"/>
      <c r="O264" s="156" t="n"/>
    </row>
    <row r="265" ht="18.75" customHeight="1" s="153">
      <c r="A265" s="227" t="n"/>
      <c r="B265" s="228" t="inlineStr">
        <is>
          <t>SABOREAR</t>
        </is>
      </c>
      <c r="C265" s="229" t="n">
        <v>1</v>
      </c>
      <c r="D265" s="229" t="n"/>
      <c r="E265" s="229" t="n"/>
      <c r="F265" s="230" t="n"/>
      <c r="G265" s="230" t="n"/>
      <c r="H265" s="231" t="n">
        <v>18000</v>
      </c>
      <c r="I265" s="232" t="n"/>
      <c r="J265" s="232" t="n">
        <v>18000</v>
      </c>
      <c r="K265" s="233" t="n"/>
      <c r="L265" s="233">
        <f>IF(K265&lt;&gt;"",7500+K265,7500)</f>
        <v/>
      </c>
      <c r="M265" s="156" t="n"/>
      <c r="N265" s="156" t="n"/>
      <c r="O265" s="156" t="n"/>
    </row>
    <row r="266" ht="18.75" customHeight="1" s="153">
      <c r="A266" s="237" t="n"/>
      <c r="B266" s="238" t="inlineStr">
        <is>
          <t>EXE</t>
        </is>
      </c>
      <c r="C266" s="239" t="n"/>
      <c r="D266" s="239" t="n"/>
      <c r="E266" s="239" t="n">
        <v>1</v>
      </c>
      <c r="F266" s="240" t="n"/>
      <c r="G266" s="240" t="n"/>
      <c r="H266" s="241" t="n">
        <v>69000</v>
      </c>
      <c r="I266" s="242" t="n"/>
      <c r="J266" s="242" t="n">
        <v>69000</v>
      </c>
      <c r="K266" s="233" t="n"/>
      <c r="L266" s="233">
        <f>IF(K266&lt;&gt;"",22000+K266,22000)</f>
        <v/>
      </c>
      <c r="M266" s="156" t="n"/>
      <c r="N266" s="156" t="n"/>
      <c r="O266" s="156" t="n"/>
    </row>
    <row r="267" ht="18.75" customHeight="1" s="153">
      <c r="A267" s="227" t="n">
        <v>46053</v>
      </c>
      <c r="B267" s="228" t="inlineStr">
        <is>
          <t>DOMINGO SILVA 4217</t>
        </is>
      </c>
      <c r="C267" s="229" t="n">
        <v>5</v>
      </c>
      <c r="D267" s="229" t="n">
        <v>1</v>
      </c>
      <c r="E267" s="229" t="n"/>
      <c r="F267" s="230" t="n"/>
      <c r="G267" s="230" t="n"/>
      <c r="H267" s="231" t="n">
        <v>95000</v>
      </c>
      <c r="I267" s="232" t="n"/>
      <c r="J267" s="232" t="n">
        <v>95000</v>
      </c>
      <c r="K267" s="233" t="n"/>
      <c r="L267" s="233">
        <f>IF(K267&lt;&gt;"",26750+K267,26750)</f>
        <v/>
      </c>
      <c r="M267" s="156" t="n"/>
      <c r="N267" s="156" t="n"/>
      <c r="O267" s="156" t="n"/>
    </row>
    <row r="268" ht="18.75" customHeight="1" s="153">
      <c r="A268" s="237" t="n"/>
      <c r="B268" s="238" t="inlineStr">
        <is>
          <t>GORRITI 4600</t>
        </is>
      </c>
      <c r="C268" s="239" t="n"/>
      <c r="D268" s="239" t="n"/>
      <c r="E268" s="239" t="n">
        <v>1</v>
      </c>
      <c r="F268" s="240" t="n"/>
      <c r="G268" s="240" t="n"/>
      <c r="H268" s="241" t="n">
        <v>72000</v>
      </c>
      <c r="I268" s="242" t="n">
        <v>72000</v>
      </c>
      <c r="J268" s="242" t="n"/>
      <c r="K268" s="233" t="n"/>
      <c r="L268" s="233">
        <f>IF(K268&lt;&gt;"",25000+K268,25000)</f>
        <v/>
      </c>
      <c r="M268" s="156" t="n"/>
      <c r="N268" s="156" t="n"/>
      <c r="O268" s="156" t="n"/>
    </row>
    <row r="269" ht="18.75" customHeight="1" s="153">
      <c r="A269" s="227" t="n"/>
      <c r="B269" s="228" t="inlineStr">
        <is>
          <t>BRASERIA</t>
        </is>
      </c>
      <c r="C269" s="229" t="n"/>
      <c r="D269" s="229" t="n"/>
      <c r="E269" s="229" t="n">
        <v>1</v>
      </c>
      <c r="F269" s="230" t="n"/>
      <c r="G269" s="230" t="n"/>
      <c r="H269" s="231" t="n">
        <v>72000</v>
      </c>
      <c r="I269" s="232" t="n"/>
      <c r="J269" s="232" t="n">
        <v>72000</v>
      </c>
      <c r="K269" s="233" t="n"/>
      <c r="L269" s="233">
        <f>IF(K269&lt;&gt;"",25000+K269,25000)</f>
        <v/>
      </c>
      <c r="M269" s="156" t="n"/>
      <c r="N269" s="156" t="n"/>
      <c r="O269" s="156" t="n"/>
    </row>
    <row r="270" ht="18.75" customHeight="1" s="153">
      <c r="A270" s="237" t="n"/>
      <c r="B270" s="238" t="inlineStr">
        <is>
          <t>OTNIEL</t>
        </is>
      </c>
      <c r="C270" s="239" t="n"/>
      <c r="D270" s="239" t="n"/>
      <c r="E270" s="239" t="n"/>
      <c r="F270" s="240" t="n"/>
      <c r="G270" s="240" t="n">
        <v>1</v>
      </c>
      <c r="H270" s="241" t="n">
        <v>5000</v>
      </c>
      <c r="I270" s="242" t="n"/>
      <c r="J270" s="242" t="n">
        <v>5000</v>
      </c>
      <c r="K270" s="233" t="n"/>
      <c r="L270" s="233">
        <f>IF(K270&lt;&gt;"",4200+K270,4200)</f>
        <v/>
      </c>
      <c r="M270" s="156" t="n"/>
      <c r="N270" s="156" t="n"/>
      <c r="O270" s="156" t="n"/>
    </row>
    <row r="271" ht="18.75" customHeight="1" s="153">
      <c r="A271" s="227" t="n"/>
      <c r="B271" s="228" t="inlineStr">
        <is>
          <t xml:space="preserve">MOLINERO </t>
        </is>
      </c>
      <c r="C271" s="229" t="n">
        <v>1</v>
      </c>
      <c r="D271" s="229" t="n"/>
      <c r="E271" s="229" t="n"/>
      <c r="F271" s="230" t="n"/>
      <c r="G271" s="230" t="n"/>
      <c r="H271" s="231" t="n">
        <v>21000</v>
      </c>
      <c r="I271" s="232" t="n">
        <v>21000</v>
      </c>
      <c r="J271" s="232" t="n"/>
      <c r="K271" s="233" t="n"/>
      <c r="L271" s="233">
        <f>IF(K271&lt;&gt;"",10500+K271,10500)</f>
        <v/>
      </c>
      <c r="M271" s="156" t="n"/>
      <c r="N271" s="156" t="n"/>
      <c r="O271" s="156" t="n"/>
    </row>
    <row r="272" ht="18.75" customHeight="1" s="153">
      <c r="A272" s="237" t="n"/>
      <c r="B272" s="238" t="inlineStr">
        <is>
          <t>PARRI BLAS PARERA</t>
        </is>
      </c>
      <c r="C272" s="239" t="n">
        <v>1</v>
      </c>
      <c r="D272" s="239" t="n"/>
      <c r="E272" s="239" t="n"/>
      <c r="F272" s="240" t="n"/>
      <c r="G272" s="240" t="n"/>
      <c r="H272" s="241" t="n">
        <v>17000</v>
      </c>
      <c r="I272" s="242" t="n"/>
      <c r="J272" s="242" t="n">
        <v>17000</v>
      </c>
      <c r="K272" s="233" t="n"/>
      <c r="L272" s="233">
        <f>IF(K272&lt;&gt;"",6500+K272,6500)</f>
        <v/>
      </c>
      <c r="M272" s="156" t="n"/>
      <c r="N272" s="156" t="n"/>
      <c r="O272" s="156" t="n"/>
    </row>
    <row r="273" ht="18.75" customHeight="1" s="153">
      <c r="A273" s="227" t="n"/>
      <c r="B273" s="228" t="inlineStr">
        <is>
          <t>PAULO</t>
        </is>
      </c>
      <c r="C273" s="229" t="n">
        <v>2</v>
      </c>
      <c r="D273" s="229" t="n"/>
      <c r="E273" s="229" t="n"/>
      <c r="F273" s="230" t="n"/>
      <c r="G273" s="230" t="n"/>
      <c r="H273" s="231" t="n">
        <v>29000</v>
      </c>
      <c r="I273" s="232" t="n"/>
      <c r="J273" s="232" t="n">
        <v>29000</v>
      </c>
      <c r="K273" s="233" t="n"/>
      <c r="L273" s="233">
        <f>IF(K273&lt;&gt;"",8000+K273,8000)</f>
        <v/>
      </c>
      <c r="M273" s="156" t="n"/>
      <c r="N273" s="156" t="n"/>
      <c r="O273" s="156" t="n"/>
    </row>
    <row r="274" ht="18.75" customHeight="1" s="153">
      <c r="A274" s="237" t="n"/>
      <c r="B274" s="238" t="inlineStr">
        <is>
          <t>FILOMENA</t>
        </is>
      </c>
      <c r="C274" s="239" t="n">
        <v>1</v>
      </c>
      <c r="D274" s="239" t="n"/>
      <c r="E274" s="239" t="n"/>
      <c r="F274" s="240" t="n"/>
      <c r="G274" s="240" t="n"/>
      <c r="H274" s="241" t="n">
        <v>18000</v>
      </c>
      <c r="I274" s="242" t="n"/>
      <c r="J274" s="242" t="n">
        <v>18000</v>
      </c>
      <c r="K274" s="233" t="n"/>
      <c r="L274" s="233">
        <f>IF(K274&lt;&gt;"",7500+K274,7500)</f>
        <v/>
      </c>
      <c r="M274" s="156" t="n"/>
      <c r="N274" s="156" t="n"/>
      <c r="O274" s="156" t="n"/>
    </row>
    <row r="275" ht="18.75" customHeight="1" s="153">
      <c r="A275" s="227" t="n"/>
      <c r="B275" s="228" t="inlineStr">
        <is>
          <t>NAMUNCURA 4436</t>
        </is>
      </c>
      <c r="C275" s="229" t="n"/>
      <c r="D275" s="229" t="n"/>
      <c r="E275" s="229" t="n">
        <v>1</v>
      </c>
      <c r="F275" s="230" t="n"/>
      <c r="G275" s="230" t="n"/>
      <c r="H275" s="231" t="n">
        <v>75000</v>
      </c>
      <c r="I275" s="232" t="n"/>
      <c r="J275" s="232" t="n">
        <v>75000</v>
      </c>
      <c r="K275" s="233" t="n"/>
      <c r="L275" s="233">
        <f>IF(K275&lt;&gt;"",28000+K275,28000)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 t="n"/>
      <c r="D501" s="255" t="n"/>
      <c r="E501" s="255" t="n"/>
      <c r="F501" s="255" t="n"/>
      <c r="G501" s="255" t="n"/>
      <c r="H501" s="256" t="n"/>
      <c r="I501" s="256" t="n"/>
      <c r="J501" s="256" t="n"/>
      <c r="K501" s="256" t="n"/>
    </row>
  </sheetData>
  <autoFilter ref="A4:K4"/>
  <mergeCells count="4">
    <mergeCell ref="A2:K2"/>
    <mergeCell ref="A1:K1"/>
    <mergeCell ref="Q1:V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V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  <col width="5" customWidth="1" style="152" min="17" max="17"/>
    <col width="28" customWidth="1" style="152" min="18" max="18"/>
    <col width="14" customWidth="1" style="152" min="19" max="20"/>
    <col width="8" customWidth="1" style="152" min="21" max="21"/>
    <col width="13" customWidth="1" style="152" min="22" max="22"/>
  </cols>
  <sheetData>
    <row r="1" ht="37.5" customHeight="1" s="153">
      <c r="A1" s="209" t="inlineStr">
        <is>
          <t>VENTAS — FEBRERO 2026</t>
        </is>
      </c>
      <c r="L1" s="156" t="n"/>
      <c r="M1" s="156" t="n"/>
      <c r="N1" s="156" t="n"/>
      <c r="O1" s="156" t="n"/>
      <c r="Q1" s="210" t="inlineStr">
        <is>
          <t>🏆  RANKING FEBRERO</t>
        </is>
      </c>
      <c r="R1" s="211" t="n"/>
      <c r="S1" s="211" t="n"/>
      <c r="T1" s="211" t="n"/>
      <c r="U1" s="211" t="n"/>
      <c r="V1" s="211" t="n"/>
    </row>
    <row r="2" ht="21.7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  <c r="Q2" s="213" t="inlineStr">
        <is>
          <t>#</t>
        </is>
      </c>
      <c r="R2" s="213" t="inlineStr">
        <is>
          <t>Cliente</t>
        </is>
      </c>
      <c r="S2" s="213" t="inlineStr">
        <is>
          <t>Facturado</t>
        </is>
      </c>
      <c r="T2" s="213" t="inlineStr">
        <is>
          <t>Ganancia</t>
        </is>
      </c>
      <c r="U2" s="213" t="inlineStr">
        <is>
          <t>Pedidos</t>
        </is>
      </c>
      <c r="V2" s="213" t="inlineStr">
        <is>
          <t>Últ. compra</t>
        </is>
      </c>
    </row>
    <row r="3" ht="15.7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Q3" s="214" t="inlineStr">
        <is>
          <t>🥇</t>
        </is>
      </c>
      <c r="R3" s="215" t="inlineStr">
        <is>
          <t>OTNIEL</t>
        </is>
      </c>
      <c r="S3" s="216" t="n">
        <v>586000</v>
      </c>
      <c r="T3" s="236" t="n">
        <v>141650</v>
      </c>
      <c r="U3" s="218" t="n">
        <v>9</v>
      </c>
      <c r="V3" s="219" t="inlineStr">
        <is>
          <t>16/04/2026</t>
        </is>
      </c>
    </row>
    <row r="4" ht="15.7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FEBRERO</t>
        </is>
      </c>
      <c r="Q4" s="221" t="inlineStr">
        <is>
          <t>🥈</t>
        </is>
      </c>
      <c r="R4" s="222" t="inlineStr">
        <is>
          <t>PANA GENESIO</t>
        </is>
      </c>
      <c r="S4" s="223" t="n">
        <v>502000</v>
      </c>
      <c r="T4" s="224" t="n">
        <v>67000</v>
      </c>
      <c r="U4" s="225" t="n">
        <v>8</v>
      </c>
      <c r="V4" s="226" t="inlineStr">
        <is>
          <t>09/03/2026</t>
        </is>
      </c>
    </row>
    <row r="5" ht="15.75" customHeight="1" s="153">
      <c r="A5" s="227" t="n">
        <v>46054</v>
      </c>
      <c r="B5" s="228" t="inlineStr">
        <is>
          <t>GENERAL PAZ 7989</t>
        </is>
      </c>
      <c r="C5" s="229" t="n">
        <v>1</v>
      </c>
      <c r="D5" s="229" t="n"/>
      <c r="E5" s="229" t="n"/>
      <c r="F5" s="230" t="n"/>
      <c r="G5" s="230" t="n"/>
      <c r="H5" s="231" t="n">
        <v>22000</v>
      </c>
      <c r="I5" s="232" t="n">
        <v>22000</v>
      </c>
      <c r="J5" s="232" t="n"/>
      <c r="K5" s="233" t="n"/>
      <c r="L5" s="233">
        <f>IF(K5&lt;&gt;"",11500+K5,11500)</f>
        <v/>
      </c>
      <c r="M5" s="156" t="n"/>
      <c r="N5" s="234" t="inlineStr">
        <is>
          <t>TOTAL 10</t>
        </is>
      </c>
      <c r="O5" s="235">
        <f>IFERROR(SUM(C5:C700),0)</f>
        <v/>
      </c>
      <c r="Q5" s="214" t="inlineStr">
        <is>
          <t>🥉</t>
        </is>
      </c>
      <c r="R5" s="215" t="inlineStr">
        <is>
          <t>CAREN</t>
        </is>
      </c>
      <c r="S5" s="216" t="n">
        <v>423000</v>
      </c>
      <c r="T5" s="236" t="n">
        <v>63000</v>
      </c>
      <c r="U5" s="218" t="n">
        <v>6</v>
      </c>
      <c r="V5" s="219" t="inlineStr">
        <is>
          <t>20/04/2026</t>
        </is>
      </c>
    </row>
    <row r="6" ht="15.75" customHeight="1" s="153">
      <c r="A6" s="237" t="n"/>
      <c r="B6" s="238" t="inlineStr">
        <is>
          <t>POLLERIA BLAS PARERA</t>
        </is>
      </c>
      <c r="C6" s="239" t="n">
        <v>1</v>
      </c>
      <c r="D6" s="239" t="n"/>
      <c r="E6" s="239" t="n"/>
      <c r="F6" s="240" t="n"/>
      <c r="G6" s="240" t="n"/>
      <c r="H6" s="241" t="n">
        <v>17000</v>
      </c>
      <c r="I6" s="242" t="n">
        <v>17000</v>
      </c>
      <c r="J6" s="242" t="n"/>
      <c r="K6" s="233" t="n"/>
      <c r="L6" s="233">
        <f>IF(K6&lt;&gt;"",6500+K6,6500)</f>
        <v/>
      </c>
      <c r="M6" s="156" t="n"/>
      <c r="N6" s="234" t="inlineStr">
        <is>
          <t>TOTAL 15</t>
        </is>
      </c>
      <c r="O6" s="235">
        <f>IFERROR(SUM(D5:D700),0)</f>
        <v/>
      </c>
      <c r="Q6" s="221" t="inlineStr">
        <is>
          <t>4</t>
        </is>
      </c>
      <c r="R6" s="222" t="inlineStr">
        <is>
          <t>FILOMENA</t>
        </is>
      </c>
      <c r="S6" s="223" t="n">
        <v>403000</v>
      </c>
      <c r="T6" s="224" t="n">
        <v>73000</v>
      </c>
      <c r="U6" s="225" t="n">
        <v>15</v>
      </c>
      <c r="V6" s="226" t="inlineStr">
        <is>
          <t>20/04/2026</t>
        </is>
      </c>
    </row>
    <row r="7" ht="15.75" customHeight="1" s="153">
      <c r="A7" s="227" t="n"/>
      <c r="B7" s="228" t="inlineStr">
        <is>
          <t>SAVEDRA 1683</t>
        </is>
      </c>
      <c r="C7" s="229" t="n">
        <v>1</v>
      </c>
      <c r="D7" s="229" t="n"/>
      <c r="E7" s="229" t="n"/>
      <c r="F7" s="230" t="n"/>
      <c r="G7" s="230" t="n"/>
      <c r="H7" s="231" t="n">
        <v>22000</v>
      </c>
      <c r="I7" s="232" t="n">
        <v>22000</v>
      </c>
      <c r="J7" s="232" t="n"/>
      <c r="K7" s="233" t="n"/>
      <c r="L7" s="233">
        <f>IF(K7&lt;&gt;"",11500+K7,11500)</f>
        <v/>
      </c>
      <c r="M7" s="156" t="n"/>
      <c r="N7" s="234" t="inlineStr">
        <is>
          <t>TOTAL 45</t>
        </is>
      </c>
      <c r="O7" s="235">
        <f>IFERROR(SUM(E5:E700),0)</f>
        <v/>
      </c>
      <c r="Q7" s="214" t="inlineStr">
        <is>
          <t>5</t>
        </is>
      </c>
      <c r="R7" s="215" t="inlineStr">
        <is>
          <t>SABOREAR</t>
        </is>
      </c>
      <c r="S7" s="216" t="n">
        <v>388500</v>
      </c>
      <c r="T7" s="236" t="n">
        <v>73500</v>
      </c>
      <c r="U7" s="218" t="n">
        <v>10</v>
      </c>
      <c r="V7" s="219" t="inlineStr">
        <is>
          <t>22/04/2026</t>
        </is>
      </c>
    </row>
    <row r="8" ht="15.75" customHeight="1" s="153">
      <c r="A8" s="237" t="n"/>
      <c r="B8" s="238" t="inlineStr">
        <is>
          <t>OTNIEL</t>
        </is>
      </c>
      <c r="C8" s="239" t="n">
        <v>1</v>
      </c>
      <c r="D8" s="239" t="n">
        <v>1</v>
      </c>
      <c r="E8" s="239" t="n">
        <v>1</v>
      </c>
      <c r="F8" s="240" t="n"/>
      <c r="G8" s="240" t="n">
        <v>1</v>
      </c>
      <c r="H8" s="241" t="n">
        <v>123500</v>
      </c>
      <c r="I8" s="242" t="n">
        <v>120000</v>
      </c>
      <c r="J8" s="242" t="n">
        <v>3500</v>
      </c>
      <c r="K8" s="233" t="n"/>
      <c r="L8" s="233">
        <f>IF(K8&lt;&gt;"",49450+K8,49450)</f>
        <v/>
      </c>
      <c r="M8" s="156" t="n"/>
      <c r="N8" s="234" t="inlineStr">
        <is>
          <t>TOTAL YERBA</t>
        </is>
      </c>
      <c r="O8" s="235">
        <f>IFERROR(SUM(F5:F700),0)</f>
        <v/>
      </c>
      <c r="Q8" s="221" t="inlineStr">
        <is>
          <t>6</t>
        </is>
      </c>
      <c r="R8" s="222" t="inlineStr">
        <is>
          <t>LUCHO</t>
        </is>
      </c>
      <c r="S8" s="223" t="n">
        <v>370000</v>
      </c>
      <c r="T8" s="224" t="n">
        <v>7450</v>
      </c>
      <c r="U8" s="225" t="n">
        <v>14</v>
      </c>
      <c r="V8" s="226" t="inlineStr">
        <is>
          <t>20/04/2026</t>
        </is>
      </c>
    </row>
    <row r="9" ht="15.75" customHeight="1" s="153">
      <c r="A9" s="227" t="n"/>
      <c r="B9" s="228" t="inlineStr">
        <is>
          <t>PARRI GABOTO</t>
        </is>
      </c>
      <c r="C9" s="229" t="n">
        <v>1</v>
      </c>
      <c r="D9" s="229" t="n"/>
      <c r="E9" s="229" t="n"/>
      <c r="F9" s="230" t="n"/>
      <c r="G9" s="230" t="n"/>
      <c r="H9" s="231" t="n">
        <v>19500</v>
      </c>
      <c r="I9" s="232" t="n"/>
      <c r="J9" s="232" t="n">
        <v>19500</v>
      </c>
      <c r="K9" s="233" t="n"/>
      <c r="L9" s="233">
        <f>IF(K9&lt;&gt;"",9000+K9,9000)</f>
        <v/>
      </c>
      <c r="M9" s="156" t="n"/>
      <c r="N9" s="234" t="inlineStr">
        <is>
          <t>TOTAL AGUA</t>
        </is>
      </c>
      <c r="O9" s="235">
        <f>IFERROR(SUM(G5:G700),0)</f>
        <v/>
      </c>
      <c r="Q9" s="214" t="inlineStr">
        <is>
          <t>7</t>
        </is>
      </c>
      <c r="R9" s="215" t="inlineStr">
        <is>
          <t>EXE</t>
        </is>
      </c>
      <c r="S9" s="216" t="n">
        <v>351000</v>
      </c>
      <c r="T9" s="236" t="n">
        <v>51000</v>
      </c>
      <c r="U9" s="218" t="n">
        <v>5</v>
      </c>
      <c r="V9" s="219" t="inlineStr">
        <is>
          <t>19/04/2026</t>
        </is>
      </c>
    </row>
    <row r="10" ht="15.75" customHeight="1" s="153">
      <c r="A10" s="237" t="n"/>
      <c r="B10" s="238" t="inlineStr">
        <is>
          <t>SABORERARTE</t>
        </is>
      </c>
      <c r="C10" s="239" t="n">
        <v>1</v>
      </c>
      <c r="D10" s="239" t="n"/>
      <c r="E10" s="239" t="n">
        <v>1</v>
      </c>
      <c r="F10" s="240" t="n"/>
      <c r="G10" s="240" t="n"/>
      <c r="H10" s="241" t="n">
        <v>88000</v>
      </c>
      <c r="I10" s="242" t="n"/>
      <c r="J10" s="242" t="n">
        <v>88000</v>
      </c>
      <c r="K10" s="233" t="n"/>
      <c r="L10" s="233">
        <f>IF(K10&lt;&gt;"",30500+K10,30500)</f>
        <v/>
      </c>
      <c r="M10" s="156" t="n"/>
      <c r="N10" s="243" t="n"/>
      <c r="O10" s="244" t="n"/>
      <c r="Q10" s="221" t="inlineStr">
        <is>
          <t>8</t>
        </is>
      </c>
      <c r="R10" s="222" t="inlineStr">
        <is>
          <t>GOLD BURGUER</t>
        </is>
      </c>
      <c r="S10" s="223" t="n">
        <v>328000</v>
      </c>
      <c r="T10" s="224" t="n">
        <v>88000</v>
      </c>
      <c r="U10" s="225" t="n">
        <v>2</v>
      </c>
      <c r="V10" s="226" t="inlineStr">
        <is>
          <t>20/02/2026</t>
        </is>
      </c>
    </row>
    <row r="11" ht="15.75" customHeight="1" s="153">
      <c r="A11" s="227" t="n">
        <v>46055</v>
      </c>
      <c r="B11" s="228" t="inlineStr">
        <is>
          <t>FABIO PARISI</t>
        </is>
      </c>
      <c r="C11" s="229" t="n"/>
      <c r="D11" s="229" t="n"/>
      <c r="E11" s="229" t="n"/>
      <c r="F11" s="230" t="n">
        <v>20</v>
      </c>
      <c r="G11" s="230" t="n"/>
      <c r="H11" s="231" t="n">
        <v>67200</v>
      </c>
      <c r="I11" s="232" t="n">
        <v>67200</v>
      </c>
      <c r="J11" s="232" t="n"/>
      <c r="K11" s="233" t="n"/>
      <c r="L11" s="233">
        <f>IF(K11&lt;&gt;"",20700+K11,20700)</f>
        <v/>
      </c>
      <c r="M11" s="156" t="n"/>
      <c r="N11" s="246" t="inlineStr">
        <is>
          <t>FACTURACIÓN</t>
        </is>
      </c>
      <c r="O11" s="247">
        <f>IFERROR(SUM(H5:H700),0)</f>
        <v/>
      </c>
      <c r="Q11" s="214" t="inlineStr">
        <is>
          <t>9</t>
        </is>
      </c>
      <c r="R11" s="215" t="inlineStr">
        <is>
          <t>AZCUENAGA 5023</t>
        </is>
      </c>
      <c r="S11" s="216" t="n">
        <v>305000</v>
      </c>
      <c r="T11" s="217" t="n">
        <v>-10000</v>
      </c>
      <c r="U11" s="218" t="n">
        <v>5</v>
      </c>
      <c r="V11" s="219" t="inlineStr">
        <is>
          <t>20/04/2026</t>
        </is>
      </c>
    </row>
    <row r="12" ht="15.75" customHeight="1" s="153">
      <c r="A12" s="237" t="n"/>
      <c r="B12" s="238" t="inlineStr">
        <is>
          <t>SERBNADO BAY0 7165</t>
        </is>
      </c>
      <c r="C12" s="239" t="n">
        <v>1</v>
      </c>
      <c r="D12" s="239" t="n"/>
      <c r="E12" s="239" t="n"/>
      <c r="F12" s="240" t="n"/>
      <c r="G12" s="240" t="n"/>
      <c r="H12" s="241" t="n">
        <v>20500</v>
      </c>
      <c r="I12" s="242" t="n">
        <v>20500</v>
      </c>
      <c r="J12" s="242" t="n"/>
      <c r="K12" s="233" t="n"/>
      <c r="L12" s="233">
        <f>IF(K12&lt;&gt;"",10000+K12,10000)</f>
        <v/>
      </c>
      <c r="M12" s="156" t="n"/>
      <c r="N12" s="246" t="inlineStr">
        <is>
          <t>GANANCIA</t>
        </is>
      </c>
      <c r="O12" s="247">
        <f>IFERROR(SUM(L5:L700),0)</f>
        <v/>
      </c>
      <c r="Q12" s="221" t="inlineStr">
        <is>
          <t>10</t>
        </is>
      </c>
      <c r="R12" s="222" t="inlineStr">
        <is>
          <t>BRASERIA</t>
        </is>
      </c>
      <c r="S12" s="223" t="n">
        <v>289000</v>
      </c>
      <c r="T12" s="224" t="n">
        <v>49000</v>
      </c>
      <c r="U12" s="225" t="n">
        <v>4</v>
      </c>
      <c r="V12" s="226" t="inlineStr">
        <is>
          <t>18/04/2026</t>
        </is>
      </c>
    </row>
    <row r="13" ht="15.75" customHeight="1" s="153">
      <c r="A13" s="227" t="n"/>
      <c r="B13" s="228" t="inlineStr">
        <is>
          <t>MAXI HERMANO</t>
        </is>
      </c>
      <c r="C13" s="229" t="n"/>
      <c r="D13" s="229" t="n"/>
      <c r="E13" s="229" t="n"/>
      <c r="F13" s="230" t="n"/>
      <c r="G13" s="230" t="n">
        <v>1</v>
      </c>
      <c r="H13" s="231" t="n">
        <v>5000</v>
      </c>
      <c r="I13" s="232" t="n"/>
      <c r="J13" s="232" t="n">
        <v>5000</v>
      </c>
      <c r="K13" s="233" t="n"/>
      <c r="L13" s="233">
        <f>IF(K13&lt;&gt;"",4200+K13,4200)</f>
        <v/>
      </c>
      <c r="M13" s="156" t="n"/>
      <c r="N13" s="246" t="inlineStr">
        <is>
          <t>% GANANCIA</t>
        </is>
      </c>
      <c r="O13" s="248">
        <f>IFERROR(SUM(L5:L700)/SUM(H5:H700),0)</f>
        <v/>
      </c>
      <c r="Q13" s="214" t="inlineStr">
        <is>
          <t>11</t>
        </is>
      </c>
      <c r="R13" s="215" t="inlineStr">
        <is>
          <t>ROTI AGUADO</t>
        </is>
      </c>
      <c r="S13" s="216" t="n">
        <v>264500</v>
      </c>
      <c r="T13" s="236" t="n">
        <v>39500</v>
      </c>
      <c r="U13" s="218" t="n">
        <v>4</v>
      </c>
      <c r="V13" s="219" t="inlineStr">
        <is>
          <t>17/04/2026</t>
        </is>
      </c>
    </row>
    <row r="14" ht="15.75" customHeight="1" s="153">
      <c r="A14" s="237" t="n"/>
      <c r="B14" s="238" t="inlineStr">
        <is>
          <t>PALLARES 8200</t>
        </is>
      </c>
      <c r="C14" s="239" t="n">
        <v>2</v>
      </c>
      <c r="D14" s="239" t="n"/>
      <c r="E14" s="239" t="n"/>
      <c r="F14" s="240" t="n"/>
      <c r="G14" s="240" t="n"/>
      <c r="H14" s="241" t="n">
        <v>42000</v>
      </c>
      <c r="I14" s="242" t="n"/>
      <c r="J14" s="242" t="n">
        <v>42000</v>
      </c>
      <c r="K14" s="233" t="n"/>
      <c r="L14" s="233">
        <f>IF(K14&lt;&gt;"",21000+K14,21000)</f>
        <v/>
      </c>
      <c r="M14" s="156" t="n"/>
      <c r="N14" s="243" t="n"/>
      <c r="O14" s="244" t="n"/>
      <c r="Q14" s="221" t="inlineStr">
        <is>
          <t>12</t>
        </is>
      </c>
      <c r="R14" s="222" t="inlineStr">
        <is>
          <t>ROTI VIEYTES</t>
        </is>
      </c>
      <c r="S14" s="223" t="n">
        <v>222000</v>
      </c>
      <c r="T14" s="245" t="n">
        <v>-3000</v>
      </c>
      <c r="U14" s="225" t="n">
        <v>5</v>
      </c>
      <c r="V14" s="226" t="inlineStr">
        <is>
          <t>17/04/2026</t>
        </is>
      </c>
    </row>
    <row r="15" ht="15.75" customHeight="1" s="153">
      <c r="A15" s="227" t="n"/>
      <c r="B15" s="228" t="inlineStr">
        <is>
          <t>FILOMENA</t>
        </is>
      </c>
      <c r="C15" s="229" t="n">
        <v>2</v>
      </c>
      <c r="D15" s="229" t="n"/>
      <c r="E15" s="229" t="n"/>
      <c r="F15" s="230" t="n"/>
      <c r="G15" s="230" t="n"/>
      <c r="H15" s="231" t="n">
        <v>36000</v>
      </c>
      <c r="I15" s="232" t="n"/>
      <c r="J15" s="232" t="n">
        <v>36000</v>
      </c>
      <c r="K15" s="233" t="n"/>
      <c r="L15" s="233">
        <f>IF(K15&lt;&gt;"",15000+K15,15000)</f>
        <v/>
      </c>
      <c r="M15" s="156" t="n"/>
      <c r="N15" s="234" t="inlineStr">
        <is>
          <t>EFECTIVO</t>
        </is>
      </c>
      <c r="O15" s="249">
        <f>IFERROR(SUM(I5:I700),0)</f>
        <v/>
      </c>
      <c r="Q15" s="214" t="inlineStr">
        <is>
          <t>13</t>
        </is>
      </c>
      <c r="R15" s="215" t="inlineStr">
        <is>
          <t>PANA VIEYTES 4500</t>
        </is>
      </c>
      <c r="S15" s="216" t="n">
        <v>200000</v>
      </c>
      <c r="T15" s="236" t="n">
        <v>20000</v>
      </c>
      <c r="U15" s="218" t="n">
        <v>3</v>
      </c>
      <c r="V15" s="219" t="inlineStr">
        <is>
          <t>16/04/2026</t>
        </is>
      </c>
    </row>
    <row r="16" ht="15.75" customHeight="1" s="153">
      <c r="A16" s="237" t="n"/>
      <c r="B16" s="238" t="inlineStr">
        <is>
          <t>LUCHO</t>
        </is>
      </c>
      <c r="C16" s="239" t="n">
        <v>1</v>
      </c>
      <c r="D16" s="239" t="n"/>
      <c r="E16" s="239" t="n"/>
      <c r="F16" s="240" t="n"/>
      <c r="G16" s="240" t="n"/>
      <c r="H16" s="241" t="n">
        <v>14500</v>
      </c>
      <c r="I16" s="242" t="n">
        <v>14500</v>
      </c>
      <c r="J16" s="242" t="n"/>
      <c r="K16" s="233" t="n"/>
      <c r="L16" s="233">
        <f>IF(K16&lt;&gt;"",4000+K16,4000)</f>
        <v/>
      </c>
      <c r="M16" s="156" t="n"/>
      <c r="N16" s="234" t="inlineStr">
        <is>
          <t>TRANSFERENCIA</t>
        </is>
      </c>
      <c r="O16" s="249">
        <f>IFERROR(SUM(J5:J700),0)</f>
        <v/>
      </c>
      <c r="Q16" s="221" t="inlineStr">
        <is>
          <t>14</t>
        </is>
      </c>
      <c r="R16" s="222" t="inlineStr">
        <is>
          <t>SANDRA</t>
        </is>
      </c>
      <c r="S16" s="223" t="n">
        <v>199000</v>
      </c>
      <c r="T16" s="224" t="n">
        <v>5200</v>
      </c>
      <c r="U16" s="225" t="n">
        <v>8</v>
      </c>
      <c r="V16" s="226" t="inlineStr">
        <is>
          <t>16/04/2026</t>
        </is>
      </c>
    </row>
    <row r="17" ht="15.75" customHeight="1" s="153">
      <c r="A17" s="227" t="n"/>
      <c r="B17" s="228" t="inlineStr">
        <is>
          <t>BRAILE 7173</t>
        </is>
      </c>
      <c r="C17" s="229" t="n">
        <v>1</v>
      </c>
      <c r="D17" s="229" t="n"/>
      <c r="E17" s="229" t="n"/>
      <c r="F17" s="230" t="n"/>
      <c r="G17" s="230" t="n"/>
      <c r="H17" s="231" t="n">
        <v>21000</v>
      </c>
      <c r="I17" s="232" t="n">
        <v>21000</v>
      </c>
      <c r="J17" s="232" t="n"/>
      <c r="K17" s="233" t="n"/>
      <c r="L17" s="233">
        <f>IF(K17&lt;&gt;"",10500+K17,10500)</f>
        <v/>
      </c>
      <c r="M17" s="156" t="n"/>
      <c r="N17" s="243" t="n"/>
      <c r="O17" s="244" t="n"/>
      <c r="Q17" s="214" t="inlineStr">
        <is>
          <t>15</t>
        </is>
      </c>
      <c r="R17" s="215" t="inlineStr">
        <is>
          <t>PANA ALBERTI</t>
        </is>
      </c>
      <c r="S17" s="216" t="n">
        <v>191500</v>
      </c>
      <c r="T17" s="236" t="n">
        <v>34000</v>
      </c>
      <c r="U17" s="218" t="n">
        <v>4</v>
      </c>
      <c r="V17" s="219" t="inlineStr">
        <is>
          <t>22/04/2026</t>
        </is>
      </c>
    </row>
    <row r="18" ht="15.75" customHeight="1" s="153">
      <c r="A18" s="237" t="n"/>
      <c r="B18" s="238" t="inlineStr">
        <is>
          <t>AZCUENAGA 5023</t>
        </is>
      </c>
      <c r="C18" s="239" t="n">
        <v>1</v>
      </c>
      <c r="D18" s="239" t="n"/>
      <c r="E18" s="239" t="n"/>
      <c r="F18" s="240" t="n"/>
      <c r="G18" s="240" t="n"/>
      <c r="H18" s="241" t="n">
        <v>14500</v>
      </c>
      <c r="I18" s="242" t="n"/>
      <c r="J18" s="242" t="n">
        <v>14500</v>
      </c>
      <c r="K18" s="233" t="n"/>
      <c r="L18" s="233">
        <f>IF(K18&lt;&gt;"",4000+K18,4000)</f>
        <v/>
      </c>
      <c r="M18" s="156" t="n"/>
      <c r="N18" s="234" t="inlineStr">
        <is>
          <t>Nº VENTAS</t>
        </is>
      </c>
      <c r="O18" s="250">
        <f>IFERROR(COUNTA(B5:B700),0)</f>
        <v/>
      </c>
      <c r="Q18" s="221" t="inlineStr">
        <is>
          <t>16</t>
        </is>
      </c>
      <c r="R18" s="222" t="inlineStr">
        <is>
          <t>COGORNO 5520</t>
        </is>
      </c>
      <c r="S18" s="223" t="n">
        <v>190500</v>
      </c>
      <c r="T18" s="245" t="n">
        <v>-4500</v>
      </c>
      <c r="U18" s="225" t="n">
        <v>3</v>
      </c>
      <c r="V18" s="226" t="inlineStr">
        <is>
          <t>25/03/2026</t>
        </is>
      </c>
    </row>
    <row r="19" ht="15.75" customHeight="1" s="153">
      <c r="A19" s="227" t="n">
        <v>46056</v>
      </c>
      <c r="B19" s="228" t="inlineStr">
        <is>
          <t xml:space="preserve">VICTOR CAPE </t>
        </is>
      </c>
      <c r="C19" s="229" t="n">
        <v>1</v>
      </c>
      <c r="D19" s="229" t="n"/>
      <c r="E19" s="229" t="n"/>
      <c r="F19" s="230" t="n"/>
      <c r="G19" s="230" t="n"/>
      <c r="H19" s="231" t="n">
        <v>20500</v>
      </c>
      <c r="I19" s="232" t="n"/>
      <c r="J19" s="232" t="n">
        <v>20500</v>
      </c>
      <c r="K19" s="233" t="n"/>
      <c r="L19" s="233">
        <f>IF(K19&lt;&gt;"",10000+K19,10000)</f>
        <v/>
      </c>
      <c r="M19" s="156" t="n"/>
      <c r="N19" s="234" t="inlineStr">
        <is>
          <t>DÍAS DEL MES</t>
        </is>
      </c>
      <c r="O19" s="250" t="n">
        <v>28</v>
      </c>
      <c r="Q19" s="214" t="inlineStr">
        <is>
          <t>17</t>
        </is>
      </c>
      <c r="R19" s="215" t="inlineStr">
        <is>
          <t>NACHO</t>
        </is>
      </c>
      <c r="S19" s="216" t="n">
        <v>174500</v>
      </c>
      <c r="T19" s="236" t="n">
        <v>32000</v>
      </c>
      <c r="U19" s="218" t="n">
        <v>8</v>
      </c>
      <c r="V19" s="219" t="inlineStr">
        <is>
          <t>02/04/2026</t>
        </is>
      </c>
    </row>
    <row r="20" ht="15.75" customHeight="1" s="153">
      <c r="A20" s="237" t="n"/>
      <c r="B20" s="238" t="inlineStr">
        <is>
          <t>PANA VIEYTES GISELA</t>
        </is>
      </c>
      <c r="C20" s="239" t="n">
        <v>1</v>
      </c>
      <c r="D20" s="239" t="n"/>
      <c r="E20" s="239" t="n"/>
      <c r="F20" s="240" t="n"/>
      <c r="G20" s="240" t="n"/>
      <c r="H20" s="241" t="n">
        <v>17500</v>
      </c>
      <c r="I20" s="242" t="n"/>
      <c r="J20" s="242" t="n">
        <v>17500</v>
      </c>
      <c r="K20" s="233" t="n"/>
      <c r="L20" s="233">
        <f>IF(K20&lt;&gt;"",7000+K20,7000)</f>
        <v/>
      </c>
      <c r="M20" s="156" t="n"/>
      <c r="N20" s="243" t="n"/>
      <c r="O20" s="244" t="n"/>
      <c r="Q20" s="221" t="inlineStr">
        <is>
          <t>18</t>
        </is>
      </c>
      <c r="R20" s="222" t="inlineStr">
        <is>
          <t>ROTI SAN LORENZO</t>
        </is>
      </c>
      <c r="S20" s="223" t="n">
        <v>163000</v>
      </c>
      <c r="T20" s="224" t="n">
        <v>35500</v>
      </c>
      <c r="U20" s="225" t="n">
        <v>2</v>
      </c>
      <c r="V20" s="226" t="inlineStr">
        <is>
          <t>15/04/2026</t>
        </is>
      </c>
    </row>
    <row r="21" ht="15.75" customHeight="1" s="153">
      <c r="A21" s="227" t="n"/>
      <c r="B21" s="228" t="inlineStr">
        <is>
          <t>RUPERTO GODOY 1278</t>
        </is>
      </c>
      <c r="C21" s="229" t="n"/>
      <c r="D21" s="229" t="n"/>
      <c r="E21" s="229" t="n">
        <v>1</v>
      </c>
      <c r="F21" s="230" t="n"/>
      <c r="G21" s="230" t="n"/>
      <c r="H21" s="231" t="n">
        <v>72500</v>
      </c>
      <c r="I21" s="232" t="n">
        <v>72500</v>
      </c>
      <c r="J21" s="232" t="n"/>
      <c r="K21" s="233" t="n"/>
      <c r="L21" s="233">
        <f>IF(K21&lt;&gt;"",25500+K21,25500)</f>
        <v/>
      </c>
      <c r="M21" s="156" t="n"/>
      <c r="N21" s="234" t="inlineStr">
        <is>
          <t>OBJETIVO ($)</t>
        </is>
      </c>
      <c r="O21" s="249" t="n"/>
      <c r="Q21" s="214" t="inlineStr">
        <is>
          <t>19</t>
        </is>
      </c>
      <c r="R21" s="215" t="inlineStr">
        <is>
          <t>20 DE JUNIO Y 9 DE JULIO</t>
        </is>
      </c>
      <c r="S21" s="216" t="n">
        <v>156000</v>
      </c>
      <c r="T21" s="236" t="n">
        <v>36000</v>
      </c>
      <c r="U21" s="218" t="n">
        <v>1</v>
      </c>
      <c r="V21" s="219" t="inlineStr">
        <is>
          <t>17/02/2026</t>
        </is>
      </c>
    </row>
    <row r="22" ht="15.75" customHeight="1" s="153">
      <c r="A22" s="237" t="n"/>
      <c r="B22" s="238" t="inlineStr">
        <is>
          <t>LUCHO</t>
        </is>
      </c>
      <c r="C22" s="239" t="n">
        <v>1</v>
      </c>
      <c r="D22" s="239" t="n"/>
      <c r="E22" s="239" t="n"/>
      <c r="F22" s="240" t="n"/>
      <c r="G22" s="240" t="n"/>
      <c r="H22" s="241" t="n">
        <v>14500</v>
      </c>
      <c r="I22" s="242" t="n">
        <v>14500</v>
      </c>
      <c r="J22" s="242" t="n"/>
      <c r="K22" s="233" t="n"/>
      <c r="L22" s="233">
        <f>IF(K22&lt;&gt;"",4000+K22,4000)</f>
        <v/>
      </c>
      <c r="M22" s="156" t="n"/>
      <c r="N22" s="234" t="inlineStr">
        <is>
          <t>DIFERENCIA</t>
        </is>
      </c>
      <c r="O22" s="251">
        <f>IFERROR(SUM(L5:L700)-N21,0)</f>
        <v/>
      </c>
      <c r="Q22" s="221" t="inlineStr">
        <is>
          <t>20</t>
        </is>
      </c>
      <c r="R22" s="222" t="inlineStr">
        <is>
          <t>9 DE JULIO 1144</t>
        </is>
      </c>
      <c r="S22" s="223" t="n">
        <v>154000</v>
      </c>
      <c r="T22" s="224" t="n">
        <v>34000</v>
      </c>
      <c r="U22" s="225" t="n">
        <v>1</v>
      </c>
      <c r="V22" s="226" t="inlineStr">
        <is>
          <t>06/03/2026</t>
        </is>
      </c>
    </row>
    <row r="23" ht="15.75" customHeight="1" s="153">
      <c r="A23" s="227" t="n"/>
      <c r="B23" s="228" t="inlineStr">
        <is>
          <t>BEATRIZ</t>
        </is>
      </c>
      <c r="C23" s="229" t="n"/>
      <c r="D23" s="229" t="n"/>
      <c r="E23" s="229" t="n"/>
      <c r="F23" s="230" t="n"/>
      <c r="G23" s="230" t="n">
        <v>1</v>
      </c>
      <c r="H23" s="231" t="n">
        <v>5000</v>
      </c>
      <c r="I23" s="232" t="n">
        <v>5000</v>
      </c>
      <c r="J23" s="232" t="n"/>
      <c r="K23" s="233" t="n"/>
      <c r="L23" s="233">
        <f>IF(K23&lt;&gt;"",4200+K23,4200)</f>
        <v/>
      </c>
      <c r="M23" s="156" t="n"/>
      <c r="N23" s="156" t="n"/>
      <c r="O23" s="156" t="n"/>
      <c r="Q23" s="214" t="inlineStr">
        <is>
          <t>21</t>
        </is>
      </c>
      <c r="R23" s="215" t="inlineStr">
        <is>
          <t>PANA GORRITI 4600</t>
        </is>
      </c>
      <c r="S23" s="216" t="n">
        <v>148000</v>
      </c>
      <c r="T23" s="236" t="n">
        <v>28000</v>
      </c>
      <c r="U23" s="218" t="n">
        <v>2</v>
      </c>
      <c r="V23" s="219" t="inlineStr">
        <is>
          <t>08/04/2026</t>
        </is>
      </c>
    </row>
    <row r="24" ht="15.75" customHeight="1" s="153">
      <c r="A24" s="237" t="n"/>
      <c r="B24" s="238" t="inlineStr">
        <is>
          <t>EX COMBATIENTES 5220</t>
        </is>
      </c>
      <c r="C24" s="239" t="n">
        <v>2</v>
      </c>
      <c r="D24" s="239" t="n"/>
      <c r="E24" s="239" t="n"/>
      <c r="F24" s="240" t="n"/>
      <c r="G24" s="240" t="n"/>
      <c r="H24" s="241" t="n">
        <v>42000</v>
      </c>
      <c r="I24" s="242" t="n"/>
      <c r="J24" s="242" t="n">
        <v>42000</v>
      </c>
      <c r="K24" s="233" t="n"/>
      <c r="L24" s="233">
        <f>IF(K24&lt;&gt;"",21000+K24,21000)</f>
        <v/>
      </c>
      <c r="M24" s="156" t="n"/>
      <c r="N24" s="246" t="inlineStr">
        <is>
          <t>KG BUTANO</t>
        </is>
      </c>
      <c r="O24" s="252">
        <f>IFERROR((SUM(C5:C700)*10)+(SUM(D5:D700)*15),0)</f>
        <v/>
      </c>
      <c r="Q24" s="221" t="inlineStr">
        <is>
          <t>22</t>
        </is>
      </c>
      <c r="R24" s="222" t="inlineStr">
        <is>
          <t>PAULO</t>
        </is>
      </c>
      <c r="S24" s="223" t="n">
        <v>145000</v>
      </c>
      <c r="T24" s="245" t="n">
        <v>-5000</v>
      </c>
      <c r="U24" s="225" t="n">
        <v>4</v>
      </c>
      <c r="V24" s="226" t="inlineStr">
        <is>
          <t>13/04/2026</t>
        </is>
      </c>
    </row>
    <row r="25" ht="15.75" customHeight="1" s="153">
      <c r="A25" s="227" t="n"/>
      <c r="B25" s="228" t="inlineStr">
        <is>
          <t>MOLINA FLORES 1</t>
        </is>
      </c>
      <c r="C25" s="229" t="n"/>
      <c r="D25" s="229" t="n"/>
      <c r="E25" s="229" t="n">
        <v>1</v>
      </c>
      <c r="F25" s="230" t="n"/>
      <c r="G25" s="230" t="n"/>
      <c r="H25" s="231" t="n">
        <v>75000</v>
      </c>
      <c r="I25" s="232" t="n">
        <v>75000</v>
      </c>
      <c r="J25" s="232" t="n"/>
      <c r="K25" s="233" t="n"/>
      <c r="L25" s="233">
        <f>IF(K25&lt;&gt;"",28000+K25,28000)</f>
        <v/>
      </c>
      <c r="M25" s="156" t="n"/>
      <c r="N25" s="246" t="inlineStr">
        <is>
          <t>KG PROPANO</t>
        </is>
      </c>
      <c r="O25" s="252">
        <f>IFERROR(SUM(E5:E700)*45,0)</f>
        <v/>
      </c>
      <c r="Q25" s="214" t="inlineStr">
        <is>
          <t>23</t>
        </is>
      </c>
      <c r="R25" s="215" t="inlineStr">
        <is>
          <t>PANA VIEYTES 3800</t>
        </is>
      </c>
      <c r="S25" s="216" t="n">
        <v>143000</v>
      </c>
      <c r="T25" s="236" t="n">
        <v>23000</v>
      </c>
      <c r="U25" s="218" t="n">
        <v>2</v>
      </c>
      <c r="V25" s="219" t="inlineStr">
        <is>
          <t>08/04/2026</t>
        </is>
      </c>
    </row>
    <row r="26" ht="15.75" customHeight="1" s="153">
      <c r="A26" s="237" t="n"/>
      <c r="B26" s="238" t="inlineStr">
        <is>
          <t>PANA VIEYTES 3800</t>
        </is>
      </c>
      <c r="C26" s="239" t="n"/>
      <c r="D26" s="239" t="n"/>
      <c r="E26" s="239" t="n">
        <v>1</v>
      </c>
      <c r="F26" s="240" t="n"/>
      <c r="G26" s="240" t="n"/>
      <c r="H26" s="241" t="n">
        <v>71000</v>
      </c>
      <c r="I26" s="242" t="n"/>
      <c r="J26" s="242" t="n">
        <v>71000</v>
      </c>
      <c r="K26" s="233" t="n"/>
      <c r="L26" s="233">
        <f>IF(K26&lt;&gt;"",24000+K26,24000)</f>
        <v/>
      </c>
      <c r="M26" s="156" t="n"/>
      <c r="N26" s="246" t="inlineStr">
        <is>
          <t>KG TOTAL</t>
        </is>
      </c>
      <c r="O26" s="252">
        <f>IFERROR(O24+O25,0)</f>
        <v/>
      </c>
      <c r="Q26" s="221" t="inlineStr">
        <is>
          <t>24</t>
        </is>
      </c>
      <c r="R26" s="222" t="inlineStr">
        <is>
          <t>PANA BERUTI 6400</t>
        </is>
      </c>
      <c r="S26" s="223" t="n">
        <v>132000</v>
      </c>
      <c r="T26" s="224" t="n">
        <v>12000</v>
      </c>
      <c r="U26" s="225" t="n">
        <v>2</v>
      </c>
      <c r="V26" s="226" t="inlineStr">
        <is>
          <t>22/04/2026</t>
        </is>
      </c>
    </row>
    <row r="27" ht="15.75" customHeight="1" s="153">
      <c r="A27" s="227" t="n"/>
      <c r="B27" s="228" t="inlineStr">
        <is>
          <t>LA SALLE 3151</t>
        </is>
      </c>
      <c r="C27" s="229" t="n"/>
      <c r="D27" s="229" t="n"/>
      <c r="E27" s="229" t="n">
        <v>1</v>
      </c>
      <c r="F27" s="230" t="n"/>
      <c r="G27" s="230" t="n"/>
      <c r="H27" s="231" t="n">
        <v>73500</v>
      </c>
      <c r="I27" s="232" t="n">
        <v>73500</v>
      </c>
      <c r="J27" s="232" t="n"/>
      <c r="K27" s="233" t="n"/>
      <c r="L27" s="233">
        <f>IF(K27&lt;&gt;"",26500+K27,26500)</f>
        <v/>
      </c>
      <c r="M27" s="156" t="n"/>
      <c r="N27" s="156" t="n"/>
      <c r="O27" s="156" t="n"/>
      <c r="Q27" s="214" t="inlineStr">
        <is>
          <t>25</t>
        </is>
      </c>
      <c r="R27" s="215" t="inlineStr">
        <is>
          <t>MARTINEZ 3221</t>
        </is>
      </c>
      <c r="S27" s="216" t="n">
        <v>119000</v>
      </c>
      <c r="T27" s="236" t="n">
        <v>29000</v>
      </c>
      <c r="U27" s="218" t="n">
        <v>1</v>
      </c>
      <c r="V27" s="219" t="inlineStr">
        <is>
          <t>25/03/2026</t>
        </is>
      </c>
    </row>
    <row r="28" ht="15.75" customHeight="1" s="153">
      <c r="A28" s="237" t="n"/>
      <c r="B28" s="238" t="inlineStr">
        <is>
          <t>GENERAL PAZ 6050</t>
        </is>
      </c>
      <c r="C28" s="239" t="n">
        <v>1</v>
      </c>
      <c r="D28" s="239" t="n"/>
      <c r="E28" s="239" t="n"/>
      <c r="F28" s="240" t="n"/>
      <c r="G28" s="240" t="n"/>
      <c r="H28" s="241" t="n">
        <v>22000</v>
      </c>
      <c r="I28" s="242" t="n"/>
      <c r="J28" s="242" t="n">
        <v>22000</v>
      </c>
      <c r="K28" s="233" t="n"/>
      <c r="L28" s="233">
        <f>IF(K28&lt;&gt;"",11500+K28,11500)</f>
        <v/>
      </c>
      <c r="M28" s="156" t="n"/>
      <c r="N28" s="246" t="inlineStr">
        <is>
          <t>TICKET PROM. VENTA</t>
        </is>
      </c>
      <c r="O28" s="253">
        <f>IFERROR(SUM(H5:H700)/COUNTA(B5:B700),0)</f>
        <v/>
      </c>
      <c r="Q28" s="221" t="inlineStr">
        <is>
          <t>26</t>
        </is>
      </c>
      <c r="R28" s="222" t="inlineStr">
        <is>
          <t>GENERAL PAZ 7826</t>
        </is>
      </c>
      <c r="S28" s="223" t="n">
        <v>118000</v>
      </c>
      <c r="T28" s="224" t="n">
        <v>28000</v>
      </c>
      <c r="U28" s="225" t="n">
        <v>2</v>
      </c>
      <c r="V28" s="226" t="inlineStr">
        <is>
          <t>13/02/2026</t>
        </is>
      </c>
    </row>
    <row r="29" ht="15.75" customHeight="1" s="153">
      <c r="A29" s="227" t="n"/>
      <c r="B29" s="228" t="inlineStr">
        <is>
          <t>ESMERALDA 2376</t>
        </is>
      </c>
      <c r="C29" s="229" t="n"/>
      <c r="D29" s="229" t="n"/>
      <c r="E29" s="229" t="n">
        <v>1</v>
      </c>
      <c r="F29" s="230" t="n"/>
      <c r="G29" s="230" t="n"/>
      <c r="H29" s="231" t="n">
        <v>75000</v>
      </c>
      <c r="I29" s="232" t="n"/>
      <c r="J29" s="232" t="n">
        <v>75000</v>
      </c>
      <c r="K29" s="233" t="n"/>
      <c r="L29" s="233">
        <f>IF(K29&lt;&gt;"",28000+K29,28000)</f>
        <v/>
      </c>
      <c r="M29" s="156" t="n"/>
      <c r="N29" s="246" t="inlineStr">
        <is>
          <t>TICKET PROM. GANANCIA</t>
        </is>
      </c>
      <c r="O29" s="253">
        <f>IFERROR(SUM(L5:L700)/COUNTA(B5:B700),0)</f>
        <v/>
      </c>
      <c r="Q29" s="214" t="inlineStr">
        <is>
          <t>27</t>
        </is>
      </c>
      <c r="R29" s="215" t="inlineStr">
        <is>
          <t>SABORERARTE</t>
        </is>
      </c>
      <c r="S29" s="216" t="n">
        <v>107500</v>
      </c>
      <c r="T29" s="236" t="n">
        <v>17500</v>
      </c>
      <c r="U29" s="218" t="n">
        <v>2</v>
      </c>
      <c r="V29" s="219" t="inlineStr">
        <is>
          <t>26/02/2026</t>
        </is>
      </c>
    </row>
    <row r="30" ht="15.75" customHeight="1" s="153">
      <c r="A30" s="237" t="n"/>
      <c r="B30" s="238" t="inlineStr">
        <is>
          <t xml:space="preserve">FABIAN BLAS PARERA </t>
        </is>
      </c>
      <c r="C30" s="239" t="n">
        <v>1</v>
      </c>
      <c r="D30" s="239" t="n">
        <v>1</v>
      </c>
      <c r="E30" s="239" t="n"/>
      <c r="F30" s="240" t="n"/>
      <c r="G30" s="240" t="n"/>
      <c r="H30" s="241" t="n">
        <v>50000</v>
      </c>
      <c r="I30" s="242" t="n">
        <v>50000</v>
      </c>
      <c r="J30" s="242" t="n"/>
      <c r="K30" s="233" t="n"/>
      <c r="L30" s="233">
        <f>IF(K30&lt;&gt;"",23750+K30,23750)</f>
        <v/>
      </c>
      <c r="M30" s="156" t="n"/>
      <c r="N30" s="156" t="n"/>
      <c r="O30" s="156" t="n"/>
      <c r="Q30" s="221" t="inlineStr">
        <is>
          <t>28</t>
        </is>
      </c>
      <c r="R30" s="222" t="inlineStr">
        <is>
          <t>GRINGO ILGATO</t>
        </is>
      </c>
      <c r="S30" s="223" t="n">
        <v>99000</v>
      </c>
      <c r="T30" s="224" t="n">
        <v>24000</v>
      </c>
      <c r="U30" s="225" t="n">
        <v>1</v>
      </c>
      <c r="V30" s="226" t="inlineStr">
        <is>
          <t>08/02/2026</t>
        </is>
      </c>
    </row>
    <row r="31" ht="15.75" customHeight="1" s="153">
      <c r="A31" s="227" t="n"/>
      <c r="B31" s="228" t="inlineStr">
        <is>
          <t>PANA VIEYTES 4500</t>
        </is>
      </c>
      <c r="C31" s="229" t="n"/>
      <c r="D31" s="229" t="n"/>
      <c r="E31" s="229" t="n">
        <v>1</v>
      </c>
      <c r="F31" s="230" t="n"/>
      <c r="G31" s="230" t="n"/>
      <c r="H31" s="231" t="n">
        <v>66000</v>
      </c>
      <c r="I31" s="232" t="n">
        <v>66000</v>
      </c>
      <c r="J31" s="232" t="n"/>
      <c r="K31" s="233" t="n"/>
      <c r="L31" s="233">
        <f>IF(K31&lt;&gt;"",19000+K31,19000)</f>
        <v/>
      </c>
      <c r="M31" s="156" t="n"/>
      <c r="N31" s="156" t="n"/>
      <c r="O31" s="156" t="n"/>
      <c r="Q31" s="214" t="inlineStr">
        <is>
          <t>29</t>
        </is>
      </c>
      <c r="R31" s="215" t="inlineStr">
        <is>
          <t>MISIONES 6381 PANA</t>
        </is>
      </c>
      <c r="S31" s="216" t="n">
        <v>93000</v>
      </c>
      <c r="T31" s="236" t="n">
        <v>18000</v>
      </c>
      <c r="U31" s="218" t="n">
        <v>1</v>
      </c>
      <c r="V31" s="219" t="inlineStr">
        <is>
          <t>12/02/2026</t>
        </is>
      </c>
    </row>
    <row r="32" ht="15.75" customHeight="1" s="153">
      <c r="A32" s="237" t="n"/>
      <c r="B32" s="238" t="inlineStr">
        <is>
          <t>SANDRA</t>
        </is>
      </c>
      <c r="C32" s="239" t="n">
        <v>2</v>
      </c>
      <c r="D32" s="239" t="n"/>
      <c r="E32" s="239" t="n"/>
      <c r="F32" s="240" t="n"/>
      <c r="G32" s="240" t="n"/>
      <c r="H32" s="241" t="n">
        <v>29000</v>
      </c>
      <c r="I32" s="242" t="n">
        <v>29000</v>
      </c>
      <c r="J32" s="242" t="n"/>
      <c r="K32" s="233" t="n"/>
      <c r="L32" s="233">
        <f>IF(K32&lt;&gt;"",8000+K32,8000)</f>
        <v/>
      </c>
      <c r="M32" s="156" t="n"/>
      <c r="N32" s="156" t="n"/>
      <c r="O32" s="156" t="n"/>
      <c r="Q32" s="221" t="inlineStr">
        <is>
          <t>30</t>
        </is>
      </c>
      <c r="R32" s="222" t="inlineStr">
        <is>
          <t>AZCUEJAGA 5023</t>
        </is>
      </c>
      <c r="S32" s="223" t="n">
        <v>90000</v>
      </c>
      <c r="T32" s="224" t="n">
        <v>0</v>
      </c>
      <c r="U32" s="225" t="n">
        <v>1</v>
      </c>
      <c r="V32" s="226" t="inlineStr">
        <is>
          <t>27/02/2026</t>
        </is>
      </c>
    </row>
    <row r="33" ht="15.75" customHeight="1" s="153">
      <c r="A33" s="227" t="n"/>
      <c r="B33" s="228" t="inlineStr">
        <is>
          <t>AYACUCHO 5370</t>
        </is>
      </c>
      <c r="C33" s="229" t="n"/>
      <c r="D33" s="229" t="n"/>
      <c r="E33" s="229" t="n"/>
      <c r="F33" s="230" t="n"/>
      <c r="G33" s="230" t="n">
        <v>2</v>
      </c>
      <c r="H33" s="231" t="n">
        <v>10000</v>
      </c>
      <c r="I33" s="232" t="n"/>
      <c r="J33" s="232" t="n">
        <v>10000</v>
      </c>
      <c r="K33" s="233" t="n"/>
      <c r="L33" s="233">
        <f>IF(K33&lt;&gt;"",8400+K33,8400)</f>
        <v/>
      </c>
      <c r="M33" s="156" t="n"/>
      <c r="N33" s="156" t="n"/>
      <c r="O33" s="156" t="n"/>
      <c r="Q33" s="214" t="inlineStr">
        <is>
          <t>31</t>
        </is>
      </c>
      <c r="R33" s="215" t="inlineStr">
        <is>
          <t>PANA BONEO</t>
        </is>
      </c>
      <c r="S33" s="216" t="n">
        <v>82500</v>
      </c>
      <c r="T33" s="236" t="n">
        <v>7500</v>
      </c>
      <c r="U33" s="218" t="n">
        <v>1</v>
      </c>
      <c r="V33" s="219" t="inlineStr">
        <is>
          <t>16/02/2026</t>
        </is>
      </c>
    </row>
    <row r="34" ht="15.75" customHeight="1" s="153">
      <c r="A34" s="237" t="n"/>
      <c r="B34" s="238" t="inlineStr">
        <is>
          <t xml:space="preserve">FILOMENA </t>
        </is>
      </c>
      <c r="C34" s="239" t="n">
        <v>1</v>
      </c>
      <c r="D34" s="239" t="n"/>
      <c r="E34" s="239" t="n"/>
      <c r="F34" s="240" t="n"/>
      <c r="G34" s="240" t="n"/>
      <c r="H34" s="241" t="n">
        <v>18000</v>
      </c>
      <c r="I34" s="242" t="n"/>
      <c r="J34" s="242" t="n">
        <v>18000</v>
      </c>
      <c r="K34" s="233" t="n"/>
      <c r="L34" s="233">
        <f>IF(K34&lt;&gt;"",7500+K34,7500)</f>
        <v/>
      </c>
      <c r="M34" s="156" t="n"/>
      <c r="N34" s="156" t="n"/>
      <c r="O34" s="156" t="n"/>
      <c r="Q34" s="221" t="inlineStr">
        <is>
          <t>32</t>
        </is>
      </c>
      <c r="R34" s="222" t="inlineStr">
        <is>
          <t>DOMINGO SIVLA 4217</t>
        </is>
      </c>
      <c r="S34" s="223" t="n">
        <v>80500</v>
      </c>
      <c r="T34" s="245" t="n">
        <v>-2000</v>
      </c>
      <c r="U34" s="225" t="n">
        <v>1</v>
      </c>
      <c r="V34" s="226" t="inlineStr">
        <is>
          <t>09/03/2026</t>
        </is>
      </c>
    </row>
    <row r="35" ht="15.75" customHeight="1" s="153">
      <c r="A35" s="227" t="n">
        <v>46057</v>
      </c>
      <c r="B35" s="228" t="inlineStr">
        <is>
          <t>COGORNO 5520</t>
        </is>
      </c>
      <c r="C35" s="229" t="n">
        <v>5</v>
      </c>
      <c r="D35" s="229" t="n"/>
      <c r="E35" s="229" t="n"/>
      <c r="F35" s="230" t="n"/>
      <c r="G35" s="230" t="n"/>
      <c r="H35" s="231" t="n">
        <v>72500</v>
      </c>
      <c r="I35" s="232" t="n">
        <v>72500</v>
      </c>
      <c r="J35" s="232" t="n"/>
      <c r="K35" s="233" t="n"/>
      <c r="L35" s="233">
        <f>IF(K35&lt;&gt;"",20000+K35,20000)</f>
        <v/>
      </c>
      <c r="M35" s="156" t="n"/>
      <c r="N35" s="156" t="n"/>
      <c r="O35" s="156" t="n"/>
      <c r="Q35" s="214" t="inlineStr">
        <is>
          <t>33</t>
        </is>
      </c>
      <c r="R35" s="215" t="inlineStr">
        <is>
          <t>SAN JOSE 8494</t>
        </is>
      </c>
      <c r="S35" s="216" t="n">
        <v>79000</v>
      </c>
      <c r="T35" s="236" t="n">
        <v>19000</v>
      </c>
      <c r="U35" s="218" t="n">
        <v>1</v>
      </c>
      <c r="V35" s="219" t="inlineStr">
        <is>
          <t>08/02/2026</t>
        </is>
      </c>
    </row>
    <row r="36" ht="15.75" customHeight="1" s="153">
      <c r="A36" s="237" t="n"/>
      <c r="B36" s="238" t="inlineStr">
        <is>
          <t>OTNIEL</t>
        </is>
      </c>
      <c r="C36" s="239" t="n"/>
      <c r="D36" s="239" t="n"/>
      <c r="E36" s="239" t="n"/>
      <c r="F36" s="240" t="n"/>
      <c r="G36" s="240" t="n">
        <v>4</v>
      </c>
      <c r="H36" s="241" t="n">
        <v>20000</v>
      </c>
      <c r="I36" s="242" t="n">
        <v>20000</v>
      </c>
      <c r="J36" s="242" t="n"/>
      <c r="K36" s="233" t="n"/>
      <c r="L36" s="233">
        <f>IF(K36&lt;&gt;"",16800+K36,16800)</f>
        <v/>
      </c>
      <c r="M36" s="156" t="n"/>
      <c r="N36" s="156" t="n"/>
      <c r="O36" s="156" t="n"/>
      <c r="Q36" s="221" t="inlineStr">
        <is>
          <t>34</t>
        </is>
      </c>
      <c r="R36" s="222" t="inlineStr">
        <is>
          <t>ORREGO Y MENDIETA</t>
        </is>
      </c>
      <c r="S36" s="223" t="n">
        <v>79000</v>
      </c>
      <c r="T36" s="224" t="n">
        <v>19000</v>
      </c>
      <c r="U36" s="225" t="n">
        <v>1</v>
      </c>
      <c r="V36" s="226" t="inlineStr">
        <is>
          <t>27/02/2026</t>
        </is>
      </c>
    </row>
    <row r="37" ht="15.75" customHeight="1" s="153">
      <c r="A37" s="227" t="n"/>
      <c r="B37" s="228" t="inlineStr">
        <is>
          <t>LAVADERO</t>
        </is>
      </c>
      <c r="C37" s="229" t="n"/>
      <c r="D37" s="229" t="n">
        <v>1</v>
      </c>
      <c r="E37" s="229" t="n"/>
      <c r="F37" s="230" t="n"/>
      <c r="G37" s="230" t="n"/>
      <c r="H37" s="231" t="n">
        <v>22000</v>
      </c>
      <c r="I37" s="232" t="n"/>
      <c r="J37" s="232" t="n">
        <v>22000</v>
      </c>
      <c r="K37" s="233" t="n"/>
      <c r="L37" s="233">
        <f>IF(K37&lt;&gt;"",6250+K37,6250)</f>
        <v/>
      </c>
      <c r="M37" s="156" t="n"/>
      <c r="N37" s="156" t="n"/>
      <c r="O37" s="156" t="n"/>
      <c r="Q37" s="214" t="inlineStr">
        <is>
          <t>35</t>
        </is>
      </c>
      <c r="R37" s="215" t="inlineStr">
        <is>
          <t>RIO NEGRO 6570</t>
        </is>
      </c>
      <c r="S37" s="216" t="n">
        <v>79000</v>
      </c>
      <c r="T37" s="236" t="n">
        <v>19000</v>
      </c>
      <c r="U37" s="218" t="n">
        <v>1</v>
      </c>
      <c r="V37" s="219" t="inlineStr">
        <is>
          <t>28/02/2026</t>
        </is>
      </c>
    </row>
    <row r="38" ht="15.75" customHeight="1" s="153">
      <c r="A38" s="237" t="n"/>
      <c r="B38" s="238" t="inlineStr">
        <is>
          <t>ALBERTI 5122</t>
        </is>
      </c>
      <c r="C38" s="239" t="n"/>
      <c r="D38" s="239" t="n"/>
      <c r="E38" s="239" t="n">
        <v>1</v>
      </c>
      <c r="F38" s="240" t="n"/>
      <c r="G38" s="240" t="n"/>
      <c r="H38" s="241" t="n">
        <v>75000</v>
      </c>
      <c r="I38" s="242" t="n"/>
      <c r="J38" s="242" t="n">
        <v>75000</v>
      </c>
      <c r="K38" s="233" t="n"/>
      <c r="L38" s="233">
        <f>IF(K38&lt;&gt;"",28000+K38,28000)</f>
        <v/>
      </c>
      <c r="M38" s="156" t="n"/>
      <c r="N38" s="156" t="n"/>
      <c r="O38" s="156" t="n"/>
      <c r="Q38" s="221" t="inlineStr">
        <is>
          <t>36</t>
        </is>
      </c>
      <c r="R38" s="222" t="inlineStr">
        <is>
          <t>IL GATO PEPE</t>
        </is>
      </c>
      <c r="S38" s="223" t="n">
        <v>78000</v>
      </c>
      <c r="T38" s="224" t="n">
        <v>18000</v>
      </c>
      <c r="U38" s="225" t="n">
        <v>1</v>
      </c>
      <c r="V38" s="226" t="inlineStr">
        <is>
          <t>17/02/2026</t>
        </is>
      </c>
    </row>
    <row r="39" ht="15.75" customHeight="1" s="153">
      <c r="A39" s="227" t="n"/>
      <c r="B39" s="228" t="inlineStr">
        <is>
          <t>NACHO</t>
        </is>
      </c>
      <c r="C39" s="229" t="n"/>
      <c r="D39" s="229" t="n">
        <v>1</v>
      </c>
      <c r="E39" s="229" t="n"/>
      <c r="F39" s="230" t="n"/>
      <c r="G39" s="230" t="n"/>
      <c r="H39" s="231" t="n">
        <v>27000</v>
      </c>
      <c r="I39" s="232" t="n"/>
      <c r="J39" s="232" t="n">
        <v>27000</v>
      </c>
      <c r="K39" s="233" t="n"/>
      <c r="L39" s="233">
        <f>IF(K39&lt;&gt;"",11250+K39,11250)</f>
        <v/>
      </c>
      <c r="M39" s="156" t="n"/>
      <c r="N39" s="156" t="n"/>
      <c r="O39" s="156" t="n"/>
      <c r="Q39" s="214" t="inlineStr">
        <is>
          <t>37</t>
        </is>
      </c>
      <c r="R39" s="215" t="inlineStr">
        <is>
          <t>RIO NEGRO 6558</t>
        </is>
      </c>
      <c r="S39" s="216" t="n">
        <v>77000</v>
      </c>
      <c r="T39" s="236" t="n">
        <v>17000</v>
      </c>
      <c r="U39" s="218" t="n">
        <v>1</v>
      </c>
      <c r="V39" s="219" t="inlineStr">
        <is>
          <t>13/02/2026</t>
        </is>
      </c>
    </row>
    <row r="40" ht="15.75" customHeight="1" s="153">
      <c r="A40" s="237" t="n"/>
      <c r="B40" s="238" t="inlineStr">
        <is>
          <t>ALBERTI 5303</t>
        </is>
      </c>
      <c r="C40" s="239" t="n">
        <v>1</v>
      </c>
      <c r="D40" s="239" t="n"/>
      <c r="E40" s="239" t="n"/>
      <c r="F40" s="240" t="n"/>
      <c r="G40" s="240" t="n"/>
      <c r="H40" s="241" t="n">
        <v>21000</v>
      </c>
      <c r="I40" s="242" t="n">
        <v>21000</v>
      </c>
      <c r="J40" s="242" t="n"/>
      <c r="K40" s="233" t="n"/>
      <c r="L40" s="233">
        <f>IF(K40&lt;&gt;"",10500+K40,10500)</f>
        <v/>
      </c>
      <c r="M40" s="156" t="n"/>
      <c r="N40" s="156" t="n"/>
      <c r="O40" s="156" t="n"/>
      <c r="Q40" s="221" t="inlineStr">
        <is>
          <t>38</t>
        </is>
      </c>
      <c r="R40" s="222" t="inlineStr">
        <is>
          <t>ALSINA 9251</t>
        </is>
      </c>
      <c r="S40" s="223" t="n">
        <v>77000</v>
      </c>
      <c r="T40" s="224" t="n">
        <v>17000</v>
      </c>
      <c r="U40" s="225" t="n">
        <v>1</v>
      </c>
      <c r="V40" s="226" t="inlineStr">
        <is>
          <t>23/03/2026</t>
        </is>
      </c>
    </row>
    <row r="41" ht="15.75" customHeight="1" s="153">
      <c r="A41" s="227" t="n"/>
      <c r="B41" s="228" t="inlineStr">
        <is>
          <t>GENERAL PAZ 7826</t>
        </is>
      </c>
      <c r="C41" s="229" t="n">
        <v>1</v>
      </c>
      <c r="D41" s="229" t="n"/>
      <c r="E41" s="229" t="n"/>
      <c r="F41" s="230" t="n"/>
      <c r="G41" s="230" t="n"/>
      <c r="H41" s="231" t="n">
        <v>22000</v>
      </c>
      <c r="I41" s="232" t="n">
        <v>22000</v>
      </c>
      <c r="J41" s="232" t="n"/>
      <c r="K41" s="233" t="n"/>
      <c r="L41" s="233">
        <f>IF(K41&lt;&gt;"",11500+K41,11500)</f>
        <v/>
      </c>
      <c r="M41" s="156" t="n"/>
      <c r="N41" s="156" t="n"/>
      <c r="O41" s="156" t="n"/>
      <c r="Q41" s="214" t="inlineStr">
        <is>
          <t>39</t>
        </is>
      </c>
      <c r="R41" s="215" t="inlineStr">
        <is>
          <t>BAIGORRIA 9350</t>
        </is>
      </c>
      <c r="S41" s="216" t="n">
        <v>77000</v>
      </c>
      <c r="T41" s="236" t="n">
        <v>17000</v>
      </c>
      <c r="U41" s="218" t="n">
        <v>1</v>
      </c>
      <c r="V41" s="219" t="inlineStr">
        <is>
          <t>24/02/2026</t>
        </is>
      </c>
    </row>
    <row r="42" ht="15.75" customHeight="1" s="153">
      <c r="A42" s="237" t="n"/>
      <c r="B42" s="238" t="inlineStr">
        <is>
          <t xml:space="preserve">PANA GENESIO </t>
        </is>
      </c>
      <c r="C42" s="239" t="n"/>
      <c r="D42" s="239" t="n"/>
      <c r="E42" s="239" t="n">
        <v>1</v>
      </c>
      <c r="F42" s="240" t="n"/>
      <c r="G42" s="240" t="n"/>
      <c r="H42" s="241" t="n">
        <v>69000</v>
      </c>
      <c r="I42" s="242" t="n">
        <v>69000</v>
      </c>
      <c r="J42" s="242" t="n"/>
      <c r="K42" s="233" t="n"/>
      <c r="L42" s="233">
        <f>IF(K42&lt;&gt;"",22000+K42,22000)</f>
        <v/>
      </c>
      <c r="M42" s="156" t="n"/>
      <c r="N42" s="156" t="n"/>
      <c r="O42" s="156" t="n"/>
      <c r="Q42" s="221" t="inlineStr">
        <is>
          <t>40</t>
        </is>
      </c>
      <c r="R42" s="222" t="inlineStr">
        <is>
          <t>MARCIAL CANDIOTI 8968</t>
        </is>
      </c>
      <c r="S42" s="223" t="n">
        <v>77000</v>
      </c>
      <c r="T42" s="224" t="n">
        <v>17000</v>
      </c>
      <c r="U42" s="225" t="n">
        <v>1</v>
      </c>
      <c r="V42" s="226" t="inlineStr">
        <is>
          <t>06/02/2026</t>
        </is>
      </c>
    </row>
    <row r="43" ht="15.75" customHeight="1" s="153">
      <c r="A43" s="227" t="n"/>
      <c r="B43" s="228" t="inlineStr">
        <is>
          <t xml:space="preserve">PANA ALBERTI </t>
        </is>
      </c>
      <c r="C43" s="229" t="n"/>
      <c r="D43" s="229" t="n"/>
      <c r="E43" s="229" t="n">
        <v>1</v>
      </c>
      <c r="F43" s="230" t="n"/>
      <c r="G43" s="230" t="n"/>
      <c r="H43" s="231" t="n">
        <v>71000</v>
      </c>
      <c r="I43" s="232" t="n">
        <v>71000</v>
      </c>
      <c r="J43" s="232" t="n"/>
      <c r="K43" s="233" t="n"/>
      <c r="L43" s="233">
        <f>IF(K43&lt;&gt;"",24000+K43,24000)</f>
        <v/>
      </c>
      <c r="M43" s="156" t="n"/>
      <c r="N43" s="156" t="n"/>
      <c r="O43" s="156" t="n"/>
      <c r="Q43" s="214" t="inlineStr">
        <is>
          <t>41</t>
        </is>
      </c>
      <c r="R43" s="215" t="inlineStr">
        <is>
          <t>HOTEL ROYAL</t>
        </is>
      </c>
      <c r="S43" s="216" t="n">
        <v>77000</v>
      </c>
      <c r="T43" s="236" t="n">
        <v>17000</v>
      </c>
      <c r="U43" s="218" t="n">
        <v>1</v>
      </c>
      <c r="V43" s="219" t="inlineStr">
        <is>
          <t>13/02/2026</t>
        </is>
      </c>
    </row>
    <row r="44" ht="15.75" customHeight="1" s="153">
      <c r="A44" s="237" t="n">
        <v>46058</v>
      </c>
      <c r="B44" s="238" t="inlineStr">
        <is>
          <t>DAMIANOVICH 6212</t>
        </is>
      </c>
      <c r="C44" s="239" t="n"/>
      <c r="D44" s="239" t="n"/>
      <c r="E44" s="239" t="n">
        <v>1</v>
      </c>
      <c r="F44" s="240" t="n"/>
      <c r="G44" s="240" t="n"/>
      <c r="H44" s="241" t="n">
        <v>75000</v>
      </c>
      <c r="I44" s="242" t="n"/>
      <c r="J44" s="242" t="n">
        <v>75000</v>
      </c>
      <c r="K44" s="233" t="n"/>
      <c r="L44" s="233">
        <f>IF(K44&lt;&gt;"",28000+K44,28000)</f>
        <v/>
      </c>
      <c r="M44" s="156" t="n"/>
      <c r="N44" s="156" t="n"/>
      <c r="O44" s="156" t="n"/>
      <c r="Q44" s="221" t="inlineStr">
        <is>
          <t>42</t>
        </is>
      </c>
      <c r="R44" s="222" t="inlineStr">
        <is>
          <t>LALO</t>
        </is>
      </c>
      <c r="S44" s="223" t="n">
        <v>76000</v>
      </c>
      <c r="T44" s="224" t="n">
        <v>16000</v>
      </c>
      <c r="U44" s="225" t="n">
        <v>1</v>
      </c>
      <c r="V44" s="226" t="inlineStr">
        <is>
          <t>27/02/2026</t>
        </is>
      </c>
    </row>
    <row r="45" ht="15.75" customHeight="1" s="153">
      <c r="A45" s="227" t="n"/>
      <c r="B45" s="228" t="inlineStr">
        <is>
          <t>OTNIEL</t>
        </is>
      </c>
      <c r="C45" s="229" t="n"/>
      <c r="D45" s="229" t="n"/>
      <c r="E45" s="229" t="n">
        <v>1</v>
      </c>
      <c r="F45" s="230" t="n"/>
      <c r="G45" s="230" t="n"/>
      <c r="H45" s="231" t="n">
        <v>71000</v>
      </c>
      <c r="I45" s="232" t="n"/>
      <c r="J45" s="232" t="n">
        <v>71000</v>
      </c>
      <c r="K45" s="233" t="n"/>
      <c r="L45" s="233">
        <f>IF(K45&lt;&gt;"",24000+K45,24000)</f>
        <v/>
      </c>
      <c r="M45" s="156" t="n"/>
      <c r="N45" s="156" t="n"/>
      <c r="O45" s="156" t="n"/>
      <c r="Q45" s="214" t="inlineStr">
        <is>
          <t>43</t>
        </is>
      </c>
      <c r="R45" s="215" t="inlineStr">
        <is>
          <t>ACASIAS 9788</t>
        </is>
      </c>
      <c r="S45" s="216" t="n">
        <v>76000</v>
      </c>
      <c r="T45" s="236" t="n">
        <v>16000</v>
      </c>
      <c r="U45" s="218" t="n">
        <v>1</v>
      </c>
      <c r="V45" s="219" t="inlineStr">
        <is>
          <t>17/02/2026</t>
        </is>
      </c>
    </row>
    <row r="46" ht="15.75" customHeight="1" s="153">
      <c r="A46" s="237" t="n"/>
      <c r="B46" s="238" t="inlineStr">
        <is>
          <t>ROTI AGUADO</t>
        </is>
      </c>
      <c r="C46" s="239" t="n"/>
      <c r="D46" s="239" t="n">
        <v>2</v>
      </c>
      <c r="E46" s="239" t="n"/>
      <c r="F46" s="240" t="n"/>
      <c r="G46" s="240" t="n"/>
      <c r="H46" s="241" t="n">
        <v>49000</v>
      </c>
      <c r="I46" s="242" t="n"/>
      <c r="J46" s="242" t="n">
        <v>49000</v>
      </c>
      <c r="K46" s="233" t="n"/>
      <c r="L46" s="233">
        <f>IF(K46&lt;&gt;"",17500+K46,17500)</f>
        <v/>
      </c>
      <c r="M46" s="156" t="n"/>
      <c r="N46" s="156" t="n"/>
      <c r="O46" s="156" t="n"/>
      <c r="Q46" s="221" t="inlineStr">
        <is>
          <t>44</t>
        </is>
      </c>
      <c r="R46" s="222" t="inlineStr">
        <is>
          <t>BERUTI 6400 CASA 88</t>
        </is>
      </c>
      <c r="S46" s="223" t="n">
        <v>76000</v>
      </c>
      <c r="T46" s="224" t="n">
        <v>16000</v>
      </c>
      <c r="U46" s="225" t="n">
        <v>1</v>
      </c>
      <c r="V46" s="226" t="inlineStr">
        <is>
          <t>17/02/2026</t>
        </is>
      </c>
    </row>
    <row r="47" ht="15.75" customHeight="1" s="153">
      <c r="A47" s="227" t="n"/>
      <c r="B47" s="228" t="inlineStr">
        <is>
          <t>PEDRO CEBALLOS 8134</t>
        </is>
      </c>
      <c r="C47" s="229" t="n">
        <v>2</v>
      </c>
      <c r="D47" s="229" t="n"/>
      <c r="E47" s="229" t="n"/>
      <c r="F47" s="230" t="n"/>
      <c r="G47" s="230" t="n"/>
      <c r="H47" s="231" t="n">
        <v>29000</v>
      </c>
      <c r="I47" s="232" t="n">
        <v>29000</v>
      </c>
      <c r="J47" s="232" t="n"/>
      <c r="K47" s="233" t="n"/>
      <c r="L47" s="233">
        <f>IF(K47&lt;&gt;"",8000+K47,8000)</f>
        <v/>
      </c>
      <c r="M47" s="156" t="n"/>
      <c r="N47" s="156" t="n"/>
      <c r="O47" s="156" t="n"/>
      <c r="Q47" s="214" t="inlineStr">
        <is>
          <t>45</t>
        </is>
      </c>
      <c r="R47" s="215" t="inlineStr">
        <is>
          <t>RUPERTO GODOY 4484</t>
        </is>
      </c>
      <c r="S47" s="216" t="n">
        <v>76000</v>
      </c>
      <c r="T47" s="236" t="n">
        <v>16000</v>
      </c>
      <c r="U47" s="218" t="n">
        <v>1</v>
      </c>
      <c r="V47" s="219" t="inlineStr">
        <is>
          <t>21/02/2026</t>
        </is>
      </c>
    </row>
    <row r="48" ht="15.75" customHeight="1" s="153">
      <c r="A48" s="237" t="n"/>
      <c r="B48" s="238" t="inlineStr">
        <is>
          <t xml:space="preserve">ROTI VIEYTES </t>
        </is>
      </c>
      <c r="C48" s="239" t="n"/>
      <c r="D48" s="239" t="n">
        <v>2</v>
      </c>
      <c r="E48" s="239" t="n"/>
      <c r="F48" s="240" t="n"/>
      <c r="G48" s="240" t="n"/>
      <c r="H48" s="241" t="n">
        <v>44000</v>
      </c>
      <c r="I48" s="242" t="n"/>
      <c r="J48" s="242" t="n">
        <v>44000</v>
      </c>
      <c r="K48" s="233" t="n"/>
      <c r="L48" s="233">
        <f>IF(K48&lt;&gt;"",12500+K48,12500)</f>
        <v/>
      </c>
      <c r="M48" s="156" t="n"/>
      <c r="N48" s="156" t="n"/>
      <c r="O48" s="156" t="n"/>
      <c r="Q48" s="221" t="inlineStr">
        <is>
          <t>46</t>
        </is>
      </c>
      <c r="R48" s="222" t="inlineStr">
        <is>
          <t>NOGALES2651</t>
        </is>
      </c>
      <c r="S48" s="223" t="n">
        <v>76000</v>
      </c>
      <c r="T48" s="224" t="n">
        <v>16000</v>
      </c>
      <c r="U48" s="225" t="n">
        <v>1</v>
      </c>
      <c r="V48" s="226" t="inlineStr">
        <is>
          <t>21/02/2026</t>
        </is>
      </c>
    </row>
    <row r="49" ht="15.75" customHeight="1" s="153">
      <c r="A49" s="227" t="n"/>
      <c r="B49" s="228" t="inlineStr">
        <is>
          <t>PANA VIEYTES GISELA</t>
        </is>
      </c>
      <c r="C49" s="229" t="n">
        <v>1</v>
      </c>
      <c r="D49" s="229" t="n"/>
      <c r="E49" s="229" t="n"/>
      <c r="F49" s="230" t="n">
        <v>1</v>
      </c>
      <c r="G49" s="230" t="n"/>
      <c r="H49" s="231" t="n">
        <v>21200</v>
      </c>
      <c r="I49" s="232" t="n"/>
      <c r="J49" s="232" t="n">
        <v>21200</v>
      </c>
      <c r="K49" s="233" t="n"/>
      <c r="L49" s="233">
        <f>IF(K49&lt;&gt;"",8375+K49,8375)</f>
        <v/>
      </c>
      <c r="M49" s="156" t="n"/>
      <c r="N49" s="156" t="n"/>
      <c r="O49" s="156" t="n"/>
      <c r="Q49" s="214" t="inlineStr">
        <is>
          <t>47</t>
        </is>
      </c>
      <c r="R49" s="215" t="inlineStr">
        <is>
          <t>RIVADAVIA 8280</t>
        </is>
      </c>
      <c r="S49" s="216" t="n">
        <v>76000</v>
      </c>
      <c r="T49" s="236" t="n">
        <v>16000</v>
      </c>
      <c r="U49" s="218" t="n">
        <v>1</v>
      </c>
      <c r="V49" s="219" t="inlineStr">
        <is>
          <t>21/02/2026</t>
        </is>
      </c>
    </row>
    <row r="50" ht="15.75" customHeight="1" s="153">
      <c r="A50" s="237" t="n"/>
      <c r="B50" s="238" t="inlineStr">
        <is>
          <t>FILOMENA</t>
        </is>
      </c>
      <c r="C50" s="239" t="n">
        <v>2</v>
      </c>
      <c r="D50" s="239" t="n"/>
      <c r="E50" s="239" t="n"/>
      <c r="F50" s="240" t="n"/>
      <c r="G50" s="240" t="n"/>
      <c r="H50" s="241" t="n">
        <v>36000</v>
      </c>
      <c r="I50" s="242" t="n"/>
      <c r="J50" s="242" t="n">
        <v>36000</v>
      </c>
      <c r="K50" s="233" t="n"/>
      <c r="L50" s="233">
        <f>IF(K50&lt;&gt;"",15000+K50,15000)</f>
        <v/>
      </c>
      <c r="M50" s="156" t="n"/>
      <c r="N50" s="156" t="n"/>
      <c r="O50" s="156" t="n"/>
      <c r="Q50" s="221" t="inlineStr">
        <is>
          <t>48</t>
        </is>
      </c>
      <c r="R50" s="222" t="inlineStr">
        <is>
          <t>EUROPA 9396</t>
        </is>
      </c>
      <c r="S50" s="223" t="n">
        <v>76000</v>
      </c>
      <c r="T50" s="224" t="n">
        <v>16000</v>
      </c>
      <c r="U50" s="225" t="n">
        <v>1</v>
      </c>
      <c r="V50" s="226" t="inlineStr">
        <is>
          <t>23/02/2026</t>
        </is>
      </c>
    </row>
    <row r="51" ht="15.75" customHeight="1" s="153">
      <c r="A51" s="227" t="n"/>
      <c r="B51" s="228" t="inlineStr">
        <is>
          <t>SABOREAR</t>
        </is>
      </c>
      <c r="C51" s="229" t="n"/>
      <c r="D51" s="229" t="n">
        <v>1</v>
      </c>
      <c r="E51" s="229" t="n"/>
      <c r="F51" s="230" t="n"/>
      <c r="G51" s="230" t="n"/>
      <c r="H51" s="231" t="n">
        <v>28000</v>
      </c>
      <c r="I51" s="232" t="n"/>
      <c r="J51" s="232" t="n">
        <v>28000</v>
      </c>
      <c r="K51" s="233" t="n"/>
      <c r="L51" s="233">
        <f>IF(K51&lt;&gt;"",12250+K51,12250)</f>
        <v/>
      </c>
      <c r="M51" s="156" t="n"/>
      <c r="N51" s="156" t="n"/>
      <c r="O51" s="156" t="n"/>
      <c r="Q51" s="214" t="inlineStr">
        <is>
          <t>49</t>
        </is>
      </c>
      <c r="R51" s="215" t="inlineStr">
        <is>
          <t>AYACUCHO 4057</t>
        </is>
      </c>
      <c r="S51" s="216" t="n">
        <v>76000</v>
      </c>
      <c r="T51" s="236" t="n">
        <v>16000</v>
      </c>
      <c r="U51" s="218" t="n">
        <v>1</v>
      </c>
      <c r="V51" s="219" t="inlineStr">
        <is>
          <t>25/02/2026</t>
        </is>
      </c>
    </row>
    <row r="52" ht="15.75" customHeight="1" s="153">
      <c r="A52" s="237" t="n">
        <v>46059</v>
      </c>
      <c r="B52" s="238" t="inlineStr">
        <is>
          <t>MARCIAL CANDIOTI 8968</t>
        </is>
      </c>
      <c r="C52" s="239" t="n"/>
      <c r="D52" s="239" t="n"/>
      <c r="E52" s="239" t="n">
        <v>1</v>
      </c>
      <c r="F52" s="240" t="n"/>
      <c r="G52" s="240" t="n"/>
      <c r="H52" s="241" t="n">
        <v>77000</v>
      </c>
      <c r="I52" s="242" t="n"/>
      <c r="J52" s="242" t="n">
        <v>77000</v>
      </c>
      <c r="K52" s="233" t="n"/>
      <c r="L52" s="233">
        <f>IF(K52&lt;&gt;"",30000+K52,30000)</f>
        <v/>
      </c>
      <c r="M52" s="156" t="n"/>
      <c r="N52" s="156" t="n"/>
      <c r="O52" s="156" t="n"/>
      <c r="Q52" s="221" t="inlineStr">
        <is>
          <t>50</t>
        </is>
      </c>
      <c r="R52" s="222" t="inlineStr">
        <is>
          <t>MOLINA FLORES 1</t>
        </is>
      </c>
      <c r="S52" s="223" t="n">
        <v>75000</v>
      </c>
      <c r="T52" s="224" t="n">
        <v>15000</v>
      </c>
      <c r="U52" s="225" t="n">
        <v>1</v>
      </c>
      <c r="V52" s="226" t="inlineStr">
        <is>
          <t>22/03/2026</t>
        </is>
      </c>
    </row>
    <row r="53" ht="15.75" customHeight="1" s="153">
      <c r="A53" s="227" t="n"/>
      <c r="B53" s="228" t="inlineStr">
        <is>
          <t>DAMIANOVICH 3190</t>
        </is>
      </c>
      <c r="C53" s="229" t="n"/>
      <c r="D53" s="229" t="n">
        <v>1</v>
      </c>
      <c r="E53" s="229" t="n"/>
      <c r="F53" s="230" t="n"/>
      <c r="G53" s="230" t="n"/>
      <c r="H53" s="231" t="n">
        <v>31500</v>
      </c>
      <c r="I53" s="232" t="n">
        <v>31500</v>
      </c>
      <c r="J53" s="232" t="n"/>
      <c r="K53" s="233" t="n"/>
      <c r="L53" s="233">
        <f>IF(K53&lt;&gt;"",15750+K53,15750)</f>
        <v/>
      </c>
      <c r="M53" s="156" t="n"/>
      <c r="N53" s="156" t="n"/>
      <c r="O53" s="156" t="n"/>
      <c r="Q53" s="214" t="inlineStr">
        <is>
          <t>51</t>
        </is>
      </c>
      <c r="R53" s="215" t="inlineStr">
        <is>
          <t>ESMERALDA 2376</t>
        </is>
      </c>
      <c r="S53" s="216" t="n">
        <v>75000</v>
      </c>
      <c r="T53" s="236" t="n">
        <v>15000</v>
      </c>
      <c r="U53" s="218" t="n">
        <v>1</v>
      </c>
      <c r="V53" s="219" t="inlineStr">
        <is>
          <t>03/02/2026</t>
        </is>
      </c>
    </row>
    <row r="54" ht="15.75" customHeight="1" s="153">
      <c r="A54" s="237" t="n"/>
      <c r="B54" s="238" t="inlineStr">
        <is>
          <t>LUCIANO LEIVA Y ABLERTI</t>
        </is>
      </c>
      <c r="C54" s="239" t="n">
        <v>1</v>
      </c>
      <c r="D54" s="239" t="n"/>
      <c r="E54" s="239" t="n"/>
      <c r="F54" s="240" t="n"/>
      <c r="G54" s="240" t="n"/>
      <c r="H54" s="241" t="n">
        <v>20000</v>
      </c>
      <c r="I54" s="242" t="n">
        <v>20000</v>
      </c>
      <c r="J54" s="242" t="n"/>
      <c r="K54" s="233" t="n"/>
      <c r="L54" s="233">
        <f>IF(K54&lt;&gt;"",9500+K54,9500)</f>
        <v/>
      </c>
      <c r="M54" s="156" t="n"/>
      <c r="N54" s="156" t="n"/>
      <c r="O54" s="156" t="n"/>
      <c r="Q54" s="221" t="inlineStr">
        <is>
          <t>52</t>
        </is>
      </c>
      <c r="R54" s="222" t="inlineStr">
        <is>
          <t>ALBERTI 5122</t>
        </is>
      </c>
      <c r="S54" s="223" t="n">
        <v>75000</v>
      </c>
      <c r="T54" s="224" t="n">
        <v>15000</v>
      </c>
      <c r="U54" s="225" t="n">
        <v>1</v>
      </c>
      <c r="V54" s="226" t="inlineStr">
        <is>
          <t>04/02/2026</t>
        </is>
      </c>
    </row>
    <row r="55" ht="15.75" customHeight="1" s="153">
      <c r="A55" s="227" t="n"/>
      <c r="B55" s="228" t="inlineStr">
        <is>
          <t>ESTANISLAO ZEBALLOS 4560</t>
        </is>
      </c>
      <c r="C55" s="229" t="n"/>
      <c r="D55" s="229" t="n">
        <v>1</v>
      </c>
      <c r="E55" s="229" t="n"/>
      <c r="F55" s="230" t="n"/>
      <c r="G55" s="230" t="n"/>
      <c r="H55" s="231" t="n">
        <v>33000</v>
      </c>
      <c r="I55" s="232" t="n">
        <v>33000</v>
      </c>
      <c r="J55" s="232" t="n"/>
      <c r="K55" s="233" t="n"/>
      <c r="L55" s="233">
        <f>IF(K55&lt;&gt;"",17250+K55,17250)</f>
        <v/>
      </c>
      <c r="M55" s="156" t="n"/>
      <c r="N55" s="156" t="n"/>
      <c r="O55" s="156" t="n"/>
      <c r="Q55" s="214" t="inlineStr">
        <is>
          <t>53</t>
        </is>
      </c>
      <c r="R55" s="215" t="inlineStr">
        <is>
          <t>DAMIANOVICH 6212</t>
        </is>
      </c>
      <c r="S55" s="216" t="n">
        <v>75000</v>
      </c>
      <c r="T55" s="236" t="n">
        <v>15000</v>
      </c>
      <c r="U55" s="218" t="n">
        <v>1</v>
      </c>
      <c r="V55" s="219" t="inlineStr">
        <is>
          <t>05/02/2026</t>
        </is>
      </c>
    </row>
    <row r="56" ht="15.75" customHeight="1" s="153">
      <c r="A56" s="237" t="n"/>
      <c r="B56" s="238" t="inlineStr">
        <is>
          <t>EUROPA 7251</t>
        </is>
      </c>
      <c r="C56" s="239" t="n">
        <v>1</v>
      </c>
      <c r="D56" s="239" t="n"/>
      <c r="E56" s="239" t="n"/>
      <c r="F56" s="240" t="n"/>
      <c r="G56" s="240" t="n"/>
      <c r="H56" s="241" t="n">
        <v>22000</v>
      </c>
      <c r="I56" s="242" t="n"/>
      <c r="J56" s="242" t="n">
        <v>22000</v>
      </c>
      <c r="K56" s="233" t="n"/>
      <c r="L56" s="233">
        <f>IF(K56&lt;&gt;"",11500+K56,11500)</f>
        <v/>
      </c>
      <c r="M56" s="156" t="n"/>
      <c r="N56" s="156" t="n"/>
      <c r="O56" s="156" t="n"/>
      <c r="Q56" s="221" t="inlineStr">
        <is>
          <t>54</t>
        </is>
      </c>
      <c r="R56" s="222" t="inlineStr">
        <is>
          <t>SIR LAKI F5</t>
        </is>
      </c>
      <c r="S56" s="223" t="n">
        <v>75000</v>
      </c>
      <c r="T56" s="224" t="n">
        <v>15000</v>
      </c>
      <c r="U56" s="225" t="n">
        <v>1</v>
      </c>
      <c r="V56" s="226" t="inlineStr">
        <is>
          <t>06/02/2026</t>
        </is>
      </c>
    </row>
    <row r="57" ht="15.75" customHeight="1" s="153">
      <c r="A57" s="227" t="n"/>
      <c r="B57" s="228" t="inlineStr">
        <is>
          <t>AZCUENAGA 5023</t>
        </is>
      </c>
      <c r="C57" s="229" t="n">
        <v>6</v>
      </c>
      <c r="D57" s="229" t="n"/>
      <c r="E57" s="229" t="n"/>
      <c r="F57" s="230" t="n"/>
      <c r="G57" s="230" t="n"/>
      <c r="H57" s="231" t="n">
        <v>87000</v>
      </c>
      <c r="I57" s="232" t="n"/>
      <c r="J57" s="232" t="n">
        <v>87000</v>
      </c>
      <c r="K57" s="233" t="n"/>
      <c r="L57" s="233">
        <f>IF(K57&lt;&gt;"",24000+K57,24000)</f>
        <v/>
      </c>
      <c r="M57" s="156" t="n"/>
      <c r="N57" s="156" t="n"/>
      <c r="O57" s="156" t="n"/>
      <c r="Q57" s="214" t="inlineStr">
        <is>
          <t>55</t>
        </is>
      </c>
      <c r="R57" s="215" t="inlineStr">
        <is>
          <t>ARISTOBULO 4471</t>
        </is>
      </c>
      <c r="S57" s="216" t="n">
        <v>75000</v>
      </c>
      <c r="T57" s="236" t="n">
        <v>15000</v>
      </c>
      <c r="U57" s="218" t="n">
        <v>1</v>
      </c>
      <c r="V57" s="219" t="inlineStr">
        <is>
          <t>18/02/2026</t>
        </is>
      </c>
    </row>
    <row r="58" ht="15.75" customHeight="1" s="153">
      <c r="A58" s="237" t="n"/>
      <c r="B58" s="238" t="inlineStr">
        <is>
          <t>SIR LAKI F5</t>
        </is>
      </c>
      <c r="C58" s="239" t="n"/>
      <c r="D58" s="239" t="n"/>
      <c r="E58" s="239" t="n">
        <v>1</v>
      </c>
      <c r="F58" s="240" t="n"/>
      <c r="G58" s="240" t="n"/>
      <c r="H58" s="241" t="n">
        <v>75000</v>
      </c>
      <c r="I58" s="242" t="n">
        <v>75000</v>
      </c>
      <c r="J58" s="242" t="n"/>
      <c r="K58" s="233" t="n"/>
      <c r="L58" s="233">
        <f>IF(K58&lt;&gt;"",28000+K58,28000)</f>
        <v/>
      </c>
      <c r="M58" s="156" t="n"/>
      <c r="N58" s="156" t="n"/>
      <c r="O58" s="156" t="n"/>
      <c r="Q58" s="221" t="inlineStr">
        <is>
          <t>56</t>
        </is>
      </c>
      <c r="R58" s="222" t="inlineStr">
        <is>
          <t>PUBLICO 2550</t>
        </is>
      </c>
      <c r="S58" s="223" t="n">
        <v>74000</v>
      </c>
      <c r="T58" s="224" t="n">
        <v>14000</v>
      </c>
      <c r="U58" s="225" t="n">
        <v>1</v>
      </c>
      <c r="V58" s="226" t="inlineStr">
        <is>
          <t>24/03/2026</t>
        </is>
      </c>
    </row>
    <row r="59" ht="15.75" customHeight="1" s="153">
      <c r="A59" s="227" t="n"/>
      <c r="B59" s="228" t="inlineStr">
        <is>
          <t>LUCHO</t>
        </is>
      </c>
      <c r="C59" s="229" t="n"/>
      <c r="D59" s="229" t="n"/>
      <c r="E59" s="229" t="n"/>
      <c r="F59" s="230" t="n"/>
      <c r="G59" s="230" t="n">
        <v>1</v>
      </c>
      <c r="H59" s="231" t="n">
        <v>5000</v>
      </c>
      <c r="I59" s="232" t="n"/>
      <c r="J59" s="232" t="n">
        <v>5000</v>
      </c>
      <c r="K59" s="233" t="n"/>
      <c r="L59" s="233">
        <f>IF(K59&lt;&gt;"",4200+K59,4200)</f>
        <v/>
      </c>
      <c r="M59" s="156" t="n"/>
      <c r="N59" s="156" t="n"/>
      <c r="O59" s="156" t="n"/>
      <c r="Q59" s="214" t="inlineStr">
        <is>
          <t>57</t>
        </is>
      </c>
      <c r="R59" s="215" t="inlineStr">
        <is>
          <t>CASTAÑADUY 6687</t>
        </is>
      </c>
      <c r="S59" s="216" t="n">
        <v>74000</v>
      </c>
      <c r="T59" s="236" t="n">
        <v>14000</v>
      </c>
      <c r="U59" s="218" t="n">
        <v>1</v>
      </c>
      <c r="V59" s="219" t="inlineStr">
        <is>
          <t>26/02/2026</t>
        </is>
      </c>
    </row>
    <row r="60" ht="15.75" customHeight="1" s="153">
      <c r="A60" s="237" t="n"/>
      <c r="B60" s="238" t="inlineStr">
        <is>
          <t>LAVAISE 1074</t>
        </is>
      </c>
      <c r="C60" s="239" t="n"/>
      <c r="D60" s="239" t="n"/>
      <c r="E60" s="239" t="n"/>
      <c r="F60" s="240" t="n"/>
      <c r="G60" s="240" t="n">
        <v>2</v>
      </c>
      <c r="H60" s="241" t="n">
        <v>11600</v>
      </c>
      <c r="I60" s="242" t="n"/>
      <c r="J60" s="242" t="n">
        <v>11600</v>
      </c>
      <c r="K60" s="233" t="n"/>
      <c r="L60" s="233">
        <f>IF(K60&lt;&gt;"",10000+K60,10000)</f>
        <v/>
      </c>
      <c r="M60" s="156" t="n"/>
      <c r="N60" s="156" t="n"/>
      <c r="O60" s="156" t="n"/>
      <c r="Q60" s="221" t="inlineStr">
        <is>
          <t>58</t>
        </is>
      </c>
      <c r="R60" s="222" t="inlineStr">
        <is>
          <t>LA SALLE 3151</t>
        </is>
      </c>
      <c r="S60" s="223" t="n">
        <v>73500</v>
      </c>
      <c r="T60" s="224" t="n">
        <v>13500</v>
      </c>
      <c r="U60" s="225" t="n">
        <v>1</v>
      </c>
      <c r="V60" s="226" t="inlineStr">
        <is>
          <t>03/02/2026</t>
        </is>
      </c>
    </row>
    <row r="61" ht="15.75" customHeight="1" s="153">
      <c r="A61" s="227" t="n"/>
      <c r="B61" s="228" t="inlineStr">
        <is>
          <t>FILOMENA</t>
        </is>
      </c>
      <c r="C61" s="229" t="n">
        <v>1</v>
      </c>
      <c r="D61" s="229" t="n"/>
      <c r="E61" s="229" t="n"/>
      <c r="F61" s="230" t="n"/>
      <c r="G61" s="230" t="n"/>
      <c r="H61" s="231" t="n">
        <v>18000</v>
      </c>
      <c r="I61" s="232" t="n"/>
      <c r="J61" s="232" t="n">
        <v>18000</v>
      </c>
      <c r="K61" s="233" t="n"/>
      <c r="L61" s="233">
        <f>IF(K61&lt;&gt;"",7500+K61,7500)</f>
        <v/>
      </c>
      <c r="M61" s="156" t="n"/>
      <c r="N61" s="156" t="n"/>
      <c r="O61" s="156" t="n"/>
      <c r="Q61" s="214" t="inlineStr">
        <is>
          <t>59</t>
        </is>
      </c>
      <c r="R61" s="215" t="inlineStr">
        <is>
          <t>LAVADERO</t>
        </is>
      </c>
      <c r="S61" s="216" t="n">
        <v>73000</v>
      </c>
      <c r="T61" s="217" t="n">
        <v>-2000</v>
      </c>
      <c r="U61" s="218" t="n">
        <v>3</v>
      </c>
      <c r="V61" s="219" t="inlineStr">
        <is>
          <t>19/03/2026</t>
        </is>
      </c>
    </row>
    <row r="62" ht="15.75" customHeight="1" s="153">
      <c r="A62" s="237" t="n"/>
      <c r="B62" s="238" t="inlineStr">
        <is>
          <t>BRASERIA</t>
        </is>
      </c>
      <c r="C62" s="239" t="n"/>
      <c r="D62" s="239" t="n"/>
      <c r="E62" s="239" t="n">
        <v>1</v>
      </c>
      <c r="F62" s="240" t="n"/>
      <c r="G62" s="240" t="n"/>
      <c r="H62" s="241" t="n">
        <v>72000</v>
      </c>
      <c r="I62" s="242" t="n"/>
      <c r="J62" s="242" t="n">
        <v>72000</v>
      </c>
      <c r="K62" s="233" t="n"/>
      <c r="L62" s="233">
        <f>IF(K62&lt;&gt;"",25000+K62,25000)</f>
        <v/>
      </c>
      <c r="M62" s="156" t="n"/>
      <c r="N62" s="156" t="n"/>
      <c r="O62" s="156" t="n"/>
      <c r="Q62" s="221" t="inlineStr">
        <is>
          <t>60</t>
        </is>
      </c>
      <c r="R62" s="222" t="inlineStr">
        <is>
          <t>CARCARAES 5820</t>
        </is>
      </c>
      <c r="S62" s="223" t="n">
        <v>73000</v>
      </c>
      <c r="T62" s="224" t="n">
        <v>13000</v>
      </c>
      <c r="U62" s="225" t="n">
        <v>1</v>
      </c>
      <c r="V62" s="226" t="inlineStr">
        <is>
          <t>27/02/2026</t>
        </is>
      </c>
    </row>
    <row r="63" ht="15.75" customHeight="1" s="153">
      <c r="A63" s="227" t="n"/>
      <c r="B63" s="228" t="inlineStr">
        <is>
          <t>CAREN</t>
        </is>
      </c>
      <c r="C63" s="229" t="n"/>
      <c r="D63" s="229" t="n"/>
      <c r="E63" s="229" t="n">
        <v>1</v>
      </c>
      <c r="F63" s="230" t="n"/>
      <c r="G63" s="230" t="n"/>
      <c r="H63" s="231" t="n">
        <v>69000</v>
      </c>
      <c r="I63" s="232" t="n"/>
      <c r="J63" s="232" t="n">
        <v>69000</v>
      </c>
      <c r="K63" s="233" t="n"/>
      <c r="L63" s="233">
        <f>IF(K63&lt;&gt;"",22000+K63,22000)</f>
        <v/>
      </c>
      <c r="M63" s="156" t="n"/>
      <c r="N63" s="156" t="n"/>
      <c r="O63" s="156" t="n"/>
      <c r="Q63" s="214" t="inlineStr">
        <is>
          <t>61</t>
        </is>
      </c>
      <c r="R63" s="215" t="inlineStr">
        <is>
          <t>CHICLANA 7325</t>
        </is>
      </c>
      <c r="S63" s="216" t="n">
        <v>72500</v>
      </c>
      <c r="T63" s="217" t="n">
        <v>-2500</v>
      </c>
      <c r="U63" s="218" t="n">
        <v>2</v>
      </c>
      <c r="V63" s="219" t="inlineStr">
        <is>
          <t>22/04/2026</t>
        </is>
      </c>
    </row>
    <row r="64" ht="15.75" customHeight="1" s="153">
      <c r="A64" s="237" t="n"/>
      <c r="B64" s="238" t="inlineStr">
        <is>
          <t>ARGENTA PIZZAS</t>
        </is>
      </c>
      <c r="C64" s="239" t="n">
        <v>1</v>
      </c>
      <c r="D64" s="239" t="n"/>
      <c r="E64" s="239" t="n"/>
      <c r="F64" s="240" t="n"/>
      <c r="G64" s="240" t="n"/>
      <c r="H64" s="241" t="n">
        <v>21000</v>
      </c>
      <c r="I64" s="242" t="n"/>
      <c r="J64" s="242" t="n">
        <v>21000</v>
      </c>
      <c r="K64" s="233" t="n"/>
      <c r="L64" s="233">
        <f>IF(K64&lt;&gt;"",10500+K64,10500)</f>
        <v/>
      </c>
      <c r="M64" s="156" t="n"/>
      <c r="N64" s="156" t="n"/>
      <c r="O64" s="156" t="n"/>
      <c r="Q64" s="221" t="inlineStr">
        <is>
          <t>62</t>
        </is>
      </c>
      <c r="R64" s="222" t="inlineStr">
        <is>
          <t>RUPERTO GODOY 1278</t>
        </is>
      </c>
      <c r="S64" s="223" t="n">
        <v>72500</v>
      </c>
      <c r="T64" s="224" t="n">
        <v>12500</v>
      </c>
      <c r="U64" s="225" t="n">
        <v>1</v>
      </c>
      <c r="V64" s="226" t="inlineStr">
        <is>
          <t>03/02/2026</t>
        </is>
      </c>
    </row>
    <row r="65" ht="15.75" customHeight="1" s="153">
      <c r="A65" s="227" t="n"/>
      <c r="B65" s="228" t="inlineStr">
        <is>
          <t>PADRE GENESIO 4501</t>
        </is>
      </c>
      <c r="C65" s="229" t="n">
        <v>1</v>
      </c>
      <c r="D65" s="229" t="n"/>
      <c r="E65" s="229" t="n"/>
      <c r="F65" s="230" t="n"/>
      <c r="G65" s="230" t="n"/>
      <c r="H65" s="231" t="n">
        <v>21000</v>
      </c>
      <c r="I65" s="232" t="n"/>
      <c r="J65" s="232" t="n">
        <v>21000</v>
      </c>
      <c r="K65" s="233" t="n"/>
      <c r="L65" s="233">
        <f>IF(K65&lt;&gt;"",10500+K65,10500)</f>
        <v/>
      </c>
      <c r="M65" s="156" t="n"/>
      <c r="N65" s="156" t="n"/>
      <c r="O65" s="156" t="n"/>
      <c r="Q65" s="214" t="inlineStr">
        <is>
          <t>63</t>
        </is>
      </c>
      <c r="R65" s="215" t="inlineStr">
        <is>
          <t>ALBERTI 5477</t>
        </is>
      </c>
      <c r="S65" s="216" t="n">
        <v>72000</v>
      </c>
      <c r="T65" s="236" t="n">
        <v>12000</v>
      </c>
      <c r="U65" s="218" t="n">
        <v>1</v>
      </c>
      <c r="V65" s="219" t="inlineStr">
        <is>
          <t>17/02/2026</t>
        </is>
      </c>
    </row>
    <row r="66" ht="15.75" customHeight="1" s="153">
      <c r="A66" s="237" t="n"/>
      <c r="B66" s="238" t="inlineStr">
        <is>
          <t>PORKIS</t>
        </is>
      </c>
      <c r="C66" s="239" t="n">
        <v>1</v>
      </c>
      <c r="D66" s="239" t="n"/>
      <c r="E66" s="239" t="n"/>
      <c r="F66" s="240" t="n"/>
      <c r="G66" s="240" t="n"/>
      <c r="H66" s="241" t="n">
        <v>18500</v>
      </c>
      <c r="I66" s="242" t="n"/>
      <c r="J66" s="242" t="n">
        <v>18500</v>
      </c>
      <c r="K66" s="233" t="n"/>
      <c r="L66" s="233">
        <f>IF(K66&lt;&gt;"",8000+K66,8000)</f>
        <v/>
      </c>
      <c r="M66" s="156" t="n"/>
      <c r="N66" s="156" t="n"/>
      <c r="O66" s="156" t="n"/>
      <c r="Q66" s="221" t="inlineStr">
        <is>
          <t>64</t>
        </is>
      </c>
      <c r="R66" s="222" t="inlineStr">
        <is>
          <t>MONTIEL 9165</t>
        </is>
      </c>
      <c r="S66" s="223" t="n">
        <v>72000</v>
      </c>
      <c r="T66" s="224" t="n">
        <v>12000</v>
      </c>
      <c r="U66" s="225" t="n">
        <v>1</v>
      </c>
      <c r="V66" s="226" t="inlineStr">
        <is>
          <t>18/02/2026</t>
        </is>
      </c>
    </row>
    <row r="67" ht="15.75" customHeight="1" s="153">
      <c r="A67" s="227" t="n">
        <v>46060</v>
      </c>
      <c r="B67" s="228" t="inlineStr">
        <is>
          <t>AZCUENAGA 5023</t>
        </is>
      </c>
      <c r="C67" s="229" t="n">
        <v>2</v>
      </c>
      <c r="D67" s="229" t="n"/>
      <c r="E67" s="229" t="n"/>
      <c r="F67" s="230" t="n"/>
      <c r="G67" s="230" t="n"/>
      <c r="H67" s="231" t="n">
        <v>29000</v>
      </c>
      <c r="I67" s="232" t="n"/>
      <c r="J67" s="232" t="n">
        <v>29000</v>
      </c>
      <c r="K67" s="233" t="n"/>
      <c r="L67" s="233">
        <f>IF(K67&lt;&gt;"",8000+K67,8000)</f>
        <v/>
      </c>
      <c r="M67" s="156" t="n"/>
      <c r="N67" s="156" t="n"/>
      <c r="O67" s="156" t="n"/>
      <c r="Q67" s="214" t="inlineStr">
        <is>
          <t>65</t>
        </is>
      </c>
      <c r="R67" s="215" t="inlineStr">
        <is>
          <t>PAVON 2612</t>
        </is>
      </c>
      <c r="S67" s="216" t="n">
        <v>68000</v>
      </c>
      <c r="T67" s="236" t="n">
        <v>8000</v>
      </c>
      <c r="U67" s="218" t="n">
        <v>1</v>
      </c>
      <c r="V67" s="219" t="inlineStr">
        <is>
          <t>21/02/2026</t>
        </is>
      </c>
    </row>
    <row r="68" ht="15.75" customHeight="1" s="153">
      <c r="A68" s="237" t="n"/>
      <c r="B68" s="238" t="inlineStr">
        <is>
          <t>SAVEDRA 2799</t>
        </is>
      </c>
      <c r="C68" s="239" t="n">
        <v>1</v>
      </c>
      <c r="D68" s="239" t="n"/>
      <c r="E68" s="239" t="n"/>
      <c r="F68" s="240" t="n"/>
      <c r="G68" s="240" t="n"/>
      <c r="H68" s="241" t="n">
        <v>23000</v>
      </c>
      <c r="I68" s="242" t="n">
        <v>23000</v>
      </c>
      <c r="J68" s="242" t="n"/>
      <c r="K68" s="233" t="n"/>
      <c r="L68" s="233">
        <f>IF(K68&lt;&gt;"",12500+K68,12500)</f>
        <v/>
      </c>
      <c r="M68" s="156" t="n"/>
      <c r="N68" s="156" t="n"/>
      <c r="O68" s="156" t="n"/>
      <c r="Q68" s="221" t="inlineStr">
        <is>
          <t>66</t>
        </is>
      </c>
      <c r="R68" s="222" t="inlineStr">
        <is>
          <t>FABIO PARISI</t>
        </is>
      </c>
      <c r="S68" s="223" t="n">
        <v>67200</v>
      </c>
      <c r="T68" s="224" t="n">
        <v>21200</v>
      </c>
      <c r="U68" s="225" t="n">
        <v>1</v>
      </c>
      <c r="V68" s="226" t="inlineStr">
        <is>
          <t>02/02/2026</t>
        </is>
      </c>
    </row>
    <row r="69" ht="15.75" customHeight="1" s="153">
      <c r="A69" s="227" t="n"/>
      <c r="B69" s="228" t="inlineStr">
        <is>
          <t>SABOREAR</t>
        </is>
      </c>
      <c r="C69" s="229" t="n">
        <v>2</v>
      </c>
      <c r="D69" s="229" t="n"/>
      <c r="E69" s="229" t="n"/>
      <c r="F69" s="230" t="n"/>
      <c r="G69" s="230" t="n"/>
      <c r="H69" s="231" t="n">
        <v>38000</v>
      </c>
      <c r="I69" s="232" t="n"/>
      <c r="J69" s="232" t="n">
        <v>38000</v>
      </c>
      <c r="K69" s="233" t="n"/>
      <c r="L69" s="233">
        <f>IF(K69&lt;&gt;"",17000+K69,17000)</f>
        <v/>
      </c>
      <c r="M69" s="156" t="n"/>
      <c r="N69" s="156" t="n"/>
      <c r="O69" s="156" t="n"/>
      <c r="Q69" s="214" t="inlineStr">
        <is>
          <t>67</t>
        </is>
      </c>
      <c r="R69" s="215" t="inlineStr">
        <is>
          <t>AYACUCHO 5370</t>
        </is>
      </c>
      <c r="S69" s="216" t="n">
        <v>63500</v>
      </c>
      <c r="T69" s="236" t="n">
        <v>35900</v>
      </c>
      <c r="U69" s="218" t="n">
        <v>4</v>
      </c>
      <c r="V69" s="219" t="inlineStr">
        <is>
          <t>16/04/2026</t>
        </is>
      </c>
    </row>
    <row r="70" ht="15.75" customHeight="1" s="153">
      <c r="A70" s="237" t="n"/>
      <c r="B70" s="238" t="inlineStr">
        <is>
          <t>9 DE JULIO 1144</t>
        </is>
      </c>
      <c r="C70" s="239" t="n"/>
      <c r="D70" s="239" t="n"/>
      <c r="E70" s="239" t="n">
        <v>2</v>
      </c>
      <c r="F70" s="240" t="n"/>
      <c r="G70" s="240" t="n"/>
      <c r="H70" s="241" t="n">
        <v>154000</v>
      </c>
      <c r="I70" s="242" t="n"/>
      <c r="J70" s="242" t="n">
        <v>154000</v>
      </c>
      <c r="K70" s="233" t="n"/>
      <c r="L70" s="233">
        <f>IF(K70&lt;&gt;"",60000+K70,60000)</f>
        <v/>
      </c>
      <c r="M70" s="156" t="n"/>
      <c r="N70" s="156" t="n"/>
      <c r="O70" s="156" t="n"/>
      <c r="Q70" s="221" t="inlineStr">
        <is>
          <t>68</t>
        </is>
      </c>
      <c r="R70" s="222" t="inlineStr">
        <is>
          <t>PEDRO CEBALLOS 8134</t>
        </is>
      </c>
      <c r="S70" s="223" t="n">
        <v>58000</v>
      </c>
      <c r="T70" s="245" t="n">
        <v>-2000</v>
      </c>
      <c r="U70" s="225" t="n">
        <v>2</v>
      </c>
      <c r="V70" s="226" t="inlineStr">
        <is>
          <t>10/04/2026</t>
        </is>
      </c>
    </row>
    <row r="71" ht="15.75" customHeight="1" s="153">
      <c r="A71" s="227" t="n"/>
      <c r="B71" s="228" t="inlineStr">
        <is>
          <t>CASTELLI 4320</t>
        </is>
      </c>
      <c r="C71" s="229" t="n">
        <v>1</v>
      </c>
      <c r="D71" s="229" t="n"/>
      <c r="E71" s="229" t="n"/>
      <c r="F71" s="230" t="n"/>
      <c r="G71" s="230" t="n"/>
      <c r="H71" s="231" t="n">
        <v>22000</v>
      </c>
      <c r="I71" s="232" t="n">
        <v>22000</v>
      </c>
      <c r="J71" s="232" t="n"/>
      <c r="K71" s="233" t="n"/>
      <c r="L71" s="233">
        <f>IF(K71&lt;&gt;"",11500+K71,11500)</f>
        <v/>
      </c>
      <c r="M71" s="156" t="n"/>
      <c r="N71" s="156" t="n"/>
      <c r="O71" s="156" t="n"/>
      <c r="Q71" s="214" t="inlineStr">
        <is>
          <t>69</t>
        </is>
      </c>
      <c r="R71" s="215" t="inlineStr">
        <is>
          <t>BEATRIZ</t>
        </is>
      </c>
      <c r="S71" s="216" t="n">
        <v>58000</v>
      </c>
      <c r="T71" s="236" t="n">
        <v>17100</v>
      </c>
      <c r="U71" s="218" t="n">
        <v>5</v>
      </c>
      <c r="V71" s="219" t="inlineStr">
        <is>
          <t>16/04/2026</t>
        </is>
      </c>
    </row>
    <row r="72" ht="15.75" customHeight="1" s="153">
      <c r="A72" s="237" t="n"/>
      <c r="B72" s="238" t="inlineStr">
        <is>
          <t>ROTI AGUADO</t>
        </is>
      </c>
      <c r="C72" s="239" t="n"/>
      <c r="D72" s="239" t="n">
        <v>1</v>
      </c>
      <c r="E72" s="239" t="n">
        <v>1</v>
      </c>
      <c r="F72" s="240" t="n"/>
      <c r="G72" s="240" t="n"/>
      <c r="H72" s="241" t="n">
        <v>96500</v>
      </c>
      <c r="I72" s="242" t="n"/>
      <c r="J72" s="242" t="n">
        <v>96500</v>
      </c>
      <c r="K72" s="233" t="n"/>
      <c r="L72" s="233">
        <f>IF(K72&lt;&gt;"",33750+K72,33750)</f>
        <v/>
      </c>
      <c r="M72" s="156" t="n"/>
      <c r="N72" s="156" t="n"/>
      <c r="O72" s="156" t="n"/>
      <c r="Q72" s="221" t="inlineStr">
        <is>
          <t>70</t>
        </is>
      </c>
      <c r="R72" s="222" t="inlineStr">
        <is>
          <t>PUBLICO 5727</t>
        </is>
      </c>
      <c r="S72" s="223" t="n">
        <v>55000</v>
      </c>
      <c r="T72" s="224" t="n">
        <v>17500</v>
      </c>
      <c r="U72" s="225" t="n">
        <v>1</v>
      </c>
      <c r="V72" s="226" t="inlineStr">
        <is>
          <t>20/04/2026</t>
        </is>
      </c>
    </row>
    <row r="73" ht="15.75" customHeight="1" s="153">
      <c r="A73" s="227" t="n"/>
      <c r="B73" s="228" t="inlineStr">
        <is>
          <t>FLORES 2 TORRE 8</t>
        </is>
      </c>
      <c r="C73" s="229" t="n">
        <v>1</v>
      </c>
      <c r="D73" s="229" t="n"/>
      <c r="E73" s="229" t="n"/>
      <c r="F73" s="230" t="n"/>
      <c r="G73" s="230" t="n"/>
      <c r="H73" s="231" t="n">
        <v>22000</v>
      </c>
      <c r="I73" s="232" t="n">
        <v>22000</v>
      </c>
      <c r="J73" s="232" t="n"/>
      <c r="K73" s="233" t="n"/>
      <c r="L73" s="233">
        <f>IF(K73&lt;&gt;"",11500+K73,11500)</f>
        <v/>
      </c>
      <c r="M73" s="156" t="n"/>
      <c r="N73" s="156" t="n"/>
      <c r="O73" s="156" t="n"/>
      <c r="Q73" s="214" t="inlineStr">
        <is>
          <t>71</t>
        </is>
      </c>
      <c r="R73" s="215" t="inlineStr">
        <is>
          <t>SERBANDO BAYO 6840</t>
        </is>
      </c>
      <c r="S73" s="216" t="n">
        <v>55000</v>
      </c>
      <c r="T73" s="236" t="n">
        <v>17500</v>
      </c>
      <c r="U73" s="218" t="n">
        <v>2</v>
      </c>
      <c r="V73" s="219" t="inlineStr">
        <is>
          <t>26/02/2026</t>
        </is>
      </c>
    </row>
    <row r="74" ht="15.75" customHeight="1" s="153">
      <c r="A74" s="237" t="n"/>
      <c r="B74" s="238" t="inlineStr">
        <is>
          <t>EXE</t>
        </is>
      </c>
      <c r="C74" s="239" t="n"/>
      <c r="D74" s="239" t="n"/>
      <c r="E74" s="239" t="n">
        <v>1</v>
      </c>
      <c r="F74" s="240" t="n"/>
      <c r="G74" s="240" t="n"/>
      <c r="H74" s="241" t="n">
        <v>69000</v>
      </c>
      <c r="I74" s="242" t="n"/>
      <c r="J74" s="242" t="n">
        <v>69000</v>
      </c>
      <c r="K74" s="233" t="n"/>
      <c r="L74" s="233">
        <f>IF(K74&lt;&gt;"",22000+K74,22000)</f>
        <v/>
      </c>
      <c r="M74" s="156" t="n"/>
      <c r="N74" s="156" t="n"/>
      <c r="O74" s="156" t="n"/>
      <c r="Q74" s="221" t="inlineStr">
        <is>
          <t>72</t>
        </is>
      </c>
      <c r="R74" s="222" t="inlineStr">
        <is>
          <t>DOMINGO SILVA 4217</t>
        </is>
      </c>
      <c r="S74" s="223" t="n">
        <v>51500</v>
      </c>
      <c r="T74" s="245" t="n">
        <v>-1000</v>
      </c>
      <c r="U74" s="225" t="n">
        <v>1</v>
      </c>
      <c r="V74" s="226" t="inlineStr">
        <is>
          <t>19/04/2026</t>
        </is>
      </c>
    </row>
    <row r="75" ht="15.75" customHeight="1" s="153">
      <c r="A75" s="227" t="n"/>
      <c r="B75" s="228" t="inlineStr">
        <is>
          <t>NACHO</t>
        </is>
      </c>
      <c r="C75" s="229" t="n">
        <v>1</v>
      </c>
      <c r="D75" s="229" t="n"/>
      <c r="E75" s="229" t="n"/>
      <c r="F75" s="230" t="n"/>
      <c r="G75" s="230" t="n"/>
      <c r="H75" s="231" t="n">
        <v>18000</v>
      </c>
      <c r="I75" s="232" t="n"/>
      <c r="J75" s="232" t="n">
        <v>18000</v>
      </c>
      <c r="K75" s="233" t="n"/>
      <c r="L75" s="233">
        <f>IF(K75&lt;&gt;"",7500+K75,7500)</f>
        <v/>
      </c>
      <c r="M75" s="156" t="n"/>
      <c r="N75" s="156" t="n"/>
      <c r="O75" s="156" t="n"/>
      <c r="Q75" s="214" t="inlineStr">
        <is>
          <t>73</t>
        </is>
      </c>
      <c r="R75" s="215" t="inlineStr">
        <is>
          <t>LAVAISE 3786</t>
        </is>
      </c>
      <c r="S75" s="216" t="n">
        <v>51500</v>
      </c>
      <c r="T75" s="236" t="n">
        <v>14000</v>
      </c>
      <c r="U75" s="218" t="n">
        <v>1</v>
      </c>
      <c r="V75" s="219" t="inlineStr">
        <is>
          <t>08/04/2026</t>
        </is>
      </c>
    </row>
    <row r="76" ht="15.75" customHeight="1" s="153">
      <c r="A76" s="237" t="n"/>
      <c r="B76" s="238" t="inlineStr">
        <is>
          <t>TACUARI</t>
        </is>
      </c>
      <c r="C76" s="239" t="n">
        <v>1</v>
      </c>
      <c r="D76" s="239" t="n"/>
      <c r="E76" s="239" t="n"/>
      <c r="F76" s="240" t="n"/>
      <c r="G76" s="240" t="n"/>
      <c r="H76" s="241" t="n">
        <v>20000</v>
      </c>
      <c r="I76" s="242" t="n"/>
      <c r="J76" s="242" t="n">
        <v>20000</v>
      </c>
      <c r="K76" s="233" t="n"/>
      <c r="L76" s="233">
        <f>IF(K76&lt;&gt;"",9500+K76,9500)</f>
        <v/>
      </c>
      <c r="M76" s="156" t="n"/>
      <c r="N76" s="156" t="n"/>
      <c r="O76" s="156" t="n"/>
      <c r="Q76" s="221" t="inlineStr">
        <is>
          <t>74</t>
        </is>
      </c>
      <c r="R76" s="222" t="inlineStr">
        <is>
          <t>DUSSOP 7678</t>
        </is>
      </c>
      <c r="S76" s="223" t="n">
        <v>51500</v>
      </c>
      <c r="T76" s="245" t="n">
        <v>-1000</v>
      </c>
      <c r="U76" s="225" t="n">
        <v>1</v>
      </c>
      <c r="V76" s="226" t="inlineStr">
        <is>
          <t>25/02/2026</t>
        </is>
      </c>
    </row>
    <row r="77" ht="15.75" customHeight="1" s="153">
      <c r="A77" s="227" t="n"/>
      <c r="B77" s="228" t="inlineStr">
        <is>
          <t>FILOMENA</t>
        </is>
      </c>
      <c r="C77" s="229" t="n">
        <v>1</v>
      </c>
      <c r="D77" s="229" t="n"/>
      <c r="E77" s="229" t="n"/>
      <c r="F77" s="230" t="n"/>
      <c r="G77" s="230" t="n"/>
      <c r="H77" s="231" t="n">
        <v>18000</v>
      </c>
      <c r="I77" s="232" t="n"/>
      <c r="J77" s="232" t="n">
        <v>18000</v>
      </c>
      <c r="K77" s="233" t="n"/>
      <c r="L77" s="233">
        <f>IF(K77&lt;&gt;"",7500+K77,7500)</f>
        <v/>
      </c>
      <c r="M77" s="156" t="n"/>
      <c r="N77" s="156" t="n"/>
      <c r="O77" s="156" t="n"/>
      <c r="Q77" s="214" t="inlineStr">
        <is>
          <t>75</t>
        </is>
      </c>
      <c r="R77" s="215" t="inlineStr">
        <is>
          <t>FABIAN BLAS PARERA</t>
        </is>
      </c>
      <c r="S77" s="216" t="n">
        <v>50000</v>
      </c>
      <c r="T77" s="236" t="n">
        <v>12500</v>
      </c>
      <c r="U77" s="218" t="n">
        <v>1</v>
      </c>
      <c r="V77" s="219" t="inlineStr">
        <is>
          <t>03/02/2026</t>
        </is>
      </c>
    </row>
    <row r="78" ht="15.75" customHeight="1" s="153">
      <c r="A78" s="237" t="n"/>
      <c r="B78" s="238" t="inlineStr">
        <is>
          <t>PANA GENESIO</t>
        </is>
      </c>
      <c r="C78" s="239" t="n"/>
      <c r="D78" s="239" t="n"/>
      <c r="E78" s="239" t="n">
        <v>1</v>
      </c>
      <c r="F78" s="240" t="n"/>
      <c r="G78" s="240" t="n"/>
      <c r="H78" s="241" t="n">
        <v>69000</v>
      </c>
      <c r="I78" s="242" t="n"/>
      <c r="J78" s="242" t="n">
        <v>69000</v>
      </c>
      <c r="K78" s="233" t="n"/>
      <c r="L78" s="233">
        <f>IF(K78&lt;&gt;"",22000+K78,22000)</f>
        <v/>
      </c>
      <c r="M78" s="156" t="n"/>
      <c r="N78" s="156" t="n"/>
      <c r="O78" s="156" t="n"/>
      <c r="Q78" s="221" t="inlineStr">
        <is>
          <t>76</t>
        </is>
      </c>
      <c r="R78" s="222" t="inlineStr">
        <is>
          <t>MARTIN ZAPATA 2101</t>
        </is>
      </c>
      <c r="S78" s="223" t="n">
        <v>45000</v>
      </c>
      <c r="T78" s="224" t="n">
        <v>0</v>
      </c>
      <c r="U78" s="225" t="n">
        <v>1</v>
      </c>
      <c r="V78" s="226" t="inlineStr">
        <is>
          <t>14/02/2026</t>
        </is>
      </c>
    </row>
    <row r="79" ht="15.75" customHeight="1" s="153">
      <c r="A79" s="227" t="n"/>
      <c r="B79" s="228" t="inlineStr">
        <is>
          <t>LUCHO</t>
        </is>
      </c>
      <c r="C79" s="229" t="n">
        <v>2</v>
      </c>
      <c r="D79" s="229" t="n"/>
      <c r="E79" s="229" t="n"/>
      <c r="F79" s="230" t="n"/>
      <c r="G79" s="230" t="n"/>
      <c r="H79" s="231" t="n">
        <v>29000</v>
      </c>
      <c r="I79" s="232" t="n">
        <v>29000</v>
      </c>
      <c r="J79" s="232" t="n"/>
      <c r="K79" s="233" t="n"/>
      <c r="L79" s="233">
        <f>IF(K79&lt;&gt;"",8000+K79,8000)</f>
        <v/>
      </c>
      <c r="M79" s="156" t="n"/>
      <c r="N79" s="156" t="n"/>
      <c r="O79" s="156" t="n"/>
      <c r="Q79" s="214" t="inlineStr">
        <is>
          <t>77</t>
        </is>
      </c>
      <c r="R79" s="215" t="inlineStr">
        <is>
          <t>ESTELA PALZA</t>
        </is>
      </c>
      <c r="S79" s="216" t="n">
        <v>45000</v>
      </c>
      <c r="T79" s="236" t="n">
        <v>0</v>
      </c>
      <c r="U79" s="218" t="n">
        <v>1</v>
      </c>
      <c r="V79" s="219" t="inlineStr">
        <is>
          <t>21/02/2026</t>
        </is>
      </c>
    </row>
    <row r="80" ht="15.75" customHeight="1" s="153">
      <c r="A80" s="237" t="n"/>
      <c r="B80" s="238" t="inlineStr">
        <is>
          <t>ROTI VIEYTES</t>
        </is>
      </c>
      <c r="C80" s="239" t="n"/>
      <c r="D80" s="239" t="n">
        <v>2</v>
      </c>
      <c r="E80" s="239" t="n"/>
      <c r="F80" s="240" t="n"/>
      <c r="G80" s="240" t="n"/>
      <c r="H80" s="241" t="n">
        <v>44000</v>
      </c>
      <c r="I80" s="242" t="n"/>
      <c r="J80" s="242" t="n">
        <v>44000</v>
      </c>
      <c r="K80" s="233" t="n"/>
      <c r="L80" s="233">
        <f>IF(K80&lt;&gt;"",12500+K80,12500)</f>
        <v/>
      </c>
      <c r="M80" s="156" t="n"/>
      <c r="N80" s="156" t="n"/>
      <c r="O80" s="156" t="n"/>
      <c r="Q80" s="221" t="inlineStr">
        <is>
          <t>78</t>
        </is>
      </c>
      <c r="R80" s="222" t="inlineStr">
        <is>
          <t>D SILVA 4217</t>
        </is>
      </c>
      <c r="S80" s="223" t="n">
        <v>43500</v>
      </c>
      <c r="T80" s="245" t="n">
        <v>-1500</v>
      </c>
      <c r="U80" s="225" t="n">
        <v>1</v>
      </c>
      <c r="V80" s="226" t="inlineStr">
        <is>
          <t>11/04/2026</t>
        </is>
      </c>
    </row>
    <row r="81" ht="15.75" customHeight="1" s="153">
      <c r="A81" s="227" t="n">
        <v>46061</v>
      </c>
      <c r="B81" s="228" t="inlineStr">
        <is>
          <t>GENEIRO 8264</t>
        </is>
      </c>
      <c r="C81" s="229" t="n"/>
      <c r="D81" s="229" t="n">
        <v>1</v>
      </c>
      <c r="E81" s="229" t="n"/>
      <c r="F81" s="230" t="n"/>
      <c r="G81" s="230" t="n"/>
      <c r="H81" s="231" t="n">
        <v>33000</v>
      </c>
      <c r="I81" s="232" t="n">
        <v>33000</v>
      </c>
      <c r="J81" s="232" t="n"/>
      <c r="K81" s="233" t="n"/>
      <c r="L81" s="233">
        <f>IF(K81&lt;&gt;"",17250+K81,17250)</f>
        <v/>
      </c>
      <c r="M81" s="156" t="n"/>
      <c r="N81" s="156" t="n"/>
      <c r="O81" s="156" t="n"/>
      <c r="Q81" s="214" t="inlineStr">
        <is>
          <t>79</t>
        </is>
      </c>
      <c r="R81" s="215" t="inlineStr">
        <is>
          <t>PALLARES 8200</t>
        </is>
      </c>
      <c r="S81" s="216" t="n">
        <v>42000</v>
      </c>
      <c r="T81" s="236" t="n">
        <v>12000</v>
      </c>
      <c r="U81" s="218" t="n">
        <v>1</v>
      </c>
      <c r="V81" s="219" t="inlineStr">
        <is>
          <t>02/02/2026</t>
        </is>
      </c>
    </row>
    <row r="82" ht="15.75" customHeight="1" s="153">
      <c r="A82" s="237" t="n"/>
      <c r="B82" s="238" t="inlineStr">
        <is>
          <t>SAN JOSE 8494</t>
        </is>
      </c>
      <c r="C82" s="239" t="n"/>
      <c r="D82" s="239" t="n"/>
      <c r="E82" s="239" t="n">
        <v>1</v>
      </c>
      <c r="F82" s="240" t="n"/>
      <c r="G82" s="240" t="n"/>
      <c r="H82" s="241" t="n">
        <v>79000</v>
      </c>
      <c r="I82" s="242" t="n"/>
      <c r="J82" s="242" t="n">
        <v>79000</v>
      </c>
      <c r="K82" s="233" t="n"/>
      <c r="L82" s="233">
        <f>IF(K82&lt;&gt;"",32000+K82,32000)</f>
        <v/>
      </c>
      <c r="M82" s="156" t="n"/>
      <c r="N82" s="156" t="n"/>
      <c r="O82" s="156" t="n"/>
      <c r="Q82" s="221" t="inlineStr">
        <is>
          <t>80</t>
        </is>
      </c>
      <c r="R82" s="222" t="inlineStr">
        <is>
          <t>EX COMBATIENTES 5220</t>
        </is>
      </c>
      <c r="S82" s="223" t="n">
        <v>42000</v>
      </c>
      <c r="T82" s="224" t="n">
        <v>12000</v>
      </c>
      <c r="U82" s="225" t="n">
        <v>1</v>
      </c>
      <c r="V82" s="226" t="inlineStr">
        <is>
          <t>03/02/2026</t>
        </is>
      </c>
    </row>
    <row r="83" ht="15.75" customHeight="1" s="153">
      <c r="A83" s="227" t="n"/>
      <c r="B83" s="228" t="inlineStr">
        <is>
          <t>GRINGO ILGATO</t>
        </is>
      </c>
      <c r="C83" s="229" t="n">
        <v>1</v>
      </c>
      <c r="D83" s="229" t="n"/>
      <c r="E83" s="229" t="n">
        <v>1</v>
      </c>
      <c r="F83" s="230" t="n"/>
      <c r="G83" s="230" t="n"/>
      <c r="H83" s="231" t="n">
        <v>99000</v>
      </c>
      <c r="I83" s="232" t="n">
        <v>99000</v>
      </c>
      <c r="J83" s="232" t="n"/>
      <c r="K83" s="233" t="n"/>
      <c r="L83" s="233">
        <f>IF(K83&lt;&gt;"",41500+K83,41500)</f>
        <v/>
      </c>
      <c r="M83" s="156" t="n"/>
      <c r="N83" s="156" t="n"/>
      <c r="O83" s="156" t="n"/>
      <c r="Q83" s="214" t="inlineStr">
        <is>
          <t>81</t>
        </is>
      </c>
      <c r="R83" s="215" t="inlineStr">
        <is>
          <t>ESTELA PARAGUAY</t>
        </is>
      </c>
      <c r="S83" s="216" t="n">
        <v>42000</v>
      </c>
      <c r="T83" s="217" t="n">
        <v>-3000</v>
      </c>
      <c r="U83" s="218" t="n">
        <v>1</v>
      </c>
      <c r="V83" s="219" t="inlineStr">
        <is>
          <t>15/02/2026</t>
        </is>
      </c>
    </row>
    <row r="84" ht="15.75" customHeight="1" s="153">
      <c r="A84" s="237" t="n"/>
      <c r="B84" s="238" t="inlineStr">
        <is>
          <t>OTNIEL</t>
        </is>
      </c>
      <c r="C84" s="239" t="n">
        <v>1</v>
      </c>
      <c r="D84" s="239" t="n"/>
      <c r="E84" s="239" t="n"/>
      <c r="F84" s="240" t="n"/>
      <c r="G84" s="240" t="n">
        <v>1</v>
      </c>
      <c r="H84" s="241" t="n">
        <v>24000</v>
      </c>
      <c r="I84" s="242" t="n"/>
      <c r="J84" s="242" t="n">
        <v>24000</v>
      </c>
      <c r="K84" s="233" t="n"/>
      <c r="L84" s="233">
        <f>IF(K84&lt;&gt;"",12700+K84,12700)</f>
        <v/>
      </c>
      <c r="M84" s="156" t="n"/>
      <c r="N84" s="156" t="n"/>
      <c r="O84" s="156" t="n"/>
      <c r="Q84" s="221" t="inlineStr">
        <is>
          <t>82</t>
        </is>
      </c>
      <c r="R84" s="222" t="inlineStr">
        <is>
          <t>FORMOSA 6058</t>
        </is>
      </c>
      <c r="S84" s="223" t="n">
        <v>41000</v>
      </c>
      <c r="T84" s="224" t="n">
        <v>23450</v>
      </c>
      <c r="U84" s="225" t="n">
        <v>1</v>
      </c>
      <c r="V84" s="226" t="inlineStr">
        <is>
          <t>10/04/2026</t>
        </is>
      </c>
    </row>
    <row r="85" ht="15.75" customHeight="1" s="153">
      <c r="A85" s="227" t="n"/>
      <c r="B85" s="228" t="inlineStr">
        <is>
          <t>LUCHO</t>
        </is>
      </c>
      <c r="C85" s="229" t="n"/>
      <c r="D85" s="229" t="n">
        <v>1</v>
      </c>
      <c r="E85" s="229" t="n"/>
      <c r="F85" s="230" t="n"/>
      <c r="G85" s="230" t="n"/>
      <c r="H85" s="231" t="n">
        <v>22500</v>
      </c>
      <c r="I85" s="232" t="n">
        <v>22500</v>
      </c>
      <c r="J85" s="232" t="n"/>
      <c r="K85" s="233" t="n"/>
      <c r="L85" s="233">
        <f>IF(K85&lt;&gt;"",6750+K85,6750)</f>
        <v/>
      </c>
      <c r="M85" s="156" t="n"/>
      <c r="N85" s="156" t="n"/>
      <c r="O85" s="156" t="n"/>
      <c r="Q85" s="214" t="inlineStr">
        <is>
          <t>83</t>
        </is>
      </c>
      <c r="R85" s="215" t="inlineStr">
        <is>
          <t>GISE PANA</t>
        </is>
      </c>
      <c r="S85" s="216" t="n">
        <v>39800</v>
      </c>
      <c r="T85" s="236" t="n">
        <v>7500</v>
      </c>
      <c r="U85" s="218" t="n">
        <v>2</v>
      </c>
      <c r="V85" s="219" t="inlineStr">
        <is>
          <t>26/02/2026</t>
        </is>
      </c>
    </row>
    <row r="86" ht="15.75" customHeight="1" s="153">
      <c r="A86" s="237" t="n"/>
      <c r="B86" s="238" t="inlineStr">
        <is>
          <t>ROQUE SAENZ PENA 7744</t>
        </is>
      </c>
      <c r="C86" s="239" t="n">
        <v>1</v>
      </c>
      <c r="D86" s="239" t="n"/>
      <c r="E86" s="239" t="n"/>
      <c r="F86" s="240" t="n"/>
      <c r="G86" s="240" t="n"/>
      <c r="H86" s="241" t="n">
        <v>22000</v>
      </c>
      <c r="I86" s="242" t="n"/>
      <c r="J86" s="242" t="n">
        <v>22000</v>
      </c>
      <c r="K86" s="233" t="n"/>
      <c r="L86" s="233">
        <f>IF(K86&lt;&gt;"",11500+K86,11500)</f>
        <v/>
      </c>
      <c r="M86" s="156" t="n"/>
      <c r="N86" s="156" t="n"/>
      <c r="O86" s="156" t="n"/>
      <c r="Q86" s="221" t="inlineStr">
        <is>
          <t>84</t>
        </is>
      </c>
      <c r="R86" s="222" t="inlineStr">
        <is>
          <t>PANA VIEYTES GISELA</t>
        </is>
      </c>
      <c r="S86" s="223" t="n">
        <v>38700</v>
      </c>
      <c r="T86" s="224" t="n">
        <v>6400</v>
      </c>
      <c r="U86" s="225" t="n">
        <v>2</v>
      </c>
      <c r="V86" s="226" t="inlineStr">
        <is>
          <t>16/04/2026</t>
        </is>
      </c>
    </row>
    <row r="87" ht="15.75" customHeight="1" s="153">
      <c r="A87" s="227" t="n"/>
      <c r="B87" s="228" t="inlineStr">
        <is>
          <t>SALTA 2709</t>
        </is>
      </c>
      <c r="C87" s="229" t="n">
        <v>1</v>
      </c>
      <c r="D87" s="229" t="n"/>
      <c r="E87" s="229" t="n"/>
      <c r="F87" s="230" t="n"/>
      <c r="G87" s="230" t="n"/>
      <c r="H87" s="231" t="n">
        <v>22000</v>
      </c>
      <c r="I87" s="232" t="n">
        <v>22000</v>
      </c>
      <c r="J87" s="232" t="n"/>
      <c r="K87" s="233" t="n"/>
      <c r="L87" s="233">
        <f>IF(K87&lt;&gt;"",11500+K87,11500)</f>
        <v/>
      </c>
      <c r="M87" s="156" t="n"/>
      <c r="N87" s="156" t="n"/>
      <c r="O87" s="156" t="n"/>
      <c r="Q87" s="214" t="inlineStr">
        <is>
          <t>85</t>
        </is>
      </c>
      <c r="R87" s="215" t="inlineStr">
        <is>
          <t>PARRI GABOTO</t>
        </is>
      </c>
      <c r="S87" s="216" t="n">
        <v>38000</v>
      </c>
      <c r="T87" s="236" t="n">
        <v>8000</v>
      </c>
      <c r="U87" s="218" t="n">
        <v>2</v>
      </c>
      <c r="V87" s="219" t="inlineStr">
        <is>
          <t>22/03/2026</t>
        </is>
      </c>
    </row>
    <row r="88" ht="15.75" customHeight="1" s="153">
      <c r="A88" s="237" t="n"/>
      <c r="B88" s="238" t="inlineStr">
        <is>
          <t>CLUB NACIONAL</t>
        </is>
      </c>
      <c r="C88" s="239" t="n">
        <v>1</v>
      </c>
      <c r="D88" s="239" t="n"/>
      <c r="E88" s="239" t="n"/>
      <c r="F88" s="240" t="n"/>
      <c r="G88" s="240" t="n"/>
      <c r="H88" s="241" t="n">
        <v>22000</v>
      </c>
      <c r="I88" s="242" t="n">
        <v>22000</v>
      </c>
      <c r="J88" s="242" t="n"/>
      <c r="K88" s="233" t="n"/>
      <c r="L88" s="233">
        <f>IF(K88&lt;&gt;"",11500+K88,11500)</f>
        <v/>
      </c>
      <c r="M88" s="156" t="n"/>
      <c r="N88" s="156" t="n"/>
      <c r="O88" s="156" t="n"/>
      <c r="Q88" s="221" t="inlineStr">
        <is>
          <t>86</t>
        </is>
      </c>
      <c r="R88" s="222" t="inlineStr">
        <is>
          <t>ARISTOBULO 5879</t>
        </is>
      </c>
      <c r="S88" s="223" t="n">
        <v>34500</v>
      </c>
      <c r="T88" s="224" t="n">
        <v>12000</v>
      </c>
      <c r="U88" s="225" t="n">
        <v>1</v>
      </c>
      <c r="V88" s="226" t="inlineStr">
        <is>
          <t>14/03/2026</t>
        </is>
      </c>
    </row>
    <row r="89" ht="15.75" customHeight="1" s="153">
      <c r="A89" s="227" t="n"/>
      <c r="B89" s="228" t="inlineStr">
        <is>
          <t>PAULO</t>
        </is>
      </c>
      <c r="C89" s="229" t="n">
        <v>2</v>
      </c>
      <c r="D89" s="229" t="n"/>
      <c r="E89" s="229" t="n"/>
      <c r="F89" s="230" t="n"/>
      <c r="G89" s="230" t="n"/>
      <c r="H89" s="231" t="n">
        <v>29000</v>
      </c>
      <c r="I89" s="232" t="n">
        <v>29000</v>
      </c>
      <c r="J89" s="232" t="n"/>
      <c r="K89" s="233" t="n"/>
      <c r="L89" s="233">
        <f>IF(K89&lt;&gt;"",8000+K89,8000)</f>
        <v/>
      </c>
      <c r="M89" s="156" t="n"/>
      <c r="N89" s="156" t="n"/>
      <c r="O89" s="156" t="n"/>
      <c r="Q89" s="214" t="inlineStr">
        <is>
          <t>87</t>
        </is>
      </c>
      <c r="R89" s="215" t="inlineStr">
        <is>
          <t>POLLERIA BLAS PARERA</t>
        </is>
      </c>
      <c r="S89" s="216" t="n">
        <v>34000</v>
      </c>
      <c r="T89" s="236" t="n">
        <v>4000</v>
      </c>
      <c r="U89" s="218" t="n">
        <v>2</v>
      </c>
      <c r="V89" s="219" t="inlineStr">
        <is>
          <t>15/02/2026</t>
        </is>
      </c>
    </row>
    <row r="90" ht="15.75" customHeight="1" s="153">
      <c r="A90" s="237" t="n">
        <v>46062</v>
      </c>
      <c r="B90" s="238" t="inlineStr">
        <is>
          <t>GOLD BURGUER</t>
        </is>
      </c>
      <c r="C90" s="239" t="n"/>
      <c r="D90" s="239" t="n"/>
      <c r="E90" s="239" t="n">
        <v>2</v>
      </c>
      <c r="F90" s="240" t="n"/>
      <c r="G90" s="240" t="n"/>
      <c r="H90" s="241" t="n">
        <v>164000</v>
      </c>
      <c r="I90" s="242" t="n">
        <v>164000</v>
      </c>
      <c r="J90" s="242" t="n"/>
      <c r="K90" s="233" t="n"/>
      <c r="L90" s="233">
        <f>IF(K90&lt;&gt;"",70000+K90,70000)</f>
        <v/>
      </c>
      <c r="M90" s="156" t="n"/>
      <c r="N90" s="156" t="n"/>
      <c r="O90" s="156" t="n"/>
      <c r="Q90" s="221" t="inlineStr">
        <is>
          <t>88</t>
        </is>
      </c>
      <c r="R90" s="222" t="inlineStr">
        <is>
          <t>ALBERTI 5298</t>
        </is>
      </c>
      <c r="S90" s="223" t="n">
        <v>34000</v>
      </c>
      <c r="T90" s="224" t="n">
        <v>4000</v>
      </c>
      <c r="U90" s="225" t="n">
        <v>1</v>
      </c>
      <c r="V90" s="226" t="inlineStr">
        <is>
          <t>24/02/2026</t>
        </is>
      </c>
    </row>
    <row r="91" ht="15.75" customHeight="1" s="153">
      <c r="A91" s="227" t="n"/>
      <c r="B91" s="228" t="inlineStr">
        <is>
          <t>ABUELA LUCAS</t>
        </is>
      </c>
      <c r="C91" s="229" t="n">
        <v>1</v>
      </c>
      <c r="D91" s="229" t="n"/>
      <c r="E91" s="229" t="n"/>
      <c r="F91" s="230" t="n"/>
      <c r="G91" s="230" t="n"/>
      <c r="H91" s="231" t="n">
        <v>22000</v>
      </c>
      <c r="I91" s="232" t="n">
        <v>22000</v>
      </c>
      <c r="J91" s="232" t="n"/>
      <c r="K91" s="233" t="n"/>
      <c r="L91" s="233">
        <f>IF(K91&lt;&gt;"",11500+K91,11500)</f>
        <v/>
      </c>
      <c r="M91" s="156" t="n"/>
      <c r="N91" s="156" t="n"/>
      <c r="O91" s="156" t="n"/>
      <c r="Q91" s="214" t="inlineStr">
        <is>
          <t>89</t>
        </is>
      </c>
      <c r="R91" s="215" t="inlineStr">
        <is>
          <t>BARRETO 9261</t>
        </is>
      </c>
      <c r="S91" s="216" t="n">
        <v>33500</v>
      </c>
      <c r="T91" s="236" t="n">
        <v>11000</v>
      </c>
      <c r="U91" s="218" t="n">
        <v>1</v>
      </c>
      <c r="V91" s="219" t="inlineStr">
        <is>
          <t>11/02/2026</t>
        </is>
      </c>
    </row>
    <row r="92" ht="15.75" customHeight="1" s="153">
      <c r="A92" s="237" t="n"/>
      <c r="B92" s="238" t="inlineStr">
        <is>
          <t>FILOMENA</t>
        </is>
      </c>
      <c r="C92" s="239" t="n">
        <v>1</v>
      </c>
      <c r="D92" s="239" t="n"/>
      <c r="E92" s="239" t="n"/>
      <c r="F92" s="240" t="n"/>
      <c r="G92" s="240" t="n"/>
      <c r="H92" s="241" t="n">
        <v>18000</v>
      </c>
      <c r="I92" s="242" t="n"/>
      <c r="J92" s="242" t="n">
        <v>18000</v>
      </c>
      <c r="K92" s="233" t="n"/>
      <c r="L92" s="233">
        <f>IF(K92&lt;&gt;"",7500+K92,7500)</f>
        <v/>
      </c>
      <c r="M92" s="156" t="n"/>
      <c r="N92" s="156" t="n"/>
      <c r="O92" s="156" t="n"/>
      <c r="Q92" s="221" t="inlineStr">
        <is>
          <t>90</t>
        </is>
      </c>
      <c r="R92" s="222" t="inlineStr">
        <is>
          <t>PUBLICO 5712</t>
        </is>
      </c>
      <c r="S92" s="223" t="n">
        <v>33500</v>
      </c>
      <c r="T92" s="224" t="n">
        <v>11000</v>
      </c>
      <c r="U92" s="225" t="n">
        <v>1</v>
      </c>
      <c r="V92" s="226" t="inlineStr">
        <is>
          <t>20/04/2026</t>
        </is>
      </c>
    </row>
    <row r="93" ht="15.75" customHeight="1" s="153">
      <c r="A93" s="227" t="n"/>
      <c r="B93" s="228" t="inlineStr">
        <is>
          <t>BEATRIZ</t>
        </is>
      </c>
      <c r="C93" s="229" t="n"/>
      <c r="D93" s="229" t="n"/>
      <c r="E93" s="229" t="n"/>
      <c r="F93" s="230" t="n"/>
      <c r="G93" s="230" t="n">
        <v>1</v>
      </c>
      <c r="H93" s="231" t="n">
        <v>5000</v>
      </c>
      <c r="I93" s="232" t="n">
        <v>5000</v>
      </c>
      <c r="J93" s="232" t="n"/>
      <c r="K93" s="233" t="n"/>
      <c r="L93" s="233">
        <f>IF(K93&lt;&gt;"",4200+K93,4200)</f>
        <v/>
      </c>
      <c r="M93" s="156" t="n"/>
      <c r="N93" s="156" t="n"/>
      <c r="O93" s="156" t="n"/>
      <c r="Q93" s="214" t="inlineStr">
        <is>
          <t>91</t>
        </is>
      </c>
      <c r="R93" s="215" t="inlineStr">
        <is>
          <t>ESTANISLAO ZEBALLOS 4560</t>
        </is>
      </c>
      <c r="S93" s="216" t="n">
        <v>33000</v>
      </c>
      <c r="T93" s="236" t="n">
        <v>10500</v>
      </c>
      <c r="U93" s="218" t="n">
        <v>1</v>
      </c>
      <c r="V93" s="219" t="inlineStr">
        <is>
          <t>06/02/2026</t>
        </is>
      </c>
    </row>
    <row r="94" ht="15.75" customHeight="1" s="153">
      <c r="A94" s="237" t="n"/>
      <c r="B94" s="238" t="inlineStr">
        <is>
          <t>MARTINEZ 3221</t>
        </is>
      </c>
      <c r="C94" s="239" t="n">
        <v>2</v>
      </c>
      <c r="D94" s="239" t="n"/>
      <c r="E94" s="239" t="n">
        <v>1</v>
      </c>
      <c r="F94" s="240" t="n"/>
      <c r="G94" s="240" t="n"/>
      <c r="H94" s="241" t="n">
        <v>119000</v>
      </c>
      <c r="I94" s="242" t="n"/>
      <c r="J94" s="242" t="n">
        <v>119000</v>
      </c>
      <c r="K94" s="233" t="n"/>
      <c r="L94" s="233">
        <f>IF(K94&lt;&gt;"",51000+K94,51000)</f>
        <v/>
      </c>
      <c r="M94" s="156" t="n"/>
      <c r="N94" s="156" t="n"/>
      <c r="O94" s="156" t="n"/>
      <c r="Q94" s="221" t="inlineStr">
        <is>
          <t>92</t>
        </is>
      </c>
      <c r="R94" s="222" t="inlineStr">
        <is>
          <t>GENEIRO 8264</t>
        </is>
      </c>
      <c r="S94" s="223" t="n">
        <v>33000</v>
      </c>
      <c r="T94" s="224" t="n">
        <v>10500</v>
      </c>
      <c r="U94" s="225" t="n">
        <v>1</v>
      </c>
      <c r="V94" s="226" t="inlineStr">
        <is>
          <t>08/02/2026</t>
        </is>
      </c>
    </row>
    <row r="95" ht="15.75" customHeight="1" s="153">
      <c r="A95" s="227" t="n"/>
      <c r="B95" s="228" t="inlineStr">
        <is>
          <t>SERBANDO BAYO 7250</t>
        </is>
      </c>
      <c r="C95" s="229" t="n">
        <v>1</v>
      </c>
      <c r="D95" s="229" t="n"/>
      <c r="E95" s="229" t="n"/>
      <c r="F95" s="230" t="n"/>
      <c r="G95" s="230" t="n"/>
      <c r="H95" s="231" t="n">
        <v>21000</v>
      </c>
      <c r="I95" s="232" t="n">
        <v>21000</v>
      </c>
      <c r="J95" s="232" t="n"/>
      <c r="K95" s="233" t="n"/>
      <c r="L95" s="233">
        <f>IF(K95&lt;&gt;"",10500+K95,10500)</f>
        <v/>
      </c>
      <c r="M95" s="156" t="n"/>
      <c r="N95" s="156" t="n"/>
      <c r="O95" s="156" t="n"/>
      <c r="Q95" s="214" t="inlineStr">
        <is>
          <t>93</t>
        </is>
      </c>
      <c r="R95" s="215" t="inlineStr">
        <is>
          <t>1 DE MAYO 1605</t>
        </is>
      </c>
      <c r="S95" s="216" t="n">
        <v>33000</v>
      </c>
      <c r="T95" s="236" t="n">
        <v>10500</v>
      </c>
      <c r="U95" s="218" t="n">
        <v>1</v>
      </c>
      <c r="V95" s="219" t="inlineStr">
        <is>
          <t>20/02/2026</t>
        </is>
      </c>
    </row>
    <row r="96" ht="15.75" customHeight="1" s="153">
      <c r="A96" s="237" t="n"/>
      <c r="B96" s="238" t="inlineStr">
        <is>
          <t>LAVAISE 3786</t>
        </is>
      </c>
      <c r="C96" s="239" t="n">
        <v>1</v>
      </c>
      <c r="D96" s="239" t="n">
        <v>1</v>
      </c>
      <c r="E96" s="239" t="n"/>
      <c r="F96" s="240" t="n"/>
      <c r="G96" s="240" t="n"/>
      <c r="H96" s="241" t="n">
        <v>51500</v>
      </c>
      <c r="I96" s="242" t="n">
        <v>51500</v>
      </c>
      <c r="J96" s="242" t="n"/>
      <c r="K96" s="233" t="n"/>
      <c r="L96" s="233">
        <f>IF(K96&lt;&gt;"",25250+K96,25250)</f>
        <v/>
      </c>
      <c r="M96" s="156" t="n"/>
      <c r="N96" s="156" t="n"/>
      <c r="O96" s="156" t="n"/>
      <c r="Q96" s="221" t="inlineStr">
        <is>
          <t>94</t>
        </is>
      </c>
      <c r="R96" s="222" t="inlineStr">
        <is>
          <t>GABOTO 7102</t>
        </is>
      </c>
      <c r="S96" s="223" t="n">
        <v>33000</v>
      </c>
      <c r="T96" s="224" t="n">
        <v>10500</v>
      </c>
      <c r="U96" s="225" t="n">
        <v>1</v>
      </c>
      <c r="V96" s="226" t="inlineStr">
        <is>
          <t>22/02/2026</t>
        </is>
      </c>
    </row>
    <row r="97" ht="15.75" customHeight="1" s="153">
      <c r="A97" s="227" t="n"/>
      <c r="B97" s="228" t="inlineStr">
        <is>
          <t>ALBERTI 4930</t>
        </is>
      </c>
      <c r="C97" s="229" t="n"/>
      <c r="D97" s="229" t="n"/>
      <c r="E97" s="229" t="n"/>
      <c r="F97" s="230" t="n"/>
      <c r="G97" s="230" t="n">
        <v>2</v>
      </c>
      <c r="H97" s="231" t="n">
        <v>10000</v>
      </c>
      <c r="I97" s="232" t="n">
        <v>10000</v>
      </c>
      <c r="J97" s="232" t="n"/>
      <c r="K97" s="233" t="n"/>
      <c r="L97" s="233">
        <f>IF(K97&lt;&gt;"",8400+K97,8400)</f>
        <v/>
      </c>
      <c r="M97" s="156" t="n"/>
      <c r="N97" s="156" t="n"/>
      <c r="O97" s="156" t="n"/>
      <c r="Q97" s="214" t="inlineStr">
        <is>
          <t>95</t>
        </is>
      </c>
      <c r="R97" s="215" t="inlineStr">
        <is>
          <t>AGUADP 6970</t>
        </is>
      </c>
      <c r="S97" s="216" t="n">
        <v>32000</v>
      </c>
      <c r="T97" s="236" t="n">
        <v>9500</v>
      </c>
      <c r="U97" s="218" t="n">
        <v>1</v>
      </c>
      <c r="V97" s="219" t="inlineStr">
        <is>
          <t>10/03/2026</t>
        </is>
      </c>
    </row>
    <row r="98" ht="15.75" customHeight="1" s="153">
      <c r="A98" s="237" t="n">
        <v>46063</v>
      </c>
      <c r="B98" s="238" t="inlineStr">
        <is>
          <t>ALE RUIZ</t>
        </is>
      </c>
      <c r="C98" s="239" t="n"/>
      <c r="D98" s="239" t="n"/>
      <c r="E98" s="239" t="n"/>
      <c r="F98" s="240" t="n"/>
      <c r="G98" s="240" t="n">
        <v>1</v>
      </c>
      <c r="H98" s="241" t="n">
        <v>5000</v>
      </c>
      <c r="I98" s="242" t="n">
        <v>5000</v>
      </c>
      <c r="J98" s="242" t="n"/>
      <c r="K98" s="233" t="n"/>
      <c r="L98" s="233">
        <f>IF(K98&lt;&gt;"",4200+K98,4200)</f>
        <v/>
      </c>
      <c r="M98" s="156" t="n"/>
      <c r="N98" s="156" t="n"/>
      <c r="O98" s="156" t="n"/>
      <c r="Q98" s="221" t="inlineStr">
        <is>
          <t>96</t>
        </is>
      </c>
      <c r="R98" s="222" t="inlineStr">
        <is>
          <t>DAMIANOVICH 3190</t>
        </is>
      </c>
      <c r="S98" s="223" t="n">
        <v>31500</v>
      </c>
      <c r="T98" s="224" t="n">
        <v>9000</v>
      </c>
      <c r="U98" s="225" t="n">
        <v>1</v>
      </c>
      <c r="V98" s="226" t="inlineStr">
        <is>
          <t>06/02/2026</t>
        </is>
      </c>
    </row>
    <row r="99" ht="15.75" customHeight="1" s="153">
      <c r="A99" s="227" t="n"/>
      <c r="B99" s="228" t="inlineStr">
        <is>
          <t>PANA GORRITI 4600</t>
        </is>
      </c>
      <c r="C99" s="229" t="n"/>
      <c r="D99" s="229" t="n"/>
      <c r="E99" s="229" t="n">
        <v>1</v>
      </c>
      <c r="F99" s="230" t="n"/>
      <c r="G99" s="230" t="n"/>
      <c r="H99" s="231" t="n">
        <v>74000</v>
      </c>
      <c r="I99" s="232" t="n">
        <v>74000</v>
      </c>
      <c r="J99" s="232" t="n"/>
      <c r="K99" s="233" t="n"/>
      <c r="L99" s="233">
        <f>IF(K99&lt;&gt;"",27000+K99,27000)</f>
        <v/>
      </c>
      <c r="M99" s="156" t="n"/>
      <c r="N99" s="156" t="n"/>
      <c r="O99" s="156" t="n"/>
      <c r="Q99" s="214" t="inlineStr">
        <is>
          <t>97</t>
        </is>
      </c>
      <c r="R99" s="215" t="inlineStr">
        <is>
          <t>ALBERTI 5177</t>
        </is>
      </c>
      <c r="S99" s="216" t="n">
        <v>31000</v>
      </c>
      <c r="T99" s="236" t="n">
        <v>8500</v>
      </c>
      <c r="U99" s="218" t="n">
        <v>1</v>
      </c>
      <c r="V99" s="219" t="inlineStr">
        <is>
          <t>19/01/2026</t>
        </is>
      </c>
    </row>
    <row r="100" ht="15.75" customHeight="1" s="153">
      <c r="A100" s="237" t="n"/>
      <c r="B100" s="238" t="inlineStr">
        <is>
          <t>ARISTOBULO 5879</t>
        </is>
      </c>
      <c r="C100" s="239" t="n"/>
      <c r="D100" s="239" t="n">
        <v>1</v>
      </c>
      <c r="E100" s="239" t="n"/>
      <c r="F100" s="240" t="n"/>
      <c r="G100" s="240" t="n"/>
      <c r="H100" s="241" t="n">
        <v>34500</v>
      </c>
      <c r="I100" s="242" t="n">
        <v>34500</v>
      </c>
      <c r="J100" s="242" t="n"/>
      <c r="K100" s="233" t="n"/>
      <c r="L100" s="233">
        <f>IF(K100&lt;&gt;"",18750+K100,18750)</f>
        <v/>
      </c>
      <c r="M100" s="156" t="n"/>
      <c r="N100" s="156" t="n"/>
      <c r="O100" s="156" t="n"/>
      <c r="Q100" s="221" t="inlineStr">
        <is>
          <t>98</t>
        </is>
      </c>
      <c r="R100" s="222" t="inlineStr">
        <is>
          <t>LARREA 3339</t>
        </is>
      </c>
      <c r="S100" s="223" t="n">
        <v>30000</v>
      </c>
      <c r="T100" s="224" t="n">
        <v>0</v>
      </c>
      <c r="U100" s="225" t="n">
        <v>1</v>
      </c>
      <c r="V100" s="226" t="inlineStr">
        <is>
          <t>23/03/2026</t>
        </is>
      </c>
    </row>
    <row r="101" ht="15.75" customHeight="1" s="153">
      <c r="A101" s="227" t="n">
        <v>46064</v>
      </c>
      <c r="B101" s="228" t="inlineStr">
        <is>
          <t>PANA GORRITI 4600</t>
        </is>
      </c>
      <c r="C101" s="229" t="n"/>
      <c r="D101" s="229" t="n"/>
      <c r="E101" s="229" t="n">
        <v>1</v>
      </c>
      <c r="F101" s="230" t="n"/>
      <c r="G101" s="230" t="n"/>
      <c r="H101" s="231" t="n">
        <v>74000</v>
      </c>
      <c r="I101" s="232" t="n">
        <v>74000</v>
      </c>
      <c r="J101" s="232" t="n"/>
      <c r="K101" s="233" t="n"/>
      <c r="L101" s="233">
        <f>IF(K101&lt;&gt;"",27000+K101,27000)</f>
        <v/>
      </c>
      <c r="M101" s="156" t="n"/>
      <c r="N101" s="156" t="n"/>
      <c r="O101" s="156" t="n"/>
      <c r="Q101" s="214" t="inlineStr">
        <is>
          <t>99</t>
        </is>
      </c>
      <c r="R101" s="215" t="inlineStr">
        <is>
          <t>PAPA BRUNO</t>
        </is>
      </c>
      <c r="S101" s="216" t="n">
        <v>29000</v>
      </c>
      <c r="T101" s="236" t="n">
        <v>6500</v>
      </c>
      <c r="U101" s="218" t="n">
        <v>1</v>
      </c>
      <c r="V101" s="219" t="inlineStr">
        <is>
          <t>26/02/2026</t>
        </is>
      </c>
    </row>
    <row r="102" ht="15.75" customHeight="1" s="153">
      <c r="A102" s="237" t="n"/>
      <c r="B102" s="238" t="inlineStr">
        <is>
          <t>ANA ABDALA</t>
        </is>
      </c>
      <c r="C102" s="239" t="n">
        <v>1</v>
      </c>
      <c r="D102" s="239" t="n"/>
      <c r="E102" s="239" t="n"/>
      <c r="F102" s="240" t="n"/>
      <c r="G102" s="240" t="n"/>
      <c r="H102" s="241" t="n">
        <v>22000</v>
      </c>
      <c r="I102" s="242" t="n"/>
      <c r="J102" s="242" t="n">
        <v>22000</v>
      </c>
      <c r="K102" s="233" t="n"/>
      <c r="L102" s="233">
        <f>IF(K102&lt;&gt;"",11500+K102,11500)</f>
        <v/>
      </c>
      <c r="M102" s="156" t="n"/>
      <c r="N102" s="156" t="n"/>
      <c r="O102" s="156" t="n"/>
      <c r="Q102" s="221" t="inlineStr">
        <is>
          <t>100</t>
        </is>
      </c>
      <c r="R102" s="222" t="inlineStr">
        <is>
          <t>DANI PAPA BRUNO</t>
        </is>
      </c>
      <c r="S102" s="223" t="n">
        <v>28500</v>
      </c>
      <c r="T102" s="224" t="n">
        <v>6000</v>
      </c>
      <c r="U102" s="225" t="n">
        <v>1</v>
      </c>
      <c r="V102" s="226" t="inlineStr">
        <is>
          <t>17/02/2026</t>
        </is>
      </c>
    </row>
    <row r="103" ht="15.75" customHeight="1" s="153">
      <c r="A103" s="227" t="n"/>
      <c r="B103" s="228" t="inlineStr">
        <is>
          <t>BARRETO 9261</t>
        </is>
      </c>
      <c r="C103" s="229" t="n"/>
      <c r="D103" s="229" t="n">
        <v>1</v>
      </c>
      <c r="E103" s="229" t="n"/>
      <c r="F103" s="230" t="n"/>
      <c r="G103" s="230" t="n"/>
      <c r="H103" s="231" t="n">
        <v>33500</v>
      </c>
      <c r="I103" s="232" t="n"/>
      <c r="J103" s="232" t="n">
        <v>33500</v>
      </c>
      <c r="K103" s="233" t="n"/>
      <c r="L103" s="233">
        <f>IF(K103&lt;&gt;"",17750+K103,17750)</f>
        <v/>
      </c>
      <c r="M103" s="156" t="n"/>
      <c r="N103" s="156" t="n"/>
      <c r="O103" s="156" t="n"/>
      <c r="Q103" s="214" t="inlineStr">
        <is>
          <t>101</t>
        </is>
      </c>
      <c r="R103" s="215" t="inlineStr">
        <is>
          <t>SAVEDRA 2799</t>
        </is>
      </c>
      <c r="S103" s="216" t="n">
        <v>23000</v>
      </c>
      <c r="T103" s="236" t="n">
        <v>8000</v>
      </c>
      <c r="U103" s="218" t="n">
        <v>1</v>
      </c>
      <c r="V103" s="219" t="inlineStr">
        <is>
          <t>04/04/2026</t>
        </is>
      </c>
    </row>
    <row r="104" ht="15.75" customHeight="1" s="153">
      <c r="A104" s="237" t="n"/>
      <c r="B104" s="238" t="inlineStr">
        <is>
          <t>NACHO</t>
        </is>
      </c>
      <c r="C104" s="239" t="n">
        <v>1</v>
      </c>
      <c r="D104" s="239" t="n"/>
      <c r="E104" s="239" t="n"/>
      <c r="F104" s="240" t="n"/>
      <c r="G104" s="240" t="n"/>
      <c r="H104" s="241" t="n">
        <v>18000</v>
      </c>
      <c r="I104" s="242" t="n"/>
      <c r="J104" s="242" t="n">
        <v>18000</v>
      </c>
      <c r="K104" s="233" t="n"/>
      <c r="L104" s="233">
        <f>IF(K104&lt;&gt;"",7500+K104,7500)</f>
        <v/>
      </c>
      <c r="M104" s="156" t="n"/>
      <c r="N104" s="156" t="n"/>
      <c r="O104" s="156" t="n"/>
      <c r="Q104" s="221" t="inlineStr">
        <is>
          <t>102</t>
        </is>
      </c>
      <c r="R104" s="222" t="inlineStr">
        <is>
          <t>FACUNDO ZUVIRIA 10235</t>
        </is>
      </c>
      <c r="S104" s="223" t="n">
        <v>23000</v>
      </c>
      <c r="T104" s="224" t="n">
        <v>8000</v>
      </c>
      <c r="U104" s="225" t="n">
        <v>1</v>
      </c>
      <c r="V104" s="226" t="inlineStr">
        <is>
          <t>22/04/2026</t>
        </is>
      </c>
    </row>
    <row r="105" ht="15.75" customHeight="1" s="153">
      <c r="A105" s="227" t="n"/>
      <c r="B105" s="228" t="inlineStr">
        <is>
          <t>SABOREAR</t>
        </is>
      </c>
      <c r="C105" s="229" t="n">
        <v>1</v>
      </c>
      <c r="D105" s="229" t="n"/>
      <c r="E105" s="229" t="n"/>
      <c r="F105" s="230" t="n"/>
      <c r="G105" s="230" t="n"/>
      <c r="H105" s="231" t="n">
        <v>19000</v>
      </c>
      <c r="I105" s="232" t="n"/>
      <c r="J105" s="232" t="n">
        <v>19000</v>
      </c>
      <c r="K105" s="233" t="n"/>
      <c r="L105" s="233">
        <f>IF(K105&lt;&gt;"",8500+K105,8500)</f>
        <v/>
      </c>
      <c r="M105" s="156" t="n"/>
      <c r="N105" s="156" t="n"/>
      <c r="O105" s="156" t="n"/>
      <c r="Q105" s="214" t="inlineStr">
        <is>
          <t>103</t>
        </is>
      </c>
      <c r="R105" s="215" t="inlineStr">
        <is>
          <t>CANDIDO PUJATO 2444</t>
        </is>
      </c>
      <c r="S105" s="216" t="n">
        <v>23000</v>
      </c>
      <c r="T105" s="236" t="n">
        <v>8000</v>
      </c>
      <c r="U105" s="218" t="n">
        <v>1</v>
      </c>
      <c r="V105" s="219" t="inlineStr">
        <is>
          <t>22/02/2026</t>
        </is>
      </c>
    </row>
    <row r="106" ht="15.75" customHeight="1" s="153">
      <c r="A106" s="237" t="n"/>
      <c r="B106" s="238" t="inlineStr">
        <is>
          <t>PEDRO FERRE 2213</t>
        </is>
      </c>
      <c r="C106" s="239" t="n">
        <v>1</v>
      </c>
      <c r="D106" s="239" t="n"/>
      <c r="E106" s="239" t="n"/>
      <c r="F106" s="240" t="n"/>
      <c r="G106" s="240" t="n"/>
      <c r="H106" s="241" t="n">
        <v>22000</v>
      </c>
      <c r="I106" s="242" t="n">
        <v>22000</v>
      </c>
      <c r="J106" s="242" t="n"/>
      <c r="K106" s="233" t="n"/>
      <c r="L106" s="233">
        <f>IF(K106&lt;&gt;"",11500+K106,11500)</f>
        <v/>
      </c>
      <c r="M106" s="156" t="n"/>
      <c r="N106" s="156" t="n"/>
      <c r="O106" s="156" t="n"/>
      <c r="Q106" s="221" t="inlineStr">
        <is>
          <t>104</t>
        </is>
      </c>
      <c r="R106" s="222" t="inlineStr">
        <is>
          <t>ALBERDI 6533</t>
        </is>
      </c>
      <c r="S106" s="223" t="n">
        <v>23000</v>
      </c>
      <c r="T106" s="224" t="n">
        <v>8000</v>
      </c>
      <c r="U106" s="225" t="n">
        <v>1</v>
      </c>
      <c r="V106" s="226" t="inlineStr">
        <is>
          <t>26/02/2026</t>
        </is>
      </c>
    </row>
    <row r="107" ht="15.75" customHeight="1" s="153">
      <c r="A107" s="227" t="n"/>
      <c r="B107" s="228" t="inlineStr">
        <is>
          <t>PANA ALBERTI</t>
        </is>
      </c>
      <c r="C107" s="229" t="n"/>
      <c r="D107" s="229" t="n"/>
      <c r="E107" s="229" t="n">
        <v>1</v>
      </c>
      <c r="F107" s="230" t="n"/>
      <c r="G107" s="230" t="n"/>
      <c r="H107" s="231" t="n">
        <v>72000</v>
      </c>
      <c r="I107" s="232" t="n">
        <v>72000</v>
      </c>
      <c r="J107" s="232" t="n"/>
      <c r="K107" s="233" t="n"/>
      <c r="L107" s="233">
        <f>IF(K107&lt;&gt;"",25000+K107,25000)</f>
        <v/>
      </c>
      <c r="M107" s="156" t="n"/>
      <c r="N107" s="156" t="n"/>
      <c r="O107" s="156" t="n"/>
      <c r="Q107" s="214" t="inlineStr">
        <is>
          <t>105</t>
        </is>
      </c>
      <c r="R107" s="215" t="inlineStr">
        <is>
          <t>PIO PANDOLFO 9061</t>
        </is>
      </c>
      <c r="S107" s="216" t="n">
        <v>23000</v>
      </c>
      <c r="T107" s="236" t="n">
        <v>8000</v>
      </c>
      <c r="U107" s="218" t="n">
        <v>1</v>
      </c>
      <c r="V107" s="219" t="inlineStr">
        <is>
          <t>27/02/2026</t>
        </is>
      </c>
    </row>
    <row r="108" ht="15.75" customHeight="1" s="153">
      <c r="A108" s="237" t="n"/>
      <c r="B108" s="238" t="inlineStr">
        <is>
          <t>PUBLICO 2550</t>
        </is>
      </c>
      <c r="C108" s="239" t="n"/>
      <c r="D108" s="239" t="n"/>
      <c r="E108" s="239" t="n">
        <v>1</v>
      </c>
      <c r="F108" s="240" t="n"/>
      <c r="G108" s="240" t="n"/>
      <c r="H108" s="241" t="n">
        <v>74000</v>
      </c>
      <c r="I108" s="242" t="n"/>
      <c r="J108" s="242" t="n">
        <v>74000</v>
      </c>
      <c r="K108" s="233" t="n"/>
      <c r="L108" s="233">
        <f>IF(K108&lt;&gt;"",27000+K108,27000)</f>
        <v/>
      </c>
      <c r="M108" s="156" t="n"/>
      <c r="N108" s="156" t="n"/>
      <c r="O108" s="156" t="n"/>
      <c r="Q108" s="221" t="inlineStr">
        <is>
          <t>106</t>
        </is>
      </c>
      <c r="R108" s="222" t="inlineStr">
        <is>
          <t>RUPERTO GODOY 1676</t>
        </is>
      </c>
      <c r="S108" s="223" t="n">
        <v>23000</v>
      </c>
      <c r="T108" s="224" t="n">
        <v>8000</v>
      </c>
      <c r="U108" s="225" t="n">
        <v>1</v>
      </c>
      <c r="V108" s="226" t="inlineStr">
        <is>
          <t>27/02/2026</t>
        </is>
      </c>
    </row>
    <row r="109" ht="15.75" customHeight="1" s="153">
      <c r="A109" s="227" t="n"/>
      <c r="B109" s="228" t="inlineStr">
        <is>
          <t>PANA VIEYTES 4500</t>
        </is>
      </c>
      <c r="C109" s="229" t="n"/>
      <c r="D109" s="229" t="n"/>
      <c r="E109" s="229" t="n">
        <v>1</v>
      </c>
      <c r="F109" s="230" t="n"/>
      <c r="G109" s="230" t="n"/>
      <c r="H109" s="231" t="n">
        <v>66000</v>
      </c>
      <c r="I109" s="232" t="n"/>
      <c r="J109" s="232" t="n">
        <v>66000</v>
      </c>
      <c r="K109" s="233" t="n"/>
      <c r="L109" s="233">
        <f>IF(K109&lt;&gt;"",19000+K109,19000)</f>
        <v/>
      </c>
      <c r="M109" s="156" t="n"/>
      <c r="N109" s="156" t="n"/>
      <c r="O109" s="156" t="n"/>
      <c r="Q109" s="214" t="inlineStr">
        <is>
          <t>107</t>
        </is>
      </c>
      <c r="R109" s="215" t="inlineStr">
        <is>
          <t>CASTELLI 946</t>
        </is>
      </c>
      <c r="S109" s="216" t="n">
        <v>23000</v>
      </c>
      <c r="T109" s="236" t="n">
        <v>8000</v>
      </c>
      <c r="U109" s="218" t="n">
        <v>1</v>
      </c>
      <c r="V109" s="219" t="inlineStr">
        <is>
          <t>28/02/2026</t>
        </is>
      </c>
    </row>
    <row r="110" ht="15.75" customHeight="1" s="153">
      <c r="A110" s="237" t="n"/>
      <c r="B110" s="238" t="inlineStr">
        <is>
          <t>FILOMENA</t>
        </is>
      </c>
      <c r="C110" s="239" t="n">
        <v>1</v>
      </c>
      <c r="D110" s="239" t="n"/>
      <c r="E110" s="239" t="n"/>
      <c r="F110" s="240" t="n"/>
      <c r="G110" s="240" t="n"/>
      <c r="H110" s="241" t="n">
        <v>18000</v>
      </c>
      <c r="I110" s="242" t="n"/>
      <c r="J110" s="242" t="n">
        <v>18000</v>
      </c>
      <c r="K110" s="233" t="n"/>
      <c r="L110" s="233">
        <f>IF(K110&lt;&gt;"",7500+K110,7500)</f>
        <v/>
      </c>
      <c r="M110" s="156" t="n"/>
      <c r="N110" s="156" t="n"/>
      <c r="O110" s="156" t="n"/>
      <c r="Q110" s="221" t="inlineStr">
        <is>
          <t>108</t>
        </is>
      </c>
      <c r="R110" s="222" t="inlineStr">
        <is>
          <t>LA RIOJA 3552</t>
        </is>
      </c>
      <c r="S110" s="223" t="n">
        <v>23000</v>
      </c>
      <c r="T110" s="224" t="n">
        <v>8000</v>
      </c>
      <c r="U110" s="225" t="n">
        <v>1</v>
      </c>
      <c r="V110" s="226" t="inlineStr">
        <is>
          <t>28/02/2026</t>
        </is>
      </c>
    </row>
    <row r="111" ht="15.75" customHeight="1" s="153">
      <c r="A111" s="227" t="n"/>
      <c r="B111" s="228" t="inlineStr">
        <is>
          <t>EXE</t>
        </is>
      </c>
      <c r="C111" s="229" t="n"/>
      <c r="D111" s="229" t="n"/>
      <c r="E111" s="229" t="n">
        <v>1</v>
      </c>
      <c r="F111" s="230" t="n"/>
      <c r="G111" s="230" t="n"/>
      <c r="H111" s="231" t="n">
        <v>69000</v>
      </c>
      <c r="I111" s="232" t="n"/>
      <c r="J111" s="232" t="n">
        <v>69000</v>
      </c>
      <c r="K111" s="233" t="n"/>
      <c r="L111" s="233">
        <f>IF(K111&lt;&gt;"",22000+K111,22000)</f>
        <v/>
      </c>
      <c r="M111" s="156" t="n"/>
      <c r="N111" s="156" t="n"/>
      <c r="O111" s="156" t="n"/>
      <c r="Q111" s="214" t="inlineStr">
        <is>
          <t>109</t>
        </is>
      </c>
      <c r="R111" s="215" t="inlineStr">
        <is>
          <t>12 DE INFANTERIA 2148</t>
        </is>
      </c>
      <c r="S111" s="216" t="n">
        <v>22500</v>
      </c>
      <c r="T111" s="236" t="n">
        <v>7500</v>
      </c>
      <c r="U111" s="218" t="n">
        <v>1</v>
      </c>
      <c r="V111" s="219" t="inlineStr">
        <is>
          <t>21/02/2026</t>
        </is>
      </c>
    </row>
    <row r="112" ht="15.75" customHeight="1" s="153">
      <c r="A112" s="237" t="n"/>
      <c r="B112" s="238" t="inlineStr">
        <is>
          <t>CAREN</t>
        </is>
      </c>
      <c r="C112" s="239" t="n"/>
      <c r="D112" s="239" t="n"/>
      <c r="E112" s="239" t="n">
        <v>1</v>
      </c>
      <c r="F112" s="240" t="n"/>
      <c r="G112" s="240" t="n"/>
      <c r="H112" s="241" t="n">
        <v>69000</v>
      </c>
      <c r="I112" s="242" t="n"/>
      <c r="J112" s="242" t="n">
        <v>69000</v>
      </c>
      <c r="K112" s="233" t="n"/>
      <c r="L112" s="233">
        <f>IF(K112&lt;&gt;"",22000+K112,22000)</f>
        <v/>
      </c>
      <c r="M112" s="156" t="n"/>
      <c r="N112" s="156" t="n"/>
      <c r="O112" s="156" t="n"/>
      <c r="Q112" s="221" t="inlineStr">
        <is>
          <t>110</t>
        </is>
      </c>
      <c r="R112" s="222" t="inlineStr">
        <is>
          <t>DUSSO 7678</t>
        </is>
      </c>
      <c r="S112" s="223" t="n">
        <v>22000</v>
      </c>
      <c r="T112" s="245" t="n">
        <v>-500</v>
      </c>
      <c r="U112" s="225" t="n">
        <v>1</v>
      </c>
      <c r="V112" s="226" t="inlineStr">
        <is>
          <t>04/04/2026</t>
        </is>
      </c>
    </row>
    <row r="113" ht="15.75" customHeight="1" s="153">
      <c r="A113" s="227" t="n"/>
      <c r="B113" s="228" t="inlineStr">
        <is>
          <t>FRANCAI 2247</t>
        </is>
      </c>
      <c r="C113" s="229" t="n">
        <v>1</v>
      </c>
      <c r="D113" s="229" t="n"/>
      <c r="E113" s="229" t="n"/>
      <c r="F113" s="230" t="n"/>
      <c r="G113" s="230" t="n"/>
      <c r="H113" s="231" t="n">
        <v>22000</v>
      </c>
      <c r="I113" s="232" t="n"/>
      <c r="J113" s="232" t="n">
        <v>22000</v>
      </c>
      <c r="K113" s="233" t="n"/>
      <c r="L113" s="233">
        <f>IF(K113&lt;&gt;"",11500+K113,11500)</f>
        <v/>
      </c>
      <c r="M113" s="156" t="n"/>
      <c r="N113" s="156" t="n"/>
      <c r="O113" s="156" t="n"/>
      <c r="Q113" s="214" t="inlineStr">
        <is>
          <t>111</t>
        </is>
      </c>
      <c r="R113" s="215" t="inlineStr">
        <is>
          <t>ANA ABDALA</t>
        </is>
      </c>
      <c r="S113" s="216" t="n">
        <v>22000</v>
      </c>
      <c r="T113" s="236" t="n">
        <v>7000</v>
      </c>
      <c r="U113" s="218" t="n">
        <v>1</v>
      </c>
      <c r="V113" s="219" t="inlineStr">
        <is>
          <t>21/04/2026</t>
        </is>
      </c>
    </row>
    <row r="114" ht="15.75" customHeight="1" s="153">
      <c r="A114" s="237" t="n"/>
      <c r="B114" s="238" t="inlineStr">
        <is>
          <t>PANA VIEYTES 3800</t>
        </is>
      </c>
      <c r="C114" s="239" t="n"/>
      <c r="D114" s="239" t="n"/>
      <c r="E114" s="239" t="n">
        <v>1</v>
      </c>
      <c r="F114" s="240" t="n"/>
      <c r="G114" s="240" t="n"/>
      <c r="H114" s="241" t="n">
        <v>72000</v>
      </c>
      <c r="I114" s="242" t="n"/>
      <c r="J114" s="242" t="n">
        <v>72000</v>
      </c>
      <c r="K114" s="233" t="n"/>
      <c r="L114" s="233">
        <f>IF(K114&lt;&gt;"",25000+K114,25000)</f>
        <v/>
      </c>
      <c r="M114" s="156" t="n"/>
      <c r="N114" s="156" t="n"/>
      <c r="O114" s="156" t="n"/>
      <c r="Q114" s="221" t="inlineStr">
        <is>
          <t>112</t>
        </is>
      </c>
      <c r="R114" s="222" t="inlineStr">
        <is>
          <t>1 DE MAYO 8361</t>
        </is>
      </c>
      <c r="S114" s="223" t="n">
        <v>22000</v>
      </c>
      <c r="T114" s="224" t="n">
        <v>7000</v>
      </c>
      <c r="U114" s="225" t="n">
        <v>1</v>
      </c>
      <c r="V114" s="226" t="inlineStr">
        <is>
          <t>18/04/2026</t>
        </is>
      </c>
    </row>
    <row r="115" ht="15.75" customHeight="1" s="153">
      <c r="A115" s="227" t="n"/>
      <c r="B115" s="228" t="inlineStr">
        <is>
          <t>RIVADAVIA JUNIORS</t>
        </is>
      </c>
      <c r="C115" s="229" t="n">
        <v>1</v>
      </c>
      <c r="D115" s="229" t="n"/>
      <c r="E115" s="229" t="n"/>
      <c r="F115" s="230" t="n"/>
      <c r="G115" s="230" t="n"/>
      <c r="H115" s="231" t="n">
        <v>22000</v>
      </c>
      <c r="I115" s="232" t="n">
        <v>22000</v>
      </c>
      <c r="J115" s="232" t="n"/>
      <c r="K115" s="233" t="n"/>
      <c r="L115" s="233">
        <f>IF(K115&lt;&gt;"",11500+K115,11500)</f>
        <v/>
      </c>
      <c r="M115" s="156" t="n"/>
      <c r="N115" s="156" t="n"/>
      <c r="O115" s="156" t="n"/>
      <c r="Q115" s="214" t="inlineStr">
        <is>
          <t>113</t>
        </is>
      </c>
      <c r="R115" s="215" t="inlineStr">
        <is>
          <t>PENALOZA 9757</t>
        </is>
      </c>
      <c r="S115" s="216" t="n">
        <v>22000</v>
      </c>
      <c r="T115" s="236" t="n">
        <v>7000</v>
      </c>
      <c r="U115" s="218" t="n">
        <v>1</v>
      </c>
      <c r="V115" s="219" t="inlineStr">
        <is>
          <t>14/03/2026</t>
        </is>
      </c>
    </row>
    <row r="116" ht="15.75" customHeight="1" s="153">
      <c r="A116" s="237" t="n"/>
      <c r="B116" s="238" t="inlineStr">
        <is>
          <t>PANA GENESIO</t>
        </is>
      </c>
      <c r="C116" s="239" t="n"/>
      <c r="D116" s="239" t="n"/>
      <c r="E116" s="239" t="n">
        <v>1</v>
      </c>
      <c r="F116" s="240" t="n"/>
      <c r="G116" s="240" t="n"/>
      <c r="H116" s="241" t="n">
        <v>69000</v>
      </c>
      <c r="I116" s="242" t="n"/>
      <c r="J116" s="242" t="n">
        <v>69000</v>
      </c>
      <c r="K116" s="233" t="n"/>
      <c r="L116" s="233">
        <f>IF(K116&lt;&gt;"",22000+K116,22000)</f>
        <v/>
      </c>
      <c r="M116" s="156" t="n"/>
      <c r="N116" s="156" t="n"/>
      <c r="O116" s="156" t="n"/>
      <c r="Q116" s="221" t="inlineStr">
        <is>
          <t>114</t>
        </is>
      </c>
      <c r="R116" s="222" t="inlineStr">
        <is>
          <t>CASTELLI 5406</t>
        </is>
      </c>
      <c r="S116" s="223" t="n">
        <v>22000</v>
      </c>
      <c r="T116" s="224" t="n">
        <v>7000</v>
      </c>
      <c r="U116" s="225" t="n">
        <v>1</v>
      </c>
      <c r="V116" s="226" t="inlineStr">
        <is>
          <t>15/03/2026</t>
        </is>
      </c>
    </row>
    <row r="117" ht="15.75" customHeight="1" s="153">
      <c r="A117" s="227" t="n"/>
      <c r="B117" s="228" t="inlineStr">
        <is>
          <t>PANA BERUTI 6400</t>
        </is>
      </c>
      <c r="C117" s="229" t="n"/>
      <c r="D117" s="229" t="n"/>
      <c r="E117" s="229" t="n">
        <v>1</v>
      </c>
      <c r="F117" s="230" t="n"/>
      <c r="G117" s="230" t="n"/>
      <c r="H117" s="231" t="n">
        <v>65000</v>
      </c>
      <c r="I117" s="232" t="n">
        <v>65000</v>
      </c>
      <c r="J117" s="232" t="n"/>
      <c r="K117" s="233" t="n"/>
      <c r="L117" s="233">
        <f>IF(K117&lt;&gt;"",18000+K117,18000)</f>
        <v/>
      </c>
      <c r="M117" s="156" t="n"/>
      <c r="N117" s="156" t="n"/>
      <c r="O117" s="156" t="n"/>
      <c r="Q117" s="214" t="inlineStr">
        <is>
          <t>115</t>
        </is>
      </c>
      <c r="R117" s="215" t="inlineStr">
        <is>
          <t>EUROPA 7251</t>
        </is>
      </c>
      <c r="S117" s="216" t="n">
        <v>22000</v>
      </c>
      <c r="T117" s="236" t="n">
        <v>7000</v>
      </c>
      <c r="U117" s="218" t="n">
        <v>1</v>
      </c>
      <c r="V117" s="219" t="inlineStr">
        <is>
          <t>06/02/2026</t>
        </is>
      </c>
    </row>
    <row r="118" ht="15.75" customHeight="1" s="153">
      <c r="A118" s="237" t="n">
        <v>46065</v>
      </c>
      <c r="B118" s="238" t="inlineStr">
        <is>
          <t>OTNIEL</t>
        </is>
      </c>
      <c r="C118" s="239" t="n">
        <v>1</v>
      </c>
      <c r="D118" s="239" t="n">
        <v>1</v>
      </c>
      <c r="E118" s="239" t="n"/>
      <c r="F118" s="240" t="n"/>
      <c r="G118" s="240" t="n"/>
      <c r="H118" s="241" t="n">
        <v>47500</v>
      </c>
      <c r="I118" s="242" t="n"/>
      <c r="J118" s="242" t="n">
        <v>47500</v>
      </c>
      <c r="K118" s="233" t="n"/>
      <c r="L118" s="233">
        <f>IF(K118&lt;&gt;"",21250+K118,21250)</f>
        <v/>
      </c>
      <c r="M118" s="156" t="n"/>
      <c r="N118" s="156" t="n"/>
      <c r="O118" s="156" t="n"/>
      <c r="Q118" s="221" t="inlineStr">
        <is>
          <t>116</t>
        </is>
      </c>
      <c r="R118" s="222" t="inlineStr">
        <is>
          <t>GENERAL PAZ 7989</t>
        </is>
      </c>
      <c r="S118" s="223" t="n">
        <v>22000</v>
      </c>
      <c r="T118" s="224" t="n">
        <v>7000</v>
      </c>
      <c r="U118" s="225" t="n">
        <v>1</v>
      </c>
      <c r="V118" s="226" t="inlineStr">
        <is>
          <t>01/02/2026</t>
        </is>
      </c>
    </row>
    <row r="119" ht="15.75" customHeight="1" s="153">
      <c r="A119" s="227" t="n"/>
      <c r="B119" s="228" t="inlineStr">
        <is>
          <t>CALLEJON AGUIRRE 5255</t>
        </is>
      </c>
      <c r="C119" s="229" t="n">
        <v>1</v>
      </c>
      <c r="D119" s="229" t="n"/>
      <c r="E119" s="229" t="n"/>
      <c r="F119" s="230" t="n"/>
      <c r="G119" s="230" t="n"/>
      <c r="H119" s="231" t="n">
        <v>22000</v>
      </c>
      <c r="I119" s="232" t="n"/>
      <c r="J119" s="232" t="n">
        <v>22000</v>
      </c>
      <c r="K119" s="233" t="n"/>
      <c r="L119" s="233">
        <f>IF(K119&lt;&gt;"",11500+K119,11500)</f>
        <v/>
      </c>
      <c r="M119" s="156" t="n"/>
      <c r="N119" s="156" t="n"/>
      <c r="O119" s="156" t="n"/>
      <c r="Q119" s="214" t="inlineStr">
        <is>
          <t>117</t>
        </is>
      </c>
      <c r="R119" s="215" t="inlineStr">
        <is>
          <t>SAVEDRA 1683</t>
        </is>
      </c>
      <c r="S119" s="216" t="n">
        <v>22000</v>
      </c>
      <c r="T119" s="236" t="n">
        <v>7000</v>
      </c>
      <c r="U119" s="218" t="n">
        <v>1</v>
      </c>
      <c r="V119" s="219" t="inlineStr">
        <is>
          <t>01/02/2026</t>
        </is>
      </c>
    </row>
    <row r="120" ht="15.75" customHeight="1" s="153">
      <c r="A120" s="237" t="n"/>
      <c r="B120" s="238" t="inlineStr">
        <is>
          <t>MISIONES 6381 PANA</t>
        </is>
      </c>
      <c r="C120" s="239" t="n">
        <v>1</v>
      </c>
      <c r="D120" s="239" t="n"/>
      <c r="E120" s="239" t="n">
        <v>1</v>
      </c>
      <c r="F120" s="240" t="n"/>
      <c r="G120" s="240" t="n"/>
      <c r="H120" s="241" t="n">
        <v>93000</v>
      </c>
      <c r="I120" s="242" t="n"/>
      <c r="J120" s="242" t="n">
        <v>93000</v>
      </c>
      <c r="K120" s="233" t="n"/>
      <c r="L120" s="233">
        <f>IF(K120&lt;&gt;"",35500+K120,35500)</f>
        <v/>
      </c>
      <c r="M120" s="156" t="n"/>
      <c r="N120" s="156" t="n"/>
      <c r="O120" s="156" t="n"/>
      <c r="Q120" s="221" t="inlineStr">
        <is>
          <t>118</t>
        </is>
      </c>
      <c r="R120" s="222" t="inlineStr">
        <is>
          <t>GENERAL PAZ 6050</t>
        </is>
      </c>
      <c r="S120" s="223" t="n">
        <v>22000</v>
      </c>
      <c r="T120" s="224" t="n">
        <v>7000</v>
      </c>
      <c r="U120" s="225" t="n">
        <v>1</v>
      </c>
      <c r="V120" s="226" t="inlineStr">
        <is>
          <t>03/02/2026</t>
        </is>
      </c>
    </row>
    <row r="121" ht="15.75" customHeight="1" s="153">
      <c r="A121" s="227" t="n"/>
      <c r="B121" s="228" t="inlineStr">
        <is>
          <t>LUCHO</t>
        </is>
      </c>
      <c r="C121" s="229" t="n">
        <v>3</v>
      </c>
      <c r="D121" s="229" t="n"/>
      <c r="E121" s="229" t="n"/>
      <c r="F121" s="230" t="n"/>
      <c r="G121" s="230" t="n"/>
      <c r="H121" s="231" t="n">
        <v>43500</v>
      </c>
      <c r="I121" s="232" t="n"/>
      <c r="J121" s="232" t="n">
        <v>43500</v>
      </c>
      <c r="K121" s="233" t="n"/>
      <c r="L121" s="233">
        <f>IF(K121&lt;&gt;"",12000+K121,12000)</f>
        <v/>
      </c>
      <c r="M121" s="156" t="n"/>
      <c r="N121" s="156" t="n"/>
      <c r="O121" s="156" t="n"/>
      <c r="Q121" s="214" t="inlineStr">
        <is>
          <t>119</t>
        </is>
      </c>
      <c r="R121" s="215" t="inlineStr">
        <is>
          <t>CASTELLI 4320</t>
        </is>
      </c>
      <c r="S121" s="216" t="n">
        <v>22000</v>
      </c>
      <c r="T121" s="236" t="n">
        <v>7000</v>
      </c>
      <c r="U121" s="218" t="n">
        <v>1</v>
      </c>
      <c r="V121" s="219" t="inlineStr">
        <is>
          <t>07/02/2026</t>
        </is>
      </c>
    </row>
    <row r="122" ht="15.75" customHeight="1" s="153">
      <c r="A122" s="237" t="n"/>
      <c r="B122" s="238" t="inlineStr">
        <is>
          <t>AZCUENAGA 5023</t>
        </is>
      </c>
      <c r="C122" s="239" t="n">
        <v>3</v>
      </c>
      <c r="D122" s="239" t="n">
        <v>2</v>
      </c>
      <c r="E122" s="239" t="n"/>
      <c r="F122" s="240" t="n"/>
      <c r="G122" s="240" t="n"/>
      <c r="H122" s="241" t="n">
        <v>87500</v>
      </c>
      <c r="I122" s="242" t="n"/>
      <c r="J122" s="242" t="n">
        <v>87500</v>
      </c>
      <c r="K122" s="233" t="n"/>
      <c r="L122" s="233">
        <f>IF(K122&lt;&gt;"",24500+K122,24500)</f>
        <v/>
      </c>
      <c r="M122" s="156" t="n"/>
      <c r="N122" s="156" t="n"/>
      <c r="O122" s="156" t="n"/>
      <c r="Q122" s="221" t="inlineStr">
        <is>
          <t>120</t>
        </is>
      </c>
      <c r="R122" s="222" t="inlineStr">
        <is>
          <t>FLORES 2 TORRE 8</t>
        </is>
      </c>
      <c r="S122" s="223" t="n">
        <v>22000</v>
      </c>
      <c r="T122" s="224" t="n">
        <v>7000</v>
      </c>
      <c r="U122" s="225" t="n">
        <v>1</v>
      </c>
      <c r="V122" s="226" t="inlineStr">
        <is>
          <t>07/02/2026</t>
        </is>
      </c>
    </row>
    <row r="123" ht="15.75" customHeight="1" s="153">
      <c r="A123" s="227" t="n"/>
      <c r="B123" s="228" t="inlineStr">
        <is>
          <t>SANDRA</t>
        </is>
      </c>
      <c r="C123" s="229" t="n">
        <v>3</v>
      </c>
      <c r="D123" s="229" t="n"/>
      <c r="E123" s="229" t="n"/>
      <c r="F123" s="230" t="n"/>
      <c r="G123" s="230" t="n"/>
      <c r="H123" s="231" t="n">
        <v>43500</v>
      </c>
      <c r="I123" s="232" t="n">
        <v>43500</v>
      </c>
      <c r="J123" s="232" t="n"/>
      <c r="K123" s="233" t="n"/>
      <c r="L123" s="233">
        <f>IF(K123&lt;&gt;"",12000+K123,12000)</f>
        <v/>
      </c>
      <c r="M123" s="156" t="n"/>
      <c r="N123" s="156" t="n"/>
      <c r="O123" s="156" t="n"/>
      <c r="Q123" s="214" t="inlineStr">
        <is>
          <t>121</t>
        </is>
      </c>
      <c r="R123" s="215" t="inlineStr">
        <is>
          <t>ROQUE SAENZ PENA 7744</t>
        </is>
      </c>
      <c r="S123" s="216" t="n">
        <v>22000</v>
      </c>
      <c r="T123" s="236" t="n">
        <v>7000</v>
      </c>
      <c r="U123" s="218" t="n">
        <v>1</v>
      </c>
      <c r="V123" s="219" t="inlineStr">
        <is>
          <t>08/02/2026</t>
        </is>
      </c>
    </row>
    <row r="124" ht="15.75" customHeight="1" s="153">
      <c r="A124" s="237" t="n"/>
      <c r="B124" s="238" t="inlineStr">
        <is>
          <t>CINDI</t>
        </is>
      </c>
      <c r="C124" s="239" t="n"/>
      <c r="D124" s="239" t="n"/>
      <c r="E124" s="239" t="n"/>
      <c r="F124" s="240" t="n">
        <v>2</v>
      </c>
      <c r="G124" s="240" t="n"/>
      <c r="H124" s="241" t="n">
        <v>7000</v>
      </c>
      <c r="I124" s="242" t="n"/>
      <c r="J124" s="242" t="n">
        <v>7000</v>
      </c>
      <c r="K124" s="233" t="n"/>
      <c r="L124" s="233">
        <f>IF(K124&lt;&gt;"",2350+K124,2350)</f>
        <v/>
      </c>
      <c r="M124" s="156" t="n"/>
      <c r="N124" s="156" t="n"/>
      <c r="O124" s="156" t="n"/>
      <c r="Q124" s="221" t="inlineStr">
        <is>
          <t>122</t>
        </is>
      </c>
      <c r="R124" s="222" t="inlineStr">
        <is>
          <t>SALTA 2709</t>
        </is>
      </c>
      <c r="S124" s="223" t="n">
        <v>22000</v>
      </c>
      <c r="T124" s="224" t="n">
        <v>7000</v>
      </c>
      <c r="U124" s="225" t="n">
        <v>1</v>
      </c>
      <c r="V124" s="226" t="inlineStr">
        <is>
          <t>08/02/2026</t>
        </is>
      </c>
    </row>
    <row r="125" ht="15.75" customHeight="1" s="153">
      <c r="A125" s="227" t="n"/>
      <c r="B125" s="228" t="inlineStr">
        <is>
          <t>PASAJE ROCA 6371</t>
        </is>
      </c>
      <c r="C125" s="229" t="n">
        <v>1</v>
      </c>
      <c r="D125" s="229" t="n"/>
      <c r="E125" s="229" t="n"/>
      <c r="F125" s="230" t="n"/>
      <c r="G125" s="230" t="n"/>
      <c r="H125" s="231" t="n">
        <v>22000</v>
      </c>
      <c r="I125" s="232" t="n"/>
      <c r="J125" s="232" t="n">
        <v>22000</v>
      </c>
      <c r="K125" s="233" t="n"/>
      <c r="L125" s="233">
        <f>IF(K125&lt;&gt;"",11500+K125,11500)</f>
        <v/>
      </c>
      <c r="M125" s="156" t="n"/>
      <c r="N125" s="156" t="n"/>
      <c r="O125" s="156" t="n"/>
      <c r="Q125" s="214" t="inlineStr">
        <is>
          <t>123</t>
        </is>
      </c>
      <c r="R125" s="215" t="inlineStr">
        <is>
          <t>CLUB NACIONAL</t>
        </is>
      </c>
      <c r="S125" s="216" t="n">
        <v>22000</v>
      </c>
      <c r="T125" s="236" t="n">
        <v>7000</v>
      </c>
      <c r="U125" s="218" t="n">
        <v>1</v>
      </c>
      <c r="V125" s="219" t="inlineStr">
        <is>
          <t>08/02/2026</t>
        </is>
      </c>
    </row>
    <row r="126" ht="15.75" customHeight="1" s="153">
      <c r="A126" s="237" t="n"/>
      <c r="B126" s="238" t="inlineStr">
        <is>
          <t>SERBANDO BAYO 6840</t>
        </is>
      </c>
      <c r="C126" s="239" t="n">
        <v>1</v>
      </c>
      <c r="D126" s="239" t="n"/>
      <c r="E126" s="239" t="n"/>
      <c r="F126" s="240" t="n"/>
      <c r="G126" s="240" t="n"/>
      <c r="H126" s="241" t="n">
        <v>22000</v>
      </c>
      <c r="I126" s="242" t="n">
        <v>22000</v>
      </c>
      <c r="J126" s="242" t="n"/>
      <c r="K126" s="233" t="n"/>
      <c r="L126" s="233">
        <f>IF(K126&lt;&gt;"",11500+K126,11500)</f>
        <v/>
      </c>
      <c r="M126" s="156" t="n"/>
      <c r="N126" s="156" t="n"/>
      <c r="O126" s="156" t="n"/>
      <c r="Q126" s="221" t="inlineStr">
        <is>
          <t>124</t>
        </is>
      </c>
      <c r="R126" s="222" t="inlineStr">
        <is>
          <t>ABUELA LUCAS</t>
        </is>
      </c>
      <c r="S126" s="223" t="n">
        <v>22000</v>
      </c>
      <c r="T126" s="224" t="n">
        <v>7000</v>
      </c>
      <c r="U126" s="225" t="n">
        <v>1</v>
      </c>
      <c r="V126" s="226" t="inlineStr">
        <is>
          <t>09/02/2026</t>
        </is>
      </c>
    </row>
    <row r="127" ht="15.75" customHeight="1" s="153">
      <c r="A127" s="227" t="n">
        <v>46066</v>
      </c>
      <c r="B127" s="228" t="inlineStr">
        <is>
          <t>LUCHO</t>
        </is>
      </c>
      <c r="C127" s="229" t="n">
        <v>4</v>
      </c>
      <c r="D127" s="229" t="n">
        <v>1</v>
      </c>
      <c r="E127" s="229" t="n"/>
      <c r="F127" s="230" t="n"/>
      <c r="G127" s="230" t="n"/>
      <c r="H127" s="231" t="n">
        <v>80500</v>
      </c>
      <c r="I127" s="232" t="n">
        <v>80500</v>
      </c>
      <c r="J127" s="232" t="n"/>
      <c r="K127" s="233" t="n"/>
      <c r="L127" s="233">
        <f>IF(K127&lt;&gt;"",22750+K127,22750)</f>
        <v/>
      </c>
      <c r="M127" s="156" t="n"/>
      <c r="N127" s="156" t="n"/>
      <c r="O127" s="156" t="n"/>
      <c r="Q127" s="214" t="inlineStr">
        <is>
          <t>125</t>
        </is>
      </c>
      <c r="R127" s="215" t="inlineStr">
        <is>
          <t>PEDRO FERRE 2213</t>
        </is>
      </c>
      <c r="S127" s="216" t="n">
        <v>22000</v>
      </c>
      <c r="T127" s="236" t="n">
        <v>7000</v>
      </c>
      <c r="U127" s="218" t="n">
        <v>1</v>
      </c>
      <c r="V127" s="219" t="inlineStr">
        <is>
          <t>11/02/2026</t>
        </is>
      </c>
    </row>
    <row r="128" ht="15.75" customHeight="1" s="153">
      <c r="A128" s="237" t="n"/>
      <c r="B128" s="238" t="inlineStr">
        <is>
          <t>HOTEL ROYAL</t>
        </is>
      </c>
      <c r="C128" s="239" t="n"/>
      <c r="D128" s="239" t="n"/>
      <c r="E128" s="239" t="n">
        <v>1</v>
      </c>
      <c r="F128" s="240" t="n"/>
      <c r="G128" s="240" t="n"/>
      <c r="H128" s="241" t="n">
        <v>77000</v>
      </c>
      <c r="I128" s="242" t="n">
        <v>77000</v>
      </c>
      <c r="J128" s="242" t="n"/>
      <c r="K128" s="233" t="n"/>
      <c r="L128" s="233">
        <f>IF(K128&lt;&gt;"",30000+K128,30000)</f>
        <v/>
      </c>
      <c r="M128" s="156" t="n"/>
      <c r="N128" s="156" t="n"/>
      <c r="O128" s="156" t="n"/>
      <c r="Q128" s="221" t="inlineStr">
        <is>
          <t>126</t>
        </is>
      </c>
      <c r="R128" s="222" t="inlineStr">
        <is>
          <t>FRANCAI 2247</t>
        </is>
      </c>
      <c r="S128" s="223" t="n">
        <v>22000</v>
      </c>
      <c r="T128" s="224" t="n">
        <v>7000</v>
      </c>
      <c r="U128" s="225" t="n">
        <v>1</v>
      </c>
      <c r="V128" s="226" t="inlineStr">
        <is>
          <t>11/02/2026</t>
        </is>
      </c>
    </row>
    <row r="129" ht="15.75" customHeight="1" s="153">
      <c r="A129" s="227" t="n"/>
      <c r="B129" s="228" t="inlineStr">
        <is>
          <t>PANA VIEYTES GISE</t>
        </is>
      </c>
      <c r="C129" s="229" t="n">
        <v>1</v>
      </c>
      <c r="D129" s="229" t="n"/>
      <c r="E129" s="229" t="n"/>
      <c r="F129" s="230" t="n"/>
      <c r="G129" s="230" t="n"/>
      <c r="H129" s="231" t="n">
        <v>17500</v>
      </c>
      <c r="I129" s="232" t="n"/>
      <c r="J129" s="232" t="n">
        <v>17500</v>
      </c>
      <c r="K129" s="233" t="n"/>
      <c r="L129" s="233">
        <f>IF(K129&lt;&gt;"",7000+K129,7000)</f>
        <v/>
      </c>
      <c r="M129" s="156" t="n"/>
      <c r="N129" s="156" t="n"/>
      <c r="O129" s="156" t="n"/>
      <c r="Q129" s="214" t="inlineStr">
        <is>
          <t>127</t>
        </is>
      </c>
      <c r="R129" s="215" t="inlineStr">
        <is>
          <t>RIVADAVIA JUNIORS</t>
        </is>
      </c>
      <c r="S129" s="216" t="n">
        <v>22000</v>
      </c>
      <c r="T129" s="236" t="n">
        <v>7000</v>
      </c>
      <c r="U129" s="218" t="n">
        <v>1</v>
      </c>
      <c r="V129" s="219" t="inlineStr">
        <is>
          <t>11/02/2026</t>
        </is>
      </c>
    </row>
    <row r="130" ht="15.75" customHeight="1" s="153">
      <c r="A130" s="237" t="n"/>
      <c r="B130" s="238" t="inlineStr">
        <is>
          <t>GENERAL PAZ 7826</t>
        </is>
      </c>
      <c r="C130" s="239" t="n">
        <v>1</v>
      </c>
      <c r="D130" s="239" t="n"/>
      <c r="E130" s="239" t="n">
        <v>1</v>
      </c>
      <c r="F130" s="240" t="n"/>
      <c r="G130" s="240" t="n"/>
      <c r="H130" s="241" t="n">
        <v>96000</v>
      </c>
      <c r="I130" s="242" t="n">
        <v>96000</v>
      </c>
      <c r="J130" s="242" t="n"/>
      <c r="K130" s="233" t="n"/>
      <c r="L130" s="233">
        <f>IF(K130&lt;&gt;"",38500+K130,38500)</f>
        <v/>
      </c>
      <c r="M130" s="156" t="n"/>
      <c r="N130" s="156" t="n"/>
      <c r="O130" s="156" t="n"/>
      <c r="Q130" s="221" t="inlineStr">
        <is>
          <t>128</t>
        </is>
      </c>
      <c r="R130" s="222" t="inlineStr">
        <is>
          <t>CALLEJON AGUIRRE 5255</t>
        </is>
      </c>
      <c r="S130" s="223" t="n">
        <v>22000</v>
      </c>
      <c r="T130" s="224" t="n">
        <v>7000</v>
      </c>
      <c r="U130" s="225" t="n">
        <v>1</v>
      </c>
      <c r="V130" s="226" t="inlineStr">
        <is>
          <t>12/02/2026</t>
        </is>
      </c>
    </row>
    <row r="131" ht="15.75" customHeight="1" s="153">
      <c r="A131" s="227" t="n"/>
      <c r="B131" s="228" t="inlineStr">
        <is>
          <t>CASTELLI 5406</t>
        </is>
      </c>
      <c r="C131" s="229" t="n">
        <v>1</v>
      </c>
      <c r="D131" s="229" t="n"/>
      <c r="E131" s="229" t="n"/>
      <c r="F131" s="230" t="n"/>
      <c r="G131" s="230" t="n"/>
      <c r="H131" s="231" t="n">
        <v>22000</v>
      </c>
      <c r="I131" s="232" t="n">
        <v>22000</v>
      </c>
      <c r="J131" s="232" t="n"/>
      <c r="K131" s="233" t="n"/>
      <c r="L131" s="233">
        <f>IF(K131&lt;&gt;"",11500+K131,11500)</f>
        <v/>
      </c>
      <c r="M131" s="156" t="n"/>
      <c r="N131" s="156" t="n"/>
      <c r="O131" s="156" t="n"/>
      <c r="Q131" s="214" t="inlineStr">
        <is>
          <t>129</t>
        </is>
      </c>
      <c r="R131" s="215" t="inlineStr">
        <is>
          <t>PASAJE ROCA 6371</t>
        </is>
      </c>
      <c r="S131" s="216" t="n">
        <v>22000</v>
      </c>
      <c r="T131" s="236" t="n">
        <v>7000</v>
      </c>
      <c r="U131" s="218" t="n">
        <v>1</v>
      </c>
      <c r="V131" s="219" t="inlineStr">
        <is>
          <t>12/02/2026</t>
        </is>
      </c>
    </row>
    <row r="132" ht="15.75" customHeight="1" s="153">
      <c r="A132" s="237" t="n"/>
      <c r="B132" s="238" t="inlineStr">
        <is>
          <t>ESPORA 4321</t>
        </is>
      </c>
      <c r="C132" s="239" t="n">
        <v>1</v>
      </c>
      <c r="D132" s="239" t="n"/>
      <c r="E132" s="239" t="n"/>
      <c r="F132" s="240" t="n"/>
      <c r="G132" s="240" t="n"/>
      <c r="H132" s="241" t="n">
        <v>22000</v>
      </c>
      <c r="I132" s="242" t="n">
        <v>22000</v>
      </c>
      <c r="J132" s="242" t="n"/>
      <c r="K132" s="233" t="n"/>
      <c r="L132" s="233">
        <f>IF(K132&lt;&gt;"",11500+K132,11500)</f>
        <v/>
      </c>
      <c r="M132" s="156" t="n"/>
      <c r="N132" s="156" t="n"/>
      <c r="O132" s="156" t="n"/>
      <c r="Q132" s="221" t="inlineStr">
        <is>
          <t>130</t>
        </is>
      </c>
      <c r="R132" s="222" t="inlineStr">
        <is>
          <t>ESPORA 4321</t>
        </is>
      </c>
      <c r="S132" s="223" t="n">
        <v>22000</v>
      </c>
      <c r="T132" s="224" t="n">
        <v>7000</v>
      </c>
      <c r="U132" s="225" t="n">
        <v>1</v>
      </c>
      <c r="V132" s="226" t="inlineStr">
        <is>
          <t>13/02/2026</t>
        </is>
      </c>
    </row>
    <row r="133" ht="15.75" customHeight="1" s="153">
      <c r="A133" s="227" t="n"/>
      <c r="B133" s="228" t="inlineStr">
        <is>
          <t>VIEYTES 4476</t>
        </is>
      </c>
      <c r="C133" s="229" t="n">
        <v>1</v>
      </c>
      <c r="D133" s="229" t="n"/>
      <c r="E133" s="229" t="n"/>
      <c r="F133" s="230" t="n"/>
      <c r="G133" s="230" t="n"/>
      <c r="H133" s="231" t="n">
        <v>22000</v>
      </c>
      <c r="I133" s="232" t="n">
        <v>22000</v>
      </c>
      <c r="J133" s="232" t="n"/>
      <c r="K133" s="233" t="n"/>
      <c r="L133" s="233">
        <f>IF(K133&lt;&gt;"",11500+K133,11500)</f>
        <v/>
      </c>
      <c r="M133" s="156" t="n"/>
      <c r="N133" s="156" t="n"/>
      <c r="O133" s="156" t="n"/>
      <c r="Q133" s="214" t="inlineStr">
        <is>
          <t>131</t>
        </is>
      </c>
      <c r="R133" s="215" t="inlineStr">
        <is>
          <t>VIEYTES 4476</t>
        </is>
      </c>
      <c r="S133" s="216" t="n">
        <v>22000</v>
      </c>
      <c r="T133" s="236" t="n">
        <v>7000</v>
      </c>
      <c r="U133" s="218" t="n">
        <v>1</v>
      </c>
      <c r="V133" s="219" t="inlineStr">
        <is>
          <t>13/02/2026</t>
        </is>
      </c>
    </row>
    <row r="134" ht="15.75" customHeight="1" s="153">
      <c r="A134" s="237" t="n"/>
      <c r="B134" s="238" t="inlineStr">
        <is>
          <t>PEDRO ZENTENO 2744</t>
        </is>
      </c>
      <c r="C134" s="239" t="n">
        <v>1</v>
      </c>
      <c r="D134" s="239" t="n"/>
      <c r="E134" s="239" t="n"/>
      <c r="F134" s="240" t="n"/>
      <c r="G134" s="240" t="n"/>
      <c r="H134" s="241" t="n">
        <v>22000</v>
      </c>
      <c r="I134" s="242" t="n">
        <v>22000</v>
      </c>
      <c r="J134" s="242" t="n"/>
      <c r="K134" s="233" t="n"/>
      <c r="L134" s="233">
        <f>IF(K134&lt;&gt;"",11500+K134,11500)</f>
        <v/>
      </c>
      <c r="M134" s="156" t="n"/>
      <c r="N134" s="156" t="n"/>
      <c r="O134" s="156" t="n"/>
      <c r="Q134" s="221" t="inlineStr">
        <is>
          <t>132</t>
        </is>
      </c>
      <c r="R134" s="222" t="inlineStr">
        <is>
          <t>PEDRO ZENTENO 2744</t>
        </is>
      </c>
      <c r="S134" s="223" t="n">
        <v>22000</v>
      </c>
      <c r="T134" s="224" t="n">
        <v>7000</v>
      </c>
      <c r="U134" s="225" t="n">
        <v>1</v>
      </c>
      <c r="V134" s="226" t="inlineStr">
        <is>
          <t>13/02/2026</t>
        </is>
      </c>
    </row>
    <row r="135" ht="15.75" customHeight="1" s="153">
      <c r="A135" s="227" t="n"/>
      <c r="B135" s="228" t="inlineStr">
        <is>
          <t>DUSSO 7678</t>
        </is>
      </c>
      <c r="C135" s="229" t="n"/>
      <c r="D135" s="229" t="n">
        <v>1</v>
      </c>
      <c r="E135" s="229" t="n"/>
      <c r="F135" s="230" t="n"/>
      <c r="G135" s="230" t="n"/>
      <c r="H135" s="231" t="n">
        <v>22000</v>
      </c>
      <c r="I135" s="232" t="n">
        <v>22000</v>
      </c>
      <c r="J135" s="232" t="n"/>
      <c r="K135" s="233" t="n"/>
      <c r="L135" s="233">
        <f>IF(K135&lt;&gt;"",6250+K135,6250)</f>
        <v/>
      </c>
      <c r="M135" s="156" t="n"/>
      <c r="N135" s="156" t="n"/>
      <c r="O135" s="156" t="n"/>
      <c r="Q135" s="214" t="inlineStr">
        <is>
          <t>133</t>
        </is>
      </c>
      <c r="R135" s="215" t="inlineStr">
        <is>
          <t>4 DE ENERO 3526</t>
        </is>
      </c>
      <c r="S135" s="216" t="n">
        <v>22000</v>
      </c>
      <c r="T135" s="236" t="n">
        <v>7000</v>
      </c>
      <c r="U135" s="218" t="n">
        <v>1</v>
      </c>
      <c r="V135" s="219" t="inlineStr">
        <is>
          <t>14/02/2026</t>
        </is>
      </c>
    </row>
    <row r="136" ht="15.75" customHeight="1" s="153">
      <c r="A136" s="237" t="n"/>
      <c r="B136" s="238" t="inlineStr">
        <is>
          <t>RIO NEGRO 6558</t>
        </is>
      </c>
      <c r="C136" s="239" t="n"/>
      <c r="D136" s="239" t="n"/>
      <c r="E136" s="239" t="n">
        <v>1</v>
      </c>
      <c r="F136" s="240" t="n"/>
      <c r="G136" s="240" t="n"/>
      <c r="H136" s="241" t="n">
        <v>77000</v>
      </c>
      <c r="I136" s="242" t="n">
        <v>77000</v>
      </c>
      <c r="J136" s="242" t="n"/>
      <c r="K136" s="233" t="n"/>
      <c r="L136" s="233">
        <f>IF(K136&lt;&gt;"",30000+K136,30000)</f>
        <v/>
      </c>
      <c r="M136" s="156" t="n"/>
      <c r="N136" s="156" t="n"/>
      <c r="O136" s="156" t="n"/>
      <c r="Q136" s="221" t="inlineStr">
        <is>
          <t>134</t>
        </is>
      </c>
      <c r="R136" s="222" t="inlineStr">
        <is>
          <t>MISIONES 5780</t>
        </is>
      </c>
      <c r="S136" s="223" t="n">
        <v>22000</v>
      </c>
      <c r="T136" s="224" t="n">
        <v>7000</v>
      </c>
      <c r="U136" s="225" t="n">
        <v>1</v>
      </c>
      <c r="V136" s="226" t="inlineStr">
        <is>
          <t>15/02/2026</t>
        </is>
      </c>
    </row>
    <row r="137" ht="15.75" customHeight="1" s="153">
      <c r="A137" s="227" t="n"/>
      <c r="B137" s="228" t="inlineStr">
        <is>
          <t>FILOMENA</t>
        </is>
      </c>
      <c r="C137" s="229" t="n">
        <v>3</v>
      </c>
      <c r="D137" s="229" t="n"/>
      <c r="E137" s="229" t="n"/>
      <c r="F137" s="230" t="n"/>
      <c r="G137" s="230" t="n"/>
      <c r="H137" s="231" t="n">
        <v>54000</v>
      </c>
      <c r="I137" s="232" t="n"/>
      <c r="J137" s="232" t="n">
        <v>54000</v>
      </c>
      <c r="K137" s="233" t="n"/>
      <c r="L137" s="233">
        <f>IF(K137&lt;&gt;"",22500+K137,22500)</f>
        <v/>
      </c>
      <c r="M137" s="156" t="n"/>
      <c r="N137" s="156" t="n"/>
      <c r="O137" s="156" t="n"/>
      <c r="Q137" s="214" t="inlineStr">
        <is>
          <t>135</t>
        </is>
      </c>
      <c r="R137" s="215" t="inlineStr">
        <is>
          <t>AZOPARDO 8505</t>
        </is>
      </c>
      <c r="S137" s="216" t="n">
        <v>22000</v>
      </c>
      <c r="T137" s="236" t="n">
        <v>7000</v>
      </c>
      <c r="U137" s="218" t="n">
        <v>1</v>
      </c>
      <c r="V137" s="219" t="inlineStr">
        <is>
          <t>15/02/2026</t>
        </is>
      </c>
    </row>
    <row r="138" ht="15.75" customHeight="1" s="153">
      <c r="A138" s="237" t="n"/>
      <c r="B138" s="238" t="inlineStr">
        <is>
          <t>ALSINA 9251</t>
        </is>
      </c>
      <c r="C138" s="239" t="n"/>
      <c r="D138" s="239" t="n"/>
      <c r="E138" s="239" t="n">
        <v>1</v>
      </c>
      <c r="F138" s="240" t="n"/>
      <c r="G138" s="240" t="n"/>
      <c r="H138" s="241" t="n">
        <v>77000</v>
      </c>
      <c r="I138" s="242" t="n">
        <v>77000</v>
      </c>
      <c r="J138" s="242" t="n"/>
      <c r="K138" s="233" t="n"/>
      <c r="L138" s="233">
        <f>IF(K138&lt;&gt;"",30000+K138,30000)</f>
        <v/>
      </c>
      <c r="M138" s="156" t="n"/>
      <c r="N138" s="156" t="n"/>
      <c r="O138" s="156" t="n"/>
      <c r="Q138" s="221" t="inlineStr">
        <is>
          <t>136</t>
        </is>
      </c>
      <c r="R138" s="222" t="inlineStr">
        <is>
          <t>SAN JOSE 7369</t>
        </is>
      </c>
      <c r="S138" s="223" t="n">
        <v>22000</v>
      </c>
      <c r="T138" s="224" t="n">
        <v>7000</v>
      </c>
      <c r="U138" s="225" t="n">
        <v>1</v>
      </c>
      <c r="V138" s="226" t="inlineStr">
        <is>
          <t>15/02/2026</t>
        </is>
      </c>
    </row>
    <row r="139" ht="15.75" customHeight="1" s="153">
      <c r="A139" s="227" t="n"/>
      <c r="B139" s="228" t="inlineStr">
        <is>
          <t>SABOREAR</t>
        </is>
      </c>
      <c r="C139" s="229" t="n"/>
      <c r="D139" s="229" t="n">
        <v>1</v>
      </c>
      <c r="E139" s="229" t="n">
        <v>1</v>
      </c>
      <c r="F139" s="230" t="n"/>
      <c r="G139" s="230" t="n"/>
      <c r="H139" s="231" t="n">
        <v>97000</v>
      </c>
      <c r="I139" s="232" t="n"/>
      <c r="J139" s="232" t="n">
        <v>97000</v>
      </c>
      <c r="K139" s="233" t="n"/>
      <c r="L139" s="233">
        <f>IF(K139&lt;&gt;"",34250+K139,34250)</f>
        <v/>
      </c>
      <c r="M139" s="156" t="n"/>
      <c r="N139" s="156" t="n"/>
      <c r="O139" s="156" t="n"/>
      <c r="Q139" s="214" t="inlineStr">
        <is>
          <t>137</t>
        </is>
      </c>
      <c r="R139" s="215" t="inlineStr">
        <is>
          <t>LA MADRID 2059</t>
        </is>
      </c>
      <c r="S139" s="216" t="n">
        <v>22000</v>
      </c>
      <c r="T139" s="236" t="n">
        <v>7000</v>
      </c>
      <c r="U139" s="218" t="n">
        <v>1</v>
      </c>
      <c r="V139" s="219" t="inlineStr">
        <is>
          <t>17/02/2026</t>
        </is>
      </c>
    </row>
    <row r="140" ht="15.75" customHeight="1" s="153">
      <c r="A140" s="237" t="n"/>
      <c r="B140" s="238" t="inlineStr">
        <is>
          <t>ROTI VIEYTES</t>
        </is>
      </c>
      <c r="C140" s="239" t="n"/>
      <c r="D140" s="239" t="n">
        <v>2</v>
      </c>
      <c r="E140" s="239" t="n"/>
      <c r="F140" s="240" t="n"/>
      <c r="G140" s="240" t="n"/>
      <c r="H140" s="241" t="n">
        <v>44000</v>
      </c>
      <c r="I140" s="242" t="n"/>
      <c r="J140" s="242" t="n">
        <v>44000</v>
      </c>
      <c r="K140" s="233" t="n"/>
      <c r="L140" s="233">
        <f>IF(K140&lt;&gt;"",12500+K140,12500)</f>
        <v/>
      </c>
      <c r="M140" s="156" t="n"/>
      <c r="N140" s="156" t="n"/>
      <c r="O140" s="156" t="n"/>
      <c r="Q140" s="221" t="inlineStr">
        <is>
          <t>138</t>
        </is>
      </c>
      <c r="R140" s="222" t="inlineStr">
        <is>
          <t>RIVADAVIA 6746</t>
        </is>
      </c>
      <c r="S140" s="223" t="n">
        <v>22000</v>
      </c>
      <c r="T140" s="224" t="n">
        <v>7000</v>
      </c>
      <c r="U140" s="225" t="n">
        <v>1</v>
      </c>
      <c r="V140" s="226" t="inlineStr">
        <is>
          <t>18/02/2026</t>
        </is>
      </c>
    </row>
    <row r="141" ht="15.75" customHeight="1" s="153">
      <c r="A141" s="227" t="n"/>
      <c r="B141" s="228" t="inlineStr">
        <is>
          <t>NACHO</t>
        </is>
      </c>
      <c r="C141" s="229" t="n"/>
      <c r="D141" s="229" t="n">
        <v>1</v>
      </c>
      <c r="E141" s="229" t="n"/>
      <c r="F141" s="230" t="n"/>
      <c r="G141" s="230" t="n"/>
      <c r="H141" s="231" t="n">
        <v>27000</v>
      </c>
      <c r="I141" s="232" t="n"/>
      <c r="J141" s="232" t="n">
        <v>27000</v>
      </c>
      <c r="K141" s="233" t="n"/>
      <c r="L141" s="233">
        <f>IF(K141&lt;&gt;"",11250+K141,11250)</f>
        <v/>
      </c>
      <c r="M141" s="156" t="n"/>
      <c r="N141" s="156" t="n"/>
      <c r="O141" s="156" t="n"/>
      <c r="Q141" s="214" t="inlineStr">
        <is>
          <t>139</t>
        </is>
      </c>
      <c r="R141" s="215" t="inlineStr">
        <is>
          <t>AZOPARDO 7263</t>
        </is>
      </c>
      <c r="S141" s="216" t="n">
        <v>22000</v>
      </c>
      <c r="T141" s="236" t="n">
        <v>7000</v>
      </c>
      <c r="U141" s="218" t="n">
        <v>1</v>
      </c>
      <c r="V141" s="219" t="inlineStr">
        <is>
          <t>18/02/2026</t>
        </is>
      </c>
    </row>
    <row r="142" ht="15.75" customHeight="1" s="153">
      <c r="A142" s="237" t="n"/>
      <c r="B142" s="238" t="inlineStr">
        <is>
          <t>BRASERIA</t>
        </is>
      </c>
      <c r="C142" s="239" t="n"/>
      <c r="D142" s="239" t="n"/>
      <c r="E142" s="239" t="n">
        <v>1</v>
      </c>
      <c r="F142" s="240" t="n"/>
      <c r="G142" s="240" t="n"/>
      <c r="H142" s="241" t="n">
        <v>71000</v>
      </c>
      <c r="I142" s="242" t="n"/>
      <c r="J142" s="242" t="n">
        <v>71000</v>
      </c>
      <c r="K142" s="233" t="n"/>
      <c r="L142" s="233">
        <f>IF(K142&lt;&gt;"",24000+K142,24000)</f>
        <v/>
      </c>
      <c r="M142" s="156" t="n"/>
      <c r="N142" s="156" t="n"/>
      <c r="O142" s="156" t="n"/>
      <c r="Q142" s="221" t="inlineStr">
        <is>
          <t>140</t>
        </is>
      </c>
      <c r="R142" s="222" t="inlineStr">
        <is>
          <t>PAMPA 5745</t>
        </is>
      </c>
      <c r="S142" s="223" t="n">
        <v>22000</v>
      </c>
      <c r="T142" s="224" t="n">
        <v>7000</v>
      </c>
      <c r="U142" s="225" t="n">
        <v>1</v>
      </c>
      <c r="V142" s="226" t="inlineStr">
        <is>
          <t>18/02/2026</t>
        </is>
      </c>
    </row>
    <row r="143" ht="15.75" customHeight="1" s="153">
      <c r="A143" s="227" t="n">
        <v>46067</v>
      </c>
      <c r="B143" s="228" t="inlineStr">
        <is>
          <t>OTNIEL</t>
        </is>
      </c>
      <c r="C143" s="229" t="n"/>
      <c r="D143" s="229" t="n"/>
      <c r="E143" s="229" t="n">
        <v>1</v>
      </c>
      <c r="F143" s="230" t="n"/>
      <c r="G143" s="230" t="n">
        <v>2</v>
      </c>
      <c r="H143" s="231" t="n">
        <v>81000</v>
      </c>
      <c r="I143" s="232" t="n"/>
      <c r="J143" s="232" t="n">
        <v>81000</v>
      </c>
      <c r="K143" s="233" t="n"/>
      <c r="L143" s="233">
        <f>IF(K143&lt;&gt;"",32400+K143,32400)</f>
        <v/>
      </c>
      <c r="M143" s="156" t="n"/>
      <c r="N143" s="156" t="n"/>
      <c r="O143" s="156" t="n"/>
      <c r="Q143" s="214" t="inlineStr">
        <is>
          <t>141</t>
        </is>
      </c>
      <c r="R143" s="215" t="inlineStr">
        <is>
          <t>SAN JOSE 5160</t>
        </is>
      </c>
      <c r="S143" s="216" t="n">
        <v>22000</v>
      </c>
      <c r="T143" s="236" t="n">
        <v>7000</v>
      </c>
      <c r="U143" s="218" t="n">
        <v>1</v>
      </c>
      <c r="V143" s="219" t="inlineStr">
        <is>
          <t>18/02/2026</t>
        </is>
      </c>
    </row>
    <row r="144" ht="15.75" customHeight="1" s="153">
      <c r="A144" s="237" t="n"/>
      <c r="B144" s="238" t="inlineStr">
        <is>
          <t>LUCHO</t>
        </is>
      </c>
      <c r="C144" s="239" t="n">
        <v>1</v>
      </c>
      <c r="D144" s="239" t="n"/>
      <c r="E144" s="239" t="n"/>
      <c r="F144" s="240" t="n"/>
      <c r="G144" s="240" t="n"/>
      <c r="H144" s="241" t="n">
        <v>14500</v>
      </c>
      <c r="I144" s="242" t="n">
        <v>14500</v>
      </c>
      <c r="J144" s="242" t="n"/>
      <c r="K144" s="233" t="n"/>
      <c r="L144" s="233">
        <f>IF(K144&lt;&gt;"",4000+K144,4000)</f>
        <v/>
      </c>
      <c r="M144" s="156" t="n"/>
      <c r="N144" s="156" t="n"/>
      <c r="O144" s="156" t="n"/>
      <c r="Q144" s="221" t="inlineStr">
        <is>
          <t>142</t>
        </is>
      </c>
      <c r="R144" s="222" t="inlineStr">
        <is>
          <t>ECUADOR 3626</t>
        </is>
      </c>
      <c r="S144" s="223" t="n">
        <v>22000</v>
      </c>
      <c r="T144" s="224" t="n">
        <v>7000</v>
      </c>
      <c r="U144" s="225" t="n">
        <v>1</v>
      </c>
      <c r="V144" s="226" t="inlineStr">
        <is>
          <t>18/02/2026</t>
        </is>
      </c>
    </row>
    <row r="145" ht="15.75" customHeight="1" s="153">
      <c r="A145" s="227" t="n"/>
      <c r="B145" s="228" t="inlineStr">
        <is>
          <t>MARTIN ZAPATA 2101</t>
        </is>
      </c>
      <c r="C145" s="229" t="n">
        <v>3</v>
      </c>
      <c r="D145" s="229" t="n"/>
      <c r="E145" s="229" t="n"/>
      <c r="F145" s="230" t="n"/>
      <c r="G145" s="230" t="n"/>
      <c r="H145" s="231" t="n">
        <v>45000</v>
      </c>
      <c r="I145" s="232" t="n"/>
      <c r="J145" s="232" t="n">
        <v>45000</v>
      </c>
      <c r="K145" s="233" t="n"/>
      <c r="L145" s="233">
        <f>IF(K145&lt;&gt;"",13500+K145,13500)</f>
        <v/>
      </c>
      <c r="M145" s="156" t="n"/>
      <c r="N145" s="156" t="n"/>
      <c r="O145" s="156" t="n"/>
      <c r="Q145" s="214" t="inlineStr">
        <is>
          <t>143</t>
        </is>
      </c>
      <c r="R145" s="215" t="inlineStr">
        <is>
          <t>PEDRO ZENTENO</t>
        </is>
      </c>
      <c r="S145" s="216" t="n">
        <v>22000</v>
      </c>
      <c r="T145" s="236" t="n">
        <v>7000</v>
      </c>
      <c r="U145" s="218" t="n">
        <v>1</v>
      </c>
      <c r="V145" s="219" t="inlineStr">
        <is>
          <t>19/01/2026</t>
        </is>
      </c>
    </row>
    <row r="146" ht="15.75" customHeight="1" s="153">
      <c r="A146" s="237" t="n"/>
      <c r="B146" s="238" t="inlineStr">
        <is>
          <t>LARREA 3339</t>
        </is>
      </c>
      <c r="C146" s="239" t="n">
        <v>2</v>
      </c>
      <c r="D146" s="239" t="n"/>
      <c r="E146" s="239" t="n"/>
      <c r="F146" s="240" t="n"/>
      <c r="G146" s="240" t="n"/>
      <c r="H146" s="241" t="n">
        <v>30000</v>
      </c>
      <c r="I146" s="242" t="n">
        <v>30000</v>
      </c>
      <c r="J146" s="242" t="n"/>
      <c r="K146" s="233" t="n"/>
      <c r="L146" s="233">
        <f>IF(K146&lt;&gt;"",9000+K146,9000)</f>
        <v/>
      </c>
      <c r="M146" s="156" t="n"/>
      <c r="N146" s="156" t="n"/>
      <c r="O146" s="156" t="n"/>
      <c r="Q146" s="221" t="inlineStr">
        <is>
          <t>144</t>
        </is>
      </c>
      <c r="R146" s="222" t="inlineStr">
        <is>
          <t>NOGALES 2426</t>
        </is>
      </c>
      <c r="S146" s="223" t="n">
        <v>22000</v>
      </c>
      <c r="T146" s="224" t="n">
        <v>7000</v>
      </c>
      <c r="U146" s="225" t="n">
        <v>1</v>
      </c>
      <c r="V146" s="226" t="inlineStr">
        <is>
          <t>19/01/2026</t>
        </is>
      </c>
    </row>
    <row r="147" ht="15.75" customHeight="1" s="153">
      <c r="A147" s="227" t="n"/>
      <c r="B147" s="228" t="inlineStr">
        <is>
          <t>4 DE ENERO 3526</t>
        </is>
      </c>
      <c r="C147" s="229" t="n">
        <v>1</v>
      </c>
      <c r="D147" s="229" t="n"/>
      <c r="E147" s="229" t="n"/>
      <c r="F147" s="230" t="n"/>
      <c r="G147" s="230" t="n"/>
      <c r="H147" s="231" t="n">
        <v>22000</v>
      </c>
      <c r="I147" s="232" t="n">
        <v>22000</v>
      </c>
      <c r="J147" s="232" t="n"/>
      <c r="K147" s="233" t="n"/>
      <c r="L147" s="233">
        <f>IF(K147&lt;&gt;"",11500+K147,11500)</f>
        <v/>
      </c>
      <c r="M147" s="156" t="n"/>
      <c r="N147" s="156" t="n"/>
      <c r="O147" s="156" t="n"/>
      <c r="Q147" s="214" t="inlineStr">
        <is>
          <t>145</t>
        </is>
      </c>
      <c r="R147" s="215" t="inlineStr">
        <is>
          <t>ALSINA 7980</t>
        </is>
      </c>
      <c r="S147" s="216" t="n">
        <v>22000</v>
      </c>
      <c r="T147" s="236" t="n">
        <v>7000</v>
      </c>
      <c r="U147" s="218" t="n">
        <v>1</v>
      </c>
      <c r="V147" s="219" t="inlineStr">
        <is>
          <t>19/01/2026</t>
        </is>
      </c>
    </row>
    <row r="148" ht="15.75" customHeight="1" s="153">
      <c r="A148" s="237" t="n"/>
      <c r="B148" s="238" t="inlineStr">
        <is>
          <t>AYACUCHO 5370</t>
        </is>
      </c>
      <c r="C148" s="239" t="n"/>
      <c r="D148" s="239" t="n">
        <v>1</v>
      </c>
      <c r="E148" s="239" t="n"/>
      <c r="F148" s="240" t="n"/>
      <c r="G148" s="240" t="n"/>
      <c r="H148" s="241" t="n">
        <v>33500</v>
      </c>
      <c r="I148" s="242" t="n">
        <v>33500</v>
      </c>
      <c r="J148" s="242" t="n"/>
      <c r="K148" s="233" t="n"/>
      <c r="L148" s="233">
        <f>IF(K148&lt;&gt;"",17750+K148,17750)</f>
        <v/>
      </c>
      <c r="M148" s="156" t="n"/>
      <c r="N148" s="156" t="n"/>
      <c r="O148" s="156" t="n"/>
      <c r="Q148" s="221" t="inlineStr">
        <is>
          <t>146</t>
        </is>
      </c>
      <c r="R148" s="222" t="inlineStr">
        <is>
          <t>PEDRO DE VERGA 1428</t>
        </is>
      </c>
      <c r="S148" s="223" t="n">
        <v>22000</v>
      </c>
      <c r="T148" s="224" t="n">
        <v>7000</v>
      </c>
      <c r="U148" s="225" t="n">
        <v>1</v>
      </c>
      <c r="V148" s="226" t="inlineStr">
        <is>
          <t>20/02/2026</t>
        </is>
      </c>
    </row>
    <row r="149" ht="15.75" customHeight="1" s="153">
      <c r="A149" s="227" t="n"/>
      <c r="B149" s="228" t="inlineStr">
        <is>
          <t>CAREN</t>
        </is>
      </c>
      <c r="C149" s="229" t="n"/>
      <c r="D149" s="229" t="n"/>
      <c r="E149" s="229" t="n">
        <v>1</v>
      </c>
      <c r="F149" s="230" t="n"/>
      <c r="G149" s="230" t="n"/>
      <c r="H149" s="231" t="n">
        <v>69000</v>
      </c>
      <c r="I149" s="232" t="n"/>
      <c r="J149" s="232" t="n">
        <v>69000</v>
      </c>
      <c r="K149" s="233" t="n"/>
      <c r="L149" s="233">
        <f>IF(K149&lt;&gt;"",22000+K149,22000)</f>
        <v/>
      </c>
      <c r="M149" s="156" t="n"/>
      <c r="N149" s="156" t="n"/>
      <c r="O149" s="156" t="n"/>
      <c r="Q149" s="214" t="inlineStr">
        <is>
          <t>147</t>
        </is>
      </c>
      <c r="R149" s="215" t="inlineStr">
        <is>
          <t>GENEIRO 8164</t>
        </is>
      </c>
      <c r="S149" s="216" t="n">
        <v>22000</v>
      </c>
      <c r="T149" s="236" t="n">
        <v>7000</v>
      </c>
      <c r="U149" s="218" t="n">
        <v>1</v>
      </c>
      <c r="V149" s="219" t="inlineStr">
        <is>
          <t>21/02/2026</t>
        </is>
      </c>
    </row>
    <row r="150" ht="15.75" customHeight="1" s="153">
      <c r="A150" s="237" t="n">
        <v>46068</v>
      </c>
      <c r="B150" s="238" t="inlineStr">
        <is>
          <t xml:space="preserve">ESTELA PARAGUAY </t>
        </is>
      </c>
      <c r="C150" s="239" t="n">
        <v>3</v>
      </c>
      <c r="D150" s="239" t="n"/>
      <c r="E150" s="239" t="n"/>
      <c r="F150" s="240" t="n"/>
      <c r="G150" s="240" t="n"/>
      <c r="H150" s="241" t="n">
        <v>42000</v>
      </c>
      <c r="I150" s="242" t="n">
        <v>42000</v>
      </c>
      <c r="J150" s="242" t="n"/>
      <c r="K150" s="233" t="n"/>
      <c r="L150" s="233">
        <f>IF(K150&lt;&gt;"",10500+K150,10500)</f>
        <v/>
      </c>
      <c r="M150" s="156" t="n"/>
      <c r="N150" s="156" t="n"/>
      <c r="O150" s="156" t="n"/>
      <c r="Q150" s="221" t="inlineStr">
        <is>
          <t>148</t>
        </is>
      </c>
      <c r="R150" s="222" t="inlineStr">
        <is>
          <t>JP LOPEZ 2045</t>
        </is>
      </c>
      <c r="S150" s="223" t="n">
        <v>22000</v>
      </c>
      <c r="T150" s="224" t="n">
        <v>7000</v>
      </c>
      <c r="U150" s="225" t="n">
        <v>1</v>
      </c>
      <c r="V150" s="226" t="inlineStr">
        <is>
          <t>22/02/2026</t>
        </is>
      </c>
    </row>
    <row r="151" ht="15.75" customHeight="1" s="153">
      <c r="A151" s="227" t="n"/>
      <c r="B151" s="228" t="inlineStr">
        <is>
          <t>PANA GENESIO</t>
        </is>
      </c>
      <c r="C151" s="229" t="n"/>
      <c r="D151" s="229" t="n"/>
      <c r="E151" s="229" t="n">
        <v>1</v>
      </c>
      <c r="F151" s="230" t="n"/>
      <c r="G151" s="230" t="n"/>
      <c r="H151" s="231" t="n">
        <v>69000</v>
      </c>
      <c r="I151" s="232" t="n">
        <v>40000</v>
      </c>
      <c r="J151" s="232" t="n">
        <v>29000</v>
      </c>
      <c r="K151" s="233" t="n"/>
      <c r="L151" s="233">
        <f>IF(K151&lt;&gt;"",22000+K151,22000)</f>
        <v/>
      </c>
      <c r="M151" s="156" t="n"/>
      <c r="N151" s="156" t="n"/>
      <c r="O151" s="156" t="n"/>
      <c r="Q151" s="214" t="inlineStr">
        <is>
          <t>149</t>
        </is>
      </c>
      <c r="R151" s="215" t="inlineStr">
        <is>
          <t>M CANDIOTI 5256</t>
        </is>
      </c>
      <c r="S151" s="216" t="n">
        <v>22000</v>
      </c>
      <c r="T151" s="236" t="n">
        <v>7000</v>
      </c>
      <c r="U151" s="218" t="n">
        <v>1</v>
      </c>
      <c r="V151" s="219" t="inlineStr">
        <is>
          <t>22/02/2026</t>
        </is>
      </c>
    </row>
    <row r="152" ht="15.75" customHeight="1" s="153">
      <c r="A152" s="237" t="n"/>
      <c r="B152" s="238" t="inlineStr">
        <is>
          <t>AYACUCHO 5370</t>
        </is>
      </c>
      <c r="C152" s="239" t="n"/>
      <c r="D152" s="239" t="n"/>
      <c r="E152" s="239" t="n"/>
      <c r="F152" s="240" t="n"/>
      <c r="G152" s="240" t="n">
        <v>2</v>
      </c>
      <c r="H152" s="241" t="n">
        <v>10000</v>
      </c>
      <c r="I152" s="242" t="n"/>
      <c r="J152" s="242" t="n">
        <v>10000</v>
      </c>
      <c r="K152" s="233" t="n"/>
      <c r="L152" s="233">
        <f>IF(K152&lt;&gt;"",8400+K152,8400)</f>
        <v/>
      </c>
      <c r="M152" s="156" t="n"/>
      <c r="N152" s="156" t="n"/>
      <c r="O152" s="156" t="n"/>
      <c r="Q152" s="221" t="inlineStr">
        <is>
          <t>150</t>
        </is>
      </c>
      <c r="R152" s="222" t="inlineStr">
        <is>
          <t>SAN JERONIMO 6421</t>
        </is>
      </c>
      <c r="S152" s="223" t="n">
        <v>22000</v>
      </c>
      <c r="T152" s="224" t="n">
        <v>7000</v>
      </c>
      <c r="U152" s="225" t="n">
        <v>1</v>
      </c>
      <c r="V152" s="226" t="inlineStr">
        <is>
          <t>25/02/2026</t>
        </is>
      </c>
    </row>
    <row r="153" ht="15.75" customHeight="1" s="153">
      <c r="A153" s="227" t="n"/>
      <c r="B153" s="228" t="inlineStr">
        <is>
          <t>POLLERIA BLAS PARERA</t>
        </is>
      </c>
      <c r="C153" s="229" t="n">
        <v>1</v>
      </c>
      <c r="D153" s="229" t="n"/>
      <c r="E153" s="229" t="n"/>
      <c r="F153" s="230" t="n"/>
      <c r="G153" s="230" t="n"/>
      <c r="H153" s="231" t="n">
        <v>17000</v>
      </c>
      <c r="I153" s="232" t="n">
        <v>17000</v>
      </c>
      <c r="J153" s="232" t="n"/>
      <c r="K153" s="233" t="n"/>
      <c r="L153" s="233">
        <f>IF(K153&lt;&gt;"",6500+K153,6500)</f>
        <v/>
      </c>
      <c r="M153" s="156" t="n"/>
      <c r="N153" s="156" t="n"/>
      <c r="O153" s="156" t="n"/>
      <c r="Q153" s="214" t="inlineStr">
        <is>
          <t>151</t>
        </is>
      </c>
      <c r="R153" s="215" t="inlineStr">
        <is>
          <t>MARCIAL CANDIOTI 6141</t>
        </is>
      </c>
      <c r="S153" s="216" t="n">
        <v>22000</v>
      </c>
      <c r="T153" s="236" t="n">
        <v>7000</v>
      </c>
      <c r="U153" s="218" t="n">
        <v>1</v>
      </c>
      <c r="V153" s="219" t="inlineStr">
        <is>
          <t>25/02/2026</t>
        </is>
      </c>
    </row>
    <row r="154" ht="15.75" customHeight="1" s="153">
      <c r="A154" s="237" t="n"/>
      <c r="B154" s="238" t="inlineStr">
        <is>
          <t>PAULO</t>
        </is>
      </c>
      <c r="C154" s="239" t="n">
        <v>3</v>
      </c>
      <c r="D154" s="239" t="n"/>
      <c r="E154" s="239" t="n"/>
      <c r="F154" s="240" t="n"/>
      <c r="G154" s="240" t="n"/>
      <c r="H154" s="241" t="n">
        <v>43500</v>
      </c>
      <c r="I154" s="242" t="n">
        <v>43500</v>
      </c>
      <c r="J154" s="242" t="n"/>
      <c r="K154" s="233" t="n"/>
      <c r="L154" s="233">
        <f>IF(K154&lt;&gt;"",12000+K154,12000)</f>
        <v/>
      </c>
      <c r="M154" s="156" t="n"/>
      <c r="N154" s="156" t="n"/>
      <c r="O154" s="156" t="n"/>
      <c r="Q154" s="221" t="inlineStr">
        <is>
          <t>152</t>
        </is>
      </c>
      <c r="R154" s="222" t="inlineStr">
        <is>
          <t>ESTADO ISTRAEL 5370</t>
        </is>
      </c>
      <c r="S154" s="223" t="n">
        <v>22000</v>
      </c>
      <c r="T154" s="224" t="n">
        <v>7000</v>
      </c>
      <c r="U154" s="225" t="n">
        <v>1</v>
      </c>
      <c r="V154" s="226" t="inlineStr">
        <is>
          <t>26/02/2026</t>
        </is>
      </c>
    </row>
    <row r="155" ht="15.75" customHeight="1" s="153">
      <c r="A155" s="227" t="n"/>
      <c r="B155" s="228" t="inlineStr">
        <is>
          <t>SANDRA</t>
        </is>
      </c>
      <c r="C155" s="229" t="n">
        <v>2</v>
      </c>
      <c r="D155" s="229" t="n"/>
      <c r="E155" s="229" t="n"/>
      <c r="F155" s="230" t="n"/>
      <c r="G155" s="230" t="n">
        <v>1</v>
      </c>
      <c r="H155" s="231" t="n">
        <v>33000</v>
      </c>
      <c r="I155" s="232" t="n">
        <v>33000</v>
      </c>
      <c r="J155" s="232" t="n"/>
      <c r="K155" s="233" t="n"/>
      <c r="L155" s="233">
        <f>IF(K155&lt;&gt;"",11200+K155,11200)</f>
        <v/>
      </c>
      <c r="M155" s="156" t="n"/>
      <c r="N155" s="156" t="n"/>
      <c r="O155" s="156" t="n"/>
      <c r="Q155" s="214" t="inlineStr">
        <is>
          <t>153</t>
        </is>
      </c>
      <c r="R155" s="215" t="inlineStr">
        <is>
          <t>INGENIEROS 5511</t>
        </is>
      </c>
      <c r="S155" s="216" t="n">
        <v>22000</v>
      </c>
      <c r="T155" s="236" t="n">
        <v>7000</v>
      </c>
      <c r="U155" s="218" t="n">
        <v>1</v>
      </c>
      <c r="V155" s="219" t="inlineStr">
        <is>
          <t>26/02/2026</t>
        </is>
      </c>
    </row>
    <row r="156" ht="15.75" customHeight="1" s="153">
      <c r="A156" s="237" t="n"/>
      <c r="B156" s="238" t="inlineStr">
        <is>
          <t>MISIONES 5780</t>
        </is>
      </c>
      <c r="C156" s="239" t="n">
        <v>1</v>
      </c>
      <c r="D156" s="239" t="n"/>
      <c r="E156" s="239" t="n"/>
      <c r="F156" s="240" t="n"/>
      <c r="G156" s="240" t="n"/>
      <c r="H156" s="241" t="n">
        <v>22000</v>
      </c>
      <c r="I156" s="242" t="n">
        <v>22000</v>
      </c>
      <c r="J156" s="242" t="n"/>
      <c r="K156" s="233" t="n"/>
      <c r="L156" s="233">
        <f>IF(K156&lt;&gt;"",11500+K156,11500)</f>
        <v/>
      </c>
      <c r="M156" s="156" t="n"/>
      <c r="N156" s="156" t="n"/>
      <c r="O156" s="156" t="n"/>
      <c r="Q156" s="221" t="inlineStr">
        <is>
          <t>154</t>
        </is>
      </c>
      <c r="R156" s="222" t="inlineStr">
        <is>
          <t>ESTADO ISRAEL 5370</t>
        </is>
      </c>
      <c r="S156" s="223" t="n">
        <v>22000</v>
      </c>
      <c r="T156" s="224" t="n">
        <v>7000</v>
      </c>
      <c r="U156" s="225" t="n">
        <v>1</v>
      </c>
      <c r="V156" s="226" t="inlineStr">
        <is>
          <t>27/02/2026</t>
        </is>
      </c>
    </row>
    <row r="157" ht="15.75" customHeight="1" s="153">
      <c r="A157" s="227" t="n"/>
      <c r="B157" s="228" t="inlineStr">
        <is>
          <t>AZOPARDO 8505</t>
        </is>
      </c>
      <c r="C157" s="229" t="n">
        <v>1</v>
      </c>
      <c r="D157" s="229" t="n"/>
      <c r="E157" s="229" t="n"/>
      <c r="F157" s="230" t="n"/>
      <c r="G157" s="230" t="n"/>
      <c r="H157" s="231" t="n">
        <v>22000</v>
      </c>
      <c r="I157" s="232" t="n"/>
      <c r="J157" s="232" t="n">
        <v>22000</v>
      </c>
      <c r="K157" s="233" t="n"/>
      <c r="L157" s="233">
        <f>IF(K157&lt;&gt;"",11500+K157,11500)</f>
        <v/>
      </c>
      <c r="M157" s="156" t="n"/>
      <c r="N157" s="156" t="n"/>
      <c r="O157" s="156" t="n"/>
      <c r="Q157" s="214" t="inlineStr">
        <is>
          <t>155</t>
        </is>
      </c>
      <c r="R157" s="215" t="inlineStr">
        <is>
          <t>ABUELA TUYA</t>
        </is>
      </c>
      <c r="S157" s="216" t="n">
        <v>22000</v>
      </c>
      <c r="T157" s="236" t="n">
        <v>7000</v>
      </c>
      <c r="U157" s="218" t="n">
        <v>1</v>
      </c>
      <c r="V157" s="219" t="inlineStr">
        <is>
          <t>28/02/2026</t>
        </is>
      </c>
    </row>
    <row r="158" ht="15.75" customHeight="1" s="153">
      <c r="A158" s="237" t="n"/>
      <c r="B158" s="238" t="inlineStr">
        <is>
          <t>PARRI GABOTO</t>
        </is>
      </c>
      <c r="C158" s="239" t="n">
        <v>1</v>
      </c>
      <c r="D158" s="239" t="n"/>
      <c r="E158" s="239" t="n"/>
      <c r="F158" s="240" t="n"/>
      <c r="G158" s="240" t="n"/>
      <c r="H158" s="241" t="n">
        <v>18500</v>
      </c>
      <c r="I158" s="242" t="n"/>
      <c r="J158" s="242" t="n">
        <v>18500</v>
      </c>
      <c r="K158" s="233" t="n"/>
      <c r="L158" s="233">
        <f>IF(K158&lt;&gt;"",8000+K158,8000)</f>
        <v/>
      </c>
      <c r="M158" s="156" t="n"/>
      <c r="N158" s="156" t="n"/>
      <c r="O158" s="156" t="n"/>
      <c r="Q158" s="221" t="inlineStr">
        <is>
          <t>156</t>
        </is>
      </c>
      <c r="R158" s="222" t="inlineStr">
        <is>
          <t>VIVERO</t>
        </is>
      </c>
      <c r="S158" s="223" t="n">
        <v>22000</v>
      </c>
      <c r="T158" s="224" t="n">
        <v>7000</v>
      </c>
      <c r="U158" s="225" t="n">
        <v>1</v>
      </c>
      <c r="V158" s="226" t="inlineStr">
        <is>
          <t>28/02/2026</t>
        </is>
      </c>
    </row>
    <row r="159" ht="15.75" customHeight="1" s="153">
      <c r="A159" s="227" t="n"/>
      <c r="B159" s="228" t="inlineStr">
        <is>
          <t>PANA GENESIO</t>
        </is>
      </c>
      <c r="C159" s="229" t="n">
        <v>1</v>
      </c>
      <c r="D159" s="229" t="n"/>
      <c r="E159" s="229" t="n"/>
      <c r="F159" s="230" t="n"/>
      <c r="G159" s="230" t="n"/>
      <c r="H159" s="231" t="n">
        <v>19000</v>
      </c>
      <c r="I159" s="232" t="n"/>
      <c r="J159" s="232" t="n">
        <v>19000</v>
      </c>
      <c r="K159" s="233" t="n"/>
      <c r="L159" s="233">
        <f>IF(K159&lt;&gt;"",8500+K159,8500)</f>
        <v/>
      </c>
      <c r="M159" s="156" t="n"/>
      <c r="N159" s="156" t="n"/>
      <c r="O159" s="156" t="n"/>
      <c r="Q159" s="214" t="inlineStr">
        <is>
          <t>157</t>
        </is>
      </c>
      <c r="R159" s="215" t="inlineStr">
        <is>
          <t>GORRITI 6742</t>
        </is>
      </c>
      <c r="S159" s="216" t="n">
        <v>21000</v>
      </c>
      <c r="T159" s="236" t="n">
        <v>6000</v>
      </c>
      <c r="U159" s="218" t="n">
        <v>1</v>
      </c>
      <c r="V159" s="219" t="inlineStr">
        <is>
          <t>10/04/2026</t>
        </is>
      </c>
    </row>
    <row r="160" ht="15.75" customHeight="1" s="153">
      <c r="A160" s="237" t="n"/>
      <c r="B160" s="238" t="inlineStr">
        <is>
          <t>FILOMENA</t>
        </is>
      </c>
      <c r="C160" s="239" t="n">
        <v>1</v>
      </c>
      <c r="D160" s="239" t="n"/>
      <c r="E160" s="239" t="n"/>
      <c r="F160" s="240" t="n"/>
      <c r="G160" s="240" t="n"/>
      <c r="H160" s="241" t="n">
        <v>18000</v>
      </c>
      <c r="I160" s="242" t="n"/>
      <c r="J160" s="242" t="n">
        <v>18000</v>
      </c>
      <c r="K160" s="233" t="n"/>
      <c r="L160" s="233">
        <f>IF(K160&lt;&gt;"",7500+K160,7500)</f>
        <v/>
      </c>
      <c r="M160" s="156" t="n"/>
      <c r="N160" s="156" t="n"/>
      <c r="O160" s="156" t="n"/>
      <c r="Q160" s="221" t="inlineStr">
        <is>
          <t>158</t>
        </is>
      </c>
      <c r="R160" s="222" t="inlineStr">
        <is>
          <t>AZOPARDO 8443</t>
        </is>
      </c>
      <c r="S160" s="223" t="n">
        <v>21000</v>
      </c>
      <c r="T160" s="224" t="n">
        <v>6000</v>
      </c>
      <c r="U160" s="225" t="n">
        <v>1</v>
      </c>
      <c r="V160" s="226" t="inlineStr">
        <is>
          <t>21/04/2026</t>
        </is>
      </c>
    </row>
    <row r="161" ht="15.75" customHeight="1" s="153">
      <c r="A161" s="227" t="n"/>
      <c r="B161" s="228" t="inlineStr">
        <is>
          <t>EXE</t>
        </is>
      </c>
      <c r="C161" s="229" t="n"/>
      <c r="D161" s="229" t="n"/>
      <c r="E161" s="229" t="n">
        <v>1</v>
      </c>
      <c r="F161" s="230" t="n"/>
      <c r="G161" s="230" t="n"/>
      <c r="H161" s="231" t="n">
        <v>69000</v>
      </c>
      <c r="I161" s="232" t="n"/>
      <c r="J161" s="232" t="n">
        <v>69000</v>
      </c>
      <c r="K161" s="233" t="n"/>
      <c r="L161" s="233">
        <f>IF(K161&lt;&gt;"",22000+K161,22000)</f>
        <v/>
      </c>
      <c r="M161" s="156" t="n"/>
      <c r="N161" s="156" t="n"/>
      <c r="O161" s="156" t="n"/>
      <c r="Q161" s="214" t="inlineStr">
        <is>
          <t>159</t>
        </is>
      </c>
      <c r="R161" s="215" t="inlineStr">
        <is>
          <t>FRATERNIDAD</t>
        </is>
      </c>
      <c r="S161" s="216" t="n">
        <v>21000</v>
      </c>
      <c r="T161" s="236" t="n">
        <v>6000</v>
      </c>
      <c r="U161" s="218" t="n">
        <v>1</v>
      </c>
      <c r="V161" s="219" t="inlineStr">
        <is>
          <t>13/03/2026</t>
        </is>
      </c>
    </row>
    <row r="162" ht="15.75" customHeight="1" s="153">
      <c r="A162" s="237" t="n"/>
      <c r="B162" s="238" t="inlineStr">
        <is>
          <t>SAN JOSE 7369</t>
        </is>
      </c>
      <c r="C162" s="239" t="n">
        <v>1</v>
      </c>
      <c r="D162" s="239" t="n"/>
      <c r="E162" s="239" t="n"/>
      <c r="F162" s="240" t="n"/>
      <c r="G162" s="240" t="n"/>
      <c r="H162" s="241" t="n">
        <v>22000</v>
      </c>
      <c r="I162" s="242" t="n">
        <v>22000</v>
      </c>
      <c r="J162" s="242" t="n"/>
      <c r="K162" s="233" t="n"/>
      <c r="L162" s="233">
        <f>IF(K162&lt;&gt;"",11500+K162,11500)</f>
        <v/>
      </c>
      <c r="M162" s="156" t="n"/>
      <c r="N162" s="156" t="n"/>
      <c r="O162" s="156" t="n"/>
      <c r="Q162" s="221" t="inlineStr">
        <is>
          <t>160</t>
        </is>
      </c>
      <c r="R162" s="222" t="inlineStr">
        <is>
          <t>BRAILE 7173</t>
        </is>
      </c>
      <c r="S162" s="223" t="n">
        <v>21000</v>
      </c>
      <c r="T162" s="224" t="n">
        <v>6000</v>
      </c>
      <c r="U162" s="225" t="n">
        <v>1</v>
      </c>
      <c r="V162" s="226" t="inlineStr">
        <is>
          <t>02/02/2026</t>
        </is>
      </c>
    </row>
    <row r="163" ht="15.75" customHeight="1" s="153">
      <c r="A163" s="227" t="n">
        <v>46069</v>
      </c>
      <c r="B163" s="228" t="inlineStr">
        <is>
          <t>DOMINGO SIVLA 4217</t>
        </is>
      </c>
      <c r="C163" s="229" t="n">
        <v>4</v>
      </c>
      <c r="D163" s="229" t="n">
        <v>1</v>
      </c>
      <c r="E163" s="229" t="n"/>
      <c r="F163" s="230" t="n"/>
      <c r="G163" s="230" t="n"/>
      <c r="H163" s="231" t="n">
        <v>80500</v>
      </c>
      <c r="I163" s="232" t="n">
        <v>80500</v>
      </c>
      <c r="J163" s="232" t="n"/>
      <c r="K163" s="233" t="n"/>
      <c r="L163" s="233">
        <f>IF(K163&lt;&gt;"",22750+K163,22750)</f>
        <v/>
      </c>
      <c r="M163" s="156" t="n"/>
      <c r="N163" s="156" t="n"/>
      <c r="O163" s="156" t="n"/>
      <c r="Q163" s="214" t="inlineStr">
        <is>
          <t>161</t>
        </is>
      </c>
      <c r="R163" s="215" t="inlineStr">
        <is>
          <t>ALBERTI 5303</t>
        </is>
      </c>
      <c r="S163" s="216" t="n">
        <v>21000</v>
      </c>
      <c r="T163" s="236" t="n">
        <v>6000</v>
      </c>
      <c r="U163" s="218" t="n">
        <v>1</v>
      </c>
      <c r="V163" s="219" t="inlineStr">
        <is>
          <t>04/02/2026</t>
        </is>
      </c>
    </row>
    <row r="164" ht="15.75" customHeight="1" s="153">
      <c r="A164" s="237" t="n"/>
      <c r="B164" s="238" t="inlineStr">
        <is>
          <t xml:space="preserve">PANA BONEO </t>
        </is>
      </c>
      <c r="C164" s="239" t="n">
        <v>1</v>
      </c>
      <c r="D164" s="239" t="n"/>
      <c r="E164" s="239" t="n">
        <v>1</v>
      </c>
      <c r="F164" s="240" t="n"/>
      <c r="G164" s="240" t="n"/>
      <c r="H164" s="241" t="n">
        <v>82500</v>
      </c>
      <c r="I164" s="242" t="n">
        <v>82500</v>
      </c>
      <c r="J164" s="242" t="n"/>
      <c r="K164" s="233" t="n"/>
      <c r="L164" s="233">
        <f>IF(K164&lt;&gt;"",25000+K164,25000)</f>
        <v/>
      </c>
      <c r="M164" s="156" t="n"/>
      <c r="N164" s="156" t="n"/>
      <c r="O164" s="156" t="n"/>
      <c r="Q164" s="221" t="inlineStr">
        <is>
          <t>162</t>
        </is>
      </c>
      <c r="R164" s="222" t="inlineStr">
        <is>
          <t>ARGENTA PIZZAS</t>
        </is>
      </c>
      <c r="S164" s="223" t="n">
        <v>21000</v>
      </c>
      <c r="T164" s="224" t="n">
        <v>6000</v>
      </c>
      <c r="U164" s="225" t="n">
        <v>1</v>
      </c>
      <c r="V164" s="226" t="inlineStr">
        <is>
          <t>06/02/2026</t>
        </is>
      </c>
    </row>
    <row r="165" ht="15.75" customHeight="1" s="153">
      <c r="A165" s="227" t="n"/>
      <c r="B165" s="228" t="inlineStr">
        <is>
          <t>BEATRIZ</t>
        </is>
      </c>
      <c r="C165" s="229" t="n">
        <v>1</v>
      </c>
      <c r="D165" s="229" t="n"/>
      <c r="E165" s="229" t="n"/>
      <c r="F165" s="230" t="n"/>
      <c r="G165" s="230" t="n"/>
      <c r="H165" s="231" t="n">
        <v>5000</v>
      </c>
      <c r="I165" s="232" t="n">
        <v>5000</v>
      </c>
      <c r="J165" s="232" t="n"/>
      <c r="K165" s="233" t="n"/>
      <c r="L165" s="233">
        <f>IF(K165&lt;&gt;"",-5500+K165,-5500)</f>
        <v/>
      </c>
      <c r="M165" s="156" t="n"/>
      <c r="N165" s="156" t="n"/>
      <c r="O165" s="156" t="n"/>
      <c r="Q165" s="214" t="inlineStr">
        <is>
          <t>163</t>
        </is>
      </c>
      <c r="R165" s="215" t="inlineStr">
        <is>
          <t>PADRE GENESIO 4501</t>
        </is>
      </c>
      <c r="S165" s="216" t="n">
        <v>21000</v>
      </c>
      <c r="T165" s="236" t="n">
        <v>6000</v>
      </c>
      <c r="U165" s="218" t="n">
        <v>1</v>
      </c>
      <c r="V165" s="219" t="inlineStr">
        <is>
          <t>06/02/2026</t>
        </is>
      </c>
    </row>
    <row r="166" ht="15.75" customHeight="1" s="153">
      <c r="A166" s="237" t="n"/>
      <c r="B166" s="238" t="inlineStr">
        <is>
          <t>LUCHO</t>
        </is>
      </c>
      <c r="C166" s="239" t="n">
        <v>1</v>
      </c>
      <c r="D166" s="239" t="n"/>
      <c r="E166" s="239" t="n"/>
      <c r="F166" s="240" t="n"/>
      <c r="G166" s="240" t="n">
        <v>1</v>
      </c>
      <c r="H166" s="241" t="n">
        <v>19500</v>
      </c>
      <c r="I166" s="242" t="n">
        <v>19500</v>
      </c>
      <c r="J166" s="242" t="n"/>
      <c r="K166" s="233" t="n"/>
      <c r="L166" s="233">
        <f>IF(K166&lt;&gt;"",8200+K166,8200)</f>
        <v/>
      </c>
      <c r="M166" s="156" t="n"/>
      <c r="N166" s="156" t="n"/>
      <c r="O166" s="156" t="n"/>
      <c r="Q166" s="221" t="inlineStr">
        <is>
          <t>164</t>
        </is>
      </c>
      <c r="R166" s="222" t="inlineStr">
        <is>
          <t>SERBANDO BAYO 7250</t>
        </is>
      </c>
      <c r="S166" s="223" t="n">
        <v>21000</v>
      </c>
      <c r="T166" s="224" t="n">
        <v>6000</v>
      </c>
      <c r="U166" s="225" t="n">
        <v>1</v>
      </c>
      <c r="V166" s="226" t="inlineStr">
        <is>
          <t>09/02/2026</t>
        </is>
      </c>
    </row>
    <row r="167" ht="15.75" customHeight="1" s="153">
      <c r="A167" s="227" t="n"/>
      <c r="B167" s="228" t="inlineStr">
        <is>
          <t>JUAN AZUAGA</t>
        </is>
      </c>
      <c r="C167" s="229" t="n">
        <v>1</v>
      </c>
      <c r="D167" s="229" t="n"/>
      <c r="E167" s="229" t="n"/>
      <c r="F167" s="230" t="n"/>
      <c r="G167" s="230" t="n"/>
      <c r="H167" s="231" t="n">
        <v>17000</v>
      </c>
      <c r="I167" s="232" t="n">
        <v>17000</v>
      </c>
      <c r="J167" s="232" t="n"/>
      <c r="K167" s="233" t="n"/>
      <c r="L167" s="233">
        <f>IF(K167&lt;&gt;"",6500+K167,6500)</f>
        <v/>
      </c>
      <c r="M167" s="156" t="n"/>
      <c r="N167" s="156" t="n"/>
      <c r="O167" s="156" t="n"/>
      <c r="Q167" s="214" t="inlineStr">
        <is>
          <t>165</t>
        </is>
      </c>
      <c r="R167" s="215" t="inlineStr">
        <is>
          <t>BONEO5315</t>
        </is>
      </c>
      <c r="S167" s="216" t="n">
        <v>21000</v>
      </c>
      <c r="T167" s="236" t="n">
        <v>6000</v>
      </c>
      <c r="U167" s="218" t="n">
        <v>1</v>
      </c>
      <c r="V167" s="219" t="inlineStr">
        <is>
          <t>24/02/2026</t>
        </is>
      </c>
    </row>
    <row r="168" ht="15.75" customHeight="1" s="153">
      <c r="A168" s="237" t="n"/>
      <c r="B168" s="238" t="inlineStr">
        <is>
          <t>SABOREAR</t>
        </is>
      </c>
      <c r="C168" s="239" t="n">
        <v>1</v>
      </c>
      <c r="D168" s="239" t="n"/>
      <c r="E168" s="239" t="n"/>
      <c r="F168" s="240" t="n"/>
      <c r="G168" s="240" t="n"/>
      <c r="H168" s="241" t="n">
        <v>19000</v>
      </c>
      <c r="I168" s="242" t="n">
        <v>19000</v>
      </c>
      <c r="J168" s="242" t="n"/>
      <c r="K168" s="233" t="n"/>
      <c r="L168" s="233">
        <f>IF(K168&lt;&gt;"",8500+K168,8500)</f>
        <v/>
      </c>
      <c r="M168" s="156" t="n"/>
      <c r="N168" s="156" t="n"/>
      <c r="O168" s="156" t="n"/>
      <c r="Q168" s="221" t="inlineStr">
        <is>
          <t>166</t>
        </is>
      </c>
      <c r="R168" s="222" t="inlineStr">
        <is>
          <t>AYACUCHO 6201</t>
        </is>
      </c>
      <c r="S168" s="223" t="n">
        <v>21000</v>
      </c>
      <c r="T168" s="224" t="n">
        <v>6000</v>
      </c>
      <c r="U168" s="225" t="n">
        <v>1</v>
      </c>
      <c r="V168" s="226" t="inlineStr">
        <is>
          <t>24/02/2026</t>
        </is>
      </c>
    </row>
    <row r="169" ht="15.75" customHeight="1" s="153">
      <c r="A169" s="227" t="n">
        <v>46070</v>
      </c>
      <c r="B169" s="228" t="inlineStr">
        <is>
          <t>OTNIEL</t>
        </is>
      </c>
      <c r="C169" s="229" t="n"/>
      <c r="D169" s="229" t="n"/>
      <c r="E169" s="229" t="n"/>
      <c r="F169" s="230" t="n"/>
      <c r="G169" s="230" t="n">
        <v>2</v>
      </c>
      <c r="H169" s="231" t="n">
        <v>10000</v>
      </c>
      <c r="I169" s="232" t="n"/>
      <c r="J169" s="232" t="n">
        <v>10000</v>
      </c>
      <c r="K169" s="233" t="n"/>
      <c r="L169" s="233">
        <f>IF(K169&lt;&gt;"",8400+K169,8400)</f>
        <v/>
      </c>
      <c r="M169" s="156" t="n"/>
      <c r="N169" s="156" t="n"/>
      <c r="O169" s="156" t="n"/>
      <c r="Q169" s="214" t="inlineStr">
        <is>
          <t>167</t>
        </is>
      </c>
      <c r="R169" s="215" t="inlineStr">
        <is>
          <t>LOPEZ Y PLANES 4069 CLUB</t>
        </is>
      </c>
      <c r="S169" s="216" t="n">
        <v>21000</v>
      </c>
      <c r="T169" s="236" t="n">
        <v>6000</v>
      </c>
      <c r="U169" s="218" t="n">
        <v>1</v>
      </c>
      <c r="V169" s="219" t="inlineStr">
        <is>
          <t>27/02/2026</t>
        </is>
      </c>
    </row>
    <row r="170" ht="15.75" customHeight="1" s="153">
      <c r="A170" s="237" t="n"/>
      <c r="B170" s="238" t="inlineStr">
        <is>
          <t>20 DE JUNIO Y 9 DE JULIO</t>
        </is>
      </c>
      <c r="C170" s="239" t="n"/>
      <c r="D170" s="239" t="n"/>
      <c r="E170" s="239" t="n">
        <v>2</v>
      </c>
      <c r="F170" s="240" t="n"/>
      <c r="G170" s="240" t="n"/>
      <c r="H170" s="241" t="n">
        <v>156000</v>
      </c>
      <c r="I170" s="242" t="n"/>
      <c r="J170" s="242" t="n">
        <v>156000</v>
      </c>
      <c r="K170" s="233" t="n"/>
      <c r="L170" s="233">
        <f>IF(K170&lt;&gt;"",62000+K170,62000)</f>
        <v/>
      </c>
      <c r="M170" s="156" t="n"/>
      <c r="N170" s="156" t="n"/>
      <c r="O170" s="156" t="n"/>
      <c r="Q170" s="221" t="inlineStr">
        <is>
          <t>168</t>
        </is>
      </c>
      <c r="R170" s="222" t="inlineStr">
        <is>
          <t>ALVEAR 5259</t>
        </is>
      </c>
      <c r="S170" s="223" t="n">
        <v>21000</v>
      </c>
      <c r="T170" s="224" t="n">
        <v>6000</v>
      </c>
      <c r="U170" s="225" t="n">
        <v>1</v>
      </c>
      <c r="V170" s="226" t="inlineStr">
        <is>
          <t>28/02/2026</t>
        </is>
      </c>
    </row>
    <row r="171" ht="15.75" customHeight="1" s="153">
      <c r="A171" s="227" t="n"/>
      <c r="B171" s="228" t="inlineStr">
        <is>
          <t>IL GATO PEPE</t>
        </is>
      </c>
      <c r="C171" s="229" t="n"/>
      <c r="D171" s="229" t="n"/>
      <c r="E171" s="229" t="n">
        <v>1</v>
      </c>
      <c r="F171" s="230" t="n"/>
      <c r="G171" s="230" t="n"/>
      <c r="H171" s="231" t="n">
        <v>78000</v>
      </c>
      <c r="I171" s="232" t="n"/>
      <c r="J171" s="232" t="n">
        <v>78000</v>
      </c>
      <c r="K171" s="233" t="n"/>
      <c r="L171" s="233">
        <f>IF(K171&lt;&gt;"",31000+K171,31000)</f>
        <v/>
      </c>
      <c r="M171" s="156" t="n"/>
      <c r="N171" s="156" t="n"/>
      <c r="O171" s="156" t="n"/>
      <c r="Q171" s="214" t="inlineStr">
        <is>
          <t>169</t>
        </is>
      </c>
      <c r="R171" s="215" t="inlineStr">
        <is>
          <t>GORRIT 6638</t>
        </is>
      </c>
      <c r="S171" s="216" t="n">
        <v>21000</v>
      </c>
      <c r="T171" s="236" t="n">
        <v>6000</v>
      </c>
      <c r="U171" s="218" t="n">
        <v>1</v>
      </c>
      <c r="V171" s="219" t="inlineStr">
        <is>
          <t>28/02/2026</t>
        </is>
      </c>
    </row>
    <row r="172" ht="15.75" customHeight="1" s="153">
      <c r="A172" s="237" t="n"/>
      <c r="B172" s="238" t="inlineStr">
        <is>
          <t>ACASIAS 9788</t>
        </is>
      </c>
      <c r="C172" s="239" t="n"/>
      <c r="D172" s="239" t="n"/>
      <c r="E172" s="239" t="n">
        <v>1</v>
      </c>
      <c r="F172" s="240" t="n"/>
      <c r="G172" s="240" t="n"/>
      <c r="H172" s="241" t="n">
        <v>76000</v>
      </c>
      <c r="I172" s="242" t="n"/>
      <c r="J172" s="242" t="n">
        <v>76000</v>
      </c>
      <c r="K172" s="233" t="n"/>
      <c r="L172" s="233">
        <f>IF(K172&lt;&gt;"",29000+K172,29000)</f>
        <v/>
      </c>
      <c r="M172" s="156" t="n"/>
      <c r="N172" s="156" t="n"/>
      <c r="O172" s="156" t="n"/>
      <c r="Q172" s="221" t="inlineStr">
        <is>
          <t>170</t>
        </is>
      </c>
      <c r="R172" s="222" t="inlineStr">
        <is>
          <t>VICTOR CAPE</t>
        </is>
      </c>
      <c r="S172" s="223" t="n">
        <v>20500</v>
      </c>
      <c r="T172" s="224" t="n">
        <v>5500</v>
      </c>
      <c r="U172" s="225" t="n">
        <v>1</v>
      </c>
      <c r="V172" s="226" t="inlineStr">
        <is>
          <t>02/03/2026</t>
        </is>
      </c>
    </row>
    <row r="173" ht="15.75" customHeight="1" s="153">
      <c r="A173" s="227" t="n"/>
      <c r="B173" s="228" t="inlineStr">
        <is>
          <t>LA MADRID 2059</t>
        </is>
      </c>
      <c r="C173" s="229" t="n">
        <v>1</v>
      </c>
      <c r="D173" s="229" t="n"/>
      <c r="E173" s="229" t="n"/>
      <c r="F173" s="230" t="n"/>
      <c r="G173" s="230" t="n"/>
      <c r="H173" s="231" t="n">
        <v>22000</v>
      </c>
      <c r="I173" s="232" t="n">
        <v>22000</v>
      </c>
      <c r="J173" s="232" t="n"/>
      <c r="K173" s="233" t="n"/>
      <c r="L173" s="233">
        <f>IF(K173&lt;&gt;"",11500+K173,11500)</f>
        <v/>
      </c>
      <c r="M173" s="156" t="n"/>
      <c r="N173" s="156" t="n"/>
      <c r="O173" s="156" t="n"/>
      <c r="Q173" s="214" t="inlineStr">
        <is>
          <t>171</t>
        </is>
      </c>
      <c r="R173" s="215" t="inlineStr">
        <is>
          <t>SERBNADO BAY0 7165</t>
        </is>
      </c>
      <c r="S173" s="216" t="n">
        <v>20500</v>
      </c>
      <c r="T173" s="236" t="n">
        <v>5500</v>
      </c>
      <c r="U173" s="218" t="n">
        <v>1</v>
      </c>
      <c r="V173" s="219" t="inlineStr">
        <is>
          <t>02/02/2026</t>
        </is>
      </c>
    </row>
    <row r="174" ht="15.75" customHeight="1" s="153">
      <c r="A174" s="237" t="n"/>
      <c r="B174" s="238" t="inlineStr">
        <is>
          <t>BONEO 4646</t>
        </is>
      </c>
      <c r="C174" s="239" t="n">
        <v>1</v>
      </c>
      <c r="D174" s="239" t="n"/>
      <c r="E174" s="239" t="n"/>
      <c r="F174" s="240" t="n"/>
      <c r="G174" s="240" t="n"/>
      <c r="H174" s="241" t="n">
        <v>19000</v>
      </c>
      <c r="I174" s="242" t="n">
        <v>19000</v>
      </c>
      <c r="J174" s="242" t="n"/>
      <c r="K174" s="233" t="n"/>
      <c r="L174" s="233">
        <f>IF(K174&lt;&gt;"",8500+K174,8500)</f>
        <v/>
      </c>
      <c r="M174" s="156" t="n"/>
      <c r="N174" s="156" t="n"/>
      <c r="O174" s="156" t="n"/>
      <c r="Q174" s="221" t="inlineStr">
        <is>
          <t>172</t>
        </is>
      </c>
      <c r="R174" s="222" t="inlineStr">
        <is>
          <t>LUCIANO LEIVA Y ABLERTI</t>
        </is>
      </c>
      <c r="S174" s="223" t="n">
        <v>20000</v>
      </c>
      <c r="T174" s="224" t="n">
        <v>5000</v>
      </c>
      <c r="U174" s="225" t="n">
        <v>1</v>
      </c>
      <c r="V174" s="226" t="inlineStr">
        <is>
          <t>06/02/2026</t>
        </is>
      </c>
    </row>
    <row r="175" ht="15.75" customHeight="1" s="153">
      <c r="A175" s="227" t="n"/>
      <c r="B175" s="228" t="inlineStr">
        <is>
          <t>PICHI</t>
        </is>
      </c>
      <c r="C175" s="229" t="n">
        <v>1</v>
      </c>
      <c r="D175" s="229" t="n"/>
      <c r="E175" s="229" t="n"/>
      <c r="F175" s="230" t="n"/>
      <c r="G175" s="230" t="n"/>
      <c r="H175" s="231" t="n">
        <v>18000</v>
      </c>
      <c r="I175" s="232" t="n">
        <v>18000</v>
      </c>
      <c r="J175" s="232" t="n"/>
      <c r="K175" s="233" t="n"/>
      <c r="L175" s="233">
        <f>IF(K175&lt;&gt;"",7500+K175,7500)</f>
        <v/>
      </c>
      <c r="M175" s="156" t="n"/>
      <c r="N175" s="156" t="n"/>
      <c r="O175" s="156" t="n"/>
      <c r="Q175" s="214" t="inlineStr">
        <is>
          <t>173</t>
        </is>
      </c>
      <c r="R175" s="215" t="inlineStr">
        <is>
          <t>TACUARI</t>
        </is>
      </c>
      <c r="S175" s="216" t="n">
        <v>20000</v>
      </c>
      <c r="T175" s="236" t="n">
        <v>5000</v>
      </c>
      <c r="U175" s="218" t="n">
        <v>1</v>
      </c>
      <c r="V175" s="219" t="inlineStr">
        <is>
          <t>07/02/2026</t>
        </is>
      </c>
    </row>
    <row r="176" ht="15.75" customHeight="1" s="153">
      <c r="A176" s="237" t="n"/>
      <c r="B176" s="238" t="inlineStr">
        <is>
          <t>ALBERTI 5477</t>
        </is>
      </c>
      <c r="C176" s="239" t="n"/>
      <c r="D176" s="239" t="n"/>
      <c r="E176" s="239" t="n">
        <v>1</v>
      </c>
      <c r="F176" s="240" t="n"/>
      <c r="G176" s="240" t="n"/>
      <c r="H176" s="241" t="n">
        <v>72000</v>
      </c>
      <c r="I176" s="242" t="n"/>
      <c r="J176" s="242" t="n">
        <v>72000</v>
      </c>
      <c r="K176" s="233" t="n"/>
      <c r="L176" s="233">
        <f>IF(K176&lt;&gt;"",25000+K176,25000)</f>
        <v/>
      </c>
      <c r="M176" s="156" t="n"/>
      <c r="N176" s="156" t="n"/>
      <c r="O176" s="156" t="n"/>
      <c r="Q176" s="221" t="inlineStr">
        <is>
          <t>174</t>
        </is>
      </c>
      <c r="R176" s="222" t="inlineStr">
        <is>
          <t>25 DE MAYO 3771</t>
        </is>
      </c>
      <c r="S176" s="223" t="n">
        <v>19500</v>
      </c>
      <c r="T176" s="224" t="n">
        <v>4500</v>
      </c>
      <c r="U176" s="225" t="n">
        <v>1</v>
      </c>
      <c r="V176" s="226" t="inlineStr">
        <is>
          <t>17/02/2026</t>
        </is>
      </c>
    </row>
    <row r="177" ht="15.75" customHeight="1" s="153">
      <c r="A177" s="227" t="n"/>
      <c r="B177" s="228" t="inlineStr">
        <is>
          <t>COGORNO 5520</t>
        </is>
      </c>
      <c r="C177" s="229" t="n">
        <v>4</v>
      </c>
      <c r="D177" s="229" t="n"/>
      <c r="E177" s="229" t="n"/>
      <c r="F177" s="230" t="n"/>
      <c r="G177" s="230" t="n"/>
      <c r="H177" s="231" t="n">
        <v>58000</v>
      </c>
      <c r="I177" s="232" t="n">
        <v>58000</v>
      </c>
      <c r="J177" s="232" t="n"/>
      <c r="K177" s="233" t="n"/>
      <c r="L177" s="233">
        <f>IF(K177&lt;&gt;"",16000+K177,16000)</f>
        <v/>
      </c>
      <c r="M177" s="156" t="n"/>
      <c r="N177" s="156" t="n"/>
      <c r="O177" s="156" t="n"/>
      <c r="Q177" s="214" t="inlineStr">
        <is>
          <t>175</t>
        </is>
      </c>
      <c r="R177" s="215" t="inlineStr">
        <is>
          <t>TACUARI 5727</t>
        </is>
      </c>
      <c r="S177" s="216" t="n">
        <v>19500</v>
      </c>
      <c r="T177" s="236" t="n">
        <v>4500</v>
      </c>
      <c r="U177" s="218" t="n">
        <v>1</v>
      </c>
      <c r="V177" s="219" t="inlineStr">
        <is>
          <t>22/02/2026</t>
        </is>
      </c>
    </row>
    <row r="178" ht="15.75" customHeight="1" s="153">
      <c r="A178" s="237" t="n"/>
      <c r="B178" s="238" t="inlineStr">
        <is>
          <t>BERUTI 6400 CASA 88</t>
        </is>
      </c>
      <c r="C178" s="239" t="n"/>
      <c r="D178" s="239" t="n"/>
      <c r="E178" s="239" t="n">
        <v>1</v>
      </c>
      <c r="F178" s="240" t="n"/>
      <c r="G178" s="240" t="n"/>
      <c r="H178" s="241" t="n">
        <v>76000</v>
      </c>
      <c r="I178" s="242" t="n">
        <v>76000</v>
      </c>
      <c r="J178" s="242" t="n"/>
      <c r="K178" s="233" t="n"/>
      <c r="L178" s="233">
        <f>IF(K178&lt;&gt;"",29000+K178,29000)</f>
        <v/>
      </c>
      <c r="M178" s="156" t="n"/>
      <c r="N178" s="156" t="n"/>
      <c r="O178" s="156" t="n"/>
      <c r="Q178" s="221" t="inlineStr">
        <is>
          <t>176</t>
        </is>
      </c>
      <c r="R178" s="222" t="inlineStr">
        <is>
          <t>VIANDAS ZEBALLOS</t>
        </is>
      </c>
      <c r="S178" s="223" t="n">
        <v>19000</v>
      </c>
      <c r="T178" s="224" t="n">
        <v>4000</v>
      </c>
      <c r="U178" s="225" t="n">
        <v>1</v>
      </c>
      <c r="V178" s="226" t="inlineStr">
        <is>
          <t>16/03/2026</t>
        </is>
      </c>
    </row>
    <row r="179" ht="15.75" customHeight="1" s="153">
      <c r="A179" s="227" t="n"/>
      <c r="B179" s="228" t="inlineStr">
        <is>
          <t>25 DE MAYO 3771</t>
        </is>
      </c>
      <c r="C179" s="229" t="n">
        <v>1</v>
      </c>
      <c r="D179" s="229" t="n"/>
      <c r="E179" s="229" t="n"/>
      <c r="F179" s="230" t="n"/>
      <c r="G179" s="230" t="n"/>
      <c r="H179" s="231" t="n">
        <v>19500</v>
      </c>
      <c r="I179" s="232" t="n">
        <v>19500</v>
      </c>
      <c r="J179" s="232" t="n"/>
      <c r="K179" s="233" t="n"/>
      <c r="L179" s="233">
        <f>IF(K179&lt;&gt;"",9000+K179,9000)</f>
        <v/>
      </c>
      <c r="M179" s="156" t="n"/>
      <c r="N179" s="156" t="n"/>
      <c r="O179" s="156" t="n"/>
      <c r="Q179" s="214" t="inlineStr">
        <is>
          <t>177</t>
        </is>
      </c>
      <c r="R179" s="215" t="inlineStr">
        <is>
          <t>BONEO 4646</t>
        </is>
      </c>
      <c r="S179" s="216" t="n">
        <v>19000</v>
      </c>
      <c r="T179" s="236" t="n">
        <v>4000</v>
      </c>
      <c r="U179" s="218" t="n">
        <v>1</v>
      </c>
      <c r="V179" s="219" t="inlineStr">
        <is>
          <t>17/02/2026</t>
        </is>
      </c>
    </row>
    <row r="180" ht="15.75" customHeight="1" s="153">
      <c r="A180" s="237" t="n"/>
      <c r="B180" s="238" t="inlineStr">
        <is>
          <t xml:space="preserve">GISE PANA </t>
        </is>
      </c>
      <c r="C180" s="239" t="n">
        <v>1</v>
      </c>
      <c r="D180" s="239" t="n"/>
      <c r="E180" s="239" t="n"/>
      <c r="F180" s="240" t="n">
        <v>1</v>
      </c>
      <c r="G180" s="240" t="n"/>
      <c r="H180" s="241" t="n">
        <v>21300</v>
      </c>
      <c r="I180" s="242" t="n"/>
      <c r="J180" s="242" t="n">
        <v>21300</v>
      </c>
      <c r="K180" s="233" t="n"/>
      <c r="L180" s="233">
        <f>IF(K180&lt;&gt;"",8475+K180,8475)</f>
        <v/>
      </c>
      <c r="M180" s="156" t="n"/>
      <c r="N180" s="156" t="n"/>
      <c r="O180" s="156" t="n"/>
      <c r="Q180" s="221" t="inlineStr">
        <is>
          <t>178</t>
        </is>
      </c>
      <c r="R180" s="222" t="inlineStr">
        <is>
          <t>E ZEBALLOS 4875 VIANDA</t>
        </is>
      </c>
      <c r="S180" s="223" t="n">
        <v>19000</v>
      </c>
      <c r="T180" s="224" t="n">
        <v>4000</v>
      </c>
      <c r="U180" s="225" t="n">
        <v>1</v>
      </c>
      <c r="V180" s="226" t="inlineStr">
        <is>
          <t>23/02/2026</t>
        </is>
      </c>
    </row>
    <row r="181" ht="15.75" customHeight="1" s="153">
      <c r="A181" s="227" t="n"/>
      <c r="B181" s="228" t="inlineStr">
        <is>
          <t>FILOMENA</t>
        </is>
      </c>
      <c r="C181" s="229" t="n">
        <v>2</v>
      </c>
      <c r="D181" s="229" t="n"/>
      <c r="E181" s="229" t="n"/>
      <c r="F181" s="230" t="n"/>
      <c r="G181" s="230" t="n"/>
      <c r="H181" s="231" t="n">
        <v>36000</v>
      </c>
      <c r="I181" s="232" t="n"/>
      <c r="J181" s="232" t="n">
        <v>36000</v>
      </c>
      <c r="K181" s="233" t="n"/>
      <c r="L181" s="233">
        <f>IF(K181&lt;&gt;"",15000+K181,15000)</f>
        <v/>
      </c>
      <c r="M181" s="156" t="n"/>
      <c r="N181" s="156" t="n"/>
      <c r="O181" s="156" t="n"/>
      <c r="Q181" s="214" t="inlineStr">
        <is>
          <t>179</t>
        </is>
      </c>
      <c r="R181" s="215" t="inlineStr">
        <is>
          <t>PORKIS</t>
        </is>
      </c>
      <c r="S181" s="216" t="n">
        <v>18500</v>
      </c>
      <c r="T181" s="236" t="n">
        <v>3500</v>
      </c>
      <c r="U181" s="218" t="n">
        <v>1</v>
      </c>
      <c r="V181" s="219" t="inlineStr">
        <is>
          <t>19/04/2026</t>
        </is>
      </c>
    </row>
    <row r="182" ht="15.75" customHeight="1" s="153">
      <c r="A182" s="237" t="n"/>
      <c r="B182" s="238" t="inlineStr">
        <is>
          <t>DANI PAPA BRUNO</t>
        </is>
      </c>
      <c r="C182" s="239" t="n"/>
      <c r="D182" s="239" t="n">
        <v>1</v>
      </c>
      <c r="E182" s="239" t="n"/>
      <c r="F182" s="240" t="n"/>
      <c r="G182" s="240" t="n"/>
      <c r="H182" s="241" t="n">
        <v>28500</v>
      </c>
      <c r="I182" s="242" t="n"/>
      <c r="J182" s="242" t="n">
        <v>28500</v>
      </c>
      <c r="K182" s="233" t="n"/>
      <c r="L182" s="233">
        <f>IF(K182&lt;&gt;"",12750+K182,12750)</f>
        <v/>
      </c>
      <c r="M182" s="156" t="n"/>
      <c r="N182" s="156" t="n"/>
      <c r="O182" s="156" t="n"/>
      <c r="Q182" s="221" t="inlineStr">
        <is>
          <t>180</t>
        </is>
      </c>
      <c r="R182" s="222" t="inlineStr">
        <is>
          <t>PICHI</t>
        </is>
      </c>
      <c r="S182" s="223" t="n">
        <v>18000</v>
      </c>
      <c r="T182" s="224" t="n">
        <v>3000</v>
      </c>
      <c r="U182" s="225" t="n">
        <v>1</v>
      </c>
      <c r="V182" s="226" t="inlineStr">
        <is>
          <t>18/04/2026</t>
        </is>
      </c>
    </row>
    <row r="183" ht="15.75" customHeight="1" s="153">
      <c r="A183" s="227" t="n">
        <v>46071</v>
      </c>
      <c r="B183" s="228" t="inlineStr">
        <is>
          <t>PANA ALBERTI</t>
        </is>
      </c>
      <c r="C183" s="229" t="n"/>
      <c r="D183" s="229" t="n">
        <v>1</v>
      </c>
      <c r="E183" s="229" t="n"/>
      <c r="F183" s="230" t="n"/>
      <c r="G183" s="230" t="n"/>
      <c r="H183" s="231" t="n">
        <v>28500</v>
      </c>
      <c r="I183" s="232" t="n">
        <v>28500</v>
      </c>
      <c r="J183" s="232" t="n"/>
      <c r="K183" s="233" t="n"/>
      <c r="L183" s="233">
        <f>IF(K183&lt;&gt;"",12750+K183,12750)</f>
        <v/>
      </c>
      <c r="M183" s="156" t="n"/>
      <c r="N183" s="156" t="n"/>
      <c r="O183" s="156" t="n"/>
      <c r="Q183" s="214" t="inlineStr">
        <is>
          <t>181</t>
        </is>
      </c>
      <c r="R183" s="215" t="inlineStr">
        <is>
          <t>PANA VIEYTES GISE</t>
        </is>
      </c>
      <c r="S183" s="216" t="n">
        <v>17500</v>
      </c>
      <c r="T183" s="236" t="n">
        <v>2500</v>
      </c>
      <c r="U183" s="218" t="n">
        <v>1</v>
      </c>
      <c r="V183" s="219" t="inlineStr">
        <is>
          <t>13/02/2026</t>
        </is>
      </c>
    </row>
    <row r="184" ht="15.75" customHeight="1" s="153">
      <c r="A184" s="237" t="n"/>
      <c r="B184" s="238" t="inlineStr">
        <is>
          <t>ARISTOBULO 4471</t>
        </is>
      </c>
      <c r="C184" s="239" t="n"/>
      <c r="D184" s="239" t="n"/>
      <c r="E184" s="239" t="n">
        <v>1</v>
      </c>
      <c r="F184" s="240" t="n"/>
      <c r="G184" s="240" t="n"/>
      <c r="H184" s="241" t="n">
        <v>75000</v>
      </c>
      <c r="I184" s="242" t="n">
        <v>75000</v>
      </c>
      <c r="J184" s="242" t="n"/>
      <c r="K184" s="233" t="n"/>
      <c r="L184" s="233">
        <f>IF(K184&lt;&gt;"",28000+K184,28000)</f>
        <v/>
      </c>
      <c r="M184" s="156" t="n"/>
      <c r="N184" s="156" t="n"/>
      <c r="O184" s="156" t="n"/>
      <c r="Q184" s="221" t="inlineStr">
        <is>
          <t>182</t>
        </is>
      </c>
      <c r="R184" s="222" t="inlineStr">
        <is>
          <t>JUAN AZUAGA</t>
        </is>
      </c>
      <c r="S184" s="223" t="n">
        <v>17000</v>
      </c>
      <c r="T184" s="224" t="n">
        <v>2000</v>
      </c>
      <c r="U184" s="225" t="n">
        <v>1</v>
      </c>
      <c r="V184" s="226" t="inlineStr">
        <is>
          <t>16/04/2026</t>
        </is>
      </c>
    </row>
    <row r="185" ht="15.75" customHeight="1" s="153">
      <c r="A185" s="227" t="n"/>
      <c r="B185" s="228" t="inlineStr">
        <is>
          <t>MONTIEL 9165</t>
        </is>
      </c>
      <c r="C185" s="229" t="n"/>
      <c r="D185" s="229" t="n"/>
      <c r="E185" s="229" t="n">
        <v>1</v>
      </c>
      <c r="F185" s="230" t="n"/>
      <c r="G185" s="230" t="n"/>
      <c r="H185" s="231" t="n">
        <v>72000</v>
      </c>
      <c r="I185" s="232" t="n"/>
      <c r="J185" s="232" t="n">
        <v>72000</v>
      </c>
      <c r="K185" s="233" t="n"/>
      <c r="L185" s="233">
        <f>IF(K185&lt;&gt;"",25000+K185,25000)</f>
        <v/>
      </c>
      <c r="M185" s="156" t="n"/>
      <c r="N185" s="156" t="n"/>
      <c r="O185" s="156" t="n"/>
      <c r="Q185" s="214" t="inlineStr">
        <is>
          <t>183</t>
        </is>
      </c>
      <c r="R185" s="215" t="inlineStr">
        <is>
          <t>PARRI BLAS PARERA</t>
        </is>
      </c>
      <c r="S185" s="216" t="n">
        <v>17000</v>
      </c>
      <c r="T185" s="236" t="n">
        <v>2000</v>
      </c>
      <c r="U185" s="218" t="n">
        <v>1</v>
      </c>
      <c r="V185" s="219" t="inlineStr">
        <is>
          <t>22/02/2026</t>
        </is>
      </c>
    </row>
    <row r="186" ht="15.75" customHeight="1" s="153">
      <c r="A186" s="237" t="n"/>
      <c r="B186" s="238" t="inlineStr">
        <is>
          <t>PAULO</t>
        </is>
      </c>
      <c r="C186" s="239" t="n">
        <v>2</v>
      </c>
      <c r="D186" s="239" t="n"/>
      <c r="E186" s="239" t="n"/>
      <c r="F186" s="240" t="n"/>
      <c r="G186" s="240" t="n"/>
      <c r="H186" s="241" t="n">
        <v>29000</v>
      </c>
      <c r="I186" s="242" t="n">
        <v>29000</v>
      </c>
      <c r="J186" s="242" t="n"/>
      <c r="K186" s="233" t="n"/>
      <c r="L186" s="233">
        <f>IF(K186&lt;&gt;"",8000+K186,8000)</f>
        <v/>
      </c>
      <c r="M186" s="156" t="n"/>
      <c r="N186" s="156" t="n"/>
      <c r="O186" s="156" t="n"/>
      <c r="Q186" s="221" t="inlineStr">
        <is>
          <t>184</t>
        </is>
      </c>
      <c r="R186" s="222" t="inlineStr">
        <is>
          <t>MARTIN ZPATA 2101</t>
        </is>
      </c>
      <c r="S186" s="223" t="n">
        <v>15000</v>
      </c>
      <c r="T186" s="224" t="n">
        <v>0</v>
      </c>
      <c r="U186" s="225" t="n">
        <v>1</v>
      </c>
      <c r="V186" s="226" t="inlineStr">
        <is>
          <t>28/02/2026</t>
        </is>
      </c>
    </row>
    <row r="187" ht="15.75" customHeight="1" s="153">
      <c r="A187" s="227" t="n"/>
      <c r="B187" s="228" t="inlineStr">
        <is>
          <t>SANDRA</t>
        </is>
      </c>
      <c r="C187" s="229" t="n">
        <v>1</v>
      </c>
      <c r="D187" s="229" t="n"/>
      <c r="E187" s="229" t="n"/>
      <c r="F187" s="230" t="n"/>
      <c r="G187" s="230" t="n"/>
      <c r="H187" s="231" t="n">
        <v>14500</v>
      </c>
      <c r="I187" s="232" t="n">
        <v>14500</v>
      </c>
      <c r="J187" s="232" t="n"/>
      <c r="K187" s="233" t="n"/>
      <c r="L187" s="233">
        <f>IF(K187&lt;&gt;"",4000+K187,4000)</f>
        <v/>
      </c>
      <c r="M187" s="156" t="n"/>
      <c r="N187" s="156" t="n"/>
      <c r="O187" s="156" t="n"/>
      <c r="Q187" s="214" t="inlineStr">
        <is>
          <t>185</t>
        </is>
      </c>
      <c r="R187" s="215" t="inlineStr">
        <is>
          <t>LAVAISE 1074</t>
        </is>
      </c>
      <c r="S187" s="216" t="n">
        <v>11600</v>
      </c>
      <c r="T187" s="236" t="n">
        <v>9900</v>
      </c>
      <c r="U187" s="218" t="n">
        <v>1</v>
      </c>
      <c r="V187" s="219" t="inlineStr">
        <is>
          <t>05/03/2026</t>
        </is>
      </c>
    </row>
    <row r="188" ht="15.75" customHeight="1" s="153">
      <c r="A188" s="237" t="n"/>
      <c r="B188" s="238" t="inlineStr">
        <is>
          <t>PUBLICO 5712</t>
        </is>
      </c>
      <c r="C188" s="239" t="n"/>
      <c r="D188" s="239" t="n">
        <v>1</v>
      </c>
      <c r="E188" s="239" t="n"/>
      <c r="F188" s="240" t="n"/>
      <c r="G188" s="240" t="n"/>
      <c r="H188" s="241" t="n">
        <v>33500</v>
      </c>
      <c r="I188" s="242" t="n">
        <v>33500</v>
      </c>
      <c r="J188" s="242" t="n"/>
      <c r="K188" s="233" t="n"/>
      <c r="L188" s="233">
        <f>IF(K188&lt;&gt;"",17750+K188,17750)</f>
        <v/>
      </c>
      <c r="M188" s="156" t="n"/>
      <c r="N188" s="156" t="n"/>
      <c r="O188" s="156" t="n"/>
      <c r="Q188" s="221" t="inlineStr">
        <is>
          <t>186</t>
        </is>
      </c>
      <c r="R188" s="222" t="inlineStr">
        <is>
          <t>ALBERTI 4930</t>
        </is>
      </c>
      <c r="S188" s="223" t="n">
        <v>10000</v>
      </c>
      <c r="T188" s="224" t="n">
        <v>8300</v>
      </c>
      <c r="U188" s="225" t="n">
        <v>1</v>
      </c>
      <c r="V188" s="226" t="inlineStr">
        <is>
          <t>24/03/2026</t>
        </is>
      </c>
    </row>
    <row r="189" ht="15.75" customHeight="1" s="153">
      <c r="A189" s="227" t="n"/>
      <c r="B189" s="228" t="inlineStr">
        <is>
          <t>RIVADAVIA 6746</t>
        </is>
      </c>
      <c r="C189" s="229" t="n">
        <v>1</v>
      </c>
      <c r="D189" s="229" t="n"/>
      <c r="E189" s="229" t="n"/>
      <c r="F189" s="230" t="n"/>
      <c r="G189" s="230" t="n"/>
      <c r="H189" s="231" t="n">
        <v>22000</v>
      </c>
      <c r="I189" s="232" t="n">
        <v>22000</v>
      </c>
      <c r="J189" s="232" t="n"/>
      <c r="K189" s="233" t="n"/>
      <c r="L189" s="233">
        <f>IF(K189&lt;&gt;"",11500+K189,11500)</f>
        <v/>
      </c>
      <c r="M189" s="156" t="n"/>
      <c r="N189" s="156" t="n"/>
      <c r="O189" s="156" t="n"/>
      <c r="Q189" s="214" t="inlineStr">
        <is>
          <t>187</t>
        </is>
      </c>
      <c r="R189" s="215" t="inlineStr">
        <is>
          <t>CINDI</t>
        </is>
      </c>
      <c r="S189" s="216" t="n">
        <v>7000</v>
      </c>
      <c r="T189" s="236" t="n">
        <v>2400</v>
      </c>
      <c r="U189" s="218" t="n">
        <v>1</v>
      </c>
      <c r="V189" s="219" t="inlineStr">
        <is>
          <t>12/02/2026</t>
        </is>
      </c>
    </row>
    <row r="190" ht="15.75" customHeight="1" s="153">
      <c r="A190" s="237" t="n"/>
      <c r="B190" s="238" t="inlineStr">
        <is>
          <t>AZOPARDO 7263</t>
        </is>
      </c>
      <c r="C190" s="239" t="n">
        <v>1</v>
      </c>
      <c r="D190" s="239" t="n"/>
      <c r="E190" s="239" t="n"/>
      <c r="F190" s="240" t="n"/>
      <c r="G190" s="240" t="n"/>
      <c r="H190" s="241" t="n">
        <v>22000</v>
      </c>
      <c r="I190" s="242" t="n"/>
      <c r="J190" s="242" t="n">
        <v>22000</v>
      </c>
      <c r="K190" s="233" t="n"/>
      <c r="L190" s="233">
        <f>IF(K190&lt;&gt;"",11500+K190,11500)</f>
        <v/>
      </c>
      <c r="M190" s="156" t="n"/>
      <c r="N190" s="156" t="n"/>
      <c r="O190" s="156" t="n"/>
      <c r="Q190" s="221" t="inlineStr">
        <is>
          <t>188</t>
        </is>
      </c>
      <c r="R190" s="222" t="inlineStr">
        <is>
          <t>PANA GISE</t>
        </is>
      </c>
      <c r="S190" s="223" t="n">
        <v>6800</v>
      </c>
      <c r="T190" s="224" t="n">
        <v>2200</v>
      </c>
      <c r="U190" s="225" t="n">
        <v>1</v>
      </c>
      <c r="V190" s="226" t="inlineStr">
        <is>
          <t>24/02/2026</t>
        </is>
      </c>
    </row>
    <row r="191" ht="15.75" customHeight="1" s="153">
      <c r="A191" s="227" t="n"/>
      <c r="B191" s="228" t="inlineStr">
        <is>
          <t>PAMPA 5745</t>
        </is>
      </c>
      <c r="C191" s="229" t="n">
        <v>1</v>
      </c>
      <c r="D191" s="229" t="n"/>
      <c r="E191" s="229" t="n"/>
      <c r="F191" s="230" t="n"/>
      <c r="G191" s="230" t="n"/>
      <c r="H191" s="231" t="n">
        <v>22000</v>
      </c>
      <c r="I191" s="232" t="n">
        <v>22000</v>
      </c>
      <c r="J191" s="232" t="n"/>
      <c r="K191" s="233" t="n"/>
      <c r="L191" s="233">
        <f>IF(K191&lt;&gt;"",11500+K191,11500)</f>
        <v/>
      </c>
      <c r="M191" s="156" t="n"/>
      <c r="N191" s="156" t="n"/>
      <c r="O191" s="156" t="n"/>
      <c r="Q191" s="214" t="inlineStr">
        <is>
          <t>189</t>
        </is>
      </c>
      <c r="R191" s="215" t="inlineStr">
        <is>
          <t>MAXI HNO OTNIEL</t>
        </is>
      </c>
      <c r="S191" s="216" t="n">
        <v>5500</v>
      </c>
      <c r="T191" s="236" t="n">
        <v>4650</v>
      </c>
      <c r="U191" s="218" t="n">
        <v>1</v>
      </c>
      <c r="V191" s="219" t="inlineStr">
        <is>
          <t>20/02/2026</t>
        </is>
      </c>
    </row>
    <row r="192" ht="15.75" customHeight="1" s="153">
      <c r="A192" s="237" t="n"/>
      <c r="B192" s="238" t="inlineStr">
        <is>
          <t>SAN JOSE 5160</t>
        </is>
      </c>
      <c r="C192" s="239" t="n">
        <v>1</v>
      </c>
      <c r="D192" s="239" t="n"/>
      <c r="E192" s="239" t="n"/>
      <c r="F192" s="240" t="n"/>
      <c r="G192" s="240" t="n"/>
      <c r="H192" s="241" t="n">
        <v>22000</v>
      </c>
      <c r="I192" s="242" t="n"/>
      <c r="J192" s="242" t="n">
        <v>22000</v>
      </c>
      <c r="K192" s="233" t="n"/>
      <c r="L192" s="233">
        <f>IF(K192&lt;&gt;"",11500+K192,11500)</f>
        <v/>
      </c>
      <c r="M192" s="156" t="n"/>
      <c r="N192" s="156" t="n"/>
      <c r="O192" s="156" t="n"/>
      <c r="Q192" s="221" t="inlineStr">
        <is>
          <t>190</t>
        </is>
      </c>
      <c r="R192" s="222" t="inlineStr">
        <is>
          <t>ALE RUIZ</t>
        </is>
      </c>
      <c r="S192" s="223" t="n">
        <v>5000</v>
      </c>
      <c r="T192" s="224" t="n">
        <v>4150</v>
      </c>
      <c r="U192" s="225" t="n">
        <v>1</v>
      </c>
      <c r="V192" s="226" t="inlineStr">
        <is>
          <t>06/03/2026</t>
        </is>
      </c>
    </row>
    <row r="193" ht="15.75" customHeight="1" s="153">
      <c r="A193" s="227" t="n"/>
      <c r="B193" s="228" t="inlineStr">
        <is>
          <t xml:space="preserve">FRATERNIDAD </t>
        </is>
      </c>
      <c r="C193" s="229" t="n">
        <v>1</v>
      </c>
      <c r="D193" s="229" t="n"/>
      <c r="E193" s="229" t="n"/>
      <c r="F193" s="230" t="n"/>
      <c r="G193" s="230" t="n"/>
      <c r="H193" s="231" t="n">
        <v>21000</v>
      </c>
      <c r="I193" s="232" t="n">
        <v>21000</v>
      </c>
      <c r="J193" s="232" t="n"/>
      <c r="K193" s="233" t="n"/>
      <c r="L193" s="233">
        <f>IF(K193&lt;&gt;"",10500+K193,10500)</f>
        <v/>
      </c>
      <c r="M193" s="156" t="n"/>
      <c r="N193" s="156" t="n"/>
      <c r="O193" s="156" t="n"/>
      <c r="Q193" s="214" t="inlineStr">
        <is>
          <t>191</t>
        </is>
      </c>
      <c r="R193" s="215" t="inlineStr">
        <is>
          <t>MAXI HERMANO</t>
        </is>
      </c>
      <c r="S193" s="216" t="n">
        <v>5000</v>
      </c>
      <c r="T193" s="236" t="n">
        <v>4150</v>
      </c>
      <c r="U193" s="218" t="n">
        <v>1</v>
      </c>
      <c r="V193" s="219" t="inlineStr">
        <is>
          <t>02/02/2026</t>
        </is>
      </c>
    </row>
    <row r="194" ht="15.75" customHeight="1" s="153">
      <c r="A194" s="237" t="n"/>
      <c r="B194" s="238" t="inlineStr">
        <is>
          <t>NACHO</t>
        </is>
      </c>
      <c r="C194" s="239" t="n">
        <v>1</v>
      </c>
      <c r="D194" s="239" t="n"/>
      <c r="E194" s="239" t="n"/>
      <c r="F194" s="240" t="n"/>
      <c r="G194" s="240" t="n"/>
      <c r="H194" s="241" t="n">
        <v>18000</v>
      </c>
      <c r="I194" s="242" t="n">
        <v>18000</v>
      </c>
      <c r="J194" s="242" t="n"/>
      <c r="K194" s="233" t="n"/>
      <c r="L194" s="233">
        <f>IF(K194&lt;&gt;"",7500+K194,7500)</f>
        <v/>
      </c>
      <c r="M194" s="156" t="n"/>
      <c r="N194" s="156" t="n"/>
      <c r="O194" s="156" t="n"/>
      <c r="Q194" s="221" t="n"/>
      <c r="R194" s="222" t="n"/>
      <c r="S194" s="223" t="n"/>
      <c r="T194" s="224" t="n"/>
      <c r="U194" s="225" t="n"/>
      <c r="V194" s="226" t="n"/>
    </row>
    <row r="195" ht="18.75" customHeight="1" s="153">
      <c r="A195" s="227" t="n"/>
      <c r="B195" s="228" t="inlineStr">
        <is>
          <t>AZCUENAGA 5023</t>
        </is>
      </c>
      <c r="C195" s="229" t="n">
        <v>6</v>
      </c>
      <c r="D195" s="229" t="n"/>
      <c r="E195" s="229" t="n"/>
      <c r="F195" s="230" t="n"/>
      <c r="G195" s="230" t="n"/>
      <c r="H195" s="231" t="n">
        <v>87000</v>
      </c>
      <c r="I195" s="232" t="n"/>
      <c r="J195" s="232" t="n">
        <v>87000</v>
      </c>
      <c r="K195" s="233" t="n"/>
      <c r="L195" s="233">
        <f>IF(K195&lt;&gt;"",24000+K195,24000)</f>
        <v/>
      </c>
      <c r="M195" s="156" t="n"/>
      <c r="N195" s="156" t="n"/>
      <c r="O195" s="156" t="n"/>
    </row>
    <row r="196" ht="18.75" customHeight="1" s="153">
      <c r="A196" s="237" t="n"/>
      <c r="B196" s="238" t="inlineStr">
        <is>
          <t>ECUADOR 3626</t>
        </is>
      </c>
      <c r="C196" s="239" t="n">
        <v>1</v>
      </c>
      <c r="D196" s="239" t="n"/>
      <c r="E196" s="239" t="n"/>
      <c r="F196" s="240" t="n"/>
      <c r="G196" s="240" t="n"/>
      <c r="H196" s="241" t="n">
        <v>22000</v>
      </c>
      <c r="I196" s="242" t="n"/>
      <c r="J196" s="242" t="n">
        <v>22000</v>
      </c>
      <c r="K196" s="233" t="n"/>
      <c r="L196" s="233">
        <f>IF(K196&lt;&gt;"",11500+K196,11500)</f>
        <v/>
      </c>
      <c r="M196" s="156" t="n"/>
      <c r="N196" s="156" t="n"/>
      <c r="O196" s="156" t="n"/>
    </row>
    <row r="197" ht="18.75" customHeight="1" s="153">
      <c r="A197" s="227" t="n">
        <v>46041</v>
      </c>
      <c r="B197" s="228" t="inlineStr">
        <is>
          <t xml:space="preserve">PEDRO ZENTENO </t>
        </is>
      </c>
      <c r="C197" s="229" t="n">
        <v>1</v>
      </c>
      <c r="D197" s="229" t="n"/>
      <c r="E197" s="229" t="n"/>
      <c r="F197" s="230" t="n"/>
      <c r="G197" s="230" t="n"/>
      <c r="H197" s="231" t="n">
        <v>22000</v>
      </c>
      <c r="I197" s="232" t="n">
        <v>22000</v>
      </c>
      <c r="J197" s="232" t="n"/>
      <c r="K197" s="233" t="n"/>
      <c r="L197" s="233">
        <f>IF(K197&lt;&gt;"",11500+K197,11500)</f>
        <v/>
      </c>
      <c r="M197" s="156" t="n"/>
      <c r="N197" s="156" t="n"/>
      <c r="O197" s="156" t="n"/>
    </row>
    <row r="198" ht="18.75" customHeight="1" s="153">
      <c r="A198" s="237" t="n"/>
      <c r="B198" s="238" t="inlineStr">
        <is>
          <t>NACHO</t>
        </is>
      </c>
      <c r="C198" s="239" t="n">
        <v>1</v>
      </c>
      <c r="D198" s="239" t="n"/>
      <c r="E198" s="239" t="n"/>
      <c r="F198" s="240" t="n"/>
      <c r="G198" s="240" t="n"/>
      <c r="H198" s="241" t="n">
        <v>19000</v>
      </c>
      <c r="I198" s="242" t="n">
        <v>19000</v>
      </c>
      <c r="J198" s="242" t="n"/>
      <c r="K198" s="233" t="n"/>
      <c r="L198" s="233">
        <f>IF(K198&lt;&gt;"",8500+K198,8500)</f>
        <v/>
      </c>
      <c r="M198" s="156" t="n"/>
      <c r="N198" s="156" t="n"/>
      <c r="O198" s="156" t="n"/>
    </row>
    <row r="199" ht="18.75" customHeight="1" s="153">
      <c r="A199" s="227" t="n"/>
      <c r="B199" s="228" t="inlineStr">
        <is>
          <t>1 DE MAYO 8361</t>
        </is>
      </c>
      <c r="C199" s="229" t="n">
        <v>1</v>
      </c>
      <c r="D199" s="229" t="n"/>
      <c r="E199" s="229" t="n"/>
      <c r="F199" s="230" t="n"/>
      <c r="G199" s="230" t="n"/>
      <c r="H199" s="231" t="n">
        <v>22000</v>
      </c>
      <c r="I199" s="232" t="n">
        <v>22000</v>
      </c>
      <c r="J199" s="232" t="n"/>
      <c r="K199" s="233" t="n"/>
      <c r="L199" s="233">
        <f>IF(K199&lt;&gt;"",11500+K199,11500)</f>
        <v/>
      </c>
      <c r="M199" s="156" t="n"/>
      <c r="N199" s="156" t="n"/>
      <c r="O199" s="156" t="n"/>
    </row>
    <row r="200" ht="18.75" customHeight="1" s="153">
      <c r="A200" s="237" t="n"/>
      <c r="B200" s="238" t="inlineStr">
        <is>
          <t>PANA GENESIO</t>
        </is>
      </c>
      <c r="C200" s="239" t="n"/>
      <c r="D200" s="239" t="n"/>
      <c r="E200" s="239" t="n">
        <v>1</v>
      </c>
      <c r="F200" s="240" t="n"/>
      <c r="G200" s="240" t="n"/>
      <c r="H200" s="241" t="n">
        <v>69000</v>
      </c>
      <c r="I200" s="242" t="n">
        <v>69000</v>
      </c>
      <c r="J200" s="242" t="n"/>
      <c r="K200" s="233" t="n"/>
      <c r="L200" s="233">
        <f>IF(K200&lt;&gt;"",22000+K200,22000)</f>
        <v/>
      </c>
      <c r="M200" s="156" t="n"/>
      <c r="N200" s="156" t="n"/>
      <c r="O200" s="156" t="n"/>
    </row>
    <row r="201" ht="18.75" customHeight="1" s="153">
      <c r="A201" s="227" t="n"/>
      <c r="B201" s="228" t="inlineStr">
        <is>
          <t>NOGALES 2426</t>
        </is>
      </c>
      <c r="C201" s="229" t="n">
        <v>1</v>
      </c>
      <c r="D201" s="229" t="n"/>
      <c r="E201" s="229" t="n"/>
      <c r="F201" s="230" t="n"/>
      <c r="G201" s="230" t="n"/>
      <c r="H201" s="231" t="n">
        <v>22000</v>
      </c>
      <c r="I201" s="232" t="n">
        <v>22000</v>
      </c>
      <c r="J201" s="232" t="n"/>
      <c r="K201" s="233" t="n"/>
      <c r="L201" s="233">
        <f>IF(K201&lt;&gt;"",11500+K201,11500)</f>
        <v/>
      </c>
      <c r="M201" s="156" t="n"/>
      <c r="N201" s="156" t="n"/>
      <c r="O201" s="156" t="n"/>
    </row>
    <row r="202" ht="18.75" customHeight="1" s="153">
      <c r="A202" s="237" t="n"/>
      <c r="B202" s="238" t="inlineStr">
        <is>
          <t>ALSINA 7980</t>
        </is>
      </c>
      <c r="C202" s="239" t="n">
        <v>1</v>
      </c>
      <c r="D202" s="239" t="n"/>
      <c r="E202" s="239" t="n"/>
      <c r="F202" s="240" t="n"/>
      <c r="G202" s="240" t="n"/>
      <c r="H202" s="241" t="n">
        <v>22000</v>
      </c>
      <c r="I202" s="242" t="n">
        <v>22000</v>
      </c>
      <c r="J202" s="242" t="n"/>
      <c r="K202" s="233" t="n"/>
      <c r="L202" s="233">
        <f>IF(K202&lt;&gt;"",11500+K202,11500)</f>
        <v/>
      </c>
      <c r="M202" s="156" t="n"/>
      <c r="N202" s="156" t="n"/>
      <c r="O202" s="156" t="n"/>
    </row>
    <row r="203" ht="18.75" customHeight="1" s="153">
      <c r="A203" s="227" t="n"/>
      <c r="B203" s="228" t="inlineStr">
        <is>
          <t>ALBERTI 5177</t>
        </is>
      </c>
      <c r="C203" s="229" t="n"/>
      <c r="D203" s="229" t="n">
        <v>1</v>
      </c>
      <c r="E203" s="229" t="n"/>
      <c r="F203" s="230" t="n"/>
      <c r="G203" s="230" t="n"/>
      <c r="H203" s="231" t="n">
        <v>31000</v>
      </c>
      <c r="I203" s="232" t="n"/>
      <c r="J203" s="232" t="n">
        <v>31000</v>
      </c>
      <c r="K203" s="233" t="n"/>
      <c r="L203" s="233">
        <f>IF(K203&lt;&gt;"",15250+K203,15250)</f>
        <v/>
      </c>
      <c r="M203" s="156" t="n"/>
      <c r="N203" s="156" t="n"/>
      <c r="O203" s="156" t="n"/>
    </row>
    <row r="204" ht="18.75" customHeight="1" s="153">
      <c r="A204" s="237" t="n">
        <v>46073</v>
      </c>
      <c r="B204" s="238" t="inlineStr">
        <is>
          <t>MAXI HNO OTNIEL</t>
        </is>
      </c>
      <c r="C204" s="239" t="n"/>
      <c r="D204" s="239" t="n"/>
      <c r="E204" s="239" t="n"/>
      <c r="F204" s="240" t="n"/>
      <c r="G204" s="240" t="n">
        <v>1</v>
      </c>
      <c r="H204" s="241" t="n">
        <v>5500</v>
      </c>
      <c r="I204" s="242" t="n"/>
      <c r="J204" s="242" t="n">
        <v>5500</v>
      </c>
      <c r="K204" s="233" t="n"/>
      <c r="L204" s="233">
        <f>IF(K204&lt;&gt;"",4700+K204,4700)</f>
        <v/>
      </c>
      <c r="M204" s="156" t="n"/>
      <c r="N204" s="156" t="n"/>
      <c r="O204" s="156" t="n"/>
    </row>
    <row r="205" ht="18.75" customHeight="1" s="153">
      <c r="A205" s="227" t="n"/>
      <c r="B205" s="228" t="inlineStr">
        <is>
          <t xml:space="preserve">GOLD BURGUER </t>
        </is>
      </c>
      <c r="C205" s="229" t="n"/>
      <c r="D205" s="229" t="n"/>
      <c r="E205" s="229" t="n">
        <v>2</v>
      </c>
      <c r="F205" s="230" t="n"/>
      <c r="G205" s="230" t="n"/>
      <c r="H205" s="231" t="n">
        <v>164000</v>
      </c>
      <c r="I205" s="232" t="n">
        <v>164000</v>
      </c>
      <c r="J205" s="232" t="n"/>
      <c r="K205" s="233" t="n"/>
      <c r="L205" s="233">
        <f>IF(K205&lt;&gt;"",70000+K205,70000)</f>
        <v/>
      </c>
      <c r="M205" s="156" t="n"/>
      <c r="N205" s="156" t="n"/>
      <c r="O205" s="156" t="n"/>
    </row>
    <row r="206" ht="18.75" customHeight="1" s="153">
      <c r="A206" s="237" t="n"/>
      <c r="B206" s="238" t="inlineStr">
        <is>
          <t>PEDRO CEBALLOS 8134</t>
        </is>
      </c>
      <c r="C206" s="239" t="n">
        <v>2</v>
      </c>
      <c r="D206" s="239" t="n"/>
      <c r="E206" s="239" t="n"/>
      <c r="F206" s="240" t="n"/>
      <c r="G206" s="240" t="n"/>
      <c r="H206" s="241" t="n">
        <v>29000</v>
      </c>
      <c r="I206" s="242" t="n">
        <v>29000</v>
      </c>
      <c r="J206" s="242" t="n"/>
      <c r="K206" s="233" t="n"/>
      <c r="L206" s="233">
        <f>IF(K206&lt;&gt;"",8000+K206,8000)</f>
        <v/>
      </c>
      <c r="M206" s="156" t="n"/>
      <c r="N206" s="156" t="n"/>
      <c r="O206" s="156" t="n"/>
    </row>
    <row r="207" ht="18.75" customHeight="1" s="153">
      <c r="A207" s="227" t="n"/>
      <c r="B207" s="228" t="inlineStr">
        <is>
          <t>PEDRO DE VERGA 1428</t>
        </is>
      </c>
      <c r="C207" s="229" t="n">
        <v>1</v>
      </c>
      <c r="D207" s="229" t="n"/>
      <c r="E207" s="229" t="n"/>
      <c r="F207" s="230" t="n"/>
      <c r="G207" s="230" t="n"/>
      <c r="H207" s="231" t="n">
        <v>22000</v>
      </c>
      <c r="I207" s="232" t="n"/>
      <c r="J207" s="232" t="n">
        <v>22000</v>
      </c>
      <c r="K207" s="233" t="n"/>
      <c r="L207" s="233">
        <f>IF(K207&lt;&gt;"",11500+K207,11500)</f>
        <v/>
      </c>
      <c r="M207" s="156" t="n"/>
      <c r="N207" s="156" t="n"/>
      <c r="O207" s="156" t="n"/>
    </row>
    <row r="208" ht="18.75" customHeight="1" s="153">
      <c r="A208" s="237" t="n"/>
      <c r="B208" s="238" t="inlineStr">
        <is>
          <t>FILOMENA</t>
        </is>
      </c>
      <c r="C208" s="239" t="n">
        <v>1</v>
      </c>
      <c r="D208" s="239" t="n"/>
      <c r="E208" s="239" t="n"/>
      <c r="F208" s="240" t="n"/>
      <c r="G208" s="240" t="n"/>
      <c r="H208" s="241" t="n">
        <v>19000</v>
      </c>
      <c r="I208" s="242" t="n"/>
      <c r="J208" s="242" t="n">
        <v>19000</v>
      </c>
      <c r="K208" s="233" t="n"/>
      <c r="L208" s="233">
        <f>IF(K208&lt;&gt;"",8500+K208,8500)</f>
        <v/>
      </c>
      <c r="M208" s="156" t="n"/>
      <c r="N208" s="156" t="n"/>
      <c r="O208" s="156" t="n"/>
    </row>
    <row r="209" ht="18.75" customHeight="1" s="153">
      <c r="A209" s="227" t="n"/>
      <c r="B209" s="228" t="inlineStr">
        <is>
          <t>SANDRA</t>
        </is>
      </c>
      <c r="C209" s="229" t="n"/>
      <c r="D209" s="229" t="n">
        <v>1</v>
      </c>
      <c r="E209" s="229" t="n"/>
      <c r="F209" s="230" t="n"/>
      <c r="G209" s="230" t="n"/>
      <c r="H209" s="231" t="n">
        <v>23500</v>
      </c>
      <c r="I209" s="232" t="n">
        <v>23500</v>
      </c>
      <c r="J209" s="232" t="n"/>
      <c r="K209" s="233" t="n"/>
      <c r="L209" s="233">
        <f>IF(K209&lt;&gt;"",7750+K209,7750)</f>
        <v/>
      </c>
      <c r="M209" s="156" t="n"/>
      <c r="N209" s="156" t="n"/>
      <c r="O209" s="156" t="n"/>
    </row>
    <row r="210" ht="18.75" customHeight="1" s="153">
      <c r="A210" s="237" t="n"/>
      <c r="B210" s="238" t="inlineStr">
        <is>
          <t>1 DE MAYO 1605</t>
        </is>
      </c>
      <c r="C210" s="239" t="n"/>
      <c r="D210" s="239" t="n">
        <v>1</v>
      </c>
      <c r="E210" s="239" t="n"/>
      <c r="F210" s="240" t="n"/>
      <c r="G210" s="240" t="n"/>
      <c r="H210" s="241" t="n">
        <v>33000</v>
      </c>
      <c r="I210" s="242" t="n"/>
      <c r="J210" s="242" t="n">
        <v>33000</v>
      </c>
      <c r="K210" s="233" t="n"/>
      <c r="L210" s="233">
        <f>IF(K210&lt;&gt;"",17250+K210,17250)</f>
        <v/>
      </c>
      <c r="M210" s="156" t="n"/>
      <c r="N210" s="156" t="n"/>
      <c r="O210" s="156" t="n"/>
    </row>
    <row r="211" ht="18.75" customHeight="1" s="153">
      <c r="A211" s="227" t="n"/>
      <c r="B211" s="228" t="inlineStr">
        <is>
          <t>NACHO</t>
        </is>
      </c>
      <c r="C211" s="229" t="n">
        <v>1</v>
      </c>
      <c r="D211" s="229" t="n"/>
      <c r="E211" s="229" t="n"/>
      <c r="F211" s="230" t="n"/>
      <c r="G211" s="230" t="n"/>
      <c r="H211" s="231" t="n">
        <v>19000</v>
      </c>
      <c r="I211" s="232" t="n"/>
      <c r="J211" s="232" t="n">
        <v>19000</v>
      </c>
      <c r="K211" s="233" t="n"/>
      <c r="L211" s="233">
        <f>IF(K211&lt;&gt;"",8500+K211,8500)</f>
        <v/>
      </c>
      <c r="M211" s="156" t="n"/>
      <c r="N211" s="156" t="n"/>
      <c r="O211" s="156" t="n"/>
    </row>
    <row r="212" ht="18.75" customHeight="1" s="153">
      <c r="A212" s="237" t="n"/>
      <c r="B212" s="238" t="inlineStr">
        <is>
          <t>SABOREAR</t>
        </is>
      </c>
      <c r="C212" s="239" t="n">
        <v>1</v>
      </c>
      <c r="D212" s="239" t="n"/>
      <c r="E212" s="239" t="n"/>
      <c r="F212" s="240" t="n"/>
      <c r="G212" s="240" t="n"/>
      <c r="H212" s="241" t="n">
        <v>19500</v>
      </c>
      <c r="I212" s="242" t="n"/>
      <c r="J212" s="242" t="n">
        <v>19500</v>
      </c>
      <c r="K212" s="233" t="n"/>
      <c r="L212" s="233">
        <f>IF(K212&lt;&gt;"",9000+K212,9000)</f>
        <v/>
      </c>
      <c r="M212" s="156" t="n"/>
      <c r="N212" s="156" t="n"/>
      <c r="O212" s="156" t="n"/>
    </row>
    <row r="213" ht="18.75" customHeight="1" s="153">
      <c r="A213" s="227" t="n"/>
      <c r="B213" s="228" t="inlineStr">
        <is>
          <t>EXE</t>
        </is>
      </c>
      <c r="C213" s="229" t="n"/>
      <c r="D213" s="229" t="n"/>
      <c r="E213" s="229" t="n">
        <v>1</v>
      </c>
      <c r="F213" s="230" t="n"/>
      <c r="G213" s="230" t="n"/>
      <c r="H213" s="231" t="n">
        <v>72000</v>
      </c>
      <c r="I213" s="232" t="n"/>
      <c r="J213" s="232" t="n">
        <v>72000</v>
      </c>
      <c r="K213" s="233" t="n"/>
      <c r="L213" s="233">
        <f>IF(K213&lt;&gt;"",25000+K213,25000)</f>
        <v/>
      </c>
      <c r="M213" s="156" t="n"/>
      <c r="N213" s="156" t="n"/>
      <c r="O213" s="156" t="n"/>
    </row>
    <row r="214" ht="18.75" customHeight="1" s="153">
      <c r="A214" s="237" t="n"/>
      <c r="B214" s="238" t="inlineStr">
        <is>
          <t>PANA ALBERTI</t>
        </is>
      </c>
      <c r="C214" s="239" t="n">
        <v>1</v>
      </c>
      <c r="D214" s="239" t="n"/>
      <c r="E214" s="239" t="n"/>
      <c r="F214" s="240" t="n"/>
      <c r="G214" s="240" t="n"/>
      <c r="H214" s="241" t="n">
        <v>20000</v>
      </c>
      <c r="I214" s="242" t="n">
        <v>20000</v>
      </c>
      <c r="J214" s="242" t="n"/>
      <c r="K214" s="233" t="n"/>
      <c r="L214" s="233">
        <f>IF(K214&lt;&gt;"",9500+K214,9500)</f>
        <v/>
      </c>
      <c r="M214" s="156" t="n"/>
      <c r="N214" s="156" t="n"/>
      <c r="O214" s="156" t="n"/>
    </row>
    <row r="215" ht="18.75" customHeight="1" s="153">
      <c r="A215" s="227" t="n">
        <v>46074</v>
      </c>
      <c r="B215" s="228" t="inlineStr">
        <is>
          <t>SANDRA</t>
        </is>
      </c>
      <c r="C215" s="229" t="n"/>
      <c r="D215" s="229" t="n"/>
      <c r="E215" s="229" t="n"/>
      <c r="F215" s="230" t="n">
        <v>2</v>
      </c>
      <c r="G215" s="230" t="n">
        <v>1</v>
      </c>
      <c r="H215" s="231" t="n">
        <v>9000</v>
      </c>
      <c r="I215" s="232" t="n">
        <v>9000</v>
      </c>
      <c r="J215" s="232" t="n"/>
      <c r="K215" s="233" t="n"/>
      <c r="L215" s="233">
        <f>IF(K215&lt;&gt;"",3550+K215,3550)</f>
        <v/>
      </c>
      <c r="M215" s="156" t="n"/>
      <c r="N215" s="156" t="n"/>
      <c r="O215" s="156" t="n"/>
    </row>
    <row r="216" ht="18.75" customHeight="1" s="153">
      <c r="A216" s="237" t="n"/>
      <c r="B216" s="238" t="inlineStr">
        <is>
          <t>RUPERTO GODOY 4484</t>
        </is>
      </c>
      <c r="C216" s="239" t="n"/>
      <c r="D216" s="239" t="n"/>
      <c r="E216" s="239" t="n">
        <v>1</v>
      </c>
      <c r="F216" s="240" t="n"/>
      <c r="G216" s="240" t="n"/>
      <c r="H216" s="241" t="n">
        <v>76000</v>
      </c>
      <c r="I216" s="242" t="n"/>
      <c r="J216" s="242" t="n">
        <v>76000</v>
      </c>
      <c r="K216" s="233" t="n"/>
      <c r="L216" s="233">
        <f>IF(K216&lt;&gt;"",29000+K216,29000)</f>
        <v/>
      </c>
      <c r="M216" s="156" t="n"/>
      <c r="N216" s="156" t="n"/>
      <c r="O216" s="156" t="n"/>
    </row>
    <row r="217" ht="18.75" customHeight="1" s="153">
      <c r="A217" s="227" t="n"/>
      <c r="B217" s="228" t="inlineStr">
        <is>
          <t>ROTI AGUADO</t>
        </is>
      </c>
      <c r="C217" s="229" t="n">
        <v>1</v>
      </c>
      <c r="D217" s="229" t="n">
        <v>1</v>
      </c>
      <c r="E217" s="229" t="n"/>
      <c r="F217" s="230" t="n"/>
      <c r="G217" s="230" t="n"/>
      <c r="H217" s="231" t="n">
        <v>45000</v>
      </c>
      <c r="I217" s="232" t="n"/>
      <c r="J217" s="232" t="n">
        <v>45000</v>
      </c>
      <c r="K217" s="233" t="n"/>
      <c r="L217" s="233">
        <f>IF(K217&lt;&gt;"",18750+K217,18750)</f>
        <v/>
      </c>
      <c r="M217" s="156" t="n"/>
      <c r="N217" s="156" t="n"/>
      <c r="O217" s="156" t="n"/>
    </row>
    <row r="218" ht="18.75" customHeight="1" s="153">
      <c r="A218" s="237" t="n"/>
      <c r="B218" s="238" t="inlineStr">
        <is>
          <t>ROTI VIEYTES</t>
        </is>
      </c>
      <c r="C218" s="239" t="n"/>
      <c r="D218" s="239" t="n">
        <v>2</v>
      </c>
      <c r="E218" s="239" t="n"/>
      <c r="F218" s="240" t="n"/>
      <c r="G218" s="240" t="n"/>
      <c r="H218" s="241" t="n">
        <v>45000</v>
      </c>
      <c r="I218" s="242" t="n"/>
      <c r="J218" s="242" t="n">
        <v>45000</v>
      </c>
      <c r="K218" s="233" t="n"/>
      <c r="L218" s="233">
        <f>IF(K218&lt;&gt;"",13500+K218,13500)</f>
        <v/>
      </c>
      <c r="M218" s="156" t="n"/>
      <c r="N218" s="156" t="n"/>
      <c r="O218" s="156" t="n"/>
    </row>
    <row r="219" ht="18.75" customHeight="1" s="153">
      <c r="A219" s="227" t="n"/>
      <c r="B219" s="228" t="inlineStr">
        <is>
          <t>OTNIEL</t>
        </is>
      </c>
      <c r="C219" s="229" t="n"/>
      <c r="D219" s="229" t="n">
        <v>2</v>
      </c>
      <c r="E219" s="229" t="n">
        <v>1</v>
      </c>
      <c r="F219" s="230" t="n"/>
      <c r="G219" s="230" t="n"/>
      <c r="H219" s="231" t="n">
        <v>132000</v>
      </c>
      <c r="I219" s="232" t="n">
        <v>132000</v>
      </c>
      <c r="J219" s="232" t="n"/>
      <c r="K219" s="233" t="n"/>
      <c r="L219" s="233">
        <f>IF(K219&lt;&gt;"",53500+K219,53500)</f>
        <v/>
      </c>
      <c r="M219" s="156" t="n"/>
      <c r="N219" s="156" t="n"/>
      <c r="O219" s="156" t="n"/>
    </row>
    <row r="220" ht="18.75" customHeight="1" s="153">
      <c r="A220" s="237" t="n"/>
      <c r="B220" s="238" t="inlineStr">
        <is>
          <t>NOGALES2651</t>
        </is>
      </c>
      <c r="C220" s="239" t="n"/>
      <c r="D220" s="239" t="n"/>
      <c r="E220" s="239" t="n">
        <v>1</v>
      </c>
      <c r="F220" s="240" t="n"/>
      <c r="G220" s="240" t="n"/>
      <c r="H220" s="241" t="n">
        <v>76000</v>
      </c>
      <c r="I220" s="242" t="n"/>
      <c r="J220" s="242" t="n">
        <v>76000</v>
      </c>
      <c r="K220" s="233" t="n"/>
      <c r="L220" s="233">
        <f>IF(K220&lt;&gt;"",29000+K220,29000)</f>
        <v/>
      </c>
      <c r="M220" s="156" t="n"/>
      <c r="N220" s="156" t="n"/>
      <c r="O220" s="156" t="n"/>
    </row>
    <row r="221" ht="18.75" customHeight="1" s="153">
      <c r="A221" s="227" t="n"/>
      <c r="B221" s="228" t="inlineStr">
        <is>
          <t>BRASERIA</t>
        </is>
      </c>
      <c r="C221" s="229" t="n"/>
      <c r="D221" s="229" t="n"/>
      <c r="E221" s="229" t="n">
        <v>1</v>
      </c>
      <c r="F221" s="230" t="n"/>
      <c r="G221" s="230" t="n"/>
      <c r="H221" s="231" t="n">
        <v>73000</v>
      </c>
      <c r="I221" s="232" t="n"/>
      <c r="J221" s="232" t="n">
        <v>73000</v>
      </c>
      <c r="K221" s="233" t="n"/>
      <c r="L221" s="233">
        <f>IF(K221&lt;&gt;"",26000+K221,26000)</f>
        <v/>
      </c>
      <c r="M221" s="156" t="n"/>
      <c r="N221" s="156" t="n"/>
      <c r="O221" s="156" t="n"/>
    </row>
    <row r="222" ht="18.75" customHeight="1" s="153">
      <c r="A222" s="237" t="n"/>
      <c r="B222" s="238" t="inlineStr">
        <is>
          <t>BEATRIZ</t>
        </is>
      </c>
      <c r="C222" s="239" t="n"/>
      <c r="D222" s="239" t="n">
        <v>1</v>
      </c>
      <c r="E222" s="239" t="n"/>
      <c r="F222" s="240" t="n"/>
      <c r="G222" s="240" t="n">
        <v>1</v>
      </c>
      <c r="H222" s="241" t="n">
        <v>38000</v>
      </c>
      <c r="I222" s="242" t="n"/>
      <c r="J222" s="242" t="n">
        <v>38000</v>
      </c>
      <c r="K222" s="233" t="n"/>
      <c r="L222" s="233">
        <f>IF(K222&lt;&gt;"",21450+K222,21450)</f>
        <v/>
      </c>
      <c r="M222" s="156" t="n"/>
      <c r="N222" s="156" t="n"/>
      <c r="O222" s="156" t="n"/>
    </row>
    <row r="223" ht="18.75" customHeight="1" s="153">
      <c r="A223" s="227" t="n"/>
      <c r="B223" s="228" t="inlineStr">
        <is>
          <t>12 DE INFANTERIA 2148</t>
        </is>
      </c>
      <c r="C223" s="229" t="n">
        <v>1</v>
      </c>
      <c r="D223" s="229" t="n"/>
      <c r="E223" s="229" t="n"/>
      <c r="F223" s="230" t="n"/>
      <c r="G223" s="230" t="n"/>
      <c r="H223" s="231" t="n">
        <v>22500</v>
      </c>
      <c r="I223" s="232" t="n"/>
      <c r="J223" s="232" t="n">
        <v>22500</v>
      </c>
      <c r="K223" s="233" t="n"/>
      <c r="L223" s="233">
        <f>IF(K223&lt;&gt;"",12000+K223,12000)</f>
        <v/>
      </c>
      <c r="M223" s="156" t="n"/>
      <c r="N223" s="156" t="n"/>
      <c r="O223" s="156" t="n"/>
    </row>
    <row r="224" ht="18.75" customHeight="1" s="153">
      <c r="A224" s="237" t="n"/>
      <c r="B224" s="238" t="inlineStr">
        <is>
          <t>CHICLANA 7325</t>
        </is>
      </c>
      <c r="C224" s="239" t="n">
        <v>3</v>
      </c>
      <c r="D224" s="239" t="n"/>
      <c r="E224" s="239" t="n"/>
      <c r="F224" s="240" t="n"/>
      <c r="G224" s="240" t="n"/>
      <c r="H224" s="241" t="n">
        <v>43500</v>
      </c>
      <c r="I224" s="242" t="n">
        <v>43500</v>
      </c>
      <c r="J224" s="242" t="n"/>
      <c r="K224" s="233" t="n"/>
      <c r="L224" s="233">
        <f>IF(K224&lt;&gt;"",12000+K224,12000)</f>
        <v/>
      </c>
      <c r="M224" s="156" t="n"/>
      <c r="N224" s="156" t="n"/>
      <c r="O224" s="156" t="n"/>
    </row>
    <row r="225" ht="18.75" customHeight="1" s="153">
      <c r="A225" s="227" t="n"/>
      <c r="B225" s="228" t="inlineStr">
        <is>
          <t>SABOREAR</t>
        </is>
      </c>
      <c r="C225" s="229" t="n"/>
      <c r="D225" s="229" t="n">
        <v>1</v>
      </c>
      <c r="E225" s="229" t="n"/>
      <c r="F225" s="230" t="n"/>
      <c r="G225" s="230" t="n"/>
      <c r="H225" s="231" t="n">
        <v>29000</v>
      </c>
      <c r="I225" s="232" t="n"/>
      <c r="J225" s="232" t="n">
        <v>29000</v>
      </c>
      <c r="K225" s="233" t="n"/>
      <c r="L225" s="233">
        <f>IF(K225&lt;&gt;"",13250+K225,13250)</f>
        <v/>
      </c>
      <c r="M225" s="156" t="n"/>
      <c r="N225" s="156" t="n"/>
      <c r="O225" s="156" t="n"/>
    </row>
    <row r="226" ht="18.75" customHeight="1" s="153">
      <c r="A226" s="237" t="n"/>
      <c r="B226" s="238" t="inlineStr">
        <is>
          <t>FILOMENA</t>
        </is>
      </c>
      <c r="C226" s="239" t="n">
        <v>2</v>
      </c>
      <c r="D226" s="239" t="n"/>
      <c r="E226" s="239" t="n"/>
      <c r="F226" s="240" t="n"/>
      <c r="G226" s="240" t="n"/>
      <c r="H226" s="241" t="n">
        <v>38000</v>
      </c>
      <c r="I226" s="242" t="n"/>
      <c r="J226" s="242" t="n">
        <v>38000</v>
      </c>
      <c r="K226" s="233" t="n"/>
      <c r="L226" s="233">
        <f>IF(K226&lt;&gt;"",17000+K226,17000)</f>
        <v/>
      </c>
      <c r="M226" s="156" t="n"/>
      <c r="N226" s="156" t="n"/>
      <c r="O226" s="156" t="n"/>
    </row>
    <row r="227" ht="18.75" customHeight="1" s="153">
      <c r="A227" s="227" t="n"/>
      <c r="B227" s="228" t="inlineStr">
        <is>
          <t>CAREN</t>
        </is>
      </c>
      <c r="C227" s="229" t="n"/>
      <c r="D227" s="229" t="n"/>
      <c r="E227" s="229" t="n">
        <v>1</v>
      </c>
      <c r="F227" s="230" t="n"/>
      <c r="G227" s="230" t="n"/>
      <c r="H227" s="231" t="n">
        <v>72000</v>
      </c>
      <c r="I227" s="232" t="n"/>
      <c r="J227" s="232" t="n">
        <v>72000</v>
      </c>
      <c r="K227" s="233" t="n"/>
      <c r="L227" s="233">
        <f>IF(K227&lt;&gt;"",25000+K227,25000)</f>
        <v/>
      </c>
      <c r="M227" s="156" t="n"/>
      <c r="N227" s="156" t="n"/>
      <c r="O227" s="156" t="n"/>
    </row>
    <row r="228" ht="18.75" customHeight="1" s="153">
      <c r="A228" s="237" t="n"/>
      <c r="B228" s="238" t="inlineStr">
        <is>
          <t>PENALOZA 9757</t>
        </is>
      </c>
      <c r="C228" s="239" t="n">
        <v>1</v>
      </c>
      <c r="D228" s="239" t="n"/>
      <c r="E228" s="239" t="n"/>
      <c r="F228" s="240" t="n"/>
      <c r="G228" s="240" t="n"/>
      <c r="H228" s="241" t="n">
        <v>22000</v>
      </c>
      <c r="I228" s="242" t="n"/>
      <c r="J228" s="242" t="n">
        <v>22000</v>
      </c>
      <c r="K228" s="233" t="n"/>
      <c r="L228" s="233">
        <f>IF(K228&lt;&gt;"",11500+K228,11500)</f>
        <v/>
      </c>
      <c r="M228" s="156" t="n"/>
      <c r="N228" s="156" t="n"/>
      <c r="O228" s="156" t="n"/>
    </row>
    <row r="229" ht="18.75" customHeight="1" s="153">
      <c r="A229" s="227" t="n"/>
      <c r="B229" s="228" t="inlineStr">
        <is>
          <t>RIVADAVIA 8280</t>
        </is>
      </c>
      <c r="C229" s="229" t="n"/>
      <c r="D229" s="229" t="n"/>
      <c r="E229" s="229" t="n">
        <v>1</v>
      </c>
      <c r="F229" s="230" t="n"/>
      <c r="G229" s="230" t="n"/>
      <c r="H229" s="231" t="n">
        <v>76000</v>
      </c>
      <c r="I229" s="232" t="n"/>
      <c r="J229" s="232" t="n">
        <v>76000</v>
      </c>
      <c r="K229" s="233" t="n"/>
      <c r="L229" s="233">
        <f>IF(K229&lt;&gt;"",29000+K229,29000)</f>
        <v/>
      </c>
      <c r="M229" s="156" t="n"/>
      <c r="N229" s="156" t="n"/>
      <c r="O229" s="156" t="n"/>
    </row>
    <row r="230" ht="18.75" customHeight="1" s="153">
      <c r="A230" s="237" t="n"/>
      <c r="B230" s="238" t="inlineStr">
        <is>
          <t>PAVON 2612</t>
        </is>
      </c>
      <c r="C230" s="239" t="n"/>
      <c r="D230" s="239" t="n"/>
      <c r="E230" s="239" t="n">
        <v>1</v>
      </c>
      <c r="F230" s="240" t="n"/>
      <c r="G230" s="240" t="n"/>
      <c r="H230" s="241" t="n">
        <v>68000</v>
      </c>
      <c r="I230" s="242" t="n"/>
      <c r="J230" s="242" t="n">
        <v>68000</v>
      </c>
      <c r="K230" s="233" t="n"/>
      <c r="L230" s="233">
        <f>IF(K230&lt;&gt;"",21000+K230,21000)</f>
        <v/>
      </c>
      <c r="M230" s="156" t="n"/>
      <c r="N230" s="156" t="n"/>
      <c r="O230" s="156" t="n"/>
    </row>
    <row r="231" ht="18.75" customHeight="1" s="153">
      <c r="A231" s="227" t="n"/>
      <c r="B231" s="228" t="inlineStr">
        <is>
          <t>GENEIRO 8164</t>
        </is>
      </c>
      <c r="C231" s="229" t="n">
        <v>1</v>
      </c>
      <c r="D231" s="229" t="n"/>
      <c r="E231" s="229" t="n"/>
      <c r="F231" s="230" t="n"/>
      <c r="G231" s="230" t="n"/>
      <c r="H231" s="231" t="n">
        <v>22000</v>
      </c>
      <c r="I231" s="232" t="n"/>
      <c r="J231" s="232" t="n">
        <v>22000</v>
      </c>
      <c r="K231" s="233" t="n"/>
      <c r="L231" s="233">
        <f>IF(K231&lt;&gt;"",11500+K231,11500)</f>
        <v/>
      </c>
      <c r="M231" s="156" t="n"/>
      <c r="N231" s="156" t="n"/>
      <c r="O231" s="156" t="n"/>
    </row>
    <row r="232" ht="18.75" customHeight="1" s="153">
      <c r="A232" s="237" t="n"/>
      <c r="B232" s="238" t="inlineStr">
        <is>
          <t>LUCHO</t>
        </is>
      </c>
      <c r="C232" s="239" t="n">
        <v>3</v>
      </c>
      <c r="D232" s="239" t="n"/>
      <c r="E232" s="239" t="n"/>
      <c r="F232" s="240" t="n"/>
      <c r="G232" s="240" t="n"/>
      <c r="H232" s="241" t="n">
        <v>45000</v>
      </c>
      <c r="I232" s="242" t="n">
        <v>45000</v>
      </c>
      <c r="J232" s="242" t="n"/>
      <c r="K232" s="233" t="n"/>
      <c r="L232" s="233">
        <f>IF(K232&lt;&gt;"",13500+K232,13500)</f>
        <v/>
      </c>
      <c r="M232" s="156" t="n"/>
      <c r="N232" s="156" t="n"/>
      <c r="O232" s="156" t="n"/>
    </row>
    <row r="233" ht="18.75" customHeight="1" s="153">
      <c r="A233" s="227" t="n"/>
      <c r="B233" s="228" t="inlineStr">
        <is>
          <t xml:space="preserve">ESTELA PALZA </t>
        </is>
      </c>
      <c r="C233" s="229" t="n">
        <v>3</v>
      </c>
      <c r="D233" s="229" t="n"/>
      <c r="E233" s="229" t="n"/>
      <c r="F233" s="230" t="n"/>
      <c r="G233" s="230" t="n"/>
      <c r="H233" s="231" t="n">
        <v>45000</v>
      </c>
      <c r="I233" s="232" t="n">
        <v>45000</v>
      </c>
      <c r="J233" s="232" t="n"/>
      <c r="K233" s="233" t="n"/>
      <c r="L233" s="233">
        <f>IF(K233&lt;&gt;"",13500+K233,13500)</f>
        <v/>
      </c>
      <c r="M233" s="156" t="n"/>
      <c r="N233" s="156" t="n"/>
      <c r="O233" s="156" t="n"/>
    </row>
    <row r="234" ht="18.75" customHeight="1" s="153">
      <c r="A234" s="237" t="n">
        <v>46075</v>
      </c>
      <c r="B234" s="238" t="inlineStr">
        <is>
          <t>PAULO</t>
        </is>
      </c>
      <c r="C234" s="239" t="n">
        <v>3</v>
      </c>
      <c r="D234" s="239" t="n"/>
      <c r="E234" s="239" t="n"/>
      <c r="F234" s="240" t="n"/>
      <c r="G234" s="240" t="n"/>
      <c r="H234" s="241" t="n">
        <v>43500</v>
      </c>
      <c r="I234" s="242" t="n">
        <v>43500</v>
      </c>
      <c r="J234" s="242" t="n"/>
      <c r="K234" s="233" t="n"/>
      <c r="L234" s="233">
        <f>IF(K234&lt;&gt;"",12000+K234,12000)</f>
        <v/>
      </c>
      <c r="M234" s="156" t="n"/>
      <c r="N234" s="156" t="n"/>
      <c r="O234" s="156" t="n"/>
    </row>
    <row r="235" ht="18.75" customHeight="1" s="153">
      <c r="A235" s="227" t="n"/>
      <c r="B235" s="228" t="inlineStr">
        <is>
          <t>CANDIDO PUJATO 2444</t>
        </is>
      </c>
      <c r="C235" s="229" t="n">
        <v>1</v>
      </c>
      <c r="D235" s="229" t="n"/>
      <c r="E235" s="229" t="n"/>
      <c r="F235" s="230" t="n"/>
      <c r="G235" s="230" t="n"/>
      <c r="H235" s="231" t="n">
        <v>23000</v>
      </c>
      <c r="I235" s="232" t="n"/>
      <c r="J235" s="232" t="n">
        <v>23000</v>
      </c>
      <c r="K235" s="233" t="n"/>
      <c r="L235" s="233">
        <f>IF(K235&lt;&gt;"",12500+K235,12500)</f>
        <v/>
      </c>
      <c r="M235" s="156" t="n"/>
      <c r="N235" s="156" t="n"/>
      <c r="O235" s="156" t="n"/>
    </row>
    <row r="236" ht="18.75" customHeight="1" s="153">
      <c r="A236" s="237" t="n"/>
      <c r="B236" s="238" t="inlineStr">
        <is>
          <t>PARRI BLAS PARERA</t>
        </is>
      </c>
      <c r="C236" s="239" t="n">
        <v>1</v>
      </c>
      <c r="D236" s="239" t="n"/>
      <c r="E236" s="239" t="n"/>
      <c r="F236" s="240" t="n"/>
      <c r="G236" s="240" t="n"/>
      <c r="H236" s="241" t="n">
        <v>17000</v>
      </c>
      <c r="I236" s="242" t="n"/>
      <c r="J236" s="242" t="n">
        <v>17000</v>
      </c>
      <c r="K236" s="233" t="n"/>
      <c r="L236" s="233">
        <f>IF(K236&lt;&gt;"",6500+K236,6500)</f>
        <v/>
      </c>
      <c r="M236" s="156" t="n"/>
      <c r="N236" s="156" t="n"/>
      <c r="O236" s="156" t="n"/>
    </row>
    <row r="237" ht="18.75" customHeight="1" s="153">
      <c r="A237" s="227" t="n"/>
      <c r="B237" s="228" t="inlineStr">
        <is>
          <t>GABOTO 7102</t>
        </is>
      </c>
      <c r="C237" s="229" t="n"/>
      <c r="D237" s="229" t="n">
        <v>1</v>
      </c>
      <c r="E237" s="229" t="n"/>
      <c r="F237" s="230" t="n"/>
      <c r="G237" s="230" t="n"/>
      <c r="H237" s="231" t="n">
        <v>33000</v>
      </c>
      <c r="I237" s="232" t="n"/>
      <c r="J237" s="232" t="n">
        <v>33000</v>
      </c>
      <c r="K237" s="233" t="n"/>
      <c r="L237" s="233">
        <f>IF(K237&lt;&gt;"",17250+K237,17250)</f>
        <v/>
      </c>
      <c r="M237" s="156" t="n"/>
      <c r="N237" s="156" t="n"/>
      <c r="O237" s="156" t="n"/>
    </row>
    <row r="238" ht="18.75" customHeight="1" s="153">
      <c r="A238" s="237" t="n"/>
      <c r="B238" s="238" t="inlineStr">
        <is>
          <t>FACUNDO ZUVIRIA 10235</t>
        </is>
      </c>
      <c r="C238" s="239" t="n">
        <v>1</v>
      </c>
      <c r="D238" s="239" t="n"/>
      <c r="E238" s="239" t="n"/>
      <c r="F238" s="240" t="n"/>
      <c r="G238" s="240" t="n"/>
      <c r="H238" s="241" t="n">
        <v>23000</v>
      </c>
      <c r="I238" s="242" t="n"/>
      <c r="J238" s="242" t="n">
        <v>23000</v>
      </c>
      <c r="K238" s="233" t="n"/>
      <c r="L238" s="233">
        <f>IF(K238&lt;&gt;"",12500+K238,12500)</f>
        <v/>
      </c>
      <c r="M238" s="156" t="n"/>
      <c r="N238" s="156" t="n"/>
      <c r="O238" s="156" t="n"/>
    </row>
    <row r="239" ht="18.75" customHeight="1" s="153">
      <c r="A239" s="227" t="n"/>
      <c r="B239" s="228" t="inlineStr">
        <is>
          <t>JP LOPEZ 2045</t>
        </is>
      </c>
      <c r="C239" s="229" t="n">
        <v>1</v>
      </c>
      <c r="D239" s="229" t="n"/>
      <c r="E239" s="229" t="n"/>
      <c r="F239" s="230" t="n"/>
      <c r="G239" s="230" t="n"/>
      <c r="H239" s="231" t="n">
        <v>22000</v>
      </c>
      <c r="I239" s="232" t="n">
        <v>22000</v>
      </c>
      <c r="J239" s="232" t="n"/>
      <c r="K239" s="233" t="n"/>
      <c r="L239" s="233">
        <f>IF(K239&lt;&gt;"",11500+K239,11500)</f>
        <v/>
      </c>
      <c r="M239" s="156" t="n"/>
      <c r="N239" s="156" t="n"/>
      <c r="O239" s="156" t="n"/>
    </row>
    <row r="240" ht="18.75" customHeight="1" s="153">
      <c r="A240" s="237" t="n"/>
      <c r="B240" s="238" t="inlineStr">
        <is>
          <t>M CANDIOTI 5256</t>
        </is>
      </c>
      <c r="C240" s="239" t="n">
        <v>1</v>
      </c>
      <c r="D240" s="239" t="n"/>
      <c r="E240" s="239" t="n"/>
      <c r="F240" s="240" t="n"/>
      <c r="G240" s="240" t="n"/>
      <c r="H240" s="241" t="n">
        <v>22000</v>
      </c>
      <c r="I240" s="242" t="n">
        <v>22000</v>
      </c>
      <c r="J240" s="242" t="n"/>
      <c r="K240" s="233" t="n"/>
      <c r="L240" s="233">
        <f>IF(K240&lt;&gt;"",11500+K240,11500)</f>
        <v/>
      </c>
      <c r="M240" s="156" t="n"/>
      <c r="N240" s="156" t="n"/>
      <c r="O240" s="156" t="n"/>
    </row>
    <row r="241" ht="18.75" customHeight="1" s="153">
      <c r="A241" s="227" t="n"/>
      <c r="B241" s="228" t="inlineStr">
        <is>
          <t>PUBLICO 5727</t>
        </is>
      </c>
      <c r="C241" s="229" t="n">
        <v>1</v>
      </c>
      <c r="D241" s="229" t="n">
        <v>1</v>
      </c>
      <c r="E241" s="229" t="n"/>
      <c r="F241" s="230" t="n"/>
      <c r="G241" s="230" t="n"/>
      <c r="H241" s="231" t="n">
        <v>55000</v>
      </c>
      <c r="I241" s="232" t="n"/>
      <c r="J241" s="232" t="n">
        <v>55000</v>
      </c>
      <c r="K241" s="233" t="n"/>
      <c r="L241" s="233">
        <f>IF(K241&lt;&gt;"",28750+K241,28750)</f>
        <v/>
      </c>
      <c r="M241" s="156" t="n"/>
      <c r="N241" s="156" t="n"/>
      <c r="O241" s="156" t="n"/>
    </row>
    <row r="242" ht="18.75" customHeight="1" s="153">
      <c r="A242" s="237" t="n"/>
      <c r="B242" s="238" t="inlineStr">
        <is>
          <t>D SILVA 4217</t>
        </is>
      </c>
      <c r="C242" s="239" t="n">
        <v>3</v>
      </c>
      <c r="D242" s="239" t="n"/>
      <c r="E242" s="239" t="n"/>
      <c r="F242" s="240" t="n"/>
      <c r="G242" s="240" t="n"/>
      <c r="H242" s="241" t="n">
        <v>43500</v>
      </c>
      <c r="I242" s="242" t="n"/>
      <c r="J242" s="242" t="n">
        <v>43500</v>
      </c>
      <c r="K242" s="233" t="n"/>
      <c r="L242" s="233">
        <f>IF(K242&lt;&gt;"",12000+K242,12000)</f>
        <v/>
      </c>
      <c r="M242" s="156" t="n"/>
      <c r="N242" s="156" t="n"/>
      <c r="O242" s="156" t="n"/>
    </row>
    <row r="243" ht="18.75" customHeight="1" s="153">
      <c r="A243" s="227" t="n"/>
      <c r="B243" s="228" t="inlineStr">
        <is>
          <t>TACUARI 5727</t>
        </is>
      </c>
      <c r="C243" s="229" t="n">
        <v>1</v>
      </c>
      <c r="D243" s="229" t="n"/>
      <c r="E243" s="229" t="n"/>
      <c r="F243" s="230" t="n"/>
      <c r="G243" s="230" t="n"/>
      <c r="H243" s="231" t="n">
        <v>19500</v>
      </c>
      <c r="I243" s="232" t="n"/>
      <c r="J243" s="232" t="n">
        <v>19500</v>
      </c>
      <c r="K243" s="233" t="n"/>
      <c r="L243" s="233">
        <f>IF(K243&lt;&gt;"",9000+K243,9000)</f>
        <v/>
      </c>
      <c r="M243" s="156" t="n"/>
      <c r="N243" s="156" t="n"/>
      <c r="O243" s="156" t="n"/>
    </row>
    <row r="244" ht="18.75" customHeight="1" s="153">
      <c r="A244" s="237" t="n"/>
      <c r="B244" s="238" t="inlineStr">
        <is>
          <t>FILOMENA</t>
        </is>
      </c>
      <c r="C244" s="239" t="n">
        <v>1</v>
      </c>
      <c r="D244" s="239" t="n"/>
      <c r="E244" s="239" t="n"/>
      <c r="F244" s="240" t="n"/>
      <c r="G244" s="240" t="n"/>
      <c r="H244" s="241" t="n">
        <v>19000</v>
      </c>
      <c r="I244" s="242" t="n"/>
      <c r="J244" s="242" t="n">
        <v>19000</v>
      </c>
      <c r="K244" s="233" t="n"/>
      <c r="L244" s="233">
        <f>IF(K244&lt;&gt;"",8500+K244,8500)</f>
        <v/>
      </c>
      <c r="M244" s="156" t="n"/>
      <c r="N244" s="156" t="n"/>
      <c r="O244" s="156" t="n"/>
    </row>
    <row r="245" ht="18.75" customHeight="1" s="153">
      <c r="A245" s="227" t="n">
        <v>46076</v>
      </c>
      <c r="B245" s="228" t="inlineStr">
        <is>
          <t>E ZEBALLOS 4875 VIANDA</t>
        </is>
      </c>
      <c r="C245" s="229" t="n">
        <v>1</v>
      </c>
      <c r="D245" s="229" t="n"/>
      <c r="E245" s="229" t="n"/>
      <c r="F245" s="230" t="n"/>
      <c r="G245" s="230" t="n"/>
      <c r="H245" s="231" t="n">
        <v>19000</v>
      </c>
      <c r="I245" s="232" t="n">
        <v>19000</v>
      </c>
      <c r="J245" s="232" t="n"/>
      <c r="K245" s="233" t="n"/>
      <c r="L245" s="233">
        <f>IF(K245&lt;&gt;"",8500+K245,8500)</f>
        <v/>
      </c>
      <c r="M245" s="156" t="n"/>
      <c r="N245" s="156" t="n"/>
      <c r="O245" s="156" t="n"/>
    </row>
    <row r="246" ht="18.75" customHeight="1" s="153">
      <c r="A246" s="237" t="n"/>
      <c r="B246" s="238" t="inlineStr">
        <is>
          <t>LUCHO</t>
        </is>
      </c>
      <c r="C246" s="239" t="n">
        <v>1</v>
      </c>
      <c r="D246" s="239" t="n">
        <v>1</v>
      </c>
      <c r="E246" s="239" t="n"/>
      <c r="F246" s="240" t="n"/>
      <c r="G246" s="240" t="n"/>
      <c r="H246" s="241" t="n">
        <v>38500</v>
      </c>
      <c r="I246" s="242" t="n">
        <v>38500</v>
      </c>
      <c r="J246" s="242" t="n"/>
      <c r="K246" s="233" t="n"/>
      <c r="L246" s="233">
        <f>IF(K246&lt;&gt;"",12250+K246,12250)</f>
        <v/>
      </c>
      <c r="M246" s="156" t="n"/>
      <c r="N246" s="156" t="n"/>
      <c r="O246" s="156" t="n"/>
    </row>
    <row r="247" ht="18.75" customHeight="1" s="153">
      <c r="A247" s="227" t="n"/>
      <c r="B247" s="228" t="inlineStr">
        <is>
          <t>AGUADP 6970</t>
        </is>
      </c>
      <c r="C247" s="229" t="n"/>
      <c r="D247" s="229" t="n">
        <v>1</v>
      </c>
      <c r="E247" s="229" t="n"/>
      <c r="F247" s="230" t="n"/>
      <c r="G247" s="230" t="n"/>
      <c r="H247" s="231" t="n">
        <v>32000</v>
      </c>
      <c r="I247" s="232" t="n">
        <v>32000</v>
      </c>
      <c r="J247" s="232" t="n"/>
      <c r="K247" s="233" t="n"/>
      <c r="L247" s="233">
        <f>IF(K247&lt;&gt;"",16250+K247,16250)</f>
        <v/>
      </c>
      <c r="M247" s="156" t="n"/>
      <c r="N247" s="156" t="n"/>
      <c r="O247" s="156" t="n"/>
    </row>
    <row r="248" ht="18.75" customHeight="1" s="153">
      <c r="A248" s="237" t="n"/>
      <c r="B248" s="238" t="inlineStr">
        <is>
          <t>EUROPA 9396</t>
        </is>
      </c>
      <c r="C248" s="239" t="n"/>
      <c r="D248" s="239" t="n"/>
      <c r="E248" s="239" t="n">
        <v>1</v>
      </c>
      <c r="F248" s="240" t="n"/>
      <c r="G248" s="240" t="n"/>
      <c r="H248" s="241" t="n">
        <v>76000</v>
      </c>
      <c r="I248" s="242" t="n">
        <v>76000</v>
      </c>
      <c r="J248" s="242" t="n"/>
      <c r="K248" s="233" t="n"/>
      <c r="L248" s="233">
        <f>IF(K248&lt;&gt;"",29000+K248,29000)</f>
        <v/>
      </c>
      <c r="M248" s="156" t="n"/>
      <c r="N248" s="156" t="n"/>
      <c r="O248" s="156" t="n"/>
    </row>
    <row r="249" ht="18.75" customHeight="1" s="153">
      <c r="A249" s="227" t="n"/>
      <c r="B249" s="228" t="inlineStr">
        <is>
          <t>SANDRA</t>
        </is>
      </c>
      <c r="C249" s="229" t="n">
        <v>1</v>
      </c>
      <c r="D249" s="229" t="n"/>
      <c r="E249" s="229" t="n"/>
      <c r="F249" s="230" t="n"/>
      <c r="G249" s="230" t="n"/>
      <c r="H249" s="231" t="n">
        <v>15500</v>
      </c>
      <c r="I249" s="232" t="n">
        <v>15500</v>
      </c>
      <c r="J249" s="232" t="n"/>
      <c r="K249" s="233" t="n"/>
      <c r="L249" s="233">
        <f>IF(K249&lt;&gt;"",5000+K249,5000)</f>
        <v/>
      </c>
      <c r="M249" s="156" t="n"/>
      <c r="N249" s="156" t="n"/>
      <c r="O249" s="156" t="n"/>
    </row>
    <row r="250" ht="18.75" customHeight="1" s="153">
      <c r="A250" s="237" t="n">
        <v>46077</v>
      </c>
      <c r="B250" s="238" t="inlineStr">
        <is>
          <t>DOMINGO SILVA 4217</t>
        </is>
      </c>
      <c r="C250" s="239" t="n">
        <v>2</v>
      </c>
      <c r="D250" s="239" t="n">
        <v>1</v>
      </c>
      <c r="E250" s="239" t="n"/>
      <c r="F250" s="240" t="n"/>
      <c r="G250" s="240" t="n"/>
      <c r="H250" s="241" t="n">
        <v>51500</v>
      </c>
      <c r="I250" s="242" t="n">
        <v>51500</v>
      </c>
      <c r="J250" s="242" t="n"/>
      <c r="K250" s="233" t="n"/>
      <c r="L250" s="233">
        <f>IF(K250&lt;&gt;"",14750+K250,14750)</f>
        <v/>
      </c>
      <c r="M250" s="156" t="n"/>
      <c r="N250" s="156" t="n"/>
      <c r="O250" s="156" t="n"/>
    </row>
    <row r="251" ht="18.75" customHeight="1" s="153">
      <c r="A251" s="227" t="n"/>
      <c r="B251" s="228" t="inlineStr">
        <is>
          <t>PANA GISE</t>
        </is>
      </c>
      <c r="C251" s="229" t="n"/>
      <c r="D251" s="229" t="n"/>
      <c r="E251" s="229" t="n"/>
      <c r="F251" s="230" t="n">
        <v>2</v>
      </c>
      <c r="G251" s="230" t="n"/>
      <c r="H251" s="231" t="n">
        <v>6800</v>
      </c>
      <c r="I251" s="232" t="n"/>
      <c r="J251" s="232" t="n">
        <v>6800</v>
      </c>
      <c r="K251" s="233" t="n"/>
      <c r="L251" s="233">
        <f>IF(K251&lt;&gt;"",2150+K251,2150)</f>
        <v/>
      </c>
      <c r="M251" s="156" t="n"/>
      <c r="N251" s="156" t="n"/>
      <c r="O251" s="156" t="n"/>
    </row>
    <row r="252" ht="18.75" customHeight="1" s="153">
      <c r="A252" s="237" t="n"/>
      <c r="B252" s="238" t="inlineStr">
        <is>
          <t>PANA GENESIO</t>
        </is>
      </c>
      <c r="C252" s="239" t="n"/>
      <c r="D252" s="239" t="n"/>
      <c r="E252" s="239" t="n">
        <v>1</v>
      </c>
      <c r="F252" s="240" t="n"/>
      <c r="G252" s="240" t="n"/>
      <c r="H252" s="241" t="n">
        <v>69000</v>
      </c>
      <c r="I252" s="242" t="n"/>
      <c r="J252" s="242" t="n">
        <v>69000</v>
      </c>
      <c r="K252" s="233" t="n"/>
      <c r="L252" s="233">
        <f>IF(K252&lt;&gt;"",22000+K252,22000)</f>
        <v/>
      </c>
      <c r="M252" s="156" t="n"/>
      <c r="N252" s="156" t="n"/>
      <c r="O252" s="156" t="n"/>
    </row>
    <row r="253" ht="18.75" customHeight="1" s="153">
      <c r="A253" s="227" t="n"/>
      <c r="B253" s="228" t="inlineStr">
        <is>
          <t>ROTI SAN LORENZO</t>
        </is>
      </c>
      <c r="C253" s="229" t="n">
        <v>3</v>
      </c>
      <c r="D253" s="229" t="n">
        <v>1</v>
      </c>
      <c r="E253" s="229" t="n"/>
      <c r="F253" s="230" t="n"/>
      <c r="G253" s="230" t="n"/>
      <c r="H253" s="231" t="n">
        <v>91000</v>
      </c>
      <c r="I253" s="232" t="n">
        <v>91000</v>
      </c>
      <c r="J253" s="232" t="n"/>
      <c r="K253" s="233" t="n"/>
      <c r="L253" s="233">
        <f>IF(K253&lt;&gt;"",43750+K253,43750)</f>
        <v/>
      </c>
      <c r="M253" s="156" t="n"/>
      <c r="N253" s="156" t="n"/>
      <c r="O253" s="156" t="n"/>
    </row>
    <row r="254" ht="18.75" customHeight="1" s="153">
      <c r="A254" s="237" t="n"/>
      <c r="B254" s="238" t="inlineStr">
        <is>
          <t>FORMOSA 6058</t>
        </is>
      </c>
      <c r="C254" s="239" t="n">
        <v>1</v>
      </c>
      <c r="D254" s="239" t="n"/>
      <c r="E254" s="239" t="n"/>
      <c r="F254" s="240" t="n"/>
      <c r="G254" s="240" t="n">
        <v>3</v>
      </c>
      <c r="H254" s="241" t="n">
        <v>41000</v>
      </c>
      <c r="I254" s="242" t="n">
        <v>41000</v>
      </c>
      <c r="J254" s="242" t="n"/>
      <c r="K254" s="233" t="n"/>
      <c r="L254" s="233">
        <f>IF(K254&lt;&gt;"",28100+K254,28100)</f>
        <v/>
      </c>
      <c r="M254" s="156" t="n"/>
      <c r="N254" s="156" t="n"/>
      <c r="O254" s="156" t="n"/>
    </row>
    <row r="255" ht="18.75" customHeight="1" s="153">
      <c r="A255" s="227" t="n"/>
      <c r="B255" s="228" t="inlineStr">
        <is>
          <t>BONEO5315</t>
        </is>
      </c>
      <c r="C255" s="229" t="n">
        <v>1</v>
      </c>
      <c r="D255" s="229" t="n"/>
      <c r="E255" s="229" t="n"/>
      <c r="F255" s="230" t="n"/>
      <c r="G255" s="230" t="n"/>
      <c r="H255" s="231" t="n">
        <v>21000</v>
      </c>
      <c r="I255" s="232" t="n"/>
      <c r="J255" s="232" t="n">
        <v>21000</v>
      </c>
      <c r="K255" s="233" t="n"/>
      <c r="L255" s="233">
        <f>IF(K255&lt;&gt;"",10500+K255,10500)</f>
        <v/>
      </c>
      <c r="M255" s="156" t="n"/>
      <c r="N255" s="156" t="n"/>
      <c r="O255" s="156" t="n"/>
    </row>
    <row r="256" ht="18.75" customHeight="1" s="153">
      <c r="A256" s="237" t="n"/>
      <c r="B256" s="238" t="inlineStr">
        <is>
          <t>AYACUCHO 6201</t>
        </is>
      </c>
      <c r="C256" s="239" t="n">
        <v>1</v>
      </c>
      <c r="D256" s="239" t="n"/>
      <c r="E256" s="239" t="n"/>
      <c r="F256" s="240" t="n"/>
      <c r="G256" s="240" t="n"/>
      <c r="H256" s="241" t="n">
        <v>21000</v>
      </c>
      <c r="I256" s="242" t="n"/>
      <c r="J256" s="242" t="n">
        <v>21000</v>
      </c>
      <c r="K256" s="233" t="n"/>
      <c r="L256" s="233">
        <f>IF(K256&lt;&gt;"",10500+K256,10500)</f>
        <v/>
      </c>
      <c r="M256" s="156" t="n"/>
      <c r="N256" s="156" t="n"/>
      <c r="O256" s="156" t="n"/>
    </row>
    <row r="257" ht="18.75" customHeight="1" s="153">
      <c r="A257" s="227" t="n"/>
      <c r="B257" s="228" t="inlineStr">
        <is>
          <t>BAIGORRIA 9350</t>
        </is>
      </c>
      <c r="C257" s="229" t="n"/>
      <c r="D257" s="229" t="n"/>
      <c r="E257" s="229" t="n">
        <v>1</v>
      </c>
      <c r="F257" s="230" t="n"/>
      <c r="G257" s="230" t="n"/>
      <c r="H257" s="231" t="n">
        <v>77000</v>
      </c>
      <c r="I257" s="232" t="n">
        <v>77000</v>
      </c>
      <c r="J257" s="232" t="n"/>
      <c r="K257" s="233" t="n"/>
      <c r="L257" s="233">
        <f>IF(K257&lt;&gt;"",30000+K257,30000)</f>
        <v/>
      </c>
      <c r="M257" s="156" t="n"/>
      <c r="N257" s="156" t="n"/>
      <c r="O257" s="156" t="n"/>
    </row>
    <row r="258" ht="18.75" customHeight="1" s="153">
      <c r="A258" s="237" t="n"/>
      <c r="B258" s="238" t="inlineStr">
        <is>
          <t>GORRITI 6742</t>
        </is>
      </c>
      <c r="C258" s="239" t="n">
        <v>1</v>
      </c>
      <c r="D258" s="239" t="n"/>
      <c r="E258" s="239" t="n"/>
      <c r="F258" s="240" t="n"/>
      <c r="G258" s="240" t="n"/>
      <c r="H258" s="241" t="n">
        <v>21000</v>
      </c>
      <c r="I258" s="242" t="n">
        <v>21000</v>
      </c>
      <c r="J258" s="242" t="n"/>
      <c r="K258" s="233" t="n"/>
      <c r="L258" s="233">
        <f>IF(K258&lt;&gt;"",10500+K258,10500)</f>
        <v/>
      </c>
      <c r="M258" s="156" t="n"/>
      <c r="N258" s="156" t="n"/>
      <c r="O258" s="156" t="n"/>
    </row>
    <row r="259" ht="18.75" customHeight="1" s="153">
      <c r="A259" s="227" t="n"/>
      <c r="B259" s="228" t="inlineStr">
        <is>
          <t>ALBERTI 5298</t>
        </is>
      </c>
      <c r="C259" s="229" t="n">
        <v>2</v>
      </c>
      <c r="D259" s="229" t="n"/>
      <c r="E259" s="229" t="n"/>
      <c r="F259" s="230" t="n"/>
      <c r="G259" s="230" t="n"/>
      <c r="H259" s="231" t="n">
        <v>34000</v>
      </c>
      <c r="I259" s="232" t="n"/>
      <c r="J259" s="232" t="n">
        <v>34000</v>
      </c>
      <c r="K259" s="233" t="n"/>
      <c r="L259" s="233">
        <f>IF(K259&lt;&gt;"",13000+K259,13000)</f>
        <v/>
      </c>
      <c r="M259" s="156" t="n"/>
      <c r="N259" s="156" t="n"/>
      <c r="O259" s="156" t="n"/>
    </row>
    <row r="260" ht="18.75" customHeight="1" s="153">
      <c r="A260" s="237" t="n"/>
      <c r="B260" s="238" t="inlineStr">
        <is>
          <t>FILOMENA</t>
        </is>
      </c>
      <c r="C260" s="239" t="n">
        <v>1</v>
      </c>
      <c r="D260" s="239" t="n"/>
      <c r="E260" s="239" t="n"/>
      <c r="F260" s="240" t="n"/>
      <c r="G260" s="240" t="n"/>
      <c r="H260" s="241" t="n">
        <v>19000</v>
      </c>
      <c r="I260" s="242" t="n"/>
      <c r="J260" s="242" t="n">
        <v>19000</v>
      </c>
      <c r="K260" s="233" t="n"/>
      <c r="L260" s="233">
        <f>IF(K260&lt;&gt;"",8500+K260,8500)</f>
        <v/>
      </c>
      <c r="M260" s="156" t="n"/>
      <c r="N260" s="156" t="n"/>
      <c r="O260" s="156" t="n"/>
    </row>
    <row r="261" ht="18.75" customHeight="1" s="153">
      <c r="A261" s="227" t="n"/>
      <c r="B261" s="228" t="inlineStr">
        <is>
          <t>CAREN</t>
        </is>
      </c>
      <c r="C261" s="229" t="n"/>
      <c r="D261" s="229" t="n"/>
      <c r="E261" s="229" t="n">
        <v>1</v>
      </c>
      <c r="F261" s="230" t="n"/>
      <c r="G261" s="230" t="n"/>
      <c r="H261" s="231" t="n">
        <v>72000</v>
      </c>
      <c r="I261" s="232" t="n"/>
      <c r="J261" s="232" t="n">
        <v>72000</v>
      </c>
      <c r="K261" s="233" t="n"/>
      <c r="L261" s="233">
        <f>IF(K261&lt;&gt;"",25000+K261,25000)</f>
        <v/>
      </c>
      <c r="M261" s="156" t="n"/>
      <c r="N261" s="156" t="n"/>
      <c r="O261" s="156" t="n"/>
    </row>
    <row r="262" ht="18.75" customHeight="1" s="153">
      <c r="A262" s="237" t="n">
        <v>46078</v>
      </c>
      <c r="B262" s="238" t="inlineStr">
        <is>
          <t>SAN JERONIMO 6421</t>
        </is>
      </c>
      <c r="C262" s="239" t="n">
        <v>1</v>
      </c>
      <c r="D262" s="239" t="n"/>
      <c r="E262" s="239" t="n"/>
      <c r="F262" s="240" t="n"/>
      <c r="G262" s="240" t="n"/>
      <c r="H262" s="241" t="n">
        <v>22000</v>
      </c>
      <c r="I262" s="242" t="n">
        <v>22000</v>
      </c>
      <c r="J262" s="242" t="n"/>
      <c r="K262" s="233" t="n"/>
      <c r="L262" s="233">
        <f>IF(K262&lt;&gt;"",11500+K262,11500)</f>
        <v/>
      </c>
      <c r="M262" s="156" t="n"/>
      <c r="N262" s="156" t="n"/>
      <c r="O262" s="156" t="n"/>
    </row>
    <row r="263" ht="18.75" customHeight="1" s="153">
      <c r="A263" s="227" t="n"/>
      <c r="B263" s="228" t="inlineStr">
        <is>
          <t>MARCIAL CANDIOTI 6141</t>
        </is>
      </c>
      <c r="C263" s="229" t="n">
        <v>1</v>
      </c>
      <c r="D263" s="229" t="n"/>
      <c r="E263" s="229" t="n"/>
      <c r="F263" s="230" t="n"/>
      <c r="G263" s="230" t="n"/>
      <c r="H263" s="231" t="n">
        <v>22000</v>
      </c>
      <c r="I263" s="232" t="n">
        <v>22000</v>
      </c>
      <c r="J263" s="232" t="n"/>
      <c r="K263" s="233" t="n"/>
      <c r="L263" s="233">
        <f>IF(K263&lt;&gt;"",11500+K263,11500)</f>
        <v/>
      </c>
      <c r="M263" s="156" t="n"/>
      <c r="N263" s="156" t="n"/>
      <c r="O263" s="156" t="n"/>
    </row>
    <row r="264" ht="18.75" customHeight="1" s="153">
      <c r="A264" s="237" t="n"/>
      <c r="B264" s="238" t="inlineStr">
        <is>
          <t>ROTI SAN LORENZO</t>
        </is>
      </c>
      <c r="C264" s="239" t="n"/>
      <c r="D264" s="239" t="n"/>
      <c r="E264" s="239" t="n">
        <v>1</v>
      </c>
      <c r="F264" s="240" t="n"/>
      <c r="G264" s="240" t="n"/>
      <c r="H264" s="241" t="n">
        <v>72000</v>
      </c>
      <c r="I264" s="242" t="n">
        <v>72000</v>
      </c>
      <c r="J264" s="242" t="n"/>
      <c r="K264" s="233" t="n"/>
      <c r="L264" s="233">
        <f>IF(K264&lt;&gt;"",25000+K264,25000)</f>
        <v/>
      </c>
      <c r="M264" s="156" t="n"/>
      <c r="N264" s="156" t="n"/>
      <c r="O264" s="156" t="n"/>
    </row>
    <row r="265" ht="18.75" customHeight="1" s="153">
      <c r="A265" s="227" t="n"/>
      <c r="B265" s="228" t="inlineStr">
        <is>
          <t>LAVADERO</t>
        </is>
      </c>
      <c r="C265" s="229" t="n">
        <v>1</v>
      </c>
      <c r="D265" s="229" t="n"/>
      <c r="E265" s="229" t="n"/>
      <c r="F265" s="230" t="n"/>
      <c r="G265" s="230" t="n"/>
      <c r="H265" s="231" t="n">
        <v>14500</v>
      </c>
      <c r="I265" s="232" t="n"/>
      <c r="J265" s="232" t="n">
        <v>14500</v>
      </c>
      <c r="K265" s="233" t="n"/>
      <c r="L265" s="233">
        <f>IF(K265&lt;&gt;"",4000+K265,4000)</f>
        <v/>
      </c>
      <c r="M265" s="156" t="n"/>
      <c r="N265" s="156" t="n"/>
      <c r="O265" s="156" t="n"/>
    </row>
    <row r="266" ht="18.75" customHeight="1" s="153">
      <c r="A266" s="237" t="n"/>
      <c r="B266" s="238" t="inlineStr">
        <is>
          <t>NACHO</t>
        </is>
      </c>
      <c r="C266" s="239" t="n"/>
      <c r="D266" s="239" t="n">
        <v>1</v>
      </c>
      <c r="E266" s="239" t="n"/>
      <c r="F266" s="240" t="n"/>
      <c r="G266" s="240" t="n"/>
      <c r="H266" s="241" t="n">
        <v>28500</v>
      </c>
      <c r="I266" s="242" t="n"/>
      <c r="J266" s="242" t="n">
        <v>28500</v>
      </c>
      <c r="K266" s="233" t="n"/>
      <c r="L266" s="233">
        <f>IF(K266&lt;&gt;"",12750+K266,12750)</f>
        <v/>
      </c>
      <c r="M266" s="156" t="n"/>
      <c r="N266" s="156" t="n"/>
      <c r="O266" s="156" t="n"/>
    </row>
    <row r="267" ht="18.75" customHeight="1" s="153">
      <c r="A267" s="227" t="n"/>
      <c r="B267" s="228" t="inlineStr">
        <is>
          <t>DUSSOP 7678</t>
        </is>
      </c>
      <c r="C267" s="229" t="n">
        <v>2</v>
      </c>
      <c r="D267" s="229" t="n">
        <v>1</v>
      </c>
      <c r="E267" s="229" t="n"/>
      <c r="F267" s="230" t="n"/>
      <c r="G267" s="230" t="n"/>
      <c r="H267" s="231" t="n">
        <v>51500</v>
      </c>
      <c r="I267" s="232" t="n">
        <v>51500</v>
      </c>
      <c r="J267" s="232" t="n"/>
      <c r="K267" s="233" t="n"/>
      <c r="L267" s="233">
        <f>IF(K267&lt;&gt;"",14750+K267,14750)</f>
        <v/>
      </c>
      <c r="M267" s="156" t="n"/>
      <c r="N267" s="156" t="n"/>
      <c r="O267" s="156" t="n"/>
    </row>
    <row r="268" ht="18.75" customHeight="1" s="153">
      <c r="A268" s="237" t="n"/>
      <c r="B268" s="238" t="inlineStr">
        <is>
          <t>ROTI VIEYTES</t>
        </is>
      </c>
      <c r="C268" s="239" t="n"/>
      <c r="D268" s="239" t="n">
        <v>2</v>
      </c>
      <c r="E268" s="239" t="n"/>
      <c r="F268" s="240" t="n"/>
      <c r="G268" s="240" t="n"/>
      <c r="H268" s="241" t="n">
        <v>45000</v>
      </c>
      <c r="I268" s="242" t="n"/>
      <c r="J268" s="242" t="n">
        <v>45000</v>
      </c>
      <c r="K268" s="233" t="n"/>
      <c r="L268" s="233">
        <f>IF(K268&lt;&gt;"",13500+K268,13500)</f>
        <v/>
      </c>
      <c r="M268" s="156" t="n"/>
      <c r="N268" s="156" t="n"/>
      <c r="O268" s="156" t="n"/>
    </row>
    <row r="269" ht="18.75" customHeight="1" s="153">
      <c r="A269" s="227" t="n"/>
      <c r="B269" s="228" t="inlineStr">
        <is>
          <t>AYACUCHO 4057</t>
        </is>
      </c>
      <c r="C269" s="229" t="n"/>
      <c r="D269" s="229" t="n"/>
      <c r="E269" s="229" t="n">
        <v>1</v>
      </c>
      <c r="F269" s="230" t="n"/>
      <c r="G269" s="230" t="n"/>
      <c r="H269" s="231" t="n">
        <v>76000</v>
      </c>
      <c r="I269" s="232" t="n"/>
      <c r="J269" s="232" t="n">
        <v>76000</v>
      </c>
      <c r="K269" s="233" t="n"/>
      <c r="L269" s="233">
        <f>IF(K269&lt;&gt;"",29000+K269,29000)</f>
        <v/>
      </c>
      <c r="M269" s="156" t="n"/>
      <c r="N269" s="156" t="n"/>
      <c r="O269" s="156" t="n"/>
    </row>
    <row r="270" ht="18.75" customHeight="1" s="153">
      <c r="A270" s="237" t="n"/>
      <c r="B270" s="238" t="inlineStr">
        <is>
          <t>SABOREAR</t>
        </is>
      </c>
      <c r="C270" s="239" t="n"/>
      <c r="D270" s="239" t="n"/>
      <c r="E270" s="239" t="n">
        <v>1</v>
      </c>
      <c r="F270" s="240" t="n"/>
      <c r="G270" s="240" t="n"/>
      <c r="H270" s="241" t="n">
        <v>71000</v>
      </c>
      <c r="I270" s="242" t="n"/>
      <c r="J270" s="242" t="n">
        <v>71000</v>
      </c>
      <c r="K270" s="233" t="n"/>
      <c r="L270" s="233">
        <f>IF(K270&lt;&gt;"",24000+K270,24000)</f>
        <v/>
      </c>
      <c r="M270" s="156" t="n"/>
      <c r="N270" s="156" t="n"/>
      <c r="O270" s="156" t="n"/>
    </row>
    <row r="271" ht="18.75" customHeight="1" s="153">
      <c r="A271" s="227" t="n">
        <v>46079</v>
      </c>
      <c r="B271" s="228" t="inlineStr">
        <is>
          <t>GISE PANA</t>
        </is>
      </c>
      <c r="C271" s="229" t="n">
        <v>1</v>
      </c>
      <c r="D271" s="229" t="n"/>
      <c r="E271" s="229" t="n"/>
      <c r="F271" s="230" t="n"/>
      <c r="G271" s="230" t="n"/>
      <c r="H271" s="231" t="n">
        <v>18500</v>
      </c>
      <c r="I271" s="232" t="n"/>
      <c r="J271" s="232" t="n">
        <v>18500</v>
      </c>
      <c r="K271" s="233" t="n"/>
      <c r="L271" s="233">
        <f>IF(K271&lt;&gt;"",8000+K271,8000)</f>
        <v/>
      </c>
      <c r="M271" s="156" t="n"/>
      <c r="N271" s="156" t="n"/>
      <c r="O271" s="156" t="n"/>
    </row>
    <row r="272" ht="18.75" customHeight="1" s="153">
      <c r="A272" s="237" t="n"/>
      <c r="B272" s="238" t="inlineStr">
        <is>
          <t>ALBERDI 6533</t>
        </is>
      </c>
      <c r="C272" s="239" t="n">
        <v>1</v>
      </c>
      <c r="D272" s="239" t="n"/>
      <c r="E272" s="239" t="n"/>
      <c r="F272" s="240" t="n"/>
      <c r="G272" s="240" t="n"/>
      <c r="H272" s="241" t="n">
        <v>23000</v>
      </c>
      <c r="I272" s="242" t="n"/>
      <c r="J272" s="242" t="n">
        <v>23000</v>
      </c>
      <c r="K272" s="233" t="n"/>
      <c r="L272" s="233">
        <f>IF(K272&lt;&gt;"",12500+K272,12500)</f>
        <v/>
      </c>
      <c r="M272" s="156" t="n"/>
      <c r="N272" s="156" t="n"/>
      <c r="O272" s="156" t="n"/>
    </row>
    <row r="273" ht="18.75" customHeight="1" s="153">
      <c r="A273" s="227" t="n"/>
      <c r="B273" s="228" t="inlineStr">
        <is>
          <t>LUCHO</t>
        </is>
      </c>
      <c r="C273" s="229" t="n"/>
      <c r="D273" s="229" t="n"/>
      <c r="E273" s="229" t="n"/>
      <c r="F273" s="230" t="n"/>
      <c r="G273" s="230" t="n">
        <v>1</v>
      </c>
      <c r="H273" s="231" t="n">
        <v>5000</v>
      </c>
      <c r="I273" s="232" t="n"/>
      <c r="J273" s="232" t="n">
        <v>5000</v>
      </c>
      <c r="K273" s="233" t="n"/>
      <c r="L273" s="233">
        <f>IF(K273&lt;&gt;"",4200+K273,4200)</f>
        <v/>
      </c>
      <c r="M273" s="156" t="n"/>
      <c r="N273" s="156" t="n"/>
      <c r="O273" s="156" t="n"/>
    </row>
    <row r="274" ht="18.75" customHeight="1" s="153">
      <c r="A274" s="237" t="n"/>
      <c r="B274" s="238" t="inlineStr">
        <is>
          <t>ESTADO ISTRAEL 5370</t>
        </is>
      </c>
      <c r="C274" s="239" t="n">
        <v>1</v>
      </c>
      <c r="D274" s="239" t="n"/>
      <c r="E274" s="239" t="n"/>
      <c r="F274" s="240" t="n"/>
      <c r="G274" s="240" t="n"/>
      <c r="H274" s="241" t="n">
        <v>22000</v>
      </c>
      <c r="I274" s="242" t="n">
        <v>22000</v>
      </c>
      <c r="J274" s="242" t="n"/>
      <c r="K274" s="233" t="n"/>
      <c r="L274" s="233">
        <f>IF(K274&lt;&gt;"",11500+K274,11500)</f>
        <v/>
      </c>
      <c r="M274" s="156" t="n"/>
      <c r="N274" s="156" t="n"/>
      <c r="O274" s="156" t="n"/>
    </row>
    <row r="275" ht="18.75" customHeight="1" s="153">
      <c r="A275" s="227" t="n"/>
      <c r="B275" s="228" t="inlineStr">
        <is>
          <t>VIANDAS ZEBALLOS</t>
        </is>
      </c>
      <c r="C275" s="229" t="n">
        <v>1</v>
      </c>
      <c r="D275" s="229" t="n"/>
      <c r="E275" s="229" t="n"/>
      <c r="F275" s="230" t="n"/>
      <c r="G275" s="230" t="n"/>
      <c r="H275" s="231" t="n">
        <v>19000</v>
      </c>
      <c r="I275" s="232" t="n">
        <v>19000</v>
      </c>
      <c r="J275" s="232" t="n"/>
      <c r="K275" s="233" t="n"/>
      <c r="L275" s="233">
        <f>IF(K275&lt;&gt;"",8500+K275,8500)</f>
        <v/>
      </c>
      <c r="M275" s="156" t="n"/>
      <c r="N275" s="156" t="n"/>
      <c r="O275" s="156" t="n"/>
    </row>
    <row r="276" ht="18.75" customHeight="1" s="153">
      <c r="A276" s="237" t="n"/>
      <c r="B276" s="238" t="inlineStr">
        <is>
          <t>INGENIEROS 5511</t>
        </is>
      </c>
      <c r="C276" s="239" t="n">
        <v>1</v>
      </c>
      <c r="D276" s="239" t="n"/>
      <c r="E276" s="239" t="n"/>
      <c r="F276" s="240" t="n"/>
      <c r="G276" s="240" t="n"/>
      <c r="H276" s="241" t="n">
        <v>22000</v>
      </c>
      <c r="I276" s="242" t="n"/>
      <c r="J276" s="242" t="n">
        <v>22000</v>
      </c>
      <c r="K276" s="233" t="n"/>
      <c r="L276" s="233">
        <f>IF(K276&lt;&gt;"",11500+K276,11500)</f>
        <v/>
      </c>
      <c r="M276" s="156" t="n"/>
      <c r="N276" s="156" t="n"/>
      <c r="O276" s="156" t="n"/>
    </row>
    <row r="277" ht="18.75" customHeight="1" s="153">
      <c r="A277" s="227" t="n"/>
      <c r="B277" s="228" t="inlineStr">
        <is>
          <t>SANDRA</t>
        </is>
      </c>
      <c r="C277" s="229" t="n">
        <v>2</v>
      </c>
      <c r="D277" s="229" t="n"/>
      <c r="E277" s="229" t="n"/>
      <c r="F277" s="230" t="n"/>
      <c r="G277" s="230" t="n"/>
      <c r="H277" s="231" t="n">
        <v>31000</v>
      </c>
      <c r="I277" s="232" t="n">
        <v>31000</v>
      </c>
      <c r="J277" s="232" t="n"/>
      <c r="K277" s="233" t="n"/>
      <c r="L277" s="233">
        <f>IF(K277&lt;&gt;"",10000+K277,10000)</f>
        <v/>
      </c>
      <c r="M277" s="156" t="n"/>
      <c r="N277" s="156" t="n"/>
      <c r="O277" s="156" t="n"/>
    </row>
    <row r="278" ht="18.75" customHeight="1" s="153">
      <c r="A278" s="237" t="n"/>
      <c r="B278" s="238" t="inlineStr">
        <is>
          <t>SERBANDO BAYO 6840</t>
        </is>
      </c>
      <c r="C278" s="239" t="n"/>
      <c r="D278" s="239" t="n">
        <v>1</v>
      </c>
      <c r="E278" s="239" t="n"/>
      <c r="F278" s="240" t="n"/>
      <c r="G278" s="240" t="n"/>
      <c r="H278" s="241" t="n">
        <v>33000</v>
      </c>
      <c r="I278" s="242" t="n">
        <v>33000</v>
      </c>
      <c r="J278" s="242" t="n"/>
      <c r="K278" s="233" t="n"/>
      <c r="L278" s="233">
        <f>IF(K278&lt;&gt;"",17250+K278,17250)</f>
        <v/>
      </c>
      <c r="M278" s="156" t="n"/>
      <c r="N278" s="156" t="n"/>
      <c r="O278" s="156" t="n"/>
    </row>
    <row r="279" ht="18.75" customHeight="1" s="153">
      <c r="A279" s="227" t="n"/>
      <c r="B279" s="228" t="inlineStr">
        <is>
          <t>PAPA BRUNO</t>
        </is>
      </c>
      <c r="C279" s="229" t="n"/>
      <c r="D279" s="229" t="n">
        <v>1</v>
      </c>
      <c r="E279" s="229" t="n"/>
      <c r="F279" s="230" t="n"/>
      <c r="G279" s="230" t="n"/>
      <c r="H279" s="231" t="n">
        <v>29000</v>
      </c>
      <c r="I279" s="232" t="n"/>
      <c r="J279" s="232" t="n">
        <v>29000</v>
      </c>
      <c r="K279" s="233" t="n"/>
      <c r="L279" s="233">
        <f>IF(K279&lt;&gt;"",13250+K279,13250)</f>
        <v/>
      </c>
      <c r="M279" s="156" t="n"/>
      <c r="N279" s="156" t="n"/>
      <c r="O279" s="156" t="n"/>
    </row>
    <row r="280" ht="18.75" customHeight="1" s="153">
      <c r="A280" s="237" t="n"/>
      <c r="B280" s="238" t="inlineStr">
        <is>
          <t>PANA VIEYTES 4500</t>
        </is>
      </c>
      <c r="C280" s="239" t="n"/>
      <c r="D280" s="239" t="n"/>
      <c r="E280" s="239" t="n">
        <v>1</v>
      </c>
      <c r="F280" s="240" t="n"/>
      <c r="G280" s="240" t="n"/>
      <c r="H280" s="241" t="n">
        <v>68000</v>
      </c>
      <c r="I280" s="242" t="n">
        <v>68000</v>
      </c>
      <c r="J280" s="242" t="n"/>
      <c r="K280" s="233" t="n"/>
      <c r="L280" s="233">
        <f>IF(K280&lt;&gt;"",21000+K280,21000)</f>
        <v/>
      </c>
      <c r="M280" s="156" t="n"/>
      <c r="N280" s="156" t="n"/>
      <c r="O280" s="156" t="n"/>
    </row>
    <row r="281" ht="18.75" customHeight="1" s="153">
      <c r="A281" s="227" t="n"/>
      <c r="B281" s="228" t="inlineStr">
        <is>
          <t>CASTAÑADUY 6687</t>
        </is>
      </c>
      <c r="C281" s="229" t="n"/>
      <c r="D281" s="229" t="n"/>
      <c r="E281" s="229" t="n">
        <v>1</v>
      </c>
      <c r="F281" s="230" t="n"/>
      <c r="G281" s="230" t="n"/>
      <c r="H281" s="231" t="n">
        <v>74000</v>
      </c>
      <c r="I281" s="232" t="n"/>
      <c r="J281" s="232" t="n">
        <v>74000</v>
      </c>
      <c r="K281" s="233" t="n"/>
      <c r="L281" s="233">
        <f>IF(K281&lt;&gt;"",27000+K281,27000)</f>
        <v/>
      </c>
      <c r="M281" s="156" t="n"/>
      <c r="N281" s="156" t="n"/>
      <c r="O281" s="156" t="n"/>
    </row>
    <row r="282" ht="18.75" customHeight="1" s="153">
      <c r="A282" s="237" t="n"/>
      <c r="B282" s="238" t="inlineStr">
        <is>
          <t>SABORERARTE</t>
        </is>
      </c>
      <c r="C282" s="239" t="n">
        <v>1</v>
      </c>
      <c r="D282" s="239" t="n"/>
      <c r="E282" s="239" t="n"/>
      <c r="F282" s="240" t="n"/>
      <c r="G282" s="240" t="n"/>
      <c r="H282" s="241" t="n">
        <v>19500</v>
      </c>
      <c r="I282" s="242" t="n"/>
      <c r="J282" s="242" t="n">
        <v>19500</v>
      </c>
      <c r="K282" s="233" t="n"/>
      <c r="L282" s="233">
        <f>IF(K282&lt;&gt;"",9000+K282,9000)</f>
        <v/>
      </c>
      <c r="M282" s="156" t="n"/>
      <c r="N282" s="156" t="n"/>
      <c r="O282" s="156" t="n"/>
    </row>
    <row r="283" ht="18.75" customHeight="1" s="153">
      <c r="A283" s="227" t="n"/>
      <c r="B283" s="228" t="inlineStr">
        <is>
          <t>EXE</t>
        </is>
      </c>
      <c r="C283" s="229" t="n"/>
      <c r="D283" s="229" t="n"/>
      <c r="E283" s="229" t="n">
        <v>1</v>
      </c>
      <c r="F283" s="230" t="n"/>
      <c r="G283" s="230" t="n"/>
      <c r="H283" s="231" t="n">
        <v>72000</v>
      </c>
      <c r="I283" s="232" t="n"/>
      <c r="J283" s="232" t="n">
        <v>72000</v>
      </c>
      <c r="K283" s="233" t="n"/>
      <c r="L283" s="233">
        <f>IF(K283&lt;&gt;"",25000+K283,25000)</f>
        <v/>
      </c>
      <c r="M283" s="156" t="n"/>
      <c r="N283" s="156" t="n"/>
      <c r="O283" s="156" t="n"/>
    </row>
    <row r="284" ht="18.75" customHeight="1" s="153">
      <c r="A284" s="237" t="n">
        <v>46080</v>
      </c>
      <c r="B284" s="238" t="inlineStr">
        <is>
          <t>CHICLANA 7325</t>
        </is>
      </c>
      <c r="C284" s="239" t="n">
        <v>2</v>
      </c>
      <c r="D284" s="239" t="n"/>
      <c r="E284" s="239" t="n"/>
      <c r="F284" s="240" t="n"/>
      <c r="G284" s="240" t="n"/>
      <c r="H284" s="241" t="n">
        <v>29000</v>
      </c>
      <c r="I284" s="242" t="n">
        <v>29000</v>
      </c>
      <c r="J284" s="242" t="n"/>
      <c r="K284" s="233" t="n"/>
      <c r="L284" s="233">
        <f>IF(K284&lt;&gt;"",8000+K284,8000)</f>
        <v/>
      </c>
      <c r="M284" s="156" t="n"/>
      <c r="N284" s="156" t="n"/>
      <c r="O284" s="156" t="n"/>
    </row>
    <row r="285" ht="18.75" customHeight="1" s="153">
      <c r="A285" s="227" t="n"/>
      <c r="B285" s="228" t="inlineStr">
        <is>
          <t>AYACUCHO 5370</t>
        </is>
      </c>
      <c r="C285" s="229" t="n"/>
      <c r="D285" s="229" t="n"/>
      <c r="E285" s="229" t="n"/>
      <c r="F285" s="230" t="n"/>
      <c r="G285" s="230" t="n">
        <v>2</v>
      </c>
      <c r="H285" s="231" t="n">
        <v>10000</v>
      </c>
      <c r="I285" s="232" t="n"/>
      <c r="J285" s="232" t="n">
        <v>10000</v>
      </c>
      <c r="K285" s="233" t="n"/>
      <c r="L285" s="233">
        <f>IF(K285&lt;&gt;"",8400+K285,8400)</f>
        <v/>
      </c>
      <c r="M285" s="156" t="n"/>
      <c r="N285" s="156" t="n"/>
      <c r="O285" s="156" t="n"/>
    </row>
    <row r="286" ht="18.75" customHeight="1" s="153">
      <c r="A286" s="237" t="n"/>
      <c r="B286" s="238" t="inlineStr">
        <is>
          <t>ESTADO ISRAEL 5370</t>
        </is>
      </c>
      <c r="C286" s="239" t="n">
        <v>1</v>
      </c>
      <c r="D286" s="239" t="n"/>
      <c r="E286" s="239" t="n"/>
      <c r="F286" s="240" t="n"/>
      <c r="G286" s="240" t="n"/>
      <c r="H286" s="241" t="n">
        <v>22000</v>
      </c>
      <c r="I286" s="242" t="n">
        <v>22000</v>
      </c>
      <c r="J286" s="242" t="n"/>
      <c r="K286" s="233" t="n"/>
      <c r="L286" s="233">
        <f>IF(K286&lt;&gt;"",11500+K286,11500)</f>
        <v/>
      </c>
      <c r="M286" s="156" t="n"/>
      <c r="N286" s="156" t="n"/>
      <c r="O286" s="156" t="n"/>
    </row>
    <row r="287" ht="18.75" customHeight="1" s="153">
      <c r="A287" s="227" t="n"/>
      <c r="B287" s="228" t="inlineStr">
        <is>
          <t>PIO PANDOLFO 9061</t>
        </is>
      </c>
      <c r="C287" s="229" t="n">
        <v>1</v>
      </c>
      <c r="D287" s="229" t="n"/>
      <c r="E287" s="229" t="n"/>
      <c r="F287" s="230" t="n"/>
      <c r="G287" s="230" t="n"/>
      <c r="H287" s="231" t="n">
        <v>23000</v>
      </c>
      <c r="I287" s="232" t="n">
        <v>23000</v>
      </c>
      <c r="J287" s="232" t="n"/>
      <c r="K287" s="233" t="n"/>
      <c r="L287" s="233">
        <f>IF(K287&lt;&gt;"",12500+K287,12500)</f>
        <v/>
      </c>
      <c r="M287" s="156" t="n"/>
      <c r="N287" s="156" t="n"/>
      <c r="O287" s="156" t="n"/>
    </row>
    <row r="288" ht="18.75" customHeight="1" s="153">
      <c r="A288" s="237" t="n"/>
      <c r="B288" s="238" t="inlineStr">
        <is>
          <t>LOPEZ Y PLANES 4069 CLUB</t>
        </is>
      </c>
      <c r="C288" s="239" t="n">
        <v>1</v>
      </c>
      <c r="D288" s="239" t="n"/>
      <c r="E288" s="239" t="n"/>
      <c r="F288" s="240" t="n"/>
      <c r="G288" s="240" t="n"/>
      <c r="H288" s="241" t="n">
        <v>21000</v>
      </c>
      <c r="I288" s="242" t="n">
        <v>21000</v>
      </c>
      <c r="J288" s="242" t="n"/>
      <c r="K288" s="233" t="n"/>
      <c r="L288" s="233">
        <f>IF(K288&lt;&gt;"",10500+K288,10500)</f>
        <v/>
      </c>
      <c r="M288" s="156" t="n"/>
      <c r="N288" s="156" t="n"/>
      <c r="O288" s="156" t="n"/>
    </row>
    <row r="289" ht="18.75" customHeight="1" s="153">
      <c r="A289" s="227" t="n"/>
      <c r="B289" s="228" t="inlineStr">
        <is>
          <t>RUPERTO GODOY 1676</t>
        </is>
      </c>
      <c r="C289" s="229" t="n">
        <v>1</v>
      </c>
      <c r="D289" s="229" t="n"/>
      <c r="E289" s="229" t="n"/>
      <c r="F289" s="230" t="n"/>
      <c r="G289" s="230" t="n"/>
      <c r="H289" s="231" t="n">
        <v>23000</v>
      </c>
      <c r="I289" s="232" t="n">
        <v>23000</v>
      </c>
      <c r="J289" s="232" t="n"/>
      <c r="K289" s="233" t="n"/>
      <c r="L289" s="233">
        <f>IF(K289&lt;&gt;"",12500+K289,12500)</f>
        <v/>
      </c>
      <c r="M289" s="156" t="n"/>
      <c r="N289" s="156" t="n"/>
      <c r="O289" s="156" t="n"/>
    </row>
    <row r="290" ht="18.75" customHeight="1" s="153">
      <c r="A290" s="237" t="n"/>
      <c r="B290" s="238" t="inlineStr">
        <is>
          <t xml:space="preserve">ORREGO Y MENDIETA </t>
        </is>
      </c>
      <c r="C290" s="239" t="n"/>
      <c r="D290" s="239" t="n"/>
      <c r="E290" s="239" t="n">
        <v>1</v>
      </c>
      <c r="F290" s="240" t="n"/>
      <c r="G290" s="240" t="n"/>
      <c r="H290" s="241" t="n">
        <v>79000</v>
      </c>
      <c r="I290" s="242" t="n">
        <v>79000</v>
      </c>
      <c r="J290" s="242" t="n"/>
      <c r="K290" s="233" t="n"/>
      <c r="L290" s="233">
        <f>IF(K290&lt;&gt;"",32000+K290,32000)</f>
        <v/>
      </c>
      <c r="M290" s="156" t="n"/>
      <c r="N290" s="156" t="n"/>
      <c r="O290" s="156" t="n"/>
    </row>
    <row r="291" ht="18.75" customHeight="1" s="153">
      <c r="A291" s="227" t="n"/>
      <c r="B291" s="228" t="inlineStr">
        <is>
          <t>CARCARAES 5820</t>
        </is>
      </c>
      <c r="C291" s="229" t="n"/>
      <c r="D291" s="229" t="n"/>
      <c r="E291" s="229" t="n">
        <v>1</v>
      </c>
      <c r="F291" s="230" t="n"/>
      <c r="G291" s="230" t="n"/>
      <c r="H291" s="231" t="n">
        <v>73000</v>
      </c>
      <c r="I291" s="232" t="n">
        <v>73000</v>
      </c>
      <c r="J291" s="232" t="n"/>
      <c r="K291" s="233" t="n"/>
      <c r="L291" s="233">
        <f>IF(K291&lt;&gt;"",26000+K291,26000)</f>
        <v/>
      </c>
      <c r="M291" s="156" t="n"/>
      <c r="N291" s="156" t="n"/>
      <c r="O291" s="156" t="n"/>
    </row>
    <row r="292" ht="18.75" customHeight="1" s="153">
      <c r="A292" s="237" t="n"/>
      <c r="B292" s="238" t="inlineStr">
        <is>
          <t>LUCHO</t>
        </is>
      </c>
      <c r="C292" s="239" t="n"/>
      <c r="D292" s="239" t="n">
        <v>1</v>
      </c>
      <c r="E292" s="239" t="n"/>
      <c r="F292" s="240" t="n"/>
      <c r="G292" s="240" t="n"/>
      <c r="H292" s="241" t="n">
        <v>23000</v>
      </c>
      <c r="I292" s="242" t="n">
        <v>23000</v>
      </c>
      <c r="J292" s="242" t="n"/>
      <c r="K292" s="233" t="n"/>
      <c r="L292" s="233">
        <f>IF(K292&lt;&gt;"",7250+K292,7250)</f>
        <v/>
      </c>
      <c r="M292" s="156" t="n"/>
      <c r="N292" s="156" t="n"/>
      <c r="O292" s="156" t="n"/>
    </row>
    <row r="293" ht="18.75" customHeight="1" s="153">
      <c r="A293" s="227" t="n"/>
      <c r="B293" s="228" t="inlineStr">
        <is>
          <t>AZCUEJAGA 5023</t>
        </is>
      </c>
      <c r="C293" s="229" t="n">
        <v>6</v>
      </c>
      <c r="D293" s="229" t="n"/>
      <c r="E293" s="229" t="n"/>
      <c r="F293" s="230" t="n"/>
      <c r="G293" s="230" t="n"/>
      <c r="H293" s="231" t="n">
        <v>90000</v>
      </c>
      <c r="I293" s="232" t="n"/>
      <c r="J293" s="232" t="n">
        <v>90000</v>
      </c>
      <c r="K293" s="233" t="n"/>
      <c r="L293" s="233">
        <f>IF(K293&lt;&gt;"",27000+K293,27000)</f>
        <v/>
      </c>
      <c r="M293" s="156" t="n"/>
      <c r="N293" s="156" t="n"/>
      <c r="O293" s="156" t="n"/>
    </row>
    <row r="294" ht="18.75" customHeight="1" s="153">
      <c r="A294" s="237" t="n"/>
      <c r="B294" s="238" t="inlineStr">
        <is>
          <t xml:space="preserve">BEATRIZ </t>
        </is>
      </c>
      <c r="C294" s="239" t="n"/>
      <c r="D294" s="239" t="n"/>
      <c r="E294" s="239" t="n"/>
      <c r="F294" s="240" t="n"/>
      <c r="G294" s="240" t="n">
        <v>1</v>
      </c>
      <c r="H294" s="241" t="n">
        <v>5000</v>
      </c>
      <c r="I294" s="242" t="n">
        <v>5000</v>
      </c>
      <c r="J294" s="242" t="n"/>
      <c r="K294" s="233" t="n"/>
      <c r="L294" s="233">
        <f>IF(K294&lt;&gt;"",4200+K294,4200)</f>
        <v/>
      </c>
      <c r="M294" s="156" t="n"/>
      <c r="N294" s="156" t="n"/>
      <c r="O294" s="156" t="n"/>
    </row>
    <row r="295" ht="18.75" customHeight="1" s="153">
      <c r="A295" s="227" t="n"/>
      <c r="B295" s="228" t="inlineStr">
        <is>
          <t xml:space="preserve">PANA GENESIO </t>
        </is>
      </c>
      <c r="C295" s="229" t="n"/>
      <c r="D295" s="229" t="n"/>
      <c r="E295" s="229" t="n">
        <v>1</v>
      </c>
      <c r="F295" s="230" t="n"/>
      <c r="G295" s="230" t="n"/>
      <c r="H295" s="231" t="n">
        <v>69000</v>
      </c>
      <c r="I295" s="232" t="n">
        <v>69000</v>
      </c>
      <c r="J295" s="232" t="n"/>
      <c r="K295" s="233" t="n"/>
      <c r="L295" s="233">
        <f>IF(K295&lt;&gt;"",22000+K295,22000)</f>
        <v/>
      </c>
      <c r="M295" s="156" t="n"/>
      <c r="N295" s="156" t="n"/>
      <c r="O295" s="156" t="n"/>
    </row>
    <row r="296" ht="18.75" customHeight="1" s="153">
      <c r="A296" s="237" t="n"/>
      <c r="B296" s="238" t="inlineStr">
        <is>
          <t>PANA BERUTI 6400</t>
        </is>
      </c>
      <c r="C296" s="239" t="n"/>
      <c r="D296" s="239" t="n"/>
      <c r="E296" s="239" t="n">
        <v>1</v>
      </c>
      <c r="F296" s="240" t="n"/>
      <c r="G296" s="240" t="n"/>
      <c r="H296" s="241" t="n">
        <v>67000</v>
      </c>
      <c r="I296" s="242" t="n">
        <v>67000</v>
      </c>
      <c r="J296" s="242" t="n"/>
      <c r="K296" s="233" t="n"/>
      <c r="L296" s="233">
        <f>IF(K296&lt;&gt;"",20000+K296,20000)</f>
        <v/>
      </c>
      <c r="M296" s="156" t="n"/>
      <c r="N296" s="156" t="n"/>
      <c r="O296" s="156" t="n"/>
    </row>
    <row r="297" ht="18.75" customHeight="1" s="153">
      <c r="A297" s="227" t="n"/>
      <c r="B297" s="228" t="inlineStr">
        <is>
          <t>LALO</t>
        </is>
      </c>
      <c r="C297" s="229" t="n"/>
      <c r="D297" s="229" t="n"/>
      <c r="E297" s="229" t="n">
        <v>1</v>
      </c>
      <c r="F297" s="230" t="n"/>
      <c r="G297" s="230" t="n"/>
      <c r="H297" s="231" t="n">
        <v>76000</v>
      </c>
      <c r="I297" s="232" t="n">
        <v>76000</v>
      </c>
      <c r="J297" s="232" t="n"/>
      <c r="K297" s="233" t="n"/>
      <c r="L297" s="233">
        <f>IF(K297&lt;&gt;"",29000+K297,29000)</f>
        <v/>
      </c>
      <c r="M297" s="156" t="n"/>
      <c r="N297" s="156" t="n"/>
      <c r="O297" s="156" t="n"/>
    </row>
    <row r="298" ht="18.75" customHeight="1" s="153">
      <c r="A298" s="237" t="n"/>
      <c r="B298" s="238" t="inlineStr">
        <is>
          <t>ROTI AGUADO</t>
        </is>
      </c>
      <c r="C298" s="239" t="n"/>
      <c r="D298" s="239" t="n"/>
      <c r="E298" s="239" t="n">
        <v>1</v>
      </c>
      <c r="F298" s="240" t="n"/>
      <c r="G298" s="240" t="n"/>
      <c r="H298" s="241" t="n">
        <v>74000</v>
      </c>
      <c r="I298" s="242" t="n"/>
      <c r="J298" s="242" t="n">
        <v>74000</v>
      </c>
      <c r="K298" s="233" t="n"/>
      <c r="L298" s="233">
        <f>IF(K298&lt;&gt;"",27000+K298,27000)</f>
        <v/>
      </c>
      <c r="M298" s="156" t="n"/>
      <c r="N298" s="156" t="n"/>
      <c r="O298" s="156" t="n"/>
    </row>
    <row r="299" ht="18.75" customHeight="1" s="153">
      <c r="A299" s="227" t="n"/>
      <c r="B299" s="228" t="inlineStr">
        <is>
          <t>SABOREAR</t>
        </is>
      </c>
      <c r="C299" s="229" t="n">
        <v>2</v>
      </c>
      <c r="D299" s="229" t="n"/>
      <c r="E299" s="229" t="n"/>
      <c r="F299" s="230" t="n"/>
      <c r="G299" s="230" t="n"/>
      <c r="H299" s="231" t="n">
        <v>39000</v>
      </c>
      <c r="I299" s="232" t="n"/>
      <c r="J299" s="232" t="n">
        <v>39000</v>
      </c>
      <c r="K299" s="233" t="n"/>
      <c r="L299" s="233">
        <f>IF(K299&lt;&gt;"",18000+K299,18000)</f>
        <v/>
      </c>
      <c r="M299" s="156" t="n"/>
      <c r="N299" s="156" t="n"/>
      <c r="O299" s="156" t="n"/>
    </row>
    <row r="300" ht="18.75" customHeight="1" s="153">
      <c r="A300" s="237" t="n">
        <v>46081</v>
      </c>
      <c r="B300" s="238" t="inlineStr">
        <is>
          <t>OTNIEL</t>
        </is>
      </c>
      <c r="C300" s="239" t="n"/>
      <c r="D300" s="239" t="n"/>
      <c r="E300" s="239" t="n">
        <v>1</v>
      </c>
      <c r="F300" s="240" t="n"/>
      <c r="G300" s="240" t="n">
        <v>1</v>
      </c>
      <c r="H300" s="241" t="n">
        <v>77000</v>
      </c>
      <c r="I300" s="242" t="n"/>
      <c r="J300" s="242" t="n">
        <v>77000</v>
      </c>
      <c r="K300" s="233" t="n"/>
      <c r="L300" s="233">
        <f>IF(K300&lt;&gt;"",29200+K300,29200)</f>
        <v/>
      </c>
      <c r="M300" s="156" t="n"/>
      <c r="N300" s="156" t="n"/>
      <c r="O300" s="156" t="n"/>
    </row>
    <row r="301" ht="18.75" customHeight="1" s="153">
      <c r="A301" s="227" t="n"/>
      <c r="B301" s="228" t="inlineStr">
        <is>
          <t>COGORNO 5520</t>
        </is>
      </c>
      <c r="C301" s="229" t="n">
        <v>4</v>
      </c>
      <c r="D301" s="229" t="n"/>
      <c r="E301" s="229" t="n"/>
      <c r="F301" s="230" t="n"/>
      <c r="G301" s="230" t="n"/>
      <c r="H301" s="231" t="n">
        <v>60000</v>
      </c>
      <c r="I301" s="232" t="n"/>
      <c r="J301" s="232" t="n">
        <v>60000</v>
      </c>
      <c r="K301" s="233" t="n"/>
      <c r="L301" s="233">
        <f>IF(K301&lt;&gt;"",18000+K301,18000)</f>
        <v/>
      </c>
      <c r="M301" s="156" t="n"/>
      <c r="N301" s="156" t="n"/>
      <c r="O301" s="156" t="n"/>
    </row>
    <row r="302" ht="18.75" customHeight="1" s="153">
      <c r="A302" s="237" t="n"/>
      <c r="B302" s="238" t="inlineStr">
        <is>
          <t>AZOPARDO 8443</t>
        </is>
      </c>
      <c r="C302" s="239" t="n">
        <v>1</v>
      </c>
      <c r="D302" s="239" t="n"/>
      <c r="E302" s="239" t="n"/>
      <c r="F302" s="240" t="n"/>
      <c r="G302" s="240" t="n"/>
      <c r="H302" s="241" t="n">
        <v>21000</v>
      </c>
      <c r="I302" s="242" t="n">
        <v>21000</v>
      </c>
      <c r="J302" s="242" t="n"/>
      <c r="K302" s="233" t="n"/>
      <c r="L302" s="233">
        <f>IF(K302&lt;&gt;"",10500+K302,10500)</f>
        <v/>
      </c>
      <c r="M302" s="156" t="n"/>
      <c r="N302" s="156" t="n"/>
      <c r="O302" s="156" t="n"/>
    </row>
    <row r="303" ht="18.75" customHeight="1" s="153">
      <c r="A303" s="227" t="n"/>
      <c r="B303" s="228" t="inlineStr">
        <is>
          <t>ALVEAR 5259</t>
        </is>
      </c>
      <c r="C303" s="229" t="n">
        <v>1</v>
      </c>
      <c r="D303" s="229" t="n"/>
      <c r="E303" s="229" t="n"/>
      <c r="F303" s="230" t="n"/>
      <c r="G303" s="230" t="n"/>
      <c r="H303" s="231" t="n">
        <v>21000</v>
      </c>
      <c r="I303" s="232" t="n">
        <v>21000</v>
      </c>
      <c r="J303" s="232" t="n"/>
      <c r="K303" s="233" t="n"/>
      <c r="L303" s="233">
        <f>IF(K303&lt;&gt;"",10500+K303,10500)</f>
        <v/>
      </c>
      <c r="M303" s="156" t="n"/>
      <c r="N303" s="156" t="n"/>
      <c r="O303" s="156" t="n"/>
    </row>
    <row r="304" ht="18.75" customHeight="1" s="153">
      <c r="A304" s="237" t="n"/>
      <c r="B304" s="238" t="inlineStr">
        <is>
          <t xml:space="preserve">BRASERIA </t>
        </is>
      </c>
      <c r="C304" s="239" t="n"/>
      <c r="D304" s="239" t="n"/>
      <c r="E304" s="239" t="n">
        <v>1</v>
      </c>
      <c r="F304" s="240" t="n"/>
      <c r="G304" s="240" t="n"/>
      <c r="H304" s="241" t="n">
        <v>73000</v>
      </c>
      <c r="I304" s="242" t="n"/>
      <c r="J304" s="242" t="n">
        <v>73000</v>
      </c>
      <c r="K304" s="233" t="n"/>
      <c r="L304" s="233">
        <f>IF(K304&lt;&gt;"",26000+K304,26000)</f>
        <v/>
      </c>
      <c r="M304" s="156" t="n"/>
      <c r="N304" s="156" t="n"/>
      <c r="O304" s="156" t="n"/>
    </row>
    <row r="305" ht="18.75" customHeight="1" s="153">
      <c r="A305" s="227" t="n"/>
      <c r="B305" s="228" t="inlineStr">
        <is>
          <t>CASTELLI 946</t>
        </is>
      </c>
      <c r="C305" s="229" t="n">
        <v>1</v>
      </c>
      <c r="D305" s="229" t="n"/>
      <c r="E305" s="229" t="n"/>
      <c r="F305" s="230" t="n"/>
      <c r="G305" s="230" t="n"/>
      <c r="H305" s="231" t="n">
        <v>23000</v>
      </c>
      <c r="I305" s="232" t="n">
        <v>23000</v>
      </c>
      <c r="J305" s="232" t="n"/>
      <c r="K305" s="233" t="n"/>
      <c r="L305" s="233">
        <f>IF(K305&lt;&gt;"",12500+K305,12500)</f>
        <v/>
      </c>
      <c r="M305" s="156" t="n"/>
      <c r="N305" s="156" t="n"/>
      <c r="O305" s="156" t="n"/>
    </row>
    <row r="306" ht="18.75" customHeight="1" s="153">
      <c r="A306" s="237" t="n"/>
      <c r="B306" s="238" t="inlineStr">
        <is>
          <t>LAVADERO</t>
        </is>
      </c>
      <c r="C306" s="239" t="n">
        <v>1</v>
      </c>
      <c r="D306" s="239" t="n">
        <v>1</v>
      </c>
      <c r="E306" s="239" t="n"/>
      <c r="F306" s="240" t="n"/>
      <c r="G306" s="240" t="n"/>
      <c r="H306" s="241" t="n">
        <v>36500</v>
      </c>
      <c r="I306" s="242" t="n">
        <v>36500</v>
      </c>
      <c r="J306" s="242" t="n"/>
      <c r="K306" s="233" t="n"/>
      <c r="L306" s="233">
        <f>IF(K306&lt;&gt;"",10250+K306,10250)</f>
        <v/>
      </c>
      <c r="M306" s="156" t="n"/>
      <c r="N306" s="156" t="n"/>
      <c r="O306" s="156" t="n"/>
    </row>
    <row r="307" ht="18.75" customHeight="1" s="153">
      <c r="A307" s="227" t="n"/>
      <c r="B307" s="228" t="inlineStr">
        <is>
          <t>LUCHO</t>
        </is>
      </c>
      <c r="C307" s="229" t="n">
        <v>1</v>
      </c>
      <c r="D307" s="229" t="n"/>
      <c r="E307" s="229" t="n"/>
      <c r="F307" s="230" t="n"/>
      <c r="G307" s="230" t="n"/>
      <c r="H307" s="231" t="n">
        <v>15000</v>
      </c>
      <c r="I307" s="232" t="n"/>
      <c r="J307" s="232" t="n">
        <v>15000</v>
      </c>
      <c r="K307" s="233" t="n"/>
      <c r="L307" s="233">
        <f>IF(K307&lt;&gt;"",4500+K307,4500)</f>
        <v/>
      </c>
      <c r="M307" s="156" t="n"/>
      <c r="N307" s="156" t="n"/>
      <c r="O307" s="156" t="n"/>
    </row>
    <row r="308" ht="18.75" customHeight="1" s="153">
      <c r="A308" s="237" t="n"/>
      <c r="B308" s="238" t="inlineStr">
        <is>
          <t>FILOMENA</t>
        </is>
      </c>
      <c r="C308" s="239" t="n">
        <v>2</v>
      </c>
      <c r="D308" s="239" t="n"/>
      <c r="E308" s="239" t="n"/>
      <c r="F308" s="240" t="n"/>
      <c r="G308" s="240" t="n"/>
      <c r="H308" s="241" t="n">
        <v>38000</v>
      </c>
      <c r="I308" s="242" t="n"/>
      <c r="J308" s="242" t="n">
        <v>38000</v>
      </c>
      <c r="K308" s="233" t="n"/>
      <c r="L308" s="233">
        <f>IF(K308&lt;&gt;"",17000+K308,17000)</f>
        <v/>
      </c>
      <c r="M308" s="156" t="n"/>
      <c r="N308" s="156" t="n"/>
      <c r="O308" s="156" t="n"/>
    </row>
    <row r="309" ht="18.75" customHeight="1" s="153">
      <c r="A309" s="227" t="n"/>
      <c r="B309" s="228" t="inlineStr">
        <is>
          <t>ABUELA TUYA</t>
        </is>
      </c>
      <c r="C309" s="229" t="n">
        <v>1</v>
      </c>
      <c r="D309" s="229" t="n"/>
      <c r="E309" s="229" t="n"/>
      <c r="F309" s="230" t="n"/>
      <c r="G309" s="230" t="n"/>
      <c r="H309" s="231" t="n">
        <v>22000</v>
      </c>
      <c r="I309" s="232" t="n">
        <v>22000</v>
      </c>
      <c r="J309" s="232" t="n"/>
      <c r="K309" s="233" t="n"/>
      <c r="L309" s="233">
        <f>IF(K309&lt;&gt;"",11500+K309,11500)</f>
        <v/>
      </c>
      <c r="M309" s="156" t="n"/>
      <c r="N309" s="156" t="n"/>
      <c r="O309" s="156" t="n"/>
    </row>
    <row r="310" ht="18.75" customHeight="1" s="153">
      <c r="A310" s="237" t="n"/>
      <c r="B310" s="238" t="inlineStr">
        <is>
          <t>VIVERO</t>
        </is>
      </c>
      <c r="C310" s="239" t="n">
        <v>1</v>
      </c>
      <c r="D310" s="239" t="n"/>
      <c r="E310" s="239" t="n"/>
      <c r="F310" s="240" t="n"/>
      <c r="G310" s="240" t="n"/>
      <c r="H310" s="241" t="n">
        <v>22000</v>
      </c>
      <c r="I310" s="242" t="n">
        <v>22000</v>
      </c>
      <c r="J310" s="242" t="n"/>
      <c r="K310" s="233" t="n"/>
      <c r="L310" s="233">
        <f>IF(K310&lt;&gt;"",11500+K310,11500)</f>
        <v/>
      </c>
      <c r="M310" s="156" t="n"/>
      <c r="N310" s="156" t="n"/>
      <c r="O310" s="156" t="n"/>
    </row>
    <row r="311" ht="18.75" customHeight="1" s="153">
      <c r="A311" s="227" t="n"/>
      <c r="B311" s="228" t="inlineStr">
        <is>
          <t>MARTIN ZPATA 2101</t>
        </is>
      </c>
      <c r="C311" s="229" t="n">
        <v>1</v>
      </c>
      <c r="D311" s="229" t="n"/>
      <c r="E311" s="229" t="n"/>
      <c r="F311" s="230" t="n"/>
      <c r="G311" s="230" t="n"/>
      <c r="H311" s="231" t="n">
        <v>15000</v>
      </c>
      <c r="I311" s="232" t="n"/>
      <c r="J311" s="232" t="n">
        <v>15000</v>
      </c>
      <c r="K311" s="233" t="n"/>
      <c r="L311" s="233">
        <f>IF(K311&lt;&gt;"",4500+K311,4500)</f>
        <v/>
      </c>
      <c r="M311" s="156" t="n"/>
      <c r="N311" s="156" t="n"/>
      <c r="O311" s="156" t="n"/>
    </row>
    <row r="312" ht="18.75" customHeight="1" s="153">
      <c r="A312" s="237" t="n"/>
      <c r="B312" s="238" t="inlineStr">
        <is>
          <t>GORRIT 6638</t>
        </is>
      </c>
      <c r="C312" s="239" t="n">
        <v>1</v>
      </c>
      <c r="D312" s="239" t="n"/>
      <c r="E312" s="239" t="n"/>
      <c r="F312" s="240" t="n"/>
      <c r="G312" s="240" t="n"/>
      <c r="H312" s="241" t="n">
        <v>21000</v>
      </c>
      <c r="I312" s="242" t="n">
        <v>21000</v>
      </c>
      <c r="J312" s="242" t="n"/>
      <c r="K312" s="233" t="n"/>
      <c r="L312" s="233">
        <f>IF(K312&lt;&gt;"",10500+K312,10500)</f>
        <v/>
      </c>
      <c r="M312" s="156" t="n"/>
      <c r="N312" s="156" t="n"/>
      <c r="O312" s="156" t="n"/>
    </row>
    <row r="313" ht="18.75" customHeight="1" s="153">
      <c r="A313" s="227" t="n"/>
      <c r="B313" s="228" t="inlineStr">
        <is>
          <t>LA RIOJA 3552</t>
        </is>
      </c>
      <c r="C313" s="229" t="n">
        <v>1</v>
      </c>
      <c r="D313" s="229" t="n"/>
      <c r="E313" s="229" t="n"/>
      <c r="F313" s="230" t="n"/>
      <c r="G313" s="230" t="n"/>
      <c r="H313" s="231" t="n">
        <v>23000</v>
      </c>
      <c r="I313" s="232" t="n">
        <v>23000</v>
      </c>
      <c r="J313" s="232" t="n"/>
      <c r="K313" s="233" t="n"/>
      <c r="L313" s="233">
        <f>IF(K313&lt;&gt;"",12500+K313,12500)</f>
        <v/>
      </c>
      <c r="M313" s="156" t="n"/>
      <c r="N313" s="156" t="n"/>
      <c r="O313" s="156" t="n"/>
    </row>
    <row r="314" ht="18.75" customHeight="1" s="153">
      <c r="A314" s="237" t="n"/>
      <c r="B314" s="238" t="inlineStr">
        <is>
          <t>RIO NEGRO 6570</t>
        </is>
      </c>
      <c r="C314" s="239" t="n"/>
      <c r="D314" s="239" t="n"/>
      <c r="E314" s="239" t="n">
        <v>1</v>
      </c>
      <c r="F314" s="240" t="n"/>
      <c r="G314" s="240" t="n"/>
      <c r="H314" s="241" t="n">
        <v>79000</v>
      </c>
      <c r="I314" s="242" t="n"/>
      <c r="J314" s="242" t="n">
        <v>79000</v>
      </c>
      <c r="K314" s="233" t="n"/>
      <c r="L314" s="233">
        <f>IF(K314&lt;&gt;"",32000+K314,32000)</f>
        <v/>
      </c>
      <c r="M314" s="156" t="n"/>
      <c r="N314" s="156" t="n"/>
      <c r="O314" s="156" t="n"/>
    </row>
    <row r="315" ht="18.75" customHeight="1" s="153">
      <c r="A315" s="227" t="n"/>
      <c r="B315" s="228" t="inlineStr">
        <is>
          <t>CAREN</t>
        </is>
      </c>
      <c r="C315" s="229" t="n"/>
      <c r="D315" s="229" t="n"/>
      <c r="E315" s="229" t="n">
        <v>1</v>
      </c>
      <c r="F315" s="230" t="n"/>
      <c r="G315" s="230" t="n"/>
      <c r="H315" s="231" t="n">
        <v>72000</v>
      </c>
      <c r="I315" s="232" t="n"/>
      <c r="J315" s="232" t="n">
        <v>72000</v>
      </c>
      <c r="K315" s="233" t="n"/>
      <c r="L315" s="233">
        <f>IF(K315&lt;&gt;"",25000+K315,25000)</f>
        <v/>
      </c>
      <c r="M315" s="156" t="n"/>
      <c r="N315" s="156" t="n"/>
      <c r="O315" s="156" t="n"/>
    </row>
    <row r="316" ht="18.75" customHeight="1" s="153">
      <c r="A316" s="237" t="n"/>
      <c r="B316" s="238" t="inlineStr">
        <is>
          <t>SABOREAR</t>
        </is>
      </c>
      <c r="C316" s="239" t="n"/>
      <c r="D316" s="239" t="n">
        <v>1</v>
      </c>
      <c r="E316" s="239" t="n"/>
      <c r="F316" s="240" t="n"/>
      <c r="G316" s="240" t="n"/>
      <c r="H316" s="241" t="n">
        <v>29000</v>
      </c>
      <c r="I316" s="242" t="n"/>
      <c r="J316" s="242" t="n">
        <v>29000</v>
      </c>
      <c r="K316" s="233" t="n"/>
      <c r="L316" s="233">
        <f>IF(K316&lt;&gt;"",13250+K316,13250)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 t="n"/>
      <c r="D501" s="255" t="n"/>
      <c r="E501" s="255" t="n"/>
      <c r="F501" s="255" t="n"/>
      <c r="G501" s="255" t="n"/>
      <c r="H501" s="256" t="n"/>
      <c r="I501" s="256" t="n"/>
      <c r="J501" s="256" t="n"/>
      <c r="K501" s="256" t="n"/>
    </row>
  </sheetData>
  <autoFilter ref="A4:K4"/>
  <mergeCells count="4">
    <mergeCell ref="A2:K2"/>
    <mergeCell ref="A1:K1"/>
    <mergeCell ref="Q1:V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V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  <col width="5" customWidth="1" style="152" min="17" max="17"/>
    <col width="28" customWidth="1" style="152" min="18" max="18"/>
    <col width="14" customWidth="1" style="152" min="19" max="20"/>
    <col width="8" customWidth="1" style="152" min="21" max="21"/>
    <col width="13" customWidth="1" style="152" min="22" max="22"/>
  </cols>
  <sheetData>
    <row r="1" ht="37.5" customHeight="1" s="153">
      <c r="A1" s="209" t="inlineStr">
        <is>
          <t>VENTAS — MARZO 2026</t>
        </is>
      </c>
      <c r="L1" s="156" t="n"/>
      <c r="M1" s="156" t="n"/>
      <c r="N1" s="156" t="n"/>
      <c r="O1" s="156" t="n"/>
      <c r="Q1" s="210" t="inlineStr">
        <is>
          <t>🏆  RANKING MARZO</t>
        </is>
      </c>
      <c r="R1" s="211" t="n"/>
      <c r="S1" s="211" t="n"/>
      <c r="T1" s="211" t="n"/>
      <c r="U1" s="211" t="n"/>
      <c r="V1" s="211" t="n"/>
    </row>
    <row r="2" ht="21.7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  <c r="Q2" s="213" t="inlineStr">
        <is>
          <t>#</t>
        </is>
      </c>
      <c r="R2" s="213" t="inlineStr">
        <is>
          <t>Cliente</t>
        </is>
      </c>
      <c r="S2" s="213" t="inlineStr">
        <is>
          <t>Facturado</t>
        </is>
      </c>
      <c r="T2" s="213" t="inlineStr">
        <is>
          <t>Ganancia</t>
        </is>
      </c>
      <c r="U2" s="213" t="inlineStr">
        <is>
          <t>Pedidos</t>
        </is>
      </c>
      <c r="V2" s="213" t="inlineStr">
        <is>
          <t>Últ. compra</t>
        </is>
      </c>
    </row>
    <row r="3" ht="15.7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Q3" s="214" t="inlineStr">
        <is>
          <t>🥇</t>
        </is>
      </c>
      <c r="R3" s="215" t="inlineStr">
        <is>
          <t>OTNIEL</t>
        </is>
      </c>
      <c r="S3" s="216" t="n">
        <v>556000</v>
      </c>
      <c r="T3" s="236" t="n">
        <v>157500</v>
      </c>
      <c r="U3" s="218" t="n">
        <v>10</v>
      </c>
      <c r="V3" s="219" t="inlineStr">
        <is>
          <t>16/04/2026</t>
        </is>
      </c>
    </row>
    <row r="4" ht="15.7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MARZO</t>
        </is>
      </c>
      <c r="Q4" s="221" t="inlineStr">
        <is>
          <t>🥈</t>
        </is>
      </c>
      <c r="R4" s="222" t="inlineStr">
        <is>
          <t>AZCUENAGA 5023</t>
        </is>
      </c>
      <c r="S4" s="223" t="n">
        <v>413000</v>
      </c>
      <c r="T4" s="224" t="n">
        <v>15500</v>
      </c>
      <c r="U4" s="225" t="n">
        <v>5</v>
      </c>
      <c r="V4" s="226" t="inlineStr">
        <is>
          <t>20/04/2026</t>
        </is>
      </c>
    </row>
    <row r="5" ht="15.75" customHeight="1" s="153">
      <c r="A5" s="227" t="n">
        <v>46082</v>
      </c>
      <c r="B5" s="228" t="inlineStr">
        <is>
          <t>JOSE CIBILS</t>
        </is>
      </c>
      <c r="C5" s="229" t="n"/>
      <c r="D5" s="229" t="n"/>
      <c r="E5" s="229" t="n">
        <v>1</v>
      </c>
      <c r="F5" s="230" t="n"/>
      <c r="G5" s="230" t="n"/>
      <c r="H5" s="231" t="n">
        <v>76000</v>
      </c>
      <c r="I5" s="232" t="n"/>
      <c r="J5" s="232" t="n">
        <v>76000</v>
      </c>
      <c r="K5" s="233" t="n"/>
      <c r="L5" s="233">
        <f>IF(K5&lt;&gt;"",27000+K5,27000)</f>
        <v/>
      </c>
      <c r="M5" s="156" t="n"/>
      <c r="N5" s="234" t="inlineStr">
        <is>
          <t>TOTAL 10</t>
        </is>
      </c>
      <c r="O5" s="235">
        <f>IFERROR(SUM(C5:C700),0)</f>
        <v/>
      </c>
      <c r="Q5" s="214" t="inlineStr">
        <is>
          <t>🥉</t>
        </is>
      </c>
      <c r="R5" s="215" t="inlineStr">
        <is>
          <t>FILOMENA</t>
        </is>
      </c>
      <c r="S5" s="216" t="n">
        <v>357000</v>
      </c>
      <c r="T5" s="236" t="n">
        <v>87000</v>
      </c>
      <c r="U5" s="218" t="n">
        <v>11</v>
      </c>
      <c r="V5" s="219" t="inlineStr">
        <is>
          <t>20/04/2026</t>
        </is>
      </c>
    </row>
    <row r="6" ht="15.75" customHeight="1" s="153">
      <c r="A6" s="237" t="n"/>
      <c r="B6" s="238" t="inlineStr">
        <is>
          <t>ALSINA 6550</t>
        </is>
      </c>
      <c r="C6" s="239" t="n"/>
      <c r="D6" s="239" t="n">
        <v>1</v>
      </c>
      <c r="E6" s="239" t="n"/>
      <c r="F6" s="240" t="n"/>
      <c r="G6" s="240" t="n"/>
      <c r="H6" s="241" t="n">
        <v>33000</v>
      </c>
      <c r="I6" s="242" t="n">
        <v>33000</v>
      </c>
      <c r="J6" s="242" t="n"/>
      <c r="K6" s="233" t="n"/>
      <c r="L6" s="233">
        <f>IF(K6&lt;&gt;"",12750+K6,12750)</f>
        <v/>
      </c>
      <c r="M6" s="156" t="n"/>
      <c r="N6" s="234" t="inlineStr">
        <is>
          <t>TOTAL 15</t>
        </is>
      </c>
      <c r="O6" s="235">
        <f>IFERROR(SUM(D5:D700),0)</f>
        <v/>
      </c>
      <c r="Q6" s="221" t="inlineStr">
        <is>
          <t>4</t>
        </is>
      </c>
      <c r="R6" s="222" t="inlineStr">
        <is>
          <t>EXE</t>
        </is>
      </c>
      <c r="S6" s="223" t="n">
        <v>342000</v>
      </c>
      <c r="T6" s="224" t="n">
        <v>72000</v>
      </c>
      <c r="U6" s="225" t="n">
        <v>4</v>
      </c>
      <c r="V6" s="226" t="inlineStr">
        <is>
          <t>19/04/2026</t>
        </is>
      </c>
    </row>
    <row r="7" ht="15.75" customHeight="1" s="153">
      <c r="A7" s="227" t="n"/>
      <c r="B7" s="228" t="inlineStr">
        <is>
          <t>LAS HERAS Y GORRITI</t>
        </is>
      </c>
      <c r="C7" s="229" t="n"/>
      <c r="D7" s="229" t="n"/>
      <c r="E7" s="229" t="n">
        <v>1</v>
      </c>
      <c r="F7" s="230" t="n"/>
      <c r="G7" s="230" t="n"/>
      <c r="H7" s="231" t="n">
        <v>75000</v>
      </c>
      <c r="I7" s="232" t="n"/>
      <c r="J7" s="232" t="n">
        <v>75000</v>
      </c>
      <c r="K7" s="233" t="n"/>
      <c r="L7" s="233">
        <f>IF(K7&lt;&gt;"",26000+K7,26000)</f>
        <v/>
      </c>
      <c r="M7" s="156" t="n"/>
      <c r="N7" s="234" t="inlineStr">
        <is>
          <t>TOTAL 45</t>
        </is>
      </c>
      <c r="O7" s="235">
        <f>IFERROR(SUM(E5:E700),0)</f>
        <v/>
      </c>
      <c r="Q7" s="214" t="inlineStr">
        <is>
          <t>5</t>
        </is>
      </c>
      <c r="R7" s="215" t="inlineStr">
        <is>
          <t>CAREN</t>
        </is>
      </c>
      <c r="S7" s="216" t="n">
        <v>298000</v>
      </c>
      <c r="T7" s="236" t="n">
        <v>58000</v>
      </c>
      <c r="U7" s="218" t="n">
        <v>4</v>
      </c>
      <c r="V7" s="219" t="inlineStr">
        <is>
          <t>20/04/2026</t>
        </is>
      </c>
    </row>
    <row r="8" ht="15.75" customHeight="1" s="153">
      <c r="A8" s="237" t="n"/>
      <c r="B8" s="238" t="inlineStr">
        <is>
          <t>RIVADAVIA 6330</t>
        </is>
      </c>
      <c r="C8" s="239" t="n"/>
      <c r="D8" s="239" t="n">
        <v>1</v>
      </c>
      <c r="E8" s="239" t="n"/>
      <c r="F8" s="240" t="n"/>
      <c r="G8" s="240" t="n"/>
      <c r="H8" s="241" t="n">
        <v>33000</v>
      </c>
      <c r="I8" s="242" t="n"/>
      <c r="J8" s="242" t="n">
        <v>33000</v>
      </c>
      <c r="K8" s="233" t="n"/>
      <c r="L8" s="233">
        <f>IF(K8&lt;&gt;"",12750+K8,12750)</f>
        <v/>
      </c>
      <c r="M8" s="156" t="n"/>
      <c r="N8" s="234" t="inlineStr">
        <is>
          <t>TOTAL YERBA</t>
        </is>
      </c>
      <c r="O8" s="235">
        <f>IFERROR(SUM(F5:F700),0)</f>
        <v/>
      </c>
      <c r="Q8" s="221" t="inlineStr">
        <is>
          <t>6</t>
        </is>
      </c>
      <c r="R8" s="222" t="inlineStr">
        <is>
          <t>SABOREAR</t>
        </is>
      </c>
      <c r="S8" s="223" t="n">
        <v>274000</v>
      </c>
      <c r="T8" s="224" t="n">
        <v>64000</v>
      </c>
      <c r="U8" s="225" t="n">
        <v>7</v>
      </c>
      <c r="V8" s="226" t="inlineStr">
        <is>
          <t>22/04/2026</t>
        </is>
      </c>
    </row>
    <row r="9" ht="15.75" customHeight="1" s="153">
      <c r="A9" s="227" t="n"/>
      <c r="B9" s="228" t="inlineStr">
        <is>
          <t>BERUTI 4075</t>
        </is>
      </c>
      <c r="C9" s="229" t="n"/>
      <c r="D9" s="229" t="n"/>
      <c r="E9" s="229" t="n">
        <v>2</v>
      </c>
      <c r="F9" s="230" t="n"/>
      <c r="G9" s="230" t="n"/>
      <c r="H9" s="231" t="n">
        <v>152000</v>
      </c>
      <c r="I9" s="232" t="n"/>
      <c r="J9" s="232" t="n">
        <v>152000</v>
      </c>
      <c r="K9" s="233" t="n"/>
      <c r="L9" s="233">
        <f>IF(K9&lt;&gt;"",54000+K9,54000)</f>
        <v/>
      </c>
      <c r="M9" s="156" t="n"/>
      <c r="N9" s="234" t="inlineStr">
        <is>
          <t>TOTAL AGUA</t>
        </is>
      </c>
      <c r="O9" s="235">
        <f>IFERROR(SUM(G5:G700),0)</f>
        <v/>
      </c>
      <c r="Q9" s="214" t="inlineStr">
        <is>
          <t>7</t>
        </is>
      </c>
      <c r="R9" s="215" t="inlineStr">
        <is>
          <t>LUCHO</t>
        </is>
      </c>
      <c r="S9" s="216" t="n">
        <v>252500</v>
      </c>
      <c r="T9" s="236" t="n">
        <v>19150</v>
      </c>
      <c r="U9" s="218" t="n">
        <v>11</v>
      </c>
      <c r="V9" s="219" t="inlineStr">
        <is>
          <t>20/04/2026</t>
        </is>
      </c>
    </row>
    <row r="10" ht="15.75" customHeight="1" s="153">
      <c r="A10" s="237" t="n"/>
      <c r="B10" s="238" t="inlineStr">
        <is>
          <t>9 DE JULIO 2109</t>
        </is>
      </c>
      <c r="C10" s="239" t="n">
        <v>1</v>
      </c>
      <c r="D10" s="239" t="n"/>
      <c r="E10" s="239" t="n"/>
      <c r="F10" s="240" t="n"/>
      <c r="G10" s="240" t="n"/>
      <c r="H10" s="241" t="n">
        <v>23000</v>
      </c>
      <c r="I10" s="242" t="n"/>
      <c r="J10" s="242" t="n">
        <v>23000</v>
      </c>
      <c r="K10" s="233" t="n"/>
      <c r="L10" s="233">
        <f>IF(K10&lt;&gt;"",9500+K10,9500)</f>
        <v/>
      </c>
      <c r="M10" s="156" t="n"/>
      <c r="N10" s="243" t="n"/>
      <c r="O10" s="244" t="n"/>
      <c r="Q10" s="221" t="inlineStr">
        <is>
          <t>8</t>
        </is>
      </c>
      <c r="R10" s="222" t="inlineStr">
        <is>
          <t>BRASERIA</t>
        </is>
      </c>
      <c r="S10" s="223" t="n">
        <v>229000</v>
      </c>
      <c r="T10" s="224" t="n">
        <v>49000</v>
      </c>
      <c r="U10" s="225" t="n">
        <v>3</v>
      </c>
      <c r="V10" s="226" t="inlineStr">
        <is>
          <t>18/04/2026</t>
        </is>
      </c>
    </row>
    <row r="11" ht="15.75" customHeight="1" s="153">
      <c r="A11" s="227" t="n"/>
      <c r="B11" s="228" t="inlineStr">
        <is>
          <t>NACHO</t>
        </is>
      </c>
      <c r="C11" s="229" t="n">
        <v>1</v>
      </c>
      <c r="D11" s="229" t="n"/>
      <c r="E11" s="229" t="n"/>
      <c r="F11" s="230" t="n"/>
      <c r="G11" s="230" t="n"/>
      <c r="H11" s="231" t="n">
        <v>19000</v>
      </c>
      <c r="I11" s="232" t="n"/>
      <c r="J11" s="232" t="n">
        <v>19000</v>
      </c>
      <c r="K11" s="233" t="n"/>
      <c r="L11" s="233">
        <f>IF(K11&lt;&gt;"",5500+K11,5500)</f>
        <v/>
      </c>
      <c r="M11" s="156" t="n"/>
      <c r="N11" s="246" t="inlineStr">
        <is>
          <t>FACTURACIÓN</t>
        </is>
      </c>
      <c r="O11" s="247">
        <f>IFERROR(SUM(H5:H700),0)</f>
        <v/>
      </c>
      <c r="Q11" s="214" t="inlineStr">
        <is>
          <t>9</t>
        </is>
      </c>
      <c r="R11" s="215" t="inlineStr">
        <is>
          <t>PANA ALBERTI</t>
        </is>
      </c>
      <c r="S11" s="216" t="n">
        <v>221000</v>
      </c>
      <c r="T11" s="236" t="n">
        <v>41000</v>
      </c>
      <c r="U11" s="218" t="n">
        <v>3</v>
      </c>
      <c r="V11" s="219" t="inlineStr">
        <is>
          <t>22/04/2026</t>
        </is>
      </c>
    </row>
    <row r="12" ht="15.75" customHeight="1" s="153">
      <c r="A12" s="237" t="n">
        <v>46083</v>
      </c>
      <c r="B12" s="238" t="inlineStr">
        <is>
          <t>IRMA INGENIEROS 5501</t>
        </is>
      </c>
      <c r="C12" s="239" t="n">
        <v>1</v>
      </c>
      <c r="D12" s="239" t="n"/>
      <c r="E12" s="239" t="n"/>
      <c r="F12" s="240" t="n"/>
      <c r="G12" s="240" t="n"/>
      <c r="H12" s="241" t="n">
        <v>23000</v>
      </c>
      <c r="I12" s="242" t="n">
        <v>23000</v>
      </c>
      <c r="J12" s="242" t="n"/>
      <c r="K12" s="233" t="n"/>
      <c r="L12" s="233">
        <f>IF(K12&lt;&gt;"",9500+K12,9500)</f>
        <v/>
      </c>
      <c r="M12" s="156" t="n"/>
      <c r="N12" s="246" t="inlineStr">
        <is>
          <t>GANANCIA</t>
        </is>
      </c>
      <c r="O12" s="247">
        <f>IFERROR(SUM(L5:L700),0)</f>
        <v/>
      </c>
      <c r="Q12" s="221" t="inlineStr">
        <is>
          <t>10</t>
        </is>
      </c>
      <c r="R12" s="222" t="inlineStr">
        <is>
          <t>MARIELA</t>
        </is>
      </c>
      <c r="S12" s="223" t="n">
        <v>219000</v>
      </c>
      <c r="T12" s="224" t="n">
        <v>53000</v>
      </c>
      <c r="U12" s="225" t="n">
        <v>1</v>
      </c>
      <c r="V12" s="226" t="inlineStr">
        <is>
          <t>25/03/2026</t>
        </is>
      </c>
    </row>
    <row r="13" ht="15.75" customHeight="1" s="153">
      <c r="A13" s="227" t="n"/>
      <c r="B13" s="228" t="inlineStr">
        <is>
          <t>GENEIRO 8249</t>
        </is>
      </c>
      <c r="C13" s="229" t="n">
        <v>1</v>
      </c>
      <c r="D13" s="229" t="n"/>
      <c r="E13" s="229" t="n"/>
      <c r="F13" s="230" t="n"/>
      <c r="G13" s="230" t="n"/>
      <c r="H13" s="231" t="n">
        <v>21000</v>
      </c>
      <c r="I13" s="232" t="n"/>
      <c r="J13" s="232" t="n">
        <v>21000</v>
      </c>
      <c r="K13" s="233" t="n"/>
      <c r="L13" s="233">
        <f>IF(K13&lt;&gt;"",7500+K13,7500)</f>
        <v/>
      </c>
      <c r="M13" s="156" t="n"/>
      <c r="N13" s="246" t="inlineStr">
        <is>
          <t>% GANANCIA</t>
        </is>
      </c>
      <c r="O13" s="248">
        <f>IFERROR(SUM(L5:L700)/SUM(H5:H700),0)</f>
        <v/>
      </c>
      <c r="Q13" s="214" t="inlineStr">
        <is>
          <t>11</t>
        </is>
      </c>
      <c r="R13" s="215" t="inlineStr">
        <is>
          <t>PANA VIEYTES 4500</t>
        </is>
      </c>
      <c r="S13" s="216" t="n">
        <v>214000</v>
      </c>
      <c r="T13" s="236" t="n">
        <v>34000</v>
      </c>
      <c r="U13" s="218" t="n">
        <v>3</v>
      </c>
      <c r="V13" s="219" t="inlineStr">
        <is>
          <t>16/04/2026</t>
        </is>
      </c>
    </row>
    <row r="14" ht="15.75" customHeight="1" s="153">
      <c r="A14" s="237" t="n"/>
      <c r="B14" s="238" t="inlineStr">
        <is>
          <t>VIANDAS JORGE</t>
        </is>
      </c>
      <c r="C14" s="239" t="n">
        <v>1</v>
      </c>
      <c r="D14" s="239" t="n"/>
      <c r="E14" s="239" t="n"/>
      <c r="F14" s="240" t="n"/>
      <c r="G14" s="240" t="n"/>
      <c r="H14" s="241" t="n">
        <v>19000</v>
      </c>
      <c r="I14" s="242" t="n">
        <v>19000</v>
      </c>
      <c r="J14" s="242" t="n"/>
      <c r="K14" s="233" t="n"/>
      <c r="L14" s="233">
        <f>IF(K14&lt;&gt;"",5500+K14,5500)</f>
        <v/>
      </c>
      <c r="M14" s="156" t="n"/>
      <c r="N14" s="243" t="n"/>
      <c r="O14" s="244" t="n"/>
      <c r="Q14" s="221" t="inlineStr">
        <is>
          <t>12</t>
        </is>
      </c>
      <c r="R14" s="222" t="inlineStr">
        <is>
          <t>SANDRA</t>
        </is>
      </c>
      <c r="S14" s="223" t="n">
        <v>207000</v>
      </c>
      <c r="T14" s="224" t="n">
        <v>25300</v>
      </c>
      <c r="U14" s="225" t="n">
        <v>10</v>
      </c>
      <c r="V14" s="226" t="inlineStr">
        <is>
          <t>16/04/2026</t>
        </is>
      </c>
    </row>
    <row r="15" ht="15.75" customHeight="1" s="153">
      <c r="A15" s="227" t="n"/>
      <c r="B15" s="228" t="inlineStr">
        <is>
          <t>25 DE MAYO 8347</t>
        </is>
      </c>
      <c r="C15" s="229" t="n">
        <v>1</v>
      </c>
      <c r="D15" s="229" t="n"/>
      <c r="E15" s="229" t="n"/>
      <c r="F15" s="230" t="n"/>
      <c r="G15" s="230" t="n"/>
      <c r="H15" s="231" t="n">
        <v>21000</v>
      </c>
      <c r="I15" s="232" t="n">
        <v>21000</v>
      </c>
      <c r="J15" s="232" t="n"/>
      <c r="K15" s="233" t="n"/>
      <c r="L15" s="233">
        <f>IF(K15&lt;&gt;"",7500+K15,7500)</f>
        <v/>
      </c>
      <c r="M15" s="156" t="n"/>
      <c r="N15" s="234" t="inlineStr">
        <is>
          <t>EFECTIVO</t>
        </is>
      </c>
      <c r="O15" s="249">
        <f>IFERROR(SUM(I5:I700),0)</f>
        <v/>
      </c>
      <c r="Q15" s="214" t="inlineStr">
        <is>
          <t>13</t>
        </is>
      </c>
      <c r="R15" s="215" t="inlineStr">
        <is>
          <t>NACHO</t>
        </is>
      </c>
      <c r="S15" s="216" t="n">
        <v>179500</v>
      </c>
      <c r="T15" s="236" t="n">
        <v>22000</v>
      </c>
      <c r="U15" s="218" t="n">
        <v>7</v>
      </c>
      <c r="V15" s="219" t="inlineStr">
        <is>
          <t>02/04/2026</t>
        </is>
      </c>
    </row>
    <row r="16" ht="15.75" customHeight="1" s="153">
      <c r="A16" s="237" t="n"/>
      <c r="B16" s="238" t="inlineStr">
        <is>
          <t>RICARDO ALDAO 3082</t>
        </is>
      </c>
      <c r="C16" s="239" t="n">
        <v>1</v>
      </c>
      <c r="D16" s="239" t="n"/>
      <c r="E16" s="239" t="n"/>
      <c r="F16" s="240" t="n"/>
      <c r="G16" s="240" t="n"/>
      <c r="H16" s="241" t="n">
        <v>22000</v>
      </c>
      <c r="I16" s="242" t="n">
        <v>22000</v>
      </c>
      <c r="J16" s="242" t="n"/>
      <c r="K16" s="233" t="n"/>
      <c r="L16" s="233">
        <f>IF(K16&lt;&gt;"",8500+K16,8500)</f>
        <v/>
      </c>
      <c r="M16" s="156" t="n"/>
      <c r="N16" s="234" t="inlineStr">
        <is>
          <t>TRANSFERENCIA</t>
        </is>
      </c>
      <c r="O16" s="249">
        <f>IFERROR(SUM(J5:J700),0)</f>
        <v/>
      </c>
      <c r="Q16" s="221" t="inlineStr">
        <is>
          <t>14</t>
        </is>
      </c>
      <c r="R16" s="222" t="inlineStr">
        <is>
          <t>DUSO 7678</t>
        </is>
      </c>
      <c r="S16" s="223" t="n">
        <v>178500</v>
      </c>
      <c r="T16" s="224" t="n">
        <v>21000</v>
      </c>
      <c r="U16" s="225" t="n">
        <v>1</v>
      </c>
      <c r="V16" s="226" t="inlineStr">
        <is>
          <t>22/03/2026</t>
        </is>
      </c>
    </row>
    <row r="17" ht="15.75" customHeight="1" s="153">
      <c r="A17" s="227" t="n"/>
      <c r="B17" s="228" t="inlineStr">
        <is>
          <t>B IRIGOYEN 6634</t>
        </is>
      </c>
      <c r="C17" s="229" t="n">
        <v>1</v>
      </c>
      <c r="D17" s="229" t="n"/>
      <c r="E17" s="229" t="n"/>
      <c r="F17" s="230" t="n"/>
      <c r="G17" s="230" t="n"/>
      <c r="H17" s="231" t="n">
        <v>22000</v>
      </c>
      <c r="I17" s="232" t="n">
        <v>22000</v>
      </c>
      <c r="J17" s="232" t="n"/>
      <c r="K17" s="233" t="n"/>
      <c r="L17" s="233">
        <f>IF(K17&lt;&gt;"",8500+K17,8500)</f>
        <v/>
      </c>
      <c r="M17" s="156" t="n"/>
      <c r="N17" s="243" t="n"/>
      <c r="O17" s="244" t="n"/>
      <c r="Q17" s="214" t="inlineStr">
        <is>
          <t>15</t>
        </is>
      </c>
      <c r="R17" s="215" t="inlineStr">
        <is>
          <t>PANA GENESIO</t>
        </is>
      </c>
      <c r="S17" s="216" t="n">
        <v>176000</v>
      </c>
      <c r="T17" s="236" t="n">
        <v>26000</v>
      </c>
      <c r="U17" s="218" t="n">
        <v>4</v>
      </c>
      <c r="V17" s="219" t="inlineStr">
        <is>
          <t>09/03/2026</t>
        </is>
      </c>
    </row>
    <row r="18" ht="15.75" customHeight="1" s="153">
      <c r="A18" s="237" t="n"/>
      <c r="B18" s="238" t="inlineStr">
        <is>
          <t>CAMELI 4860</t>
        </is>
      </c>
      <c r="C18" s="239" t="n">
        <v>2</v>
      </c>
      <c r="D18" s="239" t="n"/>
      <c r="E18" s="239" t="n"/>
      <c r="F18" s="240" t="n"/>
      <c r="G18" s="240" t="n"/>
      <c r="H18" s="241" t="n">
        <v>42000</v>
      </c>
      <c r="I18" s="242" t="n"/>
      <c r="J18" s="242" t="n">
        <v>42000</v>
      </c>
      <c r="K18" s="233" t="n"/>
      <c r="L18" s="233">
        <f>IF(K18&lt;&gt;"",15000+K18,15000)</f>
        <v/>
      </c>
      <c r="M18" s="156" t="n"/>
      <c r="N18" s="234" t="inlineStr">
        <is>
          <t>Nº VENTAS</t>
        </is>
      </c>
      <c r="O18" s="250">
        <f>IFERROR(COUNTA(B5:B700),0)</f>
        <v/>
      </c>
      <c r="Q18" s="221" t="inlineStr">
        <is>
          <t>16</t>
        </is>
      </c>
      <c r="R18" s="222" t="inlineStr">
        <is>
          <t>COGORNO 5520</t>
        </is>
      </c>
      <c r="S18" s="223" t="n">
        <v>170000</v>
      </c>
      <c r="T18" s="224" t="n">
        <v>20000</v>
      </c>
      <c r="U18" s="225" t="n">
        <v>2</v>
      </c>
      <c r="V18" s="226" t="inlineStr">
        <is>
          <t>25/03/2026</t>
        </is>
      </c>
    </row>
    <row r="19" ht="15.75" customHeight="1" s="153">
      <c r="A19" s="227" t="n"/>
      <c r="B19" s="228" t="inlineStr">
        <is>
          <t>VICTOR CAPE</t>
        </is>
      </c>
      <c r="C19" s="229" t="n"/>
      <c r="D19" s="229" t="n">
        <v>1</v>
      </c>
      <c r="E19" s="229" t="n"/>
      <c r="F19" s="230" t="n"/>
      <c r="G19" s="230" t="n"/>
      <c r="H19" s="231" t="n">
        <v>32000</v>
      </c>
      <c r="I19" s="232" t="n"/>
      <c r="J19" s="232" t="n">
        <v>32000</v>
      </c>
      <c r="K19" s="233" t="n"/>
      <c r="L19" s="233">
        <f>IF(K19&lt;&gt;"",11750+K19,11750)</f>
        <v/>
      </c>
      <c r="M19" s="156" t="n"/>
      <c r="N19" s="234" t="inlineStr">
        <is>
          <t>DÍAS DEL MES</t>
        </is>
      </c>
      <c r="O19" s="250" t="n">
        <v>31</v>
      </c>
      <c r="Q19" s="214" t="inlineStr">
        <is>
          <t>17</t>
        </is>
      </c>
      <c r="R19" s="215" t="inlineStr">
        <is>
          <t>J D SOLIS 10529</t>
        </is>
      </c>
      <c r="S19" s="216" t="n">
        <v>166000</v>
      </c>
      <c r="T19" s="236" t="n">
        <v>46000</v>
      </c>
      <c r="U19" s="218" t="n">
        <v>1</v>
      </c>
      <c r="V19" s="219" t="inlineStr">
        <is>
          <t>14/03/2026</t>
        </is>
      </c>
    </row>
    <row r="20" ht="15.75" customHeight="1" s="153">
      <c r="A20" s="237" t="n"/>
      <c r="B20" s="238" t="inlineStr">
        <is>
          <t>FILOMENA</t>
        </is>
      </c>
      <c r="C20" s="239" t="n">
        <v>2</v>
      </c>
      <c r="D20" s="239" t="n"/>
      <c r="E20" s="239" t="n"/>
      <c r="F20" s="240" t="n"/>
      <c r="G20" s="240" t="n"/>
      <c r="H20" s="241" t="n">
        <v>38000</v>
      </c>
      <c r="I20" s="242" t="n">
        <v>38000</v>
      </c>
      <c r="J20" s="242" t="n"/>
      <c r="K20" s="233" t="n"/>
      <c r="L20" s="233">
        <f>IF(K20&lt;&gt;"",11000+K20,11000)</f>
        <v/>
      </c>
      <c r="M20" s="156" t="n"/>
      <c r="N20" s="243" t="n"/>
      <c r="O20" s="244" t="n"/>
      <c r="Q20" s="221" t="inlineStr">
        <is>
          <t>18</t>
        </is>
      </c>
      <c r="R20" s="222" t="inlineStr">
        <is>
          <t>9 DE JULIO 1144</t>
        </is>
      </c>
      <c r="S20" s="223" t="n">
        <v>158000</v>
      </c>
      <c r="T20" s="224" t="n">
        <v>38000</v>
      </c>
      <c r="U20" s="225" t="n">
        <v>1</v>
      </c>
      <c r="V20" s="226" t="inlineStr">
        <is>
          <t>06/03/2026</t>
        </is>
      </c>
    </row>
    <row r="21" ht="15.75" customHeight="1" s="153">
      <c r="A21" s="227" t="n">
        <v>46084</v>
      </c>
      <c r="B21" s="228" t="inlineStr">
        <is>
          <t>OTNIEL</t>
        </is>
      </c>
      <c r="C21" s="229" t="n">
        <v>1</v>
      </c>
      <c r="D21" s="229" t="n">
        <v>1</v>
      </c>
      <c r="E21" s="229" t="n">
        <v>1</v>
      </c>
      <c r="F21" s="230" t="n"/>
      <c r="G21" s="230" t="n">
        <v>1</v>
      </c>
      <c r="H21" s="231" t="n">
        <v>127500</v>
      </c>
      <c r="I21" s="232" t="n"/>
      <c r="J21" s="232" t="n">
        <v>127500</v>
      </c>
      <c r="K21" s="233" t="n"/>
      <c r="L21" s="233">
        <f>IF(K21&lt;&gt;"",43900+K21,43900)</f>
        <v/>
      </c>
      <c r="M21" s="156" t="n"/>
      <c r="N21" s="234" t="inlineStr">
        <is>
          <t>OBJETIVO ($)</t>
        </is>
      </c>
      <c r="O21" s="249" t="n"/>
      <c r="Q21" s="214" t="inlineStr">
        <is>
          <t>19</t>
        </is>
      </c>
      <c r="R21" s="215" t="inlineStr">
        <is>
          <t>GRAL PAZ 7826</t>
        </is>
      </c>
      <c r="S21" s="216" t="n">
        <v>156000</v>
      </c>
      <c r="T21" s="236" t="n">
        <v>36000</v>
      </c>
      <c r="U21" s="218" t="n">
        <v>1</v>
      </c>
      <c r="V21" s="219" t="inlineStr">
        <is>
          <t>14/03/2026</t>
        </is>
      </c>
    </row>
    <row r="22" ht="15.75" customHeight="1" s="153">
      <c r="A22" s="237" t="n"/>
      <c r="B22" s="238" t="inlineStr">
        <is>
          <t>ALBERTI 5251</t>
        </is>
      </c>
      <c r="C22" s="239" t="n">
        <v>1</v>
      </c>
      <c r="D22" s="239" t="n"/>
      <c r="E22" s="239" t="n"/>
      <c r="F22" s="240" t="n"/>
      <c r="G22" s="240" t="n"/>
      <c r="H22" s="241" t="n">
        <v>21000</v>
      </c>
      <c r="I22" s="242" t="n">
        <v>21000</v>
      </c>
      <c r="J22" s="242" t="n"/>
      <c r="K22" s="233" t="n"/>
      <c r="L22" s="233">
        <f>IF(K22&lt;&gt;"",7500+K22,7500)</f>
        <v/>
      </c>
      <c r="M22" s="156" t="n"/>
      <c r="N22" s="234" t="inlineStr">
        <is>
          <t>DIFERENCIA</t>
        </is>
      </c>
      <c r="O22" s="251">
        <f>IFERROR(SUM(L5:L700)-N21,0)</f>
        <v/>
      </c>
      <c r="Q22" s="221" t="inlineStr">
        <is>
          <t>20</t>
        </is>
      </c>
      <c r="R22" s="222" t="inlineStr">
        <is>
          <t>PANA GORRITI 4600</t>
        </is>
      </c>
      <c r="S22" s="223" t="n">
        <v>153000</v>
      </c>
      <c r="T22" s="224" t="n">
        <v>33000</v>
      </c>
      <c r="U22" s="225" t="n">
        <v>2</v>
      </c>
      <c r="V22" s="226" t="inlineStr">
        <is>
          <t>08/04/2026</t>
        </is>
      </c>
    </row>
    <row r="23" ht="15.75" customHeight="1" s="153">
      <c r="A23" s="227" t="n"/>
      <c r="B23" s="228" t="inlineStr">
        <is>
          <t>LUCHO</t>
        </is>
      </c>
      <c r="C23" s="229" t="n">
        <v>1</v>
      </c>
      <c r="D23" s="229" t="n"/>
      <c r="E23" s="229" t="n"/>
      <c r="F23" s="230" t="n"/>
      <c r="G23" s="230" t="n"/>
      <c r="H23" s="231" t="n">
        <v>15000</v>
      </c>
      <c r="I23" s="232" t="n">
        <v>15000</v>
      </c>
      <c r="J23" s="232" t="n"/>
      <c r="K23" s="233" t="n"/>
      <c r="L23" s="233">
        <f>IF(K23&lt;&gt;"",1500+K23,1500)</f>
        <v/>
      </c>
      <c r="M23" s="156" t="n"/>
      <c r="N23" s="156" t="n"/>
      <c r="O23" s="156" t="n"/>
      <c r="Q23" s="214" t="inlineStr">
        <is>
          <t>21</t>
        </is>
      </c>
      <c r="R23" s="215" t="inlineStr">
        <is>
          <t>BERUTI 4075</t>
        </is>
      </c>
      <c r="S23" s="216" t="n">
        <v>152000</v>
      </c>
      <c r="T23" s="236" t="n">
        <v>32000</v>
      </c>
      <c r="U23" s="218" t="n">
        <v>1</v>
      </c>
      <c r="V23" s="219" t="inlineStr">
        <is>
          <t>01/03/2026</t>
        </is>
      </c>
    </row>
    <row r="24" ht="15.75" customHeight="1" s="153">
      <c r="A24" s="237" t="n"/>
      <c r="B24" s="238" t="inlineStr">
        <is>
          <t>PIEDRABUENA 4506</t>
        </is>
      </c>
      <c r="C24" s="239" t="n"/>
      <c r="D24" s="239" t="n"/>
      <c r="E24" s="239" t="n">
        <v>1</v>
      </c>
      <c r="F24" s="240" t="n"/>
      <c r="G24" s="240" t="n"/>
      <c r="H24" s="241" t="n">
        <v>77000</v>
      </c>
      <c r="I24" s="242" t="n">
        <v>77000</v>
      </c>
      <c r="J24" s="242" t="n"/>
      <c r="K24" s="233" t="n"/>
      <c r="L24" s="233">
        <f>IF(K24&lt;&gt;"",28000+K24,28000)</f>
        <v/>
      </c>
      <c r="M24" s="156" t="n"/>
      <c r="N24" s="246" t="inlineStr">
        <is>
          <t>KG BUTANO</t>
        </is>
      </c>
      <c r="O24" s="252">
        <f>IFERROR((SUM(C5:C700)*10)+(SUM(D5:D700)*15),0)</f>
        <v/>
      </c>
      <c r="Q24" s="221" t="inlineStr">
        <is>
          <t>22</t>
        </is>
      </c>
      <c r="R24" s="222" t="inlineStr">
        <is>
          <t>PANA VIEYTE 3800</t>
        </is>
      </c>
      <c r="S24" s="223" t="n">
        <v>148000</v>
      </c>
      <c r="T24" s="224" t="n">
        <v>28000</v>
      </c>
      <c r="U24" s="225" t="n">
        <v>1</v>
      </c>
      <c r="V24" s="226" t="inlineStr">
        <is>
          <t>05/03/2026</t>
        </is>
      </c>
    </row>
    <row r="25" ht="15.75" customHeight="1" s="153">
      <c r="A25" s="227" t="n"/>
      <c r="B25" s="228" t="inlineStr">
        <is>
          <t>EX COMBATIENTES 6532</t>
        </is>
      </c>
      <c r="C25" s="229" t="n"/>
      <c r="D25" s="229" t="n">
        <v>1</v>
      </c>
      <c r="E25" s="229" t="n"/>
      <c r="F25" s="230" t="n"/>
      <c r="G25" s="230" t="n"/>
      <c r="H25" s="231" t="n">
        <v>32000</v>
      </c>
      <c r="I25" s="232" t="n">
        <v>32000</v>
      </c>
      <c r="J25" s="232" t="n"/>
      <c r="K25" s="233" t="n"/>
      <c r="L25" s="233">
        <f>IF(K25&lt;&gt;"",11750+K25,11750)</f>
        <v/>
      </c>
      <c r="M25" s="156" t="n"/>
      <c r="N25" s="246" t="inlineStr">
        <is>
          <t>KG PROPANO</t>
        </is>
      </c>
      <c r="O25" s="252">
        <f>IFERROR(SUM(E5:E700)*45,0)</f>
        <v/>
      </c>
      <c r="Q25" s="214" t="inlineStr">
        <is>
          <t>23</t>
        </is>
      </c>
      <c r="R25" s="215" t="inlineStr">
        <is>
          <t>D SILVA 4217</t>
        </is>
      </c>
      <c r="S25" s="216" t="n">
        <v>145500</v>
      </c>
      <c r="T25" s="236" t="n">
        <v>10500</v>
      </c>
      <c r="U25" s="218" t="n">
        <v>3</v>
      </c>
      <c r="V25" s="219" t="inlineStr">
        <is>
          <t>11/04/2026</t>
        </is>
      </c>
    </row>
    <row r="26" ht="15.75" customHeight="1" s="153">
      <c r="A26" s="237" t="n"/>
      <c r="B26" s="238" t="inlineStr">
        <is>
          <t>AZOPARD0 10560</t>
        </is>
      </c>
      <c r="C26" s="239" t="n">
        <v>1</v>
      </c>
      <c r="D26" s="239" t="n"/>
      <c r="E26" s="239" t="n"/>
      <c r="F26" s="240" t="n"/>
      <c r="G26" s="240" t="n"/>
      <c r="H26" s="241" t="n">
        <v>21000</v>
      </c>
      <c r="I26" s="242" t="n">
        <v>21000</v>
      </c>
      <c r="J26" s="242" t="n"/>
      <c r="K26" s="233" t="n"/>
      <c r="L26" s="233">
        <f>IF(K26&lt;&gt;"",7500+K26,7500)</f>
        <v/>
      </c>
      <c r="M26" s="156" t="n"/>
      <c r="N26" s="246" t="inlineStr">
        <is>
          <t>KG TOTAL</t>
        </is>
      </c>
      <c r="O26" s="252">
        <f>IFERROR(O24+O25,0)</f>
        <v/>
      </c>
      <c r="Q26" s="221" t="inlineStr">
        <is>
          <t>24</t>
        </is>
      </c>
      <c r="R26" s="222" t="inlineStr">
        <is>
          <t>ROTI AGUADO</t>
        </is>
      </c>
      <c r="S26" s="223" t="n">
        <v>135000</v>
      </c>
      <c r="T26" s="224" t="n">
        <v>30000</v>
      </c>
      <c r="U26" s="225" t="n">
        <v>2</v>
      </c>
      <c r="V26" s="226" t="inlineStr">
        <is>
          <t>17/04/2026</t>
        </is>
      </c>
    </row>
    <row r="27" ht="15.75" customHeight="1" s="153">
      <c r="A27" s="227" t="n"/>
      <c r="B27" s="228" t="inlineStr">
        <is>
          <t>PANA GENESIO</t>
        </is>
      </c>
      <c r="C27" s="229" t="n"/>
      <c r="D27" s="229" t="n"/>
      <c r="E27" s="229" t="n">
        <v>1</v>
      </c>
      <c r="F27" s="230" t="n"/>
      <c r="G27" s="230" t="n"/>
      <c r="H27" s="231" t="n">
        <v>69000</v>
      </c>
      <c r="I27" s="232" t="n"/>
      <c r="J27" s="232" t="n">
        <v>69000</v>
      </c>
      <c r="K27" s="233" t="n"/>
      <c r="L27" s="233">
        <f>IF(K27&lt;&gt;"",20000+K27,20000)</f>
        <v/>
      </c>
      <c r="M27" s="156" t="n"/>
      <c r="N27" s="156" t="n"/>
      <c r="O27" s="156" t="n"/>
      <c r="Q27" s="214" t="inlineStr">
        <is>
          <t>25</t>
        </is>
      </c>
      <c r="R27" s="215" t="inlineStr">
        <is>
          <t>MARCE DUSSO</t>
        </is>
      </c>
      <c r="S27" s="216" t="n">
        <v>132000</v>
      </c>
      <c r="T27" s="236" t="n">
        <v>12000</v>
      </c>
      <c r="U27" s="218" t="n">
        <v>1</v>
      </c>
      <c r="V27" s="219" t="inlineStr">
        <is>
          <t>10/03/2026</t>
        </is>
      </c>
    </row>
    <row r="28" ht="15.75" customHeight="1" s="153">
      <c r="A28" s="237" t="n"/>
      <c r="B28" s="238" t="inlineStr">
        <is>
          <t>POLLERIA BLASPA</t>
        </is>
      </c>
      <c r="C28" s="239" t="n">
        <v>1</v>
      </c>
      <c r="D28" s="239" t="n"/>
      <c r="E28" s="239" t="n"/>
      <c r="F28" s="240" t="n"/>
      <c r="G28" s="240" t="n"/>
      <c r="H28" s="241" t="n">
        <v>18000</v>
      </c>
      <c r="I28" s="242" t="n">
        <v>18000</v>
      </c>
      <c r="J28" s="242" t="n"/>
      <c r="K28" s="233" t="n"/>
      <c r="L28" s="233">
        <f>IF(K28&lt;&gt;"",4500+K28,4500)</f>
        <v/>
      </c>
      <c r="M28" s="156" t="n"/>
      <c r="N28" s="246" t="inlineStr">
        <is>
          <t>TICKET PROM. VENTA</t>
        </is>
      </c>
      <c r="O28" s="253">
        <f>IFERROR(SUM(H5:H700)/COUNTA(B5:B700),0)</f>
        <v/>
      </c>
      <c r="Q28" s="221" t="inlineStr">
        <is>
          <t>26</t>
        </is>
      </c>
      <c r="R28" s="222" t="inlineStr">
        <is>
          <t>MARTINEZ 3221</t>
        </is>
      </c>
      <c r="S28" s="223" t="n">
        <v>108000</v>
      </c>
      <c r="T28" s="224" t="n">
        <v>33000</v>
      </c>
      <c r="U28" s="225" t="n">
        <v>1</v>
      </c>
      <c r="V28" s="226" t="inlineStr">
        <is>
          <t>25/03/2026</t>
        </is>
      </c>
    </row>
    <row r="29" ht="15.75" customHeight="1" s="153">
      <c r="A29" s="227" t="n"/>
      <c r="B29" s="228" t="inlineStr">
        <is>
          <t>SANDRA</t>
        </is>
      </c>
      <c r="C29" s="229" t="n">
        <v>1</v>
      </c>
      <c r="D29" s="229" t="n"/>
      <c r="E29" s="229" t="n"/>
      <c r="F29" s="230" t="n"/>
      <c r="G29" s="230" t="n"/>
      <c r="H29" s="231" t="n">
        <v>15500</v>
      </c>
      <c r="I29" s="232" t="n">
        <v>15500</v>
      </c>
      <c r="J29" s="232" t="n"/>
      <c r="K29" s="233" t="n"/>
      <c r="L29" s="233">
        <f>IF(K29&lt;&gt;"",2000+K29,2000)</f>
        <v/>
      </c>
      <c r="M29" s="156" t="n"/>
      <c r="N29" s="246" t="inlineStr">
        <is>
          <t>TICKET PROM. GANANCIA</t>
        </is>
      </c>
      <c r="O29" s="253">
        <f>IFERROR(SUM(L5:L700)/COUNTA(B5:B700),0)</f>
        <v/>
      </c>
      <c r="Q29" s="214" t="inlineStr">
        <is>
          <t>27</t>
        </is>
      </c>
      <c r="R29" s="215" t="inlineStr">
        <is>
          <t>GABOTO 7320</t>
        </is>
      </c>
      <c r="S29" s="216" t="n">
        <v>105000</v>
      </c>
      <c r="T29" s="236" t="n">
        <v>30000</v>
      </c>
      <c r="U29" s="218" t="n">
        <v>1</v>
      </c>
      <c r="V29" s="219" t="inlineStr">
        <is>
          <t>26/03/2026</t>
        </is>
      </c>
    </row>
    <row r="30" ht="15.75" customHeight="1" s="153">
      <c r="A30" s="237" t="n"/>
      <c r="B30" s="238" t="inlineStr">
        <is>
          <t>F5 GABOTO</t>
        </is>
      </c>
      <c r="C30" s="239" t="n">
        <v>1</v>
      </c>
      <c r="D30" s="239" t="n"/>
      <c r="E30" s="239" t="n"/>
      <c r="F30" s="240" t="n"/>
      <c r="G30" s="240" t="n"/>
      <c r="H30" s="241" t="n">
        <v>20000</v>
      </c>
      <c r="I30" s="242" t="n">
        <v>20000</v>
      </c>
      <c r="J30" s="242" t="n"/>
      <c r="K30" s="233" t="n"/>
      <c r="L30" s="233">
        <f>IF(K30&lt;&gt;"",6500+K30,6500)</f>
        <v/>
      </c>
      <c r="M30" s="156" t="n"/>
      <c r="N30" s="156" t="n"/>
      <c r="O30" s="156" t="n"/>
      <c r="Q30" s="221" t="inlineStr">
        <is>
          <t>28</t>
        </is>
      </c>
      <c r="R30" s="222" t="inlineStr">
        <is>
          <t>PUBLICO 2383</t>
        </is>
      </c>
      <c r="S30" s="223" t="n">
        <v>104000</v>
      </c>
      <c r="T30" s="224" t="n">
        <v>29000</v>
      </c>
      <c r="U30" s="225" t="n">
        <v>1</v>
      </c>
      <c r="V30" s="226" t="inlineStr">
        <is>
          <t>11/03/2026</t>
        </is>
      </c>
    </row>
    <row r="31" ht="15.75" customHeight="1" s="153">
      <c r="A31" s="227" t="n"/>
      <c r="B31" s="228" t="inlineStr">
        <is>
          <t>SARSOTI 6567</t>
        </is>
      </c>
      <c r="C31" s="229" t="n"/>
      <c r="D31" s="229" t="n">
        <v>1</v>
      </c>
      <c r="E31" s="229" t="n"/>
      <c r="F31" s="230" t="n"/>
      <c r="G31" s="230" t="n"/>
      <c r="H31" s="231" t="n">
        <v>30000</v>
      </c>
      <c r="I31" s="232" t="n"/>
      <c r="J31" s="232" t="n">
        <v>30000</v>
      </c>
      <c r="K31" s="233" t="n"/>
      <c r="L31" s="233">
        <f>IF(K31&lt;&gt;"",9750+K31,9750)</f>
        <v/>
      </c>
      <c r="M31" s="156" t="n"/>
      <c r="N31" s="156" t="n"/>
      <c r="O31" s="156" t="n"/>
      <c r="Q31" s="214" t="inlineStr">
        <is>
          <t>29</t>
        </is>
      </c>
      <c r="R31" s="215" t="inlineStr">
        <is>
          <t>ALSINA 9251</t>
        </is>
      </c>
      <c r="S31" s="216" t="n">
        <v>103000</v>
      </c>
      <c r="T31" s="236" t="n">
        <v>28000</v>
      </c>
      <c r="U31" s="218" t="n">
        <v>1</v>
      </c>
      <c r="V31" s="219" t="inlineStr">
        <is>
          <t>23/03/2026</t>
        </is>
      </c>
    </row>
    <row r="32" ht="15.75" customHeight="1" s="153">
      <c r="A32" s="237" t="n"/>
      <c r="B32" s="238" t="inlineStr">
        <is>
          <t>ALBERTI 4930</t>
        </is>
      </c>
      <c r="C32" s="239" t="n"/>
      <c r="D32" s="239" t="n"/>
      <c r="E32" s="239" t="n">
        <v>1</v>
      </c>
      <c r="F32" s="240" t="n"/>
      <c r="G32" s="240" t="n">
        <v>1</v>
      </c>
      <c r="H32" s="241" t="n">
        <v>86000</v>
      </c>
      <c r="I32" s="242" t="n"/>
      <c r="J32" s="242" t="n">
        <v>86000</v>
      </c>
      <c r="K32" s="233" t="n"/>
      <c r="L32" s="233">
        <f>IF(K32&lt;&gt;"",36150+K32,36150)</f>
        <v/>
      </c>
      <c r="M32" s="156" t="n"/>
      <c r="N32" s="156" t="n"/>
      <c r="O32" s="156" t="n"/>
      <c r="Q32" s="221" t="inlineStr">
        <is>
          <t>30</t>
        </is>
      </c>
      <c r="R32" s="222" t="inlineStr">
        <is>
          <t>DOMINGO SILVA 4217</t>
        </is>
      </c>
      <c r="S32" s="223" t="n">
        <v>102000</v>
      </c>
      <c r="T32" s="224" t="n">
        <v>12000</v>
      </c>
      <c r="U32" s="225" t="n">
        <v>2</v>
      </c>
      <c r="V32" s="226" t="inlineStr">
        <is>
          <t>19/04/2026</t>
        </is>
      </c>
    </row>
    <row r="33" ht="15.75" customHeight="1" s="153">
      <c r="A33" s="227" t="n"/>
      <c r="B33" s="228" t="inlineStr">
        <is>
          <t>ROQUE S PENA 7668</t>
        </is>
      </c>
      <c r="C33" s="229" t="n"/>
      <c r="D33" s="229" t="n"/>
      <c r="E33" s="229" t="n">
        <v>1</v>
      </c>
      <c r="F33" s="230" t="n"/>
      <c r="G33" s="230" t="n"/>
      <c r="H33" s="231" t="n">
        <v>73000</v>
      </c>
      <c r="I33" s="232" t="n"/>
      <c r="J33" s="232" t="n">
        <v>73000</v>
      </c>
      <c r="K33" s="233" t="n"/>
      <c r="L33" s="233">
        <f>IF(K33&lt;&gt;"",24000+K33,24000)</f>
        <v/>
      </c>
      <c r="M33" s="156" t="n"/>
      <c r="N33" s="156" t="n"/>
      <c r="O33" s="156" t="n"/>
      <c r="Q33" s="214" t="inlineStr">
        <is>
          <t>31</t>
        </is>
      </c>
      <c r="R33" s="215" t="inlineStr">
        <is>
          <t>P CEBALLOS 8134</t>
        </is>
      </c>
      <c r="S33" s="216" t="n">
        <v>102000</v>
      </c>
      <c r="T33" s="236" t="n">
        <v>4500</v>
      </c>
      <c r="U33" s="218" t="n">
        <v>2</v>
      </c>
      <c r="V33" s="219" t="inlineStr">
        <is>
          <t>17/03/2026</t>
        </is>
      </c>
    </row>
    <row r="34" ht="15.75" customHeight="1" s="153">
      <c r="A34" s="237" t="n"/>
      <c r="B34" s="238" t="inlineStr">
        <is>
          <t>CHICLANA 72325</t>
        </is>
      </c>
      <c r="C34" s="239" t="n">
        <v>2</v>
      </c>
      <c r="D34" s="239" t="n"/>
      <c r="E34" s="239" t="n"/>
      <c r="F34" s="240" t="n"/>
      <c r="G34" s="240" t="n"/>
      <c r="H34" s="241" t="n">
        <v>29000</v>
      </c>
      <c r="I34" s="242" t="n">
        <v>29000</v>
      </c>
      <c r="J34" s="242" t="n"/>
      <c r="K34" s="233" t="n"/>
      <c r="L34" s="233">
        <f>IF(K34&lt;&gt;"",2000+K34,2000)</f>
        <v/>
      </c>
      <c r="M34" s="156" t="n"/>
      <c r="N34" s="156" t="n"/>
      <c r="O34" s="156" t="n"/>
      <c r="Q34" s="221" t="inlineStr">
        <is>
          <t>32</t>
        </is>
      </c>
      <c r="R34" s="222" t="inlineStr">
        <is>
          <t>ROTI SAN LORENZO</t>
        </is>
      </c>
      <c r="S34" s="223" t="n">
        <v>98000</v>
      </c>
      <c r="T34" s="224" t="n">
        <v>23000</v>
      </c>
      <c r="U34" s="225" t="n">
        <v>1</v>
      </c>
      <c r="V34" s="226" t="inlineStr">
        <is>
          <t>15/04/2026</t>
        </is>
      </c>
    </row>
    <row r="35" ht="15.75" customHeight="1" s="153">
      <c r="A35" s="227" t="n"/>
      <c r="B35" s="228" t="inlineStr">
        <is>
          <t>ALMONACID 3637</t>
        </is>
      </c>
      <c r="C35" s="229" t="n">
        <v>1</v>
      </c>
      <c r="D35" s="229" t="n"/>
      <c r="E35" s="229" t="n"/>
      <c r="F35" s="230" t="n"/>
      <c r="G35" s="230" t="n"/>
      <c r="H35" s="231" t="n">
        <v>21000</v>
      </c>
      <c r="I35" s="232" t="n">
        <v>21000</v>
      </c>
      <c r="J35" s="232" t="n"/>
      <c r="K35" s="233" t="n"/>
      <c r="L35" s="233">
        <f>IF(K35&lt;&gt;"",7500+K35,7500)</f>
        <v/>
      </c>
      <c r="M35" s="156" t="n"/>
      <c r="N35" s="156" t="n"/>
      <c r="O35" s="156" t="n"/>
      <c r="Q35" s="214" t="inlineStr">
        <is>
          <t>33</t>
        </is>
      </c>
      <c r="R35" s="215" t="inlineStr">
        <is>
          <t>FRENCH BIS 2000 GONZA TORRI</t>
        </is>
      </c>
      <c r="S35" s="216" t="n">
        <v>97000</v>
      </c>
      <c r="T35" s="236" t="n">
        <v>37000</v>
      </c>
      <c r="U35" s="218" t="n">
        <v>1</v>
      </c>
      <c r="V35" s="219" t="inlineStr">
        <is>
          <t>07/03/2026</t>
        </is>
      </c>
    </row>
    <row r="36" ht="15.75" customHeight="1" s="153">
      <c r="A36" s="237" t="n"/>
      <c r="B36" s="238" t="inlineStr">
        <is>
          <t>PANA ALBERTI</t>
        </is>
      </c>
      <c r="C36" s="239" t="n"/>
      <c r="D36" s="239" t="n"/>
      <c r="E36" s="239" t="n">
        <v>1</v>
      </c>
      <c r="F36" s="240" t="n"/>
      <c r="G36" s="240" t="n"/>
      <c r="H36" s="241" t="n">
        <v>72000</v>
      </c>
      <c r="I36" s="242" t="n">
        <v>72000</v>
      </c>
      <c r="J36" s="242" t="n"/>
      <c r="K36" s="233" t="n"/>
      <c r="L36" s="233">
        <f>IF(K36&lt;&gt;"",23000+K36,23000)</f>
        <v/>
      </c>
      <c r="M36" s="156" t="n"/>
      <c r="N36" s="156" t="n"/>
      <c r="O36" s="156" t="n"/>
      <c r="Q36" s="221" t="inlineStr">
        <is>
          <t>34</t>
        </is>
      </c>
      <c r="R36" s="222" t="inlineStr">
        <is>
          <t>ROTI VIEYTES</t>
        </is>
      </c>
      <c r="S36" s="223" t="n">
        <v>95000</v>
      </c>
      <c r="T36" s="224" t="n">
        <v>5000</v>
      </c>
      <c r="U36" s="225" t="n">
        <v>2</v>
      </c>
      <c r="V36" s="226" t="inlineStr">
        <is>
          <t>17/04/2026</t>
        </is>
      </c>
    </row>
    <row r="37" ht="15.75" customHeight="1" s="153">
      <c r="A37" s="227" t="n"/>
      <c r="B37" s="228" t="inlineStr">
        <is>
          <t>ALBERTI 5200</t>
        </is>
      </c>
      <c r="C37" s="229" t="n">
        <v>1</v>
      </c>
      <c r="D37" s="229" t="n"/>
      <c r="E37" s="229" t="n"/>
      <c r="F37" s="230" t="n"/>
      <c r="G37" s="230" t="n"/>
      <c r="H37" s="231" t="n">
        <v>20000</v>
      </c>
      <c r="I37" s="232" t="n"/>
      <c r="J37" s="232" t="n">
        <v>20000</v>
      </c>
      <c r="K37" s="233" t="n"/>
      <c r="L37" s="233">
        <f>IF(K37&lt;&gt;"",6500+K37,6500)</f>
        <v/>
      </c>
      <c r="M37" s="156" t="n"/>
      <c r="N37" s="156" t="n"/>
      <c r="O37" s="156" t="n"/>
      <c r="Q37" s="214" t="inlineStr">
        <is>
          <t>35</t>
        </is>
      </c>
      <c r="R37" s="215" t="inlineStr">
        <is>
          <t>BERUTI 3850</t>
        </is>
      </c>
      <c r="S37" s="216" t="n">
        <v>91500</v>
      </c>
      <c r="T37" s="236" t="n">
        <v>16500</v>
      </c>
      <c r="U37" s="218" t="n">
        <v>1</v>
      </c>
      <c r="V37" s="219" t="inlineStr">
        <is>
          <t>26/03/2026</t>
        </is>
      </c>
    </row>
    <row r="38" ht="15.75" customHeight="1" s="153">
      <c r="A38" s="237" t="n">
        <v>46085</v>
      </c>
      <c r="B38" s="238" t="inlineStr">
        <is>
          <t>PANA GORRITI 4600</t>
        </is>
      </c>
      <c r="C38" s="239" t="n"/>
      <c r="D38" s="239" t="n"/>
      <c r="E38" s="239" t="n">
        <v>1</v>
      </c>
      <c r="F38" s="240" t="n"/>
      <c r="G38" s="240" t="n"/>
      <c r="H38" s="241" t="n">
        <v>74000</v>
      </c>
      <c r="I38" s="242" t="n">
        <v>74000</v>
      </c>
      <c r="J38" s="242" t="n"/>
      <c r="K38" s="233" t="n"/>
      <c r="L38" s="233">
        <f>IF(K38&lt;&gt;"",25000+K38,25000)</f>
        <v/>
      </c>
      <c r="M38" s="156" t="n"/>
      <c r="N38" s="156" t="n"/>
      <c r="O38" s="156" t="n"/>
      <c r="Q38" s="221" t="inlineStr">
        <is>
          <t>36</t>
        </is>
      </c>
      <c r="R38" s="222" t="inlineStr">
        <is>
          <t>ALBERTI 4930</t>
        </is>
      </c>
      <c r="S38" s="223" t="n">
        <v>91000</v>
      </c>
      <c r="T38" s="224" t="n">
        <v>29300</v>
      </c>
      <c r="U38" s="225" t="n">
        <v>2</v>
      </c>
      <c r="V38" s="226" t="inlineStr">
        <is>
          <t>24/03/2026</t>
        </is>
      </c>
    </row>
    <row r="39" ht="15.75" customHeight="1" s="153">
      <c r="A39" s="227" t="n"/>
      <c r="B39" s="228" t="inlineStr">
        <is>
          <t>SAVEDRA 10125</t>
        </is>
      </c>
      <c r="C39" s="229" t="n"/>
      <c r="D39" s="229" t="n"/>
      <c r="E39" s="229" t="n">
        <v>1</v>
      </c>
      <c r="F39" s="230" t="n"/>
      <c r="G39" s="230" t="n"/>
      <c r="H39" s="231" t="n">
        <v>79000</v>
      </c>
      <c r="I39" s="232" t="n"/>
      <c r="J39" s="232" t="n">
        <v>79000</v>
      </c>
      <c r="K39" s="233" t="n"/>
      <c r="L39" s="233">
        <f>IF(K39&lt;&gt;"",30000+K39,30000)</f>
        <v/>
      </c>
      <c r="M39" s="156" t="n"/>
      <c r="N39" s="156" t="n"/>
      <c r="O39" s="156" t="n"/>
      <c r="Q39" s="214" t="inlineStr">
        <is>
          <t>37</t>
        </is>
      </c>
      <c r="R39" s="215" t="inlineStr">
        <is>
          <t>NOGALES 2412</t>
        </is>
      </c>
      <c r="S39" s="216" t="n">
        <v>83000</v>
      </c>
      <c r="T39" s="236" t="n">
        <v>23000</v>
      </c>
      <c r="U39" s="218" t="n">
        <v>1</v>
      </c>
      <c r="V39" s="219" t="inlineStr">
        <is>
          <t>23/03/2026</t>
        </is>
      </c>
    </row>
    <row r="40" ht="15.75" customHeight="1" s="153">
      <c r="A40" s="237" t="n"/>
      <c r="B40" s="238" t="inlineStr">
        <is>
          <t xml:space="preserve">ROTI ZEBALLOS </t>
        </is>
      </c>
      <c r="C40" s="239" t="n">
        <v>2</v>
      </c>
      <c r="D40" s="239" t="n"/>
      <c r="E40" s="239" t="n"/>
      <c r="F40" s="240" t="n"/>
      <c r="G40" s="240" t="n"/>
      <c r="H40" s="241" t="n">
        <v>38000</v>
      </c>
      <c r="I40" s="242" t="n">
        <v>38000</v>
      </c>
      <c r="J40" s="242" t="n"/>
      <c r="K40" s="233" t="n"/>
      <c r="L40" s="233">
        <f>IF(K40&lt;&gt;"",11000+K40,11000)</f>
        <v/>
      </c>
      <c r="M40" s="156" t="n"/>
      <c r="N40" s="156" t="n"/>
      <c r="O40" s="156" t="n"/>
      <c r="Q40" s="221" t="inlineStr">
        <is>
          <t>38</t>
        </is>
      </c>
      <c r="R40" s="222" t="inlineStr">
        <is>
          <t>JOSE MONTEVERA</t>
        </is>
      </c>
      <c r="S40" s="223" t="n">
        <v>83000</v>
      </c>
      <c r="T40" s="224" t="n">
        <v>23000</v>
      </c>
      <c r="U40" s="225" t="n">
        <v>1</v>
      </c>
      <c r="V40" s="226" t="inlineStr">
        <is>
          <t>18/03/2026</t>
        </is>
      </c>
    </row>
    <row r="41" ht="15.75" customHeight="1" s="153">
      <c r="A41" s="227" t="n"/>
      <c r="B41" s="228" t="inlineStr">
        <is>
          <t>ESPORA 4874</t>
        </is>
      </c>
      <c r="C41" s="229" t="n"/>
      <c r="D41" s="229" t="n">
        <v>1</v>
      </c>
      <c r="E41" s="229" t="n"/>
      <c r="F41" s="230" t="n"/>
      <c r="G41" s="230" t="n"/>
      <c r="H41" s="231" t="n">
        <v>32000</v>
      </c>
      <c r="I41" s="232" t="n"/>
      <c r="J41" s="232" t="n">
        <v>32000</v>
      </c>
      <c r="K41" s="233" t="n"/>
      <c r="L41" s="233">
        <f>IF(K41&lt;&gt;"",11750+K41,11750)</f>
        <v/>
      </c>
      <c r="M41" s="156" t="n"/>
      <c r="N41" s="156" t="n"/>
      <c r="O41" s="156" t="n"/>
      <c r="Q41" s="214" t="inlineStr">
        <is>
          <t>39</t>
        </is>
      </c>
      <c r="R41" s="215" t="inlineStr">
        <is>
          <t>LA SALLE 4625</t>
        </is>
      </c>
      <c r="S41" s="216" t="n">
        <v>83000</v>
      </c>
      <c r="T41" s="236" t="n">
        <v>23000</v>
      </c>
      <c r="U41" s="218" t="n">
        <v>1</v>
      </c>
      <c r="V41" s="219" t="inlineStr">
        <is>
          <t>16/03/2026</t>
        </is>
      </c>
    </row>
    <row r="42" ht="15.75" customHeight="1" s="153">
      <c r="A42" s="237" t="n"/>
      <c r="B42" s="238" t="inlineStr">
        <is>
          <t>D SILVA 4217</t>
        </is>
      </c>
      <c r="C42" s="239" t="n">
        <v>3</v>
      </c>
      <c r="D42" s="239" t="n"/>
      <c r="E42" s="239" t="n"/>
      <c r="F42" s="240" t="n"/>
      <c r="G42" s="240" t="n"/>
      <c r="H42" s="241" t="n">
        <v>43500</v>
      </c>
      <c r="I42" s="242" t="n"/>
      <c r="J42" s="242" t="n">
        <v>43500</v>
      </c>
      <c r="K42" s="233" t="n"/>
      <c r="L42" s="233">
        <f>IF(K42&lt;&gt;"",3000+K42,3000)</f>
        <v/>
      </c>
      <c r="M42" s="156" t="n"/>
      <c r="N42" s="156" t="n"/>
      <c r="O42" s="156" t="n"/>
      <c r="Q42" s="221" t="inlineStr">
        <is>
          <t>40</t>
        </is>
      </c>
      <c r="R42" s="222" t="inlineStr">
        <is>
          <t>INGENIERO 8364</t>
        </is>
      </c>
      <c r="S42" s="223" t="n">
        <v>83000</v>
      </c>
      <c r="T42" s="224" t="n">
        <v>23000</v>
      </c>
      <c r="U42" s="225" t="n">
        <v>1</v>
      </c>
      <c r="V42" s="226" t="inlineStr">
        <is>
          <t>17/03/2026</t>
        </is>
      </c>
    </row>
    <row r="43" ht="15.75" customHeight="1" s="153">
      <c r="A43" s="227" t="n"/>
      <c r="B43" s="228" t="inlineStr">
        <is>
          <t>P CEBALLOS 8134</t>
        </is>
      </c>
      <c r="C43" s="229" t="n">
        <v>3</v>
      </c>
      <c r="D43" s="229" t="n">
        <v>1</v>
      </c>
      <c r="E43" s="229" t="n"/>
      <c r="F43" s="230" t="n"/>
      <c r="G43" s="230" t="n"/>
      <c r="H43" s="231" t="n">
        <v>68000</v>
      </c>
      <c r="I43" s="232" t="n"/>
      <c r="J43" s="232" t="n">
        <v>68000</v>
      </c>
      <c r="K43" s="233" t="n"/>
      <c r="L43" s="233">
        <f>IF(K43&lt;&gt;"",7250+K43,7250)</f>
        <v/>
      </c>
      <c r="M43" s="156" t="n"/>
      <c r="N43" s="156" t="n"/>
      <c r="O43" s="156" t="n"/>
      <c r="Q43" s="214" t="inlineStr">
        <is>
          <t>41</t>
        </is>
      </c>
      <c r="R43" s="215" t="inlineStr">
        <is>
          <t>TATU</t>
        </is>
      </c>
      <c r="S43" s="216" t="n">
        <v>83000</v>
      </c>
      <c r="T43" s="236" t="n">
        <v>23000</v>
      </c>
      <c r="U43" s="218" t="n">
        <v>1</v>
      </c>
      <c r="V43" s="219" t="inlineStr">
        <is>
          <t>21/03/2026</t>
        </is>
      </c>
    </row>
    <row r="44" ht="15.75" customHeight="1" s="153">
      <c r="A44" s="237" t="n"/>
      <c r="B44" s="238" t="inlineStr">
        <is>
          <t>GENEIRO 8200 CASA 2</t>
        </is>
      </c>
      <c r="C44" s="239" t="n">
        <v>1</v>
      </c>
      <c r="D44" s="239" t="n"/>
      <c r="E44" s="239" t="n"/>
      <c r="F44" s="240" t="n"/>
      <c r="G44" s="240" t="n"/>
      <c r="H44" s="241" t="n">
        <v>21000</v>
      </c>
      <c r="I44" s="242" t="n">
        <v>21000</v>
      </c>
      <c r="J44" s="242" t="n"/>
      <c r="K44" s="233" t="n"/>
      <c r="L44" s="233">
        <f>IF(K44&lt;&gt;"",7500+K44,7500)</f>
        <v/>
      </c>
      <c r="M44" s="156" t="n"/>
      <c r="N44" s="156" t="n"/>
      <c r="O44" s="156" t="n"/>
      <c r="Q44" s="221" t="inlineStr">
        <is>
          <t>42</t>
        </is>
      </c>
      <c r="R44" s="222" t="inlineStr">
        <is>
          <t>ALVEAR 5135</t>
        </is>
      </c>
      <c r="S44" s="223" t="n">
        <v>83000</v>
      </c>
      <c r="T44" s="224" t="n">
        <v>23000</v>
      </c>
      <c r="U44" s="225" t="n">
        <v>1</v>
      </c>
      <c r="V44" s="226" t="inlineStr">
        <is>
          <t>23/03/2026</t>
        </is>
      </c>
    </row>
    <row r="45" ht="15.75" customHeight="1" s="153">
      <c r="A45" s="227" t="n"/>
      <c r="B45" s="228" t="inlineStr">
        <is>
          <t>LUCHO</t>
        </is>
      </c>
      <c r="C45" s="229" t="n">
        <v>3</v>
      </c>
      <c r="D45" s="229" t="n"/>
      <c r="E45" s="229" t="n"/>
      <c r="F45" s="230" t="n"/>
      <c r="G45" s="230" t="n"/>
      <c r="H45" s="231" t="n">
        <v>45000</v>
      </c>
      <c r="I45" s="232" t="n">
        <v>45000</v>
      </c>
      <c r="J45" s="232" t="n"/>
      <c r="K45" s="233" t="n"/>
      <c r="L45" s="233">
        <f>IF(K45&lt;&gt;"",4500+K45,4500)</f>
        <v/>
      </c>
      <c r="M45" s="156" t="n"/>
      <c r="N45" s="156" t="n"/>
      <c r="O45" s="156" t="n"/>
      <c r="Q45" s="214" t="inlineStr">
        <is>
          <t>43</t>
        </is>
      </c>
      <c r="R45" s="215" t="inlineStr">
        <is>
          <t>RICARDO ALDAO 369</t>
        </is>
      </c>
      <c r="S45" s="216" t="n">
        <v>83000</v>
      </c>
      <c r="T45" s="236" t="n">
        <v>23000</v>
      </c>
      <c r="U45" s="218" t="n">
        <v>1</v>
      </c>
      <c r="V45" s="219" t="inlineStr">
        <is>
          <t>24/03/2026</t>
        </is>
      </c>
    </row>
    <row r="46" ht="15.75" customHeight="1" s="153">
      <c r="A46" s="237" t="n"/>
      <c r="B46" s="238" t="inlineStr">
        <is>
          <t>LEMAN 7856</t>
        </is>
      </c>
      <c r="C46" s="239" t="n">
        <v>1</v>
      </c>
      <c r="D46" s="239" t="n"/>
      <c r="E46" s="239" t="n"/>
      <c r="F46" s="240" t="n"/>
      <c r="G46" s="240" t="n"/>
      <c r="H46" s="241" t="n">
        <v>20000</v>
      </c>
      <c r="I46" s="242" t="n">
        <v>20000</v>
      </c>
      <c r="J46" s="242" t="n"/>
      <c r="K46" s="233" t="n"/>
      <c r="L46" s="233">
        <f>IF(K46&lt;&gt;"",6500+K46,6500)</f>
        <v/>
      </c>
      <c r="M46" s="156" t="n"/>
      <c r="N46" s="156" t="n"/>
      <c r="O46" s="156" t="n"/>
      <c r="Q46" s="221" t="inlineStr">
        <is>
          <t>44</t>
        </is>
      </c>
      <c r="R46" s="222" t="inlineStr">
        <is>
          <t>P GENESIO 2128</t>
        </is>
      </c>
      <c r="S46" s="223" t="n">
        <v>82000</v>
      </c>
      <c r="T46" s="224" t="n">
        <v>22000</v>
      </c>
      <c r="U46" s="225" t="n">
        <v>1</v>
      </c>
      <c r="V46" s="226" t="inlineStr">
        <is>
          <t>15/03/2026</t>
        </is>
      </c>
    </row>
    <row r="47" ht="15.75" customHeight="1" s="153">
      <c r="A47" s="227" t="n"/>
      <c r="B47" s="228" t="inlineStr">
        <is>
          <t>CARRI FILOMENA</t>
        </is>
      </c>
      <c r="C47" s="229" t="n">
        <v>1</v>
      </c>
      <c r="D47" s="229" t="n"/>
      <c r="E47" s="229" t="n"/>
      <c r="F47" s="230" t="n"/>
      <c r="G47" s="230" t="n"/>
      <c r="H47" s="231" t="n">
        <v>19000</v>
      </c>
      <c r="I47" s="232" t="n"/>
      <c r="J47" s="232" t="n">
        <v>19000</v>
      </c>
      <c r="K47" s="233" t="n"/>
      <c r="L47" s="233">
        <f>IF(K47&lt;&gt;"",5500+K47,5500)</f>
        <v/>
      </c>
      <c r="M47" s="156" t="n"/>
      <c r="N47" s="156" t="n"/>
      <c r="O47" s="156" t="n"/>
      <c r="Q47" s="214" t="inlineStr">
        <is>
          <t>45</t>
        </is>
      </c>
      <c r="R47" s="215" t="inlineStr">
        <is>
          <t>PAULO</t>
        </is>
      </c>
      <c r="S47" s="216" t="n">
        <v>80500</v>
      </c>
      <c r="T47" s="236" t="n">
        <v>5500</v>
      </c>
      <c r="U47" s="218" t="n">
        <v>2</v>
      </c>
      <c r="V47" s="219" t="inlineStr">
        <is>
          <t>13/04/2026</t>
        </is>
      </c>
    </row>
    <row r="48" ht="15.75" customHeight="1" s="153">
      <c r="A48" s="237" t="n"/>
      <c r="B48" s="238" t="inlineStr">
        <is>
          <t>PANA GENESIO</t>
        </is>
      </c>
      <c r="C48" s="239" t="n">
        <v>1</v>
      </c>
      <c r="D48" s="239" t="n"/>
      <c r="E48" s="239" t="n"/>
      <c r="F48" s="240" t="n"/>
      <c r="G48" s="240" t="n"/>
      <c r="H48" s="241" t="n">
        <v>19000</v>
      </c>
      <c r="I48" s="242" t="n"/>
      <c r="J48" s="242" t="n">
        <v>19000</v>
      </c>
      <c r="K48" s="233" t="n"/>
      <c r="L48" s="233">
        <f>IF(K48&lt;&gt;"",5500+K48,5500)</f>
        <v/>
      </c>
      <c r="M48" s="156" t="n"/>
      <c r="N48" s="156" t="n"/>
      <c r="O48" s="156" t="n"/>
      <c r="Q48" s="221" t="inlineStr">
        <is>
          <t>46</t>
        </is>
      </c>
      <c r="R48" s="222" t="inlineStr">
        <is>
          <t>MOLINA FLORES 1</t>
        </is>
      </c>
      <c r="S48" s="223" t="n">
        <v>80000</v>
      </c>
      <c r="T48" s="224" t="n">
        <v>20000</v>
      </c>
      <c r="U48" s="225" t="n">
        <v>1</v>
      </c>
      <c r="V48" s="226" t="inlineStr">
        <is>
          <t>22/03/2026</t>
        </is>
      </c>
    </row>
    <row r="49" ht="15.75" customHeight="1" s="153">
      <c r="A49" s="227" t="n"/>
      <c r="B49" s="228" t="inlineStr">
        <is>
          <t>J CAMPILLO 1637</t>
        </is>
      </c>
      <c r="C49" s="229" t="n"/>
      <c r="D49" s="229" t="n">
        <v>1</v>
      </c>
      <c r="E49" s="229" t="n"/>
      <c r="F49" s="230" t="n"/>
      <c r="G49" s="230" t="n"/>
      <c r="H49" s="231" t="n">
        <v>33000</v>
      </c>
      <c r="I49" s="232" t="n">
        <v>33000</v>
      </c>
      <c r="J49" s="232" t="n"/>
      <c r="K49" s="233" t="n"/>
      <c r="L49" s="233">
        <f>IF(K49&lt;&gt;"",12750+K49,12750)</f>
        <v/>
      </c>
      <c r="M49" s="156" t="n"/>
      <c r="N49" s="156" t="n"/>
      <c r="O49" s="156" t="n"/>
      <c r="Q49" s="214" t="inlineStr">
        <is>
          <t>47</t>
        </is>
      </c>
      <c r="R49" s="215" t="inlineStr">
        <is>
          <t>BLAS PARERA 9777</t>
        </is>
      </c>
      <c r="S49" s="216" t="n">
        <v>80000</v>
      </c>
      <c r="T49" s="236" t="n">
        <v>20000</v>
      </c>
      <c r="U49" s="218" t="n">
        <v>1</v>
      </c>
      <c r="V49" s="219" t="inlineStr">
        <is>
          <t>14/03/2026</t>
        </is>
      </c>
    </row>
    <row r="50" ht="15.75" customHeight="1" s="153">
      <c r="A50" s="237" t="n"/>
      <c r="B50" s="238" t="inlineStr">
        <is>
          <t>EMIR</t>
        </is>
      </c>
      <c r="C50" s="239" t="n">
        <v>1</v>
      </c>
      <c r="D50" s="239" t="n"/>
      <c r="E50" s="239" t="n"/>
      <c r="F50" s="240" t="n"/>
      <c r="G50" s="240" t="n"/>
      <c r="H50" s="241" t="n">
        <v>22000</v>
      </c>
      <c r="I50" s="242" t="n"/>
      <c r="J50" s="242" t="n">
        <v>22000</v>
      </c>
      <c r="K50" s="233" t="n"/>
      <c r="L50" s="233">
        <f>IF(K50&lt;&gt;"",8500+K50,8500)</f>
        <v/>
      </c>
      <c r="M50" s="156" t="n"/>
      <c r="N50" s="156" t="n"/>
      <c r="O50" s="156" t="n"/>
      <c r="Q50" s="221" t="inlineStr">
        <is>
          <t>48</t>
        </is>
      </c>
      <c r="R50" s="222" t="inlineStr">
        <is>
          <t>FRANCIA 1872</t>
        </is>
      </c>
      <c r="S50" s="223" t="n">
        <v>80000</v>
      </c>
      <c r="T50" s="224" t="n">
        <v>20000</v>
      </c>
      <c r="U50" s="225" t="n">
        <v>1</v>
      </c>
      <c r="V50" s="226" t="inlineStr">
        <is>
          <t>15/03/2026</t>
        </is>
      </c>
    </row>
    <row r="51" ht="15.75" customHeight="1" s="153">
      <c r="A51" s="227" t="n"/>
      <c r="B51" s="228" t="inlineStr">
        <is>
          <t>AZCUENAGA 5023</t>
        </is>
      </c>
      <c r="C51" s="229" t="n">
        <v>7</v>
      </c>
      <c r="D51" s="229" t="n">
        <v>2</v>
      </c>
      <c r="E51" s="229" t="n"/>
      <c r="F51" s="230" t="n"/>
      <c r="G51" s="230" t="n"/>
      <c r="H51" s="231" t="n">
        <v>150000</v>
      </c>
      <c r="I51" s="232" t="n">
        <v>150000</v>
      </c>
      <c r="J51" s="232" t="n"/>
      <c r="K51" s="233" t="n"/>
      <c r="L51" s="233">
        <f>IF(K51&lt;&gt;"",15000+K51,15000)</f>
        <v/>
      </c>
      <c r="M51" s="156" t="n"/>
      <c r="N51" s="156" t="n"/>
      <c r="O51" s="156" t="n"/>
      <c r="Q51" s="214" t="inlineStr">
        <is>
          <t>49</t>
        </is>
      </c>
      <c r="R51" s="215" t="inlineStr">
        <is>
          <t>BONEO 2625</t>
        </is>
      </c>
      <c r="S51" s="216" t="n">
        <v>80000</v>
      </c>
      <c r="T51" s="236" t="n">
        <v>20000</v>
      </c>
      <c r="U51" s="218" t="n">
        <v>1</v>
      </c>
      <c r="V51" s="219" t="inlineStr">
        <is>
          <t>16/03/2026</t>
        </is>
      </c>
    </row>
    <row r="52" ht="15.75" customHeight="1" s="153">
      <c r="A52" s="237" t="n"/>
      <c r="B52" s="238" t="inlineStr">
        <is>
          <t>PIRU</t>
        </is>
      </c>
      <c r="C52" s="239" t="n"/>
      <c r="D52" s="239" t="n">
        <v>1</v>
      </c>
      <c r="E52" s="239" t="n"/>
      <c r="F52" s="240" t="n"/>
      <c r="G52" s="240" t="n"/>
      <c r="H52" s="241" t="n">
        <v>31500</v>
      </c>
      <c r="I52" s="242" t="n">
        <v>31500</v>
      </c>
      <c r="J52" s="242" t="n"/>
      <c r="K52" s="233" t="n"/>
      <c r="L52" s="233">
        <f>IF(K52&lt;&gt;"",11250+K52,11250)</f>
        <v/>
      </c>
      <c r="M52" s="156" t="n"/>
      <c r="N52" s="156" t="n"/>
      <c r="O52" s="156" t="n"/>
      <c r="Q52" s="221" t="inlineStr">
        <is>
          <t>50</t>
        </is>
      </c>
      <c r="R52" s="222" t="inlineStr">
        <is>
          <t>BERUTI 5199</t>
        </is>
      </c>
      <c r="S52" s="223" t="n">
        <v>80000</v>
      </c>
      <c r="T52" s="224" t="n">
        <v>20000</v>
      </c>
      <c r="U52" s="225" t="n">
        <v>1</v>
      </c>
      <c r="V52" s="226" t="inlineStr">
        <is>
          <t>18/03/2026</t>
        </is>
      </c>
    </row>
    <row r="53" ht="15.75" customHeight="1" s="153">
      <c r="A53" s="227" t="n">
        <v>46086</v>
      </c>
      <c r="B53" s="228" t="inlineStr">
        <is>
          <t>FABIAN LUBRICENTRO</t>
        </is>
      </c>
      <c r="C53" s="229" t="n">
        <v>1</v>
      </c>
      <c r="D53" s="229" t="n"/>
      <c r="E53" s="229" t="n"/>
      <c r="F53" s="230" t="n"/>
      <c r="G53" s="230" t="n"/>
      <c r="H53" s="231" t="n">
        <v>21000</v>
      </c>
      <c r="I53" s="232" t="n">
        <v>21000</v>
      </c>
      <c r="J53" s="232" t="n"/>
      <c r="K53" s="233" t="n"/>
      <c r="L53" s="233">
        <f>IF(K53&lt;&gt;"",7500+K53,7500)</f>
        <v/>
      </c>
      <c r="M53" s="156" t="n"/>
      <c r="N53" s="156" t="n"/>
      <c r="O53" s="156" t="n"/>
      <c r="Q53" s="214" t="inlineStr">
        <is>
          <t>51</t>
        </is>
      </c>
      <c r="R53" s="215" t="inlineStr">
        <is>
          <t>LOPEZ Y PLANES 4630</t>
        </is>
      </c>
      <c r="S53" s="216" t="n">
        <v>80000</v>
      </c>
      <c r="T53" s="236" t="n">
        <v>20000</v>
      </c>
      <c r="U53" s="218" t="n">
        <v>1</v>
      </c>
      <c r="V53" s="219" t="inlineStr">
        <is>
          <t>19/03/2026</t>
        </is>
      </c>
    </row>
    <row r="54" ht="15.75" customHeight="1" s="153">
      <c r="A54" s="237" t="n"/>
      <c r="B54" s="238" t="inlineStr">
        <is>
          <t>CHICLANA 7325</t>
        </is>
      </c>
      <c r="C54" s="239" t="n">
        <v>1</v>
      </c>
      <c r="D54" s="239" t="n"/>
      <c r="E54" s="239" t="n"/>
      <c r="F54" s="240" t="n"/>
      <c r="G54" s="240" t="n"/>
      <c r="H54" s="241" t="n">
        <v>14500</v>
      </c>
      <c r="I54" s="242" t="n">
        <v>14500</v>
      </c>
      <c r="J54" s="242" t="n"/>
      <c r="K54" s="233" t="n"/>
      <c r="L54" s="233">
        <f>IF(K54&lt;&gt;"",1000+K54,1000)</f>
        <v/>
      </c>
      <c r="M54" s="156" t="n"/>
      <c r="N54" s="156" t="n"/>
      <c r="O54" s="156" t="n"/>
      <c r="Q54" s="221" t="inlineStr">
        <is>
          <t>52</t>
        </is>
      </c>
      <c r="R54" s="222" t="inlineStr">
        <is>
          <t>NOGALES 2651</t>
        </is>
      </c>
      <c r="S54" s="223" t="n">
        <v>80000</v>
      </c>
      <c r="T54" s="224" t="n">
        <v>20000</v>
      </c>
      <c r="U54" s="225" t="n">
        <v>1</v>
      </c>
      <c r="V54" s="226" t="inlineStr">
        <is>
          <t>20/03/2026</t>
        </is>
      </c>
    </row>
    <row r="55" ht="15.75" customHeight="1" s="153">
      <c r="A55" s="227" t="n"/>
      <c r="B55" s="228" t="inlineStr">
        <is>
          <t>PARAGUAY 10333</t>
        </is>
      </c>
      <c r="C55" s="229" t="n"/>
      <c r="D55" s="229" t="n"/>
      <c r="E55" s="229" t="n">
        <v>1</v>
      </c>
      <c r="F55" s="230" t="n"/>
      <c r="G55" s="230" t="n"/>
      <c r="H55" s="231" t="n">
        <v>75000</v>
      </c>
      <c r="I55" s="232" t="n">
        <v>75000</v>
      </c>
      <c r="J55" s="232" t="n"/>
      <c r="K55" s="233" t="n"/>
      <c r="L55" s="233">
        <f>IF(K55&lt;&gt;"",26000+K55,26000)</f>
        <v/>
      </c>
      <c r="M55" s="156" t="n"/>
      <c r="N55" s="156" t="n"/>
      <c r="O55" s="156" t="n"/>
      <c r="Q55" s="214" t="inlineStr">
        <is>
          <t>53</t>
        </is>
      </c>
      <c r="R55" s="215" t="inlineStr">
        <is>
          <t>LARGUIA 7824</t>
        </is>
      </c>
      <c r="S55" s="216" t="n">
        <v>80000</v>
      </c>
      <c r="T55" s="236" t="n">
        <v>20000</v>
      </c>
      <c r="U55" s="218" t="n">
        <v>1</v>
      </c>
      <c r="V55" s="219" t="inlineStr">
        <is>
          <t>23/03/2026</t>
        </is>
      </c>
    </row>
    <row r="56" ht="15.75" customHeight="1" s="153">
      <c r="A56" s="237" t="n"/>
      <c r="B56" s="238" t="inlineStr">
        <is>
          <t>GOROSTIAGA 4659</t>
        </is>
      </c>
      <c r="C56" s="239" t="n"/>
      <c r="D56" s="239" t="n"/>
      <c r="E56" s="239" t="n">
        <v>1</v>
      </c>
      <c r="F56" s="240" t="n"/>
      <c r="G56" s="240" t="n"/>
      <c r="H56" s="241" t="n">
        <v>76000</v>
      </c>
      <c r="I56" s="242" t="n"/>
      <c r="J56" s="242" t="n">
        <v>76000</v>
      </c>
      <c r="K56" s="233" t="n"/>
      <c r="L56" s="233">
        <f>IF(K56&lt;&gt;"",27000+K56,27000)</f>
        <v/>
      </c>
      <c r="M56" s="156" t="n"/>
      <c r="N56" s="156" t="n"/>
      <c r="O56" s="156" t="n"/>
      <c r="Q56" s="221" t="inlineStr">
        <is>
          <t>54</t>
        </is>
      </c>
      <c r="R56" s="222" t="inlineStr">
        <is>
          <t>ECUADOR 4117</t>
        </is>
      </c>
      <c r="S56" s="223" t="n">
        <v>80000</v>
      </c>
      <c r="T56" s="224" t="n">
        <v>20000</v>
      </c>
      <c r="U56" s="225" t="n">
        <v>1</v>
      </c>
      <c r="V56" s="226" t="inlineStr">
        <is>
          <t>23/03/2026</t>
        </is>
      </c>
    </row>
    <row r="57" ht="15.75" customHeight="1" s="153">
      <c r="A57" s="227" t="n"/>
      <c r="B57" s="228" t="inlineStr">
        <is>
          <t>GUEMES 4421</t>
        </is>
      </c>
      <c r="C57" s="229" t="n">
        <v>1</v>
      </c>
      <c r="D57" s="229" t="n"/>
      <c r="E57" s="229" t="n"/>
      <c r="F57" s="230" t="n"/>
      <c r="G57" s="230" t="n"/>
      <c r="H57" s="231" t="n">
        <v>21000</v>
      </c>
      <c r="I57" s="232" t="n"/>
      <c r="J57" s="232" t="n">
        <v>21000</v>
      </c>
      <c r="K57" s="233" t="n"/>
      <c r="L57" s="233">
        <f>IF(K57&lt;&gt;"",7500+K57,7500)</f>
        <v/>
      </c>
      <c r="M57" s="156" t="n"/>
      <c r="N57" s="156" t="n"/>
      <c r="O57" s="156" t="n"/>
      <c r="Q57" s="214" t="inlineStr">
        <is>
          <t>55</t>
        </is>
      </c>
      <c r="R57" s="215" t="inlineStr">
        <is>
          <t>PJE PUBLICO 2035</t>
        </is>
      </c>
      <c r="S57" s="216" t="n">
        <v>80000</v>
      </c>
      <c r="T57" s="236" t="n">
        <v>20000</v>
      </c>
      <c r="U57" s="218" t="n">
        <v>1</v>
      </c>
      <c r="V57" s="219" t="inlineStr">
        <is>
          <t>24/03/2026</t>
        </is>
      </c>
    </row>
    <row r="58" ht="15.75" customHeight="1" s="153">
      <c r="A58" s="237" t="n"/>
      <c r="B58" s="238" t="inlineStr">
        <is>
          <t>RIOJA 2934</t>
        </is>
      </c>
      <c r="C58" s="239" t="n">
        <v>1</v>
      </c>
      <c r="D58" s="239" t="n"/>
      <c r="E58" s="239" t="n"/>
      <c r="F58" s="240" t="n"/>
      <c r="G58" s="240" t="n"/>
      <c r="H58" s="241" t="n">
        <v>23000</v>
      </c>
      <c r="I58" s="242" t="n"/>
      <c r="J58" s="242" t="n">
        <v>23000</v>
      </c>
      <c r="K58" s="233" t="n"/>
      <c r="L58" s="233">
        <f>IF(K58&lt;&gt;"",9500+K58,9500)</f>
        <v/>
      </c>
      <c r="M58" s="156" t="n"/>
      <c r="N58" s="156" t="n"/>
      <c r="O58" s="156" t="n"/>
      <c r="Q58" s="221" t="inlineStr">
        <is>
          <t>56</t>
        </is>
      </c>
      <c r="R58" s="222" t="inlineStr">
        <is>
          <t>ULRICO SCHMIT</t>
        </is>
      </c>
      <c r="S58" s="223" t="n">
        <v>80000</v>
      </c>
      <c r="T58" s="224" t="n">
        <v>20000</v>
      </c>
      <c r="U58" s="225" t="n">
        <v>1</v>
      </c>
      <c r="V58" s="226" t="inlineStr">
        <is>
          <t>24/03/2026</t>
        </is>
      </c>
    </row>
    <row r="59" ht="15.75" customHeight="1" s="153">
      <c r="A59" s="227" t="n"/>
      <c r="B59" s="228" t="inlineStr">
        <is>
          <t>LARGUIA 6924</t>
        </is>
      </c>
      <c r="C59" s="229" t="n">
        <v>1</v>
      </c>
      <c r="D59" s="229" t="n"/>
      <c r="E59" s="229" t="n"/>
      <c r="F59" s="230" t="n"/>
      <c r="G59" s="230" t="n"/>
      <c r="H59" s="231" t="n">
        <v>22500</v>
      </c>
      <c r="I59" s="232" t="n"/>
      <c r="J59" s="232" t="n">
        <v>22500</v>
      </c>
      <c r="K59" s="233" t="n"/>
      <c r="L59" s="233">
        <f>IF(K59&lt;&gt;"",9000+K59,9000)</f>
        <v/>
      </c>
      <c r="M59" s="156" t="n"/>
      <c r="N59" s="156" t="n"/>
      <c r="O59" s="156" t="n"/>
      <c r="Q59" s="214" t="inlineStr">
        <is>
          <t>57</t>
        </is>
      </c>
      <c r="R59" s="215" t="inlineStr">
        <is>
          <t>VIEYTES 5168</t>
        </is>
      </c>
      <c r="S59" s="216" t="n">
        <v>80000</v>
      </c>
      <c r="T59" s="236" t="n">
        <v>20000</v>
      </c>
      <c r="U59" s="218" t="n">
        <v>1</v>
      </c>
      <c r="V59" s="219" t="inlineStr">
        <is>
          <t>25/03/2026</t>
        </is>
      </c>
    </row>
    <row r="60" ht="15.75" customHeight="1" s="153">
      <c r="A60" s="237" t="n"/>
      <c r="B60" s="238" t="inlineStr">
        <is>
          <t>IGUALDAD</t>
        </is>
      </c>
      <c r="C60" s="239" t="n">
        <v>1</v>
      </c>
      <c r="D60" s="239" t="n"/>
      <c r="E60" s="239" t="n"/>
      <c r="F60" s="240" t="n"/>
      <c r="G60" s="240" t="n"/>
      <c r="H60" s="241" t="n">
        <v>20000</v>
      </c>
      <c r="I60" s="242" t="n">
        <v>20000</v>
      </c>
      <c r="J60" s="242" t="n"/>
      <c r="K60" s="233" t="n"/>
      <c r="L60" s="233">
        <f>IF(K60&lt;&gt;"",6500+K60,6500)</f>
        <v/>
      </c>
      <c r="M60" s="156" t="n"/>
      <c r="N60" s="156" t="n"/>
      <c r="O60" s="156" t="n"/>
      <c r="Q60" s="221" t="inlineStr">
        <is>
          <t>58</t>
        </is>
      </c>
      <c r="R60" s="222" t="inlineStr">
        <is>
          <t>LARGUIA 7186</t>
        </is>
      </c>
      <c r="S60" s="223" t="n">
        <v>80000</v>
      </c>
      <c r="T60" s="224" t="n">
        <v>20000</v>
      </c>
      <c r="U60" s="225" t="n">
        <v>1</v>
      </c>
      <c r="V60" s="226" t="inlineStr">
        <is>
          <t>25/03/2026</t>
        </is>
      </c>
    </row>
    <row r="61" ht="15.75" customHeight="1" s="153">
      <c r="A61" s="227" t="n"/>
      <c r="B61" s="228" t="inlineStr">
        <is>
          <t>SAN LORENZO 1987</t>
        </is>
      </c>
      <c r="C61" s="229" t="n"/>
      <c r="D61" s="229" t="n"/>
      <c r="E61" s="229" t="n">
        <v>1</v>
      </c>
      <c r="F61" s="230" t="n"/>
      <c r="G61" s="230" t="n"/>
      <c r="H61" s="231" t="n">
        <v>75000</v>
      </c>
      <c r="I61" s="232" t="n">
        <v>75000</v>
      </c>
      <c r="J61" s="232" t="n"/>
      <c r="K61" s="233" t="n"/>
      <c r="L61" s="233">
        <f>IF(K61&lt;&gt;"",26000+K61,26000)</f>
        <v/>
      </c>
      <c r="M61" s="156" t="n"/>
      <c r="N61" s="156" t="n"/>
      <c r="O61" s="156" t="n"/>
      <c r="Q61" s="214" t="inlineStr">
        <is>
          <t>59</t>
        </is>
      </c>
      <c r="R61" s="215" t="inlineStr">
        <is>
          <t>GABOTO 7484</t>
        </is>
      </c>
      <c r="S61" s="216" t="n">
        <v>79900</v>
      </c>
      <c r="T61" s="236" t="n">
        <v>19900</v>
      </c>
      <c r="U61" s="218" t="n">
        <v>1</v>
      </c>
      <c r="V61" s="219" t="inlineStr">
        <is>
          <t>13/03/2026</t>
        </is>
      </c>
    </row>
    <row r="62" ht="15.75" customHeight="1" s="153">
      <c r="A62" s="237" t="n"/>
      <c r="B62" s="238" t="inlineStr">
        <is>
          <t>FILOMENA</t>
        </is>
      </c>
      <c r="C62" s="239" t="n">
        <v>1</v>
      </c>
      <c r="D62" s="239" t="n"/>
      <c r="E62" s="239" t="n"/>
      <c r="F62" s="240" t="n"/>
      <c r="G62" s="240" t="n"/>
      <c r="H62" s="241" t="n">
        <v>19000</v>
      </c>
      <c r="I62" s="242" t="n"/>
      <c r="J62" s="242" t="n">
        <v>19000</v>
      </c>
      <c r="K62" s="233" t="n"/>
      <c r="L62" s="233">
        <f>IF(K62&lt;&gt;"",5500+K62,5500)</f>
        <v/>
      </c>
      <c r="M62" s="156" t="n"/>
      <c r="N62" s="156" t="n"/>
      <c r="O62" s="156" t="n"/>
      <c r="Q62" s="221" t="inlineStr">
        <is>
          <t>60</t>
        </is>
      </c>
      <c r="R62" s="222" t="inlineStr">
        <is>
          <t>L Y PLANES 3884</t>
        </is>
      </c>
      <c r="S62" s="223" t="n">
        <v>79900</v>
      </c>
      <c r="T62" s="224" t="n">
        <v>19900</v>
      </c>
      <c r="U62" s="225" t="n">
        <v>1</v>
      </c>
      <c r="V62" s="226" t="inlineStr">
        <is>
          <t>13/03/2026</t>
        </is>
      </c>
    </row>
    <row r="63" ht="15.75" customHeight="1" s="153">
      <c r="A63" s="227" t="n"/>
      <c r="B63" s="228" t="inlineStr">
        <is>
          <t>BERUTI 4057</t>
        </is>
      </c>
      <c r="C63" s="229" t="n"/>
      <c r="D63" s="229" t="n"/>
      <c r="E63" s="229" t="n">
        <v>1</v>
      </c>
      <c r="F63" s="230" t="n"/>
      <c r="G63" s="230" t="n"/>
      <c r="H63" s="231" t="n">
        <v>75000</v>
      </c>
      <c r="I63" s="232" t="n"/>
      <c r="J63" s="232" t="n">
        <v>75000</v>
      </c>
      <c r="K63" s="233" t="n"/>
      <c r="L63" s="233">
        <f>IF(K63&lt;&gt;"",26000+K63,26000)</f>
        <v/>
      </c>
      <c r="M63" s="156" t="n"/>
      <c r="N63" s="156" t="n"/>
      <c r="O63" s="156" t="n"/>
      <c r="Q63" s="214" t="inlineStr">
        <is>
          <t>61</t>
        </is>
      </c>
      <c r="R63" s="215" t="inlineStr">
        <is>
          <t>PJE LUIS BELTRAN 4362</t>
        </is>
      </c>
      <c r="S63" s="216" t="n">
        <v>79900</v>
      </c>
      <c r="T63" s="236" t="n">
        <v>19900</v>
      </c>
      <c r="U63" s="218" t="n">
        <v>1</v>
      </c>
      <c r="V63" s="219" t="inlineStr">
        <is>
          <t>14/03/2026</t>
        </is>
      </c>
    </row>
    <row r="64" ht="15.75" customHeight="1" s="153">
      <c r="A64" s="237" t="n"/>
      <c r="B64" s="238" t="inlineStr">
        <is>
          <t>LAVAISE 1074</t>
        </is>
      </c>
      <c r="C64" s="239" t="n"/>
      <c r="D64" s="239" t="n"/>
      <c r="E64" s="239" t="n"/>
      <c r="F64" s="240" t="n"/>
      <c r="G64" s="240" t="n">
        <v>2</v>
      </c>
      <c r="H64" s="241" t="n">
        <v>12000</v>
      </c>
      <c r="I64" s="242" t="n"/>
      <c r="J64" s="242" t="n">
        <v>12000</v>
      </c>
      <c r="K64" s="233" t="n"/>
      <c r="L64" s="233">
        <f>IF(K64&lt;&gt;"",10300+K64,10300)</f>
        <v/>
      </c>
      <c r="M64" s="156" t="n"/>
      <c r="N64" s="156" t="n"/>
      <c r="O64" s="156" t="n"/>
      <c r="Q64" s="221" t="inlineStr">
        <is>
          <t>62</t>
        </is>
      </c>
      <c r="R64" s="222" t="inlineStr">
        <is>
          <t>LARREA 3164</t>
        </is>
      </c>
      <c r="S64" s="223" t="n">
        <v>79900</v>
      </c>
      <c r="T64" s="224" t="n">
        <v>19900</v>
      </c>
      <c r="U64" s="225" t="n">
        <v>1</v>
      </c>
      <c r="V64" s="226" t="inlineStr">
        <is>
          <t>15/03/2026</t>
        </is>
      </c>
    </row>
    <row r="65" ht="15.75" customHeight="1" s="153">
      <c r="A65" s="227" t="n"/>
      <c r="B65" s="228" t="inlineStr">
        <is>
          <t>PANA VOEYTES 4500</t>
        </is>
      </c>
      <c r="C65" s="229" t="n"/>
      <c r="D65" s="229" t="n"/>
      <c r="E65" s="229" t="n">
        <v>1</v>
      </c>
      <c r="F65" s="230" t="n"/>
      <c r="G65" s="230" t="n"/>
      <c r="H65" s="231" t="n">
        <v>68000</v>
      </c>
      <c r="I65" s="232" t="n"/>
      <c r="J65" s="232" t="n">
        <v>68000</v>
      </c>
      <c r="K65" s="233" t="n"/>
      <c r="L65" s="233">
        <f>IF(K65&lt;&gt;"",19000+K65,19000)</f>
        <v/>
      </c>
      <c r="M65" s="156" t="n"/>
      <c r="N65" s="156" t="n"/>
      <c r="O65" s="156" t="n"/>
      <c r="Q65" s="214" t="inlineStr">
        <is>
          <t>63</t>
        </is>
      </c>
      <c r="R65" s="215" t="inlineStr">
        <is>
          <t>SAVEDRA 10125</t>
        </is>
      </c>
      <c r="S65" s="216" t="n">
        <v>79000</v>
      </c>
      <c r="T65" s="236" t="n">
        <v>19000</v>
      </c>
      <c r="U65" s="218" t="n">
        <v>1</v>
      </c>
      <c r="V65" s="219" t="inlineStr">
        <is>
          <t>09/04/2026</t>
        </is>
      </c>
    </row>
    <row r="66" ht="15.75" customHeight="1" s="153">
      <c r="A66" s="237" t="n"/>
      <c r="B66" s="238" t="inlineStr">
        <is>
          <t>EXE</t>
        </is>
      </c>
      <c r="C66" s="239" t="n"/>
      <c r="D66" s="239" t="n"/>
      <c r="E66" s="239" t="n">
        <v>1</v>
      </c>
      <c r="F66" s="240" t="n"/>
      <c r="G66" s="240" t="n"/>
      <c r="H66" s="241" t="n">
        <v>72000</v>
      </c>
      <c r="I66" s="242" t="n"/>
      <c r="J66" s="242" t="n">
        <v>72000</v>
      </c>
      <c r="K66" s="233" t="n"/>
      <c r="L66" s="233">
        <f>IF(K66&lt;&gt;"",23000+K66,23000)</f>
        <v/>
      </c>
      <c r="M66" s="156" t="n"/>
      <c r="N66" s="156" t="n"/>
      <c r="O66" s="156" t="n"/>
      <c r="Q66" s="221" t="inlineStr">
        <is>
          <t>64</t>
        </is>
      </c>
      <c r="R66" s="222" t="inlineStr">
        <is>
          <t>PUBLICO 2550</t>
        </is>
      </c>
      <c r="S66" s="223" t="n">
        <v>79000</v>
      </c>
      <c r="T66" s="224" t="n">
        <v>19000</v>
      </c>
      <c r="U66" s="225" t="n">
        <v>1</v>
      </c>
      <c r="V66" s="226" t="inlineStr">
        <is>
          <t>24/03/2026</t>
        </is>
      </c>
    </row>
    <row r="67" ht="15.75" customHeight="1" s="153">
      <c r="A67" s="227" t="n"/>
      <c r="B67" s="228" t="inlineStr">
        <is>
          <t>CAFERATA 9416</t>
        </is>
      </c>
      <c r="C67" s="229" t="n"/>
      <c r="D67" s="229" t="n">
        <v>1</v>
      </c>
      <c r="E67" s="229" t="n"/>
      <c r="F67" s="230" t="n"/>
      <c r="G67" s="230" t="n"/>
      <c r="H67" s="231" t="n">
        <v>33000</v>
      </c>
      <c r="I67" s="232" t="n">
        <v>33000</v>
      </c>
      <c r="J67" s="232" t="n"/>
      <c r="K67" s="233" t="n"/>
      <c r="L67" s="233">
        <f>IF(K67&lt;&gt;"",12750+K67,12750)</f>
        <v/>
      </c>
      <c r="M67" s="156" t="n"/>
      <c r="N67" s="156" t="n"/>
      <c r="O67" s="156" t="n"/>
      <c r="Q67" s="214" t="inlineStr">
        <is>
          <t>65</t>
        </is>
      </c>
      <c r="R67" s="215" t="inlineStr">
        <is>
          <t>FRAY CAYETANO 3823</t>
        </is>
      </c>
      <c r="S67" s="216" t="n">
        <v>79000</v>
      </c>
      <c r="T67" s="236" t="n">
        <v>19000</v>
      </c>
      <c r="U67" s="218" t="n">
        <v>1</v>
      </c>
      <c r="V67" s="219" t="inlineStr">
        <is>
          <t>07/03/2026</t>
        </is>
      </c>
    </row>
    <row r="68" ht="15.75" customHeight="1" s="153">
      <c r="A68" s="237" t="n"/>
      <c r="B68" s="238" t="inlineStr">
        <is>
          <t>PANA VIEYTE 3800</t>
        </is>
      </c>
      <c r="C68" s="239" t="n"/>
      <c r="D68" s="239" t="n"/>
      <c r="E68" s="239" t="n">
        <v>2</v>
      </c>
      <c r="F68" s="240" t="n"/>
      <c r="G68" s="240" t="n"/>
      <c r="H68" s="241" t="n">
        <v>148000</v>
      </c>
      <c r="I68" s="242" t="n"/>
      <c r="J68" s="242" t="n">
        <v>148000</v>
      </c>
      <c r="K68" s="233" t="n"/>
      <c r="L68" s="233">
        <f>IF(K68&lt;&gt;"",50000+K68,50000)</f>
        <v/>
      </c>
      <c r="M68" s="156" t="n"/>
      <c r="N68" s="156" t="n"/>
      <c r="O68" s="156" t="n"/>
      <c r="Q68" s="221" t="inlineStr">
        <is>
          <t>66</t>
        </is>
      </c>
      <c r="R68" s="222" t="inlineStr">
        <is>
          <t>LOBOS</t>
        </is>
      </c>
      <c r="S68" s="223" t="n">
        <v>79000</v>
      </c>
      <c r="T68" s="224" t="n">
        <v>19000</v>
      </c>
      <c r="U68" s="225" t="n">
        <v>1</v>
      </c>
      <c r="V68" s="226" t="inlineStr">
        <is>
          <t>07/03/2026</t>
        </is>
      </c>
    </row>
    <row r="69" ht="15.75" customHeight="1" s="153">
      <c r="A69" s="227" t="n"/>
      <c r="B69" s="228" t="inlineStr">
        <is>
          <t>CAREN</t>
        </is>
      </c>
      <c r="C69" s="229" t="n"/>
      <c r="D69" s="229" t="n"/>
      <c r="E69" s="229" t="n">
        <v>1</v>
      </c>
      <c r="F69" s="230" t="n"/>
      <c r="G69" s="230" t="n"/>
      <c r="H69" s="231" t="n">
        <v>72000</v>
      </c>
      <c r="I69" s="232" t="n"/>
      <c r="J69" s="232" t="n">
        <v>72000</v>
      </c>
      <c r="K69" s="233" t="n"/>
      <c r="L69" s="233">
        <f>IF(K69&lt;&gt;"",23000+K69,23000)</f>
        <v/>
      </c>
      <c r="M69" s="156" t="n"/>
      <c r="N69" s="156" t="n"/>
      <c r="O69" s="156" t="n"/>
      <c r="Q69" s="214" t="inlineStr">
        <is>
          <t>67</t>
        </is>
      </c>
      <c r="R69" s="215" t="inlineStr">
        <is>
          <t>ARISTOBULO 8998</t>
        </is>
      </c>
      <c r="S69" s="216" t="n">
        <v>79000</v>
      </c>
      <c r="T69" s="236" t="n">
        <v>19000</v>
      </c>
      <c r="U69" s="218" t="n">
        <v>1</v>
      </c>
      <c r="V69" s="219" t="inlineStr">
        <is>
          <t>21/03/2026</t>
        </is>
      </c>
    </row>
    <row r="70" ht="15.75" customHeight="1" s="153">
      <c r="A70" s="237" t="n"/>
      <c r="B70" s="238" t="inlineStr">
        <is>
          <t>LAVADERO</t>
        </is>
      </c>
      <c r="C70" s="239" t="n">
        <v>1</v>
      </c>
      <c r="D70" s="239" t="n"/>
      <c r="E70" s="239" t="n"/>
      <c r="F70" s="240" t="n"/>
      <c r="G70" s="240" t="n"/>
      <c r="H70" s="241" t="n">
        <v>14500</v>
      </c>
      <c r="I70" s="242" t="n"/>
      <c r="J70" s="242" t="n">
        <v>14500</v>
      </c>
      <c r="K70" s="233" t="n"/>
      <c r="L70" s="233">
        <f>IF(K70&lt;&gt;"",1000+K70,1000)</f>
        <v/>
      </c>
      <c r="M70" s="156" t="n"/>
      <c r="N70" s="156" t="n"/>
      <c r="O70" s="156" t="n"/>
      <c r="Q70" s="221" t="inlineStr">
        <is>
          <t>68</t>
        </is>
      </c>
      <c r="R70" s="222" t="inlineStr">
        <is>
          <t>REIANARES 8257</t>
        </is>
      </c>
      <c r="S70" s="223" t="n">
        <v>79000</v>
      </c>
      <c r="T70" s="224" t="n">
        <v>19000</v>
      </c>
      <c r="U70" s="225" t="n">
        <v>1</v>
      </c>
      <c r="V70" s="226" t="inlineStr">
        <is>
          <t>22/03/2026</t>
        </is>
      </c>
    </row>
    <row r="71" ht="15.75" customHeight="1" s="153">
      <c r="A71" s="227" t="n">
        <v>46087</v>
      </c>
      <c r="B71" s="228" t="inlineStr">
        <is>
          <t>PANA ALBERTI</t>
        </is>
      </c>
      <c r="C71" s="229" t="n"/>
      <c r="D71" s="229" t="n"/>
      <c r="E71" s="229" t="n">
        <v>1</v>
      </c>
      <c r="F71" s="230" t="n"/>
      <c r="G71" s="230" t="n"/>
      <c r="H71" s="231" t="n">
        <v>72000</v>
      </c>
      <c r="I71" s="232" t="n">
        <v>72000</v>
      </c>
      <c r="J71" s="232" t="n"/>
      <c r="K71" s="233" t="n"/>
      <c r="L71" s="233">
        <f>IF(K71&lt;&gt;"",23000+K71,23000)</f>
        <v/>
      </c>
      <c r="M71" s="156" t="n"/>
      <c r="N71" s="156" t="n"/>
      <c r="O71" s="156" t="n"/>
      <c r="Q71" s="214" t="inlineStr">
        <is>
          <t>69</t>
        </is>
      </c>
      <c r="R71" s="215" t="inlineStr">
        <is>
          <t>ANREALES 10512</t>
        </is>
      </c>
      <c r="S71" s="216" t="n">
        <v>79000</v>
      </c>
      <c r="T71" s="236" t="n">
        <v>19000</v>
      </c>
      <c r="U71" s="218" t="n">
        <v>1</v>
      </c>
      <c r="V71" s="219" t="inlineStr">
        <is>
          <t>24/03/2026</t>
        </is>
      </c>
    </row>
    <row r="72" ht="15.75" customHeight="1" s="153">
      <c r="A72" s="237" t="n"/>
      <c r="B72" s="238" t="inlineStr">
        <is>
          <t xml:space="preserve">ALE RUIZ </t>
        </is>
      </c>
      <c r="C72" s="239" t="n"/>
      <c r="D72" s="239" t="n"/>
      <c r="E72" s="239" t="n"/>
      <c r="F72" s="240" t="n"/>
      <c r="G72" s="240" t="n">
        <v>1</v>
      </c>
      <c r="H72" s="241" t="n">
        <v>5000</v>
      </c>
      <c r="I72" s="242" t="n">
        <v>5000</v>
      </c>
      <c r="J72" s="242" t="n"/>
      <c r="K72" s="233" t="n"/>
      <c r="L72" s="233">
        <f>IF(K72&lt;&gt;"",4150+K72,4150)</f>
        <v/>
      </c>
      <c r="M72" s="156" t="n"/>
      <c r="N72" s="156" t="n"/>
      <c r="O72" s="156" t="n"/>
      <c r="Q72" s="221" t="inlineStr">
        <is>
          <t>70</t>
        </is>
      </c>
      <c r="R72" s="222" t="inlineStr">
        <is>
          <t>BLAS PARERA 6372</t>
        </is>
      </c>
      <c r="S72" s="223" t="n">
        <v>78000</v>
      </c>
      <c r="T72" s="224" t="n">
        <v>18000</v>
      </c>
      <c r="U72" s="225" t="n">
        <v>1</v>
      </c>
      <c r="V72" s="226" t="inlineStr">
        <is>
          <t>15/03/2026</t>
        </is>
      </c>
    </row>
    <row r="73" ht="15.75" customHeight="1" s="153">
      <c r="A73" s="227" t="n"/>
      <c r="B73" s="228" t="inlineStr">
        <is>
          <t>CHICLANA 7325</t>
        </is>
      </c>
      <c r="C73" s="229" t="n">
        <v>1</v>
      </c>
      <c r="D73" s="229" t="n"/>
      <c r="E73" s="229" t="n"/>
      <c r="F73" s="230" t="n"/>
      <c r="G73" s="230" t="n"/>
      <c r="H73" s="231" t="n">
        <v>14500</v>
      </c>
      <c r="I73" s="232" t="n">
        <v>14500</v>
      </c>
      <c r="J73" s="232" t="n"/>
      <c r="K73" s="233" t="n"/>
      <c r="L73" s="233">
        <f>IF(K73&lt;&gt;"",1000+K73,1000)</f>
        <v/>
      </c>
      <c r="M73" s="156" t="n"/>
      <c r="N73" s="156" t="n"/>
      <c r="O73" s="156" t="n"/>
      <c r="Q73" s="214" t="inlineStr">
        <is>
          <t>71</t>
        </is>
      </c>
      <c r="R73" s="215" t="inlineStr">
        <is>
          <t>TERCER PJE 4771</t>
        </is>
      </c>
      <c r="S73" s="216" t="n">
        <v>78000</v>
      </c>
      <c r="T73" s="236" t="n">
        <v>18000</v>
      </c>
      <c r="U73" s="218" t="n">
        <v>1</v>
      </c>
      <c r="V73" s="219" t="inlineStr">
        <is>
          <t>18/03/2026</t>
        </is>
      </c>
    </row>
    <row r="74" ht="15.75" customHeight="1" s="153">
      <c r="A74" s="237" t="n"/>
      <c r="B74" s="238" t="inlineStr">
        <is>
          <t>PANA GENESIO</t>
        </is>
      </c>
      <c r="C74" s="239" t="n"/>
      <c r="D74" s="239" t="n"/>
      <c r="E74" s="239" t="n">
        <v>1</v>
      </c>
      <c r="F74" s="240" t="n"/>
      <c r="G74" s="240" t="n"/>
      <c r="H74" s="241" t="n">
        <v>69000</v>
      </c>
      <c r="I74" s="242" t="n"/>
      <c r="J74" s="242" t="n">
        <v>69000</v>
      </c>
      <c r="K74" s="233" t="n"/>
      <c r="L74" s="233">
        <f>IF(K74&lt;&gt;"",20000+K74,20000)</f>
        <v/>
      </c>
      <c r="M74" s="156" t="n"/>
      <c r="N74" s="156" t="n"/>
      <c r="O74" s="156" t="n"/>
      <c r="Q74" s="221" t="inlineStr">
        <is>
          <t>72</t>
        </is>
      </c>
      <c r="R74" s="222" t="inlineStr">
        <is>
          <t>LOS PORKI</t>
        </is>
      </c>
      <c r="S74" s="223" t="n">
        <v>77000</v>
      </c>
      <c r="T74" s="224" t="n">
        <v>17000</v>
      </c>
      <c r="U74" s="225" t="n">
        <v>1</v>
      </c>
      <c r="V74" s="226" t="inlineStr">
        <is>
          <t>23/03/2026</t>
        </is>
      </c>
    </row>
    <row r="75" ht="15.75" customHeight="1" s="153">
      <c r="A75" s="227" t="n"/>
      <c r="B75" s="228" t="inlineStr">
        <is>
          <t>AGUADO 8432</t>
        </is>
      </c>
      <c r="C75" s="229" t="n">
        <v>1</v>
      </c>
      <c r="D75" s="229" t="n"/>
      <c r="E75" s="229" t="n"/>
      <c r="F75" s="230" t="n"/>
      <c r="G75" s="230" t="n"/>
      <c r="H75" s="231" t="n">
        <v>21000</v>
      </c>
      <c r="I75" s="232" t="n">
        <v>21000</v>
      </c>
      <c r="J75" s="232" t="n"/>
      <c r="K75" s="233" t="n"/>
      <c r="L75" s="233">
        <f>IF(K75&lt;&gt;"",7500+K75,7500)</f>
        <v/>
      </c>
      <c r="M75" s="156" t="n"/>
      <c r="N75" s="156" t="n"/>
      <c r="O75" s="156" t="n"/>
      <c r="Q75" s="214" t="inlineStr">
        <is>
          <t>73</t>
        </is>
      </c>
      <c r="R75" s="215" t="inlineStr">
        <is>
          <t>PIEDRABUENA 4506</t>
        </is>
      </c>
      <c r="S75" s="216" t="n">
        <v>77000</v>
      </c>
      <c r="T75" s="236" t="n">
        <v>17000</v>
      </c>
      <c r="U75" s="218" t="n">
        <v>1</v>
      </c>
      <c r="V75" s="219" t="inlineStr">
        <is>
          <t>03/03/2026</t>
        </is>
      </c>
    </row>
    <row r="76" ht="15.75" customHeight="1" s="153">
      <c r="A76" s="237" t="n"/>
      <c r="B76" s="238" t="inlineStr">
        <is>
          <t>SANDRA</t>
        </is>
      </c>
      <c r="C76" s="239" t="n">
        <v>1</v>
      </c>
      <c r="D76" s="239" t="n"/>
      <c r="E76" s="239" t="n"/>
      <c r="F76" s="240" t="n"/>
      <c r="G76" s="240" t="n"/>
      <c r="H76" s="241" t="n">
        <v>15000</v>
      </c>
      <c r="I76" s="242" t="n">
        <v>15000</v>
      </c>
      <c r="J76" s="242" t="n"/>
      <c r="K76" s="233" t="n"/>
      <c r="L76" s="233">
        <f>IF(K76&lt;&gt;"",1500+K76,1500)</f>
        <v/>
      </c>
      <c r="M76" s="156" t="n"/>
      <c r="N76" s="156" t="n"/>
      <c r="O76" s="156" t="n"/>
      <c r="Q76" s="221" t="inlineStr">
        <is>
          <t>74</t>
        </is>
      </c>
      <c r="R76" s="222" t="inlineStr">
        <is>
          <t>PJE ROCA 6371</t>
        </is>
      </c>
      <c r="S76" s="223" t="n">
        <v>77000</v>
      </c>
      <c r="T76" s="224" t="n">
        <v>17000</v>
      </c>
      <c r="U76" s="225" t="n">
        <v>1</v>
      </c>
      <c r="V76" s="226" t="inlineStr">
        <is>
          <t>14/03/2026</t>
        </is>
      </c>
    </row>
    <row r="77" ht="15.75" customHeight="1" s="153">
      <c r="A77" s="227" t="n"/>
      <c r="B77" s="228" t="inlineStr">
        <is>
          <t>SAVEDRA 7701</t>
        </is>
      </c>
      <c r="C77" s="229" t="n"/>
      <c r="D77" s="229" t="n"/>
      <c r="E77" s="229" t="n">
        <v>1</v>
      </c>
      <c r="F77" s="230" t="n"/>
      <c r="G77" s="230" t="n"/>
      <c r="H77" s="231" t="n">
        <v>75000</v>
      </c>
      <c r="I77" s="232" t="n">
        <v>75000</v>
      </c>
      <c r="J77" s="232" t="n"/>
      <c r="K77" s="233" t="n"/>
      <c r="L77" s="233">
        <f>IF(K77&lt;&gt;"",26000+K77,26000)</f>
        <v/>
      </c>
      <c r="M77" s="156" t="n"/>
      <c r="N77" s="156" t="n"/>
      <c r="O77" s="156" t="n"/>
      <c r="Q77" s="214" t="inlineStr">
        <is>
          <t>75</t>
        </is>
      </c>
      <c r="R77" s="215" t="inlineStr">
        <is>
          <t>NAMUNCURA 4436</t>
        </is>
      </c>
      <c r="S77" s="216" t="n">
        <v>76000</v>
      </c>
      <c r="T77" s="236" t="n">
        <v>16000</v>
      </c>
      <c r="U77" s="218" t="n">
        <v>1</v>
      </c>
      <c r="V77" s="219" t="inlineStr">
        <is>
          <t>07/04/2026</t>
        </is>
      </c>
    </row>
    <row r="78" ht="15.75" customHeight="1" s="153">
      <c r="A78" s="237" t="n"/>
      <c r="B78" s="238" t="inlineStr">
        <is>
          <t>BEATRIZ</t>
        </is>
      </c>
      <c r="C78" s="239" t="n"/>
      <c r="D78" s="239" t="n"/>
      <c r="E78" s="239" t="n"/>
      <c r="F78" s="240" t="n"/>
      <c r="G78" s="240" t="n">
        <v>1</v>
      </c>
      <c r="H78" s="241" t="n">
        <v>5500</v>
      </c>
      <c r="I78" s="242" t="n"/>
      <c r="J78" s="242" t="n">
        <v>5500</v>
      </c>
      <c r="K78" s="233" t="n"/>
      <c r="L78" s="233">
        <f>IF(K78&lt;&gt;"",4650+K78,4650)</f>
        <v/>
      </c>
      <c r="M78" s="156" t="n"/>
      <c r="N78" s="156" t="n"/>
      <c r="O78" s="156" t="n"/>
      <c r="Q78" s="221" t="inlineStr">
        <is>
          <t>76</t>
        </is>
      </c>
      <c r="R78" s="222" t="inlineStr">
        <is>
          <t>JOSE CIBILS</t>
        </is>
      </c>
      <c r="S78" s="223" t="n">
        <v>76000</v>
      </c>
      <c r="T78" s="224" t="n">
        <v>16000</v>
      </c>
      <c r="U78" s="225" t="n">
        <v>1</v>
      </c>
      <c r="V78" s="226" t="inlineStr">
        <is>
          <t>01/03/2026</t>
        </is>
      </c>
    </row>
    <row r="79" ht="15.75" customHeight="1" s="153">
      <c r="A79" s="227" t="n"/>
      <c r="B79" s="228" t="inlineStr">
        <is>
          <t>MANTOVANI 6537</t>
        </is>
      </c>
      <c r="C79" s="229" t="n">
        <v>1</v>
      </c>
      <c r="D79" s="229" t="n"/>
      <c r="E79" s="229" t="n"/>
      <c r="F79" s="230" t="n"/>
      <c r="G79" s="230" t="n"/>
      <c r="H79" s="231" t="n">
        <v>21000</v>
      </c>
      <c r="I79" s="232" t="n">
        <v>21000</v>
      </c>
      <c r="J79" s="232" t="n"/>
      <c r="K79" s="233" t="n"/>
      <c r="L79" s="233">
        <f>IF(K79&lt;&gt;"",7500+K79,7500)</f>
        <v/>
      </c>
      <c r="M79" s="156" t="n"/>
      <c r="N79" s="156" t="n"/>
      <c r="O79" s="156" t="n"/>
      <c r="Q79" s="214" t="inlineStr">
        <is>
          <t>77</t>
        </is>
      </c>
      <c r="R79" s="215" t="inlineStr">
        <is>
          <t>GOROSTIAGA 4659</t>
        </is>
      </c>
      <c r="S79" s="216" t="n">
        <v>76000</v>
      </c>
      <c r="T79" s="236" t="n">
        <v>16000</v>
      </c>
      <c r="U79" s="218" t="n">
        <v>1</v>
      </c>
      <c r="V79" s="219" t="inlineStr">
        <is>
          <t>05/03/2026</t>
        </is>
      </c>
    </row>
    <row r="80" ht="15.75" customHeight="1" s="153">
      <c r="A80" s="237" t="n"/>
      <c r="B80" s="238" t="inlineStr">
        <is>
          <t>MATEU 3378</t>
        </is>
      </c>
      <c r="C80" s="239" t="n">
        <v>1</v>
      </c>
      <c r="D80" s="239" t="n"/>
      <c r="E80" s="239" t="n"/>
      <c r="F80" s="240" t="n"/>
      <c r="G80" s="240" t="n"/>
      <c r="H80" s="241" t="n">
        <v>20000</v>
      </c>
      <c r="I80" s="242" t="n">
        <v>20000</v>
      </c>
      <c r="J80" s="242" t="n"/>
      <c r="K80" s="233" t="n"/>
      <c r="L80" s="233">
        <f>IF(K80&lt;&gt;"",6500+K80,6500)</f>
        <v/>
      </c>
      <c r="M80" s="156" t="n"/>
      <c r="N80" s="156" t="n"/>
      <c r="O80" s="156" t="n"/>
      <c r="Q80" s="221" t="inlineStr">
        <is>
          <t>78</t>
        </is>
      </c>
      <c r="R80" s="222" t="inlineStr">
        <is>
          <t>PUBLICO 1829</t>
        </is>
      </c>
      <c r="S80" s="223" t="n">
        <v>76000</v>
      </c>
      <c r="T80" s="224" t="n">
        <v>16000</v>
      </c>
      <c r="U80" s="225" t="n">
        <v>1</v>
      </c>
      <c r="V80" s="226" t="inlineStr">
        <is>
          <t>06/03/2026</t>
        </is>
      </c>
    </row>
    <row r="81" ht="15.75" customHeight="1" s="153">
      <c r="A81" s="227" t="n"/>
      <c r="B81" s="228" t="inlineStr">
        <is>
          <t>BRASERIA</t>
        </is>
      </c>
      <c r="C81" s="229" t="n"/>
      <c r="D81" s="229" t="n"/>
      <c r="E81" s="229" t="n">
        <v>1</v>
      </c>
      <c r="F81" s="230" t="n"/>
      <c r="G81" s="230" t="n"/>
      <c r="H81" s="231" t="n">
        <v>73000</v>
      </c>
      <c r="I81" s="232" t="n">
        <v>50000</v>
      </c>
      <c r="J81" s="232" t="n">
        <v>23000</v>
      </c>
      <c r="K81" s="233" t="n"/>
      <c r="L81" s="233">
        <f>IF(K81&lt;&gt;"",24000+K81,24000)</f>
        <v/>
      </c>
      <c r="M81" s="156" t="n"/>
      <c r="N81" s="156" t="n"/>
      <c r="O81" s="156" t="n"/>
      <c r="Q81" s="214" t="inlineStr">
        <is>
          <t>79</t>
        </is>
      </c>
      <c r="R81" s="215" t="inlineStr">
        <is>
          <t>BRAZIL 4117</t>
        </is>
      </c>
      <c r="S81" s="216" t="n">
        <v>76000</v>
      </c>
      <c r="T81" s="236" t="n">
        <v>16000</v>
      </c>
      <c r="U81" s="218" t="n">
        <v>1</v>
      </c>
      <c r="V81" s="219" t="inlineStr">
        <is>
          <t>10/03/2026</t>
        </is>
      </c>
    </row>
    <row r="82" ht="15.75" customHeight="1" s="153">
      <c r="A82" s="237" t="n"/>
      <c r="B82" s="238" t="inlineStr">
        <is>
          <t>SABOREAR</t>
        </is>
      </c>
      <c r="C82" s="239" t="n">
        <v>2</v>
      </c>
      <c r="D82" s="239" t="n"/>
      <c r="E82" s="239" t="n"/>
      <c r="F82" s="240" t="n"/>
      <c r="G82" s="240" t="n"/>
      <c r="H82" s="241" t="n">
        <v>39000</v>
      </c>
      <c r="I82" s="242" t="n"/>
      <c r="J82" s="242" t="n">
        <v>39000</v>
      </c>
      <c r="K82" s="233" t="n"/>
      <c r="L82" s="233">
        <f>IF(K82&lt;&gt;"",12000+K82,12000)</f>
        <v/>
      </c>
      <c r="M82" s="156" t="n"/>
      <c r="N82" s="156" t="n"/>
      <c r="O82" s="156" t="n"/>
      <c r="Q82" s="221" t="inlineStr">
        <is>
          <t>80</t>
        </is>
      </c>
      <c r="R82" s="222" t="inlineStr">
        <is>
          <t>PIEDRABUENA 4599</t>
        </is>
      </c>
      <c r="S82" s="223" t="n">
        <v>76000</v>
      </c>
      <c r="T82" s="224" t="n">
        <v>16000</v>
      </c>
      <c r="U82" s="225" t="n">
        <v>1</v>
      </c>
      <c r="V82" s="226" t="inlineStr">
        <is>
          <t>10/03/2026</t>
        </is>
      </c>
    </row>
    <row r="83" ht="15.75" customHeight="1" s="153">
      <c r="A83" s="227" t="n"/>
      <c r="B83" s="228" t="inlineStr">
        <is>
          <t>FILOMENA</t>
        </is>
      </c>
      <c r="C83" s="229" t="n">
        <v>1</v>
      </c>
      <c r="D83" s="229" t="n"/>
      <c r="E83" s="229" t="n"/>
      <c r="F83" s="230" t="n"/>
      <c r="G83" s="230" t="n"/>
      <c r="H83" s="231" t="n">
        <v>19000</v>
      </c>
      <c r="I83" s="232" t="n"/>
      <c r="J83" s="232" t="n">
        <v>19000</v>
      </c>
      <c r="K83" s="233" t="n"/>
      <c r="L83" s="233">
        <f>IF(K83&lt;&gt;"",5500+K83,5500)</f>
        <v/>
      </c>
      <c r="M83" s="156" t="n"/>
      <c r="N83" s="156" t="n"/>
      <c r="O83" s="156" t="n"/>
      <c r="Q83" s="214" t="inlineStr">
        <is>
          <t>81</t>
        </is>
      </c>
      <c r="R83" s="215" t="inlineStr">
        <is>
          <t>LAS HERAS Y GORRITI</t>
        </is>
      </c>
      <c r="S83" s="216" t="n">
        <v>75000</v>
      </c>
      <c r="T83" s="236" t="n">
        <v>15000</v>
      </c>
      <c r="U83" s="218" t="n">
        <v>1</v>
      </c>
      <c r="V83" s="219" t="inlineStr">
        <is>
          <t>01/03/2026</t>
        </is>
      </c>
    </row>
    <row r="84" ht="15.75" customHeight="1" s="153">
      <c r="A84" s="237" t="n"/>
      <c r="B84" s="238" t="inlineStr">
        <is>
          <t>OTNIEL</t>
        </is>
      </c>
      <c r="C84" s="239" t="n"/>
      <c r="D84" s="239" t="n"/>
      <c r="E84" s="239" t="n"/>
      <c r="F84" s="240" t="n"/>
      <c r="G84" s="240" t="n">
        <v>1</v>
      </c>
      <c r="H84" s="241" t="n">
        <v>5500</v>
      </c>
      <c r="I84" s="242" t="n"/>
      <c r="J84" s="242" t="n">
        <v>5500</v>
      </c>
      <c r="K84" s="233" t="n"/>
      <c r="L84" s="233">
        <f>IF(K84&lt;&gt;"",4650+K84,4650)</f>
        <v/>
      </c>
      <c r="M84" s="156" t="n"/>
      <c r="N84" s="156" t="n"/>
      <c r="O84" s="156" t="n"/>
      <c r="Q84" s="221" t="inlineStr">
        <is>
          <t>82</t>
        </is>
      </c>
      <c r="R84" s="222" t="inlineStr">
        <is>
          <t>PARAGUAY 10333</t>
        </is>
      </c>
      <c r="S84" s="223" t="n">
        <v>75000</v>
      </c>
      <c r="T84" s="224" t="n">
        <v>15000</v>
      </c>
      <c r="U84" s="225" t="n">
        <v>1</v>
      </c>
      <c r="V84" s="226" t="inlineStr">
        <is>
          <t>05/03/2026</t>
        </is>
      </c>
    </row>
    <row r="85" ht="15.75" customHeight="1" s="153">
      <c r="A85" s="227" t="n"/>
      <c r="B85" s="228" t="inlineStr">
        <is>
          <t xml:space="preserve">ABUELA MARGA </t>
        </is>
      </c>
      <c r="C85" s="229" t="n">
        <v>2</v>
      </c>
      <c r="D85" s="229" t="n"/>
      <c r="E85" s="229" t="n"/>
      <c r="F85" s="230" t="n"/>
      <c r="G85" s="230" t="n"/>
      <c r="H85" s="231" t="n">
        <v>39000</v>
      </c>
      <c r="I85" s="232" t="n">
        <v>39000</v>
      </c>
      <c r="J85" s="232" t="n"/>
      <c r="K85" s="233" t="n"/>
      <c r="L85" s="233">
        <f>IF(K85&lt;&gt;"",12000+K85,12000)</f>
        <v/>
      </c>
      <c r="M85" s="156" t="n"/>
      <c r="N85" s="156" t="n"/>
      <c r="O85" s="156" t="n"/>
      <c r="Q85" s="214" t="inlineStr">
        <is>
          <t>83</t>
        </is>
      </c>
      <c r="R85" s="215" t="inlineStr">
        <is>
          <t>SAN LORENZO 1987</t>
        </is>
      </c>
      <c r="S85" s="216" t="n">
        <v>75000</v>
      </c>
      <c r="T85" s="236" t="n">
        <v>15000</v>
      </c>
      <c r="U85" s="218" t="n">
        <v>1</v>
      </c>
      <c r="V85" s="219" t="inlineStr">
        <is>
          <t>05/03/2026</t>
        </is>
      </c>
    </row>
    <row r="86" ht="15.75" customHeight="1" s="153">
      <c r="A86" s="237" t="n"/>
      <c r="B86" s="238" t="inlineStr">
        <is>
          <t>NACHO</t>
        </is>
      </c>
      <c r="C86" s="239" t="n">
        <v>1</v>
      </c>
      <c r="D86" s="239" t="n"/>
      <c r="E86" s="239" t="n"/>
      <c r="F86" s="240" t="n"/>
      <c r="G86" s="240" t="n"/>
      <c r="H86" s="241" t="n">
        <v>19000</v>
      </c>
      <c r="I86" s="242" t="n"/>
      <c r="J86" s="242" t="n">
        <v>19000</v>
      </c>
      <c r="K86" s="233" t="n"/>
      <c r="L86" s="233">
        <f>IF(K86&lt;&gt;"",5500+K86,5500)</f>
        <v/>
      </c>
      <c r="M86" s="156" t="n"/>
      <c r="N86" s="156" t="n"/>
      <c r="O86" s="156" t="n"/>
      <c r="Q86" s="221" t="inlineStr">
        <is>
          <t>84</t>
        </is>
      </c>
      <c r="R86" s="222" t="inlineStr">
        <is>
          <t>BERUTI 4057</t>
        </is>
      </c>
      <c r="S86" s="223" t="n">
        <v>75000</v>
      </c>
      <c r="T86" s="224" t="n">
        <v>15000</v>
      </c>
      <c r="U86" s="225" t="n">
        <v>1</v>
      </c>
      <c r="V86" s="226" t="inlineStr">
        <is>
          <t>05/03/2026</t>
        </is>
      </c>
    </row>
    <row r="87" ht="15.75" customHeight="1" s="153">
      <c r="A87" s="227" t="n"/>
      <c r="B87" s="228" t="inlineStr">
        <is>
          <t>PUBLICO 1829</t>
        </is>
      </c>
      <c r="C87" s="229" t="n"/>
      <c r="D87" s="229" t="n"/>
      <c r="E87" s="229" t="n">
        <v>1</v>
      </c>
      <c r="F87" s="230" t="n"/>
      <c r="G87" s="230" t="n"/>
      <c r="H87" s="231" t="n">
        <v>76000</v>
      </c>
      <c r="I87" s="232" t="n"/>
      <c r="J87" s="232" t="n">
        <v>76000</v>
      </c>
      <c r="K87" s="233" t="n"/>
      <c r="L87" s="233">
        <f>IF(K87&lt;&gt;"",27000+K87,27000)</f>
        <v/>
      </c>
      <c r="M87" s="156" t="n"/>
      <c r="N87" s="156" t="n"/>
      <c r="O87" s="156" t="n"/>
      <c r="Q87" s="214" t="inlineStr">
        <is>
          <t>85</t>
        </is>
      </c>
      <c r="R87" s="215" t="inlineStr">
        <is>
          <t>SAVEDRA 7701</t>
        </is>
      </c>
      <c r="S87" s="216" t="n">
        <v>75000</v>
      </c>
      <c r="T87" s="236" t="n">
        <v>15000</v>
      </c>
      <c r="U87" s="218" t="n">
        <v>1</v>
      </c>
      <c r="V87" s="219" t="inlineStr">
        <is>
          <t>06/03/2026</t>
        </is>
      </c>
    </row>
    <row r="88" ht="15.75" customHeight="1" s="153">
      <c r="A88" s="237" t="n"/>
      <c r="B88" s="238" t="inlineStr">
        <is>
          <t>M CANDIOTI 5759</t>
        </is>
      </c>
      <c r="C88" s="239" t="n">
        <v>1</v>
      </c>
      <c r="D88" s="239" t="n"/>
      <c r="E88" s="239" t="n"/>
      <c r="F88" s="240" t="n"/>
      <c r="G88" s="240" t="n"/>
      <c r="H88" s="241" t="n">
        <v>23000</v>
      </c>
      <c r="I88" s="242" t="n">
        <v>23000</v>
      </c>
      <c r="J88" s="242" t="n"/>
      <c r="K88" s="233" t="n"/>
      <c r="L88" s="233">
        <f>IF(K88&lt;&gt;"",9500+K88,9500)</f>
        <v/>
      </c>
      <c r="M88" s="156" t="n"/>
      <c r="N88" s="156" t="n"/>
      <c r="O88" s="156" t="n"/>
      <c r="Q88" s="221" t="inlineStr">
        <is>
          <t>86</t>
        </is>
      </c>
      <c r="R88" s="222" t="inlineStr">
        <is>
          <t>CORDOBA 2753</t>
        </is>
      </c>
      <c r="S88" s="223" t="n">
        <v>75000</v>
      </c>
      <c r="T88" s="224" t="n">
        <v>15000</v>
      </c>
      <c r="U88" s="225" t="n">
        <v>1</v>
      </c>
      <c r="V88" s="226" t="inlineStr">
        <is>
          <t>10/03/2026</t>
        </is>
      </c>
    </row>
    <row r="89" ht="15.75" customHeight="1" s="153">
      <c r="A89" s="227" t="n"/>
      <c r="B89" s="228" t="inlineStr">
        <is>
          <t xml:space="preserve">9 DE JULIO 1144 </t>
        </is>
      </c>
      <c r="C89" s="229" t="n"/>
      <c r="D89" s="229" t="n"/>
      <c r="E89" s="229" t="n">
        <v>2</v>
      </c>
      <c r="F89" s="230" t="n"/>
      <c r="G89" s="230" t="n"/>
      <c r="H89" s="231" t="n">
        <v>158000</v>
      </c>
      <c r="I89" s="232" t="n"/>
      <c r="J89" s="232" t="n">
        <v>158000</v>
      </c>
      <c r="K89" s="233" t="n"/>
      <c r="L89" s="233">
        <f>IF(K89&lt;&gt;"",60000+K89,60000)</f>
        <v/>
      </c>
      <c r="M89" s="156" t="n"/>
      <c r="N89" s="156" t="n"/>
      <c r="O89" s="156" t="n"/>
      <c r="Q89" s="214" t="inlineStr">
        <is>
          <t>87</t>
        </is>
      </c>
      <c r="R89" s="215" t="inlineStr">
        <is>
          <t>CASTELLI 5364</t>
        </is>
      </c>
      <c r="S89" s="216" t="n">
        <v>75000</v>
      </c>
      <c r="T89" s="236" t="n">
        <v>15000</v>
      </c>
      <c r="U89" s="218" t="n">
        <v>1</v>
      </c>
      <c r="V89" s="219" t="inlineStr">
        <is>
          <t>12/03/2026</t>
        </is>
      </c>
    </row>
    <row r="90" ht="15.75" customHeight="1" s="153">
      <c r="A90" s="237" t="n">
        <v>46088</v>
      </c>
      <c r="B90" s="238" t="inlineStr">
        <is>
          <t>FRAY CAYETANO 3823</t>
        </is>
      </c>
      <c r="C90" s="239" t="n"/>
      <c r="D90" s="239" t="n"/>
      <c r="E90" s="239" t="n">
        <v>1</v>
      </c>
      <c r="F90" s="240" t="n"/>
      <c r="G90" s="240" t="n"/>
      <c r="H90" s="241" t="n">
        <v>79000</v>
      </c>
      <c r="I90" s="242" t="n">
        <v>79000</v>
      </c>
      <c r="J90" s="242" t="n"/>
      <c r="K90" s="233" t="n"/>
      <c r="L90" s="233">
        <f>IF(K90&lt;&gt;"",30000+K90,30000)</f>
        <v/>
      </c>
      <c r="M90" s="156" t="n"/>
      <c r="N90" s="156" t="n"/>
      <c r="O90" s="156" t="n"/>
      <c r="Q90" s="221" t="inlineStr">
        <is>
          <t>88</t>
        </is>
      </c>
      <c r="R90" s="222" t="inlineStr">
        <is>
          <t>PENALOZA 7220</t>
        </is>
      </c>
      <c r="S90" s="223" t="n">
        <v>74000</v>
      </c>
      <c r="T90" s="224" t="n">
        <v>14000</v>
      </c>
      <c r="U90" s="225" t="n">
        <v>1</v>
      </c>
      <c r="V90" s="226" t="inlineStr">
        <is>
          <t>09/03/2026</t>
        </is>
      </c>
    </row>
    <row r="91" ht="15.75" customHeight="1" s="153">
      <c r="A91" s="227" t="n"/>
      <c r="B91" s="228" t="inlineStr">
        <is>
          <t>J P LOPEZ 1875</t>
        </is>
      </c>
      <c r="C91" s="229" t="n"/>
      <c r="D91" s="229" t="n">
        <v>1</v>
      </c>
      <c r="E91" s="229" t="n"/>
      <c r="F91" s="230" t="n"/>
      <c r="G91" s="230" t="n"/>
      <c r="H91" s="231" t="n">
        <v>33000</v>
      </c>
      <c r="I91" s="232" t="n">
        <v>33000</v>
      </c>
      <c r="J91" s="232" t="n"/>
      <c r="K91" s="233" t="n"/>
      <c r="L91" s="233">
        <f>IF(K91&lt;&gt;"",12750+K91,12750)</f>
        <v/>
      </c>
      <c r="M91" s="156" t="n"/>
      <c r="N91" s="156" t="n"/>
      <c r="O91" s="156" t="n"/>
      <c r="Q91" s="214" t="inlineStr">
        <is>
          <t>89</t>
        </is>
      </c>
      <c r="R91" s="215" t="inlineStr">
        <is>
          <t>BERUTI 3850 PANA</t>
        </is>
      </c>
      <c r="S91" s="216" t="n">
        <v>74000</v>
      </c>
      <c r="T91" s="236" t="n">
        <v>14000</v>
      </c>
      <c r="U91" s="218" t="n">
        <v>1</v>
      </c>
      <c r="V91" s="219" t="inlineStr">
        <is>
          <t>22/03/2026</t>
        </is>
      </c>
    </row>
    <row r="92" ht="15.75" customHeight="1" s="153">
      <c r="A92" s="237" t="n"/>
      <c r="B92" s="238" t="inlineStr">
        <is>
          <t xml:space="preserve">DANI TALLER </t>
        </is>
      </c>
      <c r="C92" s="239" t="n">
        <v>1</v>
      </c>
      <c r="D92" s="239" t="n"/>
      <c r="E92" s="239" t="n"/>
      <c r="F92" s="240" t="n"/>
      <c r="G92" s="240" t="n"/>
      <c r="H92" s="241" t="n">
        <v>17000</v>
      </c>
      <c r="I92" s="242" t="n">
        <v>17000</v>
      </c>
      <c r="J92" s="242" t="n"/>
      <c r="K92" s="233" t="n"/>
      <c r="L92" s="233">
        <f>IF(K92&lt;&gt;"",3500+K92,3500)</f>
        <v/>
      </c>
      <c r="M92" s="156" t="n"/>
      <c r="N92" s="156" t="n"/>
      <c r="O92" s="156" t="n"/>
      <c r="Q92" s="221" t="inlineStr">
        <is>
          <t>90</t>
        </is>
      </c>
      <c r="R92" s="222" t="inlineStr">
        <is>
          <t>ROQUE S PENA 7668</t>
        </is>
      </c>
      <c r="S92" s="223" t="n">
        <v>73000</v>
      </c>
      <c r="T92" s="224" t="n">
        <v>13000</v>
      </c>
      <c r="U92" s="225" t="n">
        <v>1</v>
      </c>
      <c r="V92" s="226" t="inlineStr">
        <is>
          <t>03/03/2026</t>
        </is>
      </c>
    </row>
    <row r="93" ht="15.75" customHeight="1" s="153">
      <c r="A93" s="227" t="n"/>
      <c r="B93" s="228" t="inlineStr">
        <is>
          <t>FRENCH BIS 2000 GONZA TORRI</t>
        </is>
      </c>
      <c r="C93" s="229" t="n"/>
      <c r="D93" s="229" t="n"/>
      <c r="E93" s="229" t="n">
        <v>1</v>
      </c>
      <c r="F93" s="230" t="n"/>
      <c r="G93" s="230" t="n"/>
      <c r="H93" s="231" t="n">
        <v>97000</v>
      </c>
      <c r="I93" s="232" t="n"/>
      <c r="J93" s="232" t="n">
        <v>97000</v>
      </c>
      <c r="K93" s="233" t="n"/>
      <c r="L93" s="233">
        <f>IF(K93&lt;&gt;"",48000+K93,48000)</f>
        <v/>
      </c>
      <c r="M93" s="156" t="n"/>
      <c r="N93" s="156" t="n"/>
      <c r="O93" s="156" t="n"/>
      <c r="Q93" s="214" t="inlineStr">
        <is>
          <t>91</t>
        </is>
      </c>
      <c r="R93" s="215" t="inlineStr">
        <is>
          <t>PANA BERUTI</t>
        </is>
      </c>
      <c r="S93" s="216" t="n">
        <v>73000</v>
      </c>
      <c r="T93" s="236" t="n">
        <v>13000</v>
      </c>
      <c r="U93" s="218" t="n">
        <v>1</v>
      </c>
      <c r="V93" s="219" t="inlineStr">
        <is>
          <t>23/03/2026</t>
        </is>
      </c>
    </row>
    <row r="94" ht="15.75" customHeight="1" s="153">
      <c r="A94" s="237" t="n"/>
      <c r="B94" s="238" t="inlineStr">
        <is>
          <t xml:space="preserve">LAVADERO </t>
        </is>
      </c>
      <c r="C94" s="239" t="n">
        <v>1</v>
      </c>
      <c r="D94" s="239" t="n"/>
      <c r="E94" s="239" t="n"/>
      <c r="F94" s="240" t="n"/>
      <c r="G94" s="240" t="n"/>
      <c r="H94" s="241" t="n">
        <v>14500</v>
      </c>
      <c r="I94" s="242" t="n">
        <v>14500</v>
      </c>
      <c r="J94" s="242" t="n"/>
      <c r="K94" s="233" t="n"/>
      <c r="L94" s="233">
        <f>IF(K94&lt;&gt;"",1000+K94,1000)</f>
        <v/>
      </c>
      <c r="M94" s="156" t="n"/>
      <c r="N94" s="156" t="n"/>
      <c r="O94" s="156" t="n"/>
      <c r="Q94" s="221" t="inlineStr">
        <is>
          <t>92</t>
        </is>
      </c>
      <c r="R94" s="222" t="inlineStr">
        <is>
          <t>PANA HNO FIGUEROA</t>
        </is>
      </c>
      <c r="S94" s="223" t="n">
        <v>70000</v>
      </c>
      <c r="T94" s="224" t="n">
        <v>10000</v>
      </c>
      <c r="U94" s="225" t="n">
        <v>1</v>
      </c>
      <c r="V94" s="226" t="inlineStr">
        <is>
          <t>13/03/2026</t>
        </is>
      </c>
    </row>
    <row r="95" ht="15.75" customHeight="1" s="153">
      <c r="A95" s="227" t="n"/>
      <c r="B95" s="228" t="inlineStr">
        <is>
          <t>R GODOY 1614</t>
        </is>
      </c>
      <c r="C95" s="229" t="n">
        <v>1</v>
      </c>
      <c r="D95" s="229" t="n"/>
      <c r="E95" s="229" t="n"/>
      <c r="F95" s="230" t="n"/>
      <c r="G95" s="230" t="n"/>
      <c r="H95" s="231" t="n">
        <v>21000</v>
      </c>
      <c r="I95" s="232" t="n"/>
      <c r="J95" s="232" t="n">
        <v>21000</v>
      </c>
      <c r="K95" s="233" t="n"/>
      <c r="L95" s="233">
        <f>IF(K95&lt;&gt;"",7500+K95,7500)</f>
        <v/>
      </c>
      <c r="M95" s="156" t="n"/>
      <c r="N95" s="156" t="n"/>
      <c r="O95" s="156" t="n"/>
      <c r="Q95" s="214" t="inlineStr">
        <is>
          <t>93</t>
        </is>
      </c>
      <c r="R95" s="215" t="inlineStr">
        <is>
          <t>PANA FIGUEROA</t>
        </is>
      </c>
      <c r="S95" s="216" t="n">
        <v>70000</v>
      </c>
      <c r="T95" s="236" t="n">
        <v>10000</v>
      </c>
      <c r="U95" s="218" t="n">
        <v>1</v>
      </c>
      <c r="V95" s="219" t="inlineStr">
        <is>
          <t>26/03/2026</t>
        </is>
      </c>
    </row>
    <row r="96" ht="15.75" customHeight="1" s="153">
      <c r="A96" s="237" t="n"/>
      <c r="B96" s="238" t="inlineStr">
        <is>
          <t>LOBOS</t>
        </is>
      </c>
      <c r="C96" s="239" t="n"/>
      <c r="D96" s="239" t="n"/>
      <c r="E96" s="239" t="n">
        <v>1</v>
      </c>
      <c r="F96" s="240" t="n"/>
      <c r="G96" s="240" t="n"/>
      <c r="H96" s="241" t="n">
        <v>79000</v>
      </c>
      <c r="I96" s="242" t="n">
        <v>79000</v>
      </c>
      <c r="J96" s="242" t="n"/>
      <c r="K96" s="233" t="n"/>
      <c r="L96" s="233">
        <f>IF(K96&lt;&gt;"",30000+K96,30000)</f>
        <v/>
      </c>
      <c r="M96" s="156" t="n"/>
      <c r="N96" s="156" t="n"/>
      <c r="O96" s="156" t="n"/>
      <c r="Q96" s="221" t="inlineStr">
        <is>
          <t>94</t>
        </is>
      </c>
      <c r="R96" s="222" t="inlineStr">
        <is>
          <t>DANA</t>
        </is>
      </c>
      <c r="S96" s="223" t="n">
        <v>68000</v>
      </c>
      <c r="T96" s="224" t="n">
        <v>8000</v>
      </c>
      <c r="U96" s="225" t="n">
        <v>1</v>
      </c>
      <c r="V96" s="226" t="inlineStr">
        <is>
          <t>22/04/2026</t>
        </is>
      </c>
    </row>
    <row r="97" ht="15.75" customHeight="1" s="153">
      <c r="A97" s="227" t="n"/>
      <c r="B97" s="228" t="inlineStr">
        <is>
          <t>LUCHO</t>
        </is>
      </c>
      <c r="C97" s="229" t="n">
        <v>2</v>
      </c>
      <c r="D97" s="229" t="n"/>
      <c r="E97" s="229" t="n"/>
      <c r="F97" s="230" t="n"/>
      <c r="G97" s="230" t="n"/>
      <c r="H97" s="231" t="n">
        <v>30000</v>
      </c>
      <c r="I97" s="232" t="n"/>
      <c r="J97" s="232" t="n">
        <v>30000</v>
      </c>
      <c r="K97" s="233" t="n"/>
      <c r="L97" s="233">
        <f>IF(K97&lt;&gt;"",3000+K97,3000)</f>
        <v/>
      </c>
      <c r="M97" s="156" t="n"/>
      <c r="N97" s="156" t="n"/>
      <c r="O97" s="156" t="n"/>
      <c r="Q97" s="214" t="inlineStr">
        <is>
          <t>95</t>
        </is>
      </c>
      <c r="R97" s="215" t="inlineStr">
        <is>
          <t>PANA VOEYTES 4500</t>
        </is>
      </c>
      <c r="S97" s="216" t="n">
        <v>68000</v>
      </c>
      <c r="T97" s="236" t="n">
        <v>8000</v>
      </c>
      <c r="U97" s="218" t="n">
        <v>1</v>
      </c>
      <c r="V97" s="219" t="inlineStr">
        <is>
          <t>04/04/2026</t>
        </is>
      </c>
    </row>
    <row r="98" ht="15.75" customHeight="1" s="153">
      <c r="A98" s="237" t="n"/>
      <c r="B98" s="238" t="inlineStr">
        <is>
          <t>GABOTO 7445</t>
        </is>
      </c>
      <c r="C98" s="239" t="n">
        <v>1</v>
      </c>
      <c r="D98" s="239" t="n"/>
      <c r="E98" s="239" t="n"/>
      <c r="F98" s="240" t="n"/>
      <c r="G98" s="240" t="n"/>
      <c r="H98" s="241" t="n">
        <v>20000</v>
      </c>
      <c r="I98" s="242" t="n">
        <v>20000</v>
      </c>
      <c r="J98" s="242" t="n"/>
      <c r="K98" s="233" t="n"/>
      <c r="L98" s="233">
        <f>IF(K98&lt;&gt;"",6500+K98,6500)</f>
        <v/>
      </c>
      <c r="M98" s="156" t="n"/>
      <c r="N98" s="156" t="n"/>
      <c r="O98" s="156" t="n"/>
      <c r="Q98" s="221" t="inlineStr">
        <is>
          <t>96</t>
        </is>
      </c>
      <c r="R98" s="222" t="inlineStr">
        <is>
          <t>LARREA 3339</t>
        </is>
      </c>
      <c r="S98" s="223" t="n">
        <v>68000</v>
      </c>
      <c r="T98" s="224" t="n">
        <v>8000</v>
      </c>
      <c r="U98" s="225" t="n">
        <v>1</v>
      </c>
      <c r="V98" s="226" t="inlineStr">
        <is>
          <t>23/03/2026</t>
        </is>
      </c>
    </row>
    <row r="99" ht="15.75" customHeight="1" s="153">
      <c r="A99" s="227" t="n"/>
      <c r="B99" s="228" t="inlineStr">
        <is>
          <t>AZCUENAGA 5023</t>
        </is>
      </c>
      <c r="C99" s="229" t="n">
        <v>2</v>
      </c>
      <c r="D99" s="229" t="n">
        <v>1</v>
      </c>
      <c r="E99" s="229" t="n"/>
      <c r="F99" s="230" t="n"/>
      <c r="G99" s="230" t="n"/>
      <c r="H99" s="231" t="n">
        <v>52500</v>
      </c>
      <c r="I99" s="232" t="n"/>
      <c r="J99" s="232" t="n">
        <v>52500</v>
      </c>
      <c r="K99" s="233" t="n"/>
      <c r="L99" s="233">
        <f>IF(K99&lt;&gt;"",5250+K99,5250)</f>
        <v/>
      </c>
      <c r="M99" s="156" t="n"/>
      <c r="N99" s="156" t="n"/>
      <c r="O99" s="156" t="n"/>
      <c r="Q99" s="214" t="inlineStr">
        <is>
          <t>97</t>
        </is>
      </c>
      <c r="R99" s="215" t="inlineStr">
        <is>
          <t>ANDRE</t>
        </is>
      </c>
      <c r="S99" s="216" t="n">
        <v>68000</v>
      </c>
      <c r="T99" s="236" t="n">
        <v>22000</v>
      </c>
      <c r="U99" s="218" t="n">
        <v>1</v>
      </c>
      <c r="V99" s="219" t="inlineStr">
        <is>
          <t>16/03/2026</t>
        </is>
      </c>
    </row>
    <row r="100" ht="15.75" customHeight="1" s="153">
      <c r="A100" s="237" t="n"/>
      <c r="B100" s="238" t="inlineStr">
        <is>
          <t>HNO OTNIEL</t>
        </is>
      </c>
      <c r="C100" s="239" t="n"/>
      <c r="D100" s="239" t="n"/>
      <c r="E100" s="239" t="n"/>
      <c r="F100" s="240" t="n"/>
      <c r="G100" s="240" t="n">
        <v>1</v>
      </c>
      <c r="H100" s="241" t="n">
        <v>5500</v>
      </c>
      <c r="I100" s="242" t="n"/>
      <c r="J100" s="242" t="n">
        <v>5500</v>
      </c>
      <c r="K100" s="233" t="n"/>
      <c r="L100" s="233">
        <f>IF(K100&lt;&gt;"",4650+K100,4650)</f>
        <v/>
      </c>
      <c r="M100" s="156" t="n"/>
      <c r="N100" s="156" t="n"/>
      <c r="O100" s="156" t="n"/>
      <c r="Q100" s="221" t="inlineStr">
        <is>
          <t>98</t>
        </is>
      </c>
      <c r="R100" s="222" t="inlineStr">
        <is>
          <t>GORRITI 5019</t>
        </is>
      </c>
      <c r="S100" s="223" t="n">
        <v>64000</v>
      </c>
      <c r="T100" s="224" t="n">
        <v>4000</v>
      </c>
      <c r="U100" s="225" t="n">
        <v>1</v>
      </c>
      <c r="V100" s="226" t="inlineStr">
        <is>
          <t>24/03/2026</t>
        </is>
      </c>
    </row>
    <row r="101" ht="15.75" customHeight="1" s="153">
      <c r="A101" s="227" t="n"/>
      <c r="B101" s="228" t="inlineStr">
        <is>
          <t>LUCHO</t>
        </is>
      </c>
      <c r="C101" s="229" t="n"/>
      <c r="D101" s="229" t="n"/>
      <c r="E101" s="229" t="n"/>
      <c r="F101" s="230" t="n"/>
      <c r="G101" s="230" t="n">
        <v>1</v>
      </c>
      <c r="H101" s="231" t="n">
        <v>5500</v>
      </c>
      <c r="I101" s="232" t="n">
        <v>5500</v>
      </c>
      <c r="J101" s="232" t="n"/>
      <c r="K101" s="233" t="n"/>
      <c r="L101" s="233">
        <f>IF(K101&lt;&gt;"",4650+K101,4650)</f>
        <v/>
      </c>
      <c r="M101" s="156" t="n"/>
      <c r="N101" s="156" t="n"/>
      <c r="O101" s="156" t="n"/>
      <c r="Q101" s="214" t="inlineStr">
        <is>
          <t>99</t>
        </is>
      </c>
      <c r="R101" s="215" t="inlineStr">
        <is>
          <t>CHICLANA 7325</t>
        </is>
      </c>
      <c r="S101" s="216" t="n">
        <v>63000</v>
      </c>
      <c r="T101" s="236" t="n">
        <v>3000</v>
      </c>
      <c r="U101" s="218" t="n">
        <v>4</v>
      </c>
      <c r="V101" s="219" t="inlineStr">
        <is>
          <t>22/04/2026</t>
        </is>
      </c>
    </row>
    <row r="102" ht="15.75" customHeight="1" s="153">
      <c r="A102" s="237" t="n"/>
      <c r="B102" s="238" t="inlineStr">
        <is>
          <t>P DE VEGA 1428</t>
        </is>
      </c>
      <c r="C102" s="239" t="n">
        <v>1</v>
      </c>
      <c r="D102" s="239" t="n"/>
      <c r="E102" s="239" t="n"/>
      <c r="F102" s="240" t="n"/>
      <c r="G102" s="240" t="n"/>
      <c r="H102" s="241" t="n">
        <v>22000</v>
      </c>
      <c r="I102" s="242" t="n">
        <v>22000</v>
      </c>
      <c r="J102" s="242" t="n"/>
      <c r="K102" s="233" t="n"/>
      <c r="L102" s="233">
        <f>IF(K102&lt;&gt;"",8500+K102,8500)</f>
        <v/>
      </c>
      <c r="M102" s="156" t="n"/>
      <c r="N102" s="156" t="n"/>
      <c r="O102" s="156" t="n"/>
      <c r="Q102" s="221" t="inlineStr">
        <is>
          <t>100</t>
        </is>
      </c>
      <c r="R102" s="222" t="inlineStr">
        <is>
          <t>LAVADERO</t>
        </is>
      </c>
      <c r="S102" s="223" t="n">
        <v>63000</v>
      </c>
      <c r="T102" s="224" t="n">
        <v>3000</v>
      </c>
      <c r="U102" s="225" t="n">
        <v>4</v>
      </c>
      <c r="V102" s="226" t="inlineStr">
        <is>
          <t>19/03/2026</t>
        </is>
      </c>
    </row>
    <row r="103" ht="15.75" customHeight="1" s="153">
      <c r="A103" s="227" t="n"/>
      <c r="B103" s="228" t="inlineStr">
        <is>
          <t>LOLI</t>
        </is>
      </c>
      <c r="C103" s="229" t="n"/>
      <c r="D103" s="229" t="n">
        <v>1</v>
      </c>
      <c r="E103" s="229" t="n"/>
      <c r="F103" s="230" t="n">
        <v>6</v>
      </c>
      <c r="G103" s="230" t="n"/>
      <c r="H103" s="231" t="n">
        <v>54000</v>
      </c>
      <c r="I103" s="232" t="n">
        <v>54000</v>
      </c>
      <c r="J103" s="232" t="n"/>
      <c r="K103" s="233" t="n"/>
      <c r="L103" s="233">
        <f>IF(K103&lt;&gt;"",19950+K103,19950)</f>
        <v/>
      </c>
      <c r="M103" s="156" t="n"/>
      <c r="N103" s="156" t="n"/>
      <c r="O103" s="156" t="n"/>
      <c r="Q103" s="214" t="inlineStr">
        <is>
          <t>101</t>
        </is>
      </c>
      <c r="R103" s="215" t="inlineStr">
        <is>
          <t>ESPORA 4858</t>
        </is>
      </c>
      <c r="S103" s="216" t="n">
        <v>62000</v>
      </c>
      <c r="T103" s="236" t="n">
        <v>17000</v>
      </c>
      <c r="U103" s="218" t="n">
        <v>1</v>
      </c>
      <c r="V103" s="219" t="inlineStr">
        <is>
          <t>13/03/2026</t>
        </is>
      </c>
    </row>
    <row r="104" ht="15.75" customHeight="1" s="153">
      <c r="A104" s="237" t="n"/>
      <c r="B104" s="238" t="inlineStr">
        <is>
          <t>LAVAISE 4366</t>
        </is>
      </c>
      <c r="C104" s="239" t="n"/>
      <c r="D104" s="239" t="n">
        <v>1</v>
      </c>
      <c r="E104" s="239" t="n"/>
      <c r="F104" s="240" t="n"/>
      <c r="G104" s="240" t="n"/>
      <c r="H104" s="241" t="n">
        <v>31500</v>
      </c>
      <c r="I104" s="242" t="n">
        <v>31500</v>
      </c>
      <c r="J104" s="242" t="n"/>
      <c r="K104" s="233" t="n"/>
      <c r="L104" s="233">
        <f>IF(K104&lt;&gt;"",11250+K104,11250)</f>
        <v/>
      </c>
      <c r="M104" s="156" t="n"/>
      <c r="N104" s="156" t="n"/>
      <c r="O104" s="156" t="n"/>
      <c r="Q104" s="221" t="inlineStr">
        <is>
          <t>102</t>
        </is>
      </c>
      <c r="R104" s="222" t="inlineStr">
        <is>
          <t>ANGEL</t>
        </is>
      </c>
      <c r="S104" s="223" t="n">
        <v>59500</v>
      </c>
      <c r="T104" s="224" t="n">
        <v>7000</v>
      </c>
      <c r="U104" s="225" t="n">
        <v>2</v>
      </c>
      <c r="V104" s="226" t="inlineStr">
        <is>
          <t>16/04/2026</t>
        </is>
      </c>
    </row>
    <row r="105" ht="15.75" customHeight="1" s="153">
      <c r="A105" s="227" t="n"/>
      <c r="B105" s="228" t="inlineStr">
        <is>
          <t>A DELGADO 1737</t>
        </is>
      </c>
      <c r="C105" s="229" t="n">
        <v>1</v>
      </c>
      <c r="D105" s="229" t="n"/>
      <c r="E105" s="229" t="n"/>
      <c r="F105" s="230" t="n"/>
      <c r="G105" s="230" t="n"/>
      <c r="H105" s="231" t="n">
        <v>23000</v>
      </c>
      <c r="I105" s="232" t="n">
        <v>23000</v>
      </c>
      <c r="J105" s="232" t="n"/>
      <c r="K105" s="233" t="n"/>
      <c r="L105" s="233">
        <f>IF(K105&lt;&gt;"",9500+K105,9500)</f>
        <v/>
      </c>
      <c r="M105" s="156" t="n"/>
      <c r="N105" s="156" t="n"/>
      <c r="O105" s="156" t="n"/>
      <c r="Q105" s="214" t="inlineStr">
        <is>
          <t>103</t>
        </is>
      </c>
      <c r="R105" s="215" t="inlineStr">
        <is>
          <t>LAVAISE 3786</t>
        </is>
      </c>
      <c r="S105" s="216" t="n">
        <v>58000</v>
      </c>
      <c r="T105" s="236" t="n">
        <v>20500</v>
      </c>
      <c r="U105" s="218" t="n">
        <v>1</v>
      </c>
      <c r="V105" s="219" t="inlineStr">
        <is>
          <t>08/04/2026</t>
        </is>
      </c>
    </row>
    <row r="106" ht="15.75" customHeight="1" s="153">
      <c r="A106" s="237" t="n"/>
      <c r="B106" s="238" t="inlineStr">
        <is>
          <t>SABOREAR</t>
        </is>
      </c>
      <c r="C106" s="239" t="n"/>
      <c r="D106" s="239" t="n">
        <v>1</v>
      </c>
      <c r="E106" s="239" t="n"/>
      <c r="F106" s="240" t="n"/>
      <c r="G106" s="240" t="n"/>
      <c r="H106" s="241" t="n">
        <v>29000</v>
      </c>
      <c r="I106" s="242" t="n"/>
      <c r="J106" s="242" t="n">
        <v>29000</v>
      </c>
      <c r="K106" s="233" t="n"/>
      <c r="L106" s="233">
        <f>IF(K106&lt;&gt;"",8750+K106,8750)</f>
        <v/>
      </c>
      <c r="M106" s="156" t="n"/>
      <c r="N106" s="156" t="n"/>
      <c r="O106" s="156" t="n"/>
      <c r="Q106" s="221" t="inlineStr">
        <is>
          <t>104</t>
        </is>
      </c>
      <c r="R106" s="222" t="inlineStr">
        <is>
          <t>CASANELLO 3463</t>
        </is>
      </c>
      <c r="S106" s="223" t="n">
        <v>56500</v>
      </c>
      <c r="T106" s="224" t="n">
        <v>19000</v>
      </c>
      <c r="U106" s="225" t="n">
        <v>1</v>
      </c>
      <c r="V106" s="226" t="inlineStr">
        <is>
          <t>09/04/2026</t>
        </is>
      </c>
    </row>
    <row r="107" ht="15.75" customHeight="1" s="153">
      <c r="A107" s="227" t="n"/>
      <c r="B107" s="228" t="inlineStr">
        <is>
          <t>FILOMENA</t>
        </is>
      </c>
      <c r="C107" s="229" t="n">
        <v>2</v>
      </c>
      <c r="D107" s="229" t="n"/>
      <c r="E107" s="229" t="n"/>
      <c r="F107" s="230" t="n"/>
      <c r="G107" s="230" t="n"/>
      <c r="H107" s="231" t="n">
        <v>38000</v>
      </c>
      <c r="I107" s="232" t="n"/>
      <c r="J107" s="232" t="n">
        <v>38000</v>
      </c>
      <c r="K107" s="233" t="n"/>
      <c r="L107" s="233">
        <f>IF(K107&lt;&gt;"",11000+K107,11000)</f>
        <v/>
      </c>
      <c r="M107" s="156" t="n"/>
      <c r="N107" s="156" t="n"/>
      <c r="O107" s="156" t="n"/>
      <c r="Q107" s="214" t="inlineStr">
        <is>
          <t>105</t>
        </is>
      </c>
      <c r="R107" s="215" t="inlineStr">
        <is>
          <t>PUBLICO 2527</t>
        </is>
      </c>
      <c r="S107" s="216" t="n">
        <v>55500</v>
      </c>
      <c r="T107" s="236" t="n">
        <v>18000</v>
      </c>
      <c r="U107" s="218" t="n">
        <v>1</v>
      </c>
      <c r="V107" s="219" t="inlineStr">
        <is>
          <t>14/03/2026</t>
        </is>
      </c>
    </row>
    <row r="108" ht="15.75" customHeight="1" s="153">
      <c r="A108" s="237" t="n"/>
      <c r="B108" s="238" t="inlineStr">
        <is>
          <t>ROTI AGUADO</t>
        </is>
      </c>
      <c r="C108" s="239" t="n"/>
      <c r="D108" s="239" t="n">
        <v>1</v>
      </c>
      <c r="E108" s="239" t="n"/>
      <c r="F108" s="240" t="n"/>
      <c r="G108" s="240" t="n"/>
      <c r="H108" s="241" t="n">
        <v>28000</v>
      </c>
      <c r="I108" s="242" t="n"/>
      <c r="J108" s="242" t="n">
        <v>28000</v>
      </c>
      <c r="K108" s="233" t="n"/>
      <c r="L108" s="233">
        <f>IF(K108&lt;&gt;"",7750+K108,7750)</f>
        <v/>
      </c>
      <c r="M108" s="156" t="n"/>
      <c r="N108" s="156" t="n"/>
      <c r="O108" s="156" t="n"/>
      <c r="Q108" s="221" t="inlineStr">
        <is>
          <t>106</t>
        </is>
      </c>
      <c r="R108" s="222" t="inlineStr">
        <is>
          <t>LOLI</t>
        </is>
      </c>
      <c r="S108" s="223" t="n">
        <v>54000</v>
      </c>
      <c r="T108" s="224" t="n">
        <v>17700</v>
      </c>
      <c r="U108" s="225" t="n">
        <v>1</v>
      </c>
      <c r="V108" s="226" t="inlineStr">
        <is>
          <t>08/04/2026</t>
        </is>
      </c>
    </row>
    <row r="109" ht="15.75" customHeight="1" s="153">
      <c r="A109" s="227" t="n"/>
      <c r="B109" s="228" t="inlineStr">
        <is>
          <t>ANA ABDALA</t>
        </is>
      </c>
      <c r="C109" s="229" t="n">
        <v>1</v>
      </c>
      <c r="D109" s="229" t="n"/>
      <c r="E109" s="229" t="n"/>
      <c r="F109" s="230" t="n"/>
      <c r="G109" s="230" t="n"/>
      <c r="H109" s="231" t="n">
        <v>23000</v>
      </c>
      <c r="I109" s="232" t="n">
        <v>23000</v>
      </c>
      <c r="J109" s="232" t="n"/>
      <c r="K109" s="233" t="n"/>
      <c r="L109" s="233">
        <f>IF(K109&lt;&gt;"",9500+K109,9500)</f>
        <v/>
      </c>
      <c r="M109" s="156" t="n"/>
      <c r="N109" s="156" t="n"/>
      <c r="O109" s="156" t="n"/>
      <c r="Q109" s="214" t="inlineStr">
        <is>
          <t>107</t>
        </is>
      </c>
      <c r="R109" s="215" t="inlineStr">
        <is>
          <t>M ZAPATA 2101</t>
        </is>
      </c>
      <c r="S109" s="216" t="n">
        <v>52500</v>
      </c>
      <c r="T109" s="236" t="n">
        <v>7500</v>
      </c>
      <c r="U109" s="218" t="n">
        <v>1</v>
      </c>
      <c r="V109" s="219" t="inlineStr">
        <is>
          <t>01/04/2026</t>
        </is>
      </c>
    </row>
    <row r="110" ht="15.75" customHeight="1" s="153">
      <c r="A110" s="237" t="n"/>
      <c r="B110" s="238" t="inlineStr">
        <is>
          <t>ROTI VIEYTES</t>
        </is>
      </c>
      <c r="C110" s="239" t="n"/>
      <c r="D110" s="239" t="n">
        <v>2</v>
      </c>
      <c r="E110" s="239" t="n"/>
      <c r="F110" s="240" t="n"/>
      <c r="G110" s="240" t="n"/>
      <c r="H110" s="241" t="n">
        <v>45000</v>
      </c>
      <c r="I110" s="242" t="n"/>
      <c r="J110" s="242" t="n">
        <v>45000</v>
      </c>
      <c r="K110" s="233" t="n"/>
      <c r="L110" s="233">
        <f>IF(K110&lt;&gt;"",4500+K110,4500)</f>
        <v/>
      </c>
      <c r="M110" s="156" t="n"/>
      <c r="N110" s="156" t="n"/>
      <c r="O110" s="156" t="n"/>
      <c r="Q110" s="221" t="inlineStr">
        <is>
          <t>108</t>
        </is>
      </c>
      <c r="R110" s="222" t="inlineStr">
        <is>
          <t>LUCHO3</t>
        </is>
      </c>
      <c r="S110" s="223" t="n">
        <v>51000</v>
      </c>
      <c r="T110" s="224" t="n">
        <v>6000</v>
      </c>
      <c r="U110" s="225" t="n">
        <v>1</v>
      </c>
      <c r="V110" s="226" t="inlineStr">
        <is>
          <t>13/03/2026</t>
        </is>
      </c>
    </row>
    <row r="111" ht="15.75" customHeight="1" s="153">
      <c r="A111" s="227" t="n"/>
      <c r="B111" s="228" t="inlineStr">
        <is>
          <t>PANA VIEYTES 4500</t>
        </is>
      </c>
      <c r="C111" s="229" t="n"/>
      <c r="D111" s="229" t="n"/>
      <c r="E111" s="229" t="n">
        <v>1</v>
      </c>
      <c r="F111" s="230" t="n"/>
      <c r="G111" s="230" t="n"/>
      <c r="H111" s="231" t="n">
        <v>68000</v>
      </c>
      <c r="I111" s="232" t="n"/>
      <c r="J111" s="232" t="n">
        <v>68000</v>
      </c>
      <c r="K111" s="233" t="n"/>
      <c r="L111" s="233">
        <f>IF(K111&lt;&gt;"",19000+K111,19000)</f>
        <v/>
      </c>
      <c r="M111" s="156" t="n"/>
      <c r="N111" s="156" t="n"/>
      <c r="O111" s="156" t="n"/>
      <c r="Q111" s="214" t="inlineStr">
        <is>
          <t>109</t>
        </is>
      </c>
      <c r="R111" s="215" t="inlineStr">
        <is>
          <t>D SILVA4217</t>
        </is>
      </c>
      <c r="S111" s="216" t="n">
        <v>51000</v>
      </c>
      <c r="T111" s="236" t="n">
        <v>6000</v>
      </c>
      <c r="U111" s="218" t="n">
        <v>1</v>
      </c>
      <c r="V111" s="219" t="inlineStr">
        <is>
          <t>15/03/2026</t>
        </is>
      </c>
    </row>
    <row r="112" ht="15.75" customHeight="1" s="153">
      <c r="A112" s="237" t="n"/>
      <c r="B112" s="238" t="inlineStr">
        <is>
          <t>NAMUNCURA 4436</t>
        </is>
      </c>
      <c r="C112" s="239" t="n"/>
      <c r="D112" s="239" t="n"/>
      <c r="E112" s="239" t="n">
        <v>1</v>
      </c>
      <c r="F112" s="240" t="n"/>
      <c r="G112" s="240" t="n"/>
      <c r="H112" s="241" t="n">
        <v>76000</v>
      </c>
      <c r="I112" s="242" t="n"/>
      <c r="J112" s="242" t="n">
        <v>76000</v>
      </c>
      <c r="K112" s="233" t="n"/>
      <c r="L112" s="233">
        <f>IF(K112&lt;&gt;"",27000+K112,27000)</f>
        <v/>
      </c>
      <c r="M112" s="156" t="n"/>
      <c r="N112" s="156" t="n"/>
      <c r="O112" s="156" t="n"/>
      <c r="Q112" s="221" t="inlineStr">
        <is>
          <t>110</t>
        </is>
      </c>
      <c r="R112" s="222" t="inlineStr">
        <is>
          <t>TERRAZAS DANTE</t>
        </is>
      </c>
      <c r="S112" s="223" t="n">
        <v>51000</v>
      </c>
      <c r="T112" s="224" t="n">
        <v>21000</v>
      </c>
      <c r="U112" s="225" t="n">
        <v>1</v>
      </c>
      <c r="V112" s="226" t="inlineStr">
        <is>
          <t>22/03/2026</t>
        </is>
      </c>
    </row>
    <row r="113" ht="15.75" customHeight="1" s="153">
      <c r="A113" s="227" t="n"/>
      <c r="B113" s="228" t="inlineStr">
        <is>
          <t>NACHO</t>
        </is>
      </c>
      <c r="C113" s="229" t="n"/>
      <c r="D113" s="229" t="n">
        <v>2</v>
      </c>
      <c r="E113" s="229" t="n"/>
      <c r="F113" s="230" t="n"/>
      <c r="G113" s="230" t="n"/>
      <c r="H113" s="231" t="n">
        <v>28500</v>
      </c>
      <c r="I113" s="232" t="n"/>
      <c r="J113" s="232" t="n">
        <v>28500</v>
      </c>
      <c r="K113" s="233" t="n"/>
      <c r="L113" s="233">
        <f>IF(K113&lt;&gt;"",-12000+K113,-12000)</f>
        <v/>
      </c>
      <c r="M113" s="156" t="n"/>
      <c r="N113" s="156" t="n"/>
      <c r="O113" s="156" t="n"/>
      <c r="Q113" s="214" t="inlineStr">
        <is>
          <t>111</t>
        </is>
      </c>
      <c r="R113" s="215" t="inlineStr">
        <is>
          <t>ROTI VIYTES</t>
        </is>
      </c>
      <c r="S113" s="216" t="n">
        <v>50000</v>
      </c>
      <c r="T113" s="236" t="n">
        <v>5000</v>
      </c>
      <c r="U113" s="218" t="n">
        <v>1</v>
      </c>
      <c r="V113" s="219" t="inlineStr">
        <is>
          <t>19/03/2026</t>
        </is>
      </c>
    </row>
    <row r="114" ht="15.75" customHeight="1" s="153">
      <c r="A114" s="237" t="n">
        <v>46090</v>
      </c>
      <c r="B114" s="238" t="inlineStr">
        <is>
          <t>DOMINGO SIVLA 4217</t>
        </is>
      </c>
      <c r="C114" s="239" t="n">
        <v>3</v>
      </c>
      <c r="D114" s="239" t="n"/>
      <c r="E114" s="239" t="n"/>
      <c r="F114" s="240" t="n"/>
      <c r="G114" s="240" t="n"/>
      <c r="H114" s="241" t="n">
        <v>43500</v>
      </c>
      <c r="I114" s="242" t="n"/>
      <c r="J114" s="242" t="n">
        <v>43500</v>
      </c>
      <c r="K114" s="233" t="n"/>
      <c r="L114" s="233">
        <f>IF(K114&lt;&gt;"",3000+K114,3000)</f>
        <v/>
      </c>
      <c r="M114" s="156" t="n"/>
      <c r="N114" s="156" t="n"/>
      <c r="O114" s="156" t="n"/>
      <c r="Q114" s="221" t="inlineStr">
        <is>
          <t>112</t>
        </is>
      </c>
      <c r="R114" s="222" t="inlineStr">
        <is>
          <t>RIO NEGRO 4464</t>
        </is>
      </c>
      <c r="S114" s="223" t="n">
        <v>49000</v>
      </c>
      <c r="T114" s="224" t="n">
        <v>19000</v>
      </c>
      <c r="U114" s="225" t="n">
        <v>1</v>
      </c>
      <c r="V114" s="226" t="inlineStr">
        <is>
          <t>17/03/2026</t>
        </is>
      </c>
    </row>
    <row r="115" ht="15.75" customHeight="1" s="153">
      <c r="A115" s="227" t="n"/>
      <c r="B115" s="228" t="inlineStr">
        <is>
          <t xml:space="preserve">VIANDA JORGE </t>
        </is>
      </c>
      <c r="C115" s="229" t="n">
        <v>1</v>
      </c>
      <c r="D115" s="229" t="n"/>
      <c r="E115" s="229" t="n"/>
      <c r="F115" s="230" t="n"/>
      <c r="G115" s="230" t="n"/>
      <c r="H115" s="231" t="n">
        <v>19000</v>
      </c>
      <c r="I115" s="232" t="n">
        <v>19000</v>
      </c>
      <c r="J115" s="232" t="n"/>
      <c r="K115" s="233" t="n"/>
      <c r="L115" s="233">
        <f>IF(K115&lt;&gt;"",5500+K115,5500)</f>
        <v/>
      </c>
      <c r="M115" s="156" t="n"/>
      <c r="N115" s="156" t="n"/>
      <c r="O115" s="156" t="n"/>
      <c r="Q115" s="214" t="inlineStr">
        <is>
          <t>113</t>
        </is>
      </c>
      <c r="R115" s="215" t="inlineStr">
        <is>
          <t>NECOCHEA 5587</t>
        </is>
      </c>
      <c r="S115" s="216" t="n">
        <v>49000</v>
      </c>
      <c r="T115" s="236" t="n">
        <v>19000</v>
      </c>
      <c r="U115" s="218" t="n">
        <v>1</v>
      </c>
      <c r="V115" s="219" t="inlineStr">
        <is>
          <t>17/03/2026</t>
        </is>
      </c>
    </row>
    <row r="116" ht="15.75" customHeight="1" s="153">
      <c r="A116" s="237" t="n"/>
      <c r="B116" s="238" t="inlineStr">
        <is>
          <t>OTNIEL</t>
        </is>
      </c>
      <c r="C116" s="239" t="n"/>
      <c r="D116" s="239" t="n"/>
      <c r="E116" s="239" t="n"/>
      <c r="F116" s="240" t="n">
        <v>4</v>
      </c>
      <c r="G116" s="240" t="n"/>
      <c r="H116" s="241" t="n">
        <v>14000</v>
      </c>
      <c r="I116" s="242" t="n"/>
      <c r="J116" s="242" t="n">
        <v>14000</v>
      </c>
      <c r="K116" s="233" t="n"/>
      <c r="L116" s="233">
        <f>IF(K116&lt;&gt;"",4800+K116,4800)</f>
        <v/>
      </c>
      <c r="M116" s="156" t="n"/>
      <c r="N116" s="156" t="n"/>
      <c r="O116" s="156" t="n"/>
      <c r="Q116" s="221" t="inlineStr">
        <is>
          <t>114</t>
        </is>
      </c>
      <c r="R116" s="222" t="inlineStr">
        <is>
          <t>ALSINA 9348</t>
        </is>
      </c>
      <c r="S116" s="223" t="n">
        <v>44000</v>
      </c>
      <c r="T116" s="224" t="n">
        <v>14000</v>
      </c>
      <c r="U116" s="225" t="n">
        <v>1</v>
      </c>
      <c r="V116" s="226" t="inlineStr">
        <is>
          <t>11/03/2026</t>
        </is>
      </c>
    </row>
    <row r="117" ht="15.75" customHeight="1" s="153">
      <c r="A117" s="227" t="n"/>
      <c r="B117" s="228" t="inlineStr">
        <is>
          <t>CHICLAMNA 7325</t>
        </is>
      </c>
      <c r="C117" s="229" t="n">
        <v>1</v>
      </c>
      <c r="D117" s="229" t="n"/>
      <c r="E117" s="229" t="n"/>
      <c r="F117" s="230" t="n"/>
      <c r="G117" s="230" t="n"/>
      <c r="H117" s="231" t="n">
        <v>15500</v>
      </c>
      <c r="I117" s="232" t="n">
        <v>15500</v>
      </c>
      <c r="J117" s="232" t="n"/>
      <c r="K117" s="233" t="n"/>
      <c r="L117" s="233">
        <f>IF(K117&lt;&gt;"",2000+K117,2000)</f>
        <v/>
      </c>
      <c r="M117" s="156" t="n"/>
      <c r="N117" s="156" t="n"/>
      <c r="O117" s="156" t="n"/>
      <c r="Q117" s="214" t="inlineStr">
        <is>
          <t>115</t>
        </is>
      </c>
      <c r="R117" s="215" t="inlineStr">
        <is>
          <t>DOMINGO SIVLA 4217</t>
        </is>
      </c>
      <c r="S117" s="216" t="n">
        <v>43500</v>
      </c>
      <c r="T117" s="217" t="n">
        <v>-1500</v>
      </c>
      <c r="U117" s="218" t="n">
        <v>1</v>
      </c>
      <c r="V117" s="219" t="inlineStr">
        <is>
          <t>09/03/2026</t>
        </is>
      </c>
    </row>
    <row r="118" ht="15.75" customHeight="1" s="153">
      <c r="A118" s="237" t="n"/>
      <c r="B118" s="238" t="inlineStr">
        <is>
          <t>EX COMBATIENTES 5583</t>
        </is>
      </c>
      <c r="C118" s="239" t="n">
        <v>1</v>
      </c>
      <c r="D118" s="239" t="n"/>
      <c r="E118" s="239" t="n"/>
      <c r="F118" s="240" t="n"/>
      <c r="G118" s="240" t="n"/>
      <c r="H118" s="241" t="n">
        <v>21000</v>
      </c>
      <c r="I118" s="242" t="n">
        <v>21000</v>
      </c>
      <c r="J118" s="242" t="n"/>
      <c r="K118" s="233" t="n"/>
      <c r="L118" s="233">
        <f>IF(K118&lt;&gt;"",7500+K118,7500)</f>
        <v/>
      </c>
      <c r="M118" s="156" t="n"/>
      <c r="N118" s="156" t="n"/>
      <c r="O118" s="156" t="n"/>
      <c r="Q118" s="221" t="inlineStr">
        <is>
          <t>116</t>
        </is>
      </c>
      <c r="R118" s="222" t="inlineStr">
        <is>
          <t>PARRI GABOTO</t>
        </is>
      </c>
      <c r="S118" s="223" t="n">
        <v>42000</v>
      </c>
      <c r="T118" s="224" t="n">
        <v>12000</v>
      </c>
      <c r="U118" s="225" t="n">
        <v>1</v>
      </c>
      <c r="V118" s="226" t="inlineStr">
        <is>
          <t>22/03/2026</t>
        </is>
      </c>
    </row>
    <row r="119" ht="15.75" customHeight="1" s="153">
      <c r="A119" s="227" t="n"/>
      <c r="B119" s="228" t="inlineStr">
        <is>
          <t>SAN MARTIN 1925</t>
        </is>
      </c>
      <c r="C119" s="229" t="n">
        <v>1</v>
      </c>
      <c r="D119" s="229" t="n"/>
      <c r="E119" s="229" t="n"/>
      <c r="F119" s="230" t="n"/>
      <c r="G119" s="230" t="n"/>
      <c r="H119" s="231" t="n">
        <v>22000</v>
      </c>
      <c r="I119" s="232" t="n">
        <v>22000</v>
      </c>
      <c r="J119" s="232" t="n"/>
      <c r="K119" s="233" t="n"/>
      <c r="L119" s="233">
        <f>IF(K119&lt;&gt;"",8500+K119,8500)</f>
        <v/>
      </c>
      <c r="M119" s="156" t="n"/>
      <c r="N119" s="156" t="n"/>
      <c r="O119" s="156" t="n"/>
      <c r="Q119" s="214" t="inlineStr">
        <is>
          <t>117</t>
        </is>
      </c>
      <c r="R119" s="215" t="inlineStr">
        <is>
          <t>CAMELI 4860</t>
        </is>
      </c>
      <c r="S119" s="216" t="n">
        <v>42000</v>
      </c>
      <c r="T119" s="236" t="n">
        <v>12000</v>
      </c>
      <c r="U119" s="218" t="n">
        <v>1</v>
      </c>
      <c r="V119" s="219" t="inlineStr">
        <is>
          <t>17/04/2026</t>
        </is>
      </c>
    </row>
    <row r="120" ht="15.75" customHeight="1" s="153">
      <c r="A120" s="237" t="n"/>
      <c r="B120" s="238" t="inlineStr">
        <is>
          <t>LARREA 5068</t>
        </is>
      </c>
      <c r="C120" s="239" t="n">
        <v>1</v>
      </c>
      <c r="D120" s="239" t="n"/>
      <c r="E120" s="239" t="n"/>
      <c r="F120" s="240" t="n"/>
      <c r="G120" s="240" t="n"/>
      <c r="H120" s="241" t="n">
        <v>22000</v>
      </c>
      <c r="I120" s="242" t="n">
        <v>22000</v>
      </c>
      <c r="J120" s="242" t="n"/>
      <c r="K120" s="233" t="n"/>
      <c r="L120" s="233">
        <f>IF(K120&lt;&gt;"",8500+K120,8500)</f>
        <v/>
      </c>
      <c r="M120" s="156" t="n"/>
      <c r="N120" s="156" t="n"/>
      <c r="O120" s="156" t="n"/>
      <c r="Q120" s="221" t="inlineStr">
        <is>
          <t>118</t>
        </is>
      </c>
      <c r="R120" s="222" t="inlineStr">
        <is>
          <t>AYACUCHO 3817</t>
        </is>
      </c>
      <c r="S120" s="223" t="n">
        <v>42000</v>
      </c>
      <c r="T120" s="224" t="n">
        <v>12000</v>
      </c>
      <c r="U120" s="225" t="n">
        <v>1</v>
      </c>
      <c r="V120" s="226" t="inlineStr">
        <is>
          <t>21/03/2026</t>
        </is>
      </c>
    </row>
    <row r="121" ht="15.75" customHeight="1" s="153">
      <c r="A121" s="227" t="n"/>
      <c r="B121" s="228" t="inlineStr">
        <is>
          <t>RISSO 5454</t>
        </is>
      </c>
      <c r="C121" s="229" t="n">
        <v>1</v>
      </c>
      <c r="D121" s="229" t="n"/>
      <c r="E121" s="229" t="n"/>
      <c r="F121" s="230" t="n"/>
      <c r="G121" s="230" t="n"/>
      <c r="H121" s="231" t="n">
        <v>21000</v>
      </c>
      <c r="I121" s="232" t="n">
        <v>21000</v>
      </c>
      <c r="J121" s="232" t="n"/>
      <c r="K121" s="233" t="n"/>
      <c r="L121" s="233">
        <f>IF(K121&lt;&gt;"",7500+K121,7500)</f>
        <v/>
      </c>
      <c r="M121" s="156" t="n"/>
      <c r="N121" s="156" t="n"/>
      <c r="O121" s="156" t="n"/>
      <c r="Q121" s="214" t="inlineStr">
        <is>
          <t>119</t>
        </is>
      </c>
      <c r="R121" s="215" t="inlineStr">
        <is>
          <t>IGUALDAD</t>
        </is>
      </c>
      <c r="S121" s="216" t="n">
        <v>41000</v>
      </c>
      <c r="T121" s="236" t="n">
        <v>11000</v>
      </c>
      <c r="U121" s="218" t="n">
        <v>2</v>
      </c>
      <c r="V121" s="219" t="inlineStr">
        <is>
          <t>10/04/2026</t>
        </is>
      </c>
    </row>
    <row r="122" ht="15.75" customHeight="1" s="153">
      <c r="A122" s="237" t="n"/>
      <c r="B122" s="238" t="inlineStr">
        <is>
          <t>SANDRA</t>
        </is>
      </c>
      <c r="C122" s="239" t="n">
        <v>1</v>
      </c>
      <c r="D122" s="239" t="n"/>
      <c r="E122" s="239" t="n"/>
      <c r="F122" s="240" t="n"/>
      <c r="G122" s="240" t="n"/>
      <c r="H122" s="241" t="n">
        <v>15500</v>
      </c>
      <c r="I122" s="242" t="n">
        <v>15500</v>
      </c>
      <c r="J122" s="242" t="n"/>
      <c r="K122" s="233" t="n"/>
      <c r="L122" s="233">
        <f>IF(K122&lt;&gt;"",2000+K122,2000)</f>
        <v/>
      </c>
      <c r="M122" s="156" t="n"/>
      <c r="N122" s="156" t="n"/>
      <c r="O122" s="156" t="n"/>
      <c r="Q122" s="221" t="inlineStr">
        <is>
          <t>120</t>
        </is>
      </c>
      <c r="R122" s="222" t="inlineStr">
        <is>
          <t>ABUELA MARGA</t>
        </is>
      </c>
      <c r="S122" s="223" t="n">
        <v>39000</v>
      </c>
      <c r="T122" s="224" t="n">
        <v>9000</v>
      </c>
      <c r="U122" s="225" t="n">
        <v>1</v>
      </c>
      <c r="V122" s="226" t="inlineStr">
        <is>
          <t>06/03/2026</t>
        </is>
      </c>
    </row>
    <row r="123" ht="15.75" customHeight="1" s="153">
      <c r="A123" s="227" t="n"/>
      <c r="B123" s="228" t="inlineStr">
        <is>
          <t>F FERNANDEZ Y VIÑAS</t>
        </is>
      </c>
      <c r="C123" s="229" t="n">
        <v>1</v>
      </c>
      <c r="D123" s="229" t="n"/>
      <c r="E123" s="229" t="n"/>
      <c r="F123" s="230" t="n"/>
      <c r="G123" s="230" t="n"/>
      <c r="H123" s="231" t="n">
        <v>21000</v>
      </c>
      <c r="I123" s="232" t="n">
        <v>21000</v>
      </c>
      <c r="J123" s="232" t="n"/>
      <c r="K123" s="233" t="n"/>
      <c r="L123" s="233">
        <f>IF(K123&lt;&gt;"",7500+K123,7500)</f>
        <v/>
      </c>
      <c r="M123" s="156" t="n"/>
      <c r="N123" s="156" t="n"/>
      <c r="O123" s="156" t="n"/>
      <c r="Q123" s="214" t="inlineStr">
        <is>
          <t>121</t>
        </is>
      </c>
      <c r="R123" s="215" t="inlineStr">
        <is>
          <t>FILOMEN A</t>
        </is>
      </c>
      <c r="S123" s="216" t="n">
        <v>38000</v>
      </c>
      <c r="T123" s="236" t="n">
        <v>8000</v>
      </c>
      <c r="U123" s="218" t="n">
        <v>1</v>
      </c>
      <c r="V123" s="219" t="inlineStr">
        <is>
          <t>12/03/2026</t>
        </is>
      </c>
    </row>
    <row r="124" ht="15.75" customHeight="1" s="153">
      <c r="A124" s="237" t="n"/>
      <c r="B124" s="238" t="inlineStr">
        <is>
          <t>PENALOZA 7220</t>
        </is>
      </c>
      <c r="C124" s="239" t="n"/>
      <c r="D124" s="239" t="n"/>
      <c r="E124" s="239" t="n">
        <v>1</v>
      </c>
      <c r="F124" s="240" t="n"/>
      <c r="G124" s="240" t="n"/>
      <c r="H124" s="241" t="n">
        <v>74000</v>
      </c>
      <c r="I124" s="242" t="n"/>
      <c r="J124" s="242" t="n">
        <v>74000</v>
      </c>
      <c r="K124" s="233" t="n"/>
      <c r="L124" s="233">
        <f>IF(K124&lt;&gt;"",25000+K124,25000)</f>
        <v/>
      </c>
      <c r="M124" s="156" t="n"/>
      <c r="N124" s="156" t="n"/>
      <c r="O124" s="156" t="n"/>
      <c r="Q124" s="221" t="inlineStr">
        <is>
          <t>122</t>
        </is>
      </c>
      <c r="R124" s="222" t="inlineStr">
        <is>
          <t>ROTI ZEBALLOS</t>
        </is>
      </c>
      <c r="S124" s="223" t="n">
        <v>38000</v>
      </c>
      <c r="T124" s="224" t="n">
        <v>8000</v>
      </c>
      <c r="U124" s="225" t="n">
        <v>1</v>
      </c>
      <c r="V124" s="226" t="inlineStr">
        <is>
          <t>04/03/2026</t>
        </is>
      </c>
    </row>
    <row r="125" ht="15.75" customHeight="1" s="153">
      <c r="A125" s="227" t="n"/>
      <c r="B125" s="228" t="inlineStr">
        <is>
          <t>AZOPARDO 7218</t>
        </is>
      </c>
      <c r="C125" s="229" t="n">
        <v>1</v>
      </c>
      <c r="D125" s="229" t="n"/>
      <c r="E125" s="229" t="n"/>
      <c r="F125" s="230" t="n"/>
      <c r="G125" s="230" t="n"/>
      <c r="H125" s="231" t="n">
        <v>21000</v>
      </c>
      <c r="I125" s="232" t="n">
        <v>21000</v>
      </c>
      <c r="J125" s="232" t="n"/>
      <c r="K125" s="233" t="n"/>
      <c r="L125" s="233">
        <f>IF(K125&lt;&gt;"",7500+K125,7500)</f>
        <v/>
      </c>
      <c r="M125" s="156" t="n"/>
      <c r="N125" s="156" t="n"/>
      <c r="O125" s="156" t="n"/>
      <c r="Q125" s="214" t="inlineStr">
        <is>
          <t>123</t>
        </is>
      </c>
      <c r="R125" s="215" t="inlineStr">
        <is>
          <t>SEGUI 1680</t>
        </is>
      </c>
      <c r="S125" s="216" t="n">
        <v>37500</v>
      </c>
      <c r="T125" s="236" t="n">
        <v>15000</v>
      </c>
      <c r="U125" s="218" t="n">
        <v>1</v>
      </c>
      <c r="V125" s="219" t="inlineStr">
        <is>
          <t>25/03/2026</t>
        </is>
      </c>
    </row>
    <row r="126" ht="15.75" customHeight="1" s="153">
      <c r="A126" s="237" t="n"/>
      <c r="B126" s="238" t="inlineStr">
        <is>
          <t>PANA GENESIO</t>
        </is>
      </c>
      <c r="C126" s="239" t="n">
        <v>1</v>
      </c>
      <c r="D126" s="239" t="n"/>
      <c r="E126" s="239" t="n"/>
      <c r="F126" s="240" t="n"/>
      <c r="G126" s="240" t="n"/>
      <c r="H126" s="241" t="n">
        <v>19000</v>
      </c>
      <c r="I126" s="242" t="n"/>
      <c r="J126" s="242" t="n">
        <v>19000</v>
      </c>
      <c r="K126" s="233" t="n"/>
      <c r="L126" s="233">
        <f>IF(K126&lt;&gt;"",5500+K126,5500)</f>
        <v/>
      </c>
      <c r="M126" s="156" t="n"/>
      <c r="N126" s="156" t="n"/>
      <c r="O126" s="156" t="n"/>
      <c r="Q126" s="221" t="inlineStr">
        <is>
          <t>124</t>
        </is>
      </c>
      <c r="R126" s="222" t="inlineStr">
        <is>
          <t>ALBERTI 4538</t>
        </is>
      </c>
      <c r="S126" s="223" t="n">
        <v>37500</v>
      </c>
      <c r="T126" s="224" t="n">
        <v>15000</v>
      </c>
      <c r="U126" s="225" t="n">
        <v>1</v>
      </c>
      <c r="V126" s="226" t="inlineStr">
        <is>
          <t>25/03/2026</t>
        </is>
      </c>
    </row>
    <row r="127" ht="15.75" customHeight="1" s="153">
      <c r="A127" s="227" t="n">
        <v>46091</v>
      </c>
      <c r="B127" s="228" t="inlineStr">
        <is>
          <t>SAN AMRTIN 3939</t>
        </is>
      </c>
      <c r="C127" s="229" t="n">
        <v>1</v>
      </c>
      <c r="D127" s="229" t="n"/>
      <c r="E127" s="229" t="n"/>
      <c r="F127" s="230" t="n"/>
      <c r="G127" s="230" t="n"/>
      <c r="H127" s="231" t="n">
        <v>23000</v>
      </c>
      <c r="I127" s="232" t="n">
        <v>23000</v>
      </c>
      <c r="J127" s="232" t="n"/>
      <c r="K127" s="233" t="n"/>
      <c r="L127" s="233">
        <f>IF(K127&lt;&gt;"",9500+K127,9500)</f>
        <v/>
      </c>
      <c r="M127" s="156" t="n"/>
      <c r="N127" s="156" t="n"/>
      <c r="O127" s="156" t="n"/>
      <c r="Q127" s="214" t="inlineStr">
        <is>
          <t>125</t>
        </is>
      </c>
      <c r="R127" s="215" t="inlineStr">
        <is>
          <t>PJE PAEZ Y 25 MAYO</t>
        </is>
      </c>
      <c r="S127" s="216" t="n">
        <v>37500</v>
      </c>
      <c r="T127" s="236" t="n">
        <v>15000</v>
      </c>
      <c r="U127" s="218" t="n">
        <v>1</v>
      </c>
      <c r="V127" s="219" t="inlineStr">
        <is>
          <t>24/03/2026</t>
        </is>
      </c>
    </row>
    <row r="128" ht="15.75" customHeight="1" s="153">
      <c r="A128" s="237" t="n"/>
      <c r="B128" s="238" t="inlineStr">
        <is>
          <t>PANA VIEYTES GISELA</t>
        </is>
      </c>
      <c r="C128" s="239" t="n"/>
      <c r="D128" s="239" t="n"/>
      <c r="E128" s="239" t="n"/>
      <c r="F128" s="240" t="n">
        <v>2</v>
      </c>
      <c r="G128" s="240" t="n"/>
      <c r="H128" s="241" t="n">
        <v>7000</v>
      </c>
      <c r="I128" s="242" t="n"/>
      <c r="J128" s="242" t="n">
        <v>7000</v>
      </c>
      <c r="K128" s="233" t="n"/>
      <c r="L128" s="233">
        <f>IF(K128&lt;&gt;"",2400+K128,2400)</f>
        <v/>
      </c>
      <c r="M128" s="156" t="n"/>
      <c r="N128" s="156" t="n"/>
      <c r="O128" s="156" t="n"/>
      <c r="Q128" s="221" t="inlineStr">
        <is>
          <t>126</t>
        </is>
      </c>
      <c r="R128" s="222" t="inlineStr">
        <is>
          <t>PUBLICO 2454</t>
        </is>
      </c>
      <c r="S128" s="223" t="n">
        <v>37500</v>
      </c>
      <c r="T128" s="224" t="n">
        <v>15000</v>
      </c>
      <c r="U128" s="225" t="n">
        <v>1</v>
      </c>
      <c r="V128" s="226" t="inlineStr">
        <is>
          <t>25/03/2026</t>
        </is>
      </c>
    </row>
    <row r="129" ht="15.75" customHeight="1" s="153">
      <c r="A129" s="227" t="n"/>
      <c r="B129" s="228" t="inlineStr">
        <is>
          <t>PAULO</t>
        </is>
      </c>
      <c r="C129" s="229" t="n">
        <v>3</v>
      </c>
      <c r="D129" s="229" t="n"/>
      <c r="E129" s="229" t="n"/>
      <c r="F129" s="230" t="n"/>
      <c r="G129" s="230" t="n"/>
      <c r="H129" s="231" t="n">
        <v>46500</v>
      </c>
      <c r="I129" s="232" t="n">
        <v>46500</v>
      </c>
      <c r="J129" s="232" t="n"/>
      <c r="K129" s="233" t="n"/>
      <c r="L129" s="233">
        <f>IF(K129&lt;&gt;"",6000+K129,6000)</f>
        <v/>
      </c>
      <c r="M129" s="156" t="n"/>
      <c r="N129" s="156" t="n"/>
      <c r="O129" s="156" t="n"/>
      <c r="Q129" s="214" t="inlineStr">
        <is>
          <t>127</t>
        </is>
      </c>
      <c r="R129" s="215" t="inlineStr">
        <is>
          <t>ALMOMACID 4615</t>
        </is>
      </c>
      <c r="S129" s="216" t="n">
        <v>37500</v>
      </c>
      <c r="T129" s="236" t="n">
        <v>15000</v>
      </c>
      <c r="U129" s="218" t="n">
        <v>1</v>
      </c>
      <c r="V129" s="219" t="inlineStr">
        <is>
          <t>25/03/2026</t>
        </is>
      </c>
    </row>
    <row r="130" ht="15.75" customHeight="1" s="153">
      <c r="A130" s="237" t="n"/>
      <c r="B130" s="238" t="inlineStr">
        <is>
          <t>LUCHO</t>
        </is>
      </c>
      <c r="C130" s="239" t="n">
        <v>1</v>
      </c>
      <c r="D130" s="239" t="n"/>
      <c r="E130" s="239" t="n"/>
      <c r="F130" s="240" t="n"/>
      <c r="G130" s="240" t="n"/>
      <c r="H130" s="241" t="n">
        <v>15500</v>
      </c>
      <c r="I130" s="242" t="n">
        <v>15500</v>
      </c>
      <c r="J130" s="242" t="n"/>
      <c r="K130" s="233" t="n"/>
      <c r="L130" s="233">
        <f>IF(K130&lt;&gt;"",2000+K130,2000)</f>
        <v/>
      </c>
      <c r="M130" s="156" t="n"/>
      <c r="N130" s="156" t="n"/>
      <c r="O130" s="156" t="n"/>
      <c r="Q130" s="221" t="inlineStr">
        <is>
          <t>128</t>
        </is>
      </c>
      <c r="R130" s="222" t="inlineStr">
        <is>
          <t>CHICLANA 7849</t>
        </is>
      </c>
      <c r="S130" s="223" t="n">
        <v>36500</v>
      </c>
      <c r="T130" s="224" t="n">
        <v>14000</v>
      </c>
      <c r="U130" s="225" t="n">
        <v>1</v>
      </c>
      <c r="V130" s="226" t="inlineStr">
        <is>
          <t>19/03/2026</t>
        </is>
      </c>
    </row>
    <row r="131" ht="15.75" customHeight="1" s="153">
      <c r="A131" s="227" t="n"/>
      <c r="B131" s="228" t="inlineStr">
        <is>
          <t>AGUADP 6970</t>
        </is>
      </c>
      <c r="C131" s="229" t="n">
        <v>1</v>
      </c>
      <c r="D131" s="229" t="n"/>
      <c r="E131" s="229" t="n"/>
      <c r="F131" s="230" t="n"/>
      <c r="G131" s="230" t="n"/>
      <c r="H131" s="231" t="n">
        <v>22000</v>
      </c>
      <c r="I131" s="232" t="n">
        <v>22000</v>
      </c>
      <c r="J131" s="232" t="n"/>
      <c r="K131" s="233" t="n"/>
      <c r="L131" s="233">
        <f>IF(K131&lt;&gt;"",8500+K131,8500)</f>
        <v/>
      </c>
      <c r="M131" s="156" t="n"/>
      <c r="N131" s="156" t="n"/>
      <c r="O131" s="156" t="n"/>
      <c r="Q131" s="214" t="inlineStr">
        <is>
          <t>129</t>
        </is>
      </c>
      <c r="R131" s="215" t="inlineStr">
        <is>
          <t>ARISTOBULO 5879</t>
        </is>
      </c>
      <c r="S131" s="216" t="n">
        <v>36000</v>
      </c>
      <c r="T131" s="236" t="n">
        <v>13500</v>
      </c>
      <c r="U131" s="218" t="n">
        <v>1</v>
      </c>
      <c r="V131" s="219" t="inlineStr">
        <is>
          <t>14/03/2026</t>
        </is>
      </c>
    </row>
    <row r="132" ht="15.75" customHeight="1" s="153">
      <c r="A132" s="237" t="n"/>
      <c r="B132" s="238" t="inlineStr">
        <is>
          <t>AYACUCHO 4878</t>
        </is>
      </c>
      <c r="C132" s="239" t="n"/>
      <c r="D132" s="239" t="n">
        <v>1</v>
      </c>
      <c r="E132" s="239" t="n"/>
      <c r="F132" s="240" t="n"/>
      <c r="G132" s="240" t="n"/>
      <c r="H132" s="241" t="n">
        <v>33000</v>
      </c>
      <c r="I132" s="242" t="n">
        <v>33000</v>
      </c>
      <c r="J132" s="242" t="n"/>
      <c r="K132" s="233" t="n"/>
      <c r="L132" s="233">
        <f>IF(K132&lt;&gt;"",12750+K132,12750)</f>
        <v/>
      </c>
      <c r="M132" s="156" t="n"/>
      <c r="N132" s="156" t="n"/>
      <c r="O132" s="156" t="n"/>
      <c r="Q132" s="221" t="inlineStr">
        <is>
          <t>130</t>
        </is>
      </c>
      <c r="R132" s="222" t="inlineStr">
        <is>
          <t>I CRESPO 7337</t>
        </is>
      </c>
      <c r="S132" s="223" t="n">
        <v>36000</v>
      </c>
      <c r="T132" s="224" t="n">
        <v>13500</v>
      </c>
      <c r="U132" s="225" t="n">
        <v>1</v>
      </c>
      <c r="V132" s="226" t="inlineStr">
        <is>
          <t>13/03/2026</t>
        </is>
      </c>
    </row>
    <row r="133" ht="15.75" customHeight="1" s="153">
      <c r="A133" s="227" t="n"/>
      <c r="B133" s="228" t="inlineStr">
        <is>
          <t>BRAZIL 4117</t>
        </is>
      </c>
      <c r="C133" s="229" t="n"/>
      <c r="D133" s="229" t="n"/>
      <c r="E133" s="229" t="n">
        <v>1</v>
      </c>
      <c r="F133" s="230" t="n"/>
      <c r="G133" s="230" t="n"/>
      <c r="H133" s="231" t="n">
        <v>76000</v>
      </c>
      <c r="I133" s="232" t="n"/>
      <c r="J133" s="232" t="n">
        <v>76000</v>
      </c>
      <c r="K133" s="233" t="n"/>
      <c r="L133" s="233">
        <f>IF(K133&lt;&gt;"",27000+K133,27000)</f>
        <v/>
      </c>
      <c r="M133" s="156" t="n"/>
      <c r="N133" s="156" t="n"/>
      <c r="O133" s="156" t="n"/>
      <c r="Q133" s="214" t="inlineStr">
        <is>
          <t>131</t>
        </is>
      </c>
      <c r="R133" s="215" t="inlineStr">
        <is>
          <t>EUROPA 9186</t>
        </is>
      </c>
      <c r="S133" s="216" t="n">
        <v>35500</v>
      </c>
      <c r="T133" s="236" t="n">
        <v>13000</v>
      </c>
      <c r="U133" s="218" t="n">
        <v>1</v>
      </c>
      <c r="V133" s="219" t="inlineStr">
        <is>
          <t>04/04/2026</t>
        </is>
      </c>
    </row>
    <row r="134" ht="15.75" customHeight="1" s="153">
      <c r="A134" s="237" t="n"/>
      <c r="B134" s="238" t="inlineStr">
        <is>
          <t>LASAGA 7023</t>
        </is>
      </c>
      <c r="C134" s="239" t="n"/>
      <c r="D134" s="239" t="n">
        <v>1</v>
      </c>
      <c r="E134" s="239" t="n"/>
      <c r="F134" s="240" t="n"/>
      <c r="G134" s="240" t="n"/>
      <c r="H134" s="241" t="n">
        <v>33000</v>
      </c>
      <c r="I134" s="242" t="n">
        <v>33000</v>
      </c>
      <c r="J134" s="242" t="n"/>
      <c r="K134" s="233" t="n"/>
      <c r="L134" s="233">
        <f>IF(K134&lt;&gt;"",12750+K134,12750)</f>
        <v/>
      </c>
      <c r="M134" s="156" t="n"/>
      <c r="N134" s="156" t="n"/>
      <c r="O134" s="156" t="n"/>
      <c r="Q134" s="221" t="inlineStr">
        <is>
          <t>132</t>
        </is>
      </c>
      <c r="R134" s="222" t="inlineStr">
        <is>
          <t>25 DE MAYO 2617</t>
        </is>
      </c>
      <c r="S134" s="223" t="n">
        <v>35500</v>
      </c>
      <c r="T134" s="224" t="n">
        <v>13000</v>
      </c>
      <c r="U134" s="225" t="n">
        <v>1</v>
      </c>
      <c r="V134" s="226" t="inlineStr">
        <is>
          <t>23/03/2026</t>
        </is>
      </c>
    </row>
    <row r="135" ht="15.75" customHeight="1" s="153">
      <c r="A135" s="227" t="n"/>
      <c r="B135" s="228" t="inlineStr">
        <is>
          <t>MARCE DUSSO</t>
        </is>
      </c>
      <c r="C135" s="229" t="n">
        <v>4</v>
      </c>
      <c r="D135" s="229" t="n"/>
      <c r="E135" s="229" t="n">
        <v>1</v>
      </c>
      <c r="F135" s="230" t="n"/>
      <c r="G135" s="230" t="n"/>
      <c r="H135" s="231" t="n">
        <v>132000</v>
      </c>
      <c r="I135" s="232" t="n"/>
      <c r="J135" s="232" t="n">
        <v>132000</v>
      </c>
      <c r="K135" s="233" t="n"/>
      <c r="L135" s="233">
        <f>IF(K135&lt;&gt;"",29000+K135,29000)</f>
        <v/>
      </c>
      <c r="M135" s="156" t="n"/>
      <c r="N135" s="156" t="n"/>
      <c r="O135" s="156" t="n"/>
      <c r="Q135" s="214" t="inlineStr">
        <is>
          <t>133</t>
        </is>
      </c>
      <c r="R135" s="215" t="inlineStr">
        <is>
          <t>CASTELLI 5406</t>
        </is>
      </c>
      <c r="S135" s="216" t="n">
        <v>35000</v>
      </c>
      <c r="T135" s="236" t="n">
        <v>12500</v>
      </c>
      <c r="U135" s="218" t="n">
        <v>1</v>
      </c>
      <c r="V135" s="219" t="inlineStr">
        <is>
          <t>15/03/2026</t>
        </is>
      </c>
    </row>
    <row r="136" ht="15.75" customHeight="1" s="153">
      <c r="A136" s="237" t="n"/>
      <c r="B136" s="238" t="inlineStr">
        <is>
          <t>RIVADAVIA JUNIOR</t>
        </is>
      </c>
      <c r="C136" s="239" t="n">
        <v>1</v>
      </c>
      <c r="D136" s="239" t="n"/>
      <c r="E136" s="239" t="n"/>
      <c r="F136" s="240" t="n"/>
      <c r="G136" s="240" t="n"/>
      <c r="H136" s="241" t="n">
        <v>23000</v>
      </c>
      <c r="I136" s="242" t="n">
        <v>23000</v>
      </c>
      <c r="J136" s="242" t="n"/>
      <c r="K136" s="233" t="n"/>
      <c r="L136" s="233">
        <f>IF(K136&lt;&gt;"",9500+K136,9500)</f>
        <v/>
      </c>
      <c r="M136" s="156" t="n"/>
      <c r="N136" s="156" t="n"/>
      <c r="O136" s="156" t="n"/>
      <c r="Q136" s="221" t="inlineStr">
        <is>
          <t>134</t>
        </is>
      </c>
      <c r="R136" s="222" t="inlineStr">
        <is>
          <t>VELEZ SARFIELD 5632</t>
        </is>
      </c>
      <c r="S136" s="223" t="n">
        <v>35000</v>
      </c>
      <c r="T136" s="224" t="n">
        <v>12500</v>
      </c>
      <c r="U136" s="225" t="n">
        <v>1</v>
      </c>
      <c r="V136" s="226" t="inlineStr">
        <is>
          <t>21/03/2026</t>
        </is>
      </c>
    </row>
    <row r="137" ht="15.75" customHeight="1" s="153">
      <c r="A137" s="227" t="n"/>
      <c r="B137" s="228" t="inlineStr">
        <is>
          <t>PIEDRABUENA 4599</t>
        </is>
      </c>
      <c r="C137" s="229" t="n"/>
      <c r="D137" s="229" t="n"/>
      <c r="E137" s="229" t="n">
        <v>1</v>
      </c>
      <c r="F137" s="230" t="n"/>
      <c r="G137" s="230" t="n"/>
      <c r="H137" s="231" t="n">
        <v>76000</v>
      </c>
      <c r="I137" s="232" t="n"/>
      <c r="J137" s="232" t="n">
        <v>76000</v>
      </c>
      <c r="K137" s="233" t="n"/>
      <c r="L137" s="233">
        <f>IF(K137&lt;&gt;"",27000+K137,27000)</f>
        <v/>
      </c>
      <c r="M137" s="156" t="n"/>
      <c r="N137" s="156" t="n"/>
      <c r="O137" s="156" t="n"/>
      <c r="Q137" s="214" t="inlineStr">
        <is>
          <t>135</t>
        </is>
      </c>
      <c r="R137" s="215" t="inlineStr">
        <is>
          <t>NINGO HIJA</t>
        </is>
      </c>
      <c r="S137" s="216" t="n">
        <v>34000</v>
      </c>
      <c r="T137" s="236" t="n">
        <v>11500</v>
      </c>
      <c r="U137" s="218" t="n">
        <v>1</v>
      </c>
      <c r="V137" s="219" t="inlineStr">
        <is>
          <t>18/03/2026</t>
        </is>
      </c>
    </row>
    <row r="138" ht="15.75" customHeight="1" s="153">
      <c r="A138" s="237" t="n"/>
      <c r="B138" s="238" t="inlineStr">
        <is>
          <t>FILOMENA</t>
        </is>
      </c>
      <c r="C138" s="239" t="n">
        <v>2</v>
      </c>
      <c r="D138" s="239" t="n"/>
      <c r="E138" s="239" t="n"/>
      <c r="F138" s="240" t="n"/>
      <c r="G138" s="240" t="n"/>
      <c r="H138" s="241" t="n">
        <v>38000</v>
      </c>
      <c r="I138" s="242" t="n"/>
      <c r="J138" s="242" t="n">
        <v>38000</v>
      </c>
      <c r="K138" s="233" t="n"/>
      <c r="L138" s="233">
        <f>IF(K138&lt;&gt;"",11000+K138,11000)</f>
        <v/>
      </c>
      <c r="M138" s="156" t="n"/>
      <c r="N138" s="156" t="n"/>
      <c r="O138" s="156" t="n"/>
      <c r="Q138" s="221" t="inlineStr">
        <is>
          <t>136</t>
        </is>
      </c>
      <c r="R138" s="222" t="inlineStr">
        <is>
          <t>COCO ABUELO FACU CACERE</t>
        </is>
      </c>
      <c r="S138" s="223" t="n">
        <v>34000</v>
      </c>
      <c r="T138" s="224" t="n">
        <v>11500</v>
      </c>
      <c r="U138" s="225" t="n">
        <v>1</v>
      </c>
      <c r="V138" s="226" t="inlineStr">
        <is>
          <t>23/03/2026</t>
        </is>
      </c>
    </row>
    <row r="139" ht="15.75" customHeight="1" s="153">
      <c r="A139" s="227" t="n"/>
      <c r="B139" s="228" t="inlineStr">
        <is>
          <t>CORDOBA 2753</t>
        </is>
      </c>
      <c r="C139" s="229" t="n"/>
      <c r="D139" s="229" t="n"/>
      <c r="E139" s="229" t="n">
        <v>1</v>
      </c>
      <c r="F139" s="230" t="n"/>
      <c r="G139" s="230" t="n"/>
      <c r="H139" s="231" t="n">
        <v>75000</v>
      </c>
      <c r="I139" s="232" t="n"/>
      <c r="J139" s="232" t="n">
        <v>75000</v>
      </c>
      <c r="K139" s="233" t="n"/>
      <c r="L139" s="233">
        <f>IF(K139&lt;&gt;"",26000+K139,26000)</f>
        <v/>
      </c>
      <c r="M139" s="156" t="n"/>
      <c r="N139" s="156" t="n"/>
      <c r="O139" s="156" t="n"/>
      <c r="Q139" s="214" t="inlineStr">
        <is>
          <t>137</t>
        </is>
      </c>
      <c r="R139" s="215" t="inlineStr">
        <is>
          <t>SAVEDRA 6545</t>
        </is>
      </c>
      <c r="S139" s="216" t="n">
        <v>33500</v>
      </c>
      <c r="T139" s="236" t="n">
        <v>11000</v>
      </c>
      <c r="U139" s="218" t="n">
        <v>1</v>
      </c>
      <c r="V139" s="219" t="inlineStr">
        <is>
          <t>23/03/2026</t>
        </is>
      </c>
    </row>
    <row r="140" ht="15.75" customHeight="1" s="153">
      <c r="A140" s="237" t="n"/>
      <c r="B140" s="238" t="inlineStr">
        <is>
          <t>EXE</t>
        </is>
      </c>
      <c r="C140" s="239" t="n">
        <v>2</v>
      </c>
      <c r="D140" s="239" t="n"/>
      <c r="E140" s="239" t="n">
        <v>1</v>
      </c>
      <c r="F140" s="240" t="n"/>
      <c r="G140" s="240" t="n"/>
      <c r="H140" s="241" t="n">
        <v>116000</v>
      </c>
      <c r="I140" s="242" t="n"/>
      <c r="J140" s="242" t="n">
        <v>116000</v>
      </c>
      <c r="K140" s="233" t="n"/>
      <c r="L140" s="233">
        <f>IF(K140&lt;&gt;"",40000+K140,40000)</f>
        <v/>
      </c>
      <c r="M140" s="156" t="n"/>
      <c r="N140" s="156" t="n"/>
      <c r="O140" s="156" t="n"/>
      <c r="Q140" s="221" t="inlineStr">
        <is>
          <t>138</t>
        </is>
      </c>
      <c r="R140" s="222" t="inlineStr">
        <is>
          <t>PAVON 4712</t>
        </is>
      </c>
      <c r="S140" s="223" t="n">
        <v>33500</v>
      </c>
      <c r="T140" s="224" t="n">
        <v>11000</v>
      </c>
      <c r="U140" s="225" t="n">
        <v>1</v>
      </c>
      <c r="V140" s="226" t="inlineStr">
        <is>
          <t>25/03/2026</t>
        </is>
      </c>
    </row>
    <row r="141" ht="15.75" customHeight="1" s="153">
      <c r="A141" s="227" t="n"/>
      <c r="B141" s="228" t="inlineStr">
        <is>
          <t>ROTI SAN LORENZO</t>
        </is>
      </c>
      <c r="C141" s="229" t="n">
        <v>2</v>
      </c>
      <c r="D141" s="229" t="n">
        <v>2</v>
      </c>
      <c r="E141" s="229" t="n"/>
      <c r="F141" s="230" t="n"/>
      <c r="G141" s="230" t="n"/>
      <c r="H141" s="231" t="n">
        <v>98000</v>
      </c>
      <c r="I141" s="232" t="n"/>
      <c r="J141" s="232" t="n">
        <v>98000</v>
      </c>
      <c r="K141" s="233" t="n"/>
      <c r="L141" s="233">
        <f>IF(K141&lt;&gt;"",30500+K141,30500)</f>
        <v/>
      </c>
      <c r="M141" s="156" t="n"/>
      <c r="N141" s="156" t="n"/>
      <c r="O141" s="156" t="n"/>
      <c r="Q141" s="214" t="inlineStr">
        <is>
          <t>139</t>
        </is>
      </c>
      <c r="R141" s="215" t="inlineStr">
        <is>
          <t>LARGUIA 7150</t>
        </is>
      </c>
      <c r="S141" s="216" t="n">
        <v>33500</v>
      </c>
      <c r="T141" s="236" t="n">
        <v>11000</v>
      </c>
      <c r="U141" s="218" t="n">
        <v>1</v>
      </c>
      <c r="V141" s="219" t="inlineStr">
        <is>
          <t>25/03/2026</t>
        </is>
      </c>
    </row>
    <row r="142" ht="15.75" customHeight="1" s="153">
      <c r="A142" s="237" t="n">
        <v>46092</v>
      </c>
      <c r="B142" s="238" t="inlineStr">
        <is>
          <t>VERA MUJICA 420</t>
        </is>
      </c>
      <c r="C142" s="239" t="n"/>
      <c r="D142" s="239" t="n">
        <v>1</v>
      </c>
      <c r="E142" s="239" t="n"/>
      <c r="F142" s="240" t="n"/>
      <c r="G142" s="240" t="n"/>
      <c r="H142" s="241" t="n">
        <v>33000</v>
      </c>
      <c r="I142" s="242" t="n">
        <v>33000</v>
      </c>
      <c r="J142" s="242" t="n"/>
      <c r="K142" s="233" t="n"/>
      <c r="L142" s="233">
        <f>IF(K142&lt;&gt;"",12750+K142,12750)</f>
        <v/>
      </c>
      <c r="M142" s="156" t="n"/>
      <c r="N142" s="156" t="n"/>
      <c r="O142" s="156" t="n"/>
      <c r="Q142" s="221" t="inlineStr">
        <is>
          <t>140</t>
        </is>
      </c>
      <c r="R142" s="222" t="inlineStr">
        <is>
          <t>ALSINA 6550</t>
        </is>
      </c>
      <c r="S142" s="223" t="n">
        <v>33000</v>
      </c>
      <c r="T142" s="224" t="n">
        <v>10500</v>
      </c>
      <c r="U142" s="225" t="n">
        <v>1</v>
      </c>
      <c r="V142" s="226" t="inlineStr">
        <is>
          <t>01/03/2026</t>
        </is>
      </c>
    </row>
    <row r="143" ht="15.75" customHeight="1" s="153">
      <c r="A143" s="227" t="n"/>
      <c r="B143" s="228" t="inlineStr">
        <is>
          <t>MADAME CHEESE</t>
        </is>
      </c>
      <c r="C143" s="229" t="n"/>
      <c r="D143" s="229" t="n">
        <v>1</v>
      </c>
      <c r="E143" s="229" t="n"/>
      <c r="F143" s="230" t="n"/>
      <c r="G143" s="230" t="n"/>
      <c r="H143" s="231" t="n">
        <v>30000</v>
      </c>
      <c r="I143" s="232" t="n"/>
      <c r="J143" s="232" t="n">
        <v>30000</v>
      </c>
      <c r="K143" s="233" t="n"/>
      <c r="L143" s="233">
        <f>IF(K143&lt;&gt;"",9750+K143,9750)</f>
        <v/>
      </c>
      <c r="M143" s="156" t="n"/>
      <c r="N143" s="156" t="n"/>
      <c r="O143" s="156" t="n"/>
      <c r="Q143" s="214" t="inlineStr">
        <is>
          <t>141</t>
        </is>
      </c>
      <c r="R143" s="215" t="inlineStr">
        <is>
          <t>RIVADAVIA 6330</t>
        </is>
      </c>
      <c r="S143" s="216" t="n">
        <v>33000</v>
      </c>
      <c r="T143" s="236" t="n">
        <v>10500</v>
      </c>
      <c r="U143" s="218" t="n">
        <v>1</v>
      </c>
      <c r="V143" s="219" t="inlineStr">
        <is>
          <t>01/03/2026</t>
        </is>
      </c>
    </row>
    <row r="144" ht="15.75" customHeight="1" s="153">
      <c r="A144" s="237" t="n"/>
      <c r="B144" s="238" t="inlineStr">
        <is>
          <t>OTNIEL</t>
        </is>
      </c>
      <c r="C144" s="239" t="n"/>
      <c r="D144" s="239" t="n">
        <v>2</v>
      </c>
      <c r="E144" s="239" t="n"/>
      <c r="F144" s="240" t="n"/>
      <c r="G144" s="240" t="n"/>
      <c r="H144" s="241" t="n">
        <v>60000</v>
      </c>
      <c r="I144" s="242" t="n"/>
      <c r="J144" s="242" t="n">
        <v>60000</v>
      </c>
      <c r="K144" s="233" t="n"/>
      <c r="L144" s="233">
        <f>IF(K144&lt;&gt;"",19500+K144,19500)</f>
        <v/>
      </c>
      <c r="M144" s="156" t="n"/>
      <c r="N144" s="156" t="n"/>
      <c r="O144" s="156" t="n"/>
      <c r="Q144" s="221" t="inlineStr">
        <is>
          <t>142</t>
        </is>
      </c>
      <c r="R144" s="222" t="inlineStr">
        <is>
          <t>J CAMPILLO 1637</t>
        </is>
      </c>
      <c r="S144" s="223" t="n">
        <v>33000</v>
      </c>
      <c r="T144" s="224" t="n">
        <v>10500</v>
      </c>
      <c r="U144" s="225" t="n">
        <v>1</v>
      </c>
      <c r="V144" s="226" t="inlineStr">
        <is>
          <t>04/03/2026</t>
        </is>
      </c>
    </row>
    <row r="145" ht="15.75" customHeight="1" s="153">
      <c r="A145" s="227" t="n"/>
      <c r="B145" s="228" t="inlineStr">
        <is>
          <t>AZCUENAGA 5023</t>
        </is>
      </c>
      <c r="C145" s="229" t="n">
        <v>7</v>
      </c>
      <c r="D145" s="229" t="n"/>
      <c r="E145" s="229" t="n"/>
      <c r="F145" s="230" t="n"/>
      <c r="G145" s="230" t="n"/>
      <c r="H145" s="231" t="n">
        <v>108500</v>
      </c>
      <c r="I145" s="232" t="n"/>
      <c r="J145" s="232" t="n">
        <v>108500</v>
      </c>
      <c r="K145" s="233" t="n"/>
      <c r="L145" s="233">
        <f>IF(K145&lt;&gt;"",14000+K145,14000)</f>
        <v/>
      </c>
      <c r="M145" s="156" t="n"/>
      <c r="N145" s="156" t="n"/>
      <c r="O145" s="156" t="n"/>
      <c r="Q145" s="214" t="inlineStr">
        <is>
          <t>143</t>
        </is>
      </c>
      <c r="R145" s="215" t="inlineStr">
        <is>
          <t>CAFERATA 9416</t>
        </is>
      </c>
      <c r="S145" s="216" t="n">
        <v>33000</v>
      </c>
      <c r="T145" s="236" t="n">
        <v>10500</v>
      </c>
      <c r="U145" s="218" t="n">
        <v>1</v>
      </c>
      <c r="V145" s="219" t="inlineStr">
        <is>
          <t>05/03/2026</t>
        </is>
      </c>
    </row>
    <row r="146" ht="15.75" customHeight="1" s="153">
      <c r="A146" s="237" t="n"/>
      <c r="B146" s="238" t="inlineStr">
        <is>
          <t>LUCHO</t>
        </is>
      </c>
      <c r="C146" s="239" t="n">
        <v>1</v>
      </c>
      <c r="D146" s="239" t="n"/>
      <c r="E146" s="239" t="n"/>
      <c r="F146" s="240" t="n"/>
      <c r="G146" s="240" t="n"/>
      <c r="H146" s="241" t="n">
        <v>15500</v>
      </c>
      <c r="I146" s="242" t="n">
        <v>15500</v>
      </c>
      <c r="J146" s="242" t="n"/>
      <c r="K146" s="233" t="n"/>
      <c r="L146" s="233">
        <f>IF(K146&lt;&gt;"",2000+K146,2000)</f>
        <v/>
      </c>
      <c r="M146" s="156" t="n"/>
      <c r="N146" s="156" t="n"/>
      <c r="O146" s="156" t="n"/>
      <c r="Q146" s="221" t="inlineStr">
        <is>
          <t>144</t>
        </is>
      </c>
      <c r="R146" s="222" t="inlineStr">
        <is>
          <t>J P LOPEZ 1875</t>
        </is>
      </c>
      <c r="S146" s="223" t="n">
        <v>33000</v>
      </c>
      <c r="T146" s="224" t="n">
        <v>10500</v>
      </c>
      <c r="U146" s="225" t="n">
        <v>1</v>
      </c>
      <c r="V146" s="226" t="inlineStr">
        <is>
          <t>07/03/2026</t>
        </is>
      </c>
    </row>
    <row r="147" ht="15.75" customHeight="1" s="153">
      <c r="A147" s="227" t="n"/>
      <c r="B147" s="228" t="inlineStr">
        <is>
          <t>CAREN</t>
        </is>
      </c>
      <c r="C147" s="229" t="n"/>
      <c r="D147" s="229" t="n"/>
      <c r="E147" s="229" t="n">
        <v>1</v>
      </c>
      <c r="F147" s="230" t="n"/>
      <c r="G147" s="230" t="n"/>
      <c r="H147" s="231" t="n">
        <v>72000</v>
      </c>
      <c r="I147" s="232" t="n"/>
      <c r="J147" s="232" t="n">
        <v>72000</v>
      </c>
      <c r="K147" s="233" t="n"/>
      <c r="L147" s="233">
        <f>IF(K147&lt;&gt;"",23000+K147,23000)</f>
        <v/>
      </c>
      <c r="M147" s="156" t="n"/>
      <c r="N147" s="156" t="n"/>
      <c r="O147" s="156" t="n"/>
      <c r="Q147" s="214" t="inlineStr">
        <is>
          <t>145</t>
        </is>
      </c>
      <c r="R147" s="215" t="inlineStr">
        <is>
          <t>AYACUCHO 4878</t>
        </is>
      </c>
      <c r="S147" s="216" t="n">
        <v>33000</v>
      </c>
      <c r="T147" s="236" t="n">
        <v>10500</v>
      </c>
      <c r="U147" s="218" t="n">
        <v>1</v>
      </c>
      <c r="V147" s="219" t="inlineStr">
        <is>
          <t>10/03/2026</t>
        </is>
      </c>
    </row>
    <row r="148" ht="15.75" customHeight="1" s="153">
      <c r="A148" s="237" t="n"/>
      <c r="B148" s="238" t="inlineStr">
        <is>
          <t>SEDLASEK 5347</t>
        </is>
      </c>
      <c r="C148" s="239" t="n">
        <v>1</v>
      </c>
      <c r="D148" s="239" t="n"/>
      <c r="E148" s="239" t="n"/>
      <c r="F148" s="240" t="n"/>
      <c r="G148" s="240" t="n"/>
      <c r="H148" s="241" t="n">
        <v>22000</v>
      </c>
      <c r="I148" s="242" t="n">
        <v>22000</v>
      </c>
      <c r="J148" s="242" t="n"/>
      <c r="K148" s="233" t="n"/>
      <c r="L148" s="233">
        <f>IF(K148&lt;&gt;"",8500+K148,8500)</f>
        <v/>
      </c>
      <c r="M148" s="156" t="n"/>
      <c r="N148" s="156" t="n"/>
      <c r="O148" s="156" t="n"/>
      <c r="Q148" s="221" t="inlineStr">
        <is>
          <t>146</t>
        </is>
      </c>
      <c r="R148" s="222" t="inlineStr">
        <is>
          <t>LASAGA 7023</t>
        </is>
      </c>
      <c r="S148" s="223" t="n">
        <v>33000</v>
      </c>
      <c r="T148" s="224" t="n">
        <v>10500</v>
      </c>
      <c r="U148" s="225" t="n">
        <v>1</v>
      </c>
      <c r="V148" s="226" t="inlineStr">
        <is>
          <t>10/03/2026</t>
        </is>
      </c>
    </row>
    <row r="149" ht="15.75" customHeight="1" s="153">
      <c r="A149" s="227" t="n"/>
      <c r="B149" s="228" t="inlineStr">
        <is>
          <t>ALSINA 9348</t>
        </is>
      </c>
      <c r="C149" s="229" t="n">
        <v>2</v>
      </c>
      <c r="D149" s="229" t="n"/>
      <c r="E149" s="229" t="n"/>
      <c r="F149" s="230" t="n"/>
      <c r="G149" s="230" t="n"/>
      <c r="H149" s="231" t="n">
        <v>44000</v>
      </c>
      <c r="I149" s="232" t="n"/>
      <c r="J149" s="232" t="n">
        <v>44000</v>
      </c>
      <c r="K149" s="233" t="n"/>
      <c r="L149" s="233">
        <f>IF(K149&lt;&gt;"",17000+K149,17000)</f>
        <v/>
      </c>
      <c r="M149" s="156" t="n"/>
      <c r="N149" s="156" t="n"/>
      <c r="O149" s="156" t="n"/>
      <c r="Q149" s="214" t="inlineStr">
        <is>
          <t>147</t>
        </is>
      </c>
      <c r="R149" s="215" t="inlineStr">
        <is>
          <t>VERA MUJICA 420</t>
        </is>
      </c>
      <c r="S149" s="216" t="n">
        <v>33000</v>
      </c>
      <c r="T149" s="236" t="n">
        <v>10500</v>
      </c>
      <c r="U149" s="218" t="n">
        <v>1</v>
      </c>
      <c r="V149" s="219" t="inlineStr">
        <is>
          <t>11/03/2026</t>
        </is>
      </c>
    </row>
    <row r="150" ht="15.75" customHeight="1" s="153">
      <c r="A150" s="237" t="n"/>
      <c r="B150" s="238" t="inlineStr">
        <is>
          <t>SERBANDO BAYO 7166</t>
        </is>
      </c>
      <c r="C150" s="239" t="n"/>
      <c r="D150" s="239" t="n">
        <v>1</v>
      </c>
      <c r="E150" s="239" t="n"/>
      <c r="F150" s="240" t="n"/>
      <c r="G150" s="240" t="n"/>
      <c r="H150" s="241" t="n">
        <v>30000</v>
      </c>
      <c r="I150" s="242" t="n"/>
      <c r="J150" s="242" t="n">
        <v>30000</v>
      </c>
      <c r="K150" s="233" t="n"/>
      <c r="L150" s="233">
        <f>IF(K150&lt;&gt;"",9750+K150,9750)</f>
        <v/>
      </c>
      <c r="M150" s="156" t="n"/>
      <c r="N150" s="156" t="n"/>
      <c r="O150" s="156" t="n"/>
      <c r="Q150" s="221" t="inlineStr">
        <is>
          <t>148</t>
        </is>
      </c>
      <c r="R150" s="222" t="inlineStr">
        <is>
          <t>VICTOR CAPE</t>
        </is>
      </c>
      <c r="S150" s="223" t="n">
        <v>32000</v>
      </c>
      <c r="T150" s="224" t="n">
        <v>9500</v>
      </c>
      <c r="U150" s="225" t="n">
        <v>1</v>
      </c>
      <c r="V150" s="226" t="inlineStr">
        <is>
          <t>02/03/2026</t>
        </is>
      </c>
    </row>
    <row r="151" ht="15.75" customHeight="1" s="153">
      <c r="A151" s="227" t="n"/>
      <c r="B151" s="228" t="inlineStr">
        <is>
          <t xml:space="preserve">PANAALBERTI </t>
        </is>
      </c>
      <c r="C151" s="229" t="n">
        <v>1</v>
      </c>
      <c r="D151" s="229" t="n"/>
      <c r="E151" s="229" t="n"/>
      <c r="F151" s="230" t="n"/>
      <c r="G151" s="230" t="n"/>
      <c r="H151" s="231" t="n">
        <v>20000</v>
      </c>
      <c r="I151" s="232" t="n">
        <v>20000</v>
      </c>
      <c r="J151" s="232" t="n"/>
      <c r="K151" s="233" t="n"/>
      <c r="L151" s="233">
        <f>IF(K151&lt;&gt;"",6500+K151,6500)</f>
        <v/>
      </c>
      <c r="M151" s="156" t="n"/>
      <c r="N151" s="156" t="n"/>
      <c r="O151" s="156" t="n"/>
      <c r="Q151" s="214" t="inlineStr">
        <is>
          <t>149</t>
        </is>
      </c>
      <c r="R151" s="215" t="inlineStr">
        <is>
          <t>EX COMBATIENTES 6532</t>
        </is>
      </c>
      <c r="S151" s="216" t="n">
        <v>32000</v>
      </c>
      <c r="T151" s="236" t="n">
        <v>9500</v>
      </c>
      <c r="U151" s="218" t="n">
        <v>1</v>
      </c>
      <c r="V151" s="219" t="inlineStr">
        <is>
          <t>03/03/2026</t>
        </is>
      </c>
    </row>
    <row r="152" ht="15.75" customHeight="1" s="153">
      <c r="A152" s="237" t="n"/>
      <c r="B152" s="238" t="inlineStr">
        <is>
          <t>PUBLICO 2383</t>
        </is>
      </c>
      <c r="C152" s="239" t="n">
        <v>1</v>
      </c>
      <c r="D152" s="239" t="n"/>
      <c r="E152" s="239" t="n">
        <v>1</v>
      </c>
      <c r="F152" s="240" t="n"/>
      <c r="G152" s="240" t="n"/>
      <c r="H152" s="241" t="n">
        <v>104000</v>
      </c>
      <c r="I152" s="242" t="n"/>
      <c r="J152" s="242" t="n">
        <v>104000</v>
      </c>
      <c r="K152" s="233" t="n"/>
      <c r="L152" s="233">
        <f>IF(K152&lt;&gt;"",41500+K152,41500)</f>
        <v/>
      </c>
      <c r="M152" s="156" t="n"/>
      <c r="N152" s="156" t="n"/>
      <c r="O152" s="156" t="n"/>
      <c r="Q152" s="221" t="inlineStr">
        <is>
          <t>150</t>
        </is>
      </c>
      <c r="R152" s="222" t="inlineStr">
        <is>
          <t>ESPORA 4874</t>
        </is>
      </c>
      <c r="S152" s="223" t="n">
        <v>32000</v>
      </c>
      <c r="T152" s="224" t="n">
        <v>9500</v>
      </c>
      <c r="U152" s="225" t="n">
        <v>1</v>
      </c>
      <c r="V152" s="226" t="inlineStr">
        <is>
          <t>04/03/2026</t>
        </is>
      </c>
    </row>
    <row r="153" ht="15.75" customHeight="1" s="153">
      <c r="A153" s="227" t="n">
        <v>46093</v>
      </c>
      <c r="B153" s="228" t="inlineStr">
        <is>
          <t>QUINTANA 2950</t>
        </is>
      </c>
      <c r="C153" s="229" t="n">
        <v>1</v>
      </c>
      <c r="D153" s="229" t="n"/>
      <c r="E153" s="229" t="n"/>
      <c r="F153" s="230" t="n"/>
      <c r="G153" s="230" t="n"/>
      <c r="H153" s="231" t="n">
        <v>22000</v>
      </c>
      <c r="I153" s="232" t="n"/>
      <c r="J153" s="232" t="n">
        <v>22000</v>
      </c>
      <c r="K153" s="233" t="n"/>
      <c r="L153" s="233">
        <f>IF(K153&lt;&gt;"",8500+K153,8500)</f>
        <v/>
      </c>
      <c r="M153" s="156" t="n"/>
      <c r="N153" s="156" t="n"/>
      <c r="O153" s="156" t="n"/>
      <c r="Q153" s="214" t="inlineStr">
        <is>
          <t>151</t>
        </is>
      </c>
      <c r="R153" s="215" t="inlineStr">
        <is>
          <t>POLLERIA ARISTOBULO</t>
        </is>
      </c>
      <c r="S153" s="216" t="n">
        <v>32000</v>
      </c>
      <c r="T153" s="236" t="n">
        <v>2000</v>
      </c>
      <c r="U153" s="218" t="n">
        <v>1</v>
      </c>
      <c r="V153" s="219" t="inlineStr">
        <is>
          <t>14/03/2026</t>
        </is>
      </c>
    </row>
    <row r="154" ht="15.75" customHeight="1" s="153">
      <c r="A154" s="237" t="n"/>
      <c r="B154" s="238" t="inlineStr">
        <is>
          <t>CANCHAS GRINGO</t>
        </is>
      </c>
      <c r="C154" s="239" t="n"/>
      <c r="D154" s="239" t="n">
        <v>1</v>
      </c>
      <c r="E154" s="239" t="n"/>
      <c r="F154" s="240" t="n"/>
      <c r="G154" s="240" t="n"/>
      <c r="H154" s="241" t="n">
        <v>30000</v>
      </c>
      <c r="I154" s="242" t="n">
        <v>30000</v>
      </c>
      <c r="J154" s="242" t="n"/>
      <c r="K154" s="233" t="n"/>
      <c r="L154" s="233">
        <f>IF(K154&lt;&gt;"",9750+K154,9750)</f>
        <v/>
      </c>
      <c r="M154" s="156" t="n"/>
      <c r="N154" s="156" t="n"/>
      <c r="O154" s="156" t="n"/>
      <c r="Q154" s="221" t="inlineStr">
        <is>
          <t>152</t>
        </is>
      </c>
      <c r="R154" s="222" t="inlineStr">
        <is>
          <t>PIRU</t>
        </is>
      </c>
      <c r="S154" s="223" t="n">
        <v>31500</v>
      </c>
      <c r="T154" s="224" t="n">
        <v>9000</v>
      </c>
      <c r="U154" s="225" t="n">
        <v>1</v>
      </c>
      <c r="V154" s="226" t="inlineStr">
        <is>
          <t>04/03/2026</t>
        </is>
      </c>
    </row>
    <row r="155" ht="15.75" customHeight="1" s="153">
      <c r="A155" s="227" t="n"/>
      <c r="B155" s="228" t="inlineStr">
        <is>
          <t>LUCHO</t>
        </is>
      </c>
      <c r="C155" s="229" t="n">
        <v>1</v>
      </c>
      <c r="D155" s="229" t="n"/>
      <c r="E155" s="229" t="n"/>
      <c r="F155" s="230" t="n"/>
      <c r="G155" s="230" t="n"/>
      <c r="H155" s="231" t="n">
        <v>15500</v>
      </c>
      <c r="I155" s="232" t="n">
        <v>15500</v>
      </c>
      <c r="J155" s="232" t="n"/>
      <c r="K155" s="233" t="n"/>
      <c r="L155" s="233">
        <f>IF(K155&lt;&gt;"",2000+K155,2000)</f>
        <v/>
      </c>
      <c r="M155" s="156" t="n"/>
      <c r="N155" s="156" t="n"/>
      <c r="O155" s="156" t="n"/>
      <c r="Q155" s="214" t="inlineStr">
        <is>
          <t>153</t>
        </is>
      </c>
      <c r="R155" s="215" t="inlineStr">
        <is>
          <t>LAVAISE 4366</t>
        </is>
      </c>
      <c r="S155" s="216" t="n">
        <v>31500</v>
      </c>
      <c r="T155" s="236" t="n">
        <v>9000</v>
      </c>
      <c r="U155" s="218" t="n">
        <v>1</v>
      </c>
      <c r="V155" s="219" t="inlineStr">
        <is>
          <t>07/03/2026</t>
        </is>
      </c>
    </row>
    <row r="156" ht="15.75" customHeight="1" s="153">
      <c r="A156" s="237" t="n"/>
      <c r="B156" s="238" t="inlineStr">
        <is>
          <t>SANDRA</t>
        </is>
      </c>
      <c r="C156" s="239" t="n"/>
      <c r="D156" s="239" t="n"/>
      <c r="E156" s="239" t="n"/>
      <c r="F156" s="240" t="n"/>
      <c r="G156" s="240" t="n">
        <v>2</v>
      </c>
      <c r="H156" s="241" t="n">
        <v>8000</v>
      </c>
      <c r="I156" s="242" t="n">
        <v>8000</v>
      </c>
      <c r="J156" s="242" t="n"/>
      <c r="K156" s="233" t="n"/>
      <c r="L156" s="233">
        <f>IF(K156&lt;&gt;"",6300+K156,6300)</f>
        <v/>
      </c>
      <c r="M156" s="156" t="n"/>
      <c r="N156" s="156" t="n"/>
      <c r="O156" s="156" t="n"/>
      <c r="Q156" s="221" t="inlineStr">
        <is>
          <t>154</t>
        </is>
      </c>
      <c r="R156" s="222" t="inlineStr">
        <is>
          <t>SARSOTI 6567</t>
        </is>
      </c>
      <c r="S156" s="223" t="n">
        <v>30000</v>
      </c>
      <c r="T156" s="224" t="n">
        <v>7500</v>
      </c>
      <c r="U156" s="225" t="n">
        <v>1</v>
      </c>
      <c r="V156" s="226" t="inlineStr">
        <is>
          <t>03/03/2026</t>
        </is>
      </c>
    </row>
    <row r="157" ht="15.75" customHeight="1" s="153">
      <c r="A157" s="227" t="n"/>
      <c r="B157" s="228" t="inlineStr">
        <is>
          <t>FILOMEN A</t>
        </is>
      </c>
      <c r="C157" s="229" t="n">
        <v>2</v>
      </c>
      <c r="D157" s="229" t="n"/>
      <c r="E157" s="229" t="n"/>
      <c r="F157" s="230" t="n"/>
      <c r="G157" s="230" t="n"/>
      <c r="H157" s="231" t="n">
        <v>38000</v>
      </c>
      <c r="I157" s="232" t="n"/>
      <c r="J157" s="232" t="n">
        <v>38000</v>
      </c>
      <c r="K157" s="233" t="n"/>
      <c r="L157" s="233">
        <f>IF(K157&lt;&gt;"",11000+K157,11000)</f>
        <v/>
      </c>
      <c r="M157" s="156" t="n"/>
      <c r="N157" s="156" t="n"/>
      <c r="O157" s="156" t="n"/>
      <c r="Q157" s="214" t="inlineStr">
        <is>
          <t>155</t>
        </is>
      </c>
      <c r="R157" s="215" t="inlineStr">
        <is>
          <t>MADAME CHEESE</t>
        </is>
      </c>
      <c r="S157" s="216" t="n">
        <v>30000</v>
      </c>
      <c r="T157" s="236" t="n">
        <v>7500</v>
      </c>
      <c r="U157" s="218" t="n">
        <v>1</v>
      </c>
      <c r="V157" s="219" t="inlineStr">
        <is>
          <t>11/03/2026</t>
        </is>
      </c>
    </row>
    <row r="158" ht="15.75" customHeight="1" s="153">
      <c r="A158" s="237" t="n"/>
      <c r="B158" s="238" t="inlineStr">
        <is>
          <t>CASTELLI 5364</t>
        </is>
      </c>
      <c r="C158" s="239" t="n"/>
      <c r="D158" s="239" t="n"/>
      <c r="E158" s="239" t="n">
        <v>1</v>
      </c>
      <c r="F158" s="240" t="n"/>
      <c r="G158" s="240" t="n"/>
      <c r="H158" s="241" t="n">
        <v>75000</v>
      </c>
      <c r="I158" s="242" t="n">
        <v>75000</v>
      </c>
      <c r="J158" s="242" t="n"/>
      <c r="K158" s="233" t="n"/>
      <c r="L158" s="233">
        <f>IF(K158&lt;&gt;"",26000+K158,26000)</f>
        <v/>
      </c>
      <c r="M158" s="156" t="n"/>
      <c r="N158" s="156" t="n"/>
      <c r="O158" s="156" t="n"/>
      <c r="Q158" s="221" t="inlineStr">
        <is>
          <t>156</t>
        </is>
      </c>
      <c r="R158" s="222" t="inlineStr">
        <is>
          <t>SERBANDO BAYO 7166</t>
        </is>
      </c>
      <c r="S158" s="223" t="n">
        <v>30000</v>
      </c>
      <c r="T158" s="224" t="n">
        <v>7500</v>
      </c>
      <c r="U158" s="225" t="n">
        <v>1</v>
      </c>
      <c r="V158" s="226" t="inlineStr">
        <is>
          <t>11/03/2026</t>
        </is>
      </c>
    </row>
    <row r="159" ht="15.75" customHeight="1" s="153">
      <c r="A159" s="227" t="n"/>
      <c r="B159" s="228" t="inlineStr">
        <is>
          <t>IGUALDAD</t>
        </is>
      </c>
      <c r="C159" s="229" t="n">
        <v>1</v>
      </c>
      <c r="D159" s="229" t="n"/>
      <c r="E159" s="229" t="n"/>
      <c r="F159" s="230" t="n"/>
      <c r="G159" s="230" t="n"/>
      <c r="H159" s="231" t="n">
        <v>21000</v>
      </c>
      <c r="I159" s="232" t="n">
        <v>21000</v>
      </c>
      <c r="J159" s="232" t="n"/>
      <c r="K159" s="233" t="n"/>
      <c r="L159" s="233">
        <f>IF(K159&lt;&gt;"",7500+K159,7500)</f>
        <v/>
      </c>
      <c r="M159" s="156" t="n"/>
      <c r="N159" s="156" t="n"/>
      <c r="O159" s="156" t="n"/>
      <c r="Q159" s="214" t="inlineStr">
        <is>
          <t>157</t>
        </is>
      </c>
      <c r="R159" s="215" t="inlineStr">
        <is>
          <t>CANCHAS GRINGO</t>
        </is>
      </c>
      <c r="S159" s="216" t="n">
        <v>30000</v>
      </c>
      <c r="T159" s="236" t="n">
        <v>7500</v>
      </c>
      <c r="U159" s="218" t="n">
        <v>1</v>
      </c>
      <c r="V159" s="219" t="inlineStr">
        <is>
          <t>12/03/2026</t>
        </is>
      </c>
    </row>
    <row r="160" ht="15.75" customHeight="1" s="153">
      <c r="A160" s="237" t="n"/>
      <c r="B160" s="238" t="inlineStr">
        <is>
          <t>COGORNO 5520</t>
        </is>
      </c>
      <c r="C160" s="239" t="n">
        <v>6</v>
      </c>
      <c r="D160" s="239" t="n"/>
      <c r="E160" s="239" t="n"/>
      <c r="F160" s="240" t="n"/>
      <c r="G160" s="240" t="n"/>
      <c r="H160" s="241" t="n">
        <v>102000</v>
      </c>
      <c r="I160" s="242" t="n"/>
      <c r="J160" s="242" t="n">
        <v>102000</v>
      </c>
      <c r="K160" s="233" t="n"/>
      <c r="L160" s="233">
        <f>IF(K160&lt;&gt;"",21000+K160,21000)</f>
        <v/>
      </c>
      <c r="M160" s="156" t="n"/>
      <c r="N160" s="156" t="n"/>
      <c r="O160" s="156" t="n"/>
      <c r="Q160" s="221" t="inlineStr">
        <is>
          <t>158</t>
        </is>
      </c>
      <c r="R160" s="222" t="inlineStr">
        <is>
          <t>CHICLANA 72325</t>
        </is>
      </c>
      <c r="S160" s="223" t="n">
        <v>29000</v>
      </c>
      <c r="T160" s="245" t="n">
        <v>-1000</v>
      </c>
      <c r="U160" s="225" t="n">
        <v>1</v>
      </c>
      <c r="V160" s="226" t="inlineStr">
        <is>
          <t>03/03/2026</t>
        </is>
      </c>
    </row>
    <row r="161" ht="15.75" customHeight="1" s="153">
      <c r="A161" s="227" t="n"/>
      <c r="B161" s="228" t="inlineStr">
        <is>
          <t>SABOREAR</t>
        </is>
      </c>
      <c r="C161" s="229" t="n">
        <v>1</v>
      </c>
      <c r="D161" s="229" t="n"/>
      <c r="E161" s="229" t="n">
        <v>1</v>
      </c>
      <c r="F161" s="230" t="n"/>
      <c r="G161" s="230" t="n"/>
      <c r="H161" s="231" t="n">
        <v>90500</v>
      </c>
      <c r="I161" s="232" t="n"/>
      <c r="J161" s="232" t="n">
        <v>90500</v>
      </c>
      <c r="K161" s="233" t="n"/>
      <c r="L161" s="233">
        <f>IF(K161&lt;&gt;"",28000+K161,28000)</f>
        <v/>
      </c>
      <c r="M161" s="156" t="n"/>
      <c r="N161" s="156" t="n"/>
      <c r="O161" s="156" t="n"/>
      <c r="Q161" s="214" t="inlineStr">
        <is>
          <t>159</t>
        </is>
      </c>
      <c r="R161" s="215" t="inlineStr">
        <is>
          <t>LUCHOI</t>
        </is>
      </c>
      <c r="S161" s="216" t="n">
        <v>29000</v>
      </c>
      <c r="T161" s="236" t="n">
        <v>12300</v>
      </c>
      <c r="U161" s="218" t="n">
        <v>1</v>
      </c>
      <c r="V161" s="219" t="inlineStr">
        <is>
          <t>17/03/2026</t>
        </is>
      </c>
    </row>
    <row r="162" ht="15.75" customHeight="1" s="153">
      <c r="A162" s="237" t="n">
        <v>46094</v>
      </c>
      <c r="B162" s="238" t="inlineStr">
        <is>
          <t>D SILVA 4217</t>
        </is>
      </c>
      <c r="C162" s="239" t="n">
        <v>3</v>
      </c>
      <c r="D162" s="239" t="n"/>
      <c r="E162" s="239" t="n"/>
      <c r="F162" s="240" t="n"/>
      <c r="G162" s="240" t="n"/>
      <c r="H162" s="241" t="n">
        <v>51000</v>
      </c>
      <c r="I162" s="242" t="n"/>
      <c r="J162" s="242" t="n">
        <v>51000</v>
      </c>
      <c r="K162" s="233" t="n"/>
      <c r="L162" s="233">
        <f>IF(K162&lt;&gt;"",10500+K162,10500)</f>
        <v/>
      </c>
      <c r="M162" s="156" t="n"/>
      <c r="N162" s="156" t="n"/>
      <c r="O162" s="156" t="n"/>
      <c r="Q162" s="221" t="inlineStr">
        <is>
          <t>160</t>
        </is>
      </c>
      <c r="R162" s="222" t="inlineStr">
        <is>
          <t>SAN MARTIN 3518</t>
        </is>
      </c>
      <c r="S162" s="223" t="n">
        <v>25500</v>
      </c>
      <c r="T162" s="224" t="n">
        <v>10500</v>
      </c>
      <c r="U162" s="225" t="n">
        <v>1</v>
      </c>
      <c r="V162" s="226" t="inlineStr">
        <is>
          <t>17/03/2026</t>
        </is>
      </c>
    </row>
    <row r="163" ht="15.75" customHeight="1" s="153">
      <c r="A163" s="227" t="n"/>
      <c r="B163" s="228" t="inlineStr">
        <is>
          <t>CHICLANA 7325</t>
        </is>
      </c>
      <c r="C163" s="229" t="n">
        <v>1</v>
      </c>
      <c r="D163" s="229" t="n"/>
      <c r="E163" s="229" t="n"/>
      <c r="F163" s="230" t="n"/>
      <c r="G163" s="230" t="n"/>
      <c r="H163" s="231" t="n">
        <v>17000</v>
      </c>
      <c r="I163" s="232" t="n"/>
      <c r="J163" s="232" t="n">
        <v>17000</v>
      </c>
      <c r="K163" s="233" t="n"/>
      <c r="L163" s="233">
        <f>IF(K163&lt;&gt;"",3500+K163,3500)</f>
        <v/>
      </c>
      <c r="M163" s="156" t="n"/>
      <c r="N163" s="156" t="n"/>
      <c r="O163" s="156" t="n"/>
      <c r="Q163" s="214" t="inlineStr">
        <is>
          <t>161</t>
        </is>
      </c>
      <c r="R163" s="215" t="inlineStr">
        <is>
          <t>9 DE JULIO 6543</t>
        </is>
      </c>
      <c r="S163" s="216" t="n">
        <v>25500</v>
      </c>
      <c r="T163" s="236" t="n">
        <v>10500</v>
      </c>
      <c r="U163" s="218" t="n">
        <v>1</v>
      </c>
      <c r="V163" s="219" t="inlineStr">
        <is>
          <t>22/03/2026</t>
        </is>
      </c>
    </row>
    <row r="164" ht="15.75" customHeight="1" s="153">
      <c r="A164" s="237" t="n"/>
      <c r="B164" s="238" t="inlineStr">
        <is>
          <t>4 DE ENERO 6625</t>
        </is>
      </c>
      <c r="C164" s="239" t="n">
        <v>1</v>
      </c>
      <c r="D164" s="239" t="n"/>
      <c r="E164" s="239" t="n"/>
      <c r="F164" s="240" t="n"/>
      <c r="G164" s="240" t="n"/>
      <c r="H164" s="241" t="n">
        <v>22000</v>
      </c>
      <c r="I164" s="242" t="n">
        <v>22000</v>
      </c>
      <c r="J164" s="242" t="n"/>
      <c r="K164" s="233" t="n"/>
      <c r="L164" s="233">
        <f>IF(K164&lt;&gt;"",8500+K164,8500)</f>
        <v/>
      </c>
      <c r="M164" s="156" t="n"/>
      <c r="N164" s="156" t="n"/>
      <c r="O164" s="156" t="n"/>
      <c r="Q164" s="221" t="inlineStr">
        <is>
          <t>162</t>
        </is>
      </c>
      <c r="R164" s="222" t="inlineStr">
        <is>
          <t>CERVERA 7037</t>
        </is>
      </c>
      <c r="S164" s="223" t="n">
        <v>25000</v>
      </c>
      <c r="T164" s="224" t="n">
        <v>10000</v>
      </c>
      <c r="U164" s="225" t="n">
        <v>1</v>
      </c>
      <c r="V164" s="226" t="inlineStr">
        <is>
          <t>23/03/2026</t>
        </is>
      </c>
    </row>
    <row r="165" ht="15.75" customHeight="1" s="153">
      <c r="A165" s="227" t="n"/>
      <c r="B165" s="228" t="inlineStr">
        <is>
          <t>AZCUENAGA 5023</t>
        </is>
      </c>
      <c r="C165" s="229" t="n">
        <v>2</v>
      </c>
      <c r="D165" s="229" t="n"/>
      <c r="E165" s="229" t="n"/>
      <c r="F165" s="230" t="n"/>
      <c r="G165" s="230" t="n"/>
      <c r="H165" s="231" t="n">
        <v>34000</v>
      </c>
      <c r="I165" s="232" t="n"/>
      <c r="J165" s="232" t="n">
        <v>34000</v>
      </c>
      <c r="K165" s="233" t="n"/>
      <c r="L165" s="233">
        <f>IF(K165&lt;&gt;"",7000+K165,7000)</f>
        <v/>
      </c>
      <c r="M165" s="156" t="n"/>
      <c r="N165" s="156" t="n"/>
      <c r="O165" s="156" t="n"/>
      <c r="Q165" s="214" t="inlineStr">
        <is>
          <t>163</t>
        </is>
      </c>
      <c r="R165" s="215" t="inlineStr">
        <is>
          <t>GDOR FREIRE 1055</t>
        </is>
      </c>
      <c r="S165" s="216" t="n">
        <v>25000</v>
      </c>
      <c r="T165" s="236" t="n">
        <v>10000</v>
      </c>
      <c r="U165" s="218" t="n">
        <v>1</v>
      </c>
      <c r="V165" s="219" t="inlineStr">
        <is>
          <t>23/03/2026</t>
        </is>
      </c>
    </row>
    <row r="166" ht="15.75" customHeight="1" s="153">
      <c r="A166" s="237" t="n"/>
      <c r="B166" s="238" t="inlineStr">
        <is>
          <t>OTNIEL</t>
        </is>
      </c>
      <c r="C166" s="239" t="n"/>
      <c r="D166" s="239" t="n"/>
      <c r="E166" s="239" t="n"/>
      <c r="F166" s="240" t="n"/>
      <c r="G166" s="240" t="n">
        <v>2</v>
      </c>
      <c r="H166" s="241" t="n">
        <v>11000</v>
      </c>
      <c r="I166" s="242" t="n"/>
      <c r="J166" s="242" t="n">
        <v>11000</v>
      </c>
      <c r="K166" s="233" t="n"/>
      <c r="L166" s="233">
        <f>IF(K166&lt;&gt;"",9300+K166,9300)</f>
        <v/>
      </c>
      <c r="M166" s="156" t="n"/>
      <c r="N166" s="156" t="n"/>
      <c r="O166" s="156" t="n"/>
      <c r="Q166" s="221" t="inlineStr">
        <is>
          <t>164</t>
        </is>
      </c>
      <c r="R166" s="222" t="inlineStr">
        <is>
          <t>AZOPARDO 10529</t>
        </is>
      </c>
      <c r="S166" s="223" t="n">
        <v>25000</v>
      </c>
      <c r="T166" s="224" t="n">
        <v>10000</v>
      </c>
      <c r="U166" s="225" t="n">
        <v>1</v>
      </c>
      <c r="V166" s="226" t="inlineStr">
        <is>
          <t>24/03/2026</t>
        </is>
      </c>
    </row>
    <row r="167" ht="15.75" customHeight="1" s="153">
      <c r="A167" s="227" t="n"/>
      <c r="B167" s="228" t="inlineStr">
        <is>
          <t>JORGE VIANDAS</t>
        </is>
      </c>
      <c r="C167" s="229" t="n">
        <v>1</v>
      </c>
      <c r="D167" s="229" t="n"/>
      <c r="E167" s="229" t="n"/>
      <c r="F167" s="230" t="n"/>
      <c r="G167" s="230" t="n"/>
      <c r="H167" s="231" t="n">
        <v>20000</v>
      </c>
      <c r="I167" s="232" t="n">
        <v>20000</v>
      </c>
      <c r="J167" s="232" t="n"/>
      <c r="K167" s="233" t="n"/>
      <c r="L167" s="233">
        <f>IF(K167&lt;&gt;"",6500+K167,6500)</f>
        <v/>
      </c>
      <c r="M167" s="156" t="n"/>
      <c r="N167" s="156" t="n"/>
      <c r="O167" s="156" t="n"/>
      <c r="Q167" s="214" t="inlineStr">
        <is>
          <t>165</t>
        </is>
      </c>
      <c r="R167" s="215" t="inlineStr">
        <is>
          <t>GDOR FREIRE 6445</t>
        </is>
      </c>
      <c r="S167" s="216" t="n">
        <v>25000</v>
      </c>
      <c r="T167" s="236" t="n">
        <v>10000</v>
      </c>
      <c r="U167" s="218" t="n">
        <v>1</v>
      </c>
      <c r="V167" s="219" t="inlineStr">
        <is>
          <t>24/03/2026</t>
        </is>
      </c>
    </row>
    <row r="168" ht="15.75" customHeight="1" s="153">
      <c r="A168" s="237" t="n"/>
      <c r="B168" s="238" t="inlineStr">
        <is>
          <t>LUCHO3</t>
        </is>
      </c>
      <c r="C168" s="239" t="n">
        <v>3</v>
      </c>
      <c r="D168" s="239" t="n"/>
      <c r="E168" s="239" t="n"/>
      <c r="F168" s="240" t="n"/>
      <c r="G168" s="240" t="n"/>
      <c r="H168" s="241" t="n">
        <v>51000</v>
      </c>
      <c r="I168" s="242" t="n">
        <v>51000</v>
      </c>
      <c r="J168" s="242" t="n"/>
      <c r="K168" s="233" t="n"/>
      <c r="L168" s="233">
        <f>IF(K168&lt;&gt;"",10500+K168,10500)</f>
        <v/>
      </c>
      <c r="M168" s="156" t="n"/>
      <c r="N168" s="156" t="n"/>
      <c r="O168" s="156" t="n"/>
      <c r="Q168" s="221" t="inlineStr">
        <is>
          <t>166</t>
        </is>
      </c>
      <c r="R168" s="222" t="inlineStr">
        <is>
          <t>I CRESPO 8180</t>
        </is>
      </c>
      <c r="S168" s="223" t="n">
        <v>25000</v>
      </c>
      <c r="T168" s="224" t="n">
        <v>10000</v>
      </c>
      <c r="U168" s="225" t="n">
        <v>1</v>
      </c>
      <c r="V168" s="226" t="inlineStr">
        <is>
          <t>24/03/2026</t>
        </is>
      </c>
    </row>
    <row r="169" ht="15.75" customHeight="1" s="153">
      <c r="A169" s="227" t="n"/>
      <c r="B169" s="228" t="inlineStr">
        <is>
          <t>PANA HNO FIGUEROA</t>
        </is>
      </c>
      <c r="C169" s="229" t="n"/>
      <c r="D169" s="229" t="n"/>
      <c r="E169" s="229" t="n">
        <v>1</v>
      </c>
      <c r="F169" s="230" t="n"/>
      <c r="G169" s="230" t="n"/>
      <c r="H169" s="231" t="n">
        <v>70000</v>
      </c>
      <c r="I169" s="232" t="n">
        <v>70000</v>
      </c>
      <c r="J169" s="232" t="n"/>
      <c r="K169" s="233" t="n"/>
      <c r="L169" s="233">
        <f>IF(K169&lt;&gt;"",21000+K169,21000)</f>
        <v/>
      </c>
      <c r="M169" s="156" t="n"/>
      <c r="N169" s="156" t="n"/>
      <c r="O169" s="156" t="n"/>
      <c r="Q169" s="214" t="inlineStr">
        <is>
          <t>167</t>
        </is>
      </c>
      <c r="R169" s="215" t="inlineStr">
        <is>
          <t>BELGRANO 6382</t>
        </is>
      </c>
      <c r="S169" s="216" t="n">
        <v>25000</v>
      </c>
      <c r="T169" s="236" t="n">
        <v>10000</v>
      </c>
      <c r="U169" s="218" t="n">
        <v>1</v>
      </c>
      <c r="V169" s="219" t="inlineStr">
        <is>
          <t>24/03/2026</t>
        </is>
      </c>
    </row>
    <row r="170" ht="15.75" customHeight="1" s="153">
      <c r="A170" s="237" t="n"/>
      <c r="B170" s="238" t="inlineStr">
        <is>
          <t>I CRESPO 7337</t>
        </is>
      </c>
      <c r="C170" s="239" t="n"/>
      <c r="D170" s="239" t="n">
        <v>1</v>
      </c>
      <c r="E170" s="239" t="n"/>
      <c r="F170" s="240" t="n"/>
      <c r="G170" s="240" t="n"/>
      <c r="H170" s="241" t="n">
        <v>36000</v>
      </c>
      <c r="I170" s="242" t="n"/>
      <c r="J170" s="242" t="n">
        <v>36000</v>
      </c>
      <c r="K170" s="233" t="n"/>
      <c r="L170" s="233">
        <f>IF(K170&lt;&gt;"",15750+K170,15750)</f>
        <v/>
      </c>
      <c r="M170" s="156" t="n"/>
      <c r="N170" s="156" t="n"/>
      <c r="O170" s="156" t="n"/>
      <c r="Q170" s="221" t="inlineStr">
        <is>
          <t>168</t>
        </is>
      </c>
      <c r="R170" s="222" t="inlineStr">
        <is>
          <t>PAMPA 4751</t>
        </is>
      </c>
      <c r="S170" s="223" t="n">
        <v>25000</v>
      </c>
      <c r="T170" s="224" t="n">
        <v>10000</v>
      </c>
      <c r="U170" s="225" t="n">
        <v>1</v>
      </c>
      <c r="V170" s="226" t="inlineStr">
        <is>
          <t>25/03/2026</t>
        </is>
      </c>
    </row>
    <row r="171" ht="15.75" customHeight="1" s="153">
      <c r="A171" s="227" t="n"/>
      <c r="B171" s="228" t="inlineStr">
        <is>
          <t xml:space="preserve">ROTI VIEYTES </t>
        </is>
      </c>
      <c r="C171" s="229" t="n"/>
      <c r="D171" s="229" t="n">
        <v>2</v>
      </c>
      <c r="E171" s="229" t="n"/>
      <c r="F171" s="230" t="n"/>
      <c r="G171" s="230" t="n"/>
      <c r="H171" s="231" t="n">
        <v>50000</v>
      </c>
      <c r="I171" s="232" t="n"/>
      <c r="J171" s="232" t="n">
        <v>50000</v>
      </c>
      <c r="K171" s="233" t="n"/>
      <c r="L171" s="233">
        <f>IF(K171&lt;&gt;"",9500+K171,9500)</f>
        <v/>
      </c>
      <c r="M171" s="156" t="n"/>
      <c r="N171" s="156" t="n"/>
      <c r="O171" s="156" t="n"/>
      <c r="Q171" s="214" t="inlineStr">
        <is>
          <t>169</t>
        </is>
      </c>
      <c r="R171" s="215" t="inlineStr">
        <is>
          <t>AVELLANEDA 7745</t>
        </is>
      </c>
      <c r="S171" s="216" t="n">
        <v>25000</v>
      </c>
      <c r="T171" s="236" t="n">
        <v>10000</v>
      </c>
      <c r="U171" s="218" t="n">
        <v>1</v>
      </c>
      <c r="V171" s="219" t="inlineStr">
        <is>
          <t>25/03/2026</t>
        </is>
      </c>
    </row>
    <row r="172" ht="15.75" customHeight="1" s="153">
      <c r="A172" s="237" t="n"/>
      <c r="B172" s="238" t="inlineStr">
        <is>
          <t>DAVID LEIVA Y ALBERTI</t>
        </is>
      </c>
      <c r="C172" s="239" t="n">
        <v>1</v>
      </c>
      <c r="D172" s="239" t="n"/>
      <c r="E172" s="239" t="n"/>
      <c r="F172" s="240" t="n"/>
      <c r="G172" s="240" t="n"/>
      <c r="H172" s="241" t="n">
        <v>23000</v>
      </c>
      <c r="I172" s="242" t="n">
        <v>23000</v>
      </c>
      <c r="J172" s="242" t="n"/>
      <c r="K172" s="233" t="n"/>
      <c r="L172" s="233">
        <f>IF(K172&lt;&gt;"",9500+K172,9500)</f>
        <v/>
      </c>
      <c r="M172" s="156" t="n"/>
      <c r="N172" s="156" t="n"/>
      <c r="O172" s="156" t="n"/>
      <c r="Q172" s="221" t="inlineStr">
        <is>
          <t>170</t>
        </is>
      </c>
      <c r="R172" s="222" t="inlineStr">
        <is>
          <t>ARGENTA</t>
        </is>
      </c>
      <c r="S172" s="223" t="n">
        <v>24500</v>
      </c>
      <c r="T172" s="224" t="n">
        <v>9500</v>
      </c>
      <c r="U172" s="225" t="n">
        <v>1</v>
      </c>
      <c r="V172" s="226" t="inlineStr">
        <is>
          <t>16/04/2026</t>
        </is>
      </c>
    </row>
    <row r="173" ht="15.75" customHeight="1" s="153">
      <c r="A173" s="227" t="n"/>
      <c r="B173" s="228" t="inlineStr">
        <is>
          <t>GABOTO 7484</t>
        </is>
      </c>
      <c r="C173" s="229" t="n"/>
      <c r="D173" s="229" t="n"/>
      <c r="E173" s="229" t="n">
        <v>1</v>
      </c>
      <c r="F173" s="230" t="n"/>
      <c r="G173" s="230" t="n"/>
      <c r="H173" s="231" t="n">
        <v>79900</v>
      </c>
      <c r="I173" s="232" t="n">
        <v>79900</v>
      </c>
      <c r="J173" s="232" t="n"/>
      <c r="K173" s="233" t="n"/>
      <c r="L173" s="233">
        <f>IF(K173&lt;&gt;"",30900+K173,30900)</f>
        <v/>
      </c>
      <c r="M173" s="156" t="n"/>
      <c r="N173" s="156" t="n"/>
      <c r="O173" s="156" t="n"/>
      <c r="Q173" s="214" t="inlineStr">
        <is>
          <t>171</t>
        </is>
      </c>
      <c r="R173" s="215" t="inlineStr">
        <is>
          <t>GORRITI 4661</t>
        </is>
      </c>
      <c r="S173" s="216" t="n">
        <v>24500</v>
      </c>
      <c r="T173" s="236" t="n">
        <v>9500</v>
      </c>
      <c r="U173" s="218" t="n">
        <v>1</v>
      </c>
      <c r="V173" s="219" t="inlineStr">
        <is>
          <t>19/03/2026</t>
        </is>
      </c>
    </row>
    <row r="174" ht="15.75" customHeight="1" s="153">
      <c r="A174" s="237" t="n"/>
      <c r="B174" s="238" t="inlineStr">
        <is>
          <t>ESPORA 4858</t>
        </is>
      </c>
      <c r="C174" s="239" t="n"/>
      <c r="D174" s="239" t="n">
        <v>2</v>
      </c>
      <c r="E174" s="239" t="n"/>
      <c r="F174" s="240" t="n"/>
      <c r="G174" s="240" t="n"/>
      <c r="H174" s="241" t="n">
        <v>62000</v>
      </c>
      <c r="I174" s="242" t="n"/>
      <c r="J174" s="242" t="n">
        <v>62000</v>
      </c>
      <c r="K174" s="233" t="n"/>
      <c r="L174" s="233">
        <f>IF(K174&lt;&gt;"",21500+K174,21500)</f>
        <v/>
      </c>
      <c r="M174" s="156" t="n"/>
      <c r="N174" s="156" t="n"/>
      <c r="O174" s="156" t="n"/>
      <c r="Q174" s="221" t="inlineStr">
        <is>
          <t>172</t>
        </is>
      </c>
      <c r="R174" s="222" t="inlineStr">
        <is>
          <t>EUROPA 8762</t>
        </is>
      </c>
      <c r="S174" s="223" t="n">
        <v>24500</v>
      </c>
      <c r="T174" s="224" t="n">
        <v>9500</v>
      </c>
      <c r="U174" s="225" t="n">
        <v>1</v>
      </c>
      <c r="V174" s="226" t="inlineStr">
        <is>
          <t>16/03/2026</t>
        </is>
      </c>
    </row>
    <row r="175" ht="15.75" customHeight="1" s="153">
      <c r="A175" s="227" t="n"/>
      <c r="B175" s="228" t="inlineStr">
        <is>
          <t>FRATERNIDAD</t>
        </is>
      </c>
      <c r="C175" s="229" t="n">
        <v>1</v>
      </c>
      <c r="D175" s="229" t="n"/>
      <c r="E175" s="229" t="n"/>
      <c r="F175" s="230" t="n"/>
      <c r="G175" s="230" t="n"/>
      <c r="H175" s="231" t="n">
        <v>22000</v>
      </c>
      <c r="I175" s="232" t="n">
        <v>22000</v>
      </c>
      <c r="J175" s="232" t="n"/>
      <c r="K175" s="233" t="n"/>
      <c r="L175" s="233">
        <f>IF(K175&lt;&gt;"",8500+K175,8500)</f>
        <v/>
      </c>
      <c r="M175" s="156" t="n"/>
      <c r="N175" s="156" t="n"/>
      <c r="O175" s="156" t="n"/>
      <c r="Q175" s="214" t="inlineStr">
        <is>
          <t>173</t>
        </is>
      </c>
      <c r="R175" s="215" t="inlineStr">
        <is>
          <t>BELGRANO 7972</t>
        </is>
      </c>
      <c r="S175" s="216" t="n">
        <v>24500</v>
      </c>
      <c r="T175" s="236" t="n">
        <v>9500</v>
      </c>
      <c r="U175" s="218" t="n">
        <v>1</v>
      </c>
      <c r="V175" s="219" t="inlineStr">
        <is>
          <t>17/03/2026</t>
        </is>
      </c>
    </row>
    <row r="176" ht="15.75" customHeight="1" s="153">
      <c r="A176" s="237" t="n"/>
      <c r="B176" s="238" t="inlineStr">
        <is>
          <t>NACHO</t>
        </is>
      </c>
      <c r="C176" s="239" t="n">
        <v>1</v>
      </c>
      <c r="D176" s="239" t="n"/>
      <c r="E176" s="239" t="n"/>
      <c r="F176" s="240" t="n"/>
      <c r="G176" s="240" t="n"/>
      <c r="H176" s="241" t="n">
        <v>20500</v>
      </c>
      <c r="I176" s="242" t="n">
        <v>20500</v>
      </c>
      <c r="J176" s="242" t="n"/>
      <c r="K176" s="233" t="n"/>
      <c r="L176" s="233">
        <f>IF(K176&lt;&gt;"",7000+K176,7000)</f>
        <v/>
      </c>
      <c r="M176" s="156" t="n"/>
      <c r="N176" s="156" t="n"/>
      <c r="O176" s="156" t="n"/>
      <c r="Q176" s="221" t="inlineStr">
        <is>
          <t>174</t>
        </is>
      </c>
      <c r="R176" s="222" t="inlineStr">
        <is>
          <t>LAS FLORES 1 Y MILLAN MEDINA</t>
        </is>
      </c>
      <c r="S176" s="223" t="n">
        <v>24500</v>
      </c>
      <c r="T176" s="224" t="n">
        <v>9500</v>
      </c>
      <c r="U176" s="225" t="n">
        <v>1</v>
      </c>
      <c r="V176" s="226" t="inlineStr">
        <is>
          <t>18/03/2026</t>
        </is>
      </c>
    </row>
    <row r="177" ht="15.75" customHeight="1" s="153">
      <c r="A177" s="227" t="n"/>
      <c r="B177" s="228" t="inlineStr">
        <is>
          <t>EUROPA 6851</t>
        </is>
      </c>
      <c r="C177" s="229" t="n">
        <v>1</v>
      </c>
      <c r="D177" s="229" t="n"/>
      <c r="E177" s="229" t="n"/>
      <c r="F177" s="230" t="n"/>
      <c r="G177" s="230" t="n"/>
      <c r="H177" s="231" t="n">
        <v>21000</v>
      </c>
      <c r="I177" s="232" t="n">
        <v>21000</v>
      </c>
      <c r="J177" s="232" t="n"/>
      <c r="K177" s="233" t="n"/>
      <c r="L177" s="233">
        <f>IF(K177&lt;&gt;"",7500+K177,7500)</f>
        <v/>
      </c>
      <c r="M177" s="156" t="n"/>
      <c r="N177" s="156" t="n"/>
      <c r="O177" s="156" t="n"/>
      <c r="Q177" s="214" t="inlineStr">
        <is>
          <t>175</t>
        </is>
      </c>
      <c r="R177" s="215" t="inlineStr">
        <is>
          <t>NEUQUEN 7046</t>
        </is>
      </c>
      <c r="S177" s="216" t="n">
        <v>24500</v>
      </c>
      <c r="T177" s="236" t="n">
        <v>9500</v>
      </c>
      <c r="U177" s="218" t="n">
        <v>1</v>
      </c>
      <c r="V177" s="219" t="inlineStr">
        <is>
          <t>19/03/2026</t>
        </is>
      </c>
    </row>
    <row r="178" ht="15.75" customHeight="1" s="153">
      <c r="A178" s="237" t="n"/>
      <c r="B178" s="238" t="inlineStr">
        <is>
          <t>L Y PLANES 3884</t>
        </is>
      </c>
      <c r="C178" s="239" t="n"/>
      <c r="D178" s="239" t="n"/>
      <c r="E178" s="239" t="n">
        <v>1</v>
      </c>
      <c r="F178" s="240" t="n"/>
      <c r="G178" s="240" t="n"/>
      <c r="H178" s="241" t="n">
        <v>79900</v>
      </c>
      <c r="I178" s="242" t="n"/>
      <c r="J178" s="242" t="n">
        <v>79900</v>
      </c>
      <c r="K178" s="233" t="n"/>
      <c r="L178" s="233">
        <f>IF(K178&lt;&gt;"",30900+K178,30900)</f>
        <v/>
      </c>
      <c r="M178" s="156" t="n"/>
      <c r="N178" s="156" t="n"/>
      <c r="O178" s="156" t="n"/>
      <c r="Q178" s="221" t="inlineStr">
        <is>
          <t>176</t>
        </is>
      </c>
      <c r="R178" s="222" t="inlineStr">
        <is>
          <t>FLORES 1 MON 5 ADENTRO</t>
        </is>
      </c>
      <c r="S178" s="223" t="n">
        <v>24500</v>
      </c>
      <c r="T178" s="224" t="n">
        <v>9500</v>
      </c>
      <c r="U178" s="225" t="n">
        <v>1</v>
      </c>
      <c r="V178" s="226" t="inlineStr">
        <is>
          <t>19/03/2026</t>
        </is>
      </c>
    </row>
    <row r="179" ht="15.75" customHeight="1" s="153">
      <c r="A179" s="227" t="n"/>
      <c r="B179" s="228" t="inlineStr">
        <is>
          <t>OTNIEL</t>
        </is>
      </c>
      <c r="C179" s="229" t="n"/>
      <c r="D179" s="229" t="n"/>
      <c r="E179" s="229" t="n">
        <v>1</v>
      </c>
      <c r="F179" s="230" t="n"/>
      <c r="G179" s="230" t="n"/>
      <c r="H179" s="231" t="n">
        <v>77000</v>
      </c>
      <c r="I179" s="232" t="n"/>
      <c r="J179" s="232" t="n">
        <v>77000</v>
      </c>
      <c r="K179" s="233" t="n"/>
      <c r="L179" s="233">
        <f>IF(K179&lt;&gt;"",28000+K179,28000)</f>
        <v/>
      </c>
      <c r="M179" s="156" t="n"/>
      <c r="N179" s="156" t="n"/>
      <c r="O179" s="156" t="n"/>
      <c r="Q179" s="214" t="inlineStr">
        <is>
          <t>177</t>
        </is>
      </c>
      <c r="R179" s="215" t="inlineStr">
        <is>
          <t>BELGRANO 3295</t>
        </is>
      </c>
      <c r="S179" s="216" t="n">
        <v>24500</v>
      </c>
      <c r="T179" s="236" t="n">
        <v>9500</v>
      </c>
      <c r="U179" s="218" t="n">
        <v>1</v>
      </c>
      <c r="V179" s="219" t="inlineStr">
        <is>
          <t>22/03/2026</t>
        </is>
      </c>
    </row>
    <row r="180" ht="15.75" customHeight="1" s="153">
      <c r="A180" s="237" t="n"/>
      <c r="B180" s="238" t="inlineStr">
        <is>
          <t>E ZEVALLOS 4881</t>
        </is>
      </c>
      <c r="C180" s="239" t="n">
        <v>1</v>
      </c>
      <c r="D180" s="239" t="n"/>
      <c r="E180" s="239" t="n"/>
      <c r="F180" s="240" t="n"/>
      <c r="G180" s="240" t="n"/>
      <c r="H180" s="241" t="n">
        <v>23000</v>
      </c>
      <c r="I180" s="242" t="n">
        <v>23000</v>
      </c>
      <c r="J180" s="242" t="n"/>
      <c r="K180" s="233" t="n"/>
      <c r="L180" s="233">
        <f>IF(K180&lt;&gt;"",9500+K180,9500)</f>
        <v/>
      </c>
      <c r="M180" s="156" t="n"/>
      <c r="N180" s="156" t="n"/>
      <c r="O180" s="156" t="n"/>
      <c r="Q180" s="221" t="inlineStr">
        <is>
          <t>178</t>
        </is>
      </c>
      <c r="R180" s="222" t="inlineStr">
        <is>
          <t>P GENESIO 4501</t>
        </is>
      </c>
      <c r="S180" s="223" t="n">
        <v>24500</v>
      </c>
      <c r="T180" s="224" t="n">
        <v>9500</v>
      </c>
      <c r="U180" s="225" t="n">
        <v>1</v>
      </c>
      <c r="V180" s="226" t="inlineStr">
        <is>
          <t>23/03/2026</t>
        </is>
      </c>
    </row>
    <row r="181" ht="15.75" customHeight="1" s="153">
      <c r="A181" s="227" t="n">
        <v>46095</v>
      </c>
      <c r="B181" s="228" t="inlineStr">
        <is>
          <t>GORRITI 5376</t>
        </is>
      </c>
      <c r="C181" s="229" t="n">
        <v>1</v>
      </c>
      <c r="D181" s="229" t="n"/>
      <c r="E181" s="229" t="n"/>
      <c r="F181" s="230" t="n"/>
      <c r="G181" s="230" t="n"/>
      <c r="H181" s="231" t="n">
        <v>23000</v>
      </c>
      <c r="I181" s="232" t="n">
        <v>23000</v>
      </c>
      <c r="J181" s="232" t="n"/>
      <c r="K181" s="233" t="n"/>
      <c r="L181" s="233">
        <f>IF(K181&lt;&gt;"",9500+K181,9500)</f>
        <v/>
      </c>
      <c r="M181" s="156" t="n"/>
      <c r="N181" s="156" t="n"/>
      <c r="O181" s="156" t="n"/>
      <c r="Q181" s="214" t="inlineStr">
        <is>
          <t>179</t>
        </is>
      </c>
      <c r="R181" s="215" t="inlineStr">
        <is>
          <t>GDOR FREIRE 1047</t>
        </is>
      </c>
      <c r="S181" s="216" t="n">
        <v>24500</v>
      </c>
      <c r="T181" s="236" t="n">
        <v>9500</v>
      </c>
      <c r="U181" s="218" t="n">
        <v>1</v>
      </c>
      <c r="V181" s="219" t="inlineStr">
        <is>
          <t>24/03/2026</t>
        </is>
      </c>
    </row>
    <row r="182" ht="15.75" customHeight="1" s="153">
      <c r="A182" s="237" t="n"/>
      <c r="B182" s="238" t="inlineStr">
        <is>
          <t>ARISTOBULO 5879</t>
        </is>
      </c>
      <c r="C182" s="239" t="n"/>
      <c r="D182" s="239" t="n">
        <v>1</v>
      </c>
      <c r="E182" s="239" t="n"/>
      <c r="F182" s="240" t="n"/>
      <c r="G182" s="240" t="n"/>
      <c r="H182" s="241" t="n">
        <v>36000</v>
      </c>
      <c r="I182" s="242" t="n">
        <v>36000</v>
      </c>
      <c r="J182" s="242" t="n"/>
      <c r="K182" s="233" t="n"/>
      <c r="L182" s="233">
        <f>IF(K182&lt;&gt;"",15750+K182,15750)</f>
        <v/>
      </c>
      <c r="M182" s="156" t="n"/>
      <c r="N182" s="156" t="n"/>
      <c r="O182" s="156" t="n"/>
      <c r="Q182" s="221" t="inlineStr">
        <is>
          <t>180</t>
        </is>
      </c>
      <c r="R182" s="222" t="inlineStr">
        <is>
          <t>P GENESIO 5851</t>
        </is>
      </c>
      <c r="S182" s="223" t="n">
        <v>24500</v>
      </c>
      <c r="T182" s="224" t="n">
        <v>9500</v>
      </c>
      <c r="U182" s="225" t="n">
        <v>1</v>
      </c>
      <c r="V182" s="226" t="inlineStr">
        <is>
          <t>25/03/2026</t>
        </is>
      </c>
    </row>
    <row r="183" ht="15.75" customHeight="1" s="153">
      <c r="A183" s="227" t="n"/>
      <c r="B183" s="228" t="inlineStr">
        <is>
          <t>GRAL PAZ 7826</t>
        </is>
      </c>
      <c r="C183" s="229" t="n"/>
      <c r="D183" s="229" t="n"/>
      <c r="E183" s="229" t="n">
        <v>2</v>
      </c>
      <c r="F183" s="230" t="n"/>
      <c r="G183" s="230" t="n"/>
      <c r="H183" s="231" t="n">
        <v>156000</v>
      </c>
      <c r="I183" s="232" t="n"/>
      <c r="J183" s="232" t="n">
        <v>156000</v>
      </c>
      <c r="K183" s="233" t="n"/>
      <c r="L183" s="233">
        <f>IF(K183&lt;&gt;"",58000+K183,58000)</f>
        <v/>
      </c>
      <c r="M183" s="156" t="n"/>
      <c r="N183" s="156" t="n"/>
      <c r="O183" s="156" t="n"/>
      <c r="Q183" s="214" t="inlineStr">
        <is>
          <t>181</t>
        </is>
      </c>
      <c r="R183" s="215" t="inlineStr">
        <is>
          <t>PERU 3841</t>
        </is>
      </c>
      <c r="S183" s="216" t="n">
        <v>24500</v>
      </c>
      <c r="T183" s="236" t="n">
        <v>9500</v>
      </c>
      <c r="U183" s="218" t="n">
        <v>1</v>
      </c>
      <c r="V183" s="219" t="inlineStr">
        <is>
          <t>25/03/2026</t>
        </is>
      </c>
    </row>
    <row r="184" ht="15.75" customHeight="1" s="153">
      <c r="A184" s="237" t="n"/>
      <c r="B184" s="238" t="inlineStr">
        <is>
          <t>PJE ROCA 6371</t>
        </is>
      </c>
      <c r="C184" s="239" t="n"/>
      <c r="D184" s="239" t="n"/>
      <c r="E184" s="239" t="n">
        <v>1</v>
      </c>
      <c r="F184" s="240" t="n"/>
      <c r="G184" s="240" t="n"/>
      <c r="H184" s="241" t="n">
        <v>77000</v>
      </c>
      <c r="I184" s="242" t="n">
        <v>77000</v>
      </c>
      <c r="J184" s="242" t="n"/>
      <c r="K184" s="233" t="n"/>
      <c r="L184" s="233">
        <f>IF(K184&lt;&gt;"",28000+K184,28000)</f>
        <v/>
      </c>
      <c r="M184" s="156" t="n"/>
      <c r="N184" s="156" t="n"/>
      <c r="O184" s="156" t="n"/>
      <c r="Q184" s="221" t="inlineStr">
        <is>
          <t>182</t>
        </is>
      </c>
      <c r="R184" s="222" t="inlineStr">
        <is>
          <t>ECUADOR 3735</t>
        </is>
      </c>
      <c r="S184" s="223" t="n">
        <v>24500</v>
      </c>
      <c r="T184" s="224" t="n">
        <v>9500</v>
      </c>
      <c r="U184" s="225" t="n">
        <v>1</v>
      </c>
      <c r="V184" s="226" t="inlineStr">
        <is>
          <t>26/03/2026</t>
        </is>
      </c>
    </row>
    <row r="185" ht="15.75" customHeight="1" s="153">
      <c r="A185" s="227" t="n"/>
      <c r="B185" s="228" t="inlineStr">
        <is>
          <t>PENALOZA 9757</t>
        </is>
      </c>
      <c r="C185" s="229" t="n">
        <v>1</v>
      </c>
      <c r="D185" s="229" t="n"/>
      <c r="E185" s="229" t="n"/>
      <c r="F185" s="230" t="n"/>
      <c r="G185" s="230" t="n"/>
      <c r="H185" s="231" t="n">
        <v>23000</v>
      </c>
      <c r="I185" s="232" t="n">
        <v>23000</v>
      </c>
      <c r="J185" s="232" t="n"/>
      <c r="K185" s="233" t="n"/>
      <c r="L185" s="233">
        <f>IF(K185&lt;&gt;"",9500+K185,9500)</f>
        <v/>
      </c>
      <c r="M185" s="156" t="n"/>
      <c r="N185" s="156" t="n"/>
      <c r="O185" s="156" t="n"/>
      <c r="Q185" s="214" t="inlineStr">
        <is>
          <t>183</t>
        </is>
      </c>
      <c r="R185" s="215" t="inlineStr">
        <is>
          <t>B IRIGOYRN 6848</t>
        </is>
      </c>
      <c r="S185" s="216" t="n">
        <v>24000</v>
      </c>
      <c r="T185" s="236" t="n">
        <v>9000</v>
      </c>
      <c r="U185" s="218" t="n">
        <v>1</v>
      </c>
      <c r="V185" s="219" t="inlineStr">
        <is>
          <t>18/03/2026</t>
        </is>
      </c>
    </row>
    <row r="186" ht="15.75" customHeight="1" s="153">
      <c r="A186" s="237" t="n"/>
      <c r="B186" s="238" t="inlineStr">
        <is>
          <t xml:space="preserve">BRASERIA </t>
        </is>
      </c>
      <c r="C186" s="239" t="n"/>
      <c r="D186" s="239" t="n"/>
      <c r="E186" s="239" t="n">
        <v>1</v>
      </c>
      <c r="F186" s="240" t="n"/>
      <c r="G186" s="240" t="n"/>
      <c r="H186" s="241" t="n">
        <v>78000</v>
      </c>
      <c r="I186" s="242" t="n"/>
      <c r="J186" s="242" t="n">
        <v>78000</v>
      </c>
      <c r="K186" s="233" t="n"/>
      <c r="L186" s="233">
        <f>IF(K186&lt;&gt;"",29000+K186,29000)</f>
        <v/>
      </c>
      <c r="M186" s="156" t="n"/>
      <c r="N186" s="156" t="n"/>
      <c r="O186" s="156" t="n"/>
      <c r="Q186" s="221" t="inlineStr">
        <is>
          <t>184</t>
        </is>
      </c>
      <c r="R186" s="222" t="inlineStr">
        <is>
          <t>P GENESIO 5799</t>
        </is>
      </c>
      <c r="S186" s="223" t="n">
        <v>24000</v>
      </c>
      <c r="T186" s="224" t="n">
        <v>9000</v>
      </c>
      <c r="U186" s="225" t="n">
        <v>1</v>
      </c>
      <c r="V186" s="226" t="inlineStr">
        <is>
          <t>23/03/2026</t>
        </is>
      </c>
    </row>
    <row r="187" ht="15.75" customHeight="1" s="153">
      <c r="A187" s="227" t="n"/>
      <c r="B187" s="228" t="inlineStr">
        <is>
          <t>J DE LA ROSA 459</t>
        </is>
      </c>
      <c r="C187" s="229" t="n">
        <v>1</v>
      </c>
      <c r="D187" s="229" t="n"/>
      <c r="E187" s="229" t="n"/>
      <c r="F187" s="230" t="n"/>
      <c r="G187" s="230" t="n"/>
      <c r="H187" s="231" t="n">
        <v>23000</v>
      </c>
      <c r="I187" s="232" t="n"/>
      <c r="J187" s="232" t="n">
        <v>23000</v>
      </c>
      <c r="K187" s="233" t="n"/>
      <c r="L187" s="233">
        <f>IF(K187&lt;&gt;"",9500+K187,9500)</f>
        <v/>
      </c>
      <c r="M187" s="156" t="n"/>
      <c r="N187" s="156" t="n"/>
      <c r="O187" s="156" t="n"/>
      <c r="Q187" s="214" t="inlineStr">
        <is>
          <t>185</t>
        </is>
      </c>
      <c r="R187" s="215" t="inlineStr">
        <is>
          <t>JM ZUVIRIA 3439</t>
        </is>
      </c>
      <c r="S187" s="216" t="n">
        <v>24000</v>
      </c>
      <c r="T187" s="236" t="n">
        <v>9000</v>
      </c>
      <c r="U187" s="218" t="n">
        <v>1</v>
      </c>
      <c r="V187" s="219" t="inlineStr">
        <is>
          <t>24/03/2026</t>
        </is>
      </c>
    </row>
    <row r="188" ht="15.75" customHeight="1" s="153">
      <c r="A188" s="237" t="n"/>
      <c r="B188" s="238" t="inlineStr">
        <is>
          <t>FILOMENA</t>
        </is>
      </c>
      <c r="C188" s="239" t="n">
        <v>1</v>
      </c>
      <c r="D188" s="239" t="n"/>
      <c r="E188" s="239" t="n"/>
      <c r="F188" s="240" t="n"/>
      <c r="G188" s="240" t="n"/>
      <c r="H188" s="241" t="n">
        <v>20500</v>
      </c>
      <c r="I188" s="242" t="n"/>
      <c r="J188" s="242" t="n">
        <v>20500</v>
      </c>
      <c r="K188" s="233" t="n"/>
      <c r="L188" s="233">
        <f>IF(K188&lt;&gt;"",7000+K188,7000)</f>
        <v/>
      </c>
      <c r="M188" s="156" t="n"/>
      <c r="N188" s="156" t="n"/>
      <c r="O188" s="156" t="n"/>
      <c r="Q188" s="221" t="inlineStr">
        <is>
          <t>186</t>
        </is>
      </c>
      <c r="R188" s="222" t="inlineStr">
        <is>
          <t>ZAVALLA 10319</t>
        </is>
      </c>
      <c r="S188" s="223" t="n">
        <v>24000</v>
      </c>
      <c r="T188" s="224" t="n">
        <v>9000</v>
      </c>
      <c r="U188" s="225" t="n">
        <v>1</v>
      </c>
      <c r="V188" s="226" t="inlineStr">
        <is>
          <t>24/03/2026</t>
        </is>
      </c>
    </row>
    <row r="189" ht="15.75" customHeight="1" s="153">
      <c r="A189" s="227" t="n"/>
      <c r="B189" s="228" t="inlineStr">
        <is>
          <t>BLAS PARERA 9777</t>
        </is>
      </c>
      <c r="C189" s="229" t="n"/>
      <c r="D189" s="229" t="n"/>
      <c r="E189" s="229" t="n">
        <v>1</v>
      </c>
      <c r="F189" s="230" t="n"/>
      <c r="G189" s="230" t="n"/>
      <c r="H189" s="231" t="n">
        <v>80000</v>
      </c>
      <c r="I189" s="232" t="n">
        <v>80000</v>
      </c>
      <c r="J189" s="232" t="n"/>
      <c r="K189" s="233" t="n"/>
      <c r="L189" s="233">
        <f>IF(K189&lt;&gt;"",31000+K189,31000)</f>
        <v/>
      </c>
      <c r="M189" s="156" t="n"/>
      <c r="N189" s="156" t="n"/>
      <c r="O189" s="156" t="n"/>
      <c r="Q189" s="214" t="inlineStr">
        <is>
          <t>187</t>
        </is>
      </c>
      <c r="R189" s="215" t="inlineStr">
        <is>
          <t>BONEO 5315</t>
        </is>
      </c>
      <c r="S189" s="216" t="n">
        <v>23500</v>
      </c>
      <c r="T189" s="236" t="n">
        <v>8500</v>
      </c>
      <c r="U189" s="218" t="n">
        <v>1</v>
      </c>
      <c r="V189" s="219" t="inlineStr">
        <is>
          <t>19/04/2026</t>
        </is>
      </c>
    </row>
    <row r="190" ht="15.75" customHeight="1" s="153">
      <c r="A190" s="237" t="n"/>
      <c r="B190" s="238" t="inlineStr">
        <is>
          <t>J D SOLIS 10529</t>
        </is>
      </c>
      <c r="C190" s="239" t="n"/>
      <c r="D190" s="239" t="n"/>
      <c r="E190" s="239" t="n">
        <v>2</v>
      </c>
      <c r="F190" s="240" t="n"/>
      <c r="G190" s="240" t="n"/>
      <c r="H190" s="241" t="n">
        <v>166000</v>
      </c>
      <c r="I190" s="242" t="n"/>
      <c r="J190" s="242" t="n">
        <v>166000</v>
      </c>
      <c r="K190" s="233" t="n"/>
      <c r="L190" s="233">
        <f>IF(K190&lt;&gt;"",68000+K190,68000)</f>
        <v/>
      </c>
      <c r="M190" s="156" t="n"/>
      <c r="N190" s="156" t="n"/>
      <c r="O190" s="156" t="n"/>
      <c r="Q190" s="221" t="inlineStr">
        <is>
          <t>188</t>
        </is>
      </c>
      <c r="R190" s="222" t="inlineStr">
        <is>
          <t>FLORENCIO SANCHEZ 4699</t>
        </is>
      </c>
      <c r="S190" s="223" t="n">
        <v>23500</v>
      </c>
      <c r="T190" s="224" t="n">
        <v>8500</v>
      </c>
      <c r="U190" s="225" t="n">
        <v>1</v>
      </c>
      <c r="V190" s="226" t="inlineStr">
        <is>
          <t>22/03/2026</t>
        </is>
      </c>
    </row>
    <row r="191" ht="15.75" customHeight="1" s="153">
      <c r="A191" s="227" t="n"/>
      <c r="B191" s="228" t="inlineStr">
        <is>
          <t>AYACUCHO 5284</t>
        </is>
      </c>
      <c r="C191" s="229" t="n">
        <v>1</v>
      </c>
      <c r="D191" s="229" t="n"/>
      <c r="E191" s="229" t="n"/>
      <c r="F191" s="230" t="n"/>
      <c r="G191" s="230" t="n"/>
      <c r="H191" s="231" t="n">
        <v>22500</v>
      </c>
      <c r="I191" s="232" t="n"/>
      <c r="J191" s="232" t="n">
        <v>22500</v>
      </c>
      <c r="K191" s="233" t="n"/>
      <c r="L191" s="233">
        <f>IF(K191&lt;&gt;"",9000+K191,9000)</f>
        <v/>
      </c>
      <c r="M191" s="156" t="n"/>
      <c r="N191" s="156" t="n"/>
      <c r="O191" s="156" t="n"/>
      <c r="Q191" s="214" t="inlineStr">
        <is>
          <t>189</t>
        </is>
      </c>
      <c r="R191" s="215" t="inlineStr">
        <is>
          <t>BLAS PARERA 7162</t>
        </is>
      </c>
      <c r="S191" s="216" t="n">
        <v>23500</v>
      </c>
      <c r="T191" s="236" t="n">
        <v>8500</v>
      </c>
      <c r="U191" s="218" t="n">
        <v>1</v>
      </c>
      <c r="V191" s="219" t="inlineStr">
        <is>
          <t>23/03/2026</t>
        </is>
      </c>
    </row>
    <row r="192" ht="15.75" customHeight="1" s="153">
      <c r="A192" s="237" t="n"/>
      <c r="B192" s="238" t="inlineStr">
        <is>
          <t>PJE LUIS BELTRAN 4362</t>
        </is>
      </c>
      <c r="C192" s="239" t="n"/>
      <c r="D192" s="239" t="n"/>
      <c r="E192" s="239" t="n">
        <v>1</v>
      </c>
      <c r="F192" s="240" t="n"/>
      <c r="G192" s="240" t="n"/>
      <c r="H192" s="241" t="n">
        <v>79900</v>
      </c>
      <c r="I192" s="242" t="n">
        <v>79900</v>
      </c>
      <c r="J192" s="242" t="n"/>
      <c r="K192" s="233" t="n"/>
      <c r="L192" s="233">
        <f>IF(K192&lt;&gt;"",30900+K192,30900)</f>
        <v/>
      </c>
      <c r="M192" s="156" t="n"/>
      <c r="N192" s="156" t="n"/>
      <c r="O192" s="156" t="n"/>
      <c r="Q192" s="221" t="inlineStr">
        <is>
          <t>190</t>
        </is>
      </c>
      <c r="R192" s="222" t="inlineStr">
        <is>
          <t>ANA ABDALA</t>
        </is>
      </c>
      <c r="S192" s="223" t="n">
        <v>23000</v>
      </c>
      <c r="T192" s="224" t="n">
        <v>8000</v>
      </c>
      <c r="U192" s="225" t="n">
        <v>1</v>
      </c>
      <c r="V192" s="226" t="inlineStr">
        <is>
          <t>21/04/2026</t>
        </is>
      </c>
    </row>
    <row r="193" ht="15.75" customHeight="1" s="153">
      <c r="A193" s="227" t="n"/>
      <c r="B193" s="228" t="inlineStr">
        <is>
          <t>SABOREAR</t>
        </is>
      </c>
      <c r="C193" s="229" t="n">
        <v>2</v>
      </c>
      <c r="D193" s="229" t="n"/>
      <c r="E193" s="229" t="n"/>
      <c r="F193" s="230" t="n"/>
      <c r="G193" s="230" t="n"/>
      <c r="H193" s="231" t="n">
        <v>42000</v>
      </c>
      <c r="I193" s="232" t="n">
        <v>42000</v>
      </c>
      <c r="J193" s="232" t="n"/>
      <c r="K193" s="233" t="n"/>
      <c r="L193" s="233">
        <f>IF(K193&lt;&gt;"",15000+K193,15000)</f>
        <v/>
      </c>
      <c r="M193" s="156" t="n"/>
      <c r="N193" s="156" t="n"/>
      <c r="O193" s="156" t="n"/>
      <c r="Q193" s="214" t="inlineStr">
        <is>
          <t>191</t>
        </is>
      </c>
      <c r="R193" s="215" t="inlineStr">
        <is>
          <t>1 DE MAYO 8361</t>
        </is>
      </c>
      <c r="S193" s="216" t="n">
        <v>23000</v>
      </c>
      <c r="T193" s="236" t="n">
        <v>8000</v>
      </c>
      <c r="U193" s="218" t="n">
        <v>1</v>
      </c>
      <c r="V193" s="219" t="inlineStr">
        <is>
          <t>18/04/2026</t>
        </is>
      </c>
    </row>
    <row r="194" ht="15.75" customHeight="1" s="153">
      <c r="A194" s="237" t="n"/>
      <c r="B194" s="238" t="inlineStr">
        <is>
          <t>BOEDO 1637</t>
        </is>
      </c>
      <c r="C194" s="239" t="n">
        <v>1</v>
      </c>
      <c r="D194" s="239" t="n"/>
      <c r="E194" s="239" t="n"/>
      <c r="F194" s="240" t="n"/>
      <c r="G194" s="240" t="n"/>
      <c r="H194" s="241" t="n">
        <v>23000</v>
      </c>
      <c r="I194" s="242" t="n">
        <v>23000</v>
      </c>
      <c r="J194" s="242" t="n"/>
      <c r="K194" s="233" t="n"/>
      <c r="L194" s="233">
        <f>IF(K194&lt;&gt;"",9500+K194,9500)</f>
        <v/>
      </c>
      <c r="M194" s="156" t="n"/>
      <c r="N194" s="156" t="n"/>
      <c r="O194" s="156" t="n"/>
      <c r="Q194" s="221" t="inlineStr">
        <is>
          <t>192</t>
        </is>
      </c>
      <c r="R194" s="222" t="inlineStr">
        <is>
          <t>PENALOZA 9757</t>
        </is>
      </c>
      <c r="S194" s="223" t="n">
        <v>23000</v>
      </c>
      <c r="T194" s="224" t="n">
        <v>8000</v>
      </c>
      <c r="U194" s="225" t="n">
        <v>1</v>
      </c>
      <c r="V194" s="226" t="inlineStr">
        <is>
          <t>14/03/2026</t>
        </is>
      </c>
    </row>
    <row r="195" ht="15.75" customHeight="1" s="153">
      <c r="A195" s="227" t="n"/>
      <c r="B195" s="228" t="inlineStr">
        <is>
          <t>CALLE</t>
        </is>
      </c>
      <c r="C195" s="229" t="n">
        <v>1</v>
      </c>
      <c r="D195" s="229" t="n"/>
      <c r="E195" s="229" t="n"/>
      <c r="F195" s="230" t="n"/>
      <c r="G195" s="230" t="n"/>
      <c r="H195" s="231" t="n">
        <v>20000</v>
      </c>
      <c r="I195" s="232" t="n"/>
      <c r="J195" s="232" t="n">
        <v>20000</v>
      </c>
      <c r="K195" s="233" t="n"/>
      <c r="L195" s="233">
        <f>IF(K195&lt;&gt;"",6500+K195,6500)</f>
        <v/>
      </c>
      <c r="M195" s="156" t="n"/>
      <c r="N195" s="156" t="n"/>
      <c r="O195" s="156" t="n"/>
      <c r="Q195" s="214" t="inlineStr">
        <is>
          <t>193</t>
        </is>
      </c>
      <c r="R195" s="215" t="inlineStr">
        <is>
          <t>RIVADAVIA JUNIOR</t>
        </is>
      </c>
      <c r="S195" s="216" t="n">
        <v>23000</v>
      </c>
      <c r="T195" s="236" t="n">
        <v>8000</v>
      </c>
      <c r="U195" s="218" t="n">
        <v>1</v>
      </c>
      <c r="V195" s="219" t="inlineStr">
        <is>
          <t>16/04/2026</t>
        </is>
      </c>
    </row>
    <row r="196" ht="15.75" customHeight="1" s="153">
      <c r="A196" s="237" t="n"/>
      <c r="B196" s="238" t="inlineStr">
        <is>
          <t>D SILVA 4217</t>
        </is>
      </c>
      <c r="C196" s="239" t="n">
        <v>3</v>
      </c>
      <c r="D196" s="239" t="n"/>
      <c r="E196" s="239" t="n"/>
      <c r="F196" s="240" t="n"/>
      <c r="G196" s="240" t="n"/>
      <c r="H196" s="241" t="n">
        <v>51000</v>
      </c>
      <c r="I196" s="242" t="n">
        <v>51000</v>
      </c>
      <c r="J196" s="242" t="n"/>
      <c r="K196" s="233" t="n"/>
      <c r="L196" s="233">
        <f>IF(K196&lt;&gt;"",10500+K196,10500)</f>
        <v/>
      </c>
      <c r="M196" s="156" t="n"/>
      <c r="N196" s="156" t="n"/>
      <c r="O196" s="156" t="n"/>
      <c r="Q196" s="221" t="inlineStr">
        <is>
          <t>194</t>
        </is>
      </c>
      <c r="R196" s="222" t="inlineStr">
        <is>
          <t>9 DE JULIO 2109</t>
        </is>
      </c>
      <c r="S196" s="223" t="n">
        <v>23000</v>
      </c>
      <c r="T196" s="224" t="n">
        <v>8000</v>
      </c>
      <c r="U196" s="225" t="n">
        <v>1</v>
      </c>
      <c r="V196" s="226" t="inlineStr">
        <is>
          <t>01/03/2026</t>
        </is>
      </c>
    </row>
    <row r="197" ht="15.75" customHeight="1" s="153">
      <c r="A197" s="227" t="n"/>
      <c r="B197" s="228" t="inlineStr">
        <is>
          <t>1 DE MAYO 8361</t>
        </is>
      </c>
      <c r="C197" s="229" t="n">
        <v>1</v>
      </c>
      <c r="D197" s="229" t="n"/>
      <c r="E197" s="229" t="n"/>
      <c r="F197" s="230" t="n"/>
      <c r="G197" s="230" t="n"/>
      <c r="H197" s="231" t="n">
        <v>23000</v>
      </c>
      <c r="I197" s="232" t="n">
        <v>23000</v>
      </c>
      <c r="J197" s="232" t="n"/>
      <c r="K197" s="233" t="n"/>
      <c r="L197" s="233">
        <f>IF(K197&lt;&gt;"",9500+K197,9500)</f>
        <v/>
      </c>
      <c r="M197" s="156" t="n"/>
      <c r="N197" s="156" t="n"/>
      <c r="O197" s="156" t="n"/>
      <c r="Q197" s="214" t="inlineStr">
        <is>
          <t>195</t>
        </is>
      </c>
      <c r="R197" s="215" t="inlineStr">
        <is>
          <t>IRMA INGENIEROS 5501</t>
        </is>
      </c>
      <c r="S197" s="216" t="n">
        <v>23000</v>
      </c>
      <c r="T197" s="236" t="n">
        <v>8000</v>
      </c>
      <c r="U197" s="218" t="n">
        <v>1</v>
      </c>
      <c r="V197" s="219" t="inlineStr">
        <is>
          <t>02/03/2026</t>
        </is>
      </c>
    </row>
    <row r="198" ht="15.75" customHeight="1" s="153">
      <c r="A198" s="237" t="n"/>
      <c r="B198" s="238" t="inlineStr">
        <is>
          <t>POLLERIA ARISTOBULO</t>
        </is>
      </c>
      <c r="C198" s="239" t="n">
        <v>2</v>
      </c>
      <c r="D198" s="239" t="n"/>
      <c r="E198" s="239" t="n"/>
      <c r="F198" s="240" t="n"/>
      <c r="G198" s="240" t="n"/>
      <c r="H198" s="241" t="n">
        <v>32000</v>
      </c>
      <c r="I198" s="242" t="n">
        <v>32000</v>
      </c>
      <c r="J198" s="242" t="n"/>
      <c r="K198" s="233" t="n"/>
      <c r="L198" s="233">
        <f>IF(K198&lt;&gt;"",5000+K198,5000)</f>
        <v/>
      </c>
      <c r="M198" s="156" t="n"/>
      <c r="N198" s="156" t="n"/>
      <c r="O198" s="156" t="n"/>
      <c r="Q198" s="221" t="inlineStr">
        <is>
          <t>196</t>
        </is>
      </c>
      <c r="R198" s="222" t="inlineStr">
        <is>
          <t>RIOJA 2934</t>
        </is>
      </c>
      <c r="S198" s="223" t="n">
        <v>23000</v>
      </c>
      <c r="T198" s="224" t="n">
        <v>8000</v>
      </c>
      <c r="U198" s="225" t="n">
        <v>1</v>
      </c>
      <c r="V198" s="226" t="inlineStr">
        <is>
          <t>05/03/2026</t>
        </is>
      </c>
    </row>
    <row r="199" ht="15.75" customHeight="1" s="153">
      <c r="A199" s="227" t="n"/>
      <c r="B199" s="228" t="inlineStr">
        <is>
          <t>PUBLICO 2527</t>
        </is>
      </c>
      <c r="C199" s="229" t="n">
        <v>1</v>
      </c>
      <c r="D199" s="229" t="n">
        <v>1</v>
      </c>
      <c r="E199" s="229" t="n"/>
      <c r="F199" s="230" t="n"/>
      <c r="G199" s="230" t="n"/>
      <c r="H199" s="231" t="n">
        <v>55500</v>
      </c>
      <c r="I199" s="232" t="n">
        <v>55500</v>
      </c>
      <c r="J199" s="232" t="n"/>
      <c r="K199" s="233" t="n"/>
      <c r="L199" s="233">
        <f>IF(K199&lt;&gt;"",21750+K199,21750)</f>
        <v/>
      </c>
      <c r="M199" s="156" t="n"/>
      <c r="N199" s="156" t="n"/>
      <c r="O199" s="156" t="n"/>
      <c r="Q199" s="214" t="inlineStr">
        <is>
          <t>197</t>
        </is>
      </c>
      <c r="R199" s="215" t="inlineStr">
        <is>
          <t>M CANDIOTI 5759</t>
        </is>
      </c>
      <c r="S199" s="216" t="n">
        <v>23000</v>
      </c>
      <c r="T199" s="236" t="n">
        <v>8000</v>
      </c>
      <c r="U199" s="218" t="n">
        <v>1</v>
      </c>
      <c r="V199" s="219" t="inlineStr">
        <is>
          <t>06/03/2026</t>
        </is>
      </c>
    </row>
    <row r="200" ht="15.75" customHeight="1" s="153">
      <c r="A200" s="237" t="n"/>
      <c r="B200" s="238" t="inlineStr">
        <is>
          <t>CASANELLO 3463</t>
        </is>
      </c>
      <c r="C200" s="239" t="n">
        <v>1</v>
      </c>
      <c r="D200" s="239" t="n">
        <v>1</v>
      </c>
      <c r="E200" s="239" t="n"/>
      <c r="F200" s="240" t="n"/>
      <c r="G200" s="240" t="n"/>
      <c r="H200" s="241" t="n">
        <v>56500</v>
      </c>
      <c r="I200" s="242" t="n">
        <v>56500</v>
      </c>
      <c r="J200" s="242" t="n"/>
      <c r="K200" s="233" t="n"/>
      <c r="L200" s="233">
        <f>IF(K200&lt;&gt;"",22750+K200,22750)</f>
        <v/>
      </c>
      <c r="M200" s="156" t="n"/>
      <c r="N200" s="156" t="n"/>
      <c r="O200" s="156" t="n"/>
      <c r="Q200" s="221" t="inlineStr">
        <is>
          <t>198</t>
        </is>
      </c>
      <c r="R200" s="222" t="inlineStr">
        <is>
          <t>A DELGADO 1737</t>
        </is>
      </c>
      <c r="S200" s="223" t="n">
        <v>23000</v>
      </c>
      <c r="T200" s="224" t="n">
        <v>8000</v>
      </c>
      <c r="U200" s="225" t="n">
        <v>1</v>
      </c>
      <c r="V200" s="226" t="inlineStr">
        <is>
          <t>07/03/2026</t>
        </is>
      </c>
    </row>
    <row r="201" ht="15.75" customHeight="1" s="153">
      <c r="A201" s="227" t="n">
        <v>46096</v>
      </c>
      <c r="B201" s="228" t="inlineStr">
        <is>
          <t>P GENESIO 2128</t>
        </is>
      </c>
      <c r="C201" s="229" t="n"/>
      <c r="D201" s="229" t="n"/>
      <c r="E201" s="229" t="n">
        <v>1</v>
      </c>
      <c r="F201" s="230" t="n"/>
      <c r="G201" s="230" t="n"/>
      <c r="H201" s="231" t="n">
        <v>82000</v>
      </c>
      <c r="I201" s="232" t="n"/>
      <c r="J201" s="232" t="n">
        <v>82000</v>
      </c>
      <c r="K201" s="233" t="n"/>
      <c r="L201" s="233">
        <f>IF(K201&lt;&gt;"",33000+K201,33000)</f>
        <v/>
      </c>
      <c r="M201" s="156" t="n"/>
      <c r="N201" s="156" t="n"/>
      <c r="O201" s="156" t="n"/>
      <c r="Q201" s="214" t="inlineStr">
        <is>
          <t>199</t>
        </is>
      </c>
      <c r="R201" s="215" t="inlineStr">
        <is>
          <t>SAN AMRTIN 3939</t>
        </is>
      </c>
      <c r="S201" s="216" t="n">
        <v>23000</v>
      </c>
      <c r="T201" s="236" t="n">
        <v>8000</v>
      </c>
      <c r="U201" s="218" t="n">
        <v>1</v>
      </c>
      <c r="V201" s="219" t="inlineStr">
        <is>
          <t>10/03/2026</t>
        </is>
      </c>
    </row>
    <row r="202" ht="15.75" customHeight="1" s="153">
      <c r="A202" s="237" t="n"/>
      <c r="B202" s="238" t="inlineStr">
        <is>
          <t>FRANCIA 1872</t>
        </is>
      </c>
      <c r="C202" s="239" t="n"/>
      <c r="D202" s="239" t="n"/>
      <c r="E202" s="239" t="n">
        <v>1</v>
      </c>
      <c r="F202" s="240" t="n"/>
      <c r="G202" s="240" t="n"/>
      <c r="H202" s="241" t="n">
        <v>80000</v>
      </c>
      <c r="I202" s="242" t="n">
        <v>80000</v>
      </c>
      <c r="J202" s="242" t="n"/>
      <c r="K202" s="233" t="n"/>
      <c r="L202" s="233">
        <f>IF(K202&lt;&gt;"",31000+K202,31000)</f>
        <v/>
      </c>
      <c r="M202" s="156" t="n"/>
      <c r="N202" s="156" t="n"/>
      <c r="O202" s="156" t="n"/>
      <c r="Q202" s="221" t="inlineStr">
        <is>
          <t>200</t>
        </is>
      </c>
      <c r="R202" s="222" t="inlineStr">
        <is>
          <t>DAVID LEIVA Y ALBERTI</t>
        </is>
      </c>
      <c r="S202" s="223" t="n">
        <v>23000</v>
      </c>
      <c r="T202" s="224" t="n">
        <v>8000</v>
      </c>
      <c r="U202" s="225" t="n">
        <v>1</v>
      </c>
      <c r="V202" s="226" t="inlineStr">
        <is>
          <t>13/03/2026</t>
        </is>
      </c>
    </row>
    <row r="203" ht="15.75" customHeight="1" s="153">
      <c r="A203" s="227" t="n"/>
      <c r="B203" s="228" t="inlineStr">
        <is>
          <t>LARREA 3164</t>
        </is>
      </c>
      <c r="C203" s="229" t="n"/>
      <c r="D203" s="229" t="n"/>
      <c r="E203" s="229" t="n">
        <v>1</v>
      </c>
      <c r="F203" s="230" t="n"/>
      <c r="G203" s="230" t="n"/>
      <c r="H203" s="231" t="n">
        <v>79900</v>
      </c>
      <c r="I203" s="232" t="n"/>
      <c r="J203" s="232" t="n">
        <v>79900</v>
      </c>
      <c r="K203" s="233" t="n"/>
      <c r="L203" s="233">
        <f>IF(K203&lt;&gt;"",30900+K203,30900)</f>
        <v/>
      </c>
      <c r="M203" s="156" t="n"/>
      <c r="N203" s="156" t="n"/>
      <c r="O203" s="156" t="n"/>
      <c r="Q203" s="214" t="inlineStr">
        <is>
          <t>201</t>
        </is>
      </c>
      <c r="R203" s="215" t="inlineStr">
        <is>
          <t>E ZEVALLOS 4881</t>
        </is>
      </c>
      <c r="S203" s="216" t="n">
        <v>23000</v>
      </c>
      <c r="T203" s="236" t="n">
        <v>8000</v>
      </c>
      <c r="U203" s="218" t="n">
        <v>1</v>
      </c>
      <c r="V203" s="219" t="inlineStr">
        <is>
          <t>13/03/2026</t>
        </is>
      </c>
    </row>
    <row r="204" ht="15.75" customHeight="1" s="153">
      <c r="A204" s="237" t="n"/>
      <c r="B204" s="238" t="inlineStr">
        <is>
          <t>CASTELLI 5406</t>
        </is>
      </c>
      <c r="C204" s="239" t="n"/>
      <c r="D204" s="239" t="n">
        <v>1</v>
      </c>
      <c r="E204" s="239" t="n"/>
      <c r="F204" s="240" t="n"/>
      <c r="G204" s="240" t="n"/>
      <c r="H204" s="241" t="n">
        <v>35000</v>
      </c>
      <c r="I204" s="242" t="n">
        <v>35000</v>
      </c>
      <c r="J204" s="242" t="n"/>
      <c r="K204" s="233" t="n"/>
      <c r="L204" s="233">
        <f>IF(K204&lt;&gt;"",14750+K204,14750)</f>
        <v/>
      </c>
      <c r="M204" s="156" t="n"/>
      <c r="N204" s="156" t="n"/>
      <c r="O204" s="156" t="n"/>
      <c r="Q204" s="221" t="inlineStr">
        <is>
          <t>202</t>
        </is>
      </c>
      <c r="R204" s="222" t="inlineStr">
        <is>
          <t>GORRITI 5376</t>
        </is>
      </c>
      <c r="S204" s="223" t="n">
        <v>23000</v>
      </c>
      <c r="T204" s="224" t="n">
        <v>8000</v>
      </c>
      <c r="U204" s="225" t="n">
        <v>1</v>
      </c>
      <c r="V204" s="226" t="inlineStr">
        <is>
          <t>14/03/2026</t>
        </is>
      </c>
    </row>
    <row r="205" ht="15.75" customHeight="1" s="153">
      <c r="A205" s="227" t="n"/>
      <c r="B205" s="228" t="inlineStr">
        <is>
          <t>FILOMENA</t>
        </is>
      </c>
      <c r="C205" s="229" t="n">
        <v>2</v>
      </c>
      <c r="D205" s="229" t="n"/>
      <c r="E205" s="229" t="n"/>
      <c r="F205" s="230" t="n"/>
      <c r="G205" s="230" t="n"/>
      <c r="H205" s="231" t="n">
        <v>41000</v>
      </c>
      <c r="I205" s="232" t="n"/>
      <c r="J205" s="232" t="n">
        <v>41000</v>
      </c>
      <c r="K205" s="233" t="n"/>
      <c r="L205" s="233">
        <f>IF(K205&lt;&gt;"",14000+K205,14000)</f>
        <v/>
      </c>
      <c r="M205" s="156" t="n"/>
      <c r="N205" s="156" t="n"/>
      <c r="O205" s="156" t="n"/>
      <c r="Q205" s="214" t="inlineStr">
        <is>
          <t>203</t>
        </is>
      </c>
      <c r="R205" s="215" t="inlineStr">
        <is>
          <t>J DE LA ROSA 459</t>
        </is>
      </c>
      <c r="S205" s="216" t="n">
        <v>23000</v>
      </c>
      <c r="T205" s="236" t="n">
        <v>8000</v>
      </c>
      <c r="U205" s="218" t="n">
        <v>1</v>
      </c>
      <c r="V205" s="219" t="inlineStr">
        <is>
          <t>14/03/2026</t>
        </is>
      </c>
    </row>
    <row r="206" ht="15.75" customHeight="1" s="153">
      <c r="A206" s="237" t="n"/>
      <c r="B206" s="238" t="inlineStr">
        <is>
          <t>BLAS PARERA 6372</t>
        </is>
      </c>
      <c r="C206" s="239" t="n"/>
      <c r="D206" s="239" t="n"/>
      <c r="E206" s="239" t="n">
        <v>1</v>
      </c>
      <c r="F206" s="240" t="n"/>
      <c r="G206" s="240" t="n"/>
      <c r="H206" s="241" t="n">
        <v>78000</v>
      </c>
      <c r="I206" s="242" t="n"/>
      <c r="J206" s="242" t="n">
        <v>78000</v>
      </c>
      <c r="K206" s="233" t="n"/>
      <c r="L206" s="233">
        <f>IF(K206&lt;&gt;"",29000+K206,29000)</f>
        <v/>
      </c>
      <c r="M206" s="156" t="n"/>
      <c r="N206" s="156" t="n"/>
      <c r="O206" s="156" t="n"/>
      <c r="Q206" s="221" t="inlineStr">
        <is>
          <t>204</t>
        </is>
      </c>
      <c r="R206" s="222" t="inlineStr">
        <is>
          <t>BOEDO 1637</t>
        </is>
      </c>
      <c r="S206" s="223" t="n">
        <v>23000</v>
      </c>
      <c r="T206" s="224" t="n">
        <v>8000</v>
      </c>
      <c r="U206" s="225" t="n">
        <v>1</v>
      </c>
      <c r="V206" s="226" t="inlineStr">
        <is>
          <t>14/03/2026</t>
        </is>
      </c>
    </row>
    <row r="207" ht="15.75" customHeight="1" s="153">
      <c r="A207" s="227" t="n"/>
      <c r="B207" s="228" t="inlineStr">
        <is>
          <t>ELI CARRIBAR</t>
        </is>
      </c>
      <c r="C207" s="229" t="n">
        <v>1</v>
      </c>
      <c r="D207" s="229" t="n"/>
      <c r="E207" s="229" t="n"/>
      <c r="F207" s="230" t="n"/>
      <c r="G207" s="230" t="n"/>
      <c r="H207" s="231" t="n">
        <v>20500</v>
      </c>
      <c r="I207" s="232" t="n">
        <v>20500</v>
      </c>
      <c r="J207" s="232" t="n"/>
      <c r="K207" s="233" t="n"/>
      <c r="L207" s="233">
        <f>IF(K207&lt;&gt;"",7000+K207,7000)</f>
        <v/>
      </c>
      <c r="M207" s="156" t="n"/>
      <c r="N207" s="156" t="n"/>
      <c r="O207" s="156" t="n"/>
      <c r="Q207" s="214" t="inlineStr">
        <is>
          <t>205</t>
        </is>
      </c>
      <c r="R207" s="215" t="inlineStr">
        <is>
          <t>ESTANIS DEL CAMPO 1625</t>
        </is>
      </c>
      <c r="S207" s="216" t="n">
        <v>23000</v>
      </c>
      <c r="T207" s="236" t="n">
        <v>8000</v>
      </c>
      <c r="U207" s="218" t="n">
        <v>1</v>
      </c>
      <c r="V207" s="219" t="inlineStr">
        <is>
          <t>16/03/2026</t>
        </is>
      </c>
    </row>
    <row r="208" ht="15.75" customHeight="1" s="153">
      <c r="A208" s="237" t="n"/>
      <c r="B208" s="238" t="inlineStr">
        <is>
          <t>ALBERTI 2865</t>
        </is>
      </c>
      <c r="C208" s="239" t="n">
        <v>1</v>
      </c>
      <c r="D208" s="239" t="n"/>
      <c r="E208" s="239" t="n"/>
      <c r="F208" s="240" t="n"/>
      <c r="G208" s="240" t="n"/>
      <c r="H208" s="241" t="n">
        <v>22500</v>
      </c>
      <c r="I208" s="242" t="n"/>
      <c r="J208" s="242" t="n">
        <v>22500</v>
      </c>
      <c r="K208" s="233" t="n"/>
      <c r="L208" s="233">
        <f>IF(K208&lt;&gt;"",9000+K208,9000)</f>
        <v/>
      </c>
      <c r="M208" s="156" t="n"/>
      <c r="N208" s="156" t="n"/>
      <c r="O208" s="156" t="n"/>
      <c r="Q208" s="221" t="inlineStr">
        <is>
          <t>206</t>
        </is>
      </c>
      <c r="R208" s="222" t="inlineStr">
        <is>
          <t>LARGUIA 6924</t>
        </is>
      </c>
      <c r="S208" s="223" t="n">
        <v>22500</v>
      </c>
      <c r="T208" s="224" t="n">
        <v>7500</v>
      </c>
      <c r="U208" s="225" t="n">
        <v>1</v>
      </c>
      <c r="V208" s="226" t="inlineStr">
        <is>
          <t>21/04/2026</t>
        </is>
      </c>
    </row>
    <row r="209" ht="15.75" customHeight="1" s="153">
      <c r="A209" s="227" t="n"/>
      <c r="B209" s="228" t="inlineStr">
        <is>
          <t>SANDRA</t>
        </is>
      </c>
      <c r="C209" s="229" t="n">
        <v>1</v>
      </c>
      <c r="D209" s="229" t="n"/>
      <c r="E209" s="229" t="n"/>
      <c r="F209" s="230" t="n"/>
      <c r="G209" s="230" t="n"/>
      <c r="H209" s="231" t="n">
        <v>17000</v>
      </c>
      <c r="I209" s="232" t="n">
        <v>17000</v>
      </c>
      <c r="J209" s="232" t="n"/>
      <c r="K209" s="233" t="n"/>
      <c r="L209" s="233">
        <f>IF(K209&lt;&gt;"",3500+K209,3500)</f>
        <v/>
      </c>
      <c r="M209" s="156" t="n"/>
      <c r="N209" s="156" t="n"/>
      <c r="O209" s="156" t="n"/>
      <c r="Q209" s="214" t="inlineStr">
        <is>
          <t>207</t>
        </is>
      </c>
      <c r="R209" s="215" t="inlineStr">
        <is>
          <t>AYACUCHO 5284</t>
        </is>
      </c>
      <c r="S209" s="216" t="n">
        <v>22500</v>
      </c>
      <c r="T209" s="236" t="n">
        <v>7500</v>
      </c>
      <c r="U209" s="218" t="n">
        <v>1</v>
      </c>
      <c r="V209" s="219" t="inlineStr">
        <is>
          <t>14/03/2026</t>
        </is>
      </c>
    </row>
    <row r="210" ht="15.75" customHeight="1" s="153">
      <c r="A210" s="237" t="n"/>
      <c r="B210" s="238" t="inlineStr">
        <is>
          <t>D SILVA4217</t>
        </is>
      </c>
      <c r="C210" s="239" t="n">
        <v>3</v>
      </c>
      <c r="D210" s="239" t="n"/>
      <c r="E210" s="239" t="n"/>
      <c r="F210" s="240" t="n"/>
      <c r="G210" s="240" t="n"/>
      <c r="H210" s="241" t="n">
        <v>51000</v>
      </c>
      <c r="I210" s="242" t="n"/>
      <c r="J210" s="242" t="n">
        <v>51000</v>
      </c>
      <c r="K210" s="233" t="n"/>
      <c r="L210" s="233">
        <f>IF(K210&lt;&gt;"",10500+K210,10500)</f>
        <v/>
      </c>
      <c r="M210" s="156" t="n"/>
      <c r="N210" s="156" t="n"/>
      <c r="O210" s="156" t="n"/>
      <c r="Q210" s="221" t="inlineStr">
        <is>
          <t>208</t>
        </is>
      </c>
      <c r="R210" s="222" t="inlineStr">
        <is>
          <t>ALBERTI 2865</t>
        </is>
      </c>
      <c r="S210" s="223" t="n">
        <v>22500</v>
      </c>
      <c r="T210" s="224" t="n">
        <v>7500</v>
      </c>
      <c r="U210" s="225" t="n">
        <v>1</v>
      </c>
      <c r="V210" s="226" t="inlineStr">
        <is>
          <t>15/03/2026</t>
        </is>
      </c>
    </row>
    <row r="211" ht="15.75" customHeight="1" s="153">
      <c r="A211" s="227" t="n"/>
      <c r="B211" s="228" t="inlineStr">
        <is>
          <t>SABOREAR</t>
        </is>
      </c>
      <c r="C211" s="229" t="n"/>
      <c r="D211" s="229" t="n">
        <v>1</v>
      </c>
      <c r="E211" s="229" t="n"/>
      <c r="F211" s="230" t="n"/>
      <c r="G211" s="230" t="n"/>
      <c r="H211" s="231" t="n">
        <v>31500</v>
      </c>
      <c r="I211" s="232" t="n"/>
      <c r="J211" s="232" t="n">
        <v>31500</v>
      </c>
      <c r="K211" s="233" t="n"/>
      <c r="L211" s="233">
        <f>IF(K211&lt;&gt;"",11250+K211,11250)</f>
        <v/>
      </c>
      <c r="M211" s="156" t="n"/>
      <c r="N211" s="156" t="n"/>
      <c r="O211" s="156" t="n"/>
      <c r="Q211" s="214" t="inlineStr">
        <is>
          <t>209</t>
        </is>
      </c>
      <c r="R211" s="215" t="inlineStr">
        <is>
          <t>S BAYO 7250</t>
        </is>
      </c>
      <c r="S211" s="216" t="n">
        <v>22500</v>
      </c>
      <c r="T211" s="236" t="n">
        <v>7500</v>
      </c>
      <c r="U211" s="218" t="n">
        <v>1</v>
      </c>
      <c r="V211" s="219" t="inlineStr">
        <is>
          <t>16/03/2026</t>
        </is>
      </c>
    </row>
    <row r="212" ht="15.75" customHeight="1" s="153">
      <c r="A212" s="237" t="n"/>
      <c r="B212" s="238" t="inlineStr">
        <is>
          <t>TACUARI 57171</t>
        </is>
      </c>
      <c r="C212" s="239" t="n">
        <v>1</v>
      </c>
      <c r="D212" s="239" t="n"/>
      <c r="E212" s="239" t="n"/>
      <c r="F212" s="240" t="n"/>
      <c r="G212" s="240" t="n"/>
      <c r="H212" s="241" t="n">
        <v>22000</v>
      </c>
      <c r="I212" s="242" t="n"/>
      <c r="J212" s="242" t="n">
        <v>22000</v>
      </c>
      <c r="K212" s="233" t="n"/>
      <c r="L212" s="233">
        <f>IF(K212&lt;&gt;"",8500+K212,8500)</f>
        <v/>
      </c>
      <c r="M212" s="156" t="n"/>
      <c r="N212" s="156" t="n"/>
      <c r="O212" s="156" t="n"/>
      <c r="Q212" s="221" t="inlineStr">
        <is>
          <t>210</t>
        </is>
      </c>
      <c r="R212" s="222" t="inlineStr">
        <is>
          <t>AGUADP 6970</t>
        </is>
      </c>
      <c r="S212" s="223" t="n">
        <v>22000</v>
      </c>
      <c r="T212" s="224" t="n">
        <v>7000</v>
      </c>
      <c r="U212" s="225" t="n">
        <v>1</v>
      </c>
      <c r="V212" s="226" t="inlineStr">
        <is>
          <t>10/03/2026</t>
        </is>
      </c>
    </row>
    <row r="213" ht="15.75" customHeight="1" s="153">
      <c r="A213" s="227" t="n">
        <v>46097</v>
      </c>
      <c r="B213" s="228" t="inlineStr">
        <is>
          <t>ESTANIS DEL CAMPO 1625</t>
        </is>
      </c>
      <c r="C213" s="229" t="n">
        <v>1</v>
      </c>
      <c r="D213" s="229" t="n"/>
      <c r="E213" s="229" t="n"/>
      <c r="F213" s="230" t="n"/>
      <c r="G213" s="230" t="n"/>
      <c r="H213" s="231" t="n">
        <v>23000</v>
      </c>
      <c r="I213" s="232" t="n"/>
      <c r="J213" s="232" t="n">
        <v>23000</v>
      </c>
      <c r="K213" s="233" t="n"/>
      <c r="L213" s="233">
        <f>IF(K213&lt;&gt;"",9500+K213,9500)</f>
        <v/>
      </c>
      <c r="M213" s="156" t="n"/>
      <c r="N213" s="156" t="n"/>
      <c r="O213" s="156" t="n"/>
      <c r="Q213" s="214" t="inlineStr">
        <is>
          <t>211</t>
        </is>
      </c>
      <c r="R213" s="215" t="inlineStr">
        <is>
          <t>EMIR</t>
        </is>
      </c>
      <c r="S213" s="216" t="n">
        <v>22000</v>
      </c>
      <c r="T213" s="236" t="n">
        <v>7000</v>
      </c>
      <c r="U213" s="218" t="n">
        <v>1</v>
      </c>
      <c r="V213" s="219" t="inlineStr">
        <is>
          <t>22/04/2026</t>
        </is>
      </c>
    </row>
    <row r="214" ht="15.75" customHeight="1" s="153">
      <c r="A214" s="237" t="n"/>
      <c r="B214" s="238" t="inlineStr">
        <is>
          <t>LA SALLE 4625</t>
        </is>
      </c>
      <c r="C214" s="239" t="n"/>
      <c r="D214" s="239" t="n"/>
      <c r="E214" s="239" t="n">
        <v>1</v>
      </c>
      <c r="F214" s="240" t="n"/>
      <c r="G214" s="240" t="n"/>
      <c r="H214" s="241" t="n">
        <v>83000</v>
      </c>
      <c r="I214" s="242" t="n"/>
      <c r="J214" s="242" t="n">
        <v>83000</v>
      </c>
      <c r="K214" s="233" t="n"/>
      <c r="L214" s="233">
        <f>IF(K214&lt;&gt;"",34000+K214,34000)</f>
        <v/>
      </c>
      <c r="M214" s="156" t="n"/>
      <c r="N214" s="156" t="n"/>
      <c r="O214" s="156" t="n"/>
      <c r="Q214" s="221" t="inlineStr">
        <is>
          <t>212</t>
        </is>
      </c>
      <c r="R214" s="222" t="inlineStr">
        <is>
          <t>B IRIGOYEN 6634</t>
        </is>
      </c>
      <c r="S214" s="223" t="n">
        <v>22000</v>
      </c>
      <c r="T214" s="224" t="n">
        <v>7000</v>
      </c>
      <c r="U214" s="225" t="n">
        <v>1</v>
      </c>
      <c r="V214" s="226" t="inlineStr">
        <is>
          <t>02/03/2026</t>
        </is>
      </c>
    </row>
    <row r="215" ht="15.75" customHeight="1" s="153">
      <c r="A215" s="227" t="n"/>
      <c r="B215" s="228" t="inlineStr">
        <is>
          <t>OTNIEL</t>
        </is>
      </c>
      <c r="C215" s="229" t="n">
        <v>1</v>
      </c>
      <c r="D215" s="229" t="n"/>
      <c r="E215" s="229" t="n">
        <v>1</v>
      </c>
      <c r="F215" s="230" t="n"/>
      <c r="G215" s="230" t="n"/>
      <c r="H215" s="231" t="n">
        <v>98000</v>
      </c>
      <c r="I215" s="232" t="n"/>
      <c r="J215" s="232" t="n">
        <v>98000</v>
      </c>
      <c r="K215" s="233" t="n"/>
      <c r="L215" s="233">
        <f>IF(K215&lt;&gt;"",35500+K215,35500)</f>
        <v/>
      </c>
      <c r="M215" s="156" t="n"/>
      <c r="N215" s="156" t="n"/>
      <c r="O215" s="156" t="n"/>
      <c r="Q215" s="214" t="inlineStr">
        <is>
          <t>213</t>
        </is>
      </c>
      <c r="R215" s="215" t="inlineStr">
        <is>
          <t>FRATERNIDAD</t>
        </is>
      </c>
      <c r="S215" s="216" t="n">
        <v>22000</v>
      </c>
      <c r="T215" s="236" t="n">
        <v>7000</v>
      </c>
      <c r="U215" s="218" t="n">
        <v>1</v>
      </c>
      <c r="V215" s="219" t="inlineStr">
        <is>
          <t>13/03/2026</t>
        </is>
      </c>
    </row>
    <row r="216" ht="15.75" customHeight="1" s="153">
      <c r="A216" s="237" t="n"/>
      <c r="B216" s="238" t="inlineStr">
        <is>
          <t>VIANDAS ZEBALLOS</t>
        </is>
      </c>
      <c r="C216" s="239" t="n">
        <v>1</v>
      </c>
      <c r="D216" s="239" t="n"/>
      <c r="E216" s="239" t="n"/>
      <c r="F216" s="240" t="n"/>
      <c r="G216" s="240" t="n"/>
      <c r="H216" s="241" t="n">
        <v>20000</v>
      </c>
      <c r="I216" s="242" t="n">
        <v>20000</v>
      </c>
      <c r="J216" s="242" t="n"/>
      <c r="K216" s="233" t="n"/>
      <c r="L216" s="233">
        <f>IF(K216&lt;&gt;"",6500+K216,6500)</f>
        <v/>
      </c>
      <c r="M216" s="156" t="n"/>
      <c r="N216" s="156" t="n"/>
      <c r="O216" s="156" t="n"/>
      <c r="Q216" s="221" t="inlineStr">
        <is>
          <t>214</t>
        </is>
      </c>
      <c r="R216" s="222" t="inlineStr">
        <is>
          <t>SAN MARTIN 1925</t>
        </is>
      </c>
      <c r="S216" s="223" t="n">
        <v>22000</v>
      </c>
      <c r="T216" s="224" t="n">
        <v>7000</v>
      </c>
      <c r="U216" s="225" t="n">
        <v>1</v>
      </c>
      <c r="V216" s="226" t="inlineStr">
        <is>
          <t>09/03/2026</t>
        </is>
      </c>
    </row>
    <row r="217" ht="15.75" customHeight="1" s="153">
      <c r="A217" s="227" t="n"/>
      <c r="B217" s="228" t="inlineStr">
        <is>
          <t>S BAYO 7250</t>
        </is>
      </c>
      <c r="C217" s="229" t="n">
        <v>1</v>
      </c>
      <c r="D217" s="229" t="n"/>
      <c r="E217" s="229" t="n"/>
      <c r="F217" s="230" t="n"/>
      <c r="G217" s="230" t="n"/>
      <c r="H217" s="231" t="n">
        <v>22500</v>
      </c>
      <c r="I217" s="232" t="n"/>
      <c r="J217" s="232" t="n">
        <v>22500</v>
      </c>
      <c r="K217" s="233" t="n"/>
      <c r="L217" s="233">
        <f>IF(K217&lt;&gt;"",9000+K217,9000)</f>
        <v/>
      </c>
      <c r="M217" s="156" t="n"/>
      <c r="N217" s="156" t="n"/>
      <c r="O217" s="156" t="n"/>
      <c r="Q217" s="214" t="inlineStr">
        <is>
          <t>215</t>
        </is>
      </c>
      <c r="R217" s="215" t="inlineStr">
        <is>
          <t>RICARDO ALDAO 3082</t>
        </is>
      </c>
      <c r="S217" s="216" t="n">
        <v>22000</v>
      </c>
      <c r="T217" s="236" t="n">
        <v>7000</v>
      </c>
      <c r="U217" s="218" t="n">
        <v>1</v>
      </c>
      <c r="V217" s="219" t="inlineStr">
        <is>
          <t>02/03/2026</t>
        </is>
      </c>
    </row>
    <row r="218" ht="15.75" customHeight="1" s="153">
      <c r="A218" s="237" t="n"/>
      <c r="B218" s="238" t="inlineStr">
        <is>
          <t>EUROPA 8762</t>
        </is>
      </c>
      <c r="C218" s="239" t="n">
        <v>1</v>
      </c>
      <c r="D218" s="239" t="n"/>
      <c r="E218" s="239" t="n"/>
      <c r="F218" s="240" t="n"/>
      <c r="G218" s="240" t="n"/>
      <c r="H218" s="241" t="n">
        <v>24500</v>
      </c>
      <c r="I218" s="242" t="n">
        <v>24500</v>
      </c>
      <c r="J218" s="242" t="n"/>
      <c r="K218" s="233" t="n"/>
      <c r="L218" s="233">
        <f>IF(K218&lt;&gt;"",11000+K218,11000)</f>
        <v/>
      </c>
      <c r="M218" s="156" t="n"/>
      <c r="N218" s="156" t="n"/>
      <c r="O218" s="156" t="n"/>
      <c r="Q218" s="221" t="inlineStr">
        <is>
          <t>216</t>
        </is>
      </c>
      <c r="R218" s="222" t="inlineStr">
        <is>
          <t>P DE VEGA 1428</t>
        </is>
      </c>
      <c r="S218" s="223" t="n">
        <v>22000</v>
      </c>
      <c r="T218" s="224" t="n">
        <v>7000</v>
      </c>
      <c r="U218" s="225" t="n">
        <v>1</v>
      </c>
      <c r="V218" s="226" t="inlineStr">
        <is>
          <t>07/03/2026</t>
        </is>
      </c>
    </row>
    <row r="219" ht="15.75" customHeight="1" s="153">
      <c r="A219" s="227" t="n"/>
      <c r="B219" s="228" t="inlineStr">
        <is>
          <t>ANDRE</t>
        </is>
      </c>
      <c r="C219" s="229" t="n"/>
      <c r="D219" s="229" t="n"/>
      <c r="E219" s="229" t="n"/>
      <c r="F219" s="230" t="n">
        <v>20</v>
      </c>
      <c r="G219" s="230" t="n"/>
      <c r="H219" s="231" t="n">
        <v>68000</v>
      </c>
      <c r="I219" s="232" t="n"/>
      <c r="J219" s="232" t="n">
        <v>68000</v>
      </c>
      <c r="K219" s="233" t="n"/>
      <c r="L219" s="233">
        <f>IF(K219&lt;&gt;"",22000+K219,22000)</f>
        <v/>
      </c>
      <c r="M219" s="156" t="n"/>
      <c r="N219" s="156" t="n"/>
      <c r="O219" s="156" t="n"/>
      <c r="Q219" s="214" t="inlineStr">
        <is>
          <t>217</t>
        </is>
      </c>
      <c r="R219" s="215" t="inlineStr">
        <is>
          <t>LARREA 5068</t>
        </is>
      </c>
      <c r="S219" s="216" t="n">
        <v>22000</v>
      </c>
      <c r="T219" s="236" t="n">
        <v>7000</v>
      </c>
      <c r="U219" s="218" t="n">
        <v>1</v>
      </c>
      <c r="V219" s="219" t="inlineStr">
        <is>
          <t>09/03/2026</t>
        </is>
      </c>
    </row>
    <row r="220" ht="15.75" customHeight="1" s="153">
      <c r="A220" s="237" t="n"/>
      <c r="B220" s="238" t="inlineStr">
        <is>
          <t>EXE</t>
        </is>
      </c>
      <c r="C220" s="239" t="n"/>
      <c r="D220" s="239" t="n"/>
      <c r="E220" s="239" t="n">
        <v>1</v>
      </c>
      <c r="F220" s="240" t="n"/>
      <c r="G220" s="240" t="n"/>
      <c r="H220" s="241" t="n">
        <v>77000</v>
      </c>
      <c r="I220" s="242" t="n"/>
      <c r="J220" s="242" t="n">
        <v>77000</v>
      </c>
      <c r="K220" s="233" t="n"/>
      <c r="L220" s="233">
        <f>IF(K220&lt;&gt;"",28000+K220,28000)</f>
        <v/>
      </c>
      <c r="M220" s="156" t="n"/>
      <c r="N220" s="156" t="n"/>
      <c r="O220" s="156" t="n"/>
      <c r="Q220" s="221" t="inlineStr">
        <is>
          <t>218</t>
        </is>
      </c>
      <c r="R220" s="222" t="inlineStr">
        <is>
          <t>SEDLASEK 5347</t>
        </is>
      </c>
      <c r="S220" s="223" t="n">
        <v>22000</v>
      </c>
      <c r="T220" s="224" t="n">
        <v>7000</v>
      </c>
      <c r="U220" s="225" t="n">
        <v>1</v>
      </c>
      <c r="V220" s="226" t="inlineStr">
        <is>
          <t>11/03/2026</t>
        </is>
      </c>
    </row>
    <row r="221" ht="15.75" customHeight="1" s="153">
      <c r="A221" s="227" t="n"/>
      <c r="B221" s="228" t="inlineStr">
        <is>
          <t>BONEO 2625</t>
        </is>
      </c>
      <c r="C221" s="229" t="n"/>
      <c r="D221" s="229" t="n"/>
      <c r="E221" s="229" t="n">
        <v>1</v>
      </c>
      <c r="F221" s="230" t="n"/>
      <c r="G221" s="230" t="n"/>
      <c r="H221" s="231" t="n">
        <v>80000</v>
      </c>
      <c r="I221" s="232" t="n">
        <v>80000</v>
      </c>
      <c r="J221" s="232" t="n"/>
      <c r="K221" s="233" t="n"/>
      <c r="L221" s="233">
        <f>IF(K221&lt;&gt;"",31000+K221,31000)</f>
        <v/>
      </c>
      <c r="M221" s="156" t="n"/>
      <c r="N221" s="156" t="n"/>
      <c r="O221" s="156" t="n"/>
      <c r="Q221" s="214" t="inlineStr">
        <is>
          <t>219</t>
        </is>
      </c>
      <c r="R221" s="215" t="inlineStr">
        <is>
          <t>QUINTANA 2950</t>
        </is>
      </c>
      <c r="S221" s="216" t="n">
        <v>22000</v>
      </c>
      <c r="T221" s="236" t="n">
        <v>7000</v>
      </c>
      <c r="U221" s="218" t="n">
        <v>1</v>
      </c>
      <c r="V221" s="219" t="inlineStr">
        <is>
          <t>12/03/2026</t>
        </is>
      </c>
    </row>
    <row r="222" ht="15.75" customHeight="1" s="153">
      <c r="A222" s="237" t="n">
        <v>46098</v>
      </c>
      <c r="B222" s="238" t="inlineStr">
        <is>
          <t>INGENIERO 8364</t>
        </is>
      </c>
      <c r="C222" s="239" t="n"/>
      <c r="D222" s="239" t="n"/>
      <c r="E222" s="239" t="n">
        <v>1</v>
      </c>
      <c r="F222" s="240" t="n"/>
      <c r="G222" s="240" t="n"/>
      <c r="H222" s="241" t="n">
        <v>83000</v>
      </c>
      <c r="I222" s="242" t="n"/>
      <c r="J222" s="242" t="n">
        <v>83000</v>
      </c>
      <c r="K222" s="233" t="n"/>
      <c r="L222" s="233">
        <f>IF(K222&lt;&gt;"",34000+K222,34000)</f>
        <v/>
      </c>
      <c r="M222" s="156" t="n"/>
      <c r="N222" s="156" t="n"/>
      <c r="O222" s="156" t="n"/>
      <c r="Q222" s="221" t="inlineStr">
        <is>
          <t>220</t>
        </is>
      </c>
      <c r="R222" s="222" t="inlineStr">
        <is>
          <t>4 DE ENERO 6625</t>
        </is>
      </c>
      <c r="S222" s="223" t="n">
        <v>22000</v>
      </c>
      <c r="T222" s="224" t="n">
        <v>7000</v>
      </c>
      <c r="U222" s="225" t="n">
        <v>1</v>
      </c>
      <c r="V222" s="226" t="inlineStr">
        <is>
          <t>13/03/2026</t>
        </is>
      </c>
    </row>
    <row r="223" ht="15.75" customHeight="1" s="153">
      <c r="A223" s="227" t="n"/>
      <c r="B223" s="228" t="inlineStr">
        <is>
          <t>P CEBALLOS 8134</t>
        </is>
      </c>
      <c r="C223" s="229" t="n">
        <v>2</v>
      </c>
      <c r="D223" s="229" t="n"/>
      <c r="E223" s="229" t="n"/>
      <c r="F223" s="230" t="n"/>
      <c r="G223" s="230" t="n"/>
      <c r="H223" s="231" t="n">
        <v>34000</v>
      </c>
      <c r="I223" s="232" t="n">
        <v>34000</v>
      </c>
      <c r="J223" s="232" t="n"/>
      <c r="K223" s="233" t="n"/>
      <c r="L223" s="233">
        <f>IF(K223&lt;&gt;"",7000+K223,7000)</f>
        <v/>
      </c>
      <c r="M223" s="156" t="n"/>
      <c r="N223" s="156" t="n"/>
      <c r="O223" s="156" t="n"/>
      <c r="Q223" s="214" t="inlineStr">
        <is>
          <t>221</t>
        </is>
      </c>
      <c r="R223" s="215" t="inlineStr">
        <is>
          <t>TACUARI 57171</t>
        </is>
      </c>
      <c r="S223" s="216" t="n">
        <v>22000</v>
      </c>
      <c r="T223" s="236" t="n">
        <v>7000</v>
      </c>
      <c r="U223" s="218" t="n">
        <v>1</v>
      </c>
      <c r="V223" s="219" t="inlineStr">
        <is>
          <t>15/03/2026</t>
        </is>
      </c>
    </row>
    <row r="224" ht="15.75" customHeight="1" s="153">
      <c r="A224" s="237" t="n"/>
      <c r="B224" s="238" t="inlineStr">
        <is>
          <t>RIO NEGRO 4464</t>
        </is>
      </c>
      <c r="C224" s="239" t="n">
        <v>2</v>
      </c>
      <c r="D224" s="239" t="n"/>
      <c r="E224" s="239" t="n"/>
      <c r="F224" s="240" t="n"/>
      <c r="G224" s="240" t="n"/>
      <c r="H224" s="241" t="n">
        <v>49000</v>
      </c>
      <c r="I224" s="242" t="n"/>
      <c r="J224" s="242" t="n">
        <v>49000</v>
      </c>
      <c r="K224" s="233" t="n"/>
      <c r="L224" s="233">
        <f>IF(K224&lt;&gt;"",22000+K224,22000)</f>
        <v/>
      </c>
      <c r="M224" s="156" t="n"/>
      <c r="N224" s="156" t="n"/>
      <c r="O224" s="156" t="n"/>
      <c r="Q224" s="221" t="inlineStr">
        <is>
          <t>222</t>
        </is>
      </c>
      <c r="R224" s="222" t="inlineStr">
        <is>
          <t>GUEMES 4421</t>
        </is>
      </c>
      <c r="S224" s="223" t="n">
        <v>21000</v>
      </c>
      <c r="T224" s="224" t="n">
        <v>6000</v>
      </c>
      <c r="U224" s="225" t="n">
        <v>1</v>
      </c>
      <c r="V224" s="226" t="inlineStr">
        <is>
          <t>22/04/2026</t>
        </is>
      </c>
    </row>
    <row r="225" ht="15.75" customHeight="1" s="153">
      <c r="A225" s="227" t="n"/>
      <c r="B225" s="228" t="inlineStr">
        <is>
          <t>LUCHOI</t>
        </is>
      </c>
      <c r="C225" s="229" t="n">
        <v>1</v>
      </c>
      <c r="D225" s="229" t="n"/>
      <c r="E225" s="229" t="n"/>
      <c r="F225" s="230" t="n"/>
      <c r="G225" s="230" t="n">
        <v>2</v>
      </c>
      <c r="H225" s="231" t="n">
        <v>29000</v>
      </c>
      <c r="I225" s="232" t="n"/>
      <c r="J225" s="232" t="n">
        <v>29000</v>
      </c>
      <c r="K225" s="233" t="n"/>
      <c r="L225" s="233">
        <f>IF(K225&lt;&gt;"",13800+K225,13800)</f>
        <v/>
      </c>
      <c r="M225" s="156" t="n"/>
      <c r="N225" s="156" t="n"/>
      <c r="O225" s="156" t="n"/>
      <c r="Q225" s="214" t="inlineStr">
        <is>
          <t>223</t>
        </is>
      </c>
      <c r="R225" s="215" t="inlineStr">
        <is>
          <t>ALBERTI 5251</t>
        </is>
      </c>
      <c r="S225" s="216" t="n">
        <v>21000</v>
      </c>
      <c r="T225" s="236" t="n">
        <v>6000</v>
      </c>
      <c r="U225" s="218" t="n">
        <v>1</v>
      </c>
      <c r="V225" s="219" t="inlineStr">
        <is>
          <t>03/03/2026</t>
        </is>
      </c>
    </row>
    <row r="226" ht="15.75" customHeight="1" s="153">
      <c r="A226" s="237" t="n"/>
      <c r="B226" s="238" t="inlineStr">
        <is>
          <t>CAREN</t>
        </is>
      </c>
      <c r="C226" s="239" t="n"/>
      <c r="D226" s="239" t="n"/>
      <c r="E226" s="239" t="n">
        <v>1</v>
      </c>
      <c r="F226" s="240" t="n"/>
      <c r="G226" s="240" t="n"/>
      <c r="H226" s="241" t="n">
        <v>77000</v>
      </c>
      <c r="I226" s="242" t="n"/>
      <c r="J226" s="242" t="n">
        <v>77000</v>
      </c>
      <c r="K226" s="233" t="n"/>
      <c r="L226" s="233">
        <f>IF(K226&lt;&gt;"",28000+K226,28000)</f>
        <v/>
      </c>
      <c r="M226" s="156" t="n"/>
      <c r="N226" s="156" t="n"/>
      <c r="O226" s="156" t="n"/>
      <c r="Q226" s="221" t="inlineStr">
        <is>
          <t>224</t>
        </is>
      </c>
      <c r="R226" s="222" t="inlineStr">
        <is>
          <t>R GODOY 1614</t>
        </is>
      </c>
      <c r="S226" s="223" t="n">
        <v>21000</v>
      </c>
      <c r="T226" s="224" t="n">
        <v>6000</v>
      </c>
      <c r="U226" s="225" t="n">
        <v>1</v>
      </c>
      <c r="V226" s="226" t="inlineStr">
        <is>
          <t>07/03/2026</t>
        </is>
      </c>
    </row>
    <row r="227" ht="15.75" customHeight="1" s="153">
      <c r="A227" s="227" t="n"/>
      <c r="B227" s="228" t="inlineStr">
        <is>
          <t>NECOCHEA 5587</t>
        </is>
      </c>
      <c r="C227" s="229" t="n">
        <v>2</v>
      </c>
      <c r="D227" s="229" t="n"/>
      <c r="E227" s="229" t="n"/>
      <c r="F227" s="230" t="n"/>
      <c r="G227" s="230" t="n"/>
      <c r="H227" s="231" t="n">
        <v>49000</v>
      </c>
      <c r="I227" s="232" t="n"/>
      <c r="J227" s="232" t="n">
        <v>49000</v>
      </c>
      <c r="K227" s="233" t="n"/>
      <c r="L227" s="233">
        <f>IF(K227&lt;&gt;"",22000+K227,22000)</f>
        <v/>
      </c>
      <c r="M227" s="156" t="n"/>
      <c r="N227" s="156" t="n"/>
      <c r="O227" s="156" t="n"/>
      <c r="Q227" s="214" t="inlineStr">
        <is>
          <t>225</t>
        </is>
      </c>
      <c r="R227" s="215" t="inlineStr">
        <is>
          <t>GENEIRO 8249</t>
        </is>
      </c>
      <c r="S227" s="216" t="n">
        <v>21000</v>
      </c>
      <c r="T227" s="236" t="n">
        <v>6000</v>
      </c>
      <c r="U227" s="218" t="n">
        <v>1</v>
      </c>
      <c r="V227" s="219" t="inlineStr">
        <is>
          <t>02/03/2026</t>
        </is>
      </c>
    </row>
    <row r="228" ht="15.75" customHeight="1" s="153">
      <c r="A228" s="237" t="n"/>
      <c r="B228" s="238" t="inlineStr">
        <is>
          <t>BELGRANO 7972</t>
        </is>
      </c>
      <c r="C228" s="239" t="n">
        <v>1</v>
      </c>
      <c r="D228" s="239" t="n"/>
      <c r="E228" s="239" t="n"/>
      <c r="F228" s="240" t="n"/>
      <c r="G228" s="240" t="n"/>
      <c r="H228" s="241" t="n">
        <v>24500</v>
      </c>
      <c r="I228" s="242" t="n"/>
      <c r="J228" s="242" t="n">
        <v>24500</v>
      </c>
      <c r="K228" s="233" t="n"/>
      <c r="L228" s="233">
        <f>IF(K228&lt;&gt;"",11000+K228,11000)</f>
        <v/>
      </c>
      <c r="M228" s="156" t="n"/>
      <c r="N228" s="156" t="n"/>
      <c r="O228" s="156" t="n"/>
      <c r="Q228" s="221" t="inlineStr">
        <is>
          <t>226</t>
        </is>
      </c>
      <c r="R228" s="222" t="inlineStr">
        <is>
          <t>25 DE MAYO 8347</t>
        </is>
      </c>
      <c r="S228" s="223" t="n">
        <v>21000</v>
      </c>
      <c r="T228" s="224" t="n">
        <v>6000</v>
      </c>
      <c r="U228" s="225" t="n">
        <v>1</v>
      </c>
      <c r="V228" s="226" t="inlineStr">
        <is>
          <t>02/03/2026</t>
        </is>
      </c>
    </row>
    <row r="229" ht="15.75" customHeight="1" s="153">
      <c r="A229" s="227" t="n"/>
      <c r="B229" s="228" t="inlineStr">
        <is>
          <t>SAN MARTIN 3518</t>
        </is>
      </c>
      <c r="C229" s="229" t="n">
        <v>1</v>
      </c>
      <c r="D229" s="229" t="n"/>
      <c r="E229" s="229" t="n"/>
      <c r="F229" s="230" t="n"/>
      <c r="G229" s="230" t="n"/>
      <c r="H229" s="231" t="n">
        <v>25500</v>
      </c>
      <c r="I229" s="232" t="n"/>
      <c r="J229" s="232" t="n">
        <v>25500</v>
      </c>
      <c r="K229" s="233" t="n"/>
      <c r="L229" s="233">
        <f>IF(K229&lt;&gt;"",12000+K229,12000)</f>
        <v/>
      </c>
      <c r="M229" s="156" t="n"/>
      <c r="N229" s="156" t="n"/>
      <c r="O229" s="156" t="n"/>
      <c r="Q229" s="214" t="inlineStr">
        <is>
          <t>227</t>
        </is>
      </c>
      <c r="R229" s="215" t="inlineStr">
        <is>
          <t>AZOPARD0 10560</t>
        </is>
      </c>
      <c r="S229" s="216" t="n">
        <v>21000</v>
      </c>
      <c r="T229" s="236" t="n">
        <v>6000</v>
      </c>
      <c r="U229" s="218" t="n">
        <v>1</v>
      </c>
      <c r="V229" s="219" t="inlineStr">
        <is>
          <t>03/03/2026</t>
        </is>
      </c>
    </row>
    <row r="230" ht="15.75" customHeight="1" s="153">
      <c r="A230" s="237" t="n">
        <v>46099</v>
      </c>
      <c r="B230" s="238" t="inlineStr">
        <is>
          <t>JOSE MONTEVERA</t>
        </is>
      </c>
      <c r="C230" s="239" t="n"/>
      <c r="D230" s="239" t="n"/>
      <c r="E230" s="239" t="n">
        <v>1</v>
      </c>
      <c r="F230" s="240" t="n"/>
      <c r="G230" s="240" t="n"/>
      <c r="H230" s="241" t="n">
        <v>83000</v>
      </c>
      <c r="I230" s="242" t="n">
        <v>83000</v>
      </c>
      <c r="J230" s="242" t="n"/>
      <c r="K230" s="233" t="n"/>
      <c r="L230" s="233">
        <f>IF(K230&lt;&gt;"",34000+K230,34000)</f>
        <v/>
      </c>
      <c r="M230" s="156" t="n"/>
      <c r="N230" s="156" t="n"/>
      <c r="O230" s="156" t="n"/>
      <c r="Q230" s="221" t="inlineStr">
        <is>
          <t>228</t>
        </is>
      </c>
      <c r="R230" s="222" t="inlineStr">
        <is>
          <t>ALMONACID 3637</t>
        </is>
      </c>
      <c r="S230" s="223" t="n">
        <v>21000</v>
      </c>
      <c r="T230" s="224" t="n">
        <v>6000</v>
      </c>
      <c r="U230" s="225" t="n">
        <v>1</v>
      </c>
      <c r="V230" s="226" t="inlineStr">
        <is>
          <t>03/03/2026</t>
        </is>
      </c>
    </row>
    <row r="231" ht="15.75" customHeight="1" s="153">
      <c r="A231" s="227" t="n"/>
      <c r="B231" s="228" t="inlineStr">
        <is>
          <t>PANA GORRITI 4600</t>
        </is>
      </c>
      <c r="C231" s="229" t="n"/>
      <c r="D231" s="229" t="n"/>
      <c r="E231" s="229" t="n">
        <v>1</v>
      </c>
      <c r="F231" s="230" t="n"/>
      <c r="G231" s="230" t="n"/>
      <c r="H231" s="231" t="n">
        <v>79000</v>
      </c>
      <c r="I231" s="232" t="n"/>
      <c r="J231" s="232" t="n">
        <v>79000</v>
      </c>
      <c r="K231" s="233" t="n"/>
      <c r="L231" s="233">
        <f>IF(K231&lt;&gt;"",30000+K231,30000)</f>
        <v/>
      </c>
      <c r="M231" s="156" t="n"/>
      <c r="N231" s="156" t="n"/>
      <c r="O231" s="156" t="n"/>
      <c r="Q231" s="214" t="inlineStr">
        <is>
          <t>229</t>
        </is>
      </c>
      <c r="R231" s="215" t="inlineStr">
        <is>
          <t>GENEIRO 8200 CASA 2</t>
        </is>
      </c>
      <c r="S231" s="216" t="n">
        <v>21000</v>
      </c>
      <c r="T231" s="236" t="n">
        <v>6000</v>
      </c>
      <c r="U231" s="218" t="n">
        <v>1</v>
      </c>
      <c r="V231" s="219" t="inlineStr">
        <is>
          <t>04/03/2026</t>
        </is>
      </c>
    </row>
    <row r="232" ht="15.75" customHeight="1" s="153">
      <c r="A232" s="237" t="n"/>
      <c r="B232" s="238" t="inlineStr">
        <is>
          <t>CHICLANA 7325</t>
        </is>
      </c>
      <c r="C232" s="239" t="n">
        <v>1</v>
      </c>
      <c r="D232" s="239" t="n"/>
      <c r="E232" s="239" t="n"/>
      <c r="F232" s="240" t="n"/>
      <c r="G232" s="240" t="n"/>
      <c r="H232" s="241" t="n">
        <v>17000</v>
      </c>
      <c r="I232" s="242" t="n"/>
      <c r="J232" s="242" t="n">
        <v>17000</v>
      </c>
      <c r="K232" s="233" t="n"/>
      <c r="L232" s="233">
        <f>IF(K232&lt;&gt;"",3500+K232,3500)</f>
        <v/>
      </c>
      <c r="M232" s="156" t="n"/>
      <c r="N232" s="156" t="n"/>
      <c r="O232" s="156" t="n"/>
      <c r="Q232" s="221" t="inlineStr">
        <is>
          <t>230</t>
        </is>
      </c>
      <c r="R232" s="222" t="inlineStr">
        <is>
          <t>FABIAN LUBRICENTRO</t>
        </is>
      </c>
      <c r="S232" s="223" t="n">
        <v>21000</v>
      </c>
      <c r="T232" s="224" t="n">
        <v>6000</v>
      </c>
      <c r="U232" s="225" t="n">
        <v>1</v>
      </c>
      <c r="V232" s="226" t="inlineStr">
        <is>
          <t>05/03/2026</t>
        </is>
      </c>
    </row>
    <row r="233" ht="15.75" customHeight="1" s="153">
      <c r="A233" s="227" t="n"/>
      <c r="B233" s="228" t="inlineStr">
        <is>
          <t>FILOMENA</t>
        </is>
      </c>
      <c r="C233" s="229" t="n">
        <v>2</v>
      </c>
      <c r="D233" s="229" t="n"/>
      <c r="E233" s="229" t="n"/>
      <c r="F233" s="230" t="n"/>
      <c r="G233" s="230" t="n"/>
      <c r="H233" s="231" t="n">
        <v>41000</v>
      </c>
      <c r="I233" s="232" t="n"/>
      <c r="J233" s="232" t="n">
        <v>41000</v>
      </c>
      <c r="K233" s="233" t="n"/>
      <c r="L233" s="233">
        <f>IF(K233&lt;&gt;"",14000+K233,14000)</f>
        <v/>
      </c>
      <c r="M233" s="156" t="n"/>
      <c r="N233" s="156" t="n"/>
      <c r="O233" s="156" t="n"/>
      <c r="Q233" s="214" t="inlineStr">
        <is>
          <t>231</t>
        </is>
      </c>
      <c r="R233" s="215" t="inlineStr">
        <is>
          <t>AGUADO 8432</t>
        </is>
      </c>
      <c r="S233" s="216" t="n">
        <v>21000</v>
      </c>
      <c r="T233" s="236" t="n">
        <v>6000</v>
      </c>
      <c r="U233" s="218" t="n">
        <v>1</v>
      </c>
      <c r="V233" s="219" t="inlineStr">
        <is>
          <t>06/03/2026</t>
        </is>
      </c>
    </row>
    <row r="234" ht="15.75" customHeight="1" s="153">
      <c r="A234" s="237" t="n"/>
      <c r="B234" s="238" t="inlineStr">
        <is>
          <t>PANA VIEYTES 4500</t>
        </is>
      </c>
      <c r="C234" s="239" t="n"/>
      <c r="D234" s="239" t="n"/>
      <c r="E234" s="239" t="n">
        <v>1</v>
      </c>
      <c r="F234" s="240" t="n"/>
      <c r="G234" s="240" t="n"/>
      <c r="H234" s="241" t="n">
        <v>73000</v>
      </c>
      <c r="I234" s="242" t="n">
        <v>73000</v>
      </c>
      <c r="J234" s="242" t="n"/>
      <c r="K234" s="233" t="n"/>
      <c r="L234" s="233">
        <f>IF(K234&lt;&gt;"",24000+K234,24000)</f>
        <v/>
      </c>
      <c r="M234" s="156" t="n"/>
      <c r="N234" s="156" t="n"/>
      <c r="O234" s="156" t="n"/>
      <c r="Q234" s="221" t="inlineStr">
        <is>
          <t>232</t>
        </is>
      </c>
      <c r="R234" s="222" t="inlineStr">
        <is>
          <t>MANTOVANI 6537</t>
        </is>
      </c>
      <c r="S234" s="223" t="n">
        <v>21000</v>
      </c>
      <c r="T234" s="224" t="n">
        <v>6000</v>
      </c>
      <c r="U234" s="225" t="n">
        <v>1</v>
      </c>
      <c r="V234" s="226" t="inlineStr">
        <is>
          <t>06/03/2026</t>
        </is>
      </c>
    </row>
    <row r="235" ht="15.75" customHeight="1" s="153">
      <c r="A235" s="227" t="n"/>
      <c r="B235" s="228" t="inlineStr">
        <is>
          <t>B IRIGOYRN 6848</t>
        </is>
      </c>
      <c r="C235" s="229" t="n">
        <v>1</v>
      </c>
      <c r="D235" s="229" t="n"/>
      <c r="E235" s="229" t="n"/>
      <c r="F235" s="230" t="n"/>
      <c r="G235" s="230" t="n"/>
      <c r="H235" s="231" t="n">
        <v>24000</v>
      </c>
      <c r="I235" s="232" t="n">
        <v>24000</v>
      </c>
      <c r="J235" s="232" t="n"/>
      <c r="K235" s="233" t="n"/>
      <c r="L235" s="233">
        <f>IF(K235&lt;&gt;"",10500+K235,10500)</f>
        <v/>
      </c>
      <c r="M235" s="156" t="n"/>
      <c r="N235" s="156" t="n"/>
      <c r="O235" s="156" t="n"/>
      <c r="Q235" s="214" t="inlineStr">
        <is>
          <t>233</t>
        </is>
      </c>
      <c r="R235" s="215" t="inlineStr">
        <is>
          <t>EX COMBATIENTES 5583</t>
        </is>
      </c>
      <c r="S235" s="216" t="n">
        <v>21000</v>
      </c>
      <c r="T235" s="236" t="n">
        <v>6000</v>
      </c>
      <c r="U235" s="218" t="n">
        <v>1</v>
      </c>
      <c r="V235" s="219" t="inlineStr">
        <is>
          <t>09/03/2026</t>
        </is>
      </c>
    </row>
    <row r="236" ht="15.75" customHeight="1" s="153">
      <c r="A236" s="237" t="n"/>
      <c r="B236" s="238" t="inlineStr">
        <is>
          <t>AYACUCHO 5370</t>
        </is>
      </c>
      <c r="C236" s="239" t="n"/>
      <c r="D236" s="239" t="n"/>
      <c r="E236" s="239" t="n"/>
      <c r="F236" s="240" t="n"/>
      <c r="G236" s="240" t="n">
        <v>2</v>
      </c>
      <c r="H236" s="241" t="n">
        <v>11000</v>
      </c>
      <c r="I236" s="242" t="n"/>
      <c r="J236" s="242" t="n">
        <v>11000</v>
      </c>
      <c r="K236" s="233" t="n"/>
      <c r="L236" s="233">
        <f>IF(K236&lt;&gt;"",9300+K236,9300)</f>
        <v/>
      </c>
      <c r="M236" s="156" t="n"/>
      <c r="N236" s="156" t="n"/>
      <c r="O236" s="156" t="n"/>
      <c r="Q236" s="221" t="inlineStr">
        <is>
          <t>234</t>
        </is>
      </c>
      <c r="R236" s="222" t="inlineStr">
        <is>
          <t>RISSO 5454</t>
        </is>
      </c>
      <c r="S236" s="223" t="n">
        <v>21000</v>
      </c>
      <c r="T236" s="224" t="n">
        <v>6000</v>
      </c>
      <c r="U236" s="225" t="n">
        <v>1</v>
      </c>
      <c r="V236" s="226" t="inlineStr">
        <is>
          <t>09/03/2026</t>
        </is>
      </c>
    </row>
    <row r="237" ht="15.75" customHeight="1" s="153">
      <c r="A237" s="227" t="n"/>
      <c r="B237" s="228" t="inlineStr">
        <is>
          <t xml:space="preserve">LAS FLORES 1 Y MILLAN MEDINA </t>
        </is>
      </c>
      <c r="C237" s="229" t="n">
        <v>1</v>
      </c>
      <c r="D237" s="229" t="n"/>
      <c r="E237" s="229" t="n"/>
      <c r="F237" s="230" t="n"/>
      <c r="G237" s="230" t="n"/>
      <c r="H237" s="231" t="n">
        <v>24500</v>
      </c>
      <c r="I237" s="232" t="n"/>
      <c r="J237" s="232" t="n">
        <v>24500</v>
      </c>
      <c r="K237" s="233" t="n"/>
      <c r="L237" s="233">
        <f>IF(K237&lt;&gt;"",11000+K237,11000)</f>
        <v/>
      </c>
      <c r="M237" s="156" t="n"/>
      <c r="N237" s="156" t="n"/>
      <c r="O237" s="156" t="n"/>
      <c r="Q237" s="214" t="inlineStr">
        <is>
          <t>235</t>
        </is>
      </c>
      <c r="R237" s="215" t="inlineStr">
        <is>
          <t>F FERNANDEZ Y VIÑAS</t>
        </is>
      </c>
      <c r="S237" s="216" t="n">
        <v>21000</v>
      </c>
      <c r="T237" s="236" t="n">
        <v>6000</v>
      </c>
      <c r="U237" s="218" t="n">
        <v>1</v>
      </c>
      <c r="V237" s="219" t="inlineStr">
        <is>
          <t>09/03/2026</t>
        </is>
      </c>
    </row>
    <row r="238" ht="15.75" customHeight="1" s="153">
      <c r="A238" s="237" t="n"/>
      <c r="B238" s="238" t="inlineStr">
        <is>
          <t xml:space="preserve">NINGO HIJA </t>
        </is>
      </c>
      <c r="C238" s="239" t="n"/>
      <c r="D238" s="239" t="n">
        <v>1</v>
      </c>
      <c r="E238" s="239" t="n"/>
      <c r="F238" s="240" t="n"/>
      <c r="G238" s="240" t="n"/>
      <c r="H238" s="241" t="n">
        <v>34000</v>
      </c>
      <c r="I238" s="242" t="n"/>
      <c r="J238" s="242" t="n">
        <v>34000</v>
      </c>
      <c r="K238" s="233" t="n"/>
      <c r="L238" s="233">
        <f>IF(K238&lt;&gt;"",13750+K238,13750)</f>
        <v/>
      </c>
      <c r="M238" s="156" t="n"/>
      <c r="N238" s="156" t="n"/>
      <c r="O238" s="156" t="n"/>
      <c r="Q238" s="221" t="inlineStr">
        <is>
          <t>236</t>
        </is>
      </c>
      <c r="R238" s="222" t="inlineStr">
        <is>
          <t>AZOPARDO 7218</t>
        </is>
      </c>
      <c r="S238" s="223" t="n">
        <v>21000</v>
      </c>
      <c r="T238" s="224" t="n">
        <v>6000</v>
      </c>
      <c r="U238" s="225" t="n">
        <v>1</v>
      </c>
      <c r="V238" s="226" t="inlineStr">
        <is>
          <t>09/03/2026</t>
        </is>
      </c>
    </row>
    <row r="239" ht="15.75" customHeight="1" s="153">
      <c r="A239" s="227" t="n"/>
      <c r="B239" s="228" t="inlineStr">
        <is>
          <t>BERUTI 5199</t>
        </is>
      </c>
      <c r="C239" s="229" t="n"/>
      <c r="D239" s="229" t="n"/>
      <c r="E239" s="229" t="n">
        <v>1</v>
      </c>
      <c r="F239" s="230" t="n"/>
      <c r="G239" s="230" t="n"/>
      <c r="H239" s="231" t="n">
        <v>80000</v>
      </c>
      <c r="I239" s="232" t="n">
        <v>80000</v>
      </c>
      <c r="J239" s="232" t="n"/>
      <c r="K239" s="233" t="n"/>
      <c r="L239" s="233">
        <f>IF(K239&lt;&gt;"",31000+K239,31000)</f>
        <v/>
      </c>
      <c r="M239" s="156" t="n"/>
      <c r="N239" s="156" t="n"/>
      <c r="O239" s="156" t="n"/>
      <c r="Q239" s="214" t="inlineStr">
        <is>
          <t>237</t>
        </is>
      </c>
      <c r="R239" s="215" t="inlineStr">
        <is>
          <t>EUROPA 6851</t>
        </is>
      </c>
      <c r="S239" s="216" t="n">
        <v>21000</v>
      </c>
      <c r="T239" s="236" t="n">
        <v>6000</v>
      </c>
      <c r="U239" s="218" t="n">
        <v>1</v>
      </c>
      <c r="V239" s="219" t="inlineStr">
        <is>
          <t>13/03/2026</t>
        </is>
      </c>
    </row>
    <row r="240" ht="15.75" customHeight="1" s="153">
      <c r="A240" s="237" t="n"/>
      <c r="B240" s="238" t="inlineStr">
        <is>
          <t xml:space="preserve">LAVADERO </t>
        </is>
      </c>
      <c r="C240" s="239" t="n">
        <v>1</v>
      </c>
      <c r="D240" s="239" t="n"/>
      <c r="E240" s="239" t="n"/>
      <c r="F240" s="240" t="n"/>
      <c r="G240" s="240" t="n"/>
      <c r="H240" s="241" t="n">
        <v>17000</v>
      </c>
      <c r="I240" s="242" t="n"/>
      <c r="J240" s="242" t="n">
        <v>17000</v>
      </c>
      <c r="K240" s="233" t="n"/>
      <c r="L240" s="233">
        <f>IF(K240&lt;&gt;"",3500+K240,3500)</f>
        <v/>
      </c>
      <c r="M240" s="156" t="n"/>
      <c r="N240" s="156" t="n"/>
      <c r="O240" s="156" t="n"/>
      <c r="Q240" s="221" t="inlineStr">
        <is>
          <t>238</t>
        </is>
      </c>
      <c r="R240" s="222" t="inlineStr">
        <is>
          <t>ELI CARRIBAR</t>
        </is>
      </c>
      <c r="S240" s="223" t="n">
        <v>20500</v>
      </c>
      <c r="T240" s="224" t="n">
        <v>5500</v>
      </c>
      <c r="U240" s="225" t="n">
        <v>1</v>
      </c>
      <c r="V240" s="226" t="inlineStr">
        <is>
          <t>15/03/2026</t>
        </is>
      </c>
    </row>
    <row r="241" ht="15.75" customHeight="1" s="153">
      <c r="A241" s="227" t="n"/>
      <c r="B241" s="228" t="inlineStr">
        <is>
          <t>TERCER PJE 4771</t>
        </is>
      </c>
      <c r="C241" s="229" t="n"/>
      <c r="D241" s="229" t="n"/>
      <c r="E241" s="229" t="n">
        <v>1</v>
      </c>
      <c r="F241" s="230" t="n"/>
      <c r="G241" s="230" t="n"/>
      <c r="H241" s="231" t="n">
        <v>78000</v>
      </c>
      <c r="I241" s="232" t="n"/>
      <c r="J241" s="232" t="n">
        <v>78000</v>
      </c>
      <c r="K241" s="233" t="n"/>
      <c r="L241" s="233">
        <f>IF(K241&lt;&gt;"",29000+K241,29000)</f>
        <v/>
      </c>
      <c r="M241" s="156" t="n"/>
      <c r="N241" s="156" t="n"/>
      <c r="O241" s="156" t="n"/>
      <c r="Q241" s="214" t="inlineStr">
        <is>
          <t>239</t>
        </is>
      </c>
      <c r="R241" s="215" t="inlineStr">
        <is>
          <t>VIANDAS ZEBALLOS</t>
        </is>
      </c>
      <c r="S241" s="216" t="n">
        <v>20000</v>
      </c>
      <c r="T241" s="236" t="n">
        <v>5000</v>
      </c>
      <c r="U241" s="218" t="n">
        <v>1</v>
      </c>
      <c r="V241" s="219" t="inlineStr">
        <is>
          <t>16/03/2026</t>
        </is>
      </c>
    </row>
    <row r="242" ht="15.75" customHeight="1" s="153">
      <c r="A242" s="237" t="n"/>
      <c r="B242" s="238" t="inlineStr">
        <is>
          <t>NACHO</t>
        </is>
      </c>
      <c r="C242" s="239" t="n">
        <v>2</v>
      </c>
      <c r="D242" s="239" t="n"/>
      <c r="E242" s="239" t="n"/>
      <c r="F242" s="240" t="n"/>
      <c r="G242" s="240" t="n"/>
      <c r="H242" s="241" t="n">
        <v>41000</v>
      </c>
      <c r="I242" s="242" t="n">
        <v>41000</v>
      </c>
      <c r="J242" s="242" t="n"/>
      <c r="K242" s="233" t="n"/>
      <c r="L242" s="233">
        <f>IF(K242&lt;&gt;"",14000+K242,14000)</f>
        <v/>
      </c>
      <c r="M242" s="156" t="n"/>
      <c r="N242" s="156" t="n"/>
      <c r="O242" s="156" t="n"/>
      <c r="Q242" s="221" t="inlineStr">
        <is>
          <t>240</t>
        </is>
      </c>
      <c r="R242" s="222" t="inlineStr">
        <is>
          <t>F5 GABOTO</t>
        </is>
      </c>
      <c r="S242" s="223" t="n">
        <v>20000</v>
      </c>
      <c r="T242" s="224" t="n">
        <v>5000</v>
      </c>
      <c r="U242" s="225" t="n">
        <v>1</v>
      </c>
      <c r="V242" s="226" t="inlineStr">
        <is>
          <t>03/03/2026</t>
        </is>
      </c>
    </row>
    <row r="243" ht="15.75" customHeight="1" s="153">
      <c r="A243" s="227" t="n">
        <v>46100</v>
      </c>
      <c r="B243" s="228" t="inlineStr">
        <is>
          <t>LUCHO</t>
        </is>
      </c>
      <c r="C243" s="229" t="n"/>
      <c r="D243" s="229" t="n">
        <v>1</v>
      </c>
      <c r="E243" s="229" t="n"/>
      <c r="F243" s="230" t="n"/>
      <c r="G243" s="230" t="n"/>
      <c r="H243" s="231" t="n">
        <v>25500</v>
      </c>
      <c r="I243" s="232" t="n"/>
      <c r="J243" s="232" t="n">
        <v>25500</v>
      </c>
      <c r="K243" s="233" t="n"/>
      <c r="L243" s="233">
        <f>IF(K243&lt;&gt;"",5250+K243,5250)</f>
        <v/>
      </c>
      <c r="M243" s="156" t="n"/>
      <c r="N243" s="156" t="n"/>
      <c r="O243" s="156" t="n"/>
      <c r="Q243" s="214" t="inlineStr">
        <is>
          <t>241</t>
        </is>
      </c>
      <c r="R243" s="215" t="inlineStr">
        <is>
          <t>ALBERTI 5200</t>
        </is>
      </c>
      <c r="S243" s="216" t="n">
        <v>20000</v>
      </c>
      <c r="T243" s="236" t="n">
        <v>5000</v>
      </c>
      <c r="U243" s="218" t="n">
        <v>1</v>
      </c>
      <c r="V243" s="219" t="inlineStr">
        <is>
          <t>03/03/2026</t>
        </is>
      </c>
    </row>
    <row r="244" ht="15.75" customHeight="1" s="153">
      <c r="A244" s="237" t="n"/>
      <c r="B244" s="238" t="inlineStr">
        <is>
          <t>LAVADERO</t>
        </is>
      </c>
      <c r="C244" s="239" t="n">
        <v>1</v>
      </c>
      <c r="D244" s="239" t="n"/>
      <c r="E244" s="239" t="n"/>
      <c r="F244" s="240" t="n"/>
      <c r="G244" s="240" t="n"/>
      <c r="H244" s="241" t="n">
        <v>17000</v>
      </c>
      <c r="I244" s="242" t="n"/>
      <c r="J244" s="242" t="n">
        <v>17000</v>
      </c>
      <c r="K244" s="233" t="n"/>
      <c r="L244" s="233">
        <f>IF(K244&lt;&gt;"",3500+K244,3500)</f>
        <v/>
      </c>
      <c r="M244" s="156" t="n"/>
      <c r="N244" s="156" t="n"/>
      <c r="O244" s="156" t="n"/>
      <c r="Q244" s="221" t="inlineStr">
        <is>
          <t>242</t>
        </is>
      </c>
      <c r="R244" s="222" t="inlineStr">
        <is>
          <t>LEMAN 7856</t>
        </is>
      </c>
      <c r="S244" s="223" t="n">
        <v>20000</v>
      </c>
      <c r="T244" s="224" t="n">
        <v>5000</v>
      </c>
      <c r="U244" s="225" t="n">
        <v>1</v>
      </c>
      <c r="V244" s="226" t="inlineStr">
        <is>
          <t>04/03/2026</t>
        </is>
      </c>
    </row>
    <row r="245" ht="15.75" customHeight="1" s="153">
      <c r="A245" s="227" t="n"/>
      <c r="B245" s="228" t="inlineStr">
        <is>
          <t>SANDRA</t>
        </is>
      </c>
      <c r="C245" s="229" t="n">
        <v>1</v>
      </c>
      <c r="D245" s="229" t="n">
        <v>1</v>
      </c>
      <c r="E245" s="229" t="n"/>
      <c r="F245" s="230" t="n"/>
      <c r="G245" s="230" t="n"/>
      <c r="H245" s="231" t="n">
        <v>42500</v>
      </c>
      <c r="I245" s="232" t="n">
        <v>42500</v>
      </c>
      <c r="J245" s="232" t="n"/>
      <c r="K245" s="233" t="n"/>
      <c r="L245" s="233">
        <f>IF(K245&lt;&gt;"",8750+K245,8750)</f>
        <v/>
      </c>
      <c r="M245" s="156" t="n"/>
      <c r="N245" s="156" t="n"/>
      <c r="O245" s="156" t="n"/>
      <c r="Q245" s="214" t="inlineStr">
        <is>
          <t>243</t>
        </is>
      </c>
      <c r="R245" s="215" t="inlineStr">
        <is>
          <t>MATEU 3378</t>
        </is>
      </c>
      <c r="S245" s="216" t="n">
        <v>20000</v>
      </c>
      <c r="T245" s="236" t="n">
        <v>5000</v>
      </c>
      <c r="U245" s="218" t="n">
        <v>1</v>
      </c>
      <c r="V245" s="219" t="inlineStr">
        <is>
          <t>06/03/2026</t>
        </is>
      </c>
    </row>
    <row r="246" ht="15.75" customHeight="1" s="153">
      <c r="A246" s="237" t="n"/>
      <c r="B246" s="238" t="inlineStr">
        <is>
          <t>PANA ALBERTI</t>
        </is>
      </c>
      <c r="C246" s="239" t="n"/>
      <c r="D246" s="239" t="n"/>
      <c r="E246" s="239" t="n">
        <v>1</v>
      </c>
      <c r="F246" s="240" t="n"/>
      <c r="G246" s="240" t="n"/>
      <c r="H246" s="241" t="n">
        <v>77000</v>
      </c>
      <c r="I246" s="242" t="n">
        <v>77000</v>
      </c>
      <c r="J246" s="242" t="n"/>
      <c r="K246" s="233" t="n"/>
      <c r="L246" s="233">
        <f>IF(K246&lt;&gt;"",28000+K246,28000)</f>
        <v/>
      </c>
      <c r="M246" s="156" t="n"/>
      <c r="N246" s="156" t="n"/>
      <c r="O246" s="156" t="n"/>
      <c r="Q246" s="221" t="inlineStr">
        <is>
          <t>244</t>
        </is>
      </c>
      <c r="R246" s="222" t="inlineStr">
        <is>
          <t>GABOTO 7445</t>
        </is>
      </c>
      <c r="S246" s="223" t="n">
        <v>20000</v>
      </c>
      <c r="T246" s="224" t="n">
        <v>5000</v>
      </c>
      <c r="U246" s="225" t="n">
        <v>1</v>
      </c>
      <c r="V246" s="226" t="inlineStr">
        <is>
          <t>07/03/2026</t>
        </is>
      </c>
    </row>
    <row r="247" ht="15.75" customHeight="1" s="153">
      <c r="A247" s="227" t="n"/>
      <c r="B247" s="228" t="inlineStr">
        <is>
          <t>VIANDAS JORGE 1</t>
        </is>
      </c>
      <c r="C247" s="229" t="n">
        <v>1</v>
      </c>
      <c r="D247" s="229" t="n"/>
      <c r="E247" s="229" t="n"/>
      <c r="F247" s="230" t="n"/>
      <c r="G247" s="230" t="n"/>
      <c r="H247" s="231" t="n">
        <v>20000</v>
      </c>
      <c r="I247" s="232" t="n">
        <v>20000</v>
      </c>
      <c r="J247" s="232" t="n"/>
      <c r="K247" s="233" t="n"/>
      <c r="L247" s="233">
        <f>IF(K247&lt;&gt;"",6500+K247,6500)</f>
        <v/>
      </c>
      <c r="M247" s="156" t="n"/>
      <c r="N247" s="156" t="n"/>
      <c r="O247" s="156" t="n"/>
      <c r="Q247" s="214" t="inlineStr">
        <is>
          <t>245</t>
        </is>
      </c>
      <c r="R247" s="215" t="inlineStr">
        <is>
          <t>PANAALBERTI</t>
        </is>
      </c>
      <c r="S247" s="216" t="n">
        <v>20000</v>
      </c>
      <c r="T247" s="236" t="n">
        <v>5000</v>
      </c>
      <c r="U247" s="218" t="n">
        <v>1</v>
      </c>
      <c r="V247" s="219" t="inlineStr">
        <is>
          <t>11/03/2026</t>
        </is>
      </c>
    </row>
    <row r="248" ht="15.75" customHeight="1" s="153">
      <c r="A248" s="237" t="n"/>
      <c r="B248" s="238" t="inlineStr">
        <is>
          <t>NEUQUEN 7046</t>
        </is>
      </c>
      <c r="C248" s="239" t="n">
        <v>1</v>
      </c>
      <c r="D248" s="239" t="n"/>
      <c r="E248" s="239" t="n"/>
      <c r="F248" s="240" t="n"/>
      <c r="G248" s="240" t="n"/>
      <c r="H248" s="241" t="n">
        <v>24500</v>
      </c>
      <c r="I248" s="242" t="n">
        <v>24500</v>
      </c>
      <c r="J248" s="242" t="n"/>
      <c r="K248" s="233" t="n"/>
      <c r="L248" s="233">
        <f>IF(K248&lt;&gt;"",11000+K248,11000)</f>
        <v/>
      </c>
      <c r="M248" s="156" t="n"/>
      <c r="N248" s="156" t="n"/>
      <c r="O248" s="156" t="n"/>
      <c r="Q248" s="221" t="inlineStr">
        <is>
          <t>246</t>
        </is>
      </c>
      <c r="R248" s="222" t="inlineStr">
        <is>
          <t>JORGE VIANDAS</t>
        </is>
      </c>
      <c r="S248" s="223" t="n">
        <v>20000</v>
      </c>
      <c r="T248" s="224" t="n">
        <v>5000</v>
      </c>
      <c r="U248" s="225" t="n">
        <v>1</v>
      </c>
      <c r="V248" s="226" t="inlineStr">
        <is>
          <t>13/03/2026</t>
        </is>
      </c>
    </row>
    <row r="249" ht="15.75" customHeight="1" s="153">
      <c r="A249" s="227" t="n"/>
      <c r="B249" s="228" t="inlineStr">
        <is>
          <t>GORRITI 4661</t>
        </is>
      </c>
      <c r="C249" s="229" t="n">
        <v>1</v>
      </c>
      <c r="D249" s="229" t="n"/>
      <c r="E249" s="229" t="n"/>
      <c r="F249" s="230" t="n"/>
      <c r="G249" s="230" t="n"/>
      <c r="H249" s="231" t="n">
        <v>24500</v>
      </c>
      <c r="I249" s="232" t="n"/>
      <c r="J249" s="232" t="n">
        <v>24500</v>
      </c>
      <c r="K249" s="233" t="n"/>
      <c r="L249" s="233">
        <f>IF(K249&lt;&gt;"",11000+K249,11000)</f>
        <v/>
      </c>
      <c r="M249" s="156" t="n"/>
      <c r="N249" s="156" t="n"/>
      <c r="O249" s="156" t="n"/>
      <c r="Q249" s="214" t="inlineStr">
        <is>
          <t>247</t>
        </is>
      </c>
      <c r="R249" s="215" t="inlineStr">
        <is>
          <t>CALLE</t>
        </is>
      </c>
      <c r="S249" s="216" t="n">
        <v>20000</v>
      </c>
      <c r="T249" s="236" t="n">
        <v>5000</v>
      </c>
      <c r="U249" s="218" t="n">
        <v>1</v>
      </c>
      <c r="V249" s="219" t="inlineStr">
        <is>
          <t>14/03/2026</t>
        </is>
      </c>
    </row>
    <row r="250" ht="15.75" customHeight="1" s="153">
      <c r="A250" s="237" t="n"/>
      <c r="B250" s="238" t="inlineStr">
        <is>
          <t>LOPEZ Y PLANES 4630</t>
        </is>
      </c>
      <c r="C250" s="239" t="n"/>
      <c r="D250" s="239" t="n"/>
      <c r="E250" s="239" t="n">
        <v>1</v>
      </c>
      <c r="F250" s="240" t="n"/>
      <c r="G250" s="240" t="n"/>
      <c r="H250" s="241" t="n">
        <v>80000</v>
      </c>
      <c r="I250" s="242" t="n">
        <v>80000</v>
      </c>
      <c r="J250" s="242" t="n"/>
      <c r="K250" s="233" t="n"/>
      <c r="L250" s="233">
        <f>IF(K250&lt;&gt;"",31000+K250,31000)</f>
        <v/>
      </c>
      <c r="M250" s="156" t="n"/>
      <c r="N250" s="156" t="n"/>
      <c r="O250" s="156" t="n"/>
      <c r="Q250" s="221" t="inlineStr">
        <is>
          <t>248</t>
        </is>
      </c>
      <c r="R250" s="222" t="inlineStr">
        <is>
          <t>VIANDAS JORGE 1</t>
        </is>
      </c>
      <c r="S250" s="223" t="n">
        <v>20000</v>
      </c>
      <c r="T250" s="224" t="n">
        <v>5000</v>
      </c>
      <c r="U250" s="225" t="n">
        <v>1</v>
      </c>
      <c r="V250" s="226" t="inlineStr">
        <is>
          <t>19/03/2026</t>
        </is>
      </c>
    </row>
    <row r="251" ht="15.75" customHeight="1" s="153">
      <c r="A251" s="227" t="n"/>
      <c r="B251" s="228" t="inlineStr">
        <is>
          <t>FLORES 1 MON 5 ADENTRO</t>
        </is>
      </c>
      <c r="C251" s="229" t="n">
        <v>1</v>
      </c>
      <c r="D251" s="229" t="n"/>
      <c r="E251" s="229" t="n"/>
      <c r="F251" s="230" t="n"/>
      <c r="G251" s="230" t="n"/>
      <c r="H251" s="231" t="n">
        <v>24500</v>
      </c>
      <c r="I251" s="232" t="n">
        <v>24500</v>
      </c>
      <c r="J251" s="232" t="n"/>
      <c r="K251" s="233" t="n"/>
      <c r="L251" s="233">
        <f>IF(K251&lt;&gt;"",11000+K251,11000)</f>
        <v/>
      </c>
      <c r="M251" s="156" t="n"/>
      <c r="N251" s="156" t="n"/>
      <c r="O251" s="156" t="n"/>
      <c r="Q251" s="214" t="inlineStr">
        <is>
          <t>249</t>
        </is>
      </c>
      <c r="R251" s="215" t="inlineStr">
        <is>
          <t>JORGE VIANDA</t>
        </is>
      </c>
      <c r="S251" s="216" t="n">
        <v>20000</v>
      </c>
      <c r="T251" s="236" t="n">
        <v>5000</v>
      </c>
      <c r="U251" s="218" t="n">
        <v>1</v>
      </c>
      <c r="V251" s="219" t="inlineStr">
        <is>
          <t>24/03/2026</t>
        </is>
      </c>
    </row>
    <row r="252" ht="15.75" customHeight="1" s="153">
      <c r="A252" s="237" t="n"/>
      <c r="B252" s="238" t="inlineStr">
        <is>
          <t>ROTI VIYTES</t>
        </is>
      </c>
      <c r="C252" s="239" t="n"/>
      <c r="D252" s="239" t="n">
        <v>2</v>
      </c>
      <c r="E252" s="239" t="n"/>
      <c r="F252" s="240" t="n"/>
      <c r="G252" s="240" t="n"/>
      <c r="H252" s="241" t="n">
        <v>50000</v>
      </c>
      <c r="I252" s="242" t="n"/>
      <c r="J252" s="242" t="n">
        <v>50000</v>
      </c>
      <c r="K252" s="233" t="n"/>
      <c r="L252" s="233">
        <f>IF(K252&lt;&gt;"",9500+K252,9500)</f>
        <v/>
      </c>
      <c r="M252" s="156" t="n"/>
      <c r="N252" s="156" t="n"/>
      <c r="O252" s="156" t="n"/>
      <c r="Q252" s="221" t="inlineStr">
        <is>
          <t>250</t>
        </is>
      </c>
      <c r="R252" s="222" t="inlineStr">
        <is>
          <t>VIANDAS JORGE</t>
        </is>
      </c>
      <c r="S252" s="223" t="n">
        <v>19000</v>
      </c>
      <c r="T252" s="224" t="n">
        <v>4000</v>
      </c>
      <c r="U252" s="225" t="n">
        <v>1</v>
      </c>
      <c r="V252" s="226" t="inlineStr">
        <is>
          <t>20/04/2026</t>
        </is>
      </c>
    </row>
    <row r="253" ht="15.75" customHeight="1" s="153">
      <c r="A253" s="227" t="n"/>
      <c r="B253" s="228" t="inlineStr">
        <is>
          <t>CHICLANA 7849</t>
        </is>
      </c>
      <c r="C253" s="229" t="n"/>
      <c r="D253" s="229" t="n">
        <v>1</v>
      </c>
      <c r="E253" s="229" t="n"/>
      <c r="F253" s="230" t="n"/>
      <c r="G253" s="230" t="n"/>
      <c r="H253" s="231" t="n">
        <v>36500</v>
      </c>
      <c r="I253" s="232" t="n">
        <v>36500</v>
      </c>
      <c r="J253" s="232" t="n"/>
      <c r="K253" s="233" t="n"/>
      <c r="L253" s="233">
        <f>IF(K253&lt;&gt;"",16250+K253,16250)</f>
        <v/>
      </c>
      <c r="M253" s="156" t="n"/>
      <c r="N253" s="156" t="n"/>
      <c r="O253" s="156" t="n"/>
      <c r="Q253" s="214" t="inlineStr">
        <is>
          <t>251</t>
        </is>
      </c>
      <c r="R253" s="215" t="inlineStr">
        <is>
          <t>CARRI FILOMENA</t>
        </is>
      </c>
      <c r="S253" s="216" t="n">
        <v>19000</v>
      </c>
      <c r="T253" s="236" t="n">
        <v>4000</v>
      </c>
      <c r="U253" s="218" t="n">
        <v>1</v>
      </c>
      <c r="V253" s="219" t="inlineStr">
        <is>
          <t>04/03/2026</t>
        </is>
      </c>
    </row>
    <row r="254" ht="15.75" customHeight="1" s="153">
      <c r="A254" s="237" t="n">
        <v>46101</v>
      </c>
      <c r="B254" s="238" t="inlineStr">
        <is>
          <t>M ZAPATA 2101</t>
        </is>
      </c>
      <c r="C254" s="239" t="n">
        <v>3</v>
      </c>
      <c r="D254" s="239" t="n"/>
      <c r="E254" s="239" t="n"/>
      <c r="F254" s="240" t="n"/>
      <c r="G254" s="240" t="n"/>
      <c r="H254" s="241" t="n">
        <v>52500</v>
      </c>
      <c r="I254" s="242" t="n">
        <v>40000</v>
      </c>
      <c r="J254" s="242" t="n">
        <v>12500</v>
      </c>
      <c r="K254" s="233" t="n"/>
      <c r="L254" s="233">
        <f>IF(K254&lt;&gt;"",12000+K254,12000)</f>
        <v/>
      </c>
      <c r="M254" s="156" t="n"/>
      <c r="N254" s="156" t="n"/>
      <c r="O254" s="156" t="n"/>
      <c r="Q254" s="221" t="inlineStr">
        <is>
          <t>252</t>
        </is>
      </c>
      <c r="R254" s="222" t="inlineStr">
        <is>
          <t>VIANDA JORGE</t>
        </is>
      </c>
      <c r="S254" s="223" t="n">
        <v>19000</v>
      </c>
      <c r="T254" s="224" t="n">
        <v>4000</v>
      </c>
      <c r="U254" s="225" t="n">
        <v>1</v>
      </c>
      <c r="V254" s="226" t="inlineStr">
        <is>
          <t>09/03/2026</t>
        </is>
      </c>
    </row>
    <row r="255" ht="15.75" customHeight="1" s="153">
      <c r="A255" s="227" t="n"/>
      <c r="B255" s="228" t="inlineStr">
        <is>
          <t>BONEO 4821</t>
        </is>
      </c>
      <c r="C255" s="229" t="n"/>
      <c r="D255" s="229" t="n"/>
      <c r="E255" s="229" t="n"/>
      <c r="F255" s="230" t="n"/>
      <c r="G255" s="230" t="n">
        <v>2</v>
      </c>
      <c r="H255" s="231" t="n">
        <v>12000</v>
      </c>
      <c r="I255" s="232" t="n">
        <v>12000</v>
      </c>
      <c r="J255" s="232" t="n"/>
      <c r="K255" s="233" t="n"/>
      <c r="L255" s="233">
        <f>IF(K255&lt;&gt;"",10300+K255,10300)</f>
        <v/>
      </c>
      <c r="M255" s="156" t="n"/>
      <c r="N255" s="156" t="n"/>
      <c r="O255" s="156" t="n"/>
      <c r="Q255" s="214" t="inlineStr">
        <is>
          <t>253</t>
        </is>
      </c>
      <c r="R255" s="215" t="inlineStr">
        <is>
          <t>POLLERIA BLASPA</t>
        </is>
      </c>
      <c r="S255" s="216" t="n">
        <v>18000</v>
      </c>
      <c r="T255" s="236" t="n">
        <v>3000</v>
      </c>
      <c r="U255" s="218" t="n">
        <v>1</v>
      </c>
      <c r="V255" s="219" t="inlineStr">
        <is>
          <t>03/03/2026</t>
        </is>
      </c>
    </row>
    <row r="256" ht="15.75" customHeight="1" s="153">
      <c r="A256" s="237" t="n"/>
      <c r="B256" s="238" t="inlineStr">
        <is>
          <t>LAVAISE 3786</t>
        </is>
      </c>
      <c r="C256" s="239" t="n">
        <v>1</v>
      </c>
      <c r="D256" s="239" t="n">
        <v>1</v>
      </c>
      <c r="E256" s="239" t="n"/>
      <c r="F256" s="240" t="n"/>
      <c r="G256" s="240" t="n"/>
      <c r="H256" s="241" t="n">
        <v>58000</v>
      </c>
      <c r="I256" s="242" t="n"/>
      <c r="J256" s="242" t="n">
        <v>58000</v>
      </c>
      <c r="K256" s="233" t="n"/>
      <c r="L256" s="233">
        <f>IF(K256&lt;&gt;"",24250+K256,24250)</f>
        <v/>
      </c>
      <c r="M256" s="156" t="n"/>
      <c r="N256" s="156" t="n"/>
      <c r="O256" s="156" t="n"/>
      <c r="Q256" s="221" t="inlineStr">
        <is>
          <t>254</t>
        </is>
      </c>
      <c r="R256" s="222" t="inlineStr">
        <is>
          <t>DANI TALLER</t>
        </is>
      </c>
      <c r="S256" s="223" t="n">
        <v>17000</v>
      </c>
      <c r="T256" s="224" t="n">
        <v>2000</v>
      </c>
      <c r="U256" s="225" t="n">
        <v>1</v>
      </c>
      <c r="V256" s="226" t="inlineStr">
        <is>
          <t>07/03/2026</t>
        </is>
      </c>
    </row>
    <row r="257" ht="15.75" customHeight="1" s="153">
      <c r="A257" s="227" t="n"/>
      <c r="B257" s="228" t="inlineStr">
        <is>
          <t>FILOMENA</t>
        </is>
      </c>
      <c r="C257" s="229" t="n">
        <v>2</v>
      </c>
      <c r="D257" s="229" t="n"/>
      <c r="E257" s="229" t="n"/>
      <c r="F257" s="230" t="n"/>
      <c r="G257" s="230" t="n"/>
      <c r="H257" s="231" t="n">
        <v>41000</v>
      </c>
      <c r="I257" s="232" t="n"/>
      <c r="J257" s="232" t="n">
        <v>41000</v>
      </c>
      <c r="K257" s="233" t="n"/>
      <c r="L257" s="233">
        <f>IF(K257&lt;&gt;"",14000+K257,14000)</f>
        <v/>
      </c>
      <c r="M257" s="156" t="n"/>
      <c r="N257" s="156" t="n"/>
      <c r="O257" s="156" t="n"/>
      <c r="Q257" s="214" t="inlineStr">
        <is>
          <t>255</t>
        </is>
      </c>
      <c r="R257" s="215" t="inlineStr">
        <is>
          <t>LA MADRID 6330</t>
        </is>
      </c>
      <c r="S257" s="216" t="n">
        <v>16500</v>
      </c>
      <c r="T257" s="236" t="n">
        <v>1500</v>
      </c>
      <c r="U257" s="218" t="n">
        <v>1</v>
      </c>
      <c r="V257" s="219" t="inlineStr">
        <is>
          <t>24/03/2026</t>
        </is>
      </c>
    </row>
    <row r="258" ht="15.75" customHeight="1" s="153">
      <c r="A258" s="237" t="n"/>
      <c r="B258" s="238" t="inlineStr">
        <is>
          <t>NOGALES 2651</t>
        </is>
      </c>
      <c r="C258" s="239" t="n"/>
      <c r="D258" s="239" t="n"/>
      <c r="E258" s="239" t="n">
        <v>1</v>
      </c>
      <c r="F258" s="240" t="n"/>
      <c r="G258" s="240" t="n"/>
      <c r="H258" s="241" t="n">
        <v>80000</v>
      </c>
      <c r="I258" s="242" t="n">
        <v>80000</v>
      </c>
      <c r="J258" s="242" t="n"/>
      <c r="K258" s="233" t="n"/>
      <c r="L258" s="233">
        <f>IF(K258&lt;&gt;"",31000+K258,31000)</f>
        <v/>
      </c>
      <c r="M258" s="156" t="n"/>
      <c r="N258" s="156" t="n"/>
      <c r="O258" s="156" t="n"/>
      <c r="Q258" s="221" t="inlineStr">
        <is>
          <t>256</t>
        </is>
      </c>
      <c r="R258" s="222" t="inlineStr">
        <is>
          <t>CHICLAMNA 7325</t>
        </is>
      </c>
      <c r="S258" s="223" t="n">
        <v>15500</v>
      </c>
      <c r="T258" s="224" t="n">
        <v>500</v>
      </c>
      <c r="U258" s="225" t="n">
        <v>1</v>
      </c>
      <c r="V258" s="226" t="inlineStr">
        <is>
          <t>09/03/2026</t>
        </is>
      </c>
    </row>
    <row r="259" ht="15.75" customHeight="1" s="153">
      <c r="A259" s="227" t="n">
        <v>46102</v>
      </c>
      <c r="B259" s="228" t="inlineStr">
        <is>
          <t>TATU</t>
        </is>
      </c>
      <c r="C259" s="229" t="n"/>
      <c r="D259" s="229" t="n"/>
      <c r="E259" s="229" t="n">
        <v>1</v>
      </c>
      <c r="F259" s="230" t="n"/>
      <c r="G259" s="230" t="n"/>
      <c r="H259" s="231" t="n">
        <v>83000</v>
      </c>
      <c r="I259" s="232" t="n"/>
      <c r="J259" s="232" t="n">
        <v>83000</v>
      </c>
      <c r="K259" s="233" t="n"/>
      <c r="L259" s="233">
        <f>IF(K259&lt;&gt;"",34000+K259,34000)</f>
        <v/>
      </c>
      <c r="M259" s="156" t="n"/>
      <c r="N259" s="156" t="n"/>
      <c r="O259" s="156" t="n"/>
      <c r="Q259" s="214" t="inlineStr">
        <is>
          <t>257</t>
        </is>
      </c>
      <c r="R259" s="215" t="inlineStr">
        <is>
          <t>LAVAISE 1074</t>
        </is>
      </c>
      <c r="S259" s="216" t="n">
        <v>12000</v>
      </c>
      <c r="T259" s="236" t="n">
        <v>10300</v>
      </c>
      <c r="U259" s="218" t="n">
        <v>1</v>
      </c>
      <c r="V259" s="219" t="inlineStr">
        <is>
          <t>05/03/2026</t>
        </is>
      </c>
    </row>
    <row r="260" ht="15.75" customHeight="1" s="153">
      <c r="A260" s="237" t="n"/>
      <c r="B260" s="238" t="inlineStr">
        <is>
          <t>OTNIEL</t>
        </is>
      </c>
      <c r="C260" s="239" t="n"/>
      <c r="D260" s="239" t="n"/>
      <c r="E260" s="239" t="n"/>
      <c r="F260" s="240" t="n"/>
      <c r="G260" s="240" t="n">
        <v>2</v>
      </c>
      <c r="H260" s="241" t="n">
        <v>11000</v>
      </c>
      <c r="I260" s="242" t="n"/>
      <c r="J260" s="242" t="n">
        <v>11000</v>
      </c>
      <c r="K260" s="233" t="n"/>
      <c r="L260" s="233">
        <f>IF(K260&lt;&gt;"",9300+K260,9300)</f>
        <v/>
      </c>
      <c r="M260" s="156" t="n"/>
      <c r="N260" s="156" t="n"/>
      <c r="O260" s="156" t="n"/>
      <c r="Q260" s="221" t="inlineStr">
        <is>
          <t>258</t>
        </is>
      </c>
      <c r="R260" s="222" t="inlineStr">
        <is>
          <t>BONEO 4821</t>
        </is>
      </c>
      <c r="S260" s="223" t="n">
        <v>12000</v>
      </c>
      <c r="T260" s="224" t="n">
        <v>10300</v>
      </c>
      <c r="U260" s="225" t="n">
        <v>1</v>
      </c>
      <c r="V260" s="226" t="inlineStr">
        <is>
          <t>20/03/2026</t>
        </is>
      </c>
    </row>
    <row r="261" ht="15.75" customHeight="1" s="153">
      <c r="A261" s="227" t="n"/>
      <c r="B261" s="228" t="inlineStr">
        <is>
          <t>BRASERIA</t>
        </is>
      </c>
      <c r="C261" s="229" t="n"/>
      <c r="D261" s="229" t="n"/>
      <c r="E261" s="229" t="n">
        <v>1</v>
      </c>
      <c r="F261" s="230" t="n"/>
      <c r="G261" s="230" t="n"/>
      <c r="H261" s="231" t="n">
        <v>78000</v>
      </c>
      <c r="I261" s="232" t="n"/>
      <c r="J261" s="232" t="n">
        <v>78000</v>
      </c>
      <c r="K261" s="233" t="n"/>
      <c r="L261" s="233">
        <f>IF(K261&lt;&gt;"",29000+K261,29000)</f>
        <v/>
      </c>
      <c r="M261" s="156" t="n"/>
      <c r="N261" s="156" t="n"/>
      <c r="O261" s="156" t="n"/>
      <c r="Q261" s="214" t="inlineStr">
        <is>
          <t>259</t>
        </is>
      </c>
      <c r="R261" s="215" t="inlineStr">
        <is>
          <t>AYACUCHO 5370</t>
        </is>
      </c>
      <c r="S261" s="216" t="n">
        <v>11000</v>
      </c>
      <c r="T261" s="236" t="n">
        <v>9300</v>
      </c>
      <c r="U261" s="218" t="n">
        <v>1</v>
      </c>
      <c r="V261" s="219" t="inlineStr">
        <is>
          <t>16/04/2026</t>
        </is>
      </c>
    </row>
    <row r="262" ht="15.75" customHeight="1" s="153">
      <c r="A262" s="237" t="n"/>
      <c r="B262" s="238" t="inlineStr">
        <is>
          <t>DOMINGO SILVA 4217</t>
        </is>
      </c>
      <c r="C262" s="239" t="n">
        <v>3</v>
      </c>
      <c r="D262" s="239" t="n"/>
      <c r="E262" s="239" t="n"/>
      <c r="F262" s="240" t="n"/>
      <c r="G262" s="240" t="n"/>
      <c r="H262" s="241" t="n">
        <v>51000</v>
      </c>
      <c r="I262" s="242" t="n"/>
      <c r="J262" s="242" t="n">
        <v>51000</v>
      </c>
      <c r="K262" s="233" t="n"/>
      <c r="L262" s="233">
        <f>IF(K262&lt;&gt;"",10500+K262,10500)</f>
        <v/>
      </c>
      <c r="M262" s="156" t="n"/>
      <c r="N262" s="156" t="n"/>
      <c r="O262" s="156" t="n"/>
      <c r="Q262" s="221" t="inlineStr">
        <is>
          <t>260</t>
        </is>
      </c>
      <c r="R262" s="222" t="inlineStr">
        <is>
          <t>PANA VIEYTES GISELA</t>
        </is>
      </c>
      <c r="S262" s="223" t="n">
        <v>7000</v>
      </c>
      <c r="T262" s="224" t="n">
        <v>2400</v>
      </c>
      <c r="U262" s="225" t="n">
        <v>1</v>
      </c>
      <c r="V262" s="226" t="inlineStr">
        <is>
          <t>16/04/2026</t>
        </is>
      </c>
    </row>
    <row r="263" ht="15.75" customHeight="1" s="153">
      <c r="A263" s="227" t="n"/>
      <c r="B263" s="228" t="inlineStr">
        <is>
          <t>VELEZ SARFIELD 5632</t>
        </is>
      </c>
      <c r="C263" s="229" t="n"/>
      <c r="D263" s="229" t="n">
        <v>1</v>
      </c>
      <c r="E263" s="229" t="n"/>
      <c r="F263" s="230" t="n"/>
      <c r="G263" s="230" t="n"/>
      <c r="H263" s="231" t="n">
        <v>35000</v>
      </c>
      <c r="I263" s="232" t="n">
        <v>35000</v>
      </c>
      <c r="J263" s="232" t="n"/>
      <c r="K263" s="233" t="n"/>
      <c r="L263" s="233">
        <f>IF(K263&lt;&gt;"",14750+K263,14750)</f>
        <v/>
      </c>
      <c r="M263" s="156" t="n"/>
      <c r="N263" s="156" t="n"/>
      <c r="O263" s="156" t="n"/>
      <c r="Q263" s="214" t="inlineStr">
        <is>
          <t>261</t>
        </is>
      </c>
      <c r="R263" s="215" t="inlineStr">
        <is>
          <t>BEATRIZ</t>
        </is>
      </c>
      <c r="S263" s="216" t="n">
        <v>5500</v>
      </c>
      <c r="T263" s="236" t="n">
        <v>4650</v>
      </c>
      <c r="U263" s="218" t="n">
        <v>1</v>
      </c>
      <c r="V263" s="219" t="inlineStr">
        <is>
          <t>16/04/2026</t>
        </is>
      </c>
    </row>
    <row r="264" ht="15.75" customHeight="1" s="153">
      <c r="A264" s="237" t="n"/>
      <c r="B264" s="238" t="inlineStr">
        <is>
          <t>BONEO 5315</t>
        </is>
      </c>
      <c r="C264" s="239" t="n">
        <v>1</v>
      </c>
      <c r="D264" s="239" t="n"/>
      <c r="E264" s="239" t="n"/>
      <c r="F264" s="240" t="n"/>
      <c r="G264" s="240" t="n"/>
      <c r="H264" s="241" t="n">
        <v>23500</v>
      </c>
      <c r="I264" s="242" t="n">
        <v>23500</v>
      </c>
      <c r="J264" s="242" t="n"/>
      <c r="K264" s="233" t="n"/>
      <c r="L264" s="233">
        <f>IF(K264&lt;&gt;"",10000+K264,10000)</f>
        <v/>
      </c>
      <c r="M264" s="156" t="n"/>
      <c r="N264" s="156" t="n"/>
      <c r="O264" s="156" t="n"/>
      <c r="Q264" s="221" t="inlineStr">
        <is>
          <t>262</t>
        </is>
      </c>
      <c r="R264" s="222" t="inlineStr">
        <is>
          <t>HNO OTNIEL</t>
        </is>
      </c>
      <c r="S264" s="223" t="n">
        <v>5500</v>
      </c>
      <c r="T264" s="224" t="n">
        <v>4650</v>
      </c>
      <c r="U264" s="225" t="n">
        <v>1</v>
      </c>
      <c r="V264" s="226" t="inlineStr">
        <is>
          <t>07/03/2026</t>
        </is>
      </c>
    </row>
    <row r="265" ht="15.75" customHeight="1" s="153">
      <c r="A265" s="227" t="n"/>
      <c r="B265" s="228" t="inlineStr">
        <is>
          <t>AYACUCHO 3817</t>
        </is>
      </c>
      <c r="C265" s="229" t="n">
        <v>2</v>
      </c>
      <c r="D265" s="229" t="n"/>
      <c r="E265" s="229" t="n"/>
      <c r="F265" s="230" t="n"/>
      <c r="G265" s="230" t="n"/>
      <c r="H265" s="231" t="n">
        <v>42000</v>
      </c>
      <c r="I265" s="232" t="n">
        <v>42000</v>
      </c>
      <c r="J265" s="232" t="n"/>
      <c r="K265" s="233" t="n"/>
      <c r="L265" s="233">
        <f>IF(K265&lt;&gt;"",15000+K265,15000)</f>
        <v/>
      </c>
      <c r="M265" s="156" t="n"/>
      <c r="N265" s="156" t="n"/>
      <c r="O265" s="156" t="n"/>
      <c r="Q265" s="214" t="inlineStr">
        <is>
          <t>263</t>
        </is>
      </c>
      <c r="R265" s="215" t="inlineStr">
        <is>
          <t>ALE RUIZ</t>
        </is>
      </c>
      <c r="S265" s="216" t="n">
        <v>5000</v>
      </c>
      <c r="T265" s="236" t="n">
        <v>4150</v>
      </c>
      <c r="U265" s="218" t="n">
        <v>1</v>
      </c>
      <c r="V265" s="219" t="inlineStr">
        <is>
          <t>06/03/2026</t>
        </is>
      </c>
    </row>
    <row r="266" ht="15.75" customHeight="1" s="153">
      <c r="A266" s="237" t="n"/>
      <c r="B266" s="238" t="inlineStr">
        <is>
          <t>ARISTOBULO 8998</t>
        </is>
      </c>
      <c r="C266" s="239" t="n"/>
      <c r="D266" s="239" t="n"/>
      <c r="E266" s="239" t="n">
        <v>1</v>
      </c>
      <c r="F266" s="240" t="n"/>
      <c r="G266" s="240" t="n"/>
      <c r="H266" s="241" t="n">
        <v>79000</v>
      </c>
      <c r="I266" s="242" t="n"/>
      <c r="J266" s="242" t="n">
        <v>79000</v>
      </c>
      <c r="K266" s="233" t="n"/>
      <c r="L266" s="233">
        <f>IF(K266&lt;&gt;"",30000+K266,30000)</f>
        <v/>
      </c>
      <c r="M266" s="156" t="n"/>
      <c r="N266" s="156" t="n"/>
      <c r="O266" s="156" t="n"/>
      <c r="Q266" s="221" t="n"/>
      <c r="R266" s="222" t="n"/>
      <c r="S266" s="223" t="n"/>
      <c r="T266" s="224" t="n"/>
      <c r="U266" s="225" t="n"/>
      <c r="V266" s="226" t="n"/>
    </row>
    <row r="267" ht="15.75" customHeight="1" s="153">
      <c r="A267" s="227" t="n"/>
      <c r="B267" s="228" t="inlineStr">
        <is>
          <t>NACHO</t>
        </is>
      </c>
      <c r="C267" s="229" t="n">
        <v>1</v>
      </c>
      <c r="D267" s="229" t="n"/>
      <c r="E267" s="229" t="n"/>
      <c r="F267" s="230" t="n"/>
      <c r="G267" s="230" t="n"/>
      <c r="H267" s="231" t="n">
        <v>20500</v>
      </c>
      <c r="I267" s="232" t="n"/>
      <c r="J267" s="232" t="n">
        <v>20500</v>
      </c>
      <c r="K267" s="233" t="n"/>
      <c r="L267" s="233">
        <f>IF(K267&lt;&gt;"",7000+K267,7000)</f>
        <v/>
      </c>
      <c r="M267" s="156" t="n"/>
      <c r="N267" s="156" t="n"/>
      <c r="O267" s="156" t="n"/>
      <c r="Q267" s="214" t="n"/>
      <c r="R267" s="215" t="n"/>
      <c r="S267" s="216" t="n"/>
      <c r="T267" s="236" t="n"/>
      <c r="U267" s="218" t="n"/>
      <c r="V267" s="219" t="n"/>
    </row>
    <row r="268" ht="18.75" customHeight="1" s="153">
      <c r="A268" s="237" t="n"/>
      <c r="B268" s="238" t="inlineStr">
        <is>
          <t>SABOREAR</t>
        </is>
      </c>
      <c r="C268" s="239" t="n">
        <v>1</v>
      </c>
      <c r="D268" s="239" t="n"/>
      <c r="E268" s="239" t="n"/>
      <c r="F268" s="240" t="n"/>
      <c r="G268" s="240" t="n"/>
      <c r="H268" s="241" t="n">
        <v>21000</v>
      </c>
      <c r="I268" s="242" t="n"/>
      <c r="J268" s="242" t="n">
        <v>21000</v>
      </c>
      <c r="K268" s="233" t="n"/>
      <c r="L268" s="233">
        <f>IF(K268&lt;&gt;"",7500+K268,7500)</f>
        <v/>
      </c>
      <c r="M268" s="156" t="n"/>
      <c r="N268" s="156" t="n"/>
      <c r="O268" s="156" t="n"/>
    </row>
    <row r="269" ht="18.75" customHeight="1" s="153">
      <c r="A269" s="227" t="n"/>
      <c r="B269" s="228" t="inlineStr">
        <is>
          <t>CAREN</t>
        </is>
      </c>
      <c r="C269" s="229" t="n"/>
      <c r="D269" s="229" t="n"/>
      <c r="E269" s="229" t="n">
        <v>1</v>
      </c>
      <c r="F269" s="230" t="n"/>
      <c r="G269" s="230" t="n"/>
      <c r="H269" s="231" t="n">
        <v>77000</v>
      </c>
      <c r="I269" s="232" t="n"/>
      <c r="J269" s="232" t="n">
        <v>77000</v>
      </c>
      <c r="K269" s="233" t="n"/>
      <c r="L269" s="233">
        <f>IF(K269&lt;&gt;"",28000+K269,28000)</f>
        <v/>
      </c>
      <c r="M269" s="156" t="n"/>
      <c r="N269" s="156" t="n"/>
      <c r="O269" s="156" t="n"/>
    </row>
    <row r="270" ht="18.75" customHeight="1" s="153">
      <c r="A270" s="237" t="n"/>
      <c r="B270" s="238" t="inlineStr">
        <is>
          <t xml:space="preserve">ARGENTA </t>
        </is>
      </c>
      <c r="C270" s="239" t="n">
        <v>1</v>
      </c>
      <c r="D270" s="239" t="n"/>
      <c r="E270" s="239" t="n"/>
      <c r="F270" s="240" t="n"/>
      <c r="G270" s="240" t="n"/>
      <c r="H270" s="241" t="n">
        <v>24500</v>
      </c>
      <c r="I270" s="242" t="n"/>
      <c r="J270" s="242" t="n">
        <v>24500</v>
      </c>
      <c r="K270" s="233" t="n"/>
      <c r="L270" s="233">
        <f>IF(K270&lt;&gt;"",11000+K270,11000)</f>
        <v/>
      </c>
      <c r="M270" s="156" t="n"/>
      <c r="N270" s="156" t="n"/>
      <c r="O270" s="156" t="n"/>
    </row>
    <row r="271" ht="18.75" customHeight="1" s="153">
      <c r="A271" s="227" t="n">
        <v>46103</v>
      </c>
      <c r="B271" s="228" t="inlineStr">
        <is>
          <t>MOLINA FLORES 1</t>
        </is>
      </c>
      <c r="C271" s="229" t="n"/>
      <c r="D271" s="229" t="n"/>
      <c r="E271" s="229" t="n">
        <v>1</v>
      </c>
      <c r="F271" s="230" t="n"/>
      <c r="G271" s="230" t="n"/>
      <c r="H271" s="231" t="n">
        <v>80000</v>
      </c>
      <c r="I271" s="232" t="n">
        <v>80000</v>
      </c>
      <c r="J271" s="232" t="n"/>
      <c r="K271" s="233" t="n"/>
      <c r="L271" s="233">
        <f>IF(K271&lt;&gt;"",31000+K271,31000)</f>
        <v/>
      </c>
      <c r="M271" s="156" t="n"/>
      <c r="N271" s="156" t="n"/>
      <c r="O271" s="156" t="n"/>
    </row>
    <row r="272" ht="18.75" customHeight="1" s="153">
      <c r="A272" s="237" t="n"/>
      <c r="B272" s="238" t="inlineStr">
        <is>
          <t>PARRI GABOTO</t>
        </is>
      </c>
      <c r="C272" s="239" t="n">
        <v>2</v>
      </c>
      <c r="D272" s="239" t="n"/>
      <c r="E272" s="239" t="n"/>
      <c r="F272" s="240" t="n"/>
      <c r="G272" s="240" t="n"/>
      <c r="H272" s="241" t="n">
        <v>42000</v>
      </c>
      <c r="I272" s="242" t="n"/>
      <c r="J272" s="242" t="n">
        <v>42000</v>
      </c>
      <c r="K272" s="233" t="n"/>
      <c r="L272" s="233">
        <f>IF(K272&lt;&gt;"",15000+K272,15000)</f>
        <v/>
      </c>
      <c r="M272" s="156" t="n"/>
      <c r="N272" s="156" t="n"/>
      <c r="O272" s="156" t="n"/>
    </row>
    <row r="273" ht="18.75" customHeight="1" s="153">
      <c r="A273" s="227" t="n"/>
      <c r="B273" s="228" t="inlineStr">
        <is>
          <t>REIANARES 8257</t>
        </is>
      </c>
      <c r="C273" s="229" t="n"/>
      <c r="D273" s="229" t="n"/>
      <c r="E273" s="229" t="n">
        <v>1</v>
      </c>
      <c r="F273" s="230" t="n"/>
      <c r="G273" s="230" t="n"/>
      <c r="H273" s="231" t="n">
        <v>79000</v>
      </c>
      <c r="I273" s="232" t="n"/>
      <c r="J273" s="232" t="n">
        <v>79000</v>
      </c>
      <c r="K273" s="233" t="n"/>
      <c r="L273" s="233">
        <f>IF(K273&lt;&gt;"",30000+K273,30000)</f>
        <v/>
      </c>
      <c r="M273" s="156" t="n"/>
      <c r="N273" s="156" t="n"/>
      <c r="O273" s="156" t="n"/>
    </row>
    <row r="274" ht="18.75" customHeight="1" s="153">
      <c r="A274" s="237" t="n"/>
      <c r="B274" s="238" t="inlineStr">
        <is>
          <t>DUSO 7678</t>
        </is>
      </c>
      <c r="C274" s="239" t="n">
        <v>9</v>
      </c>
      <c r="D274" s="239" t="n">
        <v>1</v>
      </c>
      <c r="E274" s="239" t="n"/>
      <c r="F274" s="240" t="n"/>
      <c r="G274" s="240" t="n"/>
      <c r="H274" s="241" t="n">
        <v>178500</v>
      </c>
      <c r="I274" s="242" t="n">
        <v>100000</v>
      </c>
      <c r="J274" s="242" t="n">
        <v>78500</v>
      </c>
      <c r="K274" s="233" t="n"/>
      <c r="L274" s="233">
        <f>IF(K274&lt;&gt;"",36750+K274,36750)</f>
        <v/>
      </c>
      <c r="M274" s="156" t="n"/>
      <c r="N274" s="156" t="n"/>
      <c r="O274" s="156" t="n"/>
    </row>
    <row r="275" ht="18.75" customHeight="1" s="153">
      <c r="A275" s="227" t="n"/>
      <c r="B275" s="228" t="inlineStr">
        <is>
          <t>9 DE JULIO 6543</t>
        </is>
      </c>
      <c r="C275" s="229" t="n">
        <v>1</v>
      </c>
      <c r="D275" s="229" t="n"/>
      <c r="E275" s="229" t="n"/>
      <c r="F275" s="230" t="n"/>
      <c r="G275" s="230" t="n"/>
      <c r="H275" s="231" t="n">
        <v>25500</v>
      </c>
      <c r="I275" s="232" t="n">
        <v>25500</v>
      </c>
      <c r="J275" s="232" t="n"/>
      <c r="K275" s="233" t="n"/>
      <c r="L275" s="233">
        <f>IF(K275&lt;&gt;"",12000+K275,12000)</f>
        <v/>
      </c>
      <c r="M275" s="156" t="n"/>
      <c r="N275" s="156" t="n"/>
      <c r="O275" s="156" t="n"/>
    </row>
    <row r="276" ht="18.75" customHeight="1" s="153">
      <c r="A276" s="237" t="n"/>
      <c r="B276" s="238" t="inlineStr">
        <is>
          <t>BERUTI 3850 PANA</t>
        </is>
      </c>
      <c r="C276" s="239" t="n"/>
      <c r="D276" s="239" t="n"/>
      <c r="E276" s="239" t="n">
        <v>1</v>
      </c>
      <c r="F276" s="240" t="n"/>
      <c r="G276" s="240" t="n"/>
      <c r="H276" s="241" t="n">
        <v>74000</v>
      </c>
      <c r="I276" s="242" t="n">
        <v>74000</v>
      </c>
      <c r="J276" s="242" t="n"/>
      <c r="K276" s="233" t="n"/>
      <c r="L276" s="233">
        <f>IF(K276&lt;&gt;"",25000+K276,25000)</f>
        <v/>
      </c>
      <c r="M276" s="156" t="n"/>
      <c r="N276" s="156" t="n"/>
      <c r="O276" s="156" t="n"/>
    </row>
    <row r="277" ht="18.75" customHeight="1" s="153">
      <c r="A277" s="227" t="n"/>
      <c r="B277" s="228" t="inlineStr">
        <is>
          <t>FLORENCIO SANCHEZ 4699</t>
        </is>
      </c>
      <c r="C277" s="229" t="n">
        <v>1</v>
      </c>
      <c r="D277" s="229" t="n"/>
      <c r="E277" s="229" t="n"/>
      <c r="F277" s="230" t="n"/>
      <c r="G277" s="230" t="n"/>
      <c r="H277" s="231" t="n">
        <v>23500</v>
      </c>
      <c r="I277" s="232" t="n">
        <v>23500</v>
      </c>
      <c r="J277" s="232" t="n"/>
      <c r="K277" s="233" t="n"/>
      <c r="L277" s="233">
        <f>IF(K277&lt;&gt;"",10000+K277,10000)</f>
        <v/>
      </c>
      <c r="M277" s="156" t="n"/>
      <c r="N277" s="156" t="n"/>
      <c r="O277" s="156" t="n"/>
    </row>
    <row r="278" ht="18.75" customHeight="1" s="153">
      <c r="A278" s="237" t="n"/>
      <c r="B278" s="238" t="inlineStr">
        <is>
          <t>BELGRANO 3295</t>
        </is>
      </c>
      <c r="C278" s="239" t="n">
        <v>1</v>
      </c>
      <c r="D278" s="239" t="n"/>
      <c r="E278" s="239" t="n"/>
      <c r="F278" s="240" t="n"/>
      <c r="G278" s="240" t="n"/>
      <c r="H278" s="241" t="n">
        <v>24500</v>
      </c>
      <c r="I278" s="242" t="n">
        <v>24500</v>
      </c>
      <c r="J278" s="242" t="n"/>
      <c r="K278" s="233" t="n"/>
      <c r="L278" s="233">
        <f>IF(K278&lt;&gt;"",11000+K278,11000)</f>
        <v/>
      </c>
      <c r="M278" s="156" t="n"/>
      <c r="N278" s="156" t="n"/>
      <c r="O278" s="156" t="n"/>
    </row>
    <row r="279" ht="18.75" customHeight="1" s="153">
      <c r="A279" s="227" t="n"/>
      <c r="B279" s="228" t="inlineStr">
        <is>
          <t>TERRAZAS DANTE</t>
        </is>
      </c>
      <c r="C279" s="229" t="n">
        <v>2</v>
      </c>
      <c r="D279" s="229" t="n"/>
      <c r="E279" s="229" t="n"/>
      <c r="F279" s="230" t="n"/>
      <c r="G279" s="230" t="n"/>
      <c r="H279" s="231" t="n">
        <v>51000</v>
      </c>
      <c r="I279" s="232" t="n">
        <v>51000</v>
      </c>
      <c r="J279" s="232" t="n"/>
      <c r="K279" s="233" t="n"/>
      <c r="L279" s="233">
        <f>IF(K279&lt;&gt;"",24000+K279,24000)</f>
        <v/>
      </c>
      <c r="M279" s="156" t="n"/>
      <c r="N279" s="156" t="n"/>
      <c r="O279" s="156" t="n"/>
    </row>
    <row r="280" ht="18.75" customHeight="1" s="153">
      <c r="A280" s="237" t="n"/>
      <c r="B280" s="238" t="inlineStr">
        <is>
          <t>SABOREAR</t>
        </is>
      </c>
      <c r="C280" s="239" t="n">
        <v>1</v>
      </c>
      <c r="D280" s="239" t="n"/>
      <c r="E280" s="239" t="n"/>
      <c r="F280" s="240" t="n"/>
      <c r="G280" s="240" t="n"/>
      <c r="H280" s="241" t="n">
        <v>21000</v>
      </c>
      <c r="I280" s="242" t="n"/>
      <c r="J280" s="242" t="n">
        <v>21000</v>
      </c>
      <c r="K280" s="233" t="n"/>
      <c r="L280" s="233">
        <f>IF(K280&lt;&gt;"",7500+K280,7500)</f>
        <v/>
      </c>
      <c r="M280" s="156" t="n"/>
      <c r="N280" s="156" t="n"/>
      <c r="O280" s="156" t="n"/>
    </row>
    <row r="281" ht="18.75" customHeight="1" s="153">
      <c r="A281" s="227" t="n"/>
      <c r="B281" s="228" t="inlineStr">
        <is>
          <t>NACHO</t>
        </is>
      </c>
      <c r="C281" s="229" t="n"/>
      <c r="D281" s="229" t="n">
        <v>1</v>
      </c>
      <c r="E281" s="229" t="n"/>
      <c r="F281" s="230" t="n"/>
      <c r="G281" s="230" t="n"/>
      <c r="H281" s="231" t="n">
        <v>31000</v>
      </c>
      <c r="I281" s="232" t="n"/>
      <c r="J281" s="232" t="n">
        <v>31000</v>
      </c>
      <c r="K281" s="233" t="n"/>
      <c r="L281" s="233">
        <f>IF(K281&lt;&gt;"",10750+K281,10750)</f>
        <v/>
      </c>
      <c r="M281" s="156" t="n"/>
      <c r="N281" s="156" t="n"/>
      <c r="O281" s="156" t="n"/>
    </row>
    <row r="282" ht="18.75" customHeight="1" s="153">
      <c r="A282" s="237" t="n"/>
      <c r="B282" s="238" t="inlineStr">
        <is>
          <t>DOMINGO SILVA 4217</t>
        </is>
      </c>
      <c r="C282" s="239" t="n">
        <v>3</v>
      </c>
      <c r="D282" s="239" t="n"/>
      <c r="E282" s="239" t="n"/>
      <c r="F282" s="240" t="n"/>
      <c r="G282" s="240" t="n"/>
      <c r="H282" s="241" t="n">
        <v>51000</v>
      </c>
      <c r="I282" s="242" t="n"/>
      <c r="J282" s="242" t="n">
        <v>51000</v>
      </c>
      <c r="K282" s="233" t="n"/>
      <c r="L282" s="233">
        <f>IF(K282&lt;&gt;"",10500+K282,10500)</f>
        <v/>
      </c>
      <c r="M282" s="156" t="n"/>
      <c r="N282" s="156" t="n"/>
      <c r="O282" s="156" t="n"/>
    </row>
    <row r="283" ht="18.75" customHeight="1" s="153">
      <c r="A283" s="227" t="n"/>
      <c r="B283" s="228" t="inlineStr">
        <is>
          <t>FILOMENA</t>
        </is>
      </c>
      <c r="C283" s="229" t="n">
        <v>1</v>
      </c>
      <c r="D283" s="229" t="n"/>
      <c r="E283" s="229" t="n"/>
      <c r="F283" s="230" t="n"/>
      <c r="G283" s="230" t="n"/>
      <c r="H283" s="231" t="n">
        <v>20500</v>
      </c>
      <c r="I283" s="232" t="n"/>
      <c r="J283" s="232" t="n">
        <v>20500</v>
      </c>
      <c r="K283" s="233" t="n"/>
      <c r="L283" s="233">
        <f>IF(K283&lt;&gt;"",7000+K283,7000)</f>
        <v/>
      </c>
      <c r="M283" s="156" t="n"/>
      <c r="N283" s="156" t="n"/>
      <c r="O283" s="156" t="n"/>
    </row>
    <row r="284" ht="18.75" customHeight="1" s="153">
      <c r="A284" s="237" t="n"/>
      <c r="B284" s="238" t="inlineStr">
        <is>
          <t>OTNIEL</t>
        </is>
      </c>
      <c r="C284" s="239" t="n"/>
      <c r="D284" s="239" t="n"/>
      <c r="E284" s="239" t="n"/>
      <c r="F284" s="240" t="n"/>
      <c r="G284" s="240" t="n">
        <v>2</v>
      </c>
      <c r="H284" s="241" t="n">
        <v>11000</v>
      </c>
      <c r="I284" s="242" t="n"/>
      <c r="J284" s="242" t="n">
        <v>11000</v>
      </c>
      <c r="K284" s="233" t="n"/>
      <c r="L284" s="233">
        <f>IF(K284&lt;&gt;"",9300+K284,9300)</f>
        <v/>
      </c>
      <c r="M284" s="156" t="n"/>
      <c r="N284" s="156" t="n"/>
      <c r="O284" s="156" t="n"/>
    </row>
    <row r="285" ht="18.75" customHeight="1" s="153">
      <c r="A285" s="227" t="n"/>
      <c r="B285" s="228" t="inlineStr">
        <is>
          <t>SANDRA</t>
        </is>
      </c>
      <c r="C285" s="229" t="n">
        <v>2</v>
      </c>
      <c r="D285" s="229" t="n"/>
      <c r="E285" s="229" t="n"/>
      <c r="F285" s="230" t="n"/>
      <c r="G285" s="230" t="n"/>
      <c r="H285" s="231" t="n">
        <v>34000</v>
      </c>
      <c r="I285" s="232" t="n">
        <v>34000</v>
      </c>
      <c r="J285" s="232" t="n"/>
      <c r="K285" s="233" t="n"/>
      <c r="L285" s="233">
        <f>IF(K285&lt;&gt;"",7000+K285,7000)</f>
        <v/>
      </c>
      <c r="M285" s="156" t="n"/>
      <c r="N285" s="156" t="n"/>
      <c r="O285" s="156" t="n"/>
    </row>
    <row r="286" ht="18.75" customHeight="1" s="153">
      <c r="A286" s="237" t="n">
        <v>46104</v>
      </c>
      <c r="B286" s="238" t="inlineStr">
        <is>
          <t>SANDRA</t>
        </is>
      </c>
      <c r="C286" s="239" t="n">
        <v>1</v>
      </c>
      <c r="D286" s="239" t="n"/>
      <c r="E286" s="239" t="n"/>
      <c r="F286" s="240" t="n"/>
      <c r="G286" s="240" t="n"/>
      <c r="H286" s="241" t="n">
        <v>17000</v>
      </c>
      <c r="I286" s="242" t="n">
        <v>17000</v>
      </c>
      <c r="J286" s="242" t="n"/>
      <c r="K286" s="233" t="n"/>
      <c r="L286" s="233">
        <f>IF(K286&lt;&gt;"",3500+K286,3500)</f>
        <v/>
      </c>
      <c r="M286" s="156" t="n"/>
      <c r="N286" s="156" t="n"/>
      <c r="O286" s="156" t="n"/>
    </row>
    <row r="287" ht="18.75" customHeight="1" s="153">
      <c r="A287" s="227" t="n"/>
      <c r="B287" s="228" t="inlineStr">
        <is>
          <t>ANGEL</t>
        </is>
      </c>
      <c r="C287" s="229" t="n">
        <v>1</v>
      </c>
      <c r="D287" s="229" t="n">
        <v>1</v>
      </c>
      <c r="E287" s="229" t="n"/>
      <c r="F287" s="230" t="n"/>
      <c r="G287" s="230" t="n"/>
      <c r="H287" s="231" t="n">
        <v>42500</v>
      </c>
      <c r="I287" s="232" t="n">
        <v>42500</v>
      </c>
      <c r="J287" s="232" t="n"/>
      <c r="K287" s="233" t="n"/>
      <c r="L287" s="233">
        <f>IF(K287&lt;&gt;"",8750+K287,8750)</f>
        <v/>
      </c>
      <c r="M287" s="156" t="n"/>
      <c r="N287" s="156" t="n"/>
      <c r="O287" s="156" t="n"/>
    </row>
    <row r="288" ht="18.75" customHeight="1" s="153">
      <c r="A288" s="237" t="n"/>
      <c r="B288" s="238" t="inlineStr">
        <is>
          <t>OTNIEL</t>
        </is>
      </c>
      <c r="C288" s="239" t="n"/>
      <c r="D288" s="239" t="n">
        <v>2</v>
      </c>
      <c r="E288" s="239" t="n">
        <v>1</v>
      </c>
      <c r="F288" s="240" t="n"/>
      <c r="G288" s="240" t="n"/>
      <c r="H288" s="241" t="n">
        <v>141000</v>
      </c>
      <c r="I288" s="242" t="n">
        <v>141000</v>
      </c>
      <c r="J288" s="242" t="n"/>
      <c r="K288" s="233" t="n"/>
      <c r="L288" s="233">
        <f>IF(K288&lt;&gt;"",51500+K288,51500)</f>
        <v/>
      </c>
      <c r="M288" s="156" t="n"/>
      <c r="N288" s="156" t="n"/>
      <c r="O288" s="156" t="n"/>
    </row>
    <row r="289" ht="18.75" customHeight="1" s="153">
      <c r="A289" s="227" t="n"/>
      <c r="B289" s="228" t="inlineStr">
        <is>
          <t>PANA BERUTI</t>
        </is>
      </c>
      <c r="C289" s="229" t="n"/>
      <c r="D289" s="229" t="n"/>
      <c r="E289" s="229" t="n">
        <v>1</v>
      </c>
      <c r="F289" s="230" t="n"/>
      <c r="G289" s="230" t="n"/>
      <c r="H289" s="231" t="n">
        <v>73000</v>
      </c>
      <c r="I289" s="232" t="n"/>
      <c r="J289" s="232" t="n">
        <v>73000</v>
      </c>
      <c r="K289" s="233" t="n"/>
      <c r="L289" s="233">
        <f>IF(K289&lt;&gt;"",24000+K289,24000)</f>
        <v/>
      </c>
      <c r="M289" s="156" t="n"/>
      <c r="N289" s="156" t="n"/>
      <c r="O289" s="156" t="n"/>
    </row>
    <row r="290" ht="18.75" customHeight="1" s="153">
      <c r="A290" s="237" t="n"/>
      <c r="B290" s="238" t="inlineStr">
        <is>
          <t>P GENESIO 5799</t>
        </is>
      </c>
      <c r="C290" s="239" t="n">
        <v>1</v>
      </c>
      <c r="D290" s="239" t="n"/>
      <c r="E290" s="239" t="n"/>
      <c r="F290" s="240" t="n"/>
      <c r="G290" s="240" t="n"/>
      <c r="H290" s="241" t="n">
        <v>24000</v>
      </c>
      <c r="I290" s="242" t="n">
        <v>24000</v>
      </c>
      <c r="J290" s="242" t="n"/>
      <c r="K290" s="233" t="n"/>
      <c r="L290" s="233">
        <f>IF(K290&lt;&gt;"",10500+K290,10500)</f>
        <v/>
      </c>
      <c r="M290" s="156" t="n"/>
      <c r="N290" s="156" t="n"/>
      <c r="O290" s="156" t="n"/>
    </row>
    <row r="291" ht="18.75" customHeight="1" s="153">
      <c r="A291" s="227" t="n"/>
      <c r="B291" s="228" t="inlineStr">
        <is>
          <t>COCO ABUELO FACU CACERE</t>
        </is>
      </c>
      <c r="C291" s="229" t="n"/>
      <c r="D291" s="229" t="n">
        <v>1</v>
      </c>
      <c r="E291" s="229" t="n"/>
      <c r="F291" s="230" t="n"/>
      <c r="G291" s="230" t="n"/>
      <c r="H291" s="231" t="n">
        <v>34000</v>
      </c>
      <c r="I291" s="232" t="n">
        <v>34000</v>
      </c>
      <c r="J291" s="232" t="n"/>
      <c r="K291" s="233" t="n"/>
      <c r="L291" s="233">
        <f>IF(K291&lt;&gt;"",13750+K291,13750)</f>
        <v/>
      </c>
      <c r="M291" s="156" t="n"/>
      <c r="N291" s="156" t="n"/>
      <c r="O291" s="156" t="n"/>
    </row>
    <row r="292" ht="18.75" customHeight="1" s="153">
      <c r="A292" s="237" t="n"/>
      <c r="B292" s="238" t="inlineStr">
        <is>
          <t>NOGALES 2412</t>
        </is>
      </c>
      <c r="C292" s="239" t="n"/>
      <c r="D292" s="239" t="n"/>
      <c r="E292" s="239" t="n">
        <v>1</v>
      </c>
      <c r="F292" s="240" t="n"/>
      <c r="G292" s="240" t="n"/>
      <c r="H292" s="241" t="n">
        <v>83000</v>
      </c>
      <c r="I292" s="242" t="n"/>
      <c r="J292" s="242" t="n">
        <v>83000</v>
      </c>
      <c r="K292" s="233" t="n"/>
      <c r="L292" s="233">
        <f>IF(K292&lt;&gt;"",34000+K292,34000)</f>
        <v/>
      </c>
      <c r="M292" s="156" t="n"/>
      <c r="N292" s="156" t="n"/>
      <c r="O292" s="156" t="n"/>
    </row>
    <row r="293" ht="18.75" customHeight="1" s="153">
      <c r="A293" s="227" t="n"/>
      <c r="B293" s="228" t="inlineStr">
        <is>
          <t>CERVERA 7037</t>
        </is>
      </c>
      <c r="C293" s="229" t="n">
        <v>1</v>
      </c>
      <c r="D293" s="229" t="n"/>
      <c r="E293" s="229" t="n"/>
      <c r="F293" s="230" t="n"/>
      <c r="G293" s="230" t="n"/>
      <c r="H293" s="231" t="n">
        <v>25000</v>
      </c>
      <c r="I293" s="232" t="n">
        <v>25000</v>
      </c>
      <c r="J293" s="232" t="n"/>
      <c r="K293" s="233" t="n"/>
      <c r="L293" s="233">
        <f>IF(K293&lt;&gt;"",11500+K293,11500)</f>
        <v/>
      </c>
      <c r="M293" s="156" t="n"/>
      <c r="N293" s="156" t="n"/>
      <c r="O293" s="156" t="n"/>
    </row>
    <row r="294" ht="18.75" customHeight="1" s="153">
      <c r="A294" s="237" t="n"/>
      <c r="B294" s="238" t="inlineStr">
        <is>
          <t>ALVEAR 5135</t>
        </is>
      </c>
      <c r="C294" s="239" t="n"/>
      <c r="D294" s="239" t="n"/>
      <c r="E294" s="239" t="n">
        <v>1</v>
      </c>
      <c r="F294" s="240" t="n"/>
      <c r="G294" s="240" t="n"/>
      <c r="H294" s="241" t="n">
        <v>83000</v>
      </c>
      <c r="I294" s="242" t="n"/>
      <c r="J294" s="242" t="n">
        <v>83000</v>
      </c>
      <c r="K294" s="233" t="n"/>
      <c r="L294" s="233">
        <f>IF(K294&lt;&gt;"",34000+K294,34000)</f>
        <v/>
      </c>
      <c r="M294" s="156" t="n"/>
      <c r="N294" s="156" t="n"/>
      <c r="O294" s="156" t="n"/>
    </row>
    <row r="295" ht="18.75" customHeight="1" s="153">
      <c r="A295" s="227" t="n"/>
      <c r="B295" s="228" t="inlineStr">
        <is>
          <t>SAVEDRA 6545</t>
        </is>
      </c>
      <c r="C295" s="229" t="n"/>
      <c r="D295" s="229" t="n">
        <v>1</v>
      </c>
      <c r="E295" s="229" t="n"/>
      <c r="F295" s="230" t="n"/>
      <c r="G295" s="230" t="n"/>
      <c r="H295" s="231" t="n">
        <v>33500</v>
      </c>
      <c r="I295" s="232" t="n">
        <v>33500</v>
      </c>
      <c r="J295" s="232" t="n"/>
      <c r="K295" s="233" t="n"/>
      <c r="L295" s="233">
        <f>IF(K295&lt;&gt;"",13250+K295,13250)</f>
        <v/>
      </c>
      <c r="M295" s="156" t="n"/>
      <c r="N295" s="156" t="n"/>
      <c r="O295" s="156" t="n"/>
    </row>
    <row r="296" ht="18.75" customHeight="1" s="153">
      <c r="A296" s="237" t="n"/>
      <c r="B296" s="238" t="inlineStr">
        <is>
          <t>P GENESIO 4501</t>
        </is>
      </c>
      <c r="C296" s="239" t="n">
        <v>1</v>
      </c>
      <c r="D296" s="239" t="n"/>
      <c r="E296" s="239" t="n"/>
      <c r="F296" s="240" t="n"/>
      <c r="G296" s="240" t="n"/>
      <c r="H296" s="241" t="n">
        <v>24500</v>
      </c>
      <c r="I296" s="242" t="n">
        <v>24500</v>
      </c>
      <c r="J296" s="242" t="n"/>
      <c r="K296" s="233" t="n"/>
      <c r="L296" s="233">
        <f>IF(K296&lt;&gt;"",11000+K296,11000)</f>
        <v/>
      </c>
      <c r="M296" s="156" t="n"/>
      <c r="N296" s="156" t="n"/>
      <c r="O296" s="156" t="n"/>
    </row>
    <row r="297" ht="18.75" customHeight="1" s="153">
      <c r="A297" s="227" t="n"/>
      <c r="B297" s="228" t="inlineStr">
        <is>
          <t>ALSINA 9251</t>
        </is>
      </c>
      <c r="C297" s="229" t="n">
        <v>1</v>
      </c>
      <c r="D297" s="229" t="n"/>
      <c r="E297" s="229" t="n">
        <v>1</v>
      </c>
      <c r="F297" s="230" t="n"/>
      <c r="G297" s="230" t="n"/>
      <c r="H297" s="231" t="n">
        <v>103000</v>
      </c>
      <c r="I297" s="232" t="n">
        <v>103000</v>
      </c>
      <c r="J297" s="232" t="n"/>
      <c r="K297" s="233" t="n"/>
      <c r="L297" s="233">
        <f>IF(K297&lt;&gt;"",40500+K297,40500)</f>
        <v/>
      </c>
      <c r="M297" s="156" t="n"/>
      <c r="N297" s="156" t="n"/>
      <c r="O297" s="156" t="n"/>
    </row>
    <row r="298" ht="18.75" customHeight="1" s="153">
      <c r="A298" s="237" t="n"/>
      <c r="B298" s="238" t="inlineStr">
        <is>
          <t>LOS PORKI</t>
        </is>
      </c>
      <c r="C298" s="239" t="n"/>
      <c r="D298" s="239" t="n"/>
      <c r="E298" s="239" t="n">
        <v>1</v>
      </c>
      <c r="F298" s="240" t="n"/>
      <c r="G298" s="240" t="n"/>
      <c r="H298" s="241" t="n">
        <v>77000</v>
      </c>
      <c r="I298" s="242" t="n"/>
      <c r="J298" s="242" t="n">
        <v>77000</v>
      </c>
      <c r="K298" s="233" t="n"/>
      <c r="L298" s="233">
        <f>IF(K298&lt;&gt;"",28000+K298,28000)</f>
        <v/>
      </c>
      <c r="M298" s="156" t="n"/>
      <c r="N298" s="156" t="n"/>
      <c r="O298" s="156" t="n"/>
    </row>
    <row r="299" ht="18.75" customHeight="1" s="153">
      <c r="A299" s="227" t="n"/>
      <c r="B299" s="228" t="inlineStr">
        <is>
          <t>EXE</t>
        </is>
      </c>
      <c r="C299" s="229" t="n"/>
      <c r="D299" s="229" t="n"/>
      <c r="E299" s="229" t="n">
        <v>1</v>
      </c>
      <c r="F299" s="230" t="n"/>
      <c r="G299" s="230" t="n"/>
      <c r="H299" s="231" t="n">
        <v>77000</v>
      </c>
      <c r="I299" s="232" t="n"/>
      <c r="J299" s="232" t="n">
        <v>77000</v>
      </c>
      <c r="K299" s="233" t="n"/>
      <c r="L299" s="233">
        <f>IF(K299&lt;&gt;"",28000+K299,28000)</f>
        <v/>
      </c>
      <c r="M299" s="156" t="n"/>
      <c r="N299" s="156" t="n"/>
      <c r="O299" s="156" t="n"/>
    </row>
    <row r="300" ht="18.75" customHeight="1" s="153">
      <c r="A300" s="237" t="n"/>
      <c r="B300" s="238" t="inlineStr">
        <is>
          <t>GDOR FREIRE 1055</t>
        </is>
      </c>
      <c r="C300" s="239" t="n">
        <v>1</v>
      </c>
      <c r="D300" s="239" t="n"/>
      <c r="E300" s="239" t="n"/>
      <c r="F300" s="240" t="n"/>
      <c r="G300" s="240" t="n"/>
      <c r="H300" s="241" t="n">
        <v>25000</v>
      </c>
      <c r="I300" s="242" t="n">
        <v>25000</v>
      </c>
      <c r="J300" s="242" t="n"/>
      <c r="K300" s="233" t="n"/>
      <c r="L300" s="233">
        <f>IF(K300&lt;&gt;"",11500+K300,11500)</f>
        <v/>
      </c>
      <c r="M300" s="156" t="n"/>
      <c r="N300" s="156" t="n"/>
      <c r="O300" s="156" t="n"/>
    </row>
    <row r="301" ht="18.75" customHeight="1" s="153">
      <c r="A301" s="227" t="n"/>
      <c r="B301" s="228" t="inlineStr">
        <is>
          <t>LUCHO</t>
        </is>
      </c>
      <c r="C301" s="229" t="n">
        <v>1</v>
      </c>
      <c r="D301" s="229" t="n"/>
      <c r="E301" s="229" t="n"/>
      <c r="F301" s="230" t="n"/>
      <c r="G301" s="230" t="n"/>
      <c r="H301" s="231" t="n">
        <v>17000</v>
      </c>
      <c r="I301" s="232" t="n">
        <v>17000</v>
      </c>
      <c r="J301" s="232" t="n"/>
      <c r="K301" s="233" t="n"/>
      <c r="L301" s="233">
        <f>IF(K301&lt;&gt;"",3500+K301,3500)</f>
        <v/>
      </c>
      <c r="M301" s="156" t="n"/>
      <c r="N301" s="156" t="n"/>
      <c r="O301" s="156" t="n"/>
    </row>
    <row r="302" ht="18.75" customHeight="1" s="153">
      <c r="A302" s="237" t="n"/>
      <c r="B302" s="238" t="inlineStr">
        <is>
          <t>LARGUIA 7824</t>
        </is>
      </c>
      <c r="C302" s="239" t="n"/>
      <c r="D302" s="239" t="n"/>
      <c r="E302" s="239" t="n">
        <v>1</v>
      </c>
      <c r="F302" s="240" t="n"/>
      <c r="G302" s="240" t="n"/>
      <c r="H302" s="241" t="n">
        <v>80000</v>
      </c>
      <c r="I302" s="242" t="n"/>
      <c r="J302" s="242" t="n">
        <v>80000</v>
      </c>
      <c r="K302" s="233" t="n"/>
      <c r="L302" s="233">
        <f>IF(K302&lt;&gt;"",31000+K302,31000)</f>
        <v/>
      </c>
      <c r="M302" s="156" t="n"/>
      <c r="N302" s="156" t="n"/>
      <c r="O302" s="156" t="n"/>
    </row>
    <row r="303" ht="18.75" customHeight="1" s="153">
      <c r="A303" s="227" t="n"/>
      <c r="B303" s="228" t="inlineStr">
        <is>
          <t>25 DE MAYO 2617</t>
        </is>
      </c>
      <c r="C303" s="229" t="n"/>
      <c r="D303" s="229" t="n">
        <v>1</v>
      </c>
      <c r="E303" s="229" t="n"/>
      <c r="F303" s="230" t="n"/>
      <c r="G303" s="230" t="n"/>
      <c r="H303" s="231" t="n">
        <v>35500</v>
      </c>
      <c r="I303" s="232" t="n">
        <v>35500</v>
      </c>
      <c r="J303" s="232" t="n"/>
      <c r="K303" s="233" t="n"/>
      <c r="L303" s="233">
        <f>IF(K303&lt;&gt;"",15250+K303,15250)</f>
        <v/>
      </c>
      <c r="M303" s="156" t="n"/>
      <c r="N303" s="156" t="n"/>
      <c r="O303" s="156" t="n"/>
    </row>
    <row r="304" ht="18.75" customHeight="1" s="153">
      <c r="A304" s="237" t="n"/>
      <c r="B304" s="238" t="inlineStr">
        <is>
          <t>ECUADOR 4117</t>
        </is>
      </c>
      <c r="C304" s="239" t="n"/>
      <c r="D304" s="239" t="n"/>
      <c r="E304" s="239" t="n">
        <v>1</v>
      </c>
      <c r="F304" s="240" t="n"/>
      <c r="G304" s="240" t="n"/>
      <c r="H304" s="241" t="n">
        <v>80000</v>
      </c>
      <c r="I304" s="242" t="n"/>
      <c r="J304" s="242" t="n">
        <v>80000</v>
      </c>
      <c r="K304" s="233" t="n"/>
      <c r="L304" s="233">
        <f>IF(K304&lt;&gt;"",31000+K304,31000)</f>
        <v/>
      </c>
      <c r="M304" s="156" t="n"/>
      <c r="N304" s="156" t="n"/>
      <c r="O304" s="156" t="n"/>
    </row>
    <row r="305" ht="18.75" customHeight="1" s="153">
      <c r="A305" s="227" t="n"/>
      <c r="B305" s="228" t="inlineStr">
        <is>
          <t>LARREA 3339</t>
        </is>
      </c>
      <c r="C305" s="229" t="n">
        <v>4</v>
      </c>
      <c r="D305" s="229" t="n"/>
      <c r="E305" s="229" t="n"/>
      <c r="F305" s="230" t="n"/>
      <c r="G305" s="230" t="n"/>
      <c r="H305" s="231" t="n">
        <v>68000</v>
      </c>
      <c r="I305" s="232" t="n">
        <v>68000</v>
      </c>
      <c r="J305" s="232" t="n"/>
      <c r="K305" s="233" t="n"/>
      <c r="L305" s="233">
        <f>IF(K305&lt;&gt;"",14000+K305,14000)</f>
        <v/>
      </c>
      <c r="M305" s="156" t="n"/>
      <c r="N305" s="156" t="n"/>
      <c r="O305" s="156" t="n"/>
    </row>
    <row r="306" ht="18.75" customHeight="1" s="153">
      <c r="A306" s="237" t="n"/>
      <c r="B306" s="238" t="inlineStr">
        <is>
          <t>BLAS PARERA 7162</t>
        </is>
      </c>
      <c r="C306" s="239" t="n">
        <v>1</v>
      </c>
      <c r="D306" s="239" t="n"/>
      <c r="E306" s="239" t="n"/>
      <c r="F306" s="240" t="n"/>
      <c r="G306" s="240" t="n"/>
      <c r="H306" s="241" t="n">
        <v>23500</v>
      </c>
      <c r="I306" s="242" t="n">
        <v>23500</v>
      </c>
      <c r="J306" s="242" t="n"/>
      <c r="K306" s="233" t="n"/>
      <c r="L306" s="233">
        <f>IF(K306&lt;&gt;"",10000+K306,10000)</f>
        <v/>
      </c>
      <c r="M306" s="156" t="n"/>
      <c r="N306" s="156" t="n"/>
      <c r="O306" s="156" t="n"/>
    </row>
    <row r="307" ht="18.75" customHeight="1" s="153">
      <c r="A307" s="227" t="n"/>
      <c r="B307" s="228" t="inlineStr">
        <is>
          <t>SANDRA</t>
        </is>
      </c>
      <c r="C307" s="229" t="n"/>
      <c r="D307" s="229" t="n">
        <v>1</v>
      </c>
      <c r="E307" s="229" t="n"/>
      <c r="F307" s="230" t="n"/>
      <c r="G307" s="230" t="n"/>
      <c r="H307" s="231" t="n">
        <v>25500</v>
      </c>
      <c r="I307" s="232" t="n">
        <v>25500</v>
      </c>
      <c r="J307" s="232" t="n"/>
      <c r="K307" s="233" t="n"/>
      <c r="L307" s="233">
        <f>IF(K307&lt;&gt;"",5250+K307,5250)</f>
        <v/>
      </c>
      <c r="M307" s="156" t="n"/>
      <c r="N307" s="156" t="n"/>
      <c r="O307" s="156" t="n"/>
    </row>
    <row r="308" ht="18.75" customHeight="1" s="153">
      <c r="A308" s="237" t="n">
        <v>46105</v>
      </c>
      <c r="B308" s="238" t="inlineStr">
        <is>
          <t>PJE PAEZ Y 25 MAYO</t>
        </is>
      </c>
      <c r="C308" s="239" t="n"/>
      <c r="D308" s="239" t="n">
        <v>1</v>
      </c>
      <c r="E308" s="239" t="n"/>
      <c r="F308" s="240" t="n"/>
      <c r="G308" s="240" t="n"/>
      <c r="H308" s="241" t="n">
        <v>37500</v>
      </c>
      <c r="I308" s="242" t="n"/>
      <c r="J308" s="242" t="n">
        <v>37500</v>
      </c>
      <c r="K308" s="233" t="n"/>
      <c r="L308" s="233">
        <f>IF(K308&lt;&gt;"",17250+K308,17250)</f>
        <v/>
      </c>
      <c r="M308" s="156" t="n"/>
      <c r="N308" s="156" t="n"/>
      <c r="O308" s="156" t="n"/>
    </row>
    <row r="309" ht="18.75" customHeight="1" s="153">
      <c r="A309" s="227" t="n"/>
      <c r="B309" s="228" t="inlineStr">
        <is>
          <t>JM ZUVIRIA 3439</t>
        </is>
      </c>
      <c r="C309" s="229" t="n">
        <v>1</v>
      </c>
      <c r="D309" s="229" t="n"/>
      <c r="E309" s="229" t="n"/>
      <c r="F309" s="230" t="n"/>
      <c r="G309" s="230" t="n"/>
      <c r="H309" s="231" t="n">
        <v>24000</v>
      </c>
      <c r="I309" s="232" t="n"/>
      <c r="J309" s="232" t="n">
        <v>24000</v>
      </c>
      <c r="K309" s="233" t="n"/>
      <c r="L309" s="233">
        <f>IF(K309&lt;&gt;"",10500+K309,10500)</f>
        <v/>
      </c>
      <c r="M309" s="156" t="n"/>
      <c r="N309" s="156" t="n"/>
      <c r="O309" s="156" t="n"/>
    </row>
    <row r="310" ht="18.75" customHeight="1" s="153">
      <c r="A310" s="237" t="n"/>
      <c r="B310" s="238" t="inlineStr">
        <is>
          <t>ANREALES 10512</t>
        </is>
      </c>
      <c r="C310" s="239" t="n"/>
      <c r="D310" s="239" t="n"/>
      <c r="E310" s="239" t="n">
        <v>1</v>
      </c>
      <c r="F310" s="240" t="n"/>
      <c r="G310" s="240" t="n"/>
      <c r="H310" s="241" t="n">
        <v>79000</v>
      </c>
      <c r="I310" s="242" t="n"/>
      <c r="J310" s="242" t="n">
        <v>79000</v>
      </c>
      <c r="K310" s="233" t="n"/>
      <c r="L310" s="233">
        <f>IF(K310&lt;&gt;"",30000+K310,30000)</f>
        <v/>
      </c>
      <c r="M310" s="156" t="n"/>
      <c r="N310" s="156" t="n"/>
      <c r="O310" s="156" t="n"/>
    </row>
    <row r="311" ht="18.75" customHeight="1" s="153">
      <c r="A311" s="227" t="n"/>
      <c r="B311" s="228" t="inlineStr">
        <is>
          <t>GORRITI 5019</t>
        </is>
      </c>
      <c r="C311" s="229" t="n">
        <v>4</v>
      </c>
      <c r="D311" s="229" t="n"/>
      <c r="E311" s="229" t="n"/>
      <c r="F311" s="230" t="n"/>
      <c r="G311" s="230" t="n"/>
      <c r="H311" s="231" t="n">
        <v>64000</v>
      </c>
      <c r="I311" s="232" t="n"/>
      <c r="J311" s="232" t="n">
        <v>64000</v>
      </c>
      <c r="K311" s="233" t="n"/>
      <c r="L311" s="233">
        <f>IF(K311&lt;&gt;"",10000+K311,10000)</f>
        <v/>
      </c>
      <c r="M311" s="156" t="n"/>
      <c r="N311" s="156" t="n"/>
      <c r="O311" s="156" t="n"/>
    </row>
    <row r="312" ht="18.75" customHeight="1" s="153">
      <c r="A312" s="237" t="n"/>
      <c r="B312" s="238" t="inlineStr">
        <is>
          <t>JORGE VIANDA</t>
        </is>
      </c>
      <c r="C312" s="239" t="n">
        <v>1</v>
      </c>
      <c r="D312" s="239" t="n"/>
      <c r="E312" s="239" t="n"/>
      <c r="F312" s="240" t="n"/>
      <c r="G312" s="240" t="n"/>
      <c r="H312" s="241" t="n">
        <v>20000</v>
      </c>
      <c r="I312" s="242" t="n">
        <v>20000</v>
      </c>
      <c r="J312" s="242" t="n"/>
      <c r="K312" s="233" t="n"/>
      <c r="L312" s="233">
        <f>IF(K312&lt;&gt;"",6500+K312,6500)</f>
        <v/>
      </c>
      <c r="M312" s="156" t="n"/>
      <c r="N312" s="156" t="n"/>
      <c r="O312" s="156" t="n"/>
    </row>
    <row r="313" ht="18.75" customHeight="1" s="153">
      <c r="A313" s="227" t="n"/>
      <c r="B313" s="228" t="inlineStr">
        <is>
          <t>PJE PUBLICO 2035</t>
        </is>
      </c>
      <c r="C313" s="229" t="n"/>
      <c r="D313" s="229" t="n"/>
      <c r="E313" s="229" t="n">
        <v>1</v>
      </c>
      <c r="F313" s="230" t="n"/>
      <c r="G313" s="230" t="n"/>
      <c r="H313" s="231" t="n">
        <v>80000</v>
      </c>
      <c r="I313" s="232" t="n"/>
      <c r="J313" s="232" t="n">
        <v>80000</v>
      </c>
      <c r="K313" s="233" t="n"/>
      <c r="L313" s="233">
        <f>IF(K313&lt;&gt;"",31000+K313,31000)</f>
        <v/>
      </c>
      <c r="M313" s="156" t="n"/>
      <c r="N313" s="156" t="n"/>
      <c r="O313" s="156" t="n"/>
    </row>
    <row r="314" ht="18.75" customHeight="1" s="153">
      <c r="A314" s="237" t="n"/>
      <c r="B314" s="238" t="inlineStr">
        <is>
          <t>LA MADRID 6330</t>
        </is>
      </c>
      <c r="C314" s="239" t="n">
        <v>1</v>
      </c>
      <c r="D314" s="239" t="n"/>
      <c r="E314" s="239" t="n"/>
      <c r="F314" s="240" t="n"/>
      <c r="G314" s="240" t="n"/>
      <c r="H314" s="241" t="n">
        <v>16500</v>
      </c>
      <c r="I314" s="242" t="n">
        <v>16500</v>
      </c>
      <c r="J314" s="242" t="n"/>
      <c r="K314" s="233" t="n"/>
      <c r="L314" s="233">
        <f>IF(K314&lt;&gt;"",3000+K314,3000)</f>
        <v/>
      </c>
      <c r="M314" s="156" t="n"/>
      <c r="N314" s="156" t="n"/>
      <c r="O314" s="156" t="n"/>
    </row>
    <row r="315" ht="18.75" customHeight="1" s="153">
      <c r="A315" s="227" t="n"/>
      <c r="B315" s="228" t="inlineStr">
        <is>
          <t>PANA VIEYTES 4500</t>
        </is>
      </c>
      <c r="C315" s="229" t="n"/>
      <c r="D315" s="229" t="n"/>
      <c r="E315" s="229" t="n">
        <v>1</v>
      </c>
      <c r="F315" s="230" t="n"/>
      <c r="G315" s="230" t="n"/>
      <c r="H315" s="231" t="n">
        <v>73000</v>
      </c>
      <c r="I315" s="232" t="n">
        <v>73000</v>
      </c>
      <c r="J315" s="232" t="n"/>
      <c r="K315" s="233" t="n"/>
      <c r="L315" s="233">
        <f>IF(K315&lt;&gt;"",24000+K315,24000)</f>
        <v/>
      </c>
      <c r="M315" s="156" t="n"/>
      <c r="N315" s="156" t="n"/>
      <c r="O315" s="156" t="n"/>
    </row>
    <row r="316" ht="18.75" customHeight="1" s="153">
      <c r="A316" s="237" t="n"/>
      <c r="B316" s="238" t="inlineStr">
        <is>
          <t>PUBLICO 2550</t>
        </is>
      </c>
      <c r="C316" s="239" t="n"/>
      <c r="D316" s="239" t="n"/>
      <c r="E316" s="239" t="n">
        <v>1</v>
      </c>
      <c r="F316" s="240" t="n"/>
      <c r="G316" s="240" t="n"/>
      <c r="H316" s="241" t="n">
        <v>79000</v>
      </c>
      <c r="I316" s="242" t="n"/>
      <c r="J316" s="242" t="n">
        <v>79000</v>
      </c>
      <c r="K316" s="233" t="n"/>
      <c r="L316" s="233">
        <f>IF(K316&lt;&gt;"",30000+K316,30000)</f>
        <v/>
      </c>
      <c r="M316" s="156" t="n"/>
      <c r="N316" s="156" t="n"/>
      <c r="O316" s="156" t="n"/>
    </row>
    <row r="317" ht="18.75" customHeight="1" s="153">
      <c r="A317" s="227" t="n"/>
      <c r="B317" s="228" t="inlineStr">
        <is>
          <t>AZOPARDO 10529</t>
        </is>
      </c>
      <c r="C317" s="229" t="n">
        <v>1</v>
      </c>
      <c r="D317" s="229" t="n"/>
      <c r="E317" s="229" t="n"/>
      <c r="F317" s="230" t="n"/>
      <c r="G317" s="230" t="n"/>
      <c r="H317" s="231" t="n">
        <v>25000</v>
      </c>
      <c r="I317" s="232" t="n">
        <v>25000</v>
      </c>
      <c r="J317" s="232" t="n"/>
      <c r="K317" s="233" t="n"/>
      <c r="L317" s="233">
        <f>IF(K317&lt;&gt;"",11500+K317,11500)</f>
        <v/>
      </c>
      <c r="M317" s="156" t="n"/>
      <c r="N317" s="156" t="n"/>
      <c r="O317" s="156" t="n"/>
    </row>
    <row r="318" ht="18.75" customHeight="1" s="153">
      <c r="A318" s="237" t="n"/>
      <c r="B318" s="238" t="inlineStr">
        <is>
          <t>GDOR FREIRE 6445</t>
        </is>
      </c>
      <c r="C318" s="239" t="n">
        <v>1</v>
      </c>
      <c r="D318" s="239" t="n"/>
      <c r="E318" s="239" t="n"/>
      <c r="F318" s="240" t="n"/>
      <c r="G318" s="240" t="n"/>
      <c r="H318" s="241" t="n">
        <v>25000</v>
      </c>
      <c r="I318" s="242" t="n"/>
      <c r="J318" s="242" t="n">
        <v>25000</v>
      </c>
      <c r="K318" s="233" t="n"/>
      <c r="L318" s="233">
        <f>IF(K318&lt;&gt;"",11500+K318,11500)</f>
        <v/>
      </c>
      <c r="M318" s="156" t="n"/>
      <c r="N318" s="156" t="n"/>
      <c r="O318" s="156" t="n"/>
    </row>
    <row r="319" ht="18.75" customHeight="1" s="153">
      <c r="A319" s="227" t="n"/>
      <c r="B319" s="228" t="inlineStr">
        <is>
          <t>GDOR FREIRE 1047</t>
        </is>
      </c>
      <c r="C319" s="229" t="n">
        <v>1</v>
      </c>
      <c r="D319" s="229" t="n"/>
      <c r="E319" s="229" t="n"/>
      <c r="F319" s="230" t="n"/>
      <c r="G319" s="230" t="n"/>
      <c r="H319" s="231" t="n">
        <v>24500</v>
      </c>
      <c r="I319" s="232" t="n">
        <v>24500</v>
      </c>
      <c r="J319" s="232" t="n"/>
      <c r="K319" s="233" t="n"/>
      <c r="L319" s="233">
        <f>IF(K319&lt;&gt;"",11000+K319,11000)</f>
        <v/>
      </c>
      <c r="M319" s="156" t="n"/>
      <c r="N319" s="156" t="n"/>
      <c r="O319" s="156" t="n"/>
    </row>
    <row r="320" ht="18.75" customHeight="1" s="153">
      <c r="A320" s="237" t="n"/>
      <c r="B320" s="238" t="inlineStr">
        <is>
          <t>ALBERTI 4930</t>
        </is>
      </c>
      <c r="C320" s="239" t="n"/>
      <c r="D320" s="239" t="n"/>
      <c r="E320" s="239" t="n"/>
      <c r="F320" s="240" t="n"/>
      <c r="G320" s="240" t="n">
        <v>1</v>
      </c>
      <c r="H320" s="241" t="n">
        <v>5000</v>
      </c>
      <c r="I320" s="242" t="n">
        <v>5000</v>
      </c>
      <c r="J320" s="242" t="n"/>
      <c r="K320" s="233" t="n"/>
      <c r="L320" s="233">
        <f>IF(K320&lt;&gt;"",4150+K320,4150)</f>
        <v/>
      </c>
      <c r="M320" s="156" t="n"/>
      <c r="N320" s="156" t="n"/>
      <c r="O320" s="156" t="n"/>
    </row>
    <row r="321" ht="18.75" customHeight="1" s="153">
      <c r="A321" s="227" t="n"/>
      <c r="B321" s="228" t="inlineStr">
        <is>
          <t>ULRICO SCHMIT</t>
        </is>
      </c>
      <c r="C321" s="229" t="n"/>
      <c r="D321" s="229" t="n"/>
      <c r="E321" s="229" t="n">
        <v>1</v>
      </c>
      <c r="F321" s="230" t="n"/>
      <c r="G321" s="230" t="n"/>
      <c r="H321" s="231" t="n">
        <v>80000</v>
      </c>
      <c r="I321" s="232" t="n"/>
      <c r="J321" s="232" t="n">
        <v>80000</v>
      </c>
      <c r="K321" s="233" t="n"/>
      <c r="L321" s="233">
        <f>IF(K321&lt;&gt;"",31000+K321,31000)</f>
        <v/>
      </c>
      <c r="M321" s="156" t="n"/>
      <c r="N321" s="156" t="n"/>
      <c r="O321" s="156" t="n"/>
    </row>
    <row r="322" ht="18.75" customHeight="1" s="153">
      <c r="A322" s="237" t="n"/>
      <c r="B322" s="238" t="inlineStr">
        <is>
          <t>I CRESPO 8180</t>
        </is>
      </c>
      <c r="C322" s="239" t="n">
        <v>1</v>
      </c>
      <c r="D322" s="239" t="n"/>
      <c r="E322" s="239" t="n"/>
      <c r="F322" s="240" t="n"/>
      <c r="G322" s="240" t="n"/>
      <c r="H322" s="241" t="n">
        <v>25000</v>
      </c>
      <c r="I322" s="242" t="n">
        <v>25000</v>
      </c>
      <c r="J322" s="242" t="n"/>
      <c r="K322" s="233" t="n"/>
      <c r="L322" s="233">
        <f>IF(K322&lt;&gt;"",11500+K322,11500)</f>
        <v/>
      </c>
      <c r="M322" s="156" t="n"/>
      <c r="N322" s="156" t="n"/>
      <c r="O322" s="156" t="n"/>
    </row>
    <row r="323" ht="18.75" customHeight="1" s="153">
      <c r="A323" s="227" t="n"/>
      <c r="B323" s="228" t="inlineStr">
        <is>
          <t>ZAVALLA 10319</t>
        </is>
      </c>
      <c r="C323" s="229" t="n">
        <v>1</v>
      </c>
      <c r="D323" s="229" t="n"/>
      <c r="E323" s="229" t="n"/>
      <c r="F323" s="230" t="n"/>
      <c r="G323" s="230" t="n"/>
      <c r="H323" s="231" t="n">
        <v>24000</v>
      </c>
      <c r="I323" s="232" t="n"/>
      <c r="J323" s="232" t="n">
        <v>24000</v>
      </c>
      <c r="K323" s="233" t="n"/>
      <c r="L323" s="233">
        <f>IF(K323&lt;&gt;"",10500+K323,10500)</f>
        <v/>
      </c>
      <c r="M323" s="156" t="n"/>
      <c r="N323" s="156" t="n"/>
      <c r="O323" s="156" t="n"/>
    </row>
    <row r="324" ht="18.75" customHeight="1" s="153">
      <c r="A324" s="237" t="n"/>
      <c r="B324" s="238" t="inlineStr">
        <is>
          <t>BELGRANO 6382</t>
        </is>
      </c>
      <c r="C324" s="239" t="n">
        <v>1</v>
      </c>
      <c r="D324" s="239" t="n"/>
      <c r="E324" s="239" t="n"/>
      <c r="F324" s="240" t="n"/>
      <c r="G324" s="240" t="n"/>
      <c r="H324" s="241" t="n">
        <v>25000</v>
      </c>
      <c r="I324" s="242" t="n"/>
      <c r="J324" s="242" t="n">
        <v>25000</v>
      </c>
      <c r="K324" s="233" t="n"/>
      <c r="L324" s="233">
        <f>IF(K324&lt;&gt;"",11500+K324,11500)</f>
        <v/>
      </c>
      <c r="M324" s="156" t="n"/>
      <c r="N324" s="156" t="n"/>
      <c r="O324" s="156" t="n"/>
    </row>
    <row r="325" ht="18.75" customHeight="1" s="153">
      <c r="A325" s="227" t="n"/>
      <c r="B325" s="228" t="inlineStr">
        <is>
          <t>FILOMENA</t>
        </is>
      </c>
      <c r="C325" s="229" t="n">
        <v>2</v>
      </c>
      <c r="D325" s="229" t="n"/>
      <c r="E325" s="229" t="n"/>
      <c r="F325" s="230" t="n"/>
      <c r="G325" s="230" t="n"/>
      <c r="H325" s="231" t="n">
        <v>41000</v>
      </c>
      <c r="I325" s="232" t="n"/>
      <c r="J325" s="232" t="n">
        <v>41000</v>
      </c>
      <c r="K325" s="233" t="n"/>
      <c r="L325" s="233">
        <f>IF(K325&lt;&gt;"",14000+K325,14000)</f>
        <v/>
      </c>
      <c r="M325" s="156" t="n"/>
      <c r="N325" s="156" t="n"/>
      <c r="O325" s="156" t="n"/>
    </row>
    <row r="326" ht="18.75" customHeight="1" s="153">
      <c r="A326" s="237" t="n"/>
      <c r="B326" s="238" t="inlineStr">
        <is>
          <t>RICARDO ALDAO 369</t>
        </is>
      </c>
      <c r="C326" s="239" t="n"/>
      <c r="D326" s="239" t="n"/>
      <c r="E326" s="239" t="n">
        <v>1</v>
      </c>
      <c r="F326" s="240" t="n"/>
      <c r="G326" s="240" t="n"/>
      <c r="H326" s="241" t="n">
        <v>83000</v>
      </c>
      <c r="I326" s="242" t="n"/>
      <c r="J326" s="242" t="n">
        <v>83000</v>
      </c>
      <c r="K326" s="233" t="n"/>
      <c r="L326" s="233">
        <f>IF(K326&lt;&gt;"",34000+K326,34000)</f>
        <v/>
      </c>
      <c r="M326" s="156" t="n"/>
      <c r="N326" s="156" t="n"/>
      <c r="O326" s="156" t="n"/>
    </row>
    <row r="327" ht="18.75" customHeight="1" s="153">
      <c r="A327" s="227" t="n"/>
      <c r="B327" s="228" t="inlineStr">
        <is>
          <t>SANDRA</t>
        </is>
      </c>
      <c r="C327" s="229" t="n">
        <v>1</v>
      </c>
      <c r="D327" s="229" t="n"/>
      <c r="E327" s="229" t="n"/>
      <c r="F327" s="230" t="n"/>
      <c r="G327" s="230" t="n"/>
      <c r="H327" s="231" t="n">
        <v>17000</v>
      </c>
      <c r="I327" s="232" t="n">
        <v>17000</v>
      </c>
      <c r="J327" s="232" t="n"/>
      <c r="K327" s="233" t="n"/>
      <c r="L327" s="233">
        <f>IF(K327&lt;&gt;"",3500+K327,3500)</f>
        <v/>
      </c>
      <c r="M327" s="156" t="n"/>
      <c r="N327" s="156" t="n"/>
      <c r="O327" s="156" t="n"/>
    </row>
    <row r="328" ht="18.75" customHeight="1" s="153">
      <c r="A328" s="237" t="n">
        <v>46106</v>
      </c>
      <c r="B328" s="238" t="inlineStr">
        <is>
          <t>MARTINEZ 3221</t>
        </is>
      </c>
      <c r="C328" s="239" t="n">
        <v>1</v>
      </c>
      <c r="D328" s="239" t="n"/>
      <c r="E328" s="239" t="n">
        <v>1</v>
      </c>
      <c r="F328" s="240" t="n"/>
      <c r="G328" s="240" t="n"/>
      <c r="H328" s="241" t="n">
        <v>108000</v>
      </c>
      <c r="I328" s="242" t="n"/>
      <c r="J328" s="242" t="n">
        <v>108000</v>
      </c>
      <c r="K328" s="233" t="n"/>
      <c r="L328" s="233">
        <f>IF(K328&lt;&gt;"",33000+K328,33000)</f>
        <v/>
      </c>
      <c r="M328" s="156" t="n"/>
      <c r="N328" s="156" t="n"/>
      <c r="O328" s="156" t="n"/>
    </row>
    <row r="329" ht="18.75" customHeight="1" s="153">
      <c r="A329" s="227" t="n"/>
      <c r="B329" s="228" t="inlineStr">
        <is>
          <t>COGORNO 5520</t>
        </is>
      </c>
      <c r="C329" s="229" t="n">
        <v>4</v>
      </c>
      <c r="D329" s="229" t="n"/>
      <c r="E329" s="229" t="n"/>
      <c r="F329" s="230" t="n"/>
      <c r="G329" s="230" t="n"/>
      <c r="H329" s="231" t="n">
        <v>68000</v>
      </c>
      <c r="I329" s="232" t="n"/>
      <c r="J329" s="232" t="n">
        <v>68000</v>
      </c>
      <c r="K329" s="233" t="n"/>
      <c r="L329" s="233">
        <f>IF(K329&lt;&gt;"",8000+K329,8000)</f>
        <v/>
      </c>
      <c r="M329" s="156" t="n"/>
      <c r="N329" s="156" t="n"/>
      <c r="O329" s="156" t="n"/>
    </row>
    <row r="330" ht="18.75" customHeight="1" s="153">
      <c r="A330" s="237" t="n"/>
      <c r="B330" s="238" t="inlineStr">
        <is>
          <t>ROTI AGUADO</t>
        </is>
      </c>
      <c r="C330" s="239" t="n"/>
      <c r="D330" s="239" t="n">
        <v>1</v>
      </c>
      <c r="E330" s="239" t="n">
        <v>1</v>
      </c>
      <c r="F330" s="240" t="n"/>
      <c r="G330" s="240" t="n"/>
      <c r="H330" s="241" t="n">
        <v>107000</v>
      </c>
      <c r="I330" s="242" t="n"/>
      <c r="J330" s="242" t="n">
        <v>107000</v>
      </c>
      <c r="K330" s="233" t="n"/>
      <c r="L330" s="233">
        <f>IF(K330&lt;&gt;"",24500+K330,24500)</f>
        <v/>
      </c>
      <c r="M330" s="156" t="n"/>
      <c r="N330" s="156" t="n"/>
      <c r="O330" s="156" t="n"/>
    </row>
    <row r="331" ht="18.75" customHeight="1" s="153">
      <c r="A331" s="227" t="n"/>
      <c r="B331" s="228" t="inlineStr">
        <is>
          <t>PAULO</t>
        </is>
      </c>
      <c r="C331" s="229" t="n">
        <v>2</v>
      </c>
      <c r="D331" s="229" t="n"/>
      <c r="E331" s="229" t="n"/>
      <c r="F331" s="230" t="n"/>
      <c r="G331" s="230" t="n"/>
      <c r="H331" s="231" t="n">
        <v>34000</v>
      </c>
      <c r="I331" s="232" t="n">
        <v>34000</v>
      </c>
      <c r="J331" s="232" t="n"/>
      <c r="K331" s="233" t="n"/>
      <c r="L331" s="233">
        <f>IF(K331&lt;&gt;"",4000+K331,4000)</f>
        <v/>
      </c>
      <c r="M331" s="156" t="n"/>
      <c r="N331" s="156" t="n"/>
      <c r="O331" s="156" t="n"/>
    </row>
    <row r="332" ht="18.75" customHeight="1" s="153">
      <c r="A332" s="237" t="n"/>
      <c r="B332" s="238" t="inlineStr">
        <is>
          <t>SEGUI 1680</t>
        </is>
      </c>
      <c r="C332" s="239" t="n"/>
      <c r="D332" s="239" t="n">
        <v>1</v>
      </c>
      <c r="E332" s="239" t="n"/>
      <c r="F332" s="240" t="n"/>
      <c r="G332" s="240" t="n"/>
      <c r="H332" s="241" t="n">
        <v>37500</v>
      </c>
      <c r="I332" s="242" t="n"/>
      <c r="J332" s="242" t="n">
        <v>37500</v>
      </c>
      <c r="K332" s="233" t="n"/>
      <c r="L332" s="233">
        <f>IF(K332&lt;&gt;"",15000+K332,15000)</f>
        <v/>
      </c>
      <c r="M332" s="156" t="n"/>
      <c r="N332" s="156" t="n"/>
      <c r="O332" s="156" t="n"/>
    </row>
    <row r="333" ht="18.75" customHeight="1" s="153">
      <c r="A333" s="227" t="n"/>
      <c r="B333" s="228" t="inlineStr">
        <is>
          <t>MARIELA</t>
        </is>
      </c>
      <c r="C333" s="229" t="n"/>
      <c r="D333" s="229" t="n"/>
      <c r="E333" s="229" t="n">
        <v>2</v>
      </c>
      <c r="F333" s="230" t="n">
        <v>20</v>
      </c>
      <c r="G333" s="230" t="n"/>
      <c r="H333" s="231" t="n">
        <v>219000</v>
      </c>
      <c r="I333" s="232" t="n"/>
      <c r="J333" s="232" t="n">
        <v>219000</v>
      </c>
      <c r="K333" s="233" t="n"/>
      <c r="L333" s="233">
        <f>IF(K333&lt;&gt;"",53000+K333,53000)</f>
        <v/>
      </c>
      <c r="M333" s="156" t="n"/>
      <c r="N333" s="156" t="n"/>
      <c r="O333" s="156" t="n"/>
    </row>
    <row r="334" ht="18.75" customHeight="1" s="153">
      <c r="A334" s="237" t="n"/>
      <c r="B334" s="238" t="inlineStr">
        <is>
          <t>VIEYTES 5168</t>
        </is>
      </c>
      <c r="C334" s="239" t="n"/>
      <c r="D334" s="239" t="n"/>
      <c r="E334" s="239" t="n">
        <v>1</v>
      </c>
      <c r="F334" s="240" t="n"/>
      <c r="G334" s="240" t="n"/>
      <c r="H334" s="241" t="n">
        <v>80000</v>
      </c>
      <c r="I334" s="242" t="n"/>
      <c r="J334" s="242" t="n">
        <v>80000</v>
      </c>
      <c r="K334" s="233" t="n"/>
      <c r="L334" s="233">
        <f>IF(K334&lt;&gt;"",20000+K334,20000)</f>
        <v/>
      </c>
      <c r="M334" s="156" t="n"/>
      <c r="N334" s="156" t="n"/>
      <c r="O334" s="156" t="n"/>
    </row>
    <row r="335" ht="18.75" customHeight="1" s="153">
      <c r="A335" s="227" t="n"/>
      <c r="B335" s="228" t="inlineStr">
        <is>
          <t>EUROPA 9186</t>
        </is>
      </c>
      <c r="C335" s="229" t="n"/>
      <c r="D335" s="229" t="n">
        <v>1</v>
      </c>
      <c r="E335" s="229" t="n"/>
      <c r="F335" s="230" t="n"/>
      <c r="G335" s="230" t="n"/>
      <c r="H335" s="231" t="n">
        <v>35500</v>
      </c>
      <c r="I335" s="232" t="n">
        <v>35500</v>
      </c>
      <c r="J335" s="232" t="n"/>
      <c r="K335" s="233" t="n"/>
      <c r="L335" s="233">
        <f>IF(K335&lt;&gt;"",13000+K335,13000)</f>
        <v/>
      </c>
      <c r="M335" s="156" t="n"/>
      <c r="N335" s="156" t="n"/>
      <c r="O335" s="156" t="n"/>
    </row>
    <row r="336" ht="18.75" customHeight="1" s="153">
      <c r="A336" s="237" t="n"/>
      <c r="B336" s="238" t="inlineStr">
        <is>
          <t>PAMPA 4751</t>
        </is>
      </c>
      <c r="C336" s="239" t="n">
        <v>1</v>
      </c>
      <c r="D336" s="239" t="n"/>
      <c r="E336" s="239" t="n"/>
      <c r="F336" s="240" t="n"/>
      <c r="G336" s="240" t="n"/>
      <c r="H336" s="241" t="n">
        <v>25000</v>
      </c>
      <c r="I336" s="242" t="n">
        <v>25000</v>
      </c>
      <c r="J336" s="242" t="n"/>
      <c r="K336" s="233" t="n"/>
      <c r="L336" s="233">
        <f>IF(K336&lt;&gt;"",10000+K336,10000)</f>
        <v/>
      </c>
      <c r="M336" s="156" t="n"/>
      <c r="N336" s="156" t="n"/>
      <c r="O336" s="156" t="n"/>
    </row>
    <row r="337" ht="18.75" customHeight="1" s="153">
      <c r="A337" s="227" t="n"/>
      <c r="B337" s="228" t="inlineStr">
        <is>
          <t>P GENESIO 5851</t>
        </is>
      </c>
      <c r="C337" s="229" t="n">
        <v>1</v>
      </c>
      <c r="D337" s="229" t="n"/>
      <c r="E337" s="229" t="n"/>
      <c r="F337" s="230" t="n"/>
      <c r="G337" s="230" t="n"/>
      <c r="H337" s="231" t="n">
        <v>24500</v>
      </c>
      <c r="I337" s="232" t="n">
        <v>24500</v>
      </c>
      <c r="J337" s="232" t="n"/>
      <c r="K337" s="233" t="n"/>
      <c r="L337" s="233">
        <f>IF(K337&lt;&gt;"",9500+K337,9500)</f>
        <v/>
      </c>
      <c r="M337" s="156" t="n"/>
      <c r="N337" s="156" t="n"/>
      <c r="O337" s="156" t="n"/>
    </row>
    <row r="338" ht="18.75" customHeight="1" s="153">
      <c r="A338" s="237" t="n"/>
      <c r="B338" s="238" t="inlineStr">
        <is>
          <t>AVELLANEDA 7745</t>
        </is>
      </c>
      <c r="C338" s="239" t="n">
        <v>1</v>
      </c>
      <c r="D338" s="239" t="n"/>
      <c r="E338" s="239" t="n"/>
      <c r="F338" s="240" t="n"/>
      <c r="G338" s="240" t="n"/>
      <c r="H338" s="241" t="n">
        <v>25000</v>
      </c>
      <c r="I338" s="242" t="n"/>
      <c r="J338" s="242" t="n">
        <v>25000</v>
      </c>
      <c r="K338" s="233" t="n"/>
      <c r="L338" s="233">
        <f>IF(K338&lt;&gt;"",10000+K338,10000)</f>
        <v/>
      </c>
      <c r="M338" s="156" t="n"/>
      <c r="N338" s="156" t="n"/>
      <c r="O338" s="156" t="n"/>
    </row>
    <row r="339" ht="18.75" customHeight="1" s="153">
      <c r="A339" s="227" t="n"/>
      <c r="B339" s="228" t="inlineStr">
        <is>
          <t>ALBERTI 4538</t>
        </is>
      </c>
      <c r="C339" s="229" t="n"/>
      <c r="D339" s="229" t="n">
        <v>1</v>
      </c>
      <c r="E339" s="229" t="n"/>
      <c r="F339" s="230" t="n"/>
      <c r="G339" s="230" t="n"/>
      <c r="H339" s="231" t="n">
        <v>37500</v>
      </c>
      <c r="I339" s="232" t="n">
        <v>37500</v>
      </c>
      <c r="J339" s="232" t="n"/>
      <c r="K339" s="233" t="n"/>
      <c r="L339" s="233">
        <f>IF(K339&lt;&gt;"",15000+K339,15000)</f>
        <v/>
      </c>
      <c r="M339" s="156" t="n"/>
      <c r="N339" s="156" t="n"/>
      <c r="O339" s="156" t="n"/>
    </row>
    <row r="340" ht="18.75" customHeight="1" s="153">
      <c r="A340" s="237" t="n"/>
      <c r="B340" s="238" t="inlineStr">
        <is>
          <t>LUCHO</t>
        </is>
      </c>
      <c r="C340" s="239" t="n">
        <v>2</v>
      </c>
      <c r="D340" s="239" t="n"/>
      <c r="E340" s="239" t="n"/>
      <c r="F340" s="240" t="n"/>
      <c r="G340" s="240" t="n"/>
      <c r="H340" s="241" t="n">
        <v>34000</v>
      </c>
      <c r="I340" s="242" t="n"/>
      <c r="J340" s="242" t="n">
        <v>34000</v>
      </c>
      <c r="K340" s="233" t="n"/>
      <c r="L340" s="233">
        <f>IF(K340&lt;&gt;"",4000+K340,4000)</f>
        <v/>
      </c>
      <c r="M340" s="156" t="n"/>
      <c r="N340" s="156" t="n"/>
      <c r="O340" s="156" t="n"/>
    </row>
    <row r="341" ht="18.75" customHeight="1" s="153">
      <c r="A341" s="227" t="n"/>
      <c r="B341" s="228" t="inlineStr">
        <is>
          <t>PAVON 4712</t>
        </is>
      </c>
      <c r="C341" s="229" t="n"/>
      <c r="D341" s="229" t="n">
        <v>1</v>
      </c>
      <c r="E341" s="229" t="n"/>
      <c r="F341" s="230" t="n"/>
      <c r="G341" s="230" t="n"/>
      <c r="H341" s="231" t="n">
        <v>33500</v>
      </c>
      <c r="I341" s="232" t="n">
        <v>33500</v>
      </c>
      <c r="J341" s="232" t="n"/>
      <c r="K341" s="233" t="n"/>
      <c r="L341" s="233">
        <f>IF(K341&lt;&gt;"",11000+K341,11000)</f>
        <v/>
      </c>
      <c r="M341" s="156" t="n"/>
      <c r="N341" s="156" t="n"/>
      <c r="O341" s="156" t="n"/>
    </row>
    <row r="342" ht="18.75" customHeight="1" s="153">
      <c r="A342" s="237" t="n"/>
      <c r="B342" s="238" t="inlineStr">
        <is>
          <t>PERU 3841</t>
        </is>
      </c>
      <c r="C342" s="239" t="n">
        <v>1</v>
      </c>
      <c r="D342" s="239" t="n"/>
      <c r="E342" s="239" t="n"/>
      <c r="F342" s="240" t="n"/>
      <c r="G342" s="240" t="n"/>
      <c r="H342" s="241" t="n">
        <v>24500</v>
      </c>
      <c r="I342" s="242" t="n"/>
      <c r="J342" s="242" t="n">
        <v>24500</v>
      </c>
      <c r="K342" s="233" t="n"/>
      <c r="L342" s="233">
        <f>IF(K342&lt;&gt;"",9500+K342,9500)</f>
        <v/>
      </c>
      <c r="M342" s="156" t="n"/>
      <c r="N342" s="156" t="n"/>
      <c r="O342" s="156" t="n"/>
    </row>
    <row r="343" ht="18.75" customHeight="1" s="153">
      <c r="A343" s="227" t="n"/>
      <c r="B343" s="228" t="inlineStr">
        <is>
          <t>LARGUIA 7186</t>
        </is>
      </c>
      <c r="C343" s="229" t="n"/>
      <c r="D343" s="229" t="n"/>
      <c r="E343" s="229" t="n">
        <v>1</v>
      </c>
      <c r="F343" s="230" t="n"/>
      <c r="G343" s="230" t="n"/>
      <c r="H343" s="231" t="n">
        <v>80000</v>
      </c>
      <c r="I343" s="232" t="n"/>
      <c r="J343" s="232" t="n">
        <v>80000</v>
      </c>
      <c r="K343" s="233" t="n"/>
      <c r="L343" s="233">
        <f>IF(K343&lt;&gt;"",20000+K343,20000)</f>
        <v/>
      </c>
      <c r="M343" s="156" t="n"/>
      <c r="N343" s="156" t="n"/>
      <c r="O343" s="156" t="n"/>
    </row>
    <row r="344" ht="18.75" customHeight="1" s="153">
      <c r="A344" s="237" t="n"/>
      <c r="B344" s="238" t="inlineStr">
        <is>
          <t>LARGUIA 7150</t>
        </is>
      </c>
      <c r="C344" s="239" t="n"/>
      <c r="D344" s="239" t="n">
        <v>1</v>
      </c>
      <c r="E344" s="239" t="n"/>
      <c r="F344" s="240" t="n"/>
      <c r="G344" s="240" t="n"/>
      <c r="H344" s="241" t="n">
        <v>33500</v>
      </c>
      <c r="I344" s="242" t="n">
        <v>33500</v>
      </c>
      <c r="J344" s="242" t="n"/>
      <c r="K344" s="233" t="n"/>
      <c r="L344" s="233">
        <f>IF(K344&lt;&gt;"",11000+K344,11000)</f>
        <v/>
      </c>
      <c r="M344" s="156" t="n"/>
      <c r="N344" s="156" t="n"/>
      <c r="O344" s="156" t="n"/>
    </row>
    <row r="345" ht="18.75" customHeight="1" s="153">
      <c r="A345" s="227" t="n"/>
      <c r="B345" s="228" t="inlineStr">
        <is>
          <t>PUBLICO 2454</t>
        </is>
      </c>
      <c r="C345" s="229" t="n"/>
      <c r="D345" s="229" t="n">
        <v>1</v>
      </c>
      <c r="E345" s="229" t="n"/>
      <c r="F345" s="230" t="n"/>
      <c r="G345" s="230" t="n"/>
      <c r="H345" s="231" t="n">
        <v>37500</v>
      </c>
      <c r="I345" s="232" t="n">
        <v>37500</v>
      </c>
      <c r="J345" s="232" t="n"/>
      <c r="K345" s="233" t="n"/>
      <c r="L345" s="233">
        <f>IF(K345&lt;&gt;"",15000+K345,15000)</f>
        <v/>
      </c>
      <c r="M345" s="156" t="n"/>
      <c r="N345" s="156" t="n"/>
      <c r="O345" s="156" t="n"/>
    </row>
    <row r="346" ht="18.75" customHeight="1" s="153">
      <c r="A346" s="237" t="n"/>
      <c r="B346" s="238" t="inlineStr">
        <is>
          <t>LUCHO</t>
        </is>
      </c>
      <c r="C346" s="239" t="n">
        <v>2</v>
      </c>
      <c r="D346" s="239" t="n"/>
      <c r="E346" s="239" t="n"/>
      <c r="F346" s="240" t="n"/>
      <c r="G346" s="240" t="n"/>
      <c r="H346" s="241" t="n">
        <v>34000</v>
      </c>
      <c r="I346" s="242" t="n">
        <v>34000</v>
      </c>
      <c r="J346" s="242" t="n"/>
      <c r="K346" s="233" t="n"/>
      <c r="L346" s="233">
        <f>IF(K346&lt;&gt;"",4000+K346,4000)</f>
        <v/>
      </c>
      <c r="M346" s="156" t="n"/>
      <c r="N346" s="156" t="n"/>
      <c r="O346" s="156" t="n"/>
    </row>
    <row r="347" ht="18.75" customHeight="1" s="153">
      <c r="A347" s="227" t="n"/>
      <c r="B347" s="228" t="inlineStr">
        <is>
          <t>ANGEL</t>
        </is>
      </c>
      <c r="C347" s="229" t="n">
        <v>1</v>
      </c>
      <c r="D347" s="229" t="n"/>
      <c r="E347" s="229" t="n"/>
      <c r="F347" s="230" t="n"/>
      <c r="G347" s="230" t="n"/>
      <c r="H347" s="231" t="n">
        <v>17000</v>
      </c>
      <c r="I347" s="232" t="n">
        <v>17000</v>
      </c>
      <c r="J347" s="232" t="n"/>
      <c r="K347" s="233" t="n"/>
      <c r="L347" s="233">
        <f>IF(K347&lt;&gt;"",2000+K347,2000)</f>
        <v/>
      </c>
      <c r="M347" s="156" t="n"/>
      <c r="N347" s="156" t="n"/>
      <c r="O347" s="156" t="n"/>
    </row>
    <row r="348" ht="18.75" customHeight="1" s="153">
      <c r="A348" s="237" t="n"/>
      <c r="B348" s="238" t="inlineStr">
        <is>
          <t>ALMOMACID 4615</t>
        </is>
      </c>
      <c r="C348" s="239" t="n"/>
      <c r="D348" s="239" t="n">
        <v>1</v>
      </c>
      <c r="E348" s="239" t="n"/>
      <c r="F348" s="240" t="n"/>
      <c r="G348" s="240" t="n"/>
      <c r="H348" s="241" t="n">
        <v>37500</v>
      </c>
      <c r="I348" s="242" t="n"/>
      <c r="J348" s="242" t="n">
        <v>37500</v>
      </c>
      <c r="K348" s="233" t="n"/>
      <c r="L348" s="233">
        <f>IF(K348&lt;&gt;"",15000+K348,15000)</f>
        <v/>
      </c>
      <c r="M348" s="156" t="n"/>
      <c r="N348" s="156" t="n"/>
      <c r="O348" s="156" t="n"/>
    </row>
    <row r="349" ht="18.75" customHeight="1" s="153">
      <c r="A349" s="227" t="n"/>
      <c r="B349" s="228" t="inlineStr">
        <is>
          <t>DANA</t>
        </is>
      </c>
      <c r="C349" s="229" t="n">
        <v>4</v>
      </c>
      <c r="D349" s="229" t="n"/>
      <c r="E349" s="229" t="n"/>
      <c r="F349" s="230" t="n"/>
      <c r="G349" s="230" t="n"/>
      <c r="H349" s="231" t="n">
        <v>68000</v>
      </c>
      <c r="I349" s="232" t="n"/>
      <c r="J349" s="232" t="n">
        <v>68000</v>
      </c>
      <c r="K349" s="233" t="n"/>
      <c r="L349" s="233">
        <f>IF(K349&lt;&gt;"",8000+K349,8000)</f>
        <v/>
      </c>
      <c r="M349" s="156" t="n"/>
      <c r="N349" s="156" t="n"/>
      <c r="O349" s="156" t="n"/>
    </row>
    <row r="350" ht="18.75" customHeight="1" s="153">
      <c r="A350" s="237" t="n">
        <v>46107</v>
      </c>
      <c r="B350" s="238" t="inlineStr">
        <is>
          <t>ECUADOR 3735</t>
        </is>
      </c>
      <c r="C350" s="239" t="n">
        <v>1</v>
      </c>
      <c r="D350" s="239" t="n"/>
      <c r="E350" s="239" t="n"/>
      <c r="F350" s="240" t="n"/>
      <c r="G350" s="240" t="n"/>
      <c r="H350" s="241" t="n">
        <v>24500</v>
      </c>
      <c r="I350" s="242" t="n"/>
      <c r="J350" s="242" t="n">
        <v>24500</v>
      </c>
      <c r="K350" s="233" t="n"/>
      <c r="L350" s="233">
        <f>IF(K350&lt;&gt;"",9500+K350,9500)</f>
        <v/>
      </c>
      <c r="M350" s="156" t="n"/>
      <c r="N350" s="156" t="n"/>
      <c r="O350" s="156" t="n"/>
    </row>
    <row r="351" ht="18.75" customHeight="1" s="153">
      <c r="A351" s="227" t="n"/>
      <c r="B351" s="228" t="inlineStr">
        <is>
          <t>BERUTI 3850</t>
        </is>
      </c>
      <c r="C351" s="229" t="n">
        <v>1</v>
      </c>
      <c r="D351" s="229" t="n"/>
      <c r="E351" s="229" t="n">
        <v>1</v>
      </c>
      <c r="F351" s="230" t="n"/>
      <c r="G351" s="230" t="n"/>
      <c r="H351" s="231" t="n">
        <v>91500</v>
      </c>
      <c r="I351" s="232" t="n"/>
      <c r="J351" s="232" t="n">
        <v>91500</v>
      </c>
      <c r="K351" s="233" t="n"/>
      <c r="L351" s="233">
        <f>IF(K351&lt;&gt;"",16500+K351,16500)</f>
        <v/>
      </c>
      <c r="M351" s="156" t="n"/>
      <c r="N351" s="156" t="n"/>
      <c r="O351" s="156" t="n"/>
    </row>
    <row r="352" ht="18.75" customHeight="1" s="153">
      <c r="A352" s="237" t="n"/>
      <c r="B352" s="238" t="inlineStr">
        <is>
          <t>PANA FIGUEROA</t>
        </is>
      </c>
      <c r="C352" s="239" t="n"/>
      <c r="D352" s="239" t="n"/>
      <c r="E352" s="239" t="n">
        <v>1</v>
      </c>
      <c r="F352" s="240" t="n"/>
      <c r="G352" s="240" t="n"/>
      <c r="H352" s="241" t="n">
        <v>70000</v>
      </c>
      <c r="I352" s="242" t="n">
        <v>40000</v>
      </c>
      <c r="J352" s="242" t="n">
        <v>30000</v>
      </c>
      <c r="K352" s="233" t="n"/>
      <c r="L352" s="233">
        <f>IF(K352&lt;&gt;"",10000+K352,10000)</f>
        <v/>
      </c>
      <c r="M352" s="156" t="n"/>
      <c r="N352" s="156" t="n"/>
      <c r="O352" s="156" t="n"/>
    </row>
    <row r="353" ht="18.75" customHeight="1" s="153">
      <c r="A353" s="227" t="n"/>
      <c r="B353" s="228" t="inlineStr">
        <is>
          <t>GABOTO 7320</t>
        </is>
      </c>
      <c r="C353" s="229" t="n">
        <v>1</v>
      </c>
      <c r="D353" s="229" t="n"/>
      <c r="E353" s="229" t="n">
        <v>1</v>
      </c>
      <c r="F353" s="230" t="n"/>
      <c r="G353" s="230" t="n"/>
      <c r="H353" s="231" t="n">
        <v>105000</v>
      </c>
      <c r="I353" s="232" t="n">
        <v>105000</v>
      </c>
      <c r="J353" s="232" t="n"/>
      <c r="K353" s="233" t="n"/>
      <c r="L353" s="233">
        <f>IF(K353&lt;&gt;"",30000+K353,30000)</f>
        <v/>
      </c>
      <c r="M353" s="156" t="n"/>
      <c r="N353" s="156" t="n"/>
      <c r="O353" s="156" t="n"/>
    </row>
    <row r="354" ht="18.75" customHeight="1" s="153">
      <c r="A354" s="237" t="n"/>
      <c r="B354" s="238" t="inlineStr">
        <is>
          <t>AZCUENAGA 5023</t>
        </is>
      </c>
      <c r="C354" s="239" t="n">
        <v>4</v>
      </c>
      <c r="D354" s="239" t="n"/>
      <c r="E354" s="239" t="n"/>
      <c r="F354" s="240" t="n"/>
      <c r="G354" s="240" t="n"/>
      <c r="H354" s="241" t="n">
        <v>68000</v>
      </c>
      <c r="I354" s="242" t="n"/>
      <c r="J354" s="242" t="n">
        <v>68000</v>
      </c>
      <c r="K354" s="233" t="n"/>
      <c r="L354" s="233">
        <f>IF(K354&lt;&gt;"",8000+K354,8000)</f>
        <v/>
      </c>
      <c r="M354" s="156" t="n"/>
      <c r="N354" s="156" t="n"/>
      <c r="O354" s="156" t="n"/>
    </row>
    <row r="355" ht="15.75" customHeight="1" s="153">
      <c r="A355" s="227" t="n"/>
      <c r="B355" s="228" t="inlineStr">
        <is>
          <t>ESMERALDA 2376</t>
        </is>
      </c>
      <c r="C355" s="229" t="n"/>
      <c r="D355" s="229" t="n"/>
      <c r="E355" s="229" t="n">
        <v>1</v>
      </c>
      <c r="F355" s="230" t="n"/>
      <c r="G355" s="230" t="n"/>
      <c r="H355" s="257" t="n">
        <v>80000</v>
      </c>
      <c r="I355" s="258" t="n"/>
      <c r="J355" s="258" t="n">
        <v>80000</v>
      </c>
      <c r="K355" s="233" t="n"/>
      <c r="L355" s="233">
        <f>IF(K355&lt;&gt;"",20000+K355,20000)</f>
        <v/>
      </c>
      <c r="M355" s="156" t="n"/>
      <c r="N355" s="156" t="n"/>
      <c r="O355" s="156" t="n"/>
    </row>
    <row r="356" ht="15.75" customHeight="1" s="153">
      <c r="A356" s="237" t="n"/>
      <c r="B356" s="238" t="inlineStr">
        <is>
          <t>CHICLANA 7325</t>
        </is>
      </c>
      <c r="C356" s="239" t="n">
        <v>1</v>
      </c>
      <c r="D356" s="239" t="n"/>
      <c r="E356" s="239" t="n"/>
      <c r="F356" s="240" t="n"/>
      <c r="G356" s="240" t="n"/>
      <c r="H356" s="259" t="n">
        <v>19000</v>
      </c>
      <c r="I356" s="260" t="n"/>
      <c r="J356" s="260" t="n">
        <v>19000</v>
      </c>
      <c r="K356" s="233" t="n"/>
      <c r="L356" s="233">
        <f>IF(K356&lt;&gt;"",4000+K356,4000)</f>
        <v/>
      </c>
      <c r="M356" s="156" t="n"/>
      <c r="N356" s="156" t="n"/>
      <c r="O356" s="156" t="n"/>
    </row>
    <row r="357" ht="15.75" customHeight="1" s="153">
      <c r="A357" s="227" t="n"/>
      <c r="B357" s="228" t="inlineStr">
        <is>
          <t>PEDRO ESPINOSA 5609</t>
        </is>
      </c>
      <c r="C357" s="229" t="n">
        <v>1</v>
      </c>
      <c r="D357" s="229" t="n"/>
      <c r="E357" s="229" t="n"/>
      <c r="F357" s="230" t="n"/>
      <c r="G357" s="230" t="n"/>
      <c r="H357" s="257" t="n">
        <v>25000</v>
      </c>
      <c r="I357" s="258" t="n">
        <v>25000</v>
      </c>
      <c r="J357" s="258" t="n"/>
      <c r="K357" s="233" t="n"/>
      <c r="L357" s="233">
        <f>IF(K357&lt;&gt;"",10000+K357,10000)</f>
        <v/>
      </c>
      <c r="M357" s="156" t="n"/>
      <c r="N357" s="156" t="n"/>
      <c r="O357" s="156" t="n"/>
    </row>
    <row r="358" ht="15.75" customHeight="1" s="153">
      <c r="A358" s="237" t="n"/>
      <c r="B358" s="238" t="inlineStr">
        <is>
          <t>ESTANISLAO ZEBALLOS 5278</t>
        </is>
      </c>
      <c r="C358" s="239" t="n"/>
      <c r="D358" s="239" t="n"/>
      <c r="E358" s="239" t="n">
        <v>1</v>
      </c>
      <c r="F358" s="240" t="n"/>
      <c r="G358" s="240" t="n"/>
      <c r="H358" s="259" t="n">
        <v>80000</v>
      </c>
      <c r="I358" s="260" t="n">
        <v>80000</v>
      </c>
      <c r="J358" s="260" t="n"/>
      <c r="K358" s="233" t="n"/>
      <c r="L358" s="233">
        <f>IF(K358&lt;&gt;"",20000+K358,20000)</f>
        <v/>
      </c>
      <c r="M358" s="156" t="n"/>
      <c r="N358" s="156" t="n"/>
      <c r="O358" s="156" t="n"/>
    </row>
    <row r="359" ht="15.75" customHeight="1" s="153">
      <c r="A359" s="227" t="n"/>
      <c r="B359" s="228" t="inlineStr">
        <is>
          <t>AGUAYO 3617</t>
        </is>
      </c>
      <c r="C359" s="229" t="n">
        <v>1</v>
      </c>
      <c r="D359" s="229" t="n"/>
      <c r="E359" s="229" t="n"/>
      <c r="F359" s="230" t="n"/>
      <c r="G359" s="230" t="n"/>
      <c r="H359" s="257" t="n">
        <v>25000</v>
      </c>
      <c r="I359" s="258" t="n">
        <v>25000</v>
      </c>
      <c r="J359" s="258" t="n"/>
      <c r="K359" s="233" t="n"/>
      <c r="L359" s="233">
        <f>IF(K359&lt;&gt;"",10000+K359,10000)</f>
        <v/>
      </c>
      <c r="M359" s="156" t="n"/>
      <c r="N359" s="156" t="n"/>
      <c r="O359" s="156" t="n"/>
    </row>
    <row r="360" ht="15.75" customHeight="1" s="153">
      <c r="A360" s="237" t="n"/>
      <c r="B360" s="238" t="inlineStr">
        <is>
          <t>SABOREAR</t>
        </is>
      </c>
      <c r="C360" s="239" t="n"/>
      <c r="D360" s="239" t="n">
        <v>1</v>
      </c>
      <c r="E360" s="239" t="n"/>
      <c r="F360" s="240" t="n"/>
      <c r="G360" s="240" t="n"/>
      <c r="H360" s="259" t="n">
        <v>31500</v>
      </c>
      <c r="I360" s="260" t="n"/>
      <c r="J360" s="260" t="n">
        <v>31500</v>
      </c>
      <c r="K360" s="233" t="n"/>
      <c r="L360" s="233">
        <f>IF(K360&lt;&gt;"",9000+K360,9000)</f>
        <v/>
      </c>
      <c r="M360" s="156" t="n"/>
      <c r="N360" s="156" t="n"/>
      <c r="O360" s="156" t="n"/>
    </row>
    <row r="361" ht="15.75" customHeight="1" s="153">
      <c r="A361" s="227" t="n">
        <v>46108</v>
      </c>
      <c r="B361" s="228" t="inlineStr">
        <is>
          <t>ANGEL</t>
        </is>
      </c>
      <c r="C361" s="229" t="n">
        <v>1</v>
      </c>
      <c r="D361" s="229" t="n"/>
      <c r="E361" s="229" t="n"/>
      <c r="F361" s="230" t="n"/>
      <c r="G361" s="230" t="n"/>
      <c r="H361" s="257" t="n">
        <v>17000</v>
      </c>
      <c r="I361" s="258" t="n">
        <v>17000</v>
      </c>
      <c r="J361" s="258" t="n"/>
      <c r="K361" s="233" t="n"/>
      <c r="L361" s="233">
        <f>IF(K361&lt;&gt;"",2000+K361,2000)</f>
        <v/>
      </c>
      <c r="M361" s="156" t="n"/>
      <c r="N361" s="156" t="n"/>
      <c r="O361" s="156" t="n"/>
    </row>
    <row r="362" ht="15.75" customHeight="1" s="153">
      <c r="A362" s="237" t="n"/>
      <c r="B362" s="238" t="inlineStr">
        <is>
          <t>CINDI</t>
        </is>
      </c>
      <c r="C362" s="239" t="n"/>
      <c r="D362" s="239" t="n"/>
      <c r="E362" s="239" t="n"/>
      <c r="F362" s="240" t="n">
        <v>2</v>
      </c>
      <c r="G362" s="240" t="n"/>
      <c r="H362" s="259" t="n">
        <v>7000</v>
      </c>
      <c r="I362" s="260" t="n"/>
      <c r="J362" s="260" t="n">
        <v>7000</v>
      </c>
      <c r="K362" s="233" t="n"/>
      <c r="L362" s="233">
        <f>IF(K362&lt;&gt;"",2400+K362,2400)</f>
        <v/>
      </c>
      <c r="M362" s="156" t="n"/>
      <c r="N362" s="156" t="n"/>
      <c r="O362" s="156" t="n"/>
    </row>
    <row r="363" ht="15.75" customHeight="1" s="153">
      <c r="A363" s="227" t="n"/>
      <c r="B363" s="228" t="inlineStr">
        <is>
          <t>JORGE VIANDA</t>
        </is>
      </c>
      <c r="C363" s="229" t="n">
        <v>1</v>
      </c>
      <c r="D363" s="229" t="n"/>
      <c r="E363" s="229" t="n"/>
      <c r="F363" s="230" t="n"/>
      <c r="G363" s="230" t="n"/>
      <c r="H363" s="257" t="n">
        <v>20000</v>
      </c>
      <c r="I363" s="258" t="n">
        <v>20000</v>
      </c>
      <c r="J363" s="258" t="n"/>
      <c r="K363" s="233" t="n"/>
      <c r="L363" s="233">
        <f>IF(K363&lt;&gt;"",5000+K363,5000)</f>
        <v/>
      </c>
      <c r="M363" s="156" t="n"/>
      <c r="N363" s="156" t="n"/>
      <c r="O363" s="156" t="n"/>
    </row>
    <row r="364" ht="15.75" customHeight="1" s="153">
      <c r="A364" s="237" t="n"/>
      <c r="B364" s="238" t="inlineStr">
        <is>
          <t>LUCHO</t>
        </is>
      </c>
      <c r="C364" s="239" t="n">
        <v>2</v>
      </c>
      <c r="D364" s="239" t="n"/>
      <c r="E364" s="239" t="n"/>
      <c r="F364" s="240" t="n"/>
      <c r="G364" s="240" t="n"/>
      <c r="H364" s="259" t="n">
        <v>34000</v>
      </c>
      <c r="I364" s="260" t="n"/>
      <c r="J364" s="260" t="n">
        <v>34000</v>
      </c>
      <c r="K364" s="233" t="n"/>
      <c r="L364" s="233">
        <f>IF(K364&lt;&gt;"",4000+K364,4000)</f>
        <v/>
      </c>
      <c r="M364" s="156" t="n"/>
      <c r="N364" s="156" t="n"/>
      <c r="O364" s="156" t="n"/>
    </row>
    <row r="365" ht="15.75" customHeight="1" s="153">
      <c r="A365" s="227" t="n"/>
      <c r="B365" s="228" t="inlineStr">
        <is>
          <t>PASAJE RODRIGUEZ 4461</t>
        </is>
      </c>
      <c r="C365" s="229" t="n"/>
      <c r="D365" s="229" t="n">
        <v>1</v>
      </c>
      <c r="E365" s="229" t="n"/>
      <c r="F365" s="230" t="n"/>
      <c r="G365" s="230" t="n"/>
      <c r="H365" s="257" t="n">
        <v>37500</v>
      </c>
      <c r="I365" s="258" t="n"/>
      <c r="J365" s="258" t="n">
        <v>37500</v>
      </c>
      <c r="K365" s="233" t="n"/>
      <c r="L365" s="233">
        <f>IF(K365&lt;&gt;"",15000+K365,15000)</f>
        <v/>
      </c>
      <c r="M365" s="156" t="n"/>
      <c r="N365" s="156" t="n"/>
      <c r="O365" s="156" t="n"/>
    </row>
    <row r="366" ht="15.75" customHeight="1" s="153">
      <c r="A366" s="237" t="n"/>
      <c r="B366" s="238" t="inlineStr">
        <is>
          <t>ARISTOBULO 5401</t>
        </is>
      </c>
      <c r="C366" s="239" t="n"/>
      <c r="D366" s="239" t="n">
        <v>1</v>
      </c>
      <c r="E366" s="239" t="n"/>
      <c r="F366" s="240" t="n"/>
      <c r="G366" s="240" t="n"/>
      <c r="H366" s="259" t="n">
        <v>27000</v>
      </c>
      <c r="I366" s="260" t="n">
        <v>27000</v>
      </c>
      <c r="J366" s="260" t="n"/>
      <c r="K366" s="233" t="n"/>
      <c r="L366" s="233">
        <f>IF(K366&lt;&gt;"",4500+K366,4500)</f>
        <v/>
      </c>
      <c r="M366" s="156" t="n"/>
      <c r="N366" s="156" t="n"/>
      <c r="O366" s="156" t="n"/>
    </row>
    <row r="367" ht="15.75" customHeight="1" s="153">
      <c r="A367" s="227" t="n"/>
      <c r="B367" s="228" t="inlineStr">
        <is>
          <t>12 INFANTERIA 3982</t>
        </is>
      </c>
      <c r="C367" s="229" t="n"/>
      <c r="D367" s="229" t="n"/>
      <c r="E367" s="229" t="n">
        <v>1</v>
      </c>
      <c r="F367" s="230" t="n"/>
      <c r="G367" s="230" t="n"/>
      <c r="H367" s="257" t="n">
        <v>80000</v>
      </c>
      <c r="I367" s="258" t="n"/>
      <c r="J367" s="258" t="n">
        <v>80000</v>
      </c>
      <c r="K367" s="233" t="n"/>
      <c r="L367" s="233">
        <f>IF(K367&lt;&gt;"",20000+K367,20000)</f>
        <v/>
      </c>
      <c r="M367" s="156" t="n"/>
      <c r="N367" s="156" t="n"/>
      <c r="O367" s="156" t="n"/>
    </row>
    <row r="368" ht="15.75" customHeight="1" s="153">
      <c r="A368" s="237" t="n"/>
      <c r="B368" s="238" t="inlineStr">
        <is>
          <t>FORMOSA 5746</t>
        </is>
      </c>
      <c r="C368" s="239" t="n">
        <v>1</v>
      </c>
      <c r="D368" s="239" t="n"/>
      <c r="E368" s="239" t="n"/>
      <c r="F368" s="240" t="n"/>
      <c r="G368" s="240" t="n"/>
      <c r="H368" s="259" t="n">
        <v>23500</v>
      </c>
      <c r="I368" s="260" t="n">
        <v>23500</v>
      </c>
      <c r="J368" s="260" t="n"/>
      <c r="K368" s="233" t="n"/>
      <c r="L368" s="233">
        <f>IF(K368&lt;&gt;"",8500+K368,8500)</f>
        <v/>
      </c>
      <c r="M368" s="156" t="n"/>
      <c r="N368" s="156" t="n"/>
      <c r="O368" s="156" t="n"/>
    </row>
    <row r="369" ht="15.75" customHeight="1" s="153">
      <c r="A369" s="227" t="n"/>
      <c r="B369" s="228" t="inlineStr">
        <is>
          <t>9 DE JULIO 1144</t>
        </is>
      </c>
      <c r="C369" s="229" t="n"/>
      <c r="D369" s="229" t="n"/>
      <c r="E369" s="229" t="n">
        <v>2</v>
      </c>
      <c r="F369" s="230" t="n"/>
      <c r="G369" s="230" t="n"/>
      <c r="H369" s="257" t="n">
        <v>172000</v>
      </c>
      <c r="I369" s="258" t="n"/>
      <c r="J369" s="258" t="n">
        <v>172000</v>
      </c>
      <c r="K369" s="233" t="n"/>
      <c r="L369" s="233">
        <f>IF(K369&lt;&gt;"",52000+K369,52000)</f>
        <v/>
      </c>
      <c r="M369" s="156" t="n"/>
      <c r="N369" s="156" t="n"/>
      <c r="O369" s="156" t="n"/>
    </row>
    <row r="370" ht="15.75" customHeight="1" s="153">
      <c r="A370" s="237" t="n"/>
      <c r="B370" s="238" t="inlineStr">
        <is>
          <t>ROTI VIEYTES</t>
        </is>
      </c>
      <c r="C370" s="239" t="n"/>
      <c r="D370" s="239" t="n">
        <v>1</v>
      </c>
      <c r="E370" s="239" t="n"/>
      <c r="F370" s="240" t="n"/>
      <c r="G370" s="240" t="n"/>
      <c r="H370" s="259" t="n">
        <v>25000</v>
      </c>
      <c r="I370" s="260" t="n"/>
      <c r="J370" s="260" t="n">
        <v>25000</v>
      </c>
      <c r="K370" s="233" t="n"/>
      <c r="L370" s="233">
        <f>IF(K370&lt;&gt;"",2500+K370,2500)</f>
        <v/>
      </c>
      <c r="M370" s="156" t="n"/>
      <c r="N370" s="156" t="n"/>
      <c r="O370" s="156" t="n"/>
    </row>
    <row r="371" ht="15.75" customHeight="1" s="153">
      <c r="A371" s="227" t="n"/>
      <c r="B371" s="228" t="inlineStr">
        <is>
          <t>ALE</t>
        </is>
      </c>
      <c r="C371" s="229" t="n"/>
      <c r="D371" s="229" t="n"/>
      <c r="E371" s="229" t="n"/>
      <c r="F371" s="230" t="n"/>
      <c r="G371" s="230" t="n">
        <v>1</v>
      </c>
      <c r="H371" s="257" t="n">
        <v>5500</v>
      </c>
      <c r="I371" s="258" t="n">
        <v>5500</v>
      </c>
      <c r="J371" s="258" t="n"/>
      <c r="K371" s="233" t="n"/>
      <c r="L371" s="233">
        <f>IF(K371&lt;&gt;"",4650+K371,4650)</f>
        <v/>
      </c>
      <c r="M371" s="156" t="n"/>
      <c r="N371" s="156" t="n"/>
      <c r="O371" s="156" t="n"/>
    </row>
    <row r="372" ht="15.75" customHeight="1" s="153">
      <c r="A372" s="237" t="n"/>
      <c r="B372" s="238" t="inlineStr">
        <is>
          <t>CAREN</t>
        </is>
      </c>
      <c r="C372" s="239" t="n"/>
      <c r="D372" s="239" t="n"/>
      <c r="E372" s="239" t="n">
        <v>1</v>
      </c>
      <c r="F372" s="240" t="n"/>
      <c r="G372" s="240" t="n"/>
      <c r="H372" s="259" t="n">
        <v>77000</v>
      </c>
      <c r="I372" s="260" t="n"/>
      <c r="J372" s="260" t="n">
        <v>77000</v>
      </c>
      <c r="K372" s="233" t="n"/>
      <c r="L372" s="233">
        <f>IF(K372&lt;&gt;"",17000+K372,17000)</f>
        <v/>
      </c>
      <c r="M372" s="156" t="n"/>
      <c r="N372" s="156" t="n"/>
      <c r="O372" s="156" t="n"/>
    </row>
    <row r="373" ht="15.75" customHeight="1" s="153">
      <c r="A373" s="227" t="n"/>
      <c r="B373" s="228" t="inlineStr">
        <is>
          <t>SABOREAR</t>
        </is>
      </c>
      <c r="C373" s="229" t="n"/>
      <c r="D373" s="229" t="n"/>
      <c r="E373" s="229" t="n">
        <v>1</v>
      </c>
      <c r="F373" s="230" t="n"/>
      <c r="G373" s="230" t="n"/>
      <c r="H373" s="257" t="n">
        <v>77000</v>
      </c>
      <c r="I373" s="258" t="n"/>
      <c r="J373" s="258" t="n">
        <v>77000</v>
      </c>
      <c r="K373" s="233" t="n"/>
      <c r="L373" s="233">
        <f>IF(K373&lt;&gt;"",17000+K373,17000)</f>
        <v/>
      </c>
      <c r="M373" s="156" t="n"/>
      <c r="N373" s="156" t="n"/>
      <c r="O373" s="156" t="n"/>
    </row>
    <row r="374" ht="15.75" customHeight="1" s="153">
      <c r="A374" s="237" t="n"/>
      <c r="B374" s="238" t="inlineStr">
        <is>
          <t>TACUARI 5717</t>
        </is>
      </c>
      <c r="C374" s="239" t="n">
        <v>1</v>
      </c>
      <c r="D374" s="239" t="n"/>
      <c r="E374" s="239" t="n"/>
      <c r="F374" s="240" t="n"/>
      <c r="G374" s="240" t="n"/>
      <c r="H374" s="259" t="n">
        <v>23000</v>
      </c>
      <c r="I374" s="260" t="n"/>
      <c r="J374" s="260" t="n">
        <v>23000</v>
      </c>
      <c r="K374" s="233" t="n"/>
      <c r="L374" s="233">
        <f>IF(K374&lt;&gt;"",8000+K374,8000)</f>
        <v/>
      </c>
      <c r="M374" s="156" t="n"/>
      <c r="N374" s="156" t="n"/>
      <c r="O374" s="156" t="n"/>
    </row>
    <row r="375" ht="15.75" customHeight="1" s="153">
      <c r="A375" s="227" t="n"/>
      <c r="B375" s="228" t="inlineStr">
        <is>
          <t>FILOMENA</t>
        </is>
      </c>
      <c r="C375" s="229" t="n">
        <v>2</v>
      </c>
      <c r="D375" s="229" t="n"/>
      <c r="E375" s="229" t="n"/>
      <c r="F375" s="230" t="n"/>
      <c r="G375" s="230" t="n"/>
      <c r="H375" s="257" t="n">
        <v>41000</v>
      </c>
      <c r="I375" s="258" t="n"/>
      <c r="J375" s="258" t="n">
        <v>41000</v>
      </c>
      <c r="K375" s="233" t="n"/>
      <c r="L375" s="233">
        <f>IF(K375&lt;&gt;"",11000+K375,11000)</f>
        <v/>
      </c>
      <c r="M375" s="156" t="n"/>
      <c r="N375" s="156" t="n"/>
      <c r="O375" s="156" t="n"/>
    </row>
    <row r="376" ht="15.75" customHeight="1" s="153">
      <c r="A376" s="237" t="n"/>
      <c r="B376" s="238" t="inlineStr">
        <is>
          <t>VIEYTES 4361</t>
        </is>
      </c>
      <c r="C376" s="239" t="n">
        <v>2</v>
      </c>
      <c r="D376" s="239" t="n"/>
      <c r="E376" s="239" t="n"/>
      <c r="F376" s="240" t="n"/>
      <c r="G376" s="240" t="n"/>
      <c r="H376" s="259" t="n">
        <v>50000</v>
      </c>
      <c r="I376" s="260" t="n"/>
      <c r="J376" s="260" t="n"/>
      <c r="K376" s="233" t="n"/>
      <c r="L376" s="233">
        <f>IF(K376&lt;&gt;"",20000+K376,20000)</f>
        <v/>
      </c>
      <c r="M376" s="156" t="n"/>
      <c r="N376" s="156" t="n"/>
      <c r="O376" s="156" t="n"/>
    </row>
    <row r="377" ht="15.75" customHeight="1" s="153">
      <c r="A377" s="227" t="n">
        <v>46109</v>
      </c>
      <c r="B377" s="228" t="inlineStr">
        <is>
          <t>PANA ALBERTI</t>
        </is>
      </c>
      <c r="C377" s="229" t="n"/>
      <c r="D377" s="229" t="n"/>
      <c r="E377" s="229" t="n">
        <v>1</v>
      </c>
      <c r="F377" s="230" t="n"/>
      <c r="G377" s="230" t="n"/>
      <c r="H377" s="257" t="n">
        <v>77000</v>
      </c>
      <c r="I377" s="258" t="n">
        <v>77000</v>
      </c>
      <c r="J377" s="258" t="n"/>
      <c r="K377" s="233" t="n"/>
      <c r="L377" s="233">
        <f>IF(K377&lt;&gt;"",17000+K377,17000)</f>
        <v/>
      </c>
      <c r="M377" s="156" t="n"/>
      <c r="N377" s="156" t="n"/>
      <c r="O377" s="156" t="n"/>
    </row>
    <row r="378" ht="15.75" customHeight="1" s="153">
      <c r="A378" s="237" t="n"/>
      <c r="B378" s="238" t="inlineStr">
        <is>
          <t>PANA GORRITI 4600</t>
        </is>
      </c>
      <c r="C378" s="239" t="n"/>
      <c r="D378" s="239" t="n"/>
      <c r="E378" s="239" t="n">
        <v>1</v>
      </c>
      <c r="F378" s="240" t="n"/>
      <c r="G378" s="240" t="n"/>
      <c r="H378" s="259" t="n">
        <v>79000</v>
      </c>
      <c r="I378" s="260" t="n">
        <v>79000</v>
      </c>
      <c r="J378" s="260" t="n"/>
      <c r="K378" s="233" t="n"/>
      <c r="L378" s="233">
        <f>IF(K378&lt;&gt;"",19000+K378,19000)</f>
        <v/>
      </c>
      <c r="M378" s="156" t="n"/>
      <c r="N378" s="156" t="n"/>
      <c r="O378" s="156" t="n"/>
    </row>
    <row r="379" ht="15.75" customHeight="1" s="153">
      <c r="A379" s="227" t="n"/>
      <c r="B379" s="228" t="inlineStr">
        <is>
          <t>BRASERIA</t>
        </is>
      </c>
      <c r="C379" s="229" t="n"/>
      <c r="D379" s="229" t="n"/>
      <c r="E379" s="229" t="n">
        <v>1</v>
      </c>
      <c r="F379" s="230" t="n"/>
      <c r="G379" s="230" t="n"/>
      <c r="H379" s="257" t="n">
        <v>78000</v>
      </c>
      <c r="I379" s="258" t="n"/>
      <c r="J379" s="258" t="n">
        <v>78000</v>
      </c>
      <c r="K379" s="233" t="n"/>
      <c r="L379" s="233">
        <f>IF(K379&lt;&gt;"",18000+K379,18000)</f>
        <v/>
      </c>
      <c r="M379" s="156" t="n"/>
      <c r="N379" s="156" t="n"/>
      <c r="O379" s="156" t="n"/>
    </row>
    <row r="380" ht="15.75" customHeight="1" s="153">
      <c r="A380" s="237" t="n"/>
      <c r="B380" s="238" t="inlineStr">
        <is>
          <t>AZCUENAGA 5023</t>
        </is>
      </c>
      <c r="C380" s="239" t="n">
        <v>2</v>
      </c>
      <c r="D380" s="239" t="n">
        <v>1</v>
      </c>
      <c r="E380" s="239" t="n"/>
      <c r="F380" s="240" t="n"/>
      <c r="G380" s="240" t="n"/>
      <c r="H380" s="259" t="n">
        <v>59500</v>
      </c>
      <c r="I380" s="260" t="n"/>
      <c r="J380" s="260" t="n"/>
      <c r="K380" s="233" t="n"/>
      <c r="L380" s="233">
        <f>IF(K380&lt;&gt;"",7000+K380,7000)</f>
        <v/>
      </c>
      <c r="M380" s="156" t="n"/>
      <c r="N380" s="156" t="n"/>
      <c r="O380" s="156" t="n"/>
    </row>
    <row r="381" ht="15.75" customHeight="1" s="153">
      <c r="A381" s="227" t="n"/>
      <c r="B381" s="228" t="inlineStr">
        <is>
          <t>VIANDAS JORGE</t>
        </is>
      </c>
      <c r="C381" s="229" t="n">
        <v>1</v>
      </c>
      <c r="D381" s="229" t="n"/>
      <c r="E381" s="229" t="n"/>
      <c r="F381" s="230" t="n"/>
      <c r="G381" s="230" t="n"/>
      <c r="H381" s="257" t="n">
        <v>20000</v>
      </c>
      <c r="I381" s="258" t="n">
        <v>20000</v>
      </c>
      <c r="J381" s="258" t="n"/>
      <c r="K381" s="233" t="n"/>
      <c r="L381" s="233">
        <f>IF(K381&lt;&gt;"",5000+K381,5000)</f>
        <v/>
      </c>
      <c r="M381" s="156" t="n"/>
      <c r="N381" s="156" t="n"/>
      <c r="O381" s="156" t="n"/>
    </row>
    <row r="382" ht="15.75" customHeight="1" s="153">
      <c r="A382" s="237" t="n"/>
      <c r="B382" s="238" t="inlineStr">
        <is>
          <t>EXE</t>
        </is>
      </c>
      <c r="C382" s="239" t="n"/>
      <c r="D382" s="239" t="n"/>
      <c r="E382" s="239" t="n">
        <v>1</v>
      </c>
      <c r="F382" s="240" t="n"/>
      <c r="G382" s="240" t="n"/>
      <c r="H382" s="259" t="n">
        <v>77000</v>
      </c>
      <c r="I382" s="260" t="n"/>
      <c r="J382" s="260" t="n">
        <v>77000</v>
      </c>
      <c r="K382" s="233" t="n"/>
      <c r="L382" s="233">
        <f>IF(K382&lt;&gt;"",17000+K382,17000)</f>
        <v/>
      </c>
      <c r="M382" s="156" t="n"/>
      <c r="N382" s="156" t="n"/>
      <c r="O382" s="156" t="n"/>
    </row>
    <row r="383" ht="15.75" customHeight="1" s="153">
      <c r="A383" s="227" t="n"/>
      <c r="B383" s="228" t="inlineStr">
        <is>
          <t>PAULO</t>
        </is>
      </c>
      <c r="C383" s="229" t="n">
        <v>2</v>
      </c>
      <c r="D383" s="229" t="n"/>
      <c r="E383" s="229" t="n"/>
      <c r="F383" s="230" t="n"/>
      <c r="G383" s="230" t="n"/>
      <c r="H383" s="257" t="n">
        <v>33000</v>
      </c>
      <c r="I383" s="258" t="n">
        <v>33000</v>
      </c>
      <c r="J383" s="258" t="n"/>
      <c r="K383" s="233" t="n"/>
      <c r="L383" s="233">
        <f>IF(K383&lt;&gt;"",3000+K383,3000)</f>
        <v/>
      </c>
      <c r="M383" s="156" t="n"/>
      <c r="N383" s="156" t="n"/>
      <c r="O383" s="156" t="n"/>
    </row>
    <row r="384" ht="15.75" customHeight="1" s="153">
      <c r="A384" s="237" t="n"/>
      <c r="B384" s="238" t="inlineStr">
        <is>
          <t>NEUQUEN 2531</t>
        </is>
      </c>
      <c r="C384" s="239" t="n"/>
      <c r="D384" s="239" t="n"/>
      <c r="E384" s="239" t="n">
        <v>1</v>
      </c>
      <c r="F384" s="240" t="n"/>
      <c r="G384" s="240" t="n"/>
      <c r="H384" s="259" t="n">
        <v>82000</v>
      </c>
      <c r="I384" s="260" t="n"/>
      <c r="J384" s="260" t="n">
        <v>82000</v>
      </c>
      <c r="K384" s="233" t="n"/>
      <c r="L384" s="233">
        <f>IF(K384&lt;&gt;"",22000+K384,22000)</f>
        <v/>
      </c>
      <c r="M384" s="156" t="n"/>
      <c r="N384" s="156" t="n"/>
      <c r="O384" s="156" t="n"/>
    </row>
    <row r="385" ht="15.75" customHeight="1" s="153">
      <c r="A385" s="227" t="n"/>
      <c r="B385" s="228" t="inlineStr">
        <is>
          <t>TUYA ABUELA</t>
        </is>
      </c>
      <c r="C385" s="229" t="n"/>
      <c r="D385" s="229" t="n">
        <v>1</v>
      </c>
      <c r="E385" s="229" t="n"/>
      <c r="F385" s="230" t="n"/>
      <c r="G385" s="230" t="n"/>
      <c r="H385" s="257" t="n">
        <v>39000</v>
      </c>
      <c r="I385" s="258" t="n">
        <v>39000</v>
      </c>
      <c r="J385" s="258" t="n"/>
      <c r="K385" s="233" t="n"/>
      <c r="L385" s="233">
        <f>IF(K385&lt;&gt;"",16500+K385,16500)</f>
        <v/>
      </c>
      <c r="M385" s="156" t="n"/>
      <c r="N385" s="156" t="n"/>
      <c r="O385" s="156" t="n"/>
    </row>
    <row r="386" ht="15.75" customHeight="1" s="153">
      <c r="A386" s="237" t="n"/>
      <c r="B386" s="238" t="inlineStr">
        <is>
          <t>BERNARDO IRIGOYEN 6854</t>
        </is>
      </c>
      <c r="C386" s="239" t="n">
        <v>1</v>
      </c>
      <c r="D386" s="239" t="n"/>
      <c r="E386" s="239" t="n"/>
      <c r="F386" s="240" t="n"/>
      <c r="G386" s="240" t="n"/>
      <c r="H386" s="259" t="n">
        <v>23500</v>
      </c>
      <c r="I386" s="260" t="n">
        <v>23500</v>
      </c>
      <c r="J386" s="260" t="n"/>
      <c r="K386" s="233" t="n"/>
      <c r="L386" s="233">
        <f>IF(K386&lt;&gt;"",8500+K386,8500)</f>
        <v/>
      </c>
      <c r="M386" s="156" t="n"/>
      <c r="N386" s="156" t="n"/>
      <c r="O386" s="156" t="n"/>
    </row>
    <row r="387" ht="15.75" customHeight="1" s="153">
      <c r="A387" s="227" t="n"/>
      <c r="B387" s="228" t="inlineStr">
        <is>
          <t>SAN MARTIN 8515</t>
        </is>
      </c>
      <c r="C387" s="229" t="n"/>
      <c r="D387" s="229" t="n"/>
      <c r="E387" s="229" t="n">
        <v>1</v>
      </c>
      <c r="F387" s="230" t="n"/>
      <c r="G387" s="230" t="n"/>
      <c r="H387" s="257" t="n">
        <v>82000</v>
      </c>
      <c r="I387" s="258" t="n">
        <v>82000</v>
      </c>
      <c r="J387" s="258" t="n"/>
      <c r="K387" s="233" t="n"/>
      <c r="L387" s="233">
        <f>IF(K387&lt;&gt;"",22000+K387,22000)</f>
        <v/>
      </c>
      <c r="M387" s="156" t="n"/>
      <c r="N387" s="156" t="n"/>
      <c r="O387" s="156" t="n"/>
    </row>
    <row r="388" ht="15.75" customHeight="1" s="153">
      <c r="A388" s="237" t="n">
        <v>46110</v>
      </c>
      <c r="B388" s="238" t="inlineStr">
        <is>
          <t>PASTELERIA GLADYS</t>
        </is>
      </c>
      <c r="C388" s="239" t="n"/>
      <c r="D388" s="239" t="n"/>
      <c r="E388" s="239" t="n">
        <v>2</v>
      </c>
      <c r="F388" s="240" t="n"/>
      <c r="G388" s="240" t="n"/>
      <c r="H388" s="259" t="n">
        <v>140000</v>
      </c>
      <c r="I388" s="260" t="n">
        <v>140000</v>
      </c>
      <c r="J388" s="260" t="n"/>
      <c r="K388" s="233" t="n"/>
      <c r="L388" s="233">
        <f>IF(K388&lt;&gt;"",20000+K388,20000)</f>
        <v/>
      </c>
      <c r="M388" s="156" t="n"/>
      <c r="N388" s="156" t="n"/>
      <c r="O388" s="156" t="n"/>
    </row>
    <row r="389" ht="15.75" customHeight="1" s="153">
      <c r="A389" s="227" t="n"/>
      <c r="B389" s="228" t="inlineStr">
        <is>
          <t>PEDRO CENTENO</t>
        </is>
      </c>
      <c r="C389" s="229" t="n">
        <v>1</v>
      </c>
      <c r="D389" s="229" t="n"/>
      <c r="E389" s="229" t="n"/>
      <c r="F389" s="230" t="n"/>
      <c r="G389" s="230" t="n"/>
      <c r="H389" s="257" t="n">
        <v>27000</v>
      </c>
      <c r="I389" s="258" t="n">
        <v>27000</v>
      </c>
      <c r="J389" s="258" t="n"/>
      <c r="K389" s="233" t="n"/>
      <c r="L389" s="233">
        <f>IF(K389&lt;&gt;"",12000+K389,12000)</f>
        <v/>
      </c>
      <c r="M389" s="156" t="n"/>
      <c r="N389" s="156" t="n"/>
      <c r="O389" s="156" t="n"/>
    </row>
    <row r="390" ht="15.75" customHeight="1" s="153">
      <c r="A390" s="237" t="n"/>
      <c r="B390" s="238" t="inlineStr">
        <is>
          <t>PAULO</t>
        </is>
      </c>
      <c r="C390" s="239" t="n">
        <v>2</v>
      </c>
      <c r="D390" s="239" t="n"/>
      <c r="E390" s="239" t="n"/>
      <c r="F390" s="240" t="n"/>
      <c r="G390" s="240" t="n"/>
      <c r="H390" s="259" t="n">
        <v>33000</v>
      </c>
      <c r="I390" s="260" t="n">
        <v>33000</v>
      </c>
      <c r="J390" s="260" t="n"/>
      <c r="K390" s="233" t="n"/>
      <c r="L390" s="233">
        <f>IF(K390&lt;&gt;"",3000+K390,3000)</f>
        <v/>
      </c>
      <c r="M390" s="156" t="n"/>
      <c r="N390" s="156" t="n"/>
      <c r="O390" s="156" t="n"/>
    </row>
    <row r="391" ht="15.75" customHeight="1" s="153">
      <c r="A391" s="227" t="n"/>
      <c r="B391" s="228" t="inlineStr">
        <is>
          <t>DANA</t>
        </is>
      </c>
      <c r="C391" s="229" t="n">
        <v>3</v>
      </c>
      <c r="D391" s="229" t="n"/>
      <c r="E391" s="229" t="n"/>
      <c r="F391" s="230" t="n"/>
      <c r="G391" s="230" t="n"/>
      <c r="H391" s="257" t="n">
        <v>51000</v>
      </c>
      <c r="I391" s="258" t="n">
        <v>51000</v>
      </c>
      <c r="J391" s="258" t="n"/>
      <c r="K391" s="233" t="n"/>
      <c r="L391" s="233">
        <f>IF(K391&lt;&gt;"",6000+K391,6000)</f>
        <v/>
      </c>
      <c r="M391" s="156" t="n"/>
      <c r="N391" s="156" t="n"/>
      <c r="O391" s="156" t="n"/>
    </row>
    <row r="392" ht="15.75" customHeight="1" s="153">
      <c r="A392" s="237" t="n"/>
      <c r="B392" s="238" t="inlineStr">
        <is>
          <t>CHICLANA 7325</t>
        </is>
      </c>
      <c r="C392" s="239" t="n">
        <v>1</v>
      </c>
      <c r="D392" s="239" t="n"/>
      <c r="E392" s="239" t="n"/>
      <c r="F392" s="240" t="n"/>
      <c r="G392" s="240" t="n"/>
      <c r="H392" s="259" t="n">
        <v>17000</v>
      </c>
      <c r="I392" s="260" t="n">
        <v>17000</v>
      </c>
      <c r="J392" s="260" t="n"/>
      <c r="K392" s="233" t="n"/>
      <c r="L392" s="233">
        <f>IF(K392&lt;&gt;"",2000+K392,2000)</f>
        <v/>
      </c>
      <c r="M392" s="156" t="n"/>
      <c r="N392" s="156" t="n"/>
      <c r="O392" s="156" t="n"/>
    </row>
    <row r="393" ht="15.75" customHeight="1" s="153">
      <c r="A393" s="227" t="n"/>
      <c r="B393" s="228" t="inlineStr">
        <is>
          <t>ROTI AGUADO</t>
        </is>
      </c>
      <c r="C393" s="229" t="n">
        <v>1</v>
      </c>
      <c r="D393" s="229" t="n">
        <v>1</v>
      </c>
      <c r="E393" s="229" t="n"/>
      <c r="F393" s="230" t="n"/>
      <c r="G393" s="230" t="n"/>
      <c r="H393" s="257" t="n">
        <v>51500</v>
      </c>
      <c r="I393" s="258" t="n"/>
      <c r="J393" s="258" t="n">
        <v>51500</v>
      </c>
      <c r="K393" s="233" t="n"/>
      <c r="L393" s="233">
        <f>IF(K393&lt;&gt;"",14000+K393,14000)</f>
        <v/>
      </c>
      <c r="M393" s="156" t="n"/>
      <c r="N393" s="156" t="n"/>
      <c r="O393" s="156" t="n"/>
    </row>
    <row r="394" ht="15.75" customHeight="1" s="153">
      <c r="A394" s="237" t="n"/>
      <c r="B394" s="238" t="inlineStr">
        <is>
          <t>JUAN JOSE VALLE 5573</t>
        </is>
      </c>
      <c r="C394" s="239" t="n">
        <v>1</v>
      </c>
      <c r="D394" s="239" t="n"/>
      <c r="E394" s="239" t="n"/>
      <c r="F394" s="240" t="n"/>
      <c r="G394" s="240" t="n"/>
      <c r="H394" s="259" t="n">
        <v>27000</v>
      </c>
      <c r="I394" s="260" t="n">
        <v>27000</v>
      </c>
      <c r="J394" s="260" t="n"/>
      <c r="K394" s="233" t="n"/>
      <c r="L394" s="233">
        <f>IF(K394&lt;&gt;"",12000+K394,12000)</f>
        <v/>
      </c>
      <c r="M394" s="156" t="n"/>
      <c r="N394" s="156" t="n"/>
      <c r="O394" s="156" t="n"/>
    </row>
    <row r="395" ht="15.75" customHeight="1" s="153">
      <c r="A395" s="227" t="n"/>
      <c r="B395" s="228" t="inlineStr">
        <is>
          <t>MONSEÑOR RODRIGUEZ</t>
        </is>
      </c>
      <c r="C395" s="229" t="n">
        <v>1</v>
      </c>
      <c r="D395" s="229" t="n"/>
      <c r="E395" s="229" t="n"/>
      <c r="F395" s="230" t="n"/>
      <c r="G395" s="230" t="n"/>
      <c r="H395" s="257" t="n">
        <v>27000</v>
      </c>
      <c r="I395" s="258" t="n"/>
      <c r="J395" s="258" t="n">
        <v>27000</v>
      </c>
      <c r="K395" s="233" t="n"/>
      <c r="L395" s="233">
        <f>IF(K395&lt;&gt;"",12000+K395,12000)</f>
        <v/>
      </c>
      <c r="M395" s="156" t="n"/>
      <c r="N395" s="156" t="n"/>
      <c r="O395" s="156" t="n"/>
    </row>
    <row r="396" ht="15.75" customHeight="1" s="153">
      <c r="A396" s="237" t="n"/>
      <c r="B396" s="238" t="inlineStr">
        <is>
          <t>NOGALES 3419</t>
        </is>
      </c>
      <c r="C396" s="239" t="n"/>
      <c r="D396" s="239" t="n"/>
      <c r="E396" s="239" t="n">
        <v>1</v>
      </c>
      <c r="F396" s="240" t="n"/>
      <c r="G396" s="240" t="n"/>
      <c r="H396" s="259" t="n">
        <v>85000</v>
      </c>
      <c r="I396" s="260" t="n"/>
      <c r="J396" s="260" t="n">
        <v>85000</v>
      </c>
      <c r="K396" s="233" t="n"/>
      <c r="L396" s="233">
        <f>IF(K396&lt;&gt;"",25000+K396,25000)</f>
        <v/>
      </c>
      <c r="M396" s="156" t="n"/>
      <c r="N396" s="156" t="n"/>
      <c r="O396" s="156" t="n"/>
    </row>
    <row r="397" ht="15.75" customHeight="1" s="153">
      <c r="A397" s="227" t="n"/>
      <c r="B397" s="228" t="inlineStr">
        <is>
          <t>PORKIS</t>
        </is>
      </c>
      <c r="C397" s="229" t="n">
        <v>1</v>
      </c>
      <c r="D397" s="229" t="n"/>
      <c r="E397" s="229" t="n"/>
      <c r="F397" s="230" t="n"/>
      <c r="G397" s="230" t="n"/>
      <c r="H397" s="257" t="n">
        <v>23000</v>
      </c>
      <c r="I397" s="258" t="n"/>
      <c r="J397" s="258" t="n">
        <v>23000</v>
      </c>
      <c r="K397" s="233" t="n"/>
      <c r="L397" s="233">
        <f>IF(K397&lt;&gt;"",8000+K397,8000)</f>
        <v/>
      </c>
      <c r="M397" s="156" t="n"/>
      <c r="N397" s="156" t="n"/>
      <c r="O397" s="156" t="n"/>
    </row>
    <row r="398" ht="15.75" customHeight="1" s="153">
      <c r="A398" s="237" t="n"/>
      <c r="B398" s="238" t="inlineStr">
        <is>
          <t>NACHO</t>
        </is>
      </c>
      <c r="C398" s="239" t="n">
        <v>1</v>
      </c>
      <c r="D398" s="239" t="n"/>
      <c r="E398" s="239" t="n"/>
      <c r="F398" s="240" t="n"/>
      <c r="G398" s="240" t="n"/>
      <c r="H398" s="259" t="n">
        <v>20500</v>
      </c>
      <c r="I398" s="260" t="n"/>
      <c r="J398" s="260" t="n">
        <v>20500</v>
      </c>
      <c r="K398" s="233" t="n"/>
      <c r="L398" s="233">
        <f>IF(K398&lt;&gt;"",5500+K398,5500)</f>
        <v/>
      </c>
      <c r="M398" s="156" t="n"/>
      <c r="N398" s="156" t="n"/>
      <c r="O398" s="156" t="n"/>
    </row>
    <row r="399" ht="15.75" customHeight="1" s="153">
      <c r="A399" s="227" t="n"/>
      <c r="B399" s="228" t="inlineStr">
        <is>
          <t>FILOMENA</t>
        </is>
      </c>
      <c r="C399" s="229" t="n">
        <v>2</v>
      </c>
      <c r="D399" s="229" t="n"/>
      <c r="E399" s="229" t="n"/>
      <c r="F399" s="230" t="n"/>
      <c r="G399" s="230" t="n"/>
      <c r="H399" s="257" t="n">
        <v>41000</v>
      </c>
      <c r="I399" s="258" t="n"/>
      <c r="J399" s="258" t="n">
        <v>41000</v>
      </c>
      <c r="K399" s="233" t="n"/>
      <c r="L399" s="233">
        <f>IF(K399&lt;&gt;"",11000+K399,11000)</f>
        <v/>
      </c>
      <c r="M399" s="156" t="n"/>
      <c r="N399" s="156" t="n"/>
      <c r="O399" s="156" t="n"/>
    </row>
    <row r="400" ht="15.75" customHeight="1" s="153">
      <c r="A400" s="237" t="n"/>
      <c r="B400" s="238" t="inlineStr">
        <is>
          <t>SABOREAR</t>
        </is>
      </c>
      <c r="C400" s="239" t="n">
        <v>1</v>
      </c>
      <c r="D400" s="239" t="n"/>
      <c r="E400" s="239" t="n"/>
      <c r="F400" s="240" t="n"/>
      <c r="G400" s="240" t="n"/>
      <c r="H400" s="259" t="n">
        <v>21000</v>
      </c>
      <c r="I400" s="260" t="n"/>
      <c r="J400" s="260" t="n">
        <v>21000</v>
      </c>
      <c r="K400" s="233" t="n"/>
      <c r="L400" s="233">
        <f>IF(K400&lt;&gt;"",6000+K400,6000)</f>
        <v/>
      </c>
    </row>
    <row r="401" ht="15.75" customHeight="1" s="153">
      <c r="A401" s="227" t="n">
        <v>46111</v>
      </c>
      <c r="B401" s="228" t="inlineStr">
        <is>
          <t>ALSINA 7980</t>
        </is>
      </c>
      <c r="C401" s="229" t="n">
        <v>1</v>
      </c>
      <c r="D401" s="229" t="n"/>
      <c r="E401" s="229" t="n"/>
      <c r="F401" s="230" t="n"/>
      <c r="G401" s="230" t="n"/>
      <c r="H401" s="257" t="n">
        <v>27000</v>
      </c>
      <c r="I401" s="258" t="n">
        <v>27000</v>
      </c>
      <c r="J401" s="258" t="n"/>
      <c r="K401" s="233" t="n"/>
      <c r="L401" s="233">
        <f>IF(K401&lt;&gt;"",12000+K401,12000)</f>
        <v/>
      </c>
    </row>
    <row r="402" ht="15.75" customHeight="1" s="153">
      <c r="A402" s="237" t="n"/>
      <c r="B402" s="238" t="inlineStr">
        <is>
          <t>PANA BERUTI 3850</t>
        </is>
      </c>
      <c r="C402" s="239" t="n"/>
      <c r="D402" s="239" t="n"/>
      <c r="E402" s="239" t="n">
        <v>1</v>
      </c>
      <c r="F402" s="240" t="n"/>
      <c r="G402" s="240" t="n"/>
      <c r="H402" s="259" t="n">
        <v>76000</v>
      </c>
      <c r="I402" s="260" t="n"/>
      <c r="J402" s="260" t="n">
        <v>76000</v>
      </c>
      <c r="K402" s="233" t="n"/>
      <c r="L402" s="233">
        <f>IF(K402&lt;&gt;"",16000+K402,16000)</f>
        <v/>
      </c>
    </row>
    <row r="403" ht="15.75" customHeight="1" s="153">
      <c r="A403" s="227" t="n"/>
      <c r="B403" s="228" t="inlineStr">
        <is>
          <t>BEATRIZ</t>
        </is>
      </c>
      <c r="C403" s="229" t="n"/>
      <c r="D403" s="229" t="n"/>
      <c r="E403" s="229" t="n"/>
      <c r="F403" s="230" t="n"/>
      <c r="G403" s="230" t="n">
        <v>2</v>
      </c>
      <c r="H403" s="257" t="n">
        <v>11000</v>
      </c>
      <c r="I403" s="258" t="n"/>
      <c r="J403" s="258" t="n">
        <v>11000</v>
      </c>
      <c r="K403" s="233" t="n"/>
      <c r="L403" s="233">
        <f>IF(K403&lt;&gt;"",9300+K403,9300)</f>
        <v/>
      </c>
    </row>
    <row r="404" ht="15.75" customHeight="1" s="153">
      <c r="A404" s="237" t="n"/>
      <c r="B404" s="238" t="inlineStr">
        <is>
          <t>AZCUENAGA 5023</t>
        </is>
      </c>
      <c r="C404" s="239" t="n">
        <v>3</v>
      </c>
      <c r="D404" s="239" t="n"/>
      <c r="E404" s="239" t="n"/>
      <c r="F404" s="240" t="n"/>
      <c r="G404" s="240" t="n"/>
      <c r="H404" s="259" t="n">
        <v>57000</v>
      </c>
      <c r="I404" s="260" t="n"/>
      <c r="J404" s="260" t="n">
        <v>57000</v>
      </c>
      <c r="K404" s="233" t="n"/>
      <c r="L404" s="233">
        <f>IF(K404&lt;&gt;"",12000+K404,12000)</f>
        <v/>
      </c>
    </row>
    <row r="405" ht="15.75" customHeight="1" s="153">
      <c r="A405" s="227" t="n"/>
      <c r="B405" s="228" t="inlineStr">
        <is>
          <t>LUCHO</t>
        </is>
      </c>
      <c r="C405" s="229" t="n">
        <v>2</v>
      </c>
      <c r="D405" s="229" t="n"/>
      <c r="E405" s="229" t="n"/>
      <c r="F405" s="230" t="n"/>
      <c r="G405" s="230" t="n"/>
      <c r="H405" s="257" t="n">
        <v>38000</v>
      </c>
      <c r="I405" s="258" t="n"/>
      <c r="J405" s="258" t="n">
        <v>38000</v>
      </c>
      <c r="K405" s="233" t="n"/>
      <c r="L405" s="233">
        <f>IF(K405&lt;&gt;"",8000+K405,8000)</f>
        <v/>
      </c>
    </row>
    <row r="406" ht="15.75" customHeight="1" s="153">
      <c r="A406" s="237" t="n"/>
      <c r="B406" s="238" t="inlineStr">
        <is>
          <t>SANTA CRUZ 3051</t>
        </is>
      </c>
      <c r="C406" s="239" t="n"/>
      <c r="D406" s="239" t="n"/>
      <c r="E406" s="239" t="n">
        <v>1</v>
      </c>
      <c r="F406" s="240" t="n"/>
      <c r="G406" s="240" t="n"/>
      <c r="H406" s="259" t="n">
        <v>75000</v>
      </c>
      <c r="I406" s="260" t="n">
        <v>75000</v>
      </c>
      <c r="J406" s="260" t="n"/>
      <c r="K406" s="233" t="n"/>
      <c r="L406" s="233">
        <f>IF(K406&lt;&gt;"",15000+K406,15000)</f>
        <v/>
      </c>
    </row>
    <row r="407" ht="15.75" customHeight="1" s="153">
      <c r="A407" s="227" t="n"/>
      <c r="B407" s="228" t="inlineStr">
        <is>
          <t>AZCUENAGA 5800 CASA 13</t>
        </is>
      </c>
      <c r="C407" s="229" t="n"/>
      <c r="D407" s="229" t="n"/>
      <c r="E407" s="229" t="n">
        <v>1</v>
      </c>
      <c r="F407" s="230" t="n"/>
      <c r="G407" s="230" t="n"/>
      <c r="H407" s="257" t="n">
        <v>86000</v>
      </c>
      <c r="I407" s="258" t="n"/>
      <c r="J407" s="258" t="n">
        <v>86000</v>
      </c>
      <c r="K407" s="233" t="n"/>
      <c r="L407" s="233">
        <f>IF(K407&lt;&gt;"",26000+K407,26000)</f>
        <v/>
      </c>
    </row>
    <row r="408" ht="15.75" customHeight="1" s="153">
      <c r="A408" s="237" t="n"/>
      <c r="B408" s="238" t="inlineStr">
        <is>
          <t>SANDRA</t>
        </is>
      </c>
      <c r="C408" s="239" t="n">
        <v>2</v>
      </c>
      <c r="D408" s="239" t="n"/>
      <c r="E408" s="239" t="n"/>
      <c r="F408" s="240" t="n"/>
      <c r="G408" s="240" t="n"/>
      <c r="H408" s="259" t="n">
        <v>38000</v>
      </c>
      <c r="I408" s="260" t="n">
        <v>38000</v>
      </c>
      <c r="J408" s="260" t="n"/>
      <c r="K408" s="233" t="n"/>
      <c r="L408" s="233">
        <f>IF(K408&lt;&gt;"",8000+K408,8000)</f>
        <v/>
      </c>
    </row>
    <row r="409" ht="15.75" customHeight="1" s="153">
      <c r="A409" s="227" t="n"/>
      <c r="B409" s="228" t="inlineStr">
        <is>
          <t>ALMONACID 4485</t>
        </is>
      </c>
      <c r="C409" s="229" t="n"/>
      <c r="D409" s="229" t="n"/>
      <c r="E409" s="229" t="n">
        <v>1</v>
      </c>
      <c r="F409" s="230" t="n"/>
      <c r="G409" s="230" t="n"/>
      <c r="H409" s="257" t="n">
        <v>89000</v>
      </c>
      <c r="I409" s="258" t="n"/>
      <c r="J409" s="258" t="n">
        <v>89000</v>
      </c>
      <c r="K409" s="233" t="n"/>
      <c r="L409" s="233">
        <f>IF(K409&lt;&gt;"",29000+K409,29000)</f>
        <v/>
      </c>
    </row>
    <row r="410" ht="15.75" customHeight="1" s="153">
      <c r="A410" s="237" t="n"/>
      <c r="B410" s="238" t="inlineStr">
        <is>
          <t>4 DE ENERO 6034</t>
        </is>
      </c>
      <c r="C410" s="239" t="n">
        <v>1</v>
      </c>
      <c r="D410" s="239" t="n"/>
      <c r="E410" s="239" t="n"/>
      <c r="F410" s="240" t="n"/>
      <c r="G410" s="240" t="n"/>
      <c r="H410" s="259" t="n">
        <v>27000</v>
      </c>
      <c r="I410" s="260" t="n">
        <v>27000</v>
      </c>
      <c r="J410" s="260" t="n"/>
      <c r="K410" s="233" t="n"/>
      <c r="L410" s="233">
        <f>IF(K410&lt;&gt;"",12000+K410,12000)</f>
        <v/>
      </c>
    </row>
    <row r="411" ht="15.75" customHeight="1" s="153">
      <c r="A411" s="227" t="n">
        <v>46112</v>
      </c>
      <c r="B411" s="228" t="inlineStr">
        <is>
          <t>RICARDO ALDAO 2400</t>
        </is>
      </c>
      <c r="C411" s="229" t="n"/>
      <c r="D411" s="229" t="n"/>
      <c r="E411" s="229" t="n"/>
      <c r="F411" s="230" t="n"/>
      <c r="G411" s="230" t="n">
        <v>1</v>
      </c>
      <c r="H411" s="257" t="n">
        <v>6900</v>
      </c>
      <c r="I411" s="258" t="n"/>
      <c r="J411" s="258" t="n">
        <v>6900</v>
      </c>
      <c r="K411" s="233" t="n"/>
      <c r="L411" s="233">
        <f>IF(K411&lt;&gt;"",6050+K411,6050)</f>
        <v/>
      </c>
    </row>
    <row r="412" ht="15.75" customHeight="1" s="153">
      <c r="A412" s="237" t="n"/>
      <c r="B412" s="238" t="inlineStr">
        <is>
          <t>OTNIEL</t>
        </is>
      </c>
      <c r="C412" s="239" t="n"/>
      <c r="D412" s="239" t="n"/>
      <c r="E412" s="239" t="n">
        <v>1</v>
      </c>
      <c r="F412" s="240" t="n"/>
      <c r="G412" s="240" t="n"/>
      <c r="H412" s="259" t="n">
        <v>81000</v>
      </c>
      <c r="I412" s="260" t="n">
        <v>81000</v>
      </c>
      <c r="J412" s="260" t="n"/>
      <c r="K412" s="233" t="n"/>
      <c r="L412" s="233">
        <f>IF(K412&lt;&gt;"",21000+K412,21000)</f>
        <v/>
      </c>
    </row>
    <row r="413" ht="15.75" customHeight="1" s="153">
      <c r="A413" s="227" t="n"/>
      <c r="B413" s="228" t="inlineStr">
        <is>
          <t>NERUDA Y GANDHI</t>
        </is>
      </c>
      <c r="C413" s="229" t="n"/>
      <c r="D413" s="229" t="n"/>
      <c r="E413" s="229" t="n">
        <v>1</v>
      </c>
      <c r="F413" s="230" t="n"/>
      <c r="G413" s="230" t="n"/>
      <c r="H413" s="257" t="n">
        <v>90000</v>
      </c>
      <c r="I413" s="258" t="n"/>
      <c r="J413" s="258" t="n">
        <v>90000</v>
      </c>
      <c r="K413" s="233" t="n"/>
      <c r="L413" s="233">
        <f>IF(K413&lt;&gt;"",30000+K413,30000)</f>
        <v/>
      </c>
    </row>
    <row r="414" ht="15.75" customHeight="1" s="153">
      <c r="A414" s="237" t="n"/>
      <c r="B414" s="238" t="inlineStr">
        <is>
          <t>EUROPA 8841</t>
        </is>
      </c>
      <c r="C414" s="239" t="n">
        <v>1</v>
      </c>
      <c r="D414" s="239" t="n"/>
      <c r="E414" s="239" t="n"/>
      <c r="F414" s="240" t="n"/>
      <c r="G414" s="240" t="n"/>
      <c r="H414" s="259" t="n">
        <v>27000</v>
      </c>
      <c r="I414" s="260" t="n">
        <v>27000</v>
      </c>
      <c r="J414" s="260" t="n"/>
      <c r="K414" s="233" t="n"/>
      <c r="L414" s="233">
        <f>IF(K414&lt;&gt;"",12000+K414,12000)</f>
        <v/>
      </c>
    </row>
    <row r="415" ht="15.75" customHeight="1" s="153">
      <c r="A415" s="227" t="n"/>
      <c r="B415" s="228" t="inlineStr">
        <is>
          <t>URQUIZA 5456</t>
        </is>
      </c>
      <c r="C415" s="229" t="n">
        <v>1</v>
      </c>
      <c r="D415" s="229" t="n"/>
      <c r="E415" s="229" t="n"/>
      <c r="F415" s="230" t="n"/>
      <c r="G415" s="230" t="n"/>
      <c r="H415" s="257" t="n">
        <v>27000</v>
      </c>
      <c r="I415" s="258" t="n">
        <v>27000</v>
      </c>
      <c r="J415" s="258" t="n"/>
      <c r="K415" s="233" t="n"/>
      <c r="L415" s="233">
        <f>IF(K415&lt;&gt;"",12000+K415,12000)</f>
        <v/>
      </c>
    </row>
    <row r="416" ht="15.75" customHeight="1" s="153">
      <c r="A416" s="237" t="n"/>
      <c r="B416" s="238" t="inlineStr">
        <is>
          <t>AYACUCHO 5370</t>
        </is>
      </c>
      <c r="C416" s="239" t="n"/>
      <c r="D416" s="239" t="n"/>
      <c r="E416" s="239" t="n"/>
      <c r="F416" s="240" t="n"/>
      <c r="G416" s="240" t="n">
        <v>2</v>
      </c>
      <c r="H416" s="259" t="n">
        <v>12000</v>
      </c>
      <c r="I416" s="260" t="n"/>
      <c r="J416" s="260" t="n">
        <v>12000</v>
      </c>
      <c r="K416" s="233" t="n"/>
      <c r="L416" s="233">
        <f>IF(K416&lt;&gt;"",10300+K416,10300)</f>
        <v/>
      </c>
    </row>
    <row r="417" ht="15.75" customHeight="1" s="153">
      <c r="A417" s="227" t="n"/>
      <c r="B417" s="228" t="inlineStr">
        <is>
          <t>TAMBOR TACUARI</t>
        </is>
      </c>
      <c r="C417" s="229" t="n"/>
      <c r="D417" s="229" t="n"/>
      <c r="E417" s="229" t="n">
        <v>1</v>
      </c>
      <c r="F417" s="230" t="n"/>
      <c r="G417" s="230" t="n"/>
      <c r="H417" s="257" t="n">
        <v>90000</v>
      </c>
      <c r="I417" s="258" t="n"/>
      <c r="J417" s="258" t="n">
        <v>90000</v>
      </c>
      <c r="K417" s="233" t="n"/>
      <c r="L417" s="233">
        <f>IF(K417&lt;&gt;"",30000+K417,30000)</f>
        <v/>
      </c>
    </row>
    <row r="418" ht="15.75" customHeight="1" s="153">
      <c r="A418" s="237" t="n"/>
      <c r="B418" s="238" t="inlineStr">
        <is>
          <t>4TO PASAJE 3782</t>
        </is>
      </c>
      <c r="C418" s="239" t="n">
        <v>1</v>
      </c>
      <c r="D418" s="239" t="n"/>
      <c r="E418" s="239" t="n"/>
      <c r="F418" s="240" t="n"/>
      <c r="G418" s="240" t="n"/>
      <c r="H418" s="259" t="n">
        <v>27000</v>
      </c>
      <c r="I418" s="260" t="n"/>
      <c r="J418" s="260" t="n">
        <v>27000</v>
      </c>
      <c r="K418" s="233" t="n"/>
      <c r="L418" s="233">
        <f>IF(K418&lt;&gt;"",12000+K418,12000)</f>
        <v/>
      </c>
    </row>
    <row r="419" ht="15.75" customHeight="1" s="153">
      <c r="A419" s="227" t="n"/>
      <c r="B419" s="228" t="inlineStr">
        <is>
          <t>CACO</t>
        </is>
      </c>
      <c r="C419" s="229" t="n">
        <v>1</v>
      </c>
      <c r="D419" s="229" t="n"/>
      <c r="E419" s="229" t="n"/>
      <c r="F419" s="230" t="n"/>
      <c r="G419" s="230" t="n"/>
      <c r="H419" s="257" t="n">
        <v>27000</v>
      </c>
      <c r="I419" s="258" t="n"/>
      <c r="J419" s="258" t="n">
        <v>27000</v>
      </c>
      <c r="K419" s="233" t="n"/>
      <c r="L419" s="233">
        <f>IF(K419&lt;&gt;"",12000+K419,12000)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 t="n"/>
      <c r="D501" s="255" t="n"/>
      <c r="E501" s="255" t="n"/>
      <c r="F501" s="255" t="n"/>
      <c r="G501" s="255" t="n"/>
      <c r="H501" s="256" t="n"/>
      <c r="I501" s="256" t="n"/>
      <c r="J501" s="256" t="n"/>
      <c r="K501" s="256" t="n"/>
    </row>
  </sheetData>
  <autoFilter ref="A4:K4"/>
  <mergeCells count="4">
    <mergeCell ref="A2:K2"/>
    <mergeCell ref="A1:K1"/>
    <mergeCell ref="Q1:V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V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  <col width="5" customWidth="1" style="152" min="17" max="17"/>
    <col width="28" customWidth="1" style="152" min="18" max="18"/>
    <col width="14" customWidth="1" style="152" min="19" max="20"/>
    <col width="8" customWidth="1" style="152" min="21" max="21"/>
    <col width="13" customWidth="1" style="152" min="22" max="22"/>
  </cols>
  <sheetData>
    <row r="1" ht="37.5" customHeight="1" s="153">
      <c r="A1" s="209" t="inlineStr">
        <is>
          <t>VENTAS — ABRIL 2026</t>
        </is>
      </c>
      <c r="L1" s="156" t="n"/>
      <c r="M1" s="156" t="n"/>
      <c r="N1" s="156" t="n"/>
      <c r="O1" s="156" t="n"/>
      <c r="Q1" s="210" t="inlineStr">
        <is>
          <t>🏆  RANKING ABRIL</t>
        </is>
      </c>
      <c r="R1" s="211" t="n"/>
      <c r="S1" s="211" t="n"/>
      <c r="T1" s="211" t="n"/>
      <c r="U1" s="211" t="n"/>
      <c r="V1" s="211" t="n"/>
    </row>
    <row r="2" ht="21.7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  <c r="Q2" s="213" t="inlineStr">
        <is>
          <t>#</t>
        </is>
      </c>
      <c r="R2" s="213" t="inlineStr">
        <is>
          <t>Cliente</t>
        </is>
      </c>
      <c r="S2" s="213" t="inlineStr">
        <is>
          <t>Facturado</t>
        </is>
      </c>
      <c r="T2" s="213" t="inlineStr">
        <is>
          <t>Ganancia</t>
        </is>
      </c>
      <c r="U2" s="213" t="inlineStr">
        <is>
          <t>Pedidos</t>
        </is>
      </c>
      <c r="V2" s="213" t="inlineStr">
        <is>
          <t>Últ. compra</t>
        </is>
      </c>
    </row>
    <row r="3" ht="15.7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Q3" s="214" t="inlineStr">
        <is>
          <t>🥇</t>
        </is>
      </c>
      <c r="R3" s="215" t="inlineStr">
        <is>
          <t>AZCUENAGA 5023</t>
        </is>
      </c>
      <c r="S3" s="216" t="n">
        <v>475000</v>
      </c>
      <c r="T3" s="236" t="n">
        <v>100000</v>
      </c>
      <c r="U3" s="218" t="n">
        <v>4</v>
      </c>
      <c r="V3" s="219" t="inlineStr">
        <is>
          <t>20/04/2026</t>
        </is>
      </c>
    </row>
    <row r="4" ht="15.7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ABRIL</t>
        </is>
      </c>
      <c r="Q4" s="221" t="inlineStr">
        <is>
          <t>🥈</t>
        </is>
      </c>
      <c r="R4" s="222" t="inlineStr">
        <is>
          <t>FILOMENA</t>
        </is>
      </c>
      <c r="S4" s="223" t="n">
        <v>437000</v>
      </c>
      <c r="T4" s="224" t="n">
        <v>152000</v>
      </c>
      <c r="U4" s="225" t="n">
        <v>10</v>
      </c>
      <c r="V4" s="226" t="inlineStr">
        <is>
          <t>20/04/2026</t>
        </is>
      </c>
    </row>
    <row r="5" ht="15.75" customHeight="1" s="153">
      <c r="A5" s="227" t="n">
        <v>46113</v>
      </c>
      <c r="B5" s="228" t="inlineStr">
        <is>
          <t>DOMINGO SILVA 4217</t>
        </is>
      </c>
      <c r="C5" s="229" t="n">
        <v>2</v>
      </c>
      <c r="D5" s="229" t="n">
        <v>1</v>
      </c>
      <c r="E5" s="229" t="n"/>
      <c r="F5" s="230" t="n"/>
      <c r="G5" s="230" t="n"/>
      <c r="H5" s="231" t="n">
        <v>66500</v>
      </c>
      <c r="I5" s="232" t="n"/>
      <c r="J5" s="232" t="n">
        <v>66500</v>
      </c>
      <c r="K5" s="233" t="n"/>
      <c r="L5" s="233">
        <f>IF(K5&lt;&gt;"",14000+K5,14000)</f>
        <v/>
      </c>
      <c r="M5" s="156" t="n"/>
      <c r="N5" s="234" t="inlineStr">
        <is>
          <t>TOTAL 10</t>
        </is>
      </c>
      <c r="O5" s="235">
        <f>IFERROR(SUM(C5:C700),0)</f>
        <v/>
      </c>
      <c r="Q5" s="214" t="inlineStr">
        <is>
          <t>🥉</t>
        </is>
      </c>
      <c r="R5" s="215" t="inlineStr">
        <is>
          <t>OTNIEL</t>
        </is>
      </c>
      <c r="S5" s="216" t="n">
        <v>415300</v>
      </c>
      <c r="T5" s="236" t="n">
        <v>152650</v>
      </c>
      <c r="U5" s="218" t="n">
        <v>6</v>
      </c>
      <c r="V5" s="219" t="inlineStr">
        <is>
          <t>16/04/2026</t>
        </is>
      </c>
    </row>
    <row r="6" ht="15.75" customHeight="1" s="153">
      <c r="A6" s="237" t="n"/>
      <c r="B6" s="238" t="inlineStr">
        <is>
          <t>MAMA NICO BUSTO</t>
        </is>
      </c>
      <c r="C6" s="239" t="n">
        <v>1</v>
      </c>
      <c r="D6" s="239" t="n"/>
      <c r="E6" s="239" t="n"/>
      <c r="F6" s="240" t="n">
        <v>10</v>
      </c>
      <c r="G6" s="240" t="n"/>
      <c r="H6" s="241" t="n">
        <v>61000</v>
      </c>
      <c r="I6" s="242" t="n"/>
      <c r="J6" s="242" t="n">
        <v>61000</v>
      </c>
      <c r="K6" s="233" t="n"/>
      <c r="L6" s="233">
        <f>IF(K6&lt;&gt;"",23000+K6,23000)</f>
        <v/>
      </c>
      <c r="M6" s="156" t="n"/>
      <c r="N6" s="234" t="inlineStr">
        <is>
          <t>TOTAL 15</t>
        </is>
      </c>
      <c r="O6" s="235">
        <f>IFERROR(SUM(D5:D700),0)</f>
        <v/>
      </c>
      <c r="Q6" s="221" t="inlineStr">
        <is>
          <t>4</t>
        </is>
      </c>
      <c r="R6" s="222" t="inlineStr">
        <is>
          <t>LUCHO</t>
        </is>
      </c>
      <c r="S6" s="223" t="n">
        <v>411000</v>
      </c>
      <c r="T6" s="224" t="n">
        <v>94300</v>
      </c>
      <c r="U6" s="225" t="n">
        <v>10</v>
      </c>
      <c r="V6" s="226" t="inlineStr">
        <is>
          <t>20/04/2026</t>
        </is>
      </c>
    </row>
    <row r="7" ht="15.75" customHeight="1" s="153">
      <c r="A7" s="227" t="n"/>
      <c r="B7" s="228" t="inlineStr">
        <is>
          <t>PANA VIEYTES 4500</t>
        </is>
      </c>
      <c r="C7" s="229" t="n"/>
      <c r="D7" s="229" t="n"/>
      <c r="E7" s="229" t="n">
        <v>1</v>
      </c>
      <c r="F7" s="230" t="n"/>
      <c r="G7" s="230" t="n"/>
      <c r="H7" s="231" t="n">
        <v>78000</v>
      </c>
      <c r="I7" s="232" t="n"/>
      <c r="J7" s="232" t="n">
        <v>78000</v>
      </c>
      <c r="K7" s="233" t="n"/>
      <c r="L7" s="233">
        <f>IF(K7&lt;&gt;"",18000+K7,18000)</f>
        <v/>
      </c>
      <c r="M7" s="156" t="n"/>
      <c r="N7" s="234" t="inlineStr">
        <is>
          <t>TOTAL 45</t>
        </is>
      </c>
      <c r="O7" s="235">
        <f>IFERROR(SUM(E5:E700),0)</f>
        <v/>
      </c>
      <c r="Q7" s="214" t="inlineStr">
        <is>
          <t>5</t>
        </is>
      </c>
      <c r="R7" s="215" t="inlineStr">
        <is>
          <t>CAREN</t>
        </is>
      </c>
      <c r="S7" s="216" t="n">
        <v>328000</v>
      </c>
      <c r="T7" s="236" t="n">
        <v>88000</v>
      </c>
      <c r="U7" s="218" t="n">
        <v>4</v>
      </c>
      <c r="V7" s="219" t="inlineStr">
        <is>
          <t>20/04/2026</t>
        </is>
      </c>
    </row>
    <row r="8" ht="15.75" customHeight="1" s="153">
      <c r="A8" s="237" t="n"/>
      <c r="B8" s="238" t="inlineStr">
        <is>
          <t>OTNIEL</t>
        </is>
      </c>
      <c r="C8" s="239" t="n"/>
      <c r="D8" s="239" t="n"/>
      <c r="E8" s="239" t="n"/>
      <c r="F8" s="240" t="n"/>
      <c r="G8" s="240" t="n">
        <v>3</v>
      </c>
      <c r="H8" s="241" t="n">
        <v>16500</v>
      </c>
      <c r="I8" s="242" t="n"/>
      <c r="J8" s="242" t="n">
        <v>16500</v>
      </c>
      <c r="K8" s="233" t="n"/>
      <c r="L8" s="233">
        <f>IF(K8&lt;&gt;"",13950+K8,13950)</f>
        <v/>
      </c>
      <c r="M8" s="156" t="n"/>
      <c r="N8" s="234" t="inlineStr">
        <is>
          <t>TOTAL YERBA</t>
        </is>
      </c>
      <c r="O8" s="235">
        <f>IFERROR(SUM(F5:F700),0)</f>
        <v/>
      </c>
      <c r="Q8" s="221" t="inlineStr">
        <is>
          <t>6</t>
        </is>
      </c>
      <c r="R8" s="222" t="inlineStr">
        <is>
          <t>EXE</t>
        </is>
      </c>
      <c r="S8" s="223" t="n">
        <v>328000</v>
      </c>
      <c r="T8" s="224" t="n">
        <v>88000</v>
      </c>
      <c r="U8" s="225" t="n">
        <v>4</v>
      </c>
      <c r="V8" s="226" t="inlineStr">
        <is>
          <t>19/04/2026</t>
        </is>
      </c>
    </row>
    <row r="9" ht="15.75" customHeight="1" s="153">
      <c r="A9" s="227" t="n"/>
      <c r="B9" s="228" t="inlineStr">
        <is>
          <t>M ZAPATA 2101</t>
        </is>
      </c>
      <c r="C9" s="229" t="n">
        <v>2</v>
      </c>
      <c r="D9" s="229" t="n"/>
      <c r="E9" s="229" t="n"/>
      <c r="F9" s="230" t="n"/>
      <c r="G9" s="230" t="n"/>
      <c r="H9" s="231" t="n">
        <v>39000</v>
      </c>
      <c r="I9" s="232" t="n">
        <v>39000</v>
      </c>
      <c r="J9" s="232" t="n"/>
      <c r="K9" s="233" t="n"/>
      <c r="L9" s="233">
        <f>IF(K9&lt;&gt;"",9000+K9,9000)</f>
        <v/>
      </c>
      <c r="M9" s="156" t="n"/>
      <c r="N9" s="234" t="inlineStr">
        <is>
          <t>TOTAL AGUA</t>
        </is>
      </c>
      <c r="O9" s="235">
        <f>IFERROR(SUM(G5:G700),0)</f>
        <v/>
      </c>
      <c r="Q9" s="214" t="inlineStr">
        <is>
          <t>7</t>
        </is>
      </c>
      <c r="R9" s="215" t="inlineStr">
        <is>
          <t>DANA</t>
        </is>
      </c>
      <c r="S9" s="216" t="n">
        <v>324000</v>
      </c>
      <c r="T9" s="236" t="n">
        <v>69000</v>
      </c>
      <c r="U9" s="218" t="n">
        <v>5</v>
      </c>
      <c r="V9" s="219" t="inlineStr">
        <is>
          <t>22/04/2026</t>
        </is>
      </c>
    </row>
    <row r="10" ht="15.75" customHeight="1" s="153">
      <c r="A10" s="237" t="n"/>
      <c r="B10" s="238" t="inlineStr">
        <is>
          <t>LUCHO</t>
        </is>
      </c>
      <c r="C10" s="239" t="n">
        <v>1</v>
      </c>
      <c r="D10" s="239" t="n"/>
      <c r="E10" s="239" t="n"/>
      <c r="F10" s="240" t="n"/>
      <c r="G10" s="240" t="n"/>
      <c r="H10" s="241" t="n">
        <v>19000</v>
      </c>
      <c r="I10" s="242" t="n"/>
      <c r="J10" s="242" t="n">
        <v>19000</v>
      </c>
      <c r="K10" s="233" t="n"/>
      <c r="L10" s="233">
        <f>IF(K10&lt;&gt;"",4000+K10,4000)</f>
        <v/>
      </c>
      <c r="M10" s="156" t="n"/>
      <c r="N10" s="243" t="n"/>
      <c r="O10" s="244" t="n"/>
      <c r="Q10" s="221" t="inlineStr">
        <is>
          <t>8</t>
        </is>
      </c>
      <c r="R10" s="222" t="inlineStr">
        <is>
          <t>BRASERIA</t>
        </is>
      </c>
      <c r="S10" s="223" t="n">
        <v>249000</v>
      </c>
      <c r="T10" s="224" t="n">
        <v>69000</v>
      </c>
      <c r="U10" s="225" t="n">
        <v>3</v>
      </c>
      <c r="V10" s="226" t="inlineStr">
        <is>
          <t>18/04/2026</t>
        </is>
      </c>
    </row>
    <row r="11" ht="15.75" customHeight="1" s="153">
      <c r="A11" s="227" t="n"/>
      <c r="B11" s="228" t="inlineStr">
        <is>
          <t>ALBERTI 5570</t>
        </is>
      </c>
      <c r="C11" s="229" t="n"/>
      <c r="D11" s="229" t="n"/>
      <c r="E11" s="229" t="n">
        <v>2</v>
      </c>
      <c r="F11" s="230" t="n"/>
      <c r="G11" s="230" t="n"/>
      <c r="H11" s="231" t="n">
        <v>166000</v>
      </c>
      <c r="I11" s="232" t="n"/>
      <c r="J11" s="232" t="n">
        <v>166000</v>
      </c>
      <c r="K11" s="233" t="n"/>
      <c r="L11" s="233">
        <f>IF(K11&lt;&gt;"",46000+K11,46000)</f>
        <v/>
      </c>
      <c r="M11" s="156" t="n"/>
      <c r="N11" s="246" t="inlineStr">
        <is>
          <t>FACTURACIÓN</t>
        </is>
      </c>
      <c r="O11" s="247">
        <f>IFERROR(SUM(H5:H700),0)</f>
        <v/>
      </c>
      <c r="Q11" s="214" t="inlineStr">
        <is>
          <t>9</t>
        </is>
      </c>
      <c r="R11" s="215" t="inlineStr">
        <is>
          <t>PANA ALBERTI</t>
        </is>
      </c>
      <c r="S11" s="216" t="n">
        <v>246000</v>
      </c>
      <c r="T11" s="236" t="n">
        <v>66000</v>
      </c>
      <c r="U11" s="218" t="n">
        <v>3</v>
      </c>
      <c r="V11" s="219" t="inlineStr">
        <is>
          <t>22/04/2026</t>
        </is>
      </c>
    </row>
    <row r="12" ht="15.75" customHeight="1" s="153">
      <c r="A12" s="237" t="n"/>
      <c r="B12" s="238" t="inlineStr">
        <is>
          <t>ROTI SAN LORENZO</t>
        </is>
      </c>
      <c r="C12" s="239" t="n">
        <v>2</v>
      </c>
      <c r="D12" s="239" t="n">
        <v>1</v>
      </c>
      <c r="E12" s="239" t="n"/>
      <c r="F12" s="240" t="n"/>
      <c r="G12" s="240" t="n"/>
      <c r="H12" s="241" t="n">
        <v>84000</v>
      </c>
      <c r="I12" s="242" t="n"/>
      <c r="J12" s="242" t="n">
        <v>84000</v>
      </c>
      <c r="K12" s="233" t="n"/>
      <c r="L12" s="233">
        <f>IF(K12&lt;&gt;"",31500+K12,31500)</f>
        <v/>
      </c>
      <c r="M12" s="156" t="n"/>
      <c r="N12" s="246" t="inlineStr">
        <is>
          <t>GANANCIA</t>
        </is>
      </c>
      <c r="O12" s="247">
        <f>IFERROR(SUM(L5:L700),0)</f>
        <v/>
      </c>
      <c r="Q12" s="221" t="inlineStr">
        <is>
          <t>10</t>
        </is>
      </c>
      <c r="R12" s="222" t="inlineStr">
        <is>
          <t>PANA VIEYTES 4500</t>
        </is>
      </c>
      <c r="S12" s="223" t="n">
        <v>234000</v>
      </c>
      <c r="T12" s="224" t="n">
        <v>54000</v>
      </c>
      <c r="U12" s="225" t="n">
        <v>3</v>
      </c>
      <c r="V12" s="226" t="inlineStr">
        <is>
          <t>16/04/2026</t>
        </is>
      </c>
    </row>
    <row r="13" ht="15.75" customHeight="1" s="153">
      <c r="A13" s="227" t="n"/>
      <c r="B13" s="228" t="inlineStr">
        <is>
          <t>LUCHIO</t>
        </is>
      </c>
      <c r="C13" s="229" t="n"/>
      <c r="D13" s="229" t="n"/>
      <c r="E13" s="229" t="n"/>
      <c r="F13" s="230" t="n"/>
      <c r="G13" s="230" t="n">
        <v>1</v>
      </c>
      <c r="H13" s="231" t="n">
        <v>6000</v>
      </c>
      <c r="I13" s="232" t="n"/>
      <c r="J13" s="232" t="n">
        <v>6000</v>
      </c>
      <c r="K13" s="233" t="n"/>
      <c r="L13" s="233">
        <f>IF(K13&lt;&gt;"",5150+K13,5150)</f>
        <v/>
      </c>
      <c r="M13" s="156" t="n"/>
      <c r="N13" s="246" t="inlineStr">
        <is>
          <t>% GANANCIA</t>
        </is>
      </c>
      <c r="O13" s="248">
        <f>IFERROR(SUM(L5:L700)/SUM(H5:H700),0)</f>
        <v/>
      </c>
      <c r="Q13" s="214" t="inlineStr">
        <is>
          <t>11</t>
        </is>
      </c>
      <c r="R13" s="215" t="inlineStr">
        <is>
          <t>ROTI SAN LORENZO</t>
        </is>
      </c>
      <c r="S13" s="216" t="n">
        <v>201000</v>
      </c>
      <c r="T13" s="236" t="n">
        <v>73500</v>
      </c>
      <c r="U13" s="218" t="n">
        <v>2</v>
      </c>
      <c r="V13" s="219" t="inlineStr">
        <is>
          <t>15/04/2026</t>
        </is>
      </c>
    </row>
    <row r="14" ht="15.75" customHeight="1" s="153">
      <c r="A14" s="237" t="n"/>
      <c r="B14" s="238" t="inlineStr">
        <is>
          <t>GENEIRO 8200</t>
        </is>
      </c>
      <c r="C14" s="239" t="n"/>
      <c r="D14" s="239" t="n">
        <v>1</v>
      </c>
      <c r="E14" s="239" t="n"/>
      <c r="F14" s="240" t="n"/>
      <c r="G14" s="240" t="n"/>
      <c r="H14" s="241" t="n">
        <v>39000</v>
      </c>
      <c r="I14" s="242" t="n">
        <v>39000</v>
      </c>
      <c r="J14" s="242" t="n"/>
      <c r="K14" s="233" t="n"/>
      <c r="L14" s="233">
        <f>IF(K14&lt;&gt;"",16500+K14,16500)</f>
        <v/>
      </c>
      <c r="M14" s="156" t="n"/>
      <c r="N14" s="243" t="n"/>
      <c r="O14" s="244" t="n"/>
      <c r="Q14" s="221" t="inlineStr">
        <is>
          <t>12</t>
        </is>
      </c>
      <c r="R14" s="222" t="inlineStr">
        <is>
          <t>SABOREAR</t>
        </is>
      </c>
      <c r="S14" s="223" t="n">
        <v>193500</v>
      </c>
      <c r="T14" s="224" t="n">
        <v>58500</v>
      </c>
      <c r="U14" s="225" t="n">
        <v>5</v>
      </c>
      <c r="V14" s="226" t="inlineStr">
        <is>
          <t>22/04/2026</t>
        </is>
      </c>
    </row>
    <row r="15" ht="15.75" customHeight="1" s="153">
      <c r="A15" s="227" t="n"/>
      <c r="B15" s="228" t="inlineStr">
        <is>
          <t xml:space="preserve">FILOMENA </t>
        </is>
      </c>
      <c r="C15" s="229" t="n">
        <v>2</v>
      </c>
      <c r="D15" s="229" t="n"/>
      <c r="E15" s="229" t="n"/>
      <c r="F15" s="230" t="n"/>
      <c r="G15" s="230" t="n"/>
      <c r="H15" s="231" t="n">
        <v>46000</v>
      </c>
      <c r="I15" s="232" t="n"/>
      <c r="J15" s="232" t="n">
        <v>46000</v>
      </c>
      <c r="K15" s="233" t="n"/>
      <c r="L15" s="233">
        <f>IF(K15&lt;&gt;"",16000+K15,16000)</f>
        <v/>
      </c>
      <c r="M15" s="156" t="n"/>
      <c r="N15" s="234" t="inlineStr">
        <is>
          <t>EFECTIVO</t>
        </is>
      </c>
      <c r="O15" s="249">
        <f>IFERROR(SUM(I5:I700),0)</f>
        <v/>
      </c>
      <c r="Q15" s="214" t="inlineStr">
        <is>
          <t>13</t>
        </is>
      </c>
      <c r="R15" s="215" t="inlineStr">
        <is>
          <t>ROTI VIEYTES</t>
        </is>
      </c>
      <c r="S15" s="216" t="n">
        <v>183000</v>
      </c>
      <c r="T15" s="236" t="n">
        <v>48000</v>
      </c>
      <c r="U15" s="218" t="n">
        <v>3</v>
      </c>
      <c r="V15" s="219" t="inlineStr">
        <is>
          <t>17/04/2026</t>
        </is>
      </c>
    </row>
    <row r="16" ht="15.75" customHeight="1" s="153">
      <c r="A16" s="237" t="n"/>
      <c r="B16" s="238" t="inlineStr">
        <is>
          <t>SABOREAR</t>
        </is>
      </c>
      <c r="C16" s="239" t="n">
        <v>1</v>
      </c>
      <c r="D16" s="239" t="n"/>
      <c r="E16" s="239" t="n"/>
      <c r="F16" s="240" t="n"/>
      <c r="G16" s="240" t="n"/>
      <c r="H16" s="241" t="n">
        <v>22500</v>
      </c>
      <c r="I16" s="242" t="n"/>
      <c r="J16" s="242" t="n">
        <v>22500</v>
      </c>
      <c r="K16" s="233" t="n"/>
      <c r="L16" s="233">
        <f>IF(K16&lt;&gt;"",7500+K16,7500)</f>
        <v/>
      </c>
      <c r="M16" s="156" t="n"/>
      <c r="N16" s="234" t="inlineStr">
        <is>
          <t>TRANSFERENCIA</t>
        </is>
      </c>
      <c r="O16" s="249">
        <f>IFERROR(SUM(J5:J700),0)</f>
        <v/>
      </c>
      <c r="Q16" s="221" t="inlineStr">
        <is>
          <t>14</t>
        </is>
      </c>
      <c r="R16" s="222" t="inlineStr">
        <is>
          <t>TERE</t>
        </is>
      </c>
      <c r="S16" s="223" t="n">
        <v>172000</v>
      </c>
      <c r="T16" s="224" t="n">
        <v>52000</v>
      </c>
      <c r="U16" s="225" t="n">
        <v>1</v>
      </c>
      <c r="V16" s="226" t="inlineStr">
        <is>
          <t>02/04/2026</t>
        </is>
      </c>
    </row>
    <row r="17" ht="15.75" customHeight="1" s="153">
      <c r="A17" s="227" t="n"/>
      <c r="B17" s="228" t="inlineStr">
        <is>
          <t>MITRE 4930</t>
        </is>
      </c>
      <c r="C17" s="229" t="n">
        <v>1</v>
      </c>
      <c r="D17" s="229" t="n"/>
      <c r="E17" s="229" t="n"/>
      <c r="F17" s="230" t="n"/>
      <c r="G17" s="230" t="n"/>
      <c r="H17" s="231" t="n">
        <v>27000</v>
      </c>
      <c r="I17" s="232" t="n">
        <v>27000</v>
      </c>
      <c r="J17" s="232" t="n"/>
      <c r="K17" s="233" t="n"/>
      <c r="L17" s="233">
        <f>IF(K17&lt;&gt;"",12000+K17,12000)</f>
        <v/>
      </c>
      <c r="M17" s="156" t="n"/>
      <c r="N17" s="243" t="n"/>
      <c r="O17" s="244" t="n"/>
      <c r="Q17" s="214" t="inlineStr">
        <is>
          <t>15</t>
        </is>
      </c>
      <c r="R17" s="215" t="inlineStr">
        <is>
          <t>ALBERTI 5570</t>
        </is>
      </c>
      <c r="S17" s="216" t="n">
        <v>166000</v>
      </c>
      <c r="T17" s="236" t="n">
        <v>46000</v>
      </c>
      <c r="U17" s="218" t="n">
        <v>1</v>
      </c>
      <c r="V17" s="219" t="inlineStr">
        <is>
          <t>01/04/2026</t>
        </is>
      </c>
    </row>
    <row r="18" ht="15.75" customHeight="1" s="153">
      <c r="A18" s="237" t="n"/>
      <c r="B18" s="238" t="inlineStr">
        <is>
          <t>POSTA EL TORO</t>
        </is>
      </c>
      <c r="C18" s="239" t="n">
        <v>2</v>
      </c>
      <c r="D18" s="239" t="n"/>
      <c r="E18" s="239" t="n"/>
      <c r="F18" s="240" t="n"/>
      <c r="G18" s="240" t="n"/>
      <c r="H18" s="241" t="n">
        <v>38000</v>
      </c>
      <c r="I18" s="242" t="n">
        <v>38000</v>
      </c>
      <c r="J18" s="242" t="n"/>
      <c r="K18" s="233" t="n"/>
      <c r="L18" s="233">
        <f>IF(K18&lt;&gt;"",8000+K18,8000)</f>
        <v/>
      </c>
      <c r="M18" s="156" t="n"/>
      <c r="N18" s="234" t="inlineStr">
        <is>
          <t>Nº VENTAS</t>
        </is>
      </c>
      <c r="O18" s="250">
        <f>IFERROR(COUNTA(B5:B700),0)</f>
        <v/>
      </c>
      <c r="Q18" s="221" t="inlineStr">
        <is>
          <t>16</t>
        </is>
      </c>
      <c r="R18" s="222" t="inlineStr">
        <is>
          <t>PANA BERUTI 6400</t>
        </is>
      </c>
      <c r="S18" s="223" t="n">
        <v>150000</v>
      </c>
      <c r="T18" s="224" t="n">
        <v>30000</v>
      </c>
      <c r="U18" s="225" t="n">
        <v>2</v>
      </c>
      <c r="V18" s="226" t="inlineStr">
        <is>
          <t>22/04/2026</t>
        </is>
      </c>
    </row>
    <row r="19" ht="15.75" customHeight="1" s="153">
      <c r="A19" s="227" t="n"/>
      <c r="B19" s="228" t="inlineStr">
        <is>
          <t>LUCHO</t>
        </is>
      </c>
      <c r="C19" s="229" t="n">
        <v>1</v>
      </c>
      <c r="D19" s="229" t="n">
        <v>1</v>
      </c>
      <c r="E19" s="229" t="n"/>
      <c r="F19" s="230" t="n"/>
      <c r="G19" s="230" t="n"/>
      <c r="H19" s="231" t="n">
        <v>47500</v>
      </c>
      <c r="I19" s="232" t="n"/>
      <c r="J19" s="232" t="n">
        <v>47500</v>
      </c>
      <c r="K19" s="233" t="n"/>
      <c r="L19" s="233">
        <f>IF(K19&lt;&gt;"",10000+K19,10000)</f>
        <v/>
      </c>
      <c r="M19" s="156" t="n"/>
      <c r="N19" s="234" t="inlineStr">
        <is>
          <t>DÍAS DEL MES</t>
        </is>
      </c>
      <c r="O19" s="250" t="n">
        <v>30</v>
      </c>
      <c r="Q19" s="214" t="inlineStr">
        <is>
          <t>17</t>
        </is>
      </c>
      <c r="R19" s="215" t="inlineStr">
        <is>
          <t>PANADERIA BAGUETE</t>
        </is>
      </c>
      <c r="S19" s="216" t="n">
        <v>150000</v>
      </c>
      <c r="T19" s="236" t="n">
        <v>30000</v>
      </c>
      <c r="U19" s="218" t="n">
        <v>2</v>
      </c>
      <c r="V19" s="219" t="inlineStr">
        <is>
          <t>22/04/2026</t>
        </is>
      </c>
    </row>
    <row r="20" ht="15.75" customHeight="1" s="153">
      <c r="A20" s="237" t="n"/>
      <c r="B20" s="238" t="inlineStr">
        <is>
          <t>LA MADRID 7175</t>
        </is>
      </c>
      <c r="C20" s="239" t="n"/>
      <c r="D20" s="239" t="n">
        <v>1</v>
      </c>
      <c r="E20" s="239" t="n"/>
      <c r="F20" s="240" t="n"/>
      <c r="G20" s="240" t="n"/>
      <c r="H20" s="241" t="n">
        <v>39000</v>
      </c>
      <c r="I20" s="242" t="n"/>
      <c r="J20" s="242" t="n">
        <v>39000</v>
      </c>
      <c r="K20" s="233" t="n"/>
      <c r="L20" s="233">
        <f>IF(K20&lt;&gt;"",16500+K20,16500)</f>
        <v/>
      </c>
      <c r="M20" s="156" t="n"/>
      <c r="N20" s="243" t="n"/>
      <c r="O20" s="244" t="n"/>
      <c r="Q20" s="221" t="inlineStr">
        <is>
          <t>18</t>
        </is>
      </c>
      <c r="R20" s="222" t="inlineStr">
        <is>
          <t>DOMINGO SILVA 4217</t>
        </is>
      </c>
      <c r="S20" s="223" t="n">
        <v>142500</v>
      </c>
      <c r="T20" s="224" t="n">
        <v>30000</v>
      </c>
      <c r="U20" s="225" t="n">
        <v>2</v>
      </c>
      <c r="V20" s="226" t="inlineStr">
        <is>
          <t>19/04/2026</t>
        </is>
      </c>
    </row>
    <row r="21" ht="15.75" customHeight="1" s="153">
      <c r="A21" s="227" t="n"/>
      <c r="B21" s="228" t="inlineStr">
        <is>
          <t>ROTI ARISTOBULO 5401</t>
        </is>
      </c>
      <c r="C21" s="229" t="n"/>
      <c r="D21" s="229" t="n">
        <v>1</v>
      </c>
      <c r="E21" s="229" t="n"/>
      <c r="F21" s="230" t="n"/>
      <c r="G21" s="230" t="n"/>
      <c r="H21" s="231" t="n">
        <v>33500</v>
      </c>
      <c r="I21" s="232" t="n">
        <v>33500</v>
      </c>
      <c r="J21" s="232" t="n"/>
      <c r="K21" s="233" t="n"/>
      <c r="L21" s="233">
        <f>IF(K21&lt;&gt;"",11000+K21,11000)</f>
        <v/>
      </c>
      <c r="M21" s="156" t="n"/>
      <c r="N21" s="234" t="inlineStr">
        <is>
          <t>OBJETIVO ($)</t>
        </is>
      </c>
      <c r="O21" s="249" t="n"/>
      <c r="Q21" s="214" t="inlineStr">
        <is>
          <t>19</t>
        </is>
      </c>
      <c r="R21" s="215" t="inlineStr">
        <is>
          <t>PANA BERUTI 3850</t>
        </is>
      </c>
      <c r="S21" s="216" t="n">
        <v>142000</v>
      </c>
      <c r="T21" s="236" t="n">
        <v>37000</v>
      </c>
      <c r="U21" s="218" t="n">
        <v>1</v>
      </c>
      <c r="V21" s="219" t="inlineStr">
        <is>
          <t>08/04/2026</t>
        </is>
      </c>
    </row>
    <row r="22" ht="15.75" customHeight="1" s="153">
      <c r="A22" s="237" t="n">
        <v>46114</v>
      </c>
      <c r="B22" s="238" t="inlineStr">
        <is>
          <t>GABOTO 8168</t>
        </is>
      </c>
      <c r="C22" s="239" t="n"/>
      <c r="D22" s="239" t="n"/>
      <c r="E22" s="239" t="n">
        <v>1</v>
      </c>
      <c r="F22" s="240" t="n"/>
      <c r="G22" s="240" t="n"/>
      <c r="H22" s="241" t="n">
        <v>83000</v>
      </c>
      <c r="I22" s="242" t="n"/>
      <c r="J22" s="242" t="n">
        <v>83000</v>
      </c>
      <c r="K22" s="233" t="n"/>
      <c r="L22" s="233">
        <f>IF(K22&lt;&gt;"",23000+K22,23000)</f>
        <v/>
      </c>
      <c r="M22" s="156" t="n"/>
      <c r="N22" s="234" t="inlineStr">
        <is>
          <t>DIFERENCIA</t>
        </is>
      </c>
      <c r="O22" s="251">
        <f>IFERROR(SUM(L5:L700)-N21,0)</f>
        <v/>
      </c>
      <c r="Q22" s="221" t="inlineStr">
        <is>
          <t>20</t>
        </is>
      </c>
      <c r="R22" s="222" t="inlineStr">
        <is>
          <t>SANDRA</t>
        </is>
      </c>
      <c r="S22" s="223" t="n">
        <v>141000</v>
      </c>
      <c r="T22" s="224" t="n">
        <v>34300</v>
      </c>
      <c r="U22" s="225" t="n">
        <v>3</v>
      </c>
      <c r="V22" s="226" t="inlineStr">
        <is>
          <t>16/04/2026</t>
        </is>
      </c>
    </row>
    <row r="23" ht="15.75" customHeight="1" s="153">
      <c r="A23" s="227" t="n"/>
      <c r="B23" s="228" t="inlineStr">
        <is>
          <t>AZCUENAGA 5023</t>
        </is>
      </c>
      <c r="C23" s="229" t="n">
        <v>7</v>
      </c>
      <c r="D23" s="229" t="n"/>
      <c r="E23" s="229" t="n"/>
      <c r="F23" s="230" t="n"/>
      <c r="G23" s="230" t="n"/>
      <c r="H23" s="231" t="n">
        <v>133000</v>
      </c>
      <c r="I23" s="232" t="n"/>
      <c r="J23" s="232" t="n">
        <v>133000</v>
      </c>
      <c r="K23" s="233" t="n"/>
      <c r="L23" s="233">
        <f>IF(K23&lt;&gt;"",28000+K23,28000)</f>
        <v/>
      </c>
      <c r="M23" s="156" t="n"/>
      <c r="N23" s="156" t="n"/>
      <c r="O23" s="156" t="n"/>
      <c r="Q23" s="214" t="inlineStr">
        <is>
          <t>21</t>
        </is>
      </c>
      <c r="R23" s="215" t="inlineStr">
        <is>
          <t>DUSSO 7678</t>
        </is>
      </c>
      <c r="S23" s="216" t="n">
        <v>133000</v>
      </c>
      <c r="T23" s="236" t="n">
        <v>28000</v>
      </c>
      <c r="U23" s="218" t="n">
        <v>1</v>
      </c>
      <c r="V23" s="219" t="inlineStr">
        <is>
          <t>04/04/2026</t>
        </is>
      </c>
    </row>
    <row r="24" ht="15.75" customHeight="1" s="153">
      <c r="A24" s="237" t="n"/>
      <c r="B24" s="238" t="inlineStr">
        <is>
          <t>OTNIEL</t>
        </is>
      </c>
      <c r="C24" s="239" t="n">
        <v>1</v>
      </c>
      <c r="D24" s="239" t="n">
        <v>1</v>
      </c>
      <c r="E24" s="239" t="n"/>
      <c r="F24" s="240" t="n"/>
      <c r="G24" s="240" t="n"/>
      <c r="H24" s="241" t="n">
        <v>57000</v>
      </c>
      <c r="I24" s="242" t="n"/>
      <c r="J24" s="242" t="n">
        <v>57000</v>
      </c>
      <c r="K24" s="233" t="n"/>
      <c r="L24" s="233">
        <f>IF(K24&lt;&gt;"",19500+K24,19500)</f>
        <v/>
      </c>
      <c r="M24" s="156" t="n"/>
      <c r="N24" s="246" t="inlineStr">
        <is>
          <t>KG BUTANO</t>
        </is>
      </c>
      <c r="O24" s="252">
        <f>IFERROR((SUM(C5:C700)*10)+(SUM(D5:D700)*15),0)</f>
        <v/>
      </c>
      <c r="Q24" s="221" t="inlineStr">
        <is>
          <t>22</t>
        </is>
      </c>
      <c r="R24" s="222" t="inlineStr">
        <is>
          <t>LARGUIA 7287</t>
        </is>
      </c>
      <c r="S24" s="223" t="n">
        <v>132000</v>
      </c>
      <c r="T24" s="224" t="n">
        <v>42000</v>
      </c>
      <c r="U24" s="225" t="n">
        <v>1</v>
      </c>
      <c r="V24" s="226" t="inlineStr">
        <is>
          <t>20/04/2026</t>
        </is>
      </c>
    </row>
    <row r="25" ht="15.75" customHeight="1" s="153">
      <c r="A25" s="227" t="n"/>
      <c r="B25" s="228" t="inlineStr">
        <is>
          <t>LINIERS 3735</t>
        </is>
      </c>
      <c r="C25" s="229" t="n">
        <v>1</v>
      </c>
      <c r="D25" s="229" t="n"/>
      <c r="E25" s="229" t="n"/>
      <c r="F25" s="230" t="n"/>
      <c r="G25" s="230" t="n"/>
      <c r="H25" s="231" t="n">
        <v>26000</v>
      </c>
      <c r="I25" s="232" t="n">
        <v>26000</v>
      </c>
      <c r="J25" s="232" t="n"/>
      <c r="K25" s="233" t="n"/>
      <c r="L25" s="233">
        <f>IF(K25&lt;&gt;"",11000+K25,11000)</f>
        <v/>
      </c>
      <c r="M25" s="156" t="n"/>
      <c r="N25" s="246" t="inlineStr">
        <is>
          <t>KG PROPANO</t>
        </is>
      </c>
      <c r="O25" s="252">
        <f>IFERROR(SUM(E5:E700)*45,0)</f>
        <v/>
      </c>
      <c r="Q25" s="214" t="inlineStr">
        <is>
          <t>23</t>
        </is>
      </c>
      <c r="R25" s="215" t="inlineStr">
        <is>
          <t>ROTI AGUADO</t>
        </is>
      </c>
      <c r="S25" s="216" t="n">
        <v>115500</v>
      </c>
      <c r="T25" s="236" t="n">
        <v>33000</v>
      </c>
      <c r="U25" s="218" t="n">
        <v>2</v>
      </c>
      <c r="V25" s="219" t="inlineStr">
        <is>
          <t>17/04/2026</t>
        </is>
      </c>
    </row>
    <row r="26" ht="15.75" customHeight="1" s="153">
      <c r="A26" s="237" t="n"/>
      <c r="B26" s="238" t="inlineStr">
        <is>
          <t>SIRLAKI</t>
        </is>
      </c>
      <c r="C26" s="239" t="n"/>
      <c r="D26" s="239" t="n"/>
      <c r="E26" s="239" t="n">
        <v>1</v>
      </c>
      <c r="F26" s="240" t="n"/>
      <c r="G26" s="240" t="n"/>
      <c r="H26" s="241" t="n">
        <v>80000</v>
      </c>
      <c r="I26" s="242" t="n"/>
      <c r="J26" s="242" t="n">
        <v>80000</v>
      </c>
      <c r="K26" s="233" t="n"/>
      <c r="L26" s="233">
        <f>IF(K26&lt;&gt;"",20000+K26,20000)</f>
        <v/>
      </c>
      <c r="M26" s="156" t="n"/>
      <c r="N26" s="246" t="inlineStr">
        <is>
          <t>KG TOTAL</t>
        </is>
      </c>
      <c r="O26" s="252">
        <f>IFERROR(O24+O25,0)</f>
        <v/>
      </c>
      <c r="Q26" s="221" t="inlineStr">
        <is>
          <t>24</t>
        </is>
      </c>
      <c r="R26" s="222" t="inlineStr">
        <is>
          <t>GOLRD BURGER</t>
        </is>
      </c>
      <c r="S26" s="223" t="n">
        <v>115000</v>
      </c>
      <c r="T26" s="224" t="n">
        <v>40000</v>
      </c>
      <c r="U26" s="225" t="n">
        <v>1</v>
      </c>
      <c r="V26" s="226" t="inlineStr">
        <is>
          <t>04/04/2026</t>
        </is>
      </c>
    </row>
    <row r="27" ht="15.75" customHeight="1" s="153">
      <c r="A27" s="227" t="n"/>
      <c r="B27" s="228" t="inlineStr">
        <is>
          <t>DANA</t>
        </is>
      </c>
      <c r="C27" s="229" t="n">
        <v>3</v>
      </c>
      <c r="D27" s="229" t="n"/>
      <c r="E27" s="229" t="n"/>
      <c r="F27" s="230" t="n"/>
      <c r="G27" s="230" t="n"/>
      <c r="H27" s="231" t="n">
        <v>57000</v>
      </c>
      <c r="I27" s="232" t="n">
        <v>57000</v>
      </c>
      <c r="J27" s="232" t="n"/>
      <c r="K27" s="233" t="n"/>
      <c r="L27" s="233">
        <f>IF(K27&lt;&gt;"",12000+K27,12000)</f>
        <v/>
      </c>
      <c r="M27" s="156" t="n"/>
      <c r="N27" s="156" t="n"/>
      <c r="O27" s="156" t="n"/>
      <c r="Q27" s="214" t="inlineStr">
        <is>
          <t>25</t>
        </is>
      </c>
      <c r="R27" s="215" t="inlineStr">
        <is>
          <t>COGORNP 5520</t>
        </is>
      </c>
      <c r="S27" s="216" t="n">
        <v>114000</v>
      </c>
      <c r="T27" s="236" t="n">
        <v>24000</v>
      </c>
      <c r="U27" s="218" t="n">
        <v>1</v>
      </c>
      <c r="V27" s="219" t="inlineStr">
        <is>
          <t>18/04/2026</t>
        </is>
      </c>
    </row>
    <row r="28" ht="15.75" customHeight="1" s="153">
      <c r="A28" s="237" t="n"/>
      <c r="B28" s="238" t="inlineStr">
        <is>
          <t>CASTELLI 2219</t>
        </is>
      </c>
      <c r="C28" s="239" t="n">
        <v>1</v>
      </c>
      <c r="D28" s="239" t="n"/>
      <c r="E28" s="239" t="n"/>
      <c r="F28" s="240" t="n"/>
      <c r="G28" s="240" t="n"/>
      <c r="H28" s="241" t="n">
        <v>27000</v>
      </c>
      <c r="I28" s="242" t="n"/>
      <c r="J28" s="242" t="n">
        <v>27000</v>
      </c>
      <c r="K28" s="233" t="n"/>
      <c r="L28" s="233">
        <f>IF(K28&lt;&gt;"",12000+K28,12000)</f>
        <v/>
      </c>
      <c r="M28" s="156" t="n"/>
      <c r="N28" s="246" t="inlineStr">
        <is>
          <t>TICKET PROM. VENTA</t>
        </is>
      </c>
      <c r="O28" s="253">
        <f>IFERROR(SUM(H5:H700)/COUNTA(B5:B700),0)</f>
        <v/>
      </c>
      <c r="Q28" s="221" t="inlineStr">
        <is>
          <t>26</t>
        </is>
      </c>
      <c r="R28" s="222" t="inlineStr">
        <is>
          <t>VIANDAS JORGE</t>
        </is>
      </c>
      <c r="S28" s="223" t="n">
        <v>110000</v>
      </c>
      <c r="T28" s="224" t="n">
        <v>35000</v>
      </c>
      <c r="U28" s="225" t="n">
        <v>5</v>
      </c>
      <c r="V28" s="226" t="inlineStr">
        <is>
          <t>20/04/2026</t>
        </is>
      </c>
    </row>
    <row r="29" ht="15.75" customHeight="1" s="153">
      <c r="A29" s="227" t="n"/>
      <c r="B29" s="228" t="inlineStr">
        <is>
          <t>TERE</t>
        </is>
      </c>
      <c r="C29" s="229" t="n"/>
      <c r="D29" s="229" t="n"/>
      <c r="E29" s="229" t="n">
        <v>2</v>
      </c>
      <c r="F29" s="230" t="n"/>
      <c r="G29" s="230" t="n"/>
      <c r="H29" s="231" t="n">
        <v>172000</v>
      </c>
      <c r="I29" s="232" t="n">
        <v>86000</v>
      </c>
      <c r="J29" s="232" t="n">
        <v>86000</v>
      </c>
      <c r="K29" s="233" t="n"/>
      <c r="L29" s="233">
        <f>IF(K29&lt;&gt;"",52000+K29,52000)</f>
        <v/>
      </c>
      <c r="M29" s="156" t="n"/>
      <c r="N29" s="246" t="inlineStr">
        <is>
          <t>TICKET PROM. GANANCIA</t>
        </is>
      </c>
      <c r="O29" s="253">
        <f>IFERROR(SUM(L5:L700)/COUNTA(B5:B700),0)</f>
        <v/>
      </c>
      <c r="Q29" s="214" t="inlineStr">
        <is>
          <t>27</t>
        </is>
      </c>
      <c r="R29" s="215" t="inlineStr">
        <is>
          <t>DANTE</t>
        </is>
      </c>
      <c r="S29" s="216" t="n">
        <v>108000</v>
      </c>
      <c r="T29" s="236" t="n">
        <v>48000</v>
      </c>
      <c r="U29" s="218" t="n">
        <v>2</v>
      </c>
      <c r="V29" s="219" t="inlineStr">
        <is>
          <t>12/04/2026</t>
        </is>
      </c>
    </row>
    <row r="30" ht="15.75" customHeight="1" s="153">
      <c r="A30" s="237" t="n"/>
      <c r="B30" s="238" t="inlineStr">
        <is>
          <t>TACUARI 5717</t>
        </is>
      </c>
      <c r="C30" s="239" t="n">
        <v>1</v>
      </c>
      <c r="D30" s="239" t="n"/>
      <c r="E30" s="239" t="n"/>
      <c r="F30" s="240" t="n"/>
      <c r="G30" s="240" t="n"/>
      <c r="H30" s="241" t="n">
        <v>25000</v>
      </c>
      <c r="I30" s="242" t="n"/>
      <c r="J30" s="242" t="n">
        <v>25000</v>
      </c>
      <c r="K30" s="233" t="n"/>
      <c r="L30" s="233">
        <f>IF(K30&lt;&gt;"",10000+K30,10000)</f>
        <v/>
      </c>
      <c r="M30" s="156" t="n"/>
      <c r="N30" s="156" t="n"/>
      <c r="O30" s="156" t="n"/>
      <c r="Q30" s="221" t="inlineStr">
        <is>
          <t>28</t>
        </is>
      </c>
      <c r="R30" s="222" t="inlineStr">
        <is>
          <t>PORKIS</t>
        </is>
      </c>
      <c r="S30" s="223" t="n">
        <v>105000</v>
      </c>
      <c r="T30" s="224" t="n">
        <v>30000</v>
      </c>
      <c r="U30" s="225" t="n">
        <v>2</v>
      </c>
      <c r="V30" s="226" t="inlineStr">
        <is>
          <t>19/04/2026</t>
        </is>
      </c>
    </row>
    <row r="31" ht="15.75" customHeight="1" s="153">
      <c r="A31" s="227" t="n"/>
      <c r="B31" s="228" t="inlineStr">
        <is>
          <t>BAIGORRIA 9351</t>
        </is>
      </c>
      <c r="C31" s="229" t="n"/>
      <c r="D31" s="229" t="n"/>
      <c r="E31" s="229" t="n">
        <v>1</v>
      </c>
      <c r="F31" s="230" t="n"/>
      <c r="G31" s="230" t="n"/>
      <c r="H31" s="231" t="n">
        <v>90000</v>
      </c>
      <c r="I31" s="232" t="n">
        <v>90000</v>
      </c>
      <c r="J31" s="232" t="n"/>
      <c r="K31" s="233" t="n"/>
      <c r="L31" s="233">
        <f>IF(K31&lt;&gt;"",30000+K31,30000)</f>
        <v/>
      </c>
      <c r="M31" s="156" t="n"/>
      <c r="N31" s="156" t="n"/>
      <c r="O31" s="156" t="n"/>
      <c r="Q31" s="214" t="inlineStr">
        <is>
          <t>29</t>
        </is>
      </c>
      <c r="R31" s="215" t="inlineStr">
        <is>
          <t>CANCHA RIVADAVIA</t>
        </is>
      </c>
      <c r="S31" s="216" t="n">
        <v>105000</v>
      </c>
      <c r="T31" s="236" t="n">
        <v>30000</v>
      </c>
      <c r="U31" s="218" t="n">
        <v>1</v>
      </c>
      <c r="V31" s="219" t="inlineStr">
        <is>
          <t>11/04/2026</t>
        </is>
      </c>
    </row>
    <row r="32" ht="15.75" customHeight="1" s="153">
      <c r="A32" s="237" t="n"/>
      <c r="B32" s="238" t="inlineStr">
        <is>
          <t>EXE</t>
        </is>
      </c>
      <c r="C32" s="239" t="n"/>
      <c r="D32" s="239" t="n"/>
      <c r="E32" s="239" t="n">
        <v>1</v>
      </c>
      <c r="F32" s="240" t="n"/>
      <c r="G32" s="240" t="n"/>
      <c r="H32" s="241" t="n">
        <v>82000</v>
      </c>
      <c r="I32" s="242" t="n"/>
      <c r="J32" s="242" t="n">
        <v>82000</v>
      </c>
      <c r="K32" s="233" t="n"/>
      <c r="L32" s="233">
        <f>IF(K32&lt;&gt;"",22000+K32,22000)</f>
        <v/>
      </c>
      <c r="M32" s="156" t="n"/>
      <c r="N32" s="156" t="n"/>
      <c r="O32" s="156" t="n"/>
      <c r="Q32" s="221" t="inlineStr">
        <is>
          <t>30</t>
        </is>
      </c>
      <c r="R32" s="222" t="inlineStr">
        <is>
          <t>GARMENDIA 9250</t>
        </is>
      </c>
      <c r="S32" s="223" t="n">
        <v>102000</v>
      </c>
      <c r="T32" s="224" t="n">
        <v>40300</v>
      </c>
      <c r="U32" s="225" t="n">
        <v>2</v>
      </c>
      <c r="V32" s="226" t="inlineStr">
        <is>
          <t>17/04/2026</t>
        </is>
      </c>
    </row>
    <row r="33" ht="15.75" customHeight="1" s="153">
      <c r="A33" s="227" t="n"/>
      <c r="B33" s="228" t="inlineStr">
        <is>
          <t>NACHO</t>
        </is>
      </c>
      <c r="C33" s="229" t="n">
        <v>1</v>
      </c>
      <c r="D33" s="229" t="n">
        <v>1</v>
      </c>
      <c r="E33" s="229" t="n"/>
      <c r="F33" s="230" t="n"/>
      <c r="G33" s="230" t="n"/>
      <c r="H33" s="231" t="n">
        <v>56500</v>
      </c>
      <c r="I33" s="232" t="n">
        <v>56500</v>
      </c>
      <c r="J33" s="232" t="n"/>
      <c r="K33" s="233" t="n"/>
      <c r="L33" s="233">
        <f>IF(K33&lt;&gt;"",19000+K33,19000)</f>
        <v/>
      </c>
      <c r="M33" s="156" t="n"/>
      <c r="N33" s="156" t="n"/>
      <c r="O33" s="156" t="n"/>
      <c r="Q33" s="214" t="inlineStr">
        <is>
          <t>31</t>
        </is>
      </c>
      <c r="R33" s="215" t="inlineStr">
        <is>
          <t>POSTA COLASTINE</t>
        </is>
      </c>
      <c r="S33" s="216" t="n">
        <v>100000</v>
      </c>
      <c r="T33" s="236" t="n">
        <v>25000</v>
      </c>
      <c r="U33" s="218" t="n">
        <v>1</v>
      </c>
      <c r="V33" s="219" t="inlineStr">
        <is>
          <t>04/04/2026</t>
        </is>
      </c>
    </row>
    <row r="34" ht="15.75" customHeight="1" s="153">
      <c r="A34" s="237" t="n"/>
      <c r="B34" s="238" t="inlineStr">
        <is>
          <t>GABOTO 7298</t>
        </is>
      </c>
      <c r="C34" s="239" t="n"/>
      <c r="D34" s="239" t="n">
        <v>1</v>
      </c>
      <c r="E34" s="239" t="n"/>
      <c r="F34" s="240" t="n"/>
      <c r="G34" s="240" t="n"/>
      <c r="H34" s="241" t="n">
        <v>39000</v>
      </c>
      <c r="I34" s="242" t="n">
        <v>39000</v>
      </c>
      <c r="J34" s="242" t="n"/>
      <c r="K34" s="233" t="n"/>
      <c r="L34" s="233">
        <f>IF(K34&lt;&gt;"",16500+K34,16500)</f>
        <v/>
      </c>
      <c r="M34" s="156" t="n"/>
      <c r="N34" s="156" t="n"/>
      <c r="O34" s="156" t="n"/>
      <c r="Q34" s="221" t="inlineStr">
        <is>
          <t>32</t>
        </is>
      </c>
      <c r="R34" s="222" t="inlineStr">
        <is>
          <t>FREIRE 6181</t>
        </is>
      </c>
      <c r="S34" s="223" t="n">
        <v>96000</v>
      </c>
      <c r="T34" s="224" t="n">
        <v>36000</v>
      </c>
      <c r="U34" s="225" t="n">
        <v>1</v>
      </c>
      <c r="V34" s="226" t="inlineStr">
        <is>
          <t>06/04/2026</t>
        </is>
      </c>
    </row>
    <row r="35" ht="15.75" customHeight="1" s="153">
      <c r="A35" s="227" t="n"/>
      <c r="B35" s="228" t="inlineStr">
        <is>
          <t>GOROSTIAGA 4619</t>
        </is>
      </c>
      <c r="C35" s="229" t="n"/>
      <c r="D35" s="229" t="n"/>
      <c r="E35" s="229" t="n">
        <v>1</v>
      </c>
      <c r="F35" s="230" t="n"/>
      <c r="G35" s="230" t="n"/>
      <c r="H35" s="231" t="n">
        <v>88000</v>
      </c>
      <c r="I35" s="232" t="n"/>
      <c r="J35" s="232" t="n">
        <v>88000</v>
      </c>
      <c r="K35" s="233" t="n"/>
      <c r="L35" s="233">
        <f>IF(K35&lt;&gt;"",28000+K35,28000)</f>
        <v/>
      </c>
      <c r="M35" s="156" t="n"/>
      <c r="N35" s="156" t="n"/>
      <c r="O35" s="156" t="n"/>
      <c r="Q35" s="214" t="inlineStr">
        <is>
          <t>33</t>
        </is>
      </c>
      <c r="R35" s="215" t="inlineStr">
        <is>
          <t>GASTON AMARAL</t>
        </is>
      </c>
      <c r="S35" s="216" t="n">
        <v>95000</v>
      </c>
      <c r="T35" s="236" t="n">
        <v>30400</v>
      </c>
      <c r="U35" s="218" t="n">
        <v>1</v>
      </c>
      <c r="V35" s="219" t="inlineStr">
        <is>
          <t>15/04/2026</t>
        </is>
      </c>
    </row>
    <row r="36" ht="15.75" customHeight="1" s="153">
      <c r="A36" s="237" t="n"/>
      <c r="B36" s="238" t="inlineStr">
        <is>
          <t>LARGUIA 6924</t>
        </is>
      </c>
      <c r="C36" s="239" t="n">
        <v>1</v>
      </c>
      <c r="D36" s="239" t="n"/>
      <c r="E36" s="239" t="n"/>
      <c r="F36" s="240" t="n"/>
      <c r="G36" s="240" t="n"/>
      <c r="H36" s="241" t="n">
        <v>25000</v>
      </c>
      <c r="I36" s="242" t="n">
        <v>25000</v>
      </c>
      <c r="J36" s="242" t="n"/>
      <c r="K36" s="233" t="n"/>
      <c r="L36" s="233">
        <f>IF(K36&lt;&gt;"",10000+K36,10000)</f>
        <v/>
      </c>
      <c r="M36" s="156" t="n"/>
      <c r="N36" s="156" t="n"/>
      <c r="O36" s="156" t="n"/>
      <c r="Q36" s="221" t="inlineStr">
        <is>
          <t>34</t>
        </is>
      </c>
      <c r="R36" s="222" t="inlineStr">
        <is>
          <t>ESTRADA 2198</t>
        </is>
      </c>
      <c r="S36" s="223" t="n">
        <v>95000</v>
      </c>
      <c r="T36" s="224" t="n">
        <v>35000</v>
      </c>
      <c r="U36" s="225" t="n">
        <v>1</v>
      </c>
      <c r="V36" s="226" t="inlineStr">
        <is>
          <t>10/04/2026</t>
        </is>
      </c>
    </row>
    <row r="37" ht="15.75" customHeight="1" s="153">
      <c r="A37" s="227" t="n"/>
      <c r="B37" s="228" t="inlineStr">
        <is>
          <t>BELNGRANO 3881</t>
        </is>
      </c>
      <c r="C37" s="229" t="n">
        <v>2</v>
      </c>
      <c r="D37" s="229" t="n"/>
      <c r="E37" s="229" t="n"/>
      <c r="F37" s="230" t="n"/>
      <c r="G37" s="230" t="n"/>
      <c r="H37" s="231" t="n">
        <v>54000</v>
      </c>
      <c r="I37" s="232" t="n"/>
      <c r="J37" s="232" t="n">
        <v>54000</v>
      </c>
      <c r="K37" s="233" t="n"/>
      <c r="L37" s="233">
        <f>IF(K37&lt;&gt;"",24000+K37,24000)</f>
        <v/>
      </c>
      <c r="M37" s="156" t="n"/>
      <c r="N37" s="156" t="n"/>
      <c r="O37" s="156" t="n"/>
      <c r="Q37" s="214" t="inlineStr">
        <is>
          <t>35</t>
        </is>
      </c>
      <c r="R37" s="215" t="inlineStr">
        <is>
          <t>PAULO</t>
        </is>
      </c>
      <c r="S37" s="216" t="n">
        <v>94000</v>
      </c>
      <c r="T37" s="236" t="n">
        <v>19000</v>
      </c>
      <c r="U37" s="218" t="n">
        <v>2</v>
      </c>
      <c r="V37" s="219" t="inlineStr">
        <is>
          <t>13/04/2026</t>
        </is>
      </c>
    </row>
    <row r="38" ht="15.75" customHeight="1" s="153">
      <c r="A38" s="237" t="n">
        <v>46115</v>
      </c>
      <c r="B38" s="238" t="inlineStr">
        <is>
          <t>PAVON 2124</t>
        </is>
      </c>
      <c r="C38" s="239" t="n"/>
      <c r="D38" s="239" t="n">
        <v>1</v>
      </c>
      <c r="E38" s="239" t="n"/>
      <c r="F38" s="240" t="n"/>
      <c r="G38" s="240" t="n"/>
      <c r="H38" s="241" t="n">
        <v>39000</v>
      </c>
      <c r="I38" s="242" t="n">
        <v>39000</v>
      </c>
      <c r="J38" s="242" t="n"/>
      <c r="K38" s="233" t="n"/>
      <c r="L38" s="233">
        <f>IF(K38&lt;&gt;"",16500+K38,16500)</f>
        <v/>
      </c>
      <c r="M38" s="156" t="n"/>
      <c r="N38" s="156" t="n"/>
      <c r="O38" s="156" t="n"/>
      <c r="Q38" s="221" t="inlineStr">
        <is>
          <t>36</t>
        </is>
      </c>
      <c r="R38" s="222" t="inlineStr">
        <is>
          <t>SAVEDRA 10125</t>
        </is>
      </c>
      <c r="S38" s="223" t="n">
        <v>92000</v>
      </c>
      <c r="T38" s="224" t="n">
        <v>32000</v>
      </c>
      <c r="U38" s="225" t="n">
        <v>1</v>
      </c>
      <c r="V38" s="226" t="inlineStr">
        <is>
          <t>09/04/2026</t>
        </is>
      </c>
    </row>
    <row r="39" ht="15.75" customHeight="1" s="153">
      <c r="A39" s="227" t="n"/>
      <c r="B39" s="228" t="inlineStr">
        <is>
          <t>D SILVA 4217</t>
        </is>
      </c>
      <c r="C39" s="229" t="n">
        <v>2</v>
      </c>
      <c r="D39" s="229" t="n"/>
      <c r="E39" s="229" t="n"/>
      <c r="F39" s="230" t="n"/>
      <c r="G39" s="230" t="n"/>
      <c r="H39" s="231" t="n">
        <v>38000</v>
      </c>
      <c r="I39" s="232" t="n"/>
      <c r="J39" s="232" t="n">
        <v>38000</v>
      </c>
      <c r="K39" s="233" t="n"/>
      <c r="L39" s="233">
        <f>IF(K39&lt;&gt;"",8000+K39,8000)</f>
        <v/>
      </c>
      <c r="M39" s="156" t="n"/>
      <c r="N39" s="156" t="n"/>
      <c r="O39" s="156" t="n"/>
      <c r="Q39" s="214" t="inlineStr">
        <is>
          <t>37</t>
        </is>
      </c>
      <c r="R39" s="215" t="inlineStr">
        <is>
          <t>ILGATO</t>
        </is>
      </c>
      <c r="S39" s="216" t="n">
        <v>92000</v>
      </c>
      <c r="T39" s="236" t="n">
        <v>32000</v>
      </c>
      <c r="U39" s="218" t="n">
        <v>1</v>
      </c>
      <c r="V39" s="219" t="inlineStr">
        <is>
          <t>12/04/2026</t>
        </is>
      </c>
    </row>
    <row r="40" ht="15.75" customHeight="1" s="153">
      <c r="A40" s="237" t="n"/>
      <c r="B40" s="238" t="inlineStr">
        <is>
          <t>ROTI ROCA 6371</t>
        </is>
      </c>
      <c r="C40" s="239" t="n">
        <v>1</v>
      </c>
      <c r="D40" s="239" t="n"/>
      <c r="E40" s="239" t="n"/>
      <c r="F40" s="240" t="n"/>
      <c r="G40" s="240" t="n"/>
      <c r="H40" s="241" t="n">
        <v>25000</v>
      </c>
      <c r="I40" s="242" t="n"/>
      <c r="J40" s="242" t="n">
        <v>25000</v>
      </c>
      <c r="K40" s="233" t="n"/>
      <c r="L40" s="233">
        <f>IF(K40&lt;&gt;"",10000+K40,10000)</f>
        <v/>
      </c>
      <c r="M40" s="156" t="n"/>
      <c r="N40" s="156" t="n"/>
      <c r="O40" s="156" t="n"/>
      <c r="Q40" s="221" t="inlineStr">
        <is>
          <t>38</t>
        </is>
      </c>
      <c r="R40" s="222" t="inlineStr">
        <is>
          <t>EUROPA 9186</t>
        </is>
      </c>
      <c r="S40" s="223" t="n">
        <v>90000</v>
      </c>
      <c r="T40" s="224" t="n">
        <v>30000</v>
      </c>
      <c r="U40" s="225" t="n">
        <v>1</v>
      </c>
      <c r="V40" s="226" t="inlineStr">
        <is>
          <t>04/04/2026</t>
        </is>
      </c>
    </row>
    <row r="41" ht="15.75" customHeight="1" s="153">
      <c r="A41" s="227" t="n"/>
      <c r="B41" s="228" t="inlineStr">
        <is>
          <t>BLS PARERA 8380</t>
        </is>
      </c>
      <c r="C41" s="229" t="n"/>
      <c r="D41" s="229" t="n">
        <v>1</v>
      </c>
      <c r="E41" s="229" t="n"/>
      <c r="F41" s="230" t="n"/>
      <c r="G41" s="230" t="n"/>
      <c r="H41" s="231" t="n">
        <v>39000</v>
      </c>
      <c r="I41" s="232" t="n">
        <v>39000</v>
      </c>
      <c r="J41" s="232" t="n"/>
      <c r="K41" s="233" t="n"/>
      <c r="L41" s="233">
        <f>IF(K41&lt;&gt;"",16500+K41,16500)</f>
        <v/>
      </c>
      <c r="M41" s="156" t="n"/>
      <c r="N41" s="156" t="n"/>
      <c r="O41" s="156" t="n"/>
      <c r="Q41" s="214" t="inlineStr">
        <is>
          <t>39</t>
        </is>
      </c>
      <c r="R41" s="215" t="inlineStr">
        <is>
          <t>TOFFO</t>
        </is>
      </c>
      <c r="S41" s="216" t="n">
        <v>90000</v>
      </c>
      <c r="T41" s="236" t="n">
        <v>30000</v>
      </c>
      <c r="U41" s="218" t="n">
        <v>1</v>
      </c>
      <c r="V41" s="219" t="inlineStr">
        <is>
          <t>22/04/2026</t>
        </is>
      </c>
    </row>
    <row r="42" ht="15.75" customHeight="1" s="153">
      <c r="A42" s="237" t="n"/>
      <c r="B42" s="238" t="inlineStr">
        <is>
          <t>M CANDIOTI 6141</t>
        </is>
      </c>
      <c r="C42" s="239" t="n">
        <v>1</v>
      </c>
      <c r="D42" s="239" t="n"/>
      <c r="E42" s="239" t="n"/>
      <c r="F42" s="240" t="n"/>
      <c r="G42" s="240" t="n"/>
      <c r="H42" s="241" t="n">
        <v>26000</v>
      </c>
      <c r="I42" s="242" t="n">
        <v>26000</v>
      </c>
      <c r="J42" s="242" t="n"/>
      <c r="K42" s="233" t="n"/>
      <c r="L42" s="233">
        <f>IF(K42&lt;&gt;"",11000+K42,11000)</f>
        <v/>
      </c>
      <c r="M42" s="156" t="n"/>
      <c r="N42" s="156" t="n"/>
      <c r="O42" s="156" t="n"/>
      <c r="Q42" s="221" t="inlineStr">
        <is>
          <t>40</t>
        </is>
      </c>
      <c r="R42" s="222" t="inlineStr">
        <is>
          <t>BAIGORRIA 9351</t>
        </is>
      </c>
      <c r="S42" s="223" t="n">
        <v>90000</v>
      </c>
      <c r="T42" s="224" t="n">
        <v>30000</v>
      </c>
      <c r="U42" s="225" t="n">
        <v>1</v>
      </c>
      <c r="V42" s="226" t="inlineStr">
        <is>
          <t>02/04/2026</t>
        </is>
      </c>
    </row>
    <row r="43" ht="15.75" customHeight="1" s="153">
      <c r="A43" s="227" t="n"/>
      <c r="B43" s="228" t="inlineStr">
        <is>
          <t>DANA</t>
        </is>
      </c>
      <c r="C43" s="229" t="n">
        <v>3</v>
      </c>
      <c r="D43" s="229" t="n">
        <v>1</v>
      </c>
      <c r="E43" s="229" t="n"/>
      <c r="F43" s="230" t="n"/>
      <c r="G43" s="230" t="n"/>
      <c r="H43" s="231" t="n">
        <v>86000</v>
      </c>
      <c r="I43" s="232" t="n"/>
      <c r="J43" s="232" t="n">
        <v>86000</v>
      </c>
      <c r="K43" s="233" t="n"/>
      <c r="L43" s="233">
        <f>IF(K43&lt;&gt;"",18500+K43,18500)</f>
        <v/>
      </c>
      <c r="M43" s="156" t="n"/>
      <c r="N43" s="156" t="n"/>
      <c r="O43" s="156" t="n"/>
      <c r="Q43" s="214" t="inlineStr">
        <is>
          <t>41</t>
        </is>
      </c>
      <c r="R43" s="215" t="inlineStr">
        <is>
          <t>GORRITI 1418</t>
        </is>
      </c>
      <c r="S43" s="216" t="n">
        <v>90000</v>
      </c>
      <c r="T43" s="236" t="n">
        <v>30000</v>
      </c>
      <c r="U43" s="218" t="n">
        <v>1</v>
      </c>
      <c r="V43" s="219" t="inlineStr">
        <is>
          <t>05/02/2026</t>
        </is>
      </c>
    </row>
    <row r="44" ht="15.75" customHeight="1" s="153">
      <c r="A44" s="237" t="n"/>
      <c r="B44" s="238" t="inlineStr">
        <is>
          <t>SAN LORENZO 5949</t>
        </is>
      </c>
      <c r="C44" s="239" t="n">
        <v>1</v>
      </c>
      <c r="D44" s="239" t="n"/>
      <c r="E44" s="239" t="n"/>
      <c r="F44" s="240" t="n"/>
      <c r="G44" s="240" t="n"/>
      <c r="H44" s="241" t="n">
        <v>25000</v>
      </c>
      <c r="I44" s="242" t="n">
        <v>25000</v>
      </c>
      <c r="J44" s="242" t="n"/>
      <c r="K44" s="233" t="n"/>
      <c r="L44" s="233">
        <f>IF(K44&lt;&gt;"",10000+K44,10000)</f>
        <v/>
      </c>
      <c r="M44" s="156" t="n"/>
      <c r="N44" s="156" t="n"/>
      <c r="O44" s="156" t="n"/>
      <c r="Q44" s="221" t="inlineStr">
        <is>
          <t>42</t>
        </is>
      </c>
      <c r="R44" s="222" t="inlineStr">
        <is>
          <t>LA PLATA 2834</t>
        </is>
      </c>
      <c r="S44" s="223" t="n">
        <v>90000</v>
      </c>
      <c r="T44" s="224" t="n">
        <v>30000</v>
      </c>
      <c r="U44" s="225" t="n">
        <v>1</v>
      </c>
      <c r="V44" s="226" t="inlineStr">
        <is>
          <t>05/02/2026</t>
        </is>
      </c>
    </row>
    <row r="45" ht="15.75" customHeight="1" s="153">
      <c r="A45" s="227" t="n"/>
      <c r="B45" s="228" t="inlineStr">
        <is>
          <t>SABORERAR</t>
        </is>
      </c>
      <c r="C45" s="229" t="n">
        <v>1</v>
      </c>
      <c r="D45" s="229" t="n"/>
      <c r="E45" s="229" t="n"/>
      <c r="F45" s="230" t="n"/>
      <c r="G45" s="230" t="n"/>
      <c r="H45" s="231" t="n">
        <v>22500</v>
      </c>
      <c r="I45" s="232" t="n"/>
      <c r="J45" s="232" t="n">
        <v>22500</v>
      </c>
      <c r="K45" s="233" t="n"/>
      <c r="L45" s="233">
        <f>IF(K45&lt;&gt;"",7500+K45,7500)</f>
        <v/>
      </c>
      <c r="M45" s="156" t="n"/>
      <c r="N45" s="156" t="n"/>
      <c r="O45" s="156" t="n"/>
      <c r="Q45" s="214" t="inlineStr">
        <is>
          <t>43</t>
        </is>
      </c>
      <c r="R45" s="215" t="inlineStr">
        <is>
          <t>MARIANA</t>
        </is>
      </c>
      <c r="S45" s="216" t="n">
        <v>90000</v>
      </c>
      <c r="T45" s="236" t="n">
        <v>30000</v>
      </c>
      <c r="U45" s="218" t="n">
        <v>1</v>
      </c>
      <c r="V45" s="219" t="inlineStr">
        <is>
          <t>08/04/2026</t>
        </is>
      </c>
    </row>
    <row r="46" ht="15.75" customHeight="1" s="153">
      <c r="A46" s="237" t="n"/>
      <c r="B46" s="238" t="inlineStr">
        <is>
          <t>BLAS PARERA 9129</t>
        </is>
      </c>
      <c r="C46" s="239" t="n">
        <v>1</v>
      </c>
      <c r="D46" s="239" t="n"/>
      <c r="E46" s="239" t="n"/>
      <c r="F46" s="240" t="n"/>
      <c r="G46" s="240" t="n"/>
      <c r="H46" s="241" t="n">
        <v>27000</v>
      </c>
      <c r="I46" s="242" t="n">
        <v>27000</v>
      </c>
      <c r="J46" s="242" t="n"/>
      <c r="K46" s="233" t="n"/>
      <c r="L46" s="233">
        <f>IF(K46&lt;&gt;"",12000+K46,12000)</f>
        <v/>
      </c>
      <c r="M46" s="156" t="n"/>
      <c r="N46" s="156" t="n"/>
      <c r="O46" s="156" t="n"/>
      <c r="Q46" s="221" t="inlineStr">
        <is>
          <t>44</t>
        </is>
      </c>
      <c r="R46" s="222" t="inlineStr">
        <is>
          <t>PEDRO VEGA 4343</t>
        </is>
      </c>
      <c r="S46" s="223" t="n">
        <v>90000</v>
      </c>
      <c r="T46" s="224" t="n">
        <v>30000</v>
      </c>
      <c r="U46" s="225" t="n">
        <v>1</v>
      </c>
      <c r="V46" s="226" t="inlineStr">
        <is>
          <t>09/04/2026</t>
        </is>
      </c>
    </row>
    <row r="47" ht="15.75" customHeight="1" s="153">
      <c r="A47" s="227" t="n">
        <v>46116</v>
      </c>
      <c r="B47" s="228" t="inlineStr">
        <is>
          <t>CHICLANA 7325</t>
        </is>
      </c>
      <c r="C47" s="229" t="n">
        <v>1</v>
      </c>
      <c r="D47" s="229" t="n"/>
      <c r="E47" s="229" t="n"/>
      <c r="F47" s="230" t="n"/>
      <c r="G47" s="230" t="n"/>
      <c r="H47" s="231" t="n">
        <v>19000</v>
      </c>
      <c r="I47" s="232" t="n"/>
      <c r="J47" s="232" t="n">
        <v>19000</v>
      </c>
      <c r="K47" s="233" t="n"/>
      <c r="L47" s="233">
        <f>IF(K47&lt;&gt;"",4000+K47,4000)</f>
        <v/>
      </c>
      <c r="M47" s="156" t="n"/>
      <c r="N47" s="156" t="n"/>
      <c r="O47" s="156" t="n"/>
      <c r="Q47" s="214" t="inlineStr">
        <is>
          <t>45</t>
        </is>
      </c>
      <c r="R47" s="215" t="inlineStr">
        <is>
          <t>ARISTOBULO 6897</t>
        </is>
      </c>
      <c r="S47" s="216" t="n">
        <v>90000</v>
      </c>
      <c r="T47" s="236" t="n">
        <v>30000</v>
      </c>
      <c r="U47" s="218" t="n">
        <v>1</v>
      </c>
      <c r="V47" s="219" t="inlineStr">
        <is>
          <t>11/04/2026</t>
        </is>
      </c>
    </row>
    <row r="48" ht="15.75" customHeight="1" s="153">
      <c r="A48" s="237" t="n"/>
      <c r="B48" s="238" t="inlineStr">
        <is>
          <t>DUSSO 7678</t>
        </is>
      </c>
      <c r="C48" s="239" t="n">
        <v>4</v>
      </c>
      <c r="D48" s="239" t="n">
        <v>2</v>
      </c>
      <c r="E48" s="239" t="n"/>
      <c r="F48" s="240" t="n"/>
      <c r="G48" s="240" t="n"/>
      <c r="H48" s="241" t="n">
        <v>133000</v>
      </c>
      <c r="I48" s="242" t="n">
        <v>60000</v>
      </c>
      <c r="J48" s="242" t="n">
        <v>73000</v>
      </c>
      <c r="K48" s="233" t="n"/>
      <c r="L48" s="233">
        <f>IF(K48&lt;&gt;"",28000+K48,28000)</f>
        <v/>
      </c>
      <c r="M48" s="156" t="n"/>
      <c r="N48" s="156" t="n"/>
      <c r="O48" s="156" t="n"/>
      <c r="Q48" s="221" t="inlineStr">
        <is>
          <t>46</t>
        </is>
      </c>
      <c r="R48" s="222" t="inlineStr">
        <is>
          <t>FRAY CAYETANO 3813</t>
        </is>
      </c>
      <c r="S48" s="223" t="n">
        <v>90000</v>
      </c>
      <c r="T48" s="224" t="n">
        <v>30000</v>
      </c>
      <c r="U48" s="225" t="n">
        <v>1</v>
      </c>
      <c r="V48" s="226" t="inlineStr">
        <is>
          <t>19/04/2026</t>
        </is>
      </c>
    </row>
    <row r="49" ht="15.75" customHeight="1" s="153">
      <c r="A49" s="227" t="n"/>
      <c r="B49" s="228" t="inlineStr">
        <is>
          <t>FILOMENA</t>
        </is>
      </c>
      <c r="C49" s="229" t="n">
        <v>2</v>
      </c>
      <c r="D49" s="229" t="n"/>
      <c r="E49" s="229" t="n"/>
      <c r="F49" s="230" t="n"/>
      <c r="G49" s="230" t="n"/>
      <c r="H49" s="231" t="n">
        <v>46000</v>
      </c>
      <c r="I49" s="232" t="n"/>
      <c r="J49" s="232" t="n">
        <v>46000</v>
      </c>
      <c r="K49" s="233" t="n"/>
      <c r="L49" s="233">
        <f>IF(K49&lt;&gt;"",16000+K49,16000)</f>
        <v/>
      </c>
      <c r="M49" s="156" t="n"/>
      <c r="N49" s="156" t="n"/>
      <c r="O49" s="156" t="n"/>
      <c r="Q49" s="214" t="inlineStr">
        <is>
          <t>47</t>
        </is>
      </c>
      <c r="R49" s="215" t="inlineStr">
        <is>
          <t>S BAYO 7165</t>
        </is>
      </c>
      <c r="S49" s="216" t="n">
        <v>89000</v>
      </c>
      <c r="T49" s="236" t="n">
        <v>29000</v>
      </c>
      <c r="U49" s="218" t="n">
        <v>1</v>
      </c>
      <c r="V49" s="219" t="inlineStr">
        <is>
          <t>17/04/2026</t>
        </is>
      </c>
    </row>
    <row r="50" ht="15.75" customHeight="1" s="153">
      <c r="A50" s="237" t="n"/>
      <c r="B50" s="238" t="inlineStr">
        <is>
          <t>EUROPA 9186</t>
        </is>
      </c>
      <c r="C50" s="239" t="n"/>
      <c r="D50" s="239" t="n"/>
      <c r="E50" s="239" t="n">
        <v>1</v>
      </c>
      <c r="F50" s="240" t="n"/>
      <c r="G50" s="240" t="n"/>
      <c r="H50" s="241" t="n">
        <v>90000</v>
      </c>
      <c r="I50" s="242" t="n"/>
      <c r="J50" s="242" t="n">
        <v>90000</v>
      </c>
      <c r="K50" s="233" t="n"/>
      <c r="L50" s="233">
        <f>IF(K50&lt;&gt;"",30000+K50,30000)</f>
        <v/>
      </c>
      <c r="M50" s="156" t="n"/>
      <c r="N50" s="156" t="n"/>
      <c r="O50" s="156" t="n"/>
      <c r="Q50" s="221" t="inlineStr">
        <is>
          <t>48</t>
        </is>
      </c>
      <c r="R50" s="222" t="inlineStr">
        <is>
          <t>GOROSTIAGA 4619</t>
        </is>
      </c>
      <c r="S50" s="223" t="n">
        <v>88000</v>
      </c>
      <c r="T50" s="224" t="n">
        <v>28000</v>
      </c>
      <c r="U50" s="225" t="n">
        <v>1</v>
      </c>
      <c r="V50" s="226" t="inlineStr">
        <is>
          <t>02/04/2026</t>
        </is>
      </c>
    </row>
    <row r="51" ht="15.75" customHeight="1" s="153">
      <c r="A51" s="227" t="n"/>
      <c r="B51" s="228" t="inlineStr">
        <is>
          <t>LAPACHOS 1840</t>
        </is>
      </c>
      <c r="C51" s="229" t="n"/>
      <c r="D51" s="229" t="n"/>
      <c r="E51" s="229" t="n">
        <v>1</v>
      </c>
      <c r="F51" s="230" t="n"/>
      <c r="G51" s="230" t="n"/>
      <c r="H51" s="231" t="n">
        <v>86000</v>
      </c>
      <c r="I51" s="232" t="n"/>
      <c r="J51" s="232" t="n">
        <v>86000</v>
      </c>
      <c r="K51" s="233" t="n"/>
      <c r="L51" s="233">
        <f>IF(K51&lt;&gt;"",26000+K51,26000)</f>
        <v/>
      </c>
      <c r="M51" s="156" t="n"/>
      <c r="N51" s="156" t="n"/>
      <c r="O51" s="156" t="n"/>
      <c r="Q51" s="214" t="inlineStr">
        <is>
          <t>49</t>
        </is>
      </c>
      <c r="R51" s="215" t="inlineStr">
        <is>
          <t>PUBLICO 9118</t>
        </is>
      </c>
      <c r="S51" s="216" t="n">
        <v>88000</v>
      </c>
      <c r="T51" s="236" t="n">
        <v>28000</v>
      </c>
      <c r="U51" s="218" t="n">
        <v>1</v>
      </c>
      <c r="V51" s="219" t="inlineStr">
        <is>
          <t>15/04/2026</t>
        </is>
      </c>
    </row>
    <row r="52" ht="15.75" customHeight="1" s="153">
      <c r="A52" s="237" t="n"/>
      <c r="B52" s="238" t="inlineStr">
        <is>
          <t>BEATRIZ</t>
        </is>
      </c>
      <c r="C52" s="239" t="n"/>
      <c r="D52" s="239" t="n"/>
      <c r="E52" s="239" t="n"/>
      <c r="F52" s="240" t="n"/>
      <c r="G52" s="240" t="n">
        <v>1</v>
      </c>
      <c r="H52" s="241" t="n">
        <v>6000</v>
      </c>
      <c r="I52" s="242" t="n"/>
      <c r="J52" s="242" t="n">
        <v>6000</v>
      </c>
      <c r="K52" s="233" t="n"/>
      <c r="L52" s="233">
        <f>IF(K52&lt;&gt;"",5150+K52,5150)</f>
        <v/>
      </c>
      <c r="M52" s="156" t="n"/>
      <c r="N52" s="156" t="n"/>
      <c r="O52" s="156" t="n"/>
      <c r="Q52" s="221" t="inlineStr">
        <is>
          <t>50</t>
        </is>
      </c>
      <c r="R52" s="222" t="inlineStr">
        <is>
          <t>LAVAISE 2118</t>
        </is>
      </c>
      <c r="S52" s="223" t="n">
        <v>87000</v>
      </c>
      <c r="T52" s="224" t="n">
        <v>27000</v>
      </c>
      <c r="U52" s="225" t="n">
        <v>1</v>
      </c>
      <c r="V52" s="226" t="inlineStr">
        <is>
          <t>05/02/2026</t>
        </is>
      </c>
    </row>
    <row r="53" ht="15.75" customHeight="1" s="153">
      <c r="A53" s="227" t="n"/>
      <c r="B53" s="228" t="inlineStr">
        <is>
          <t xml:space="preserve">POSTA COLASTINE </t>
        </is>
      </c>
      <c r="C53" s="229" t="n">
        <v>5</v>
      </c>
      <c r="D53" s="229" t="n"/>
      <c r="E53" s="229" t="n"/>
      <c r="F53" s="230" t="n"/>
      <c r="G53" s="230" t="n"/>
      <c r="H53" s="231" t="n">
        <v>100000</v>
      </c>
      <c r="I53" s="232" t="n">
        <v>100000</v>
      </c>
      <c r="J53" s="232" t="n"/>
      <c r="K53" s="233" t="n"/>
      <c r="L53" s="233">
        <f>IF(K53&lt;&gt;"",25000+K53,25000)</f>
        <v/>
      </c>
      <c r="M53" s="156" t="n"/>
      <c r="N53" s="156" t="n"/>
      <c r="O53" s="156" t="n"/>
      <c r="Q53" s="214" t="inlineStr">
        <is>
          <t>51</t>
        </is>
      </c>
      <c r="R53" s="215" t="inlineStr">
        <is>
          <t>NAMUNCURA 4436</t>
        </is>
      </c>
      <c r="S53" s="216" t="n">
        <v>86000</v>
      </c>
      <c r="T53" s="236" t="n">
        <v>26000</v>
      </c>
      <c r="U53" s="218" t="n">
        <v>1</v>
      </c>
      <c r="V53" s="219" t="inlineStr">
        <is>
          <t>07/04/2026</t>
        </is>
      </c>
    </row>
    <row r="54" ht="15.75" customHeight="1" s="153">
      <c r="A54" s="237" t="n"/>
      <c r="B54" s="238" t="inlineStr">
        <is>
          <t>LARGUIA 7251</t>
        </is>
      </c>
      <c r="C54" s="239" t="n">
        <v>1</v>
      </c>
      <c r="D54" s="239" t="n"/>
      <c r="E54" s="239" t="n"/>
      <c r="F54" s="240" t="n"/>
      <c r="G54" s="240" t="n"/>
      <c r="H54" s="241" t="n">
        <v>27000</v>
      </c>
      <c r="I54" s="242" t="n">
        <v>27000</v>
      </c>
      <c r="J54" s="242" t="n"/>
      <c r="K54" s="233" t="n"/>
      <c r="L54" s="233">
        <f>IF(K54&lt;&gt;"",12000+K54,12000)</f>
        <v/>
      </c>
      <c r="M54" s="156" t="n"/>
      <c r="N54" s="156" t="n"/>
      <c r="O54" s="156" t="n"/>
      <c r="Q54" s="221" t="inlineStr">
        <is>
          <t>52</t>
        </is>
      </c>
      <c r="R54" s="222" t="inlineStr">
        <is>
          <t>LAPACHOS 1840</t>
        </is>
      </c>
      <c r="S54" s="223" t="n">
        <v>86000</v>
      </c>
      <c r="T54" s="224" t="n">
        <v>26000</v>
      </c>
      <c r="U54" s="225" t="n">
        <v>1</v>
      </c>
      <c r="V54" s="226" t="inlineStr">
        <is>
          <t>04/04/2026</t>
        </is>
      </c>
    </row>
    <row r="55" ht="15.75" customHeight="1" s="153">
      <c r="A55" s="227" t="n"/>
      <c r="B55" s="228" t="inlineStr">
        <is>
          <t>PANA VOEYTES 4500</t>
        </is>
      </c>
      <c r="C55" s="229" t="n"/>
      <c r="D55" s="229" t="n"/>
      <c r="E55" s="229" t="n">
        <v>1</v>
      </c>
      <c r="F55" s="230" t="n"/>
      <c r="G55" s="230" t="n"/>
      <c r="H55" s="231" t="n">
        <v>78000</v>
      </c>
      <c r="I55" s="232" t="n"/>
      <c r="J55" s="232" t="n">
        <v>78000</v>
      </c>
      <c r="K55" s="233" t="n"/>
      <c r="L55" s="233">
        <f>IF(K55&lt;&gt;"",18000+K55,18000)</f>
        <v/>
      </c>
      <c r="M55" s="156" t="n"/>
      <c r="N55" s="156" t="n"/>
      <c r="O55" s="156" t="n"/>
      <c r="Q55" s="214" t="inlineStr">
        <is>
          <t>53</t>
        </is>
      </c>
      <c r="R55" s="215" t="inlineStr">
        <is>
          <t>LOS PARAISOS 3422</t>
        </is>
      </c>
      <c r="S55" s="216" t="n">
        <v>86000</v>
      </c>
      <c r="T55" s="236" t="n">
        <v>26000</v>
      </c>
      <c r="U55" s="218" t="n">
        <v>1</v>
      </c>
      <c r="V55" s="219" t="inlineStr">
        <is>
          <t>05/02/2026</t>
        </is>
      </c>
    </row>
    <row r="56" ht="15.75" customHeight="1" s="153">
      <c r="A56" s="237" t="n"/>
      <c r="B56" s="238" t="inlineStr">
        <is>
          <t>GUANELA 4543</t>
        </is>
      </c>
      <c r="C56" s="239" t="n">
        <v>1</v>
      </c>
      <c r="D56" s="239" t="n"/>
      <c r="E56" s="239" t="n"/>
      <c r="F56" s="240" t="n"/>
      <c r="G56" s="240" t="n"/>
      <c r="H56" s="241" t="n">
        <v>25000</v>
      </c>
      <c r="I56" s="242" t="n"/>
      <c r="J56" s="242" t="n">
        <v>25000</v>
      </c>
      <c r="K56" s="233" t="n"/>
      <c r="L56" s="233">
        <f>IF(K56&lt;&gt;"",10000+K56,10000)</f>
        <v/>
      </c>
      <c r="M56" s="156" t="n"/>
      <c r="N56" s="156" t="n"/>
      <c r="O56" s="156" t="n"/>
      <c r="Q56" s="221" t="inlineStr">
        <is>
          <t>54</t>
        </is>
      </c>
      <c r="R56" s="222" t="inlineStr">
        <is>
          <t>LA SALLE 6030</t>
        </is>
      </c>
      <c r="S56" s="223" t="n">
        <v>86000</v>
      </c>
      <c r="T56" s="224" t="n">
        <v>26000</v>
      </c>
      <c r="U56" s="225" t="n">
        <v>1</v>
      </c>
      <c r="V56" s="226" t="inlineStr">
        <is>
          <t>06/04/2026</t>
        </is>
      </c>
    </row>
    <row r="57" ht="15.75" customHeight="1" s="153">
      <c r="A57" s="227" t="n"/>
      <c r="B57" s="228" t="inlineStr">
        <is>
          <t>FRANCIA 1047</t>
        </is>
      </c>
      <c r="C57" s="229" t="n">
        <v>1</v>
      </c>
      <c r="D57" s="229" t="n"/>
      <c r="E57" s="229" t="n"/>
      <c r="F57" s="230" t="n"/>
      <c r="G57" s="230" t="n"/>
      <c r="H57" s="231" t="n">
        <v>26000</v>
      </c>
      <c r="I57" s="232" t="n">
        <v>26000</v>
      </c>
      <c r="J57" s="232" t="n"/>
      <c r="K57" s="233" t="n"/>
      <c r="L57" s="233">
        <f>IF(K57&lt;&gt;"",11000+K57,11000)</f>
        <v/>
      </c>
      <c r="M57" s="156" t="n"/>
      <c r="N57" s="156" t="n"/>
      <c r="O57" s="156" t="n"/>
      <c r="Q57" s="214" t="inlineStr">
        <is>
          <t>55</t>
        </is>
      </c>
      <c r="R57" s="215" t="inlineStr">
        <is>
          <t>PIEDRABUENA 1927</t>
        </is>
      </c>
      <c r="S57" s="216" t="n">
        <v>86000</v>
      </c>
      <c r="T57" s="236" t="n">
        <v>26000</v>
      </c>
      <c r="U57" s="218" t="n">
        <v>1</v>
      </c>
      <c r="V57" s="219" t="inlineStr">
        <is>
          <t>09/04/2026</t>
        </is>
      </c>
    </row>
    <row r="58" ht="15.75" customHeight="1" s="153">
      <c r="A58" s="237" t="n"/>
      <c r="B58" s="238" t="inlineStr">
        <is>
          <t>ZAVALIA 779</t>
        </is>
      </c>
      <c r="C58" s="239" t="n"/>
      <c r="D58" s="239" t="n">
        <v>1</v>
      </c>
      <c r="E58" s="239" t="n"/>
      <c r="F58" s="240" t="n"/>
      <c r="G58" s="240" t="n"/>
      <c r="H58" s="241" t="n">
        <v>39000</v>
      </c>
      <c r="I58" s="242" t="n">
        <v>39000</v>
      </c>
      <c r="J58" s="242" t="n"/>
      <c r="K58" s="233" t="n"/>
      <c r="L58" s="233">
        <f>IF(K58&lt;&gt;"",16500+K58,16500)</f>
        <v/>
      </c>
      <c r="M58" s="156" t="n"/>
      <c r="N58" s="156" t="n"/>
      <c r="O58" s="156" t="n"/>
      <c r="Q58" s="221" t="inlineStr">
        <is>
          <t>56</t>
        </is>
      </c>
      <c r="R58" s="222" t="inlineStr">
        <is>
          <t>BLAS PARERA 5224</t>
        </is>
      </c>
      <c r="S58" s="223" t="n">
        <v>85000</v>
      </c>
      <c r="T58" s="224" t="n">
        <v>25000</v>
      </c>
      <c r="U58" s="225" t="n">
        <v>1</v>
      </c>
      <c r="V58" s="226" t="inlineStr">
        <is>
          <t>09/04/2026</t>
        </is>
      </c>
    </row>
    <row r="59" ht="15.75" customHeight="1" s="153">
      <c r="A59" s="227" t="n"/>
      <c r="B59" s="228" t="inlineStr">
        <is>
          <t xml:space="preserve">ROTI VIEYTES </t>
        </is>
      </c>
      <c r="C59" s="229" t="n"/>
      <c r="D59" s="229" t="n">
        <v>2</v>
      </c>
      <c r="E59" s="229" t="n"/>
      <c r="F59" s="230" t="n"/>
      <c r="G59" s="230" t="n"/>
      <c r="H59" s="231" t="n">
        <v>61000</v>
      </c>
      <c r="I59" s="232" t="n"/>
      <c r="J59" s="232" t="n">
        <v>61000</v>
      </c>
      <c r="K59" s="233" t="n"/>
      <c r="L59" s="233">
        <f>IF(K59&lt;&gt;"",16000+K59,16000)</f>
        <v/>
      </c>
      <c r="M59" s="156" t="n"/>
      <c r="N59" s="156" t="n"/>
      <c r="O59" s="156" t="n"/>
      <c r="Q59" s="214" t="inlineStr">
        <is>
          <t>57</t>
        </is>
      </c>
      <c r="R59" s="215" t="inlineStr">
        <is>
          <t>F ZUVIRIA 7757</t>
        </is>
      </c>
      <c r="S59" s="216" t="n">
        <v>85000</v>
      </c>
      <c r="T59" s="236" t="n">
        <v>25000</v>
      </c>
      <c r="U59" s="218" t="n">
        <v>1</v>
      </c>
      <c r="V59" s="219" t="inlineStr">
        <is>
          <t>07/04/2026</t>
        </is>
      </c>
    </row>
    <row r="60" ht="15.75" customHeight="1" s="153">
      <c r="A60" s="237" t="n"/>
      <c r="B60" s="238" t="inlineStr">
        <is>
          <t>JOSE CIBILS 2467</t>
        </is>
      </c>
      <c r="C60" s="239" t="n"/>
      <c r="D60" s="239" t="n"/>
      <c r="E60" s="239" t="n">
        <v>1</v>
      </c>
      <c r="F60" s="240" t="n"/>
      <c r="G60" s="240" t="n"/>
      <c r="H60" s="241" t="n">
        <v>84000</v>
      </c>
      <c r="I60" s="242" t="n"/>
      <c r="J60" s="242" t="n">
        <v>84000</v>
      </c>
      <c r="K60" s="233" t="n"/>
      <c r="L60" s="233">
        <f>IF(K60&lt;&gt;"",24000+K60,24000)</f>
        <v/>
      </c>
      <c r="M60" s="156" t="n"/>
      <c r="N60" s="156" t="n"/>
      <c r="O60" s="156" t="n"/>
      <c r="Q60" s="221" t="inlineStr">
        <is>
          <t>58</t>
        </is>
      </c>
      <c r="R60" s="222" t="inlineStr">
        <is>
          <t>EX COMBATIENTES 5433</t>
        </is>
      </c>
      <c r="S60" s="223" t="n">
        <v>85000</v>
      </c>
      <c r="T60" s="224" t="n">
        <v>25000</v>
      </c>
      <c r="U60" s="225" t="n">
        <v>1</v>
      </c>
      <c r="V60" s="226" t="inlineStr">
        <is>
          <t>07/04/2026</t>
        </is>
      </c>
    </row>
    <row r="61" ht="15.75" customHeight="1" s="153">
      <c r="A61" s="227" t="n"/>
      <c r="B61" s="228" t="inlineStr">
        <is>
          <t>FLORES 2 CAS A75</t>
        </is>
      </c>
      <c r="C61" s="229" t="n">
        <v>1</v>
      </c>
      <c r="D61" s="229" t="n"/>
      <c r="E61" s="229" t="n"/>
      <c r="F61" s="230" t="n"/>
      <c r="G61" s="230" t="n"/>
      <c r="H61" s="231" t="n">
        <v>27000</v>
      </c>
      <c r="I61" s="232" t="n">
        <v>27000</v>
      </c>
      <c r="J61" s="232" t="n"/>
      <c r="K61" s="233" t="n"/>
      <c r="L61" s="233">
        <f>IF(K61&lt;&gt;"",12000+K61,12000)</f>
        <v/>
      </c>
      <c r="M61" s="156" t="n"/>
      <c r="N61" s="156" t="n"/>
      <c r="O61" s="156" t="n"/>
      <c r="Q61" s="214" t="inlineStr">
        <is>
          <t>59</t>
        </is>
      </c>
      <c r="R61" s="215" t="inlineStr">
        <is>
          <t>URQUIZA 2031</t>
        </is>
      </c>
      <c r="S61" s="216" t="n">
        <v>85000</v>
      </c>
      <c r="T61" s="236" t="n">
        <v>25000</v>
      </c>
      <c r="U61" s="218" t="n">
        <v>1</v>
      </c>
      <c r="V61" s="219" t="inlineStr">
        <is>
          <t>09/04/2026</t>
        </is>
      </c>
    </row>
    <row r="62" ht="15.75" customHeight="1" s="153">
      <c r="A62" s="237" t="n"/>
      <c r="B62" s="238" t="inlineStr">
        <is>
          <t>SAVEDRA 2799</t>
        </is>
      </c>
      <c r="C62" s="239" t="n">
        <v>1</v>
      </c>
      <c r="D62" s="239" t="n"/>
      <c r="E62" s="239" t="n"/>
      <c r="F62" s="240" t="n"/>
      <c r="G62" s="240" t="n"/>
      <c r="H62" s="241" t="n">
        <v>27000</v>
      </c>
      <c r="I62" s="242" t="n">
        <v>27000</v>
      </c>
      <c r="J62" s="242" t="n"/>
      <c r="K62" s="233" t="n"/>
      <c r="L62" s="233">
        <f>IF(K62&lt;&gt;"",12000+K62,12000)</f>
        <v/>
      </c>
      <c r="M62" s="156" t="n"/>
      <c r="N62" s="156" t="n"/>
      <c r="O62" s="156" t="n"/>
      <c r="Q62" s="221" t="inlineStr">
        <is>
          <t>60</t>
        </is>
      </c>
      <c r="R62" s="222" t="inlineStr">
        <is>
          <t>CASTAÑADUY 7035</t>
        </is>
      </c>
      <c r="S62" s="223" t="n">
        <v>85000</v>
      </c>
      <c r="T62" s="224" t="n">
        <v>25000</v>
      </c>
      <c r="U62" s="225" t="n">
        <v>1</v>
      </c>
      <c r="V62" s="226" t="inlineStr">
        <is>
          <t>09/04/2026</t>
        </is>
      </c>
    </row>
    <row r="63" ht="15.75" customHeight="1" s="153">
      <c r="A63" s="227" t="n"/>
      <c r="B63" s="228" t="inlineStr">
        <is>
          <t>TERRAZAS</t>
        </is>
      </c>
      <c r="C63" s="229" t="n">
        <v>2</v>
      </c>
      <c r="D63" s="229" t="n"/>
      <c r="E63" s="229" t="n"/>
      <c r="F63" s="230" t="n"/>
      <c r="G63" s="230" t="n"/>
      <c r="H63" s="231" t="n">
        <v>54000</v>
      </c>
      <c r="I63" s="232" t="n">
        <v>54000</v>
      </c>
      <c r="J63" s="232" t="n"/>
      <c r="K63" s="233" t="n"/>
      <c r="L63" s="233">
        <f>IF(K63&lt;&gt;"",24000+K63,24000)</f>
        <v/>
      </c>
      <c r="M63" s="156" t="n"/>
      <c r="N63" s="156" t="n"/>
      <c r="O63" s="156" t="n"/>
      <c r="Q63" s="214" t="inlineStr">
        <is>
          <t>61</t>
        </is>
      </c>
      <c r="R63" s="215" t="inlineStr">
        <is>
          <t>LOBATO</t>
        </is>
      </c>
      <c r="S63" s="216" t="n">
        <v>85000</v>
      </c>
      <c r="T63" s="236" t="n">
        <v>25000</v>
      </c>
      <c r="U63" s="218" t="n">
        <v>1</v>
      </c>
      <c r="V63" s="219" t="inlineStr">
        <is>
          <t>13/04/2026</t>
        </is>
      </c>
    </row>
    <row r="64" ht="15.75" customHeight="1" s="153">
      <c r="A64" s="237" t="n"/>
      <c r="B64" s="238" t="inlineStr">
        <is>
          <t xml:space="preserve">BRASERIA </t>
        </is>
      </c>
      <c r="C64" s="239" t="n"/>
      <c r="D64" s="239" t="n"/>
      <c r="E64" s="239" t="n">
        <v>1</v>
      </c>
      <c r="F64" s="240" t="n"/>
      <c r="G64" s="240" t="n"/>
      <c r="H64" s="241" t="n">
        <v>83000</v>
      </c>
      <c r="I64" s="242" t="n"/>
      <c r="J64" s="242" t="n">
        <v>83000</v>
      </c>
      <c r="K64" s="233" t="n"/>
      <c r="L64" s="233">
        <f>IF(K64&lt;&gt;"",23000+K64,23000)</f>
        <v/>
      </c>
      <c r="M64" s="156" t="n"/>
      <c r="N64" s="156" t="n"/>
      <c r="O64" s="156" t="n"/>
      <c r="Q64" s="221" t="inlineStr">
        <is>
          <t>62</t>
        </is>
      </c>
      <c r="R64" s="222" t="inlineStr">
        <is>
          <t>1 DE MAYO 1959 BARSANTA</t>
        </is>
      </c>
      <c r="S64" s="223" t="n">
        <v>85000</v>
      </c>
      <c r="T64" s="224" t="n">
        <v>25000</v>
      </c>
      <c r="U64" s="225" t="n">
        <v>1</v>
      </c>
      <c r="V64" s="226" t="inlineStr">
        <is>
          <t>17/04/2026</t>
        </is>
      </c>
    </row>
    <row r="65" ht="15.75" customHeight="1" s="153">
      <c r="A65" s="227" t="n"/>
      <c r="B65" s="228" t="inlineStr">
        <is>
          <t>LUCHO</t>
        </is>
      </c>
      <c r="C65" s="229" t="n">
        <v>1</v>
      </c>
      <c r="D65" s="229" t="n"/>
      <c r="E65" s="229" t="n"/>
      <c r="F65" s="230" t="n"/>
      <c r="G65" s="230" t="n"/>
      <c r="H65" s="231" t="n">
        <v>19000</v>
      </c>
      <c r="I65" s="232" t="n"/>
      <c r="J65" s="232" t="n">
        <v>19000</v>
      </c>
      <c r="K65" s="233" t="n"/>
      <c r="L65" s="233">
        <f>IF(K65&lt;&gt;"",4000+K65,4000)</f>
        <v/>
      </c>
      <c r="M65" s="156" t="n"/>
      <c r="N65" s="156" t="n"/>
      <c r="O65" s="156" t="n"/>
      <c r="Q65" s="214" t="inlineStr">
        <is>
          <t>63</t>
        </is>
      </c>
      <c r="R65" s="215" t="inlineStr">
        <is>
          <t>CALLEJON FUNES 1883 CARO</t>
        </is>
      </c>
      <c r="S65" s="216" t="n">
        <v>85000</v>
      </c>
      <c r="T65" s="236" t="n">
        <v>25000</v>
      </c>
      <c r="U65" s="218" t="n">
        <v>1</v>
      </c>
      <c r="V65" s="219" t="inlineStr">
        <is>
          <t>17/04/2026</t>
        </is>
      </c>
    </row>
    <row r="66" ht="15.75" customHeight="1" s="153">
      <c r="A66" s="237" t="n"/>
      <c r="B66" s="238" t="inlineStr">
        <is>
          <t>GOLRD BURGER</t>
        </is>
      </c>
      <c r="C66" s="239" t="n">
        <v>5</v>
      </c>
      <c r="D66" s="239" t="n"/>
      <c r="E66" s="239" t="n"/>
      <c r="F66" s="240" t="n"/>
      <c r="G66" s="240" t="n"/>
      <c r="H66" s="241" t="n">
        <v>115000</v>
      </c>
      <c r="I66" s="242" t="n">
        <v>115000</v>
      </c>
      <c r="J66" s="242" t="n"/>
      <c r="K66" s="233" t="n"/>
      <c r="L66" s="233">
        <f>IF(K66&lt;&gt;"",40000+K66,40000)</f>
        <v/>
      </c>
      <c r="M66" s="156" t="n"/>
      <c r="N66" s="156" t="n"/>
      <c r="O66" s="156" t="n"/>
      <c r="Q66" s="221" t="inlineStr">
        <is>
          <t>64</t>
        </is>
      </c>
      <c r="R66" s="222" t="inlineStr">
        <is>
          <t>VIEYTES 5046</t>
        </is>
      </c>
      <c r="S66" s="223" t="n">
        <v>85000</v>
      </c>
      <c r="T66" s="224" t="n">
        <v>25000</v>
      </c>
      <c r="U66" s="225" t="n">
        <v>1</v>
      </c>
      <c r="V66" s="226" t="inlineStr">
        <is>
          <t>17/04/2026</t>
        </is>
      </c>
    </row>
    <row r="67" ht="15.75" customHeight="1" s="153">
      <c r="A67" s="227" t="n"/>
      <c r="B67" s="228" t="inlineStr">
        <is>
          <t>ALBERTI 5315</t>
        </is>
      </c>
      <c r="C67" s="229" t="n"/>
      <c r="D67" s="229" t="n"/>
      <c r="E67" s="229" t="n">
        <v>1</v>
      </c>
      <c r="F67" s="230" t="n"/>
      <c r="G67" s="230" t="n"/>
      <c r="H67" s="231" t="n">
        <v>80000</v>
      </c>
      <c r="I67" s="232" t="n"/>
      <c r="J67" s="232" t="n">
        <v>80000</v>
      </c>
      <c r="K67" s="233" t="n"/>
      <c r="L67" s="233">
        <f>IF(K67&lt;&gt;"",20000+K67,20000)</f>
        <v/>
      </c>
      <c r="M67" s="156" t="n"/>
      <c r="N67" s="156" t="n"/>
      <c r="O67" s="156" t="n"/>
      <c r="Q67" s="214" t="inlineStr">
        <is>
          <t>65</t>
        </is>
      </c>
      <c r="R67" s="215" t="inlineStr">
        <is>
          <t>LLERENA 3746</t>
        </is>
      </c>
      <c r="S67" s="216" t="n">
        <v>85000</v>
      </c>
      <c r="T67" s="236" t="n">
        <v>25000</v>
      </c>
      <c r="U67" s="218" t="n">
        <v>1</v>
      </c>
      <c r="V67" s="219" t="inlineStr">
        <is>
          <t>20/04/2026</t>
        </is>
      </c>
    </row>
    <row r="68" ht="15.75" customHeight="1" s="153">
      <c r="A68" s="237" t="n"/>
      <c r="B68" s="238" t="inlineStr">
        <is>
          <t>LA SALLE Y PUBLICO</t>
        </is>
      </c>
      <c r="C68" s="239" t="n"/>
      <c r="D68" s="239" t="n"/>
      <c r="E68" s="239" t="n">
        <v>1</v>
      </c>
      <c r="F68" s="240" t="n"/>
      <c r="G68" s="240" t="n"/>
      <c r="H68" s="241" t="n">
        <v>84000</v>
      </c>
      <c r="I68" s="242" t="n"/>
      <c r="J68" s="242" t="n">
        <v>84000</v>
      </c>
      <c r="K68" s="233" t="n"/>
      <c r="L68" s="233">
        <f>IF(K68&lt;&gt;"",24000+K68,24000)</f>
        <v/>
      </c>
      <c r="M68" s="156" t="n"/>
      <c r="N68" s="156" t="n"/>
      <c r="O68" s="156" t="n"/>
      <c r="Q68" s="221" t="inlineStr">
        <is>
          <t>66</t>
        </is>
      </c>
      <c r="R68" s="222" t="inlineStr">
        <is>
          <t>JOSE CIBILS 2467</t>
        </is>
      </c>
      <c r="S68" s="223" t="n">
        <v>84000</v>
      </c>
      <c r="T68" s="224" t="n">
        <v>24000</v>
      </c>
      <c r="U68" s="225" t="n">
        <v>1</v>
      </c>
      <c r="V68" s="226" t="inlineStr">
        <is>
          <t>04/04/2026</t>
        </is>
      </c>
    </row>
    <row r="69" ht="15.75" customHeight="1" s="153">
      <c r="A69" s="227" t="n"/>
      <c r="B69" s="228" t="inlineStr">
        <is>
          <t>JAURETCHE 10100</t>
        </is>
      </c>
      <c r="C69" s="229" t="n">
        <v>1</v>
      </c>
      <c r="D69" s="229" t="n"/>
      <c r="E69" s="229" t="n"/>
      <c r="F69" s="230" t="n"/>
      <c r="G69" s="230" t="n"/>
      <c r="H69" s="231" t="n">
        <v>25000</v>
      </c>
      <c r="I69" s="232" t="n">
        <v>20000</v>
      </c>
      <c r="J69" s="232" t="n">
        <v>5000</v>
      </c>
      <c r="K69" s="233" t="n"/>
      <c r="L69" s="233">
        <f>IF(K69&lt;&gt;"",10000+K69,10000)</f>
        <v/>
      </c>
      <c r="M69" s="156" t="n"/>
      <c r="N69" s="156" t="n"/>
      <c r="O69" s="156" t="n"/>
      <c r="Q69" s="214" t="inlineStr">
        <is>
          <t>67</t>
        </is>
      </c>
      <c r="R69" s="215" t="inlineStr">
        <is>
          <t>LA SALLE Y PUBLICO</t>
        </is>
      </c>
      <c r="S69" s="216" t="n">
        <v>84000</v>
      </c>
      <c r="T69" s="236" t="n">
        <v>24000</v>
      </c>
      <c r="U69" s="218" t="n">
        <v>1</v>
      </c>
      <c r="V69" s="219" t="inlineStr">
        <is>
          <t>04/04/2026</t>
        </is>
      </c>
    </row>
    <row r="70" ht="15.75" customHeight="1" s="153">
      <c r="A70" s="237" t="n"/>
      <c r="B70" s="238" t="inlineStr">
        <is>
          <t>CHICLANA 6668</t>
        </is>
      </c>
      <c r="C70" s="239" t="n"/>
      <c r="D70" s="239" t="n">
        <v>1</v>
      </c>
      <c r="E70" s="239" t="n"/>
      <c r="F70" s="240" t="n"/>
      <c r="G70" s="240" t="n"/>
      <c r="H70" s="241" t="n">
        <v>34500</v>
      </c>
      <c r="I70" s="242" t="n"/>
      <c r="J70" s="242" t="n">
        <v>34500</v>
      </c>
      <c r="K70" s="233" t="n"/>
      <c r="L70" s="233">
        <f>IF(K70&lt;&gt;"",12000+K70,12000)</f>
        <v/>
      </c>
      <c r="M70" s="156" t="n"/>
      <c r="N70" s="156" t="n"/>
      <c r="O70" s="156" t="n"/>
      <c r="Q70" s="221" t="inlineStr">
        <is>
          <t>68</t>
        </is>
      </c>
      <c r="R70" s="222" t="inlineStr">
        <is>
          <t>PUBLICO 8193</t>
        </is>
      </c>
      <c r="S70" s="223" t="n">
        <v>84000</v>
      </c>
      <c r="T70" s="224" t="n">
        <v>24000</v>
      </c>
      <c r="U70" s="225" t="n">
        <v>1</v>
      </c>
      <c r="V70" s="226" t="inlineStr">
        <is>
          <t>07/04/2026</t>
        </is>
      </c>
    </row>
    <row r="71" ht="15.75" customHeight="1" s="153">
      <c r="A71" s="227" t="n">
        <v>46058</v>
      </c>
      <c r="B71" s="228" t="inlineStr">
        <is>
          <t>CERVERA 4748</t>
        </is>
      </c>
      <c r="C71" s="229" t="n">
        <v>1</v>
      </c>
      <c r="D71" s="229" t="n"/>
      <c r="E71" s="229" t="n"/>
      <c r="F71" s="230" t="n"/>
      <c r="G71" s="230" t="n"/>
      <c r="H71" s="231" t="n">
        <v>27000</v>
      </c>
      <c r="I71" s="232" t="n"/>
      <c r="J71" s="232" t="n">
        <v>27000</v>
      </c>
      <c r="K71" s="233" t="n"/>
      <c r="L71" s="233">
        <f>IF(K71&lt;&gt;"",16500+K71,16500)</f>
        <v/>
      </c>
      <c r="M71" s="156" t="n"/>
      <c r="N71" s="156" t="n"/>
      <c r="O71" s="156" t="n"/>
      <c r="Q71" s="214" t="inlineStr">
        <is>
          <t>69</t>
        </is>
      </c>
      <c r="R71" s="215" t="inlineStr">
        <is>
          <t>9 DE JULIO 9244</t>
        </is>
      </c>
      <c r="S71" s="216" t="n">
        <v>84000</v>
      </c>
      <c r="T71" s="236" t="n">
        <v>24000</v>
      </c>
      <c r="U71" s="218" t="n">
        <v>1</v>
      </c>
      <c r="V71" s="219" t="inlineStr">
        <is>
          <t>12/04/2026</t>
        </is>
      </c>
    </row>
    <row r="72" ht="15.75" customHeight="1" s="153">
      <c r="A72" s="237" t="n"/>
      <c r="B72" s="238" t="inlineStr">
        <is>
          <t>CHACO 2843</t>
        </is>
      </c>
      <c r="C72" s="239" t="n"/>
      <c r="D72" s="239" t="n"/>
      <c r="E72" s="239" t="n">
        <v>1</v>
      </c>
      <c r="F72" s="240" t="n"/>
      <c r="G72" s="240" t="n"/>
      <c r="H72" s="241" t="n">
        <v>83000</v>
      </c>
      <c r="I72" s="242" t="n">
        <v>83000</v>
      </c>
      <c r="J72" s="242" t="n"/>
      <c r="K72" s="233" t="n"/>
      <c r="L72" s="233">
        <f>IF(K72&lt;&gt;"",36000+K72,36000)</f>
        <v/>
      </c>
      <c r="M72" s="156" t="n"/>
      <c r="N72" s="156" t="n"/>
      <c r="O72" s="156" t="n"/>
      <c r="Q72" s="221" t="inlineStr">
        <is>
          <t>70</t>
        </is>
      </c>
      <c r="R72" s="222" t="inlineStr">
        <is>
          <t>FRANCIA 9250</t>
        </is>
      </c>
      <c r="S72" s="223" t="n">
        <v>84000</v>
      </c>
      <c r="T72" s="224" t="n">
        <v>24000</v>
      </c>
      <c r="U72" s="225" t="n">
        <v>1</v>
      </c>
      <c r="V72" s="226" t="inlineStr">
        <is>
          <t>13/04/2026</t>
        </is>
      </c>
    </row>
    <row r="73" ht="15.75" customHeight="1" s="153">
      <c r="A73" s="227" t="n"/>
      <c r="B73" s="228" t="inlineStr">
        <is>
          <t>LAS HERAS 5471</t>
        </is>
      </c>
      <c r="C73" s="229" t="n">
        <v>2</v>
      </c>
      <c r="D73" s="229" t="n"/>
      <c r="E73" s="229" t="n"/>
      <c r="F73" s="230" t="n"/>
      <c r="G73" s="230" t="n"/>
      <c r="H73" s="231" t="n">
        <v>50000</v>
      </c>
      <c r="I73" s="232" t="n"/>
      <c r="J73" s="232" t="n">
        <v>50000</v>
      </c>
      <c r="K73" s="233" t="n"/>
      <c r="L73" s="233">
        <f>IF(K73&lt;&gt;"",29000+K73,29000)</f>
        <v/>
      </c>
      <c r="M73" s="156" t="n"/>
      <c r="N73" s="156" t="n"/>
      <c r="O73" s="156" t="n"/>
      <c r="Q73" s="214" t="inlineStr">
        <is>
          <t>71</t>
        </is>
      </c>
      <c r="R73" s="215" t="inlineStr">
        <is>
          <t>7 JEFES 4525</t>
        </is>
      </c>
      <c r="S73" s="216" t="n">
        <v>84000</v>
      </c>
      <c r="T73" s="236" t="n">
        <v>24000</v>
      </c>
      <c r="U73" s="218" t="n">
        <v>1</v>
      </c>
      <c r="V73" s="219" t="inlineStr">
        <is>
          <t>17/04/2026</t>
        </is>
      </c>
    </row>
    <row r="74" ht="15.75" customHeight="1" s="153">
      <c r="A74" s="237" t="n"/>
      <c r="B74" s="238" t="inlineStr">
        <is>
          <t>VIEYTES 4587</t>
        </is>
      </c>
      <c r="C74" s="239" t="n"/>
      <c r="D74" s="239" t="n">
        <v>1</v>
      </c>
      <c r="E74" s="239" t="n"/>
      <c r="F74" s="240" t="n"/>
      <c r="G74" s="240" t="n"/>
      <c r="H74" s="241" t="n">
        <v>39000</v>
      </c>
      <c r="I74" s="242" t="n">
        <v>39000</v>
      </c>
      <c r="J74" s="242" t="n"/>
      <c r="K74" s="233" t="n"/>
      <c r="L74" s="233">
        <f>IF(K74&lt;&gt;"",23250+K74,23250)</f>
        <v/>
      </c>
      <c r="M74" s="156" t="n"/>
      <c r="N74" s="156" t="n"/>
      <c r="O74" s="156" t="n"/>
      <c r="Q74" s="221" t="inlineStr">
        <is>
          <t>72</t>
        </is>
      </c>
      <c r="R74" s="222" t="inlineStr">
        <is>
          <t>PEDRO ESPINOSA 3169</t>
        </is>
      </c>
      <c r="S74" s="223" t="n">
        <v>84000</v>
      </c>
      <c r="T74" s="224" t="n">
        <v>24000</v>
      </c>
      <c r="U74" s="225" t="n">
        <v>1</v>
      </c>
      <c r="V74" s="226" t="inlineStr">
        <is>
          <t>17/04/2026</t>
        </is>
      </c>
    </row>
    <row r="75" ht="15.75" customHeight="1" s="153">
      <c r="A75" s="227" t="n"/>
      <c r="B75" s="228" t="inlineStr">
        <is>
          <t>GORRITI 1418</t>
        </is>
      </c>
      <c r="C75" s="229" t="n"/>
      <c r="D75" s="229" t="n"/>
      <c r="E75" s="229" t="n">
        <v>1</v>
      </c>
      <c r="F75" s="230" t="n"/>
      <c r="G75" s="230" t="n"/>
      <c r="H75" s="231" t="n">
        <v>90000</v>
      </c>
      <c r="I75" s="232" t="n"/>
      <c r="J75" s="232" t="n">
        <v>90000</v>
      </c>
      <c r="K75" s="233" t="n"/>
      <c r="L75" s="233">
        <f>IF(K75&lt;&gt;"",43000+K75,43000)</f>
        <v/>
      </c>
      <c r="M75" s="156" t="n"/>
      <c r="N75" s="156" t="n"/>
      <c r="O75" s="156" t="n"/>
      <c r="Q75" s="214" t="inlineStr">
        <is>
          <t>73</t>
        </is>
      </c>
      <c r="R75" s="215" t="inlineStr">
        <is>
          <t>GABOTO 8168</t>
        </is>
      </c>
      <c r="S75" s="216" t="n">
        <v>83000</v>
      </c>
      <c r="T75" s="236" t="n">
        <v>23000</v>
      </c>
      <c r="U75" s="218" t="n">
        <v>1</v>
      </c>
      <c r="V75" s="219" t="inlineStr">
        <is>
          <t>02/04/2026</t>
        </is>
      </c>
    </row>
    <row r="76" ht="15.75" customHeight="1" s="153">
      <c r="A76" s="237" t="n"/>
      <c r="B76" s="238" t="inlineStr">
        <is>
          <t>BARRETO 9261</t>
        </is>
      </c>
      <c r="C76" s="239" t="n"/>
      <c r="D76" s="239" t="n">
        <v>1</v>
      </c>
      <c r="E76" s="239" t="n"/>
      <c r="F76" s="240" t="n"/>
      <c r="G76" s="240" t="n"/>
      <c r="H76" s="241" t="n">
        <v>39000</v>
      </c>
      <c r="I76" s="242" t="n"/>
      <c r="J76" s="242" t="n">
        <v>39000</v>
      </c>
      <c r="K76" s="233" t="n"/>
      <c r="L76" s="233">
        <f>IF(K76&lt;&gt;"",23250+K76,23250)</f>
        <v/>
      </c>
      <c r="M76" s="156" t="n"/>
      <c r="N76" s="156" t="n"/>
      <c r="O76" s="156" t="n"/>
      <c r="Q76" s="221" t="inlineStr">
        <is>
          <t>74</t>
        </is>
      </c>
      <c r="R76" s="222" t="inlineStr">
        <is>
          <t>CHACO 2843</t>
        </is>
      </c>
      <c r="S76" s="223" t="n">
        <v>83000</v>
      </c>
      <c r="T76" s="224" t="n">
        <v>23000</v>
      </c>
      <c r="U76" s="225" t="n">
        <v>1</v>
      </c>
      <c r="V76" s="226" t="inlineStr">
        <is>
          <t>05/02/2026</t>
        </is>
      </c>
    </row>
    <row r="77" ht="15.75" customHeight="1" s="153">
      <c r="A77" s="227" t="n"/>
      <c r="B77" s="228" t="inlineStr">
        <is>
          <t>CERVERA 6885</t>
        </is>
      </c>
      <c r="C77" s="229" t="n">
        <v>1</v>
      </c>
      <c r="D77" s="229" t="n"/>
      <c r="E77" s="229" t="n"/>
      <c r="F77" s="230" t="n"/>
      <c r="G77" s="230" t="n"/>
      <c r="H77" s="231" t="n">
        <v>27000</v>
      </c>
      <c r="I77" s="232" t="n">
        <v>27000</v>
      </c>
      <c r="J77" s="232" t="n"/>
      <c r="K77" s="233" t="n"/>
      <c r="L77" s="233">
        <f>IF(K77&lt;&gt;"",16500+K77,16500)</f>
        <v/>
      </c>
      <c r="M77" s="156" t="n"/>
      <c r="N77" s="156" t="n"/>
      <c r="O77" s="156" t="n"/>
      <c r="Q77" s="214" t="inlineStr">
        <is>
          <t>75</t>
        </is>
      </c>
      <c r="R77" s="215" t="inlineStr">
        <is>
          <t>CALLE 12 3856</t>
        </is>
      </c>
      <c r="S77" s="216" t="n">
        <v>83000</v>
      </c>
      <c r="T77" s="236" t="n">
        <v>23000</v>
      </c>
      <c r="U77" s="218" t="n">
        <v>1</v>
      </c>
      <c r="V77" s="219" t="inlineStr">
        <is>
          <t>08/04/2026</t>
        </is>
      </c>
    </row>
    <row r="78" ht="15.75" customHeight="1" s="153">
      <c r="A78" s="237" t="n"/>
      <c r="B78" s="238" t="inlineStr">
        <is>
          <t>PANA VIEYTES GISELA</t>
        </is>
      </c>
      <c r="C78" s="239" t="n">
        <v>1</v>
      </c>
      <c r="D78" s="239" t="n"/>
      <c r="E78" s="239" t="n"/>
      <c r="F78" s="240" t="n"/>
      <c r="G78" s="240" t="n"/>
      <c r="H78" s="241" t="n">
        <v>22000</v>
      </c>
      <c r="I78" s="242" t="n"/>
      <c r="J78" s="242" t="n">
        <v>22000</v>
      </c>
      <c r="K78" s="233" t="n"/>
      <c r="L78" s="233">
        <f>IF(K78&lt;&gt;"",11500+K78,11500)</f>
        <v/>
      </c>
      <c r="M78" s="156" t="n"/>
      <c r="N78" s="156" t="n"/>
      <c r="O78" s="156" t="n"/>
      <c r="Q78" s="221" t="inlineStr">
        <is>
          <t>76</t>
        </is>
      </c>
      <c r="R78" s="222" t="inlineStr">
        <is>
          <t>PANA GORRITI 4600</t>
        </is>
      </c>
      <c r="S78" s="223" t="n">
        <v>82000</v>
      </c>
      <c r="T78" s="224" t="n">
        <v>22000</v>
      </c>
      <c r="U78" s="225" t="n">
        <v>1</v>
      </c>
      <c r="V78" s="226" t="inlineStr">
        <is>
          <t>08/04/2026</t>
        </is>
      </c>
    </row>
    <row r="79" ht="15.75" customHeight="1" s="153">
      <c r="A79" s="227" t="n"/>
      <c r="B79" s="228" t="inlineStr">
        <is>
          <t>PARRI GABOTO</t>
        </is>
      </c>
      <c r="C79" s="229" t="n">
        <v>1</v>
      </c>
      <c r="D79" s="229" t="n"/>
      <c r="E79" s="229" t="n"/>
      <c r="F79" s="230" t="n"/>
      <c r="G79" s="230" t="n"/>
      <c r="H79" s="231" t="n">
        <v>23000</v>
      </c>
      <c r="I79" s="232" t="n"/>
      <c r="J79" s="232" t="n">
        <v>23000</v>
      </c>
      <c r="K79" s="233" t="n"/>
      <c r="L79" s="233">
        <f>IF(K79&lt;&gt;"",12500+K79,12500)</f>
        <v/>
      </c>
      <c r="M79" s="156" t="n"/>
      <c r="N79" s="156" t="n"/>
      <c r="O79" s="156" t="n"/>
      <c r="Q79" s="214" t="inlineStr">
        <is>
          <t>77</t>
        </is>
      </c>
      <c r="R79" s="215" t="inlineStr">
        <is>
          <t>PANA VIEYTES 3800</t>
        </is>
      </c>
      <c r="S79" s="216" t="n">
        <v>82000</v>
      </c>
      <c r="T79" s="236" t="n">
        <v>22000</v>
      </c>
      <c r="U79" s="218" t="n">
        <v>1</v>
      </c>
      <c r="V79" s="219" t="inlineStr">
        <is>
          <t>08/04/2026</t>
        </is>
      </c>
    </row>
    <row r="80" ht="15.75" customHeight="1" s="153">
      <c r="A80" s="237" t="n"/>
      <c r="B80" s="238" t="inlineStr">
        <is>
          <t>LA PLATA 2834</t>
        </is>
      </c>
      <c r="C80" s="239" t="n"/>
      <c r="D80" s="239" t="n"/>
      <c r="E80" s="239" t="n">
        <v>1</v>
      </c>
      <c r="F80" s="240" t="n"/>
      <c r="G80" s="240" t="n"/>
      <c r="H80" s="241" t="n">
        <v>90000</v>
      </c>
      <c r="I80" s="242" t="n"/>
      <c r="J80" s="242" t="n">
        <v>90000</v>
      </c>
      <c r="K80" s="233" t="n"/>
      <c r="L80" s="233">
        <f>IF(K80&lt;&gt;"",43000+K80,43000)</f>
        <v/>
      </c>
      <c r="M80" s="156" t="n"/>
      <c r="N80" s="156" t="n"/>
      <c r="O80" s="156" t="n"/>
      <c r="Q80" s="221" t="inlineStr">
        <is>
          <t>78</t>
        </is>
      </c>
      <c r="R80" s="222" t="inlineStr">
        <is>
          <t>SIRLAKI</t>
        </is>
      </c>
      <c r="S80" s="223" t="n">
        <v>80000</v>
      </c>
      <c r="T80" s="224" t="n">
        <v>20000</v>
      </c>
      <c r="U80" s="225" t="n">
        <v>1</v>
      </c>
      <c r="V80" s="226" t="inlineStr">
        <is>
          <t>02/04/2026</t>
        </is>
      </c>
    </row>
    <row r="81" ht="15.75" customHeight="1" s="153">
      <c r="A81" s="227" t="n"/>
      <c r="B81" s="228" t="inlineStr">
        <is>
          <t>LAVAISE 2118</t>
        </is>
      </c>
      <c r="C81" s="229" t="n"/>
      <c r="D81" s="229" t="n"/>
      <c r="E81" s="229" t="n">
        <v>1</v>
      </c>
      <c r="F81" s="230" t="n"/>
      <c r="G81" s="230" t="n"/>
      <c r="H81" s="231" t="n">
        <v>87000</v>
      </c>
      <c r="I81" s="232" t="n"/>
      <c r="J81" s="232" t="n">
        <v>87000</v>
      </c>
      <c r="K81" s="233" t="n"/>
      <c r="L81" s="233">
        <f>IF(K81&lt;&gt;"",40000+K81,40000)</f>
        <v/>
      </c>
      <c r="M81" s="156" t="n"/>
      <c r="N81" s="156" t="n"/>
      <c r="O81" s="156" t="n"/>
      <c r="Q81" s="214" t="inlineStr">
        <is>
          <t>79</t>
        </is>
      </c>
      <c r="R81" s="215" t="inlineStr">
        <is>
          <t>ALBERTI 5315</t>
        </is>
      </c>
      <c r="S81" s="216" t="n">
        <v>80000</v>
      </c>
      <c r="T81" s="236" t="n">
        <v>20000</v>
      </c>
      <c r="U81" s="218" t="n">
        <v>1</v>
      </c>
      <c r="V81" s="219" t="inlineStr">
        <is>
          <t>04/04/2026</t>
        </is>
      </c>
    </row>
    <row r="82" ht="15.75" customHeight="1" s="153">
      <c r="A82" s="237" t="n"/>
      <c r="B82" s="238" t="inlineStr">
        <is>
          <t>LOS PARAISOS 3422</t>
        </is>
      </c>
      <c r="C82" s="239" t="n"/>
      <c r="D82" s="239" t="n"/>
      <c r="E82" s="239" t="n">
        <v>1</v>
      </c>
      <c r="F82" s="240" t="n"/>
      <c r="G82" s="240" t="n"/>
      <c r="H82" s="241" t="n">
        <v>86000</v>
      </c>
      <c r="I82" s="242" t="n"/>
      <c r="J82" s="242" t="n">
        <v>86000</v>
      </c>
      <c r="K82" s="233" t="n"/>
      <c r="L82" s="233">
        <f>IF(K82&lt;&gt;"",39000+K82,39000)</f>
        <v/>
      </c>
      <c r="M82" s="156" t="n"/>
      <c r="N82" s="156" t="n"/>
      <c r="O82" s="156" t="n"/>
      <c r="Q82" s="221" t="inlineStr">
        <is>
          <t>80</t>
        </is>
      </c>
      <c r="R82" s="222" t="inlineStr">
        <is>
          <t>NECOCHEA 3933</t>
        </is>
      </c>
      <c r="S82" s="223" t="n">
        <v>80000</v>
      </c>
      <c r="T82" s="224" t="n">
        <v>20000</v>
      </c>
      <c r="U82" s="225" t="n">
        <v>1</v>
      </c>
      <c r="V82" s="226" t="inlineStr">
        <is>
          <t>12/04/2026</t>
        </is>
      </c>
    </row>
    <row r="83" ht="15.75" customHeight="1" s="153">
      <c r="A83" s="227" t="n"/>
      <c r="B83" s="228" t="inlineStr">
        <is>
          <t>MANTOVANI 6752</t>
        </is>
      </c>
      <c r="C83" s="229" t="n">
        <v>1</v>
      </c>
      <c r="D83" s="229" t="n"/>
      <c r="E83" s="229" t="n"/>
      <c r="F83" s="230" t="n"/>
      <c r="G83" s="230" t="n"/>
      <c r="H83" s="231" t="n">
        <v>25000</v>
      </c>
      <c r="I83" s="232" t="n"/>
      <c r="J83" s="232" t="n">
        <v>25000</v>
      </c>
      <c r="K83" s="233" t="n"/>
      <c r="L83" s="233">
        <f>IF(K83&lt;&gt;"",14500+K83,14500)</f>
        <v/>
      </c>
      <c r="M83" s="156" t="n"/>
      <c r="N83" s="156" t="n"/>
      <c r="O83" s="156" t="n"/>
      <c r="Q83" s="214" t="inlineStr">
        <is>
          <t>81</t>
        </is>
      </c>
      <c r="R83" s="215" t="inlineStr">
        <is>
          <t>ALSINA 6601</t>
        </is>
      </c>
      <c r="S83" s="216" t="n">
        <v>80000</v>
      </c>
      <c r="T83" s="236" t="n">
        <v>20000</v>
      </c>
      <c r="U83" s="218" t="n">
        <v>1</v>
      </c>
      <c r="V83" s="219" t="inlineStr">
        <is>
          <t>22/04/2026</t>
        </is>
      </c>
    </row>
    <row r="84" ht="15.75" customHeight="1" s="153">
      <c r="A84" s="237" t="n"/>
      <c r="B84" s="238" t="inlineStr">
        <is>
          <t>PENALOZA 9757</t>
        </is>
      </c>
      <c r="C84" s="239" t="n">
        <v>1</v>
      </c>
      <c r="D84" s="239" t="n"/>
      <c r="E84" s="239" t="n"/>
      <c r="F84" s="240" t="n"/>
      <c r="G84" s="240" t="n"/>
      <c r="H84" s="241" t="n">
        <v>25500</v>
      </c>
      <c r="I84" s="242" t="n"/>
      <c r="J84" s="242" t="n">
        <v>25500</v>
      </c>
      <c r="K84" s="233" t="n"/>
      <c r="L84" s="233">
        <f>IF(K84&lt;&gt;"",15000+K84,15000)</f>
        <v/>
      </c>
      <c r="M84" s="156" t="n"/>
      <c r="N84" s="156" t="n"/>
      <c r="O84" s="156" t="n"/>
      <c r="Q84" s="221" t="inlineStr">
        <is>
          <t>82</t>
        </is>
      </c>
      <c r="R84" s="222" t="inlineStr">
        <is>
          <t>PANA VOEYTES 4500</t>
        </is>
      </c>
      <c r="S84" s="223" t="n">
        <v>78000</v>
      </c>
      <c r="T84" s="224" t="n">
        <v>18000</v>
      </c>
      <c r="U84" s="225" t="n">
        <v>1</v>
      </c>
      <c r="V84" s="226" t="inlineStr">
        <is>
          <t>04/04/2026</t>
        </is>
      </c>
    </row>
    <row r="85" ht="15.75" customHeight="1" s="153">
      <c r="A85" s="227" t="n"/>
      <c r="B85" s="228" t="inlineStr">
        <is>
          <t>TACUARI 5717</t>
        </is>
      </c>
      <c r="C85" s="229" t="n">
        <v>1</v>
      </c>
      <c r="D85" s="229" t="n"/>
      <c r="E85" s="229" t="n"/>
      <c r="F85" s="230" t="n"/>
      <c r="G85" s="230" t="n"/>
      <c r="H85" s="231" t="n">
        <v>25000</v>
      </c>
      <c r="I85" s="232" t="n"/>
      <c r="J85" s="232" t="n">
        <v>25000</v>
      </c>
      <c r="K85" s="233" t="n"/>
      <c r="L85" s="233">
        <f>IF(K85&lt;&gt;"",14500+K85,14500)</f>
        <v/>
      </c>
      <c r="M85" s="156" t="n"/>
      <c r="N85" s="156" t="n"/>
      <c r="O85" s="156" t="n"/>
      <c r="Q85" s="214" t="inlineStr">
        <is>
          <t>83</t>
        </is>
      </c>
      <c r="R85" s="215" t="inlineStr">
        <is>
          <t>PANA COLODRERO 1258</t>
        </is>
      </c>
      <c r="S85" s="216" t="n">
        <v>78000</v>
      </c>
      <c r="T85" s="236" t="n">
        <v>18000</v>
      </c>
      <c r="U85" s="218" t="n">
        <v>1</v>
      </c>
      <c r="V85" s="219" t="inlineStr">
        <is>
          <t>06/04/2026</t>
        </is>
      </c>
    </row>
    <row r="86" ht="15.75" customHeight="1" s="153">
      <c r="A86" s="237" t="n"/>
      <c r="B86" s="238" t="inlineStr">
        <is>
          <t>SANDRA</t>
        </is>
      </c>
      <c r="C86" s="239" t="n">
        <v>2</v>
      </c>
      <c r="D86" s="239" t="n"/>
      <c r="E86" s="239" t="n"/>
      <c r="F86" s="240" t="n"/>
      <c r="G86" s="240" t="n"/>
      <c r="H86" s="241" t="n">
        <v>38000</v>
      </c>
      <c r="I86" s="242" t="n">
        <v>10000</v>
      </c>
      <c r="J86" s="242" t="n">
        <v>28000</v>
      </c>
      <c r="K86" s="233" t="n"/>
      <c r="L86" s="233">
        <f>IF(K86&lt;&gt;"",17000+K86,17000)</f>
        <v/>
      </c>
      <c r="M86" s="156" t="n"/>
      <c r="N86" s="156" t="n"/>
      <c r="O86" s="156" t="n"/>
      <c r="Q86" s="221" t="inlineStr">
        <is>
          <t>84</t>
        </is>
      </c>
      <c r="R86" s="222" t="inlineStr">
        <is>
          <t>PAVON 3435</t>
        </is>
      </c>
      <c r="S86" s="223" t="n">
        <v>78000</v>
      </c>
      <c r="T86" s="224" t="n">
        <v>18000</v>
      </c>
      <c r="U86" s="225" t="n">
        <v>1</v>
      </c>
      <c r="V86" s="226" t="inlineStr">
        <is>
          <t>13/04/2026</t>
        </is>
      </c>
    </row>
    <row r="87" ht="15.75" customHeight="1" s="153">
      <c r="A87" s="227" t="n"/>
      <c r="B87" s="228" t="inlineStr">
        <is>
          <t>PIRU</t>
        </is>
      </c>
      <c r="C87" s="229" t="n"/>
      <c r="D87" s="229" t="n">
        <v>1</v>
      </c>
      <c r="E87" s="229" t="n"/>
      <c r="F87" s="230" t="n"/>
      <c r="G87" s="230" t="n"/>
      <c r="H87" s="231" t="n">
        <v>35500</v>
      </c>
      <c r="I87" s="232" t="n"/>
      <c r="J87" s="232" t="n">
        <v>35500</v>
      </c>
      <c r="K87" s="233" t="n"/>
      <c r="L87" s="233">
        <f>IF(K87&lt;&gt;"",19750+K87,19750)</f>
        <v/>
      </c>
      <c r="M87" s="156" t="n"/>
      <c r="N87" s="156" t="n"/>
      <c r="O87" s="156" t="n"/>
      <c r="Q87" s="214" t="inlineStr">
        <is>
          <t>85</t>
        </is>
      </c>
      <c r="R87" s="215" t="inlineStr">
        <is>
          <t>AZCUENAGA 3972</t>
        </is>
      </c>
      <c r="S87" s="216" t="n">
        <v>78000</v>
      </c>
      <c r="T87" s="236" t="n">
        <v>18000</v>
      </c>
      <c r="U87" s="218" t="n">
        <v>1</v>
      </c>
      <c r="V87" s="219" t="inlineStr">
        <is>
          <t>16/04/2026</t>
        </is>
      </c>
    </row>
    <row r="88" ht="15.75" customHeight="1" s="153">
      <c r="A88" s="237" t="n">
        <v>46118</v>
      </c>
      <c r="B88" s="238" t="inlineStr">
        <is>
          <t>FREIRE 6181</t>
        </is>
      </c>
      <c r="C88" s="239" t="n"/>
      <c r="D88" s="239" t="n"/>
      <c r="E88" s="239" t="n">
        <v>1</v>
      </c>
      <c r="F88" s="240" t="n"/>
      <c r="G88" s="240" t="n"/>
      <c r="H88" s="241" t="n">
        <v>96000</v>
      </c>
      <c r="I88" s="242" t="n">
        <v>96000</v>
      </c>
      <c r="J88" s="242" t="n"/>
      <c r="K88" s="233" t="n"/>
      <c r="L88" s="233">
        <f>IF(K88&lt;&gt;"",36000+K88,36000)</f>
        <v/>
      </c>
      <c r="M88" s="156" t="n"/>
      <c r="N88" s="156" t="n"/>
      <c r="O88" s="156" t="n"/>
      <c r="Q88" s="221" t="inlineStr">
        <is>
          <t>86</t>
        </is>
      </c>
      <c r="R88" s="222" t="inlineStr">
        <is>
          <t>PANA BERUTI 6726</t>
        </is>
      </c>
      <c r="S88" s="223" t="n">
        <v>78000</v>
      </c>
      <c r="T88" s="224" t="n">
        <v>18000</v>
      </c>
      <c r="U88" s="225" t="n">
        <v>1</v>
      </c>
      <c r="V88" s="226" t="inlineStr">
        <is>
          <t>22/04/2026</t>
        </is>
      </c>
    </row>
    <row r="89" ht="15.75" customHeight="1" s="153">
      <c r="A89" s="227" t="n"/>
      <c r="B89" s="228" t="inlineStr">
        <is>
          <t>VIANDAS JORGE</t>
        </is>
      </c>
      <c r="C89" s="229" t="n">
        <v>1</v>
      </c>
      <c r="D89" s="229" t="n"/>
      <c r="E89" s="229" t="n"/>
      <c r="F89" s="230" t="n"/>
      <c r="G89" s="230" t="n"/>
      <c r="H89" s="231" t="n">
        <v>22000</v>
      </c>
      <c r="I89" s="232" t="n">
        <v>22000</v>
      </c>
      <c r="J89" s="232" t="n"/>
      <c r="K89" s="233" t="n"/>
      <c r="L89" s="233">
        <f>IF(K89&lt;&gt;"",7000+K89,7000)</f>
        <v/>
      </c>
      <c r="M89" s="156" t="n"/>
      <c r="N89" s="156" t="n"/>
      <c r="O89" s="156" t="n"/>
      <c r="Q89" s="214" t="inlineStr">
        <is>
          <t>87</t>
        </is>
      </c>
      <c r="R89" s="215" t="inlineStr">
        <is>
          <t>SANTA CRUZ 3051</t>
        </is>
      </c>
      <c r="S89" s="216" t="n">
        <v>78000</v>
      </c>
      <c r="T89" s="236" t="n">
        <v>18000</v>
      </c>
      <c r="U89" s="218" t="n">
        <v>1</v>
      </c>
      <c r="V89" s="219" t="inlineStr">
        <is>
          <t>22/04/2026</t>
        </is>
      </c>
    </row>
    <row r="90" ht="15.75" customHeight="1" s="153">
      <c r="A90" s="237" t="n"/>
      <c r="B90" s="238" t="inlineStr">
        <is>
          <t>HUERGO 2487</t>
        </is>
      </c>
      <c r="C90" s="239" t="n">
        <v>1</v>
      </c>
      <c r="D90" s="239" t="n"/>
      <c r="E90" s="239" t="n"/>
      <c r="F90" s="240" t="n"/>
      <c r="G90" s="240" t="n"/>
      <c r="H90" s="241" t="n">
        <v>25000</v>
      </c>
      <c r="I90" s="242" t="n"/>
      <c r="J90" s="242" t="n">
        <v>25000</v>
      </c>
      <c r="K90" s="233" t="n"/>
      <c r="L90" s="233">
        <f>IF(K90&lt;&gt;"",10000+K90,10000)</f>
        <v/>
      </c>
      <c r="M90" s="156" t="n"/>
      <c r="N90" s="156" t="n"/>
      <c r="O90" s="156" t="n"/>
      <c r="Q90" s="221" t="inlineStr">
        <is>
          <t>88</t>
        </is>
      </c>
      <c r="R90" s="222" t="inlineStr">
        <is>
          <t>D SILVA 4217</t>
        </is>
      </c>
      <c r="S90" s="223" t="n">
        <v>76000</v>
      </c>
      <c r="T90" s="224" t="n">
        <v>16000</v>
      </c>
      <c r="U90" s="225" t="n">
        <v>2</v>
      </c>
      <c r="V90" s="226" t="inlineStr">
        <is>
          <t>11/04/2026</t>
        </is>
      </c>
    </row>
    <row r="91" ht="15.75" customHeight="1" s="153">
      <c r="A91" s="227" t="n"/>
      <c r="B91" s="228" t="inlineStr">
        <is>
          <t>PJE MANUE LEIVA 4230</t>
        </is>
      </c>
      <c r="C91" s="229" t="n">
        <v>1</v>
      </c>
      <c r="D91" s="229" t="n"/>
      <c r="E91" s="229" t="n"/>
      <c r="F91" s="230" t="n"/>
      <c r="G91" s="230" t="n"/>
      <c r="H91" s="231" t="n">
        <v>26000</v>
      </c>
      <c r="I91" s="232" t="n">
        <v>26000</v>
      </c>
      <c r="J91" s="232" t="n"/>
      <c r="K91" s="233" t="n"/>
      <c r="L91" s="233">
        <f>IF(K91&lt;&gt;"",11000+K91,11000)</f>
        <v/>
      </c>
      <c r="M91" s="156" t="n"/>
      <c r="N91" s="156" t="n"/>
      <c r="O91" s="156" t="n"/>
      <c r="Q91" s="214" t="inlineStr">
        <is>
          <t>89</t>
        </is>
      </c>
      <c r="R91" s="215" t="inlineStr">
        <is>
          <t>CHICLANA 7325</t>
        </is>
      </c>
      <c r="S91" s="216" t="n">
        <v>76000</v>
      </c>
      <c r="T91" s="236" t="n">
        <v>16000</v>
      </c>
      <c r="U91" s="218" t="n">
        <v>3</v>
      </c>
      <c r="V91" s="219" t="inlineStr">
        <is>
          <t>22/04/2026</t>
        </is>
      </c>
    </row>
    <row r="92" ht="15.75" customHeight="1" s="153">
      <c r="A92" s="237" t="n"/>
      <c r="B92" s="238" t="inlineStr">
        <is>
          <t>OTNIEL</t>
        </is>
      </c>
      <c r="C92" s="239" t="n"/>
      <c r="D92" s="239" t="n">
        <v>2</v>
      </c>
      <c r="E92" s="239" t="n"/>
      <c r="F92" s="240" t="n"/>
      <c r="G92" s="240" t="n"/>
      <c r="H92" s="241" t="n">
        <v>68000</v>
      </c>
      <c r="I92" s="242" t="n"/>
      <c r="J92" s="242" t="n">
        <v>68000</v>
      </c>
      <c r="K92" s="233" t="n"/>
      <c r="L92" s="233">
        <f>IF(K92&lt;&gt;"",23000+K92,23000)</f>
        <v/>
      </c>
      <c r="M92" s="156" t="n"/>
      <c r="N92" s="156" t="n"/>
      <c r="O92" s="156" t="n"/>
      <c r="Q92" s="221" t="inlineStr">
        <is>
          <t>90</t>
        </is>
      </c>
      <c r="R92" s="222" t="inlineStr">
        <is>
          <t>TACUARI 5717</t>
        </is>
      </c>
      <c r="S92" s="223" t="n">
        <v>75000</v>
      </c>
      <c r="T92" s="224" t="n">
        <v>30000</v>
      </c>
      <c r="U92" s="225" t="n">
        <v>3</v>
      </c>
      <c r="V92" s="226" t="inlineStr">
        <is>
          <t>11/04/2026</t>
        </is>
      </c>
    </row>
    <row r="93" ht="15.75" customHeight="1" s="153">
      <c r="A93" s="227" t="n"/>
      <c r="B93" s="228" t="inlineStr">
        <is>
          <t>PJE GIMNASIA 5186</t>
        </is>
      </c>
      <c r="C93" s="229" t="n">
        <v>1</v>
      </c>
      <c r="D93" s="229" t="n"/>
      <c r="E93" s="229" t="n"/>
      <c r="F93" s="230" t="n"/>
      <c r="G93" s="230" t="n"/>
      <c r="H93" s="231" t="n">
        <v>27000</v>
      </c>
      <c r="I93" s="232" t="n">
        <v>27000</v>
      </c>
      <c r="J93" s="232" t="n"/>
      <c r="K93" s="233" t="n"/>
      <c r="L93" s="233">
        <f>IF(K93&lt;&gt;"",12000+K93,12000)</f>
        <v/>
      </c>
      <c r="M93" s="156" t="n"/>
      <c r="N93" s="156" t="n"/>
      <c r="O93" s="156" t="n"/>
      <c r="Q93" s="214" t="inlineStr">
        <is>
          <t>91</t>
        </is>
      </c>
      <c r="R93" s="215" t="inlineStr">
        <is>
          <t>TROPPO</t>
        </is>
      </c>
      <c r="S93" s="216" t="n">
        <v>75000</v>
      </c>
      <c r="T93" s="236" t="n">
        <v>30000</v>
      </c>
      <c r="U93" s="218" t="n">
        <v>1</v>
      </c>
      <c r="V93" s="219" t="inlineStr">
        <is>
          <t>08/04/2026</t>
        </is>
      </c>
    </row>
    <row r="94" ht="15.75" customHeight="1" s="153">
      <c r="A94" s="237" t="n"/>
      <c r="B94" s="238" t="inlineStr">
        <is>
          <t>LA SALLE 6030</t>
        </is>
      </c>
      <c r="C94" s="239" t="n"/>
      <c r="D94" s="239" t="n"/>
      <c r="E94" s="239" t="n">
        <v>1</v>
      </c>
      <c r="F94" s="240" t="n"/>
      <c r="G94" s="240" t="n"/>
      <c r="H94" s="241" t="n">
        <v>86000</v>
      </c>
      <c r="I94" s="242" t="n">
        <v>86000</v>
      </c>
      <c r="J94" s="242" t="n"/>
      <c r="K94" s="233" t="n"/>
      <c r="L94" s="233">
        <f>IF(K94&lt;&gt;"",26000+K94,26000)</f>
        <v/>
      </c>
      <c r="M94" s="156" t="n"/>
      <c r="N94" s="156" t="n"/>
      <c r="O94" s="156" t="n"/>
      <c r="Q94" s="221" t="inlineStr">
        <is>
          <t>92</t>
        </is>
      </c>
      <c r="R94" s="222" t="inlineStr">
        <is>
          <t>ROTI ARISTOBULO</t>
        </is>
      </c>
      <c r="S94" s="223" t="n">
        <v>67000</v>
      </c>
      <c r="T94" s="224" t="n">
        <v>22000</v>
      </c>
      <c r="U94" s="225" t="n">
        <v>2</v>
      </c>
      <c r="V94" s="226" t="inlineStr">
        <is>
          <t>18/04/2026</t>
        </is>
      </c>
    </row>
    <row r="95" ht="15.75" customHeight="1" s="153">
      <c r="A95" s="227" t="n"/>
      <c r="B95" s="228" t="inlineStr">
        <is>
          <t>NAMUNCURA 4439</t>
        </is>
      </c>
      <c r="C95" s="229" t="n"/>
      <c r="D95" s="229" t="n">
        <v>1</v>
      </c>
      <c r="E95" s="229" t="n"/>
      <c r="F95" s="230" t="n"/>
      <c r="G95" s="230" t="n"/>
      <c r="H95" s="231" t="n">
        <v>36500</v>
      </c>
      <c r="I95" s="232" t="n">
        <v>36500</v>
      </c>
      <c r="J95" s="232" t="n"/>
      <c r="K95" s="233" t="n"/>
      <c r="L95" s="233">
        <f>IF(K95&lt;&gt;"",14000+K95,14000)</f>
        <v/>
      </c>
      <c r="M95" s="156" t="n"/>
      <c r="N95" s="156" t="n"/>
      <c r="O95" s="156" t="n"/>
      <c r="Q95" s="214" t="inlineStr">
        <is>
          <t>93</t>
        </is>
      </c>
      <c r="R95" s="215" t="inlineStr">
        <is>
          <t>BONEO 4054</t>
        </is>
      </c>
      <c r="S95" s="216" t="n">
        <v>65000</v>
      </c>
      <c r="T95" s="236" t="n">
        <v>27500</v>
      </c>
      <c r="U95" s="218" t="n">
        <v>1</v>
      </c>
      <c r="V95" s="219" t="inlineStr">
        <is>
          <t>11/04/2026</t>
        </is>
      </c>
    </row>
    <row r="96" ht="15.75" customHeight="1" s="153">
      <c r="A96" s="237" t="n"/>
      <c r="B96" s="238" t="inlineStr">
        <is>
          <t>PANA COLODRERO 1258</t>
        </is>
      </c>
      <c r="C96" s="239" t="n"/>
      <c r="D96" s="239" t="n"/>
      <c r="E96" s="239" t="n">
        <v>1</v>
      </c>
      <c r="F96" s="240" t="n"/>
      <c r="G96" s="240" t="n"/>
      <c r="H96" s="241" t="n">
        <v>78000</v>
      </c>
      <c r="I96" s="242" t="n"/>
      <c r="J96" s="242" t="n">
        <v>78000</v>
      </c>
      <c r="K96" s="233" t="n"/>
      <c r="L96" s="233">
        <f>IF(K96&lt;&gt;"",18000+K96,18000)</f>
        <v/>
      </c>
      <c r="M96" s="156" t="n"/>
      <c r="N96" s="156" t="n"/>
      <c r="O96" s="156" t="n"/>
      <c r="Q96" s="221" t="inlineStr">
        <is>
          <t>94</t>
        </is>
      </c>
      <c r="R96" s="222" t="inlineStr">
        <is>
          <t>4 DE ENERO 1342</t>
        </is>
      </c>
      <c r="S96" s="223" t="n">
        <v>65000</v>
      </c>
      <c r="T96" s="224" t="n">
        <v>27500</v>
      </c>
      <c r="U96" s="225" t="n">
        <v>1</v>
      </c>
      <c r="V96" s="226" t="inlineStr">
        <is>
          <t>21/04/2026</t>
        </is>
      </c>
    </row>
    <row r="97" ht="15.75" customHeight="1" s="153">
      <c r="A97" s="227" t="n"/>
      <c r="B97" s="228" t="inlineStr">
        <is>
          <t>CAREN</t>
        </is>
      </c>
      <c r="C97" s="229" t="n"/>
      <c r="D97" s="229" t="n"/>
      <c r="E97" s="229" t="n">
        <v>1</v>
      </c>
      <c r="F97" s="230" t="n"/>
      <c r="G97" s="230" t="n"/>
      <c r="H97" s="231" t="n">
        <v>82000</v>
      </c>
      <c r="I97" s="232" t="n"/>
      <c r="J97" s="232" t="n">
        <v>82000</v>
      </c>
      <c r="K97" s="233" t="n"/>
      <c r="L97" s="233">
        <f>IF(K97&lt;&gt;"",22000+K97,22000)</f>
        <v/>
      </c>
      <c r="M97" s="156" t="n"/>
      <c r="N97" s="156" t="n"/>
      <c r="O97" s="156" t="n"/>
      <c r="Q97" s="214" t="inlineStr">
        <is>
          <t>95</t>
        </is>
      </c>
      <c r="R97" s="215" t="inlineStr">
        <is>
          <t>PUBLICO 5727</t>
        </is>
      </c>
      <c r="S97" s="216" t="n">
        <v>63000</v>
      </c>
      <c r="T97" s="236" t="n">
        <v>25500</v>
      </c>
      <c r="U97" s="218" t="n">
        <v>1</v>
      </c>
      <c r="V97" s="219" t="inlineStr">
        <is>
          <t>20/04/2026</t>
        </is>
      </c>
    </row>
    <row r="98" ht="15.75" customHeight="1" s="153">
      <c r="A98" s="237" t="n">
        <v>46119</v>
      </c>
      <c r="B98" s="238" t="inlineStr">
        <is>
          <t>PANA ALBERTI</t>
        </is>
      </c>
      <c r="C98" s="239" t="n"/>
      <c r="D98" s="239" t="n"/>
      <c r="E98" s="239" t="n">
        <v>1</v>
      </c>
      <c r="F98" s="240" t="n"/>
      <c r="G98" s="240" t="n"/>
      <c r="H98" s="241" t="n">
        <v>82000</v>
      </c>
      <c r="I98" s="242" t="n">
        <v>82000</v>
      </c>
      <c r="J98" s="242" t="n"/>
      <c r="K98" s="233" t="n"/>
      <c r="L98" s="233">
        <f>IF(K98&lt;&gt;"",22000+K98,22000)</f>
        <v/>
      </c>
      <c r="M98" s="156" t="n"/>
      <c r="N98" s="156" t="n"/>
      <c r="O98" s="156" t="n"/>
      <c r="Q98" s="221" t="inlineStr">
        <is>
          <t>96</t>
        </is>
      </c>
      <c r="R98" s="222" t="inlineStr">
        <is>
          <t>JAVIER DE LA ROSA 459</t>
        </is>
      </c>
      <c r="S98" s="223" t="n">
        <v>61500</v>
      </c>
      <c r="T98" s="224" t="n">
        <v>24000</v>
      </c>
      <c r="U98" s="225" t="n">
        <v>1</v>
      </c>
      <c r="V98" s="226" t="inlineStr">
        <is>
          <t>15/04/2026</t>
        </is>
      </c>
    </row>
    <row r="99" ht="15.75" customHeight="1" s="153">
      <c r="A99" s="227" t="n"/>
      <c r="B99" s="228" t="inlineStr">
        <is>
          <t>LUCHO</t>
        </is>
      </c>
      <c r="C99" s="229" t="n">
        <v>3</v>
      </c>
      <c r="D99" s="229" t="n"/>
      <c r="E99" s="229" t="n"/>
      <c r="F99" s="230" t="n"/>
      <c r="G99" s="230" t="n"/>
      <c r="H99" s="231" t="n">
        <v>57000</v>
      </c>
      <c r="I99" s="232" t="n">
        <v>57000</v>
      </c>
      <c r="J99" s="232" t="n"/>
      <c r="K99" s="233" t="n"/>
      <c r="L99" s="233">
        <f>IF(K99&lt;&gt;"",12000+K99,12000)</f>
        <v/>
      </c>
      <c r="M99" s="156" t="n"/>
      <c r="N99" s="156" t="n"/>
      <c r="O99" s="156" t="n"/>
      <c r="Q99" s="214" t="inlineStr">
        <is>
          <t>97</t>
        </is>
      </c>
      <c r="R99" s="215" t="inlineStr">
        <is>
          <t>MAMA NICO BUSTO</t>
        </is>
      </c>
      <c r="S99" s="216" t="n">
        <v>61000</v>
      </c>
      <c r="T99" s="236" t="n">
        <v>23000</v>
      </c>
      <c r="U99" s="218" t="n">
        <v>1</v>
      </c>
      <c r="V99" s="219" t="inlineStr">
        <is>
          <t>01/04/2026</t>
        </is>
      </c>
    </row>
    <row r="100" ht="15.75" customHeight="1" s="153">
      <c r="A100" s="237" t="n"/>
      <c r="B100" s="238" t="inlineStr">
        <is>
          <t>AZCUENAGA 5023</t>
        </is>
      </c>
      <c r="C100" s="239" t="n">
        <v>6</v>
      </c>
      <c r="D100" s="239" t="n"/>
      <c r="E100" s="239" t="n"/>
      <c r="F100" s="240" t="n"/>
      <c r="G100" s="240" t="n"/>
      <c r="H100" s="241" t="n">
        <v>114000</v>
      </c>
      <c r="I100" s="242" t="n"/>
      <c r="J100" s="242" t="n">
        <v>114000</v>
      </c>
      <c r="K100" s="233" t="n"/>
      <c r="L100" s="233">
        <f>IF(K100&lt;&gt;"",24000+K100,24000)</f>
        <v/>
      </c>
      <c r="M100" s="156" t="n"/>
      <c r="N100" s="156" t="n"/>
      <c r="O100" s="156" t="n"/>
      <c r="Q100" s="221" t="inlineStr">
        <is>
          <t>98</t>
        </is>
      </c>
      <c r="R100" s="222" t="inlineStr">
        <is>
          <t>ALBERTI Y GABOTO</t>
        </is>
      </c>
      <c r="S100" s="223" t="n">
        <v>57000</v>
      </c>
      <c r="T100" s="224" t="n">
        <v>12000</v>
      </c>
      <c r="U100" s="225" t="n">
        <v>1</v>
      </c>
      <c r="V100" s="226" t="inlineStr">
        <is>
          <t>09/04/2026</t>
        </is>
      </c>
    </row>
    <row r="101" ht="15.75" customHeight="1" s="153">
      <c r="A101" s="227" t="n"/>
      <c r="B101" s="228" t="inlineStr">
        <is>
          <t>PUESTO TORTAS M ZAPATA</t>
        </is>
      </c>
      <c r="C101" s="229" t="n">
        <v>1</v>
      </c>
      <c r="D101" s="229" t="n"/>
      <c r="E101" s="229" t="n"/>
      <c r="F101" s="230" t="n"/>
      <c r="G101" s="230" t="n"/>
      <c r="H101" s="231" t="n">
        <v>23500</v>
      </c>
      <c r="I101" s="232" t="n">
        <v>23500</v>
      </c>
      <c r="J101" s="232" t="n"/>
      <c r="K101" s="233" t="n"/>
      <c r="L101" s="233">
        <f>IF(K101&lt;&gt;"",8500+K101,8500)</f>
        <v/>
      </c>
      <c r="M101" s="156" t="n"/>
      <c r="N101" s="156" t="n"/>
      <c r="O101" s="156" t="n"/>
      <c r="Q101" s="214" t="inlineStr">
        <is>
          <t>99</t>
        </is>
      </c>
      <c r="R101" s="215" t="inlineStr">
        <is>
          <t>MARIO</t>
        </is>
      </c>
      <c r="S101" s="216" t="n">
        <v>57000</v>
      </c>
      <c r="T101" s="236" t="n">
        <v>12000</v>
      </c>
      <c r="U101" s="218" t="n">
        <v>1</v>
      </c>
      <c r="V101" s="219" t="inlineStr">
        <is>
          <t>15/04/2026</t>
        </is>
      </c>
    </row>
    <row r="102" ht="15.75" customHeight="1" s="153">
      <c r="A102" s="237" t="n"/>
      <c r="B102" s="238" t="inlineStr">
        <is>
          <t>F ZUVIRIA 7757</t>
        </is>
      </c>
      <c r="C102" s="239" t="n"/>
      <c r="D102" s="239" t="n"/>
      <c r="E102" s="239" t="n">
        <v>1</v>
      </c>
      <c r="F102" s="240" t="n"/>
      <c r="G102" s="240" t="n"/>
      <c r="H102" s="241" t="n">
        <v>85000</v>
      </c>
      <c r="I102" s="242" t="n"/>
      <c r="J102" s="242" t="n">
        <v>85000</v>
      </c>
      <c r="K102" s="233" t="n"/>
      <c r="L102" s="233">
        <f>IF(K102&lt;&gt;"",25000+K102,25000)</f>
        <v/>
      </c>
      <c r="M102" s="156" t="n"/>
      <c r="N102" s="156" t="n"/>
      <c r="O102" s="156" t="n"/>
      <c r="Q102" s="221" t="inlineStr">
        <is>
          <t>100</t>
        </is>
      </c>
      <c r="R102" s="222" t="inlineStr">
        <is>
          <t>NACHO</t>
        </is>
      </c>
      <c r="S102" s="223" t="n">
        <v>56500</v>
      </c>
      <c r="T102" s="224" t="n">
        <v>19000</v>
      </c>
      <c r="U102" s="225" t="n">
        <v>1</v>
      </c>
      <c r="V102" s="226" t="inlineStr">
        <is>
          <t>02/04/2026</t>
        </is>
      </c>
    </row>
    <row r="103" ht="15.75" customHeight="1" s="153">
      <c r="A103" s="227" t="n"/>
      <c r="B103" s="228" t="inlineStr">
        <is>
          <t>PUBLICO 3640</t>
        </is>
      </c>
      <c r="C103" s="229" t="n">
        <v>1</v>
      </c>
      <c r="D103" s="229" t="n"/>
      <c r="E103" s="229" t="n"/>
      <c r="F103" s="230" t="n"/>
      <c r="G103" s="230" t="n"/>
      <c r="H103" s="231" t="n">
        <v>27000</v>
      </c>
      <c r="I103" s="232" t="n">
        <v>27000</v>
      </c>
      <c r="J103" s="232" t="n"/>
      <c r="K103" s="233" t="n"/>
      <c r="L103" s="233">
        <f>IF(K103&lt;&gt;"",12000+K103,12000)</f>
        <v/>
      </c>
      <c r="M103" s="156" t="n"/>
      <c r="N103" s="156" t="n"/>
      <c r="O103" s="156" t="n"/>
      <c r="Q103" s="214" t="inlineStr">
        <is>
          <t>101</t>
        </is>
      </c>
      <c r="R103" s="215" t="inlineStr">
        <is>
          <t>ANA ABDALA</t>
        </is>
      </c>
      <c r="S103" s="216" t="n">
        <v>54000</v>
      </c>
      <c r="T103" s="236" t="n">
        <v>24000</v>
      </c>
      <c r="U103" s="218" t="n">
        <v>2</v>
      </c>
      <c r="V103" s="219" t="inlineStr">
        <is>
          <t>21/04/2026</t>
        </is>
      </c>
    </row>
    <row r="104" ht="15.75" customHeight="1" s="153">
      <c r="A104" s="237" t="n"/>
      <c r="B104" s="238" t="inlineStr">
        <is>
          <t>JP LOPE 2580</t>
        </is>
      </c>
      <c r="C104" s="239" t="n">
        <v>1</v>
      </c>
      <c r="D104" s="239" t="n"/>
      <c r="E104" s="239" t="n"/>
      <c r="F104" s="240" t="n"/>
      <c r="G104" s="240" t="n"/>
      <c r="H104" s="241" t="n">
        <v>26000</v>
      </c>
      <c r="I104" s="242" t="n">
        <v>26000</v>
      </c>
      <c r="J104" s="242" t="n"/>
      <c r="K104" s="233" t="n"/>
      <c r="L104" s="233">
        <f>IF(K104&lt;&gt;"",11000+K104,11000)</f>
        <v/>
      </c>
      <c r="M104" s="156" t="n"/>
      <c r="N104" s="156" t="n"/>
      <c r="O104" s="156" t="n"/>
      <c r="Q104" s="221" t="inlineStr">
        <is>
          <t>102</t>
        </is>
      </c>
      <c r="R104" s="222" t="inlineStr">
        <is>
          <t>BELNGRANO 3881</t>
        </is>
      </c>
      <c r="S104" s="223" t="n">
        <v>54000</v>
      </c>
      <c r="T104" s="224" t="n">
        <v>24000</v>
      </c>
      <c r="U104" s="225" t="n">
        <v>1</v>
      </c>
      <c r="V104" s="226" t="inlineStr">
        <is>
          <t>02/04/2026</t>
        </is>
      </c>
    </row>
    <row r="105" ht="15.75" customHeight="1" s="153">
      <c r="A105" s="227" t="n"/>
      <c r="B105" s="228" t="inlineStr">
        <is>
          <t>PUBLICO 8193</t>
        </is>
      </c>
      <c r="C105" s="229" t="n"/>
      <c r="D105" s="229" t="n"/>
      <c r="E105" s="229" t="n">
        <v>1</v>
      </c>
      <c r="F105" s="230" t="n"/>
      <c r="G105" s="230" t="n"/>
      <c r="H105" s="231" t="n">
        <v>84000</v>
      </c>
      <c r="I105" s="232" t="n"/>
      <c r="J105" s="232" t="n">
        <v>84000</v>
      </c>
      <c r="K105" s="233" t="n"/>
      <c r="L105" s="233">
        <f>IF(K105&lt;&gt;"",24000+K105,24000)</f>
        <v/>
      </c>
      <c r="M105" s="156" t="n"/>
      <c r="N105" s="156" t="n"/>
      <c r="O105" s="156" t="n"/>
      <c r="Q105" s="214" t="inlineStr">
        <is>
          <t>103</t>
        </is>
      </c>
      <c r="R105" s="215" t="inlineStr">
        <is>
          <t>TERRAZAS</t>
        </is>
      </c>
      <c r="S105" s="216" t="n">
        <v>54000</v>
      </c>
      <c r="T105" s="236" t="n">
        <v>24000</v>
      </c>
      <c r="U105" s="218" t="n">
        <v>1</v>
      </c>
      <c r="V105" s="219" t="inlineStr">
        <is>
          <t>04/04/2026</t>
        </is>
      </c>
    </row>
    <row r="106" ht="15.75" customHeight="1" s="153">
      <c r="A106" s="237" t="n"/>
      <c r="B106" s="238" t="inlineStr">
        <is>
          <t>LARGUIA 9655</t>
        </is>
      </c>
      <c r="C106" s="239" t="n"/>
      <c r="D106" s="239" t="n">
        <v>1</v>
      </c>
      <c r="E106" s="239" t="n"/>
      <c r="F106" s="240" t="n"/>
      <c r="G106" s="240" t="n"/>
      <c r="H106" s="241" t="n">
        <v>39000</v>
      </c>
      <c r="I106" s="242" t="n"/>
      <c r="J106" s="242" t="n">
        <v>39000</v>
      </c>
      <c r="K106" s="233" t="n"/>
      <c r="L106" s="233">
        <f>IF(K106&lt;&gt;"",16500+K106,16500)</f>
        <v/>
      </c>
      <c r="M106" s="156" t="n"/>
      <c r="N106" s="156" t="n"/>
      <c r="O106" s="156" t="n"/>
      <c r="Q106" s="221" t="inlineStr">
        <is>
          <t>104</t>
        </is>
      </c>
      <c r="R106" s="222" t="inlineStr">
        <is>
          <t>NECOCHEA 3837</t>
        </is>
      </c>
      <c r="S106" s="223" t="n">
        <v>52000</v>
      </c>
      <c r="T106" s="224" t="n">
        <v>22000</v>
      </c>
      <c r="U106" s="225" t="n">
        <v>1</v>
      </c>
      <c r="V106" s="226" t="inlineStr">
        <is>
          <t>08/04/2026</t>
        </is>
      </c>
    </row>
    <row r="107" ht="15.75" customHeight="1" s="153">
      <c r="A107" s="227" t="n"/>
      <c r="B107" s="228" t="inlineStr">
        <is>
          <t>NAMUNCURA 4436</t>
        </is>
      </c>
      <c r="C107" s="229" t="n"/>
      <c r="D107" s="229" t="n"/>
      <c r="E107" s="229" t="n">
        <v>1</v>
      </c>
      <c r="F107" s="230" t="n"/>
      <c r="G107" s="230" t="n"/>
      <c r="H107" s="231" t="n">
        <v>86000</v>
      </c>
      <c r="I107" s="232" t="n"/>
      <c r="J107" s="232" t="n">
        <v>86000</v>
      </c>
      <c r="K107" s="233" t="n"/>
      <c r="L107" s="233">
        <f>IF(K107&lt;&gt;"",26000+K107,26000)</f>
        <v/>
      </c>
      <c r="M107" s="156" t="n"/>
      <c r="N107" s="156" t="n"/>
      <c r="O107" s="156" t="n"/>
      <c r="Q107" s="214" t="inlineStr">
        <is>
          <t>105</t>
        </is>
      </c>
      <c r="R107" s="215" t="inlineStr">
        <is>
          <t>FRANCIA 2247</t>
        </is>
      </c>
      <c r="S107" s="216" t="n">
        <v>52000</v>
      </c>
      <c r="T107" s="236" t="n">
        <v>22000</v>
      </c>
      <c r="U107" s="218" t="n">
        <v>2</v>
      </c>
      <c r="V107" s="219" t="inlineStr">
        <is>
          <t>16/04/2026</t>
        </is>
      </c>
    </row>
    <row r="108" ht="15.75" customHeight="1" s="153">
      <c r="A108" s="237" t="n"/>
      <c r="B108" s="238" t="inlineStr">
        <is>
          <t>HERNANDARIAS 5356</t>
        </is>
      </c>
      <c r="C108" s="239" t="n">
        <v>1</v>
      </c>
      <c r="D108" s="239" t="n"/>
      <c r="E108" s="239" t="n"/>
      <c r="F108" s="240" t="n"/>
      <c r="G108" s="240" t="n"/>
      <c r="H108" s="241" t="n">
        <v>25000</v>
      </c>
      <c r="I108" s="242" t="n">
        <v>25000</v>
      </c>
      <c r="J108" s="242" t="n"/>
      <c r="K108" s="233" t="n"/>
      <c r="L108" s="233">
        <f>IF(K108&lt;&gt;"",10000+K108,10000)</f>
        <v/>
      </c>
      <c r="M108" s="156" t="n"/>
      <c r="N108" s="156" t="n"/>
      <c r="O108" s="156" t="n"/>
      <c r="Q108" s="221" t="inlineStr">
        <is>
          <t>106</t>
        </is>
      </c>
      <c r="R108" s="222" t="inlineStr">
        <is>
          <t>EX COMBATIENTES 5520</t>
        </is>
      </c>
      <c r="S108" s="223" t="n">
        <v>52000</v>
      </c>
      <c r="T108" s="224" t="n">
        <v>22000</v>
      </c>
      <c r="U108" s="225" t="n">
        <v>1</v>
      </c>
      <c r="V108" s="226" t="inlineStr">
        <is>
          <t>21/04/2026</t>
        </is>
      </c>
    </row>
    <row r="109" ht="15.75" customHeight="1" s="153">
      <c r="A109" s="227" t="n"/>
      <c r="B109" s="228" t="inlineStr">
        <is>
          <t>FILOMENA</t>
        </is>
      </c>
      <c r="C109" s="229" t="n">
        <v>1</v>
      </c>
      <c r="D109" s="229" t="n"/>
      <c r="E109" s="229" t="n"/>
      <c r="F109" s="230" t="n"/>
      <c r="G109" s="230" t="n"/>
      <c r="H109" s="231" t="n">
        <v>23000</v>
      </c>
      <c r="I109" s="232" t="n"/>
      <c r="J109" s="232" t="n">
        <v>23000</v>
      </c>
      <c r="K109" s="233" t="n"/>
      <c r="L109" s="233">
        <f>IF(K109&lt;&gt;"",8000+K109,8000)</f>
        <v/>
      </c>
      <c r="M109" s="156" t="n"/>
      <c r="N109" s="156" t="n"/>
      <c r="O109" s="156" t="n"/>
      <c r="Q109" s="214" t="inlineStr">
        <is>
          <t>107</t>
        </is>
      </c>
      <c r="R109" s="215" t="inlineStr">
        <is>
          <t>LARGUIA 6924</t>
        </is>
      </c>
      <c r="S109" s="216" t="n">
        <v>50000</v>
      </c>
      <c r="T109" s="236" t="n">
        <v>20000</v>
      </c>
      <c r="U109" s="218" t="n">
        <v>2</v>
      </c>
      <c r="V109" s="219" t="inlineStr">
        <is>
          <t>21/04/2026</t>
        </is>
      </c>
    </row>
    <row r="110" ht="15.75" customHeight="1" s="153">
      <c r="A110" s="237" t="n"/>
      <c r="B110" s="238" t="inlineStr">
        <is>
          <t>LUCHO</t>
        </is>
      </c>
      <c r="C110" s="239" t="n">
        <v>2</v>
      </c>
      <c r="D110" s="239" t="n"/>
      <c r="E110" s="239" t="n"/>
      <c r="F110" s="240" t="n"/>
      <c r="G110" s="240" t="n"/>
      <c r="H110" s="241" t="n">
        <v>38000</v>
      </c>
      <c r="I110" s="242" t="n">
        <v>38000</v>
      </c>
      <c r="J110" s="242" t="n"/>
      <c r="K110" s="233" t="n"/>
      <c r="L110" s="233">
        <f>IF(K110&lt;&gt;"",8000+K110,8000)</f>
        <v/>
      </c>
      <c r="M110" s="156" t="n"/>
      <c r="N110" s="156" t="n"/>
      <c r="O110" s="156" t="n"/>
      <c r="Q110" s="221" t="inlineStr">
        <is>
          <t>108</t>
        </is>
      </c>
      <c r="R110" s="222" t="inlineStr">
        <is>
          <t>LAS HERAS 5471</t>
        </is>
      </c>
      <c r="S110" s="223" t="n">
        <v>50000</v>
      </c>
      <c r="T110" s="224" t="n">
        <v>20000</v>
      </c>
      <c r="U110" s="225" t="n">
        <v>1</v>
      </c>
      <c r="V110" s="226" t="inlineStr">
        <is>
          <t>05/02/2026</t>
        </is>
      </c>
    </row>
    <row r="111" ht="15.75" customHeight="1" s="153">
      <c r="A111" s="227" t="n"/>
      <c r="B111" s="228" t="inlineStr">
        <is>
          <t>EX COMBATIENTES 5433</t>
        </is>
      </c>
      <c r="C111" s="229" t="n"/>
      <c r="D111" s="229" t="n"/>
      <c r="E111" s="229" t="n">
        <v>1</v>
      </c>
      <c r="F111" s="230" t="n"/>
      <c r="G111" s="230" t="n"/>
      <c r="H111" s="231" t="n">
        <v>85000</v>
      </c>
      <c r="I111" s="232" t="n">
        <v>85000</v>
      </c>
      <c r="J111" s="232" t="n"/>
      <c r="K111" s="233" t="n"/>
      <c r="L111" s="233">
        <f>IF(K111&lt;&gt;"",25000+K111,25000)</f>
        <v/>
      </c>
      <c r="M111" s="156" t="n"/>
      <c r="N111" s="156" t="n"/>
      <c r="O111" s="156" t="n"/>
      <c r="Q111" s="214" t="inlineStr">
        <is>
          <t>109</t>
        </is>
      </c>
      <c r="R111" s="215" t="inlineStr">
        <is>
          <t>LOLI</t>
        </is>
      </c>
      <c r="S111" s="216" t="n">
        <v>49000</v>
      </c>
      <c r="T111" s="236" t="n">
        <v>20200</v>
      </c>
      <c r="U111" s="218" t="n">
        <v>1</v>
      </c>
      <c r="V111" s="219" t="inlineStr">
        <is>
          <t>08/04/2026</t>
        </is>
      </c>
    </row>
    <row r="112" ht="15.75" customHeight="1" s="153">
      <c r="A112" s="237" t="n">
        <v>46120</v>
      </c>
      <c r="B112" s="238" t="inlineStr">
        <is>
          <t>CALLE 12 3856</t>
        </is>
      </c>
      <c r="C112" s="239" t="n"/>
      <c r="D112" s="239" t="n"/>
      <c r="E112" s="239" t="n">
        <v>1</v>
      </c>
      <c r="F112" s="240" t="n"/>
      <c r="G112" s="240" t="n"/>
      <c r="H112" s="241" t="n">
        <v>83000</v>
      </c>
      <c r="I112" s="242" t="n"/>
      <c r="J112" s="242" t="n">
        <v>83000</v>
      </c>
      <c r="K112" s="233" t="n"/>
      <c r="L112" s="233">
        <f>IF(K112&lt;&gt;"",23000+K112,23000)</f>
        <v/>
      </c>
      <c r="M112" s="156" t="n"/>
      <c r="N112" s="156" t="n"/>
      <c r="O112" s="156" t="n"/>
      <c r="Q112" s="221" t="inlineStr">
        <is>
          <t>110</t>
        </is>
      </c>
      <c r="R112" s="222" t="inlineStr">
        <is>
          <t>FORMOSA 6058</t>
        </is>
      </c>
      <c r="S112" s="223" t="n">
        <v>45000</v>
      </c>
      <c r="T112" s="224" t="n">
        <v>27450</v>
      </c>
      <c r="U112" s="225" t="n">
        <v>1</v>
      </c>
      <c r="V112" s="226" t="inlineStr">
        <is>
          <t>10/04/2026</t>
        </is>
      </c>
    </row>
    <row r="113" ht="15.75" customHeight="1" s="153">
      <c r="A113" s="227" t="n"/>
      <c r="B113" s="228" t="inlineStr">
        <is>
          <t>MARIANA</t>
        </is>
      </c>
      <c r="C113" s="229" t="n"/>
      <c r="D113" s="229" t="n"/>
      <c r="E113" s="229" t="n">
        <v>1</v>
      </c>
      <c r="F113" s="230" t="n"/>
      <c r="G113" s="230" t="n"/>
      <c r="H113" s="231" t="n">
        <v>90000</v>
      </c>
      <c r="I113" s="232" t="n">
        <v>90000</v>
      </c>
      <c r="J113" s="232" t="n"/>
      <c r="K113" s="233" t="n"/>
      <c r="L113" s="233">
        <f>IF(K113&lt;&gt;"",30000+K113,30000)</f>
        <v/>
      </c>
      <c r="M113" s="156" t="n"/>
      <c r="N113" s="156" t="n"/>
      <c r="O113" s="156" t="n"/>
      <c r="Q113" s="214" t="inlineStr">
        <is>
          <t>111</t>
        </is>
      </c>
      <c r="R113" s="215" t="inlineStr">
        <is>
          <t>PANA VIEYTES GISELA</t>
        </is>
      </c>
      <c r="S113" s="216" t="n">
        <v>44000</v>
      </c>
      <c r="T113" s="236" t="n">
        <v>14000</v>
      </c>
      <c r="U113" s="218" t="n">
        <v>2</v>
      </c>
      <c r="V113" s="219" t="inlineStr">
        <is>
          <t>16/04/2026</t>
        </is>
      </c>
    </row>
    <row r="114" ht="15.75" customHeight="1" s="153">
      <c r="A114" s="237" t="n"/>
      <c r="B114" s="238" t="inlineStr">
        <is>
          <t>NECOCHEA 3837</t>
        </is>
      </c>
      <c r="C114" s="239" t="n">
        <v>2</v>
      </c>
      <c r="D114" s="239" t="n"/>
      <c r="E114" s="239" t="n"/>
      <c r="F114" s="240" t="n"/>
      <c r="G114" s="240" t="n"/>
      <c r="H114" s="241" t="n">
        <v>52000</v>
      </c>
      <c r="I114" s="242" t="n">
        <v>52000</v>
      </c>
      <c r="J114" s="242" t="n"/>
      <c r="K114" s="233" t="n"/>
      <c r="L114" s="233">
        <f>IF(K114&lt;&gt;"",22000+K114,22000)</f>
        <v/>
      </c>
      <c r="M114" s="156" t="n"/>
      <c r="N114" s="156" t="n"/>
      <c r="O114" s="156" t="n"/>
      <c r="Q114" s="221" t="inlineStr">
        <is>
          <t>112</t>
        </is>
      </c>
      <c r="R114" s="222" t="inlineStr">
        <is>
          <t>ROQUE S PEÑA 3066</t>
        </is>
      </c>
      <c r="S114" s="223" t="n">
        <v>41000</v>
      </c>
      <c r="T114" s="224" t="n">
        <v>18500</v>
      </c>
      <c r="U114" s="225" t="n">
        <v>1</v>
      </c>
      <c r="V114" s="226" t="inlineStr">
        <is>
          <t>11/04/2026</t>
        </is>
      </c>
    </row>
    <row r="115" ht="15.75" customHeight="1" s="153">
      <c r="A115" s="227" t="n"/>
      <c r="B115" s="228" t="inlineStr">
        <is>
          <t>BLAS PARERA 7062</t>
        </is>
      </c>
      <c r="C115" s="229" t="n"/>
      <c r="D115" s="229" t="n">
        <v>1</v>
      </c>
      <c r="E115" s="229" t="n"/>
      <c r="F115" s="230" t="n"/>
      <c r="G115" s="230" t="n"/>
      <c r="H115" s="231" t="n">
        <v>36500</v>
      </c>
      <c r="I115" s="232" t="n"/>
      <c r="J115" s="232" t="n">
        <v>36500</v>
      </c>
      <c r="K115" s="233" t="n"/>
      <c r="L115" s="233">
        <f>IF(K115&lt;&gt;"",14000+K115,14000)</f>
        <v/>
      </c>
      <c r="M115" s="156" t="n"/>
      <c r="N115" s="156" t="n"/>
      <c r="O115" s="156" t="n"/>
      <c r="Q115" s="214" t="inlineStr">
        <is>
          <t>113</t>
        </is>
      </c>
      <c r="R115" s="215" t="inlineStr">
        <is>
          <t>RIVADAVIA JUNIOR</t>
        </is>
      </c>
      <c r="S115" s="216" t="n">
        <v>40000</v>
      </c>
      <c r="T115" s="236" t="n">
        <v>17500</v>
      </c>
      <c r="U115" s="218" t="n">
        <v>1</v>
      </c>
      <c r="V115" s="219" t="inlineStr">
        <is>
          <t>16/04/2026</t>
        </is>
      </c>
    </row>
    <row r="116" ht="15.75" customHeight="1" s="153">
      <c r="A116" s="237" t="n"/>
      <c r="B116" s="238" t="inlineStr">
        <is>
          <t>PANA BERUTI 3850</t>
        </is>
      </c>
      <c r="C116" s="239" t="n">
        <v>3</v>
      </c>
      <c r="D116" s="239" t="n"/>
      <c r="E116" s="239" t="n">
        <v>1</v>
      </c>
      <c r="F116" s="240" t="n"/>
      <c r="G116" s="240" t="n"/>
      <c r="H116" s="241" t="n">
        <v>142000</v>
      </c>
      <c r="I116" s="242" t="n">
        <v>66000</v>
      </c>
      <c r="J116" s="242" t="n">
        <v>76000</v>
      </c>
      <c r="K116" s="233" t="n"/>
      <c r="L116" s="233">
        <f>IF(K116&lt;&gt;"",37000+K116,37000)</f>
        <v/>
      </c>
      <c r="M116" s="156" t="n"/>
      <c r="N116" s="156" t="n"/>
      <c r="O116" s="156" t="n"/>
      <c r="Q116" s="221" t="inlineStr">
        <is>
          <t>114</t>
        </is>
      </c>
      <c r="R116" s="222" t="inlineStr">
        <is>
          <t>M ZAPATA 2101</t>
        </is>
      </c>
      <c r="S116" s="223" t="n">
        <v>39000</v>
      </c>
      <c r="T116" s="224" t="n">
        <v>9000</v>
      </c>
      <c r="U116" s="225" t="n">
        <v>1</v>
      </c>
      <c r="V116" s="226" t="inlineStr">
        <is>
          <t>01/04/2026</t>
        </is>
      </c>
    </row>
    <row r="117" ht="15.75" customHeight="1" s="153">
      <c r="A117" s="227" t="n"/>
      <c r="B117" s="228" t="inlineStr">
        <is>
          <t>PANA GORRITI 4600</t>
        </is>
      </c>
      <c r="C117" s="229" t="n"/>
      <c r="D117" s="229" t="n"/>
      <c r="E117" s="229" t="n">
        <v>1</v>
      </c>
      <c r="F117" s="230" t="n"/>
      <c r="G117" s="230" t="n"/>
      <c r="H117" s="231" t="n">
        <v>82000</v>
      </c>
      <c r="I117" s="232" t="n">
        <v>82000</v>
      </c>
      <c r="J117" s="232" t="n"/>
      <c r="K117" s="233" t="n"/>
      <c r="L117" s="233">
        <f>IF(K117&lt;&gt;"",22000+K117,22000)</f>
        <v/>
      </c>
      <c r="M117" s="156" t="n"/>
      <c r="N117" s="156" t="n"/>
      <c r="O117" s="156" t="n"/>
      <c r="Q117" s="214" t="inlineStr">
        <is>
          <t>115</t>
        </is>
      </c>
      <c r="R117" s="215" t="inlineStr">
        <is>
          <t>BARRETO 9261</t>
        </is>
      </c>
      <c r="S117" s="216" t="n">
        <v>39000</v>
      </c>
      <c r="T117" s="236" t="n">
        <v>16500</v>
      </c>
      <c r="U117" s="218" t="n">
        <v>1</v>
      </c>
      <c r="V117" s="219" t="inlineStr">
        <is>
          <t>11/02/2026</t>
        </is>
      </c>
    </row>
    <row r="118" ht="15.75" customHeight="1" s="153">
      <c r="A118" s="237" t="n"/>
      <c r="B118" s="238" t="inlineStr">
        <is>
          <t>PANA BERUTI 6400</t>
        </is>
      </c>
      <c r="C118" s="239" t="n"/>
      <c r="D118" s="239" t="n"/>
      <c r="E118" s="239" t="n">
        <v>1</v>
      </c>
      <c r="F118" s="240" t="n"/>
      <c r="G118" s="240" t="n"/>
      <c r="H118" s="241" t="n">
        <v>75000</v>
      </c>
      <c r="I118" s="242" t="n"/>
      <c r="J118" s="242" t="n">
        <v>75000</v>
      </c>
      <c r="K118" s="233" t="n"/>
      <c r="L118" s="233">
        <f>IF(K118&lt;&gt;"",15000+K118,15000)</f>
        <v/>
      </c>
      <c r="M118" s="156" t="n"/>
      <c r="N118" s="156" t="n"/>
      <c r="O118" s="156" t="n"/>
      <c r="Q118" s="221" t="inlineStr">
        <is>
          <t>116</t>
        </is>
      </c>
      <c r="R118" s="222" t="inlineStr">
        <is>
          <t>PAVON 2124</t>
        </is>
      </c>
      <c r="S118" s="223" t="n">
        <v>39000</v>
      </c>
      <c r="T118" s="224" t="n">
        <v>16500</v>
      </c>
      <c r="U118" s="225" t="n">
        <v>1</v>
      </c>
      <c r="V118" s="226" t="inlineStr">
        <is>
          <t>03/04/2026</t>
        </is>
      </c>
    </row>
    <row r="119" ht="15.75" customHeight="1" s="153">
      <c r="A119" s="227" t="n"/>
      <c r="B119" s="228" t="inlineStr">
        <is>
          <t>EX COMBATIENTE 5550</t>
        </is>
      </c>
      <c r="C119" s="229" t="n">
        <v>1</v>
      </c>
      <c r="D119" s="229" t="n"/>
      <c r="E119" s="229" t="n"/>
      <c r="F119" s="230" t="n"/>
      <c r="G119" s="230" t="n"/>
      <c r="H119" s="231" t="n">
        <v>26000</v>
      </c>
      <c r="I119" s="232" t="n"/>
      <c r="J119" s="232" t="n">
        <v>26000</v>
      </c>
      <c r="K119" s="233" t="n"/>
      <c r="L119" s="233">
        <f>IF(K119&lt;&gt;"",11000+K119,11000)</f>
        <v/>
      </c>
      <c r="M119" s="156" t="n"/>
      <c r="N119" s="156" t="n"/>
      <c r="O119" s="156" t="n"/>
      <c r="Q119" s="214" t="inlineStr">
        <is>
          <t>117</t>
        </is>
      </c>
      <c r="R119" s="215" t="inlineStr">
        <is>
          <t>GENEIRO 8200</t>
        </is>
      </c>
      <c r="S119" s="216" t="n">
        <v>39000</v>
      </c>
      <c r="T119" s="236" t="n">
        <v>16500</v>
      </c>
      <c r="U119" s="218" t="n">
        <v>1</v>
      </c>
      <c r="V119" s="219" t="inlineStr">
        <is>
          <t>01/04/2026</t>
        </is>
      </c>
    </row>
    <row r="120" ht="15.75" customHeight="1" s="153">
      <c r="A120" s="237" t="n"/>
      <c r="B120" s="238" t="inlineStr">
        <is>
          <t>LAVAISE 3786</t>
        </is>
      </c>
      <c r="C120" s="239" t="n">
        <v>1</v>
      </c>
      <c r="D120" s="239" t="n"/>
      <c r="E120" s="239" t="n"/>
      <c r="F120" s="240" t="n"/>
      <c r="G120" s="240" t="n"/>
      <c r="H120" s="241" t="n">
        <v>25000</v>
      </c>
      <c r="I120" s="242" t="n"/>
      <c r="J120" s="242" t="n">
        <v>25000</v>
      </c>
      <c r="K120" s="233" t="n"/>
      <c r="L120" s="233">
        <f>IF(K120&lt;&gt;"",10000+K120,10000)</f>
        <v/>
      </c>
      <c r="M120" s="156" t="n"/>
      <c r="N120" s="156" t="n"/>
      <c r="O120" s="156" t="n"/>
      <c r="Q120" s="221" t="inlineStr">
        <is>
          <t>118</t>
        </is>
      </c>
      <c r="R120" s="222" t="inlineStr">
        <is>
          <t>LA MADRID 7175</t>
        </is>
      </c>
      <c r="S120" s="223" t="n">
        <v>39000</v>
      </c>
      <c r="T120" s="224" t="n">
        <v>16500</v>
      </c>
      <c r="U120" s="225" t="n">
        <v>1</v>
      </c>
      <c r="V120" s="226" t="inlineStr">
        <is>
          <t>01/04/2026</t>
        </is>
      </c>
    </row>
    <row r="121" ht="15.75" customHeight="1" s="153">
      <c r="A121" s="227" t="n"/>
      <c r="B121" s="228" t="inlineStr">
        <is>
          <t xml:space="preserve">SANDRA </t>
        </is>
      </c>
      <c r="C121" s="229" t="n">
        <v>2</v>
      </c>
      <c r="D121" s="229" t="n">
        <v>2</v>
      </c>
      <c r="E121" s="229" t="n"/>
      <c r="F121" s="230" t="n"/>
      <c r="G121" s="230" t="n"/>
      <c r="H121" s="231" t="n">
        <v>95000</v>
      </c>
      <c r="I121" s="232" t="n">
        <v>40000</v>
      </c>
      <c r="J121" s="232" t="n">
        <v>55000</v>
      </c>
      <c r="K121" s="233" t="n"/>
      <c r="L121" s="233">
        <f>IF(K121&lt;&gt;"",20000+K121,20000)</f>
        <v/>
      </c>
      <c r="M121" s="156" t="n"/>
      <c r="N121" s="156" t="n"/>
      <c r="O121" s="156" t="n"/>
      <c r="Q121" s="214" t="inlineStr">
        <is>
          <t>119</t>
        </is>
      </c>
      <c r="R121" s="215" t="inlineStr">
        <is>
          <t>GABOTO 7298</t>
        </is>
      </c>
      <c r="S121" s="216" t="n">
        <v>39000</v>
      </c>
      <c r="T121" s="236" t="n">
        <v>16500</v>
      </c>
      <c r="U121" s="218" t="n">
        <v>1</v>
      </c>
      <c r="V121" s="219" t="inlineStr">
        <is>
          <t>02/04/2026</t>
        </is>
      </c>
    </row>
    <row r="122" ht="15.75" customHeight="1" s="153">
      <c r="A122" s="237" t="n"/>
      <c r="B122" s="238" t="inlineStr">
        <is>
          <t>FRATERNIDAD GUANELLA</t>
        </is>
      </c>
      <c r="C122" s="239" t="n">
        <v>1</v>
      </c>
      <c r="D122" s="239" t="n"/>
      <c r="E122" s="239" t="n"/>
      <c r="F122" s="240" t="n"/>
      <c r="G122" s="240" t="n"/>
      <c r="H122" s="241" t="n">
        <v>23000</v>
      </c>
      <c r="I122" s="242" t="n">
        <v>23000</v>
      </c>
      <c r="J122" s="242" t="n"/>
      <c r="K122" s="233" t="n"/>
      <c r="L122" s="233">
        <f>IF(K122&lt;&gt;"",8000+K122,8000)</f>
        <v/>
      </c>
      <c r="M122" s="156" t="n"/>
      <c r="N122" s="156" t="n"/>
      <c r="O122" s="156" t="n"/>
      <c r="Q122" s="221" t="inlineStr">
        <is>
          <t>120</t>
        </is>
      </c>
      <c r="R122" s="222" t="inlineStr">
        <is>
          <t>BLS PARERA 8380</t>
        </is>
      </c>
      <c r="S122" s="223" t="n">
        <v>39000</v>
      </c>
      <c r="T122" s="224" t="n">
        <v>16500</v>
      </c>
      <c r="U122" s="225" t="n">
        <v>1</v>
      </c>
      <c r="V122" s="226" t="inlineStr">
        <is>
          <t>03/04/2026</t>
        </is>
      </c>
    </row>
    <row r="123" ht="15.75" customHeight="1" s="153">
      <c r="A123" s="227" t="n"/>
      <c r="B123" s="228" t="inlineStr">
        <is>
          <t>PANA VIEYTES 3800</t>
        </is>
      </c>
      <c r="C123" s="229" t="n"/>
      <c r="D123" s="229" t="n"/>
      <c r="E123" s="229" t="n">
        <v>1</v>
      </c>
      <c r="F123" s="230" t="n"/>
      <c r="G123" s="230" t="n"/>
      <c r="H123" s="231" t="n">
        <v>82000</v>
      </c>
      <c r="I123" s="232" t="n"/>
      <c r="J123" s="232" t="n">
        <v>82000</v>
      </c>
      <c r="K123" s="233" t="n"/>
      <c r="L123" s="233">
        <f>IF(K123&lt;&gt;"",22000+K123,22000)</f>
        <v/>
      </c>
      <c r="M123" s="156" t="n"/>
      <c r="N123" s="156" t="n"/>
      <c r="O123" s="156" t="n"/>
      <c r="Q123" s="214" t="inlineStr">
        <is>
          <t>121</t>
        </is>
      </c>
      <c r="R123" s="215" t="inlineStr">
        <is>
          <t>ZAVALIA 779</t>
        </is>
      </c>
      <c r="S123" s="216" t="n">
        <v>39000</v>
      </c>
      <c r="T123" s="236" t="n">
        <v>16500</v>
      </c>
      <c r="U123" s="218" t="n">
        <v>1</v>
      </c>
      <c r="V123" s="219" t="inlineStr">
        <is>
          <t>04/04/2026</t>
        </is>
      </c>
    </row>
    <row r="124" ht="15.75" customHeight="1" s="153">
      <c r="A124" s="237" t="n"/>
      <c r="B124" s="238" t="inlineStr">
        <is>
          <t>GARMENDIA 9249</t>
        </is>
      </c>
      <c r="C124" s="239" t="n"/>
      <c r="D124" s="239" t="n">
        <v>1</v>
      </c>
      <c r="E124" s="239" t="n"/>
      <c r="F124" s="240" t="n"/>
      <c r="G124" s="240" t="n"/>
      <c r="H124" s="241" t="n">
        <v>35500</v>
      </c>
      <c r="I124" s="242" t="n"/>
      <c r="J124" s="242" t="n">
        <v>35500</v>
      </c>
      <c r="K124" s="233" t="n"/>
      <c r="L124" s="233">
        <f>IF(K124&lt;&gt;"",13000+K124,13000)</f>
        <v/>
      </c>
      <c r="M124" s="156" t="n"/>
      <c r="N124" s="156" t="n"/>
      <c r="O124" s="156" t="n"/>
      <c r="Q124" s="221" t="inlineStr">
        <is>
          <t>122</t>
        </is>
      </c>
      <c r="R124" s="222" t="inlineStr">
        <is>
          <t>VIEYTES 4587</t>
        </is>
      </c>
      <c r="S124" s="223" t="n">
        <v>39000</v>
      </c>
      <c r="T124" s="224" t="n">
        <v>16500</v>
      </c>
      <c r="U124" s="225" t="n">
        <v>1</v>
      </c>
      <c r="V124" s="226" t="inlineStr">
        <is>
          <t>05/02/2026</t>
        </is>
      </c>
    </row>
    <row r="125" ht="15.75" customHeight="1" s="153">
      <c r="A125" s="227" t="n"/>
      <c r="B125" s="228" t="inlineStr">
        <is>
          <t>PUBLICO 5489 Y CAFERATA</t>
        </is>
      </c>
      <c r="C125" s="229" t="n">
        <v>1</v>
      </c>
      <c r="D125" s="229" t="n"/>
      <c r="E125" s="229" t="n"/>
      <c r="F125" s="230" t="n"/>
      <c r="G125" s="230" t="n"/>
      <c r="H125" s="231" t="n">
        <v>27000</v>
      </c>
      <c r="I125" s="232" t="n"/>
      <c r="J125" s="232" t="n">
        <v>27000</v>
      </c>
      <c r="K125" s="233" t="n"/>
      <c r="L125" s="233">
        <f>IF(K125&lt;&gt;"",12000+K125,12000)</f>
        <v/>
      </c>
      <c r="M125" s="156" t="n"/>
      <c r="N125" s="156" t="n"/>
      <c r="O125" s="156" t="n"/>
      <c r="Q125" s="214" t="inlineStr">
        <is>
          <t>123</t>
        </is>
      </c>
      <c r="R125" s="215" t="inlineStr">
        <is>
          <t>LARGUIA 9655</t>
        </is>
      </c>
      <c r="S125" s="216" t="n">
        <v>39000</v>
      </c>
      <c r="T125" s="236" t="n">
        <v>16500</v>
      </c>
      <c r="U125" s="218" t="n">
        <v>1</v>
      </c>
      <c r="V125" s="219" t="inlineStr">
        <is>
          <t>07/04/2026</t>
        </is>
      </c>
    </row>
    <row r="126" ht="15.75" customHeight="1" s="153">
      <c r="A126" s="237" t="n"/>
      <c r="B126" s="238" t="inlineStr">
        <is>
          <t xml:space="preserve">ESC JUAN DE GARAY </t>
        </is>
      </c>
      <c r="C126" s="239" t="n">
        <v>1</v>
      </c>
      <c r="D126" s="239" t="n"/>
      <c r="E126" s="239" t="n"/>
      <c r="F126" s="240" t="n"/>
      <c r="G126" s="240" t="n"/>
      <c r="H126" s="241" t="n">
        <v>25000</v>
      </c>
      <c r="I126" s="242" t="n">
        <v>25000</v>
      </c>
      <c r="J126" s="242" t="n"/>
      <c r="K126" s="233" t="n"/>
      <c r="L126" s="233">
        <f>IF(K126&lt;&gt;"",10000+K126,10000)</f>
        <v/>
      </c>
      <c r="M126" s="156" t="n"/>
      <c r="N126" s="156" t="n"/>
      <c r="O126" s="156" t="n"/>
      <c r="Q126" s="221" t="inlineStr">
        <is>
          <t>124</t>
        </is>
      </c>
      <c r="R126" s="222" t="inlineStr">
        <is>
          <t>BLAS PARERA 6578</t>
        </is>
      </c>
      <c r="S126" s="223" t="n">
        <v>39000</v>
      </c>
      <c r="T126" s="224" t="n">
        <v>16500</v>
      </c>
      <c r="U126" s="225" t="n">
        <v>1</v>
      </c>
      <c r="V126" s="226" t="inlineStr">
        <is>
          <t>13/04/2026</t>
        </is>
      </c>
    </row>
    <row r="127" ht="15.75" customHeight="1" s="153">
      <c r="A127" s="227" t="n"/>
      <c r="B127" s="228" t="inlineStr">
        <is>
          <t>LOLI</t>
        </is>
      </c>
      <c r="C127" s="229" t="n">
        <v>1</v>
      </c>
      <c r="D127" s="229" t="n"/>
      <c r="E127" s="229" t="n"/>
      <c r="F127" s="230" t="n">
        <v>6</v>
      </c>
      <c r="G127" s="230" t="n"/>
      <c r="H127" s="231" t="n">
        <v>49000</v>
      </c>
      <c r="I127" s="232" t="n">
        <v>49000</v>
      </c>
      <c r="J127" s="232" t="n"/>
      <c r="K127" s="233" t="n"/>
      <c r="L127" s="233">
        <f>IF(K127&lt;&gt;"",20200+K127,20200)</f>
        <v/>
      </c>
      <c r="M127" s="156" t="n"/>
      <c r="N127" s="156" t="n"/>
      <c r="O127" s="156" t="n"/>
      <c r="Q127" s="214" t="inlineStr">
        <is>
          <t>125</t>
        </is>
      </c>
      <c r="R127" s="215" t="inlineStr">
        <is>
          <t>GORRITI 1971</t>
        </is>
      </c>
      <c r="S127" s="216" t="n">
        <v>39000</v>
      </c>
      <c r="T127" s="236" t="n">
        <v>16500</v>
      </c>
      <c r="U127" s="218" t="n">
        <v>1</v>
      </c>
      <c r="V127" s="219" t="inlineStr">
        <is>
          <t>15/04/2026</t>
        </is>
      </c>
    </row>
    <row r="128" ht="15.75" customHeight="1" s="153">
      <c r="A128" s="237" t="n"/>
      <c r="B128" s="238" t="inlineStr">
        <is>
          <t>TROPPO</t>
        </is>
      </c>
      <c r="C128" s="239" t="n">
        <v>3</v>
      </c>
      <c r="D128" s="239" t="n"/>
      <c r="E128" s="239" t="n"/>
      <c r="F128" s="240" t="n"/>
      <c r="G128" s="240" t="n"/>
      <c r="H128" s="241" t="n">
        <v>75000</v>
      </c>
      <c r="I128" s="242" t="n"/>
      <c r="J128" s="242" t="n">
        <v>75000</v>
      </c>
      <c r="K128" s="233" t="n"/>
      <c r="L128" s="233">
        <f>IF(K128&lt;&gt;"",30000+K128,30000)</f>
        <v/>
      </c>
      <c r="M128" s="156" t="n"/>
      <c r="N128" s="156" t="n"/>
      <c r="O128" s="156" t="n"/>
      <c r="Q128" s="221" t="inlineStr">
        <is>
          <t>126</t>
        </is>
      </c>
      <c r="R128" s="222" t="inlineStr">
        <is>
          <t>NOGALES 3462</t>
        </is>
      </c>
      <c r="S128" s="223" t="n">
        <v>39000</v>
      </c>
      <c r="T128" s="224" t="n">
        <v>16500</v>
      </c>
      <c r="U128" s="225" t="n">
        <v>1</v>
      </c>
      <c r="V128" s="226" t="inlineStr">
        <is>
          <t>20/04/2026</t>
        </is>
      </c>
    </row>
    <row r="129" ht="15.75" customHeight="1" s="153">
      <c r="A129" s="227" t="n"/>
      <c r="B129" s="228" t="inlineStr">
        <is>
          <t>FILOMENA</t>
        </is>
      </c>
      <c r="C129" s="229" t="n">
        <v>1</v>
      </c>
      <c r="D129" s="229" t="n"/>
      <c r="E129" s="229" t="n"/>
      <c r="F129" s="230" t="n"/>
      <c r="G129" s="230" t="n"/>
      <c r="H129" s="231" t="n">
        <v>23000</v>
      </c>
      <c r="I129" s="232" t="n"/>
      <c r="J129" s="232" t="n">
        <v>23000</v>
      </c>
      <c r="K129" s="233" t="n"/>
      <c r="L129" s="233">
        <f>IF(K129&lt;&gt;"",8000+K129,8000)</f>
        <v/>
      </c>
      <c r="M129" s="156" t="n"/>
      <c r="N129" s="156" t="n"/>
      <c r="O129" s="156" t="n"/>
      <c r="Q129" s="214" t="inlineStr">
        <is>
          <t>127</t>
        </is>
      </c>
      <c r="R129" s="215" t="inlineStr">
        <is>
          <t>VIEYTES 5299</t>
        </is>
      </c>
      <c r="S129" s="216" t="n">
        <v>39000</v>
      </c>
      <c r="T129" s="236" t="n">
        <v>16500</v>
      </c>
      <c r="U129" s="218" t="n">
        <v>1</v>
      </c>
      <c r="V129" s="219" t="inlineStr">
        <is>
          <t>21/04/2026</t>
        </is>
      </c>
    </row>
    <row r="130" ht="15.75" customHeight="1" s="153">
      <c r="A130" s="237" t="n"/>
      <c r="B130" s="238" t="inlineStr">
        <is>
          <t>B IRIGOYEN 6854</t>
        </is>
      </c>
      <c r="C130" s="239" t="n">
        <v>1</v>
      </c>
      <c r="D130" s="239" t="n"/>
      <c r="E130" s="239" t="n"/>
      <c r="F130" s="240" t="n"/>
      <c r="G130" s="240" t="n"/>
      <c r="H130" s="241" t="n">
        <v>23000</v>
      </c>
      <c r="I130" s="242" t="n">
        <v>23000</v>
      </c>
      <c r="J130" s="242" t="n"/>
      <c r="K130" s="233" t="n"/>
      <c r="L130" s="233">
        <f>IF(K130&lt;&gt;"",8000+K130,8000)</f>
        <v/>
      </c>
      <c r="M130" s="156" t="n"/>
      <c r="N130" s="156" t="n"/>
      <c r="O130" s="156" t="n"/>
      <c r="Q130" s="221" t="inlineStr">
        <is>
          <t>128</t>
        </is>
      </c>
      <c r="R130" s="222" t="inlineStr">
        <is>
          <t>SERBANDO BAYO 6650</t>
        </is>
      </c>
      <c r="S130" s="223" t="n">
        <v>39000</v>
      </c>
      <c r="T130" s="224" t="n">
        <v>16500</v>
      </c>
      <c r="U130" s="225" t="n">
        <v>1</v>
      </c>
      <c r="V130" s="226" t="inlineStr">
        <is>
          <t>21/04/2026</t>
        </is>
      </c>
    </row>
    <row r="131" ht="15.75" customHeight="1" s="153">
      <c r="A131" s="227" t="n"/>
      <c r="B131" s="228" t="inlineStr">
        <is>
          <t>ANA ABDALA</t>
        </is>
      </c>
      <c r="C131" s="229" t="n">
        <v>1</v>
      </c>
      <c r="D131" s="229" t="n"/>
      <c r="E131" s="229" t="n"/>
      <c r="F131" s="230" t="n"/>
      <c r="G131" s="230" t="n"/>
      <c r="H131" s="231" t="n">
        <v>27000</v>
      </c>
      <c r="I131" s="232" t="n"/>
      <c r="J131" s="232" t="n">
        <v>27000</v>
      </c>
      <c r="K131" s="233" t="n"/>
      <c r="L131" s="233">
        <f>IF(K131&lt;&gt;"",12000+K131,12000)</f>
        <v/>
      </c>
      <c r="M131" s="156" t="n"/>
      <c r="N131" s="156" t="n"/>
      <c r="O131" s="156" t="n"/>
      <c r="Q131" s="214" t="inlineStr">
        <is>
          <t>129</t>
        </is>
      </c>
      <c r="R131" s="215" t="inlineStr">
        <is>
          <t>ANGEL</t>
        </is>
      </c>
      <c r="S131" s="216" t="n">
        <v>38000</v>
      </c>
      <c r="T131" s="236" t="n">
        <v>8000</v>
      </c>
      <c r="U131" s="218" t="n">
        <v>1</v>
      </c>
      <c r="V131" s="219" t="inlineStr">
        <is>
          <t>16/04/2026</t>
        </is>
      </c>
    </row>
    <row r="132" ht="15.75" customHeight="1" s="153">
      <c r="A132" s="237" t="n">
        <v>46121</v>
      </c>
      <c r="B132" s="238" t="inlineStr">
        <is>
          <t>PIEDRABUENA 1927</t>
        </is>
      </c>
      <c r="C132" s="239" t="n"/>
      <c r="D132" s="239" t="n"/>
      <c r="E132" s="239" t="n">
        <v>1</v>
      </c>
      <c r="F132" s="240" t="n"/>
      <c r="G132" s="240" t="n"/>
      <c r="H132" s="241" t="n">
        <v>86000</v>
      </c>
      <c r="I132" s="242" t="n">
        <v>86000</v>
      </c>
      <c r="J132" s="242" t="n"/>
      <c r="K132" s="233" t="n"/>
      <c r="L132" s="233">
        <f>IF(K132&lt;&gt;"",26000+K132,26000)</f>
        <v/>
      </c>
      <c r="M132" s="156" t="n"/>
      <c r="N132" s="156" t="n"/>
      <c r="O132" s="156" t="n"/>
      <c r="Q132" s="221" t="inlineStr">
        <is>
          <t>130</t>
        </is>
      </c>
      <c r="R132" s="222" t="inlineStr">
        <is>
          <t>PEDRO CEBALLOS 8134</t>
        </is>
      </c>
      <c r="S132" s="223" t="n">
        <v>38000</v>
      </c>
      <c r="T132" s="224" t="n">
        <v>8000</v>
      </c>
      <c r="U132" s="225" t="n">
        <v>1</v>
      </c>
      <c r="V132" s="226" t="inlineStr">
        <is>
          <t>10/04/2026</t>
        </is>
      </c>
    </row>
    <row r="133" ht="15.75" customHeight="1" s="153">
      <c r="A133" s="227" t="n"/>
      <c r="B133" s="228" t="inlineStr">
        <is>
          <t>OTNIEL</t>
        </is>
      </c>
      <c r="C133" s="229" t="n"/>
      <c r="D133" s="229" t="n"/>
      <c r="E133" s="229" t="n">
        <v>1</v>
      </c>
      <c r="F133" s="230" t="n">
        <v>4</v>
      </c>
      <c r="G133" s="230" t="n">
        <v>4</v>
      </c>
      <c r="H133" s="231" t="n">
        <v>124800</v>
      </c>
      <c r="I133" s="232" t="n">
        <v>103000</v>
      </c>
      <c r="J133" s="232" t="n">
        <v>20800</v>
      </c>
      <c r="K133" s="233" t="n"/>
      <c r="L133" s="233">
        <f>IF(K133&lt;&gt;"",52200+K133,52200)</f>
        <v/>
      </c>
      <c r="M133" s="156" t="n"/>
      <c r="N133" s="156" t="n"/>
      <c r="O133" s="156" t="n"/>
      <c r="Q133" s="214" t="inlineStr">
        <is>
          <t>131</t>
        </is>
      </c>
      <c r="R133" s="215" t="inlineStr">
        <is>
          <t>POSTA EL TORO</t>
        </is>
      </c>
      <c r="S133" s="216" t="n">
        <v>38000</v>
      </c>
      <c r="T133" s="236" t="n">
        <v>8000</v>
      </c>
      <c r="U133" s="218" t="n">
        <v>1</v>
      </c>
      <c r="V133" s="219" t="inlineStr">
        <is>
          <t>01/04/2026</t>
        </is>
      </c>
    </row>
    <row r="134" ht="15.75" customHeight="1" s="153">
      <c r="A134" s="237" t="n"/>
      <c r="B134" s="238" t="inlineStr">
        <is>
          <t>PEDRO VEGA 4343</t>
        </is>
      </c>
      <c r="C134" s="239" t="n"/>
      <c r="D134" s="239" t="n"/>
      <c r="E134" s="239" t="n">
        <v>1</v>
      </c>
      <c r="F134" s="240" t="n"/>
      <c r="G134" s="240" t="n"/>
      <c r="H134" s="241" t="n">
        <v>90000</v>
      </c>
      <c r="I134" s="242" t="n">
        <v>90000</v>
      </c>
      <c r="J134" s="242" t="n"/>
      <c r="K134" s="233" t="n"/>
      <c r="L134" s="233">
        <f>IF(K134&lt;&gt;"",30000+K134,30000)</f>
        <v/>
      </c>
      <c r="M134" s="156" t="n"/>
      <c r="N134" s="156" t="n"/>
      <c r="O134" s="156" t="n"/>
      <c r="Q134" s="221" t="inlineStr">
        <is>
          <t>132</t>
        </is>
      </c>
      <c r="R134" s="222" t="inlineStr">
        <is>
          <t>ARISTOBULO 5137</t>
        </is>
      </c>
      <c r="S134" s="223" t="n">
        <v>37500</v>
      </c>
      <c r="T134" s="224" t="n">
        <v>15000</v>
      </c>
      <c r="U134" s="225" t="n">
        <v>1</v>
      </c>
      <c r="V134" s="226" t="inlineStr">
        <is>
          <t>13/04/2026</t>
        </is>
      </c>
    </row>
    <row r="135" ht="15.75" customHeight="1" s="153">
      <c r="A135" s="227" t="n"/>
      <c r="B135" s="228" t="inlineStr">
        <is>
          <t>VIANDAS JORGE</t>
        </is>
      </c>
      <c r="C135" s="229" t="n">
        <v>1</v>
      </c>
      <c r="D135" s="229" t="n"/>
      <c r="E135" s="229" t="n"/>
      <c r="F135" s="230" t="n"/>
      <c r="G135" s="230" t="n"/>
      <c r="H135" s="231" t="n">
        <v>22000</v>
      </c>
      <c r="I135" s="232" t="n">
        <v>22000</v>
      </c>
      <c r="J135" s="232" t="n"/>
      <c r="K135" s="233" t="n"/>
      <c r="L135" s="233">
        <f>IF(K135&lt;&gt;"",7000+K135,7000)</f>
        <v/>
      </c>
      <c r="M135" s="156" t="n"/>
      <c r="N135" s="156" t="n"/>
      <c r="O135" s="156" t="n"/>
      <c r="Q135" s="214" t="inlineStr">
        <is>
          <t>133</t>
        </is>
      </c>
      <c r="R135" s="215" t="inlineStr">
        <is>
          <t>JAVIER DE LA ROSA 5767</t>
        </is>
      </c>
      <c r="S135" s="216" t="n">
        <v>37500</v>
      </c>
      <c r="T135" s="236" t="n">
        <v>15000</v>
      </c>
      <c r="U135" s="218" t="n">
        <v>1</v>
      </c>
      <c r="V135" s="219" t="inlineStr">
        <is>
          <t>20/04/2026</t>
        </is>
      </c>
    </row>
    <row r="136" ht="15.75" customHeight="1" s="153">
      <c r="A136" s="237" t="n"/>
      <c r="B136" s="238" t="inlineStr">
        <is>
          <t>URQUIZA 2031</t>
        </is>
      </c>
      <c r="C136" s="239" t="n"/>
      <c r="D136" s="239" t="n"/>
      <c r="E136" s="239" t="n">
        <v>1</v>
      </c>
      <c r="F136" s="240" t="n"/>
      <c r="G136" s="240" t="n"/>
      <c r="H136" s="241" t="n">
        <v>85000</v>
      </c>
      <c r="I136" s="242" t="n">
        <v>85000</v>
      </c>
      <c r="J136" s="242" t="n"/>
      <c r="K136" s="233" t="n"/>
      <c r="L136" s="233">
        <f>IF(K136&lt;&gt;"",25000+K136,25000)</f>
        <v/>
      </c>
      <c r="M136" s="156" t="n"/>
      <c r="N136" s="156" t="n"/>
      <c r="O136" s="156" t="n"/>
      <c r="Q136" s="221" t="inlineStr">
        <is>
          <t>134</t>
        </is>
      </c>
      <c r="R136" s="222" t="inlineStr">
        <is>
          <t>PASAJE QUIROGA 5244</t>
        </is>
      </c>
      <c r="S136" s="223" t="n">
        <v>37500</v>
      </c>
      <c r="T136" s="224" t="n">
        <v>15000</v>
      </c>
      <c r="U136" s="225" t="n">
        <v>1</v>
      </c>
      <c r="V136" s="226" t="inlineStr">
        <is>
          <t>20/04/2026</t>
        </is>
      </c>
    </row>
    <row r="137" ht="15.75" customHeight="1" s="153">
      <c r="A137" s="227" t="n"/>
      <c r="B137" s="228" t="inlineStr">
        <is>
          <t xml:space="preserve">ALBERTI Y GABOTO </t>
        </is>
      </c>
      <c r="C137" s="229" t="n">
        <v>3</v>
      </c>
      <c r="D137" s="229" t="n"/>
      <c r="E137" s="229" t="n"/>
      <c r="F137" s="230" t="n"/>
      <c r="G137" s="230" t="n"/>
      <c r="H137" s="231" t="n">
        <v>57000</v>
      </c>
      <c r="I137" s="232" t="n">
        <v>57000</v>
      </c>
      <c r="J137" s="232" t="n"/>
      <c r="K137" s="233" t="n"/>
      <c r="L137" s="233">
        <f>IF(K137&lt;&gt;"",12000+K137,12000)</f>
        <v/>
      </c>
      <c r="M137" s="156" t="n"/>
      <c r="N137" s="156" t="n"/>
      <c r="O137" s="156" t="n"/>
      <c r="Q137" s="214" t="inlineStr">
        <is>
          <t>135</t>
        </is>
      </c>
      <c r="R137" s="215" t="inlineStr">
        <is>
          <t>EMA COMBETO PJE MARSENGO</t>
        </is>
      </c>
      <c r="S137" s="216" t="n">
        <v>37500</v>
      </c>
      <c r="T137" s="236" t="n">
        <v>15000</v>
      </c>
      <c r="U137" s="218" t="n">
        <v>1</v>
      </c>
      <c r="V137" s="219" t="inlineStr">
        <is>
          <t>22/04/2026</t>
        </is>
      </c>
    </row>
    <row r="138" ht="15.75" customHeight="1" s="153">
      <c r="A138" s="237" t="n"/>
      <c r="B138" s="238" t="inlineStr">
        <is>
          <t>BLAS PARERA 5224</t>
        </is>
      </c>
      <c r="C138" s="239" t="n"/>
      <c r="D138" s="239" t="n"/>
      <c r="E138" s="239" t="n">
        <v>1</v>
      </c>
      <c r="F138" s="240" t="n"/>
      <c r="G138" s="240" t="n"/>
      <c r="H138" s="241" t="n">
        <v>85000</v>
      </c>
      <c r="I138" s="242" t="n"/>
      <c r="J138" s="242" t="n">
        <v>85000</v>
      </c>
      <c r="K138" s="233" t="n"/>
      <c r="L138" s="233">
        <f>IF(K138&lt;&gt;"",25000+K138,25000)</f>
        <v/>
      </c>
      <c r="M138" s="156" t="n"/>
      <c r="N138" s="156" t="n"/>
      <c r="O138" s="156" t="n"/>
      <c r="Q138" s="221" t="inlineStr">
        <is>
          <t>136</t>
        </is>
      </c>
      <c r="R138" s="222" t="inlineStr">
        <is>
          <t>PUBLICO 5712</t>
        </is>
      </c>
      <c r="S138" s="223" t="n">
        <v>37000</v>
      </c>
      <c r="T138" s="224" t="n">
        <v>14500</v>
      </c>
      <c r="U138" s="225" t="n">
        <v>1</v>
      </c>
      <c r="V138" s="226" t="inlineStr">
        <is>
          <t>20/04/2026</t>
        </is>
      </c>
    </row>
    <row r="139" ht="15.75" customHeight="1" s="153">
      <c r="A139" s="227" t="n"/>
      <c r="B139" s="228" t="inlineStr">
        <is>
          <t>MALAVER 4238</t>
        </is>
      </c>
      <c r="C139" s="229" t="n"/>
      <c r="D139" s="229" t="n">
        <v>1</v>
      </c>
      <c r="E139" s="229" t="n"/>
      <c r="F139" s="230" t="n"/>
      <c r="G139" s="230" t="n"/>
      <c r="H139" s="231" t="n">
        <v>36500</v>
      </c>
      <c r="I139" s="232" t="n"/>
      <c r="J139" s="232" t="n">
        <v>36500</v>
      </c>
      <c r="K139" s="233" t="n"/>
      <c r="L139" s="233">
        <f>IF(K139&lt;&gt;"",14000+K139,14000)</f>
        <v/>
      </c>
      <c r="M139" s="156" t="n"/>
      <c r="N139" s="156" t="n"/>
      <c r="O139" s="156" t="n"/>
      <c r="Q139" s="214" t="inlineStr">
        <is>
          <t>137</t>
        </is>
      </c>
      <c r="R139" s="215" t="inlineStr">
        <is>
          <t>PUBLICO 5746</t>
        </is>
      </c>
      <c r="S139" s="216" t="n">
        <v>37000</v>
      </c>
      <c r="T139" s="236" t="n">
        <v>14500</v>
      </c>
      <c r="U139" s="218" t="n">
        <v>1</v>
      </c>
      <c r="V139" s="219" t="inlineStr">
        <is>
          <t>20/04/2026</t>
        </is>
      </c>
    </row>
    <row r="140" ht="15.75" customHeight="1" s="153">
      <c r="A140" s="237" t="n"/>
      <c r="B140" s="238" t="inlineStr">
        <is>
          <t>ZAVALLA 8455</t>
        </is>
      </c>
      <c r="C140" s="239" t="n">
        <v>1</v>
      </c>
      <c r="D140" s="239" t="n"/>
      <c r="E140" s="239" t="n"/>
      <c r="F140" s="240" t="n"/>
      <c r="G140" s="240" t="n"/>
      <c r="H140" s="241" t="n">
        <v>26000</v>
      </c>
      <c r="I140" s="242" t="n"/>
      <c r="J140" s="242" t="n">
        <v>26000</v>
      </c>
      <c r="K140" s="233" t="n"/>
      <c r="L140" s="233">
        <f>IF(K140&lt;&gt;"",11000+K140,11000)</f>
        <v/>
      </c>
      <c r="M140" s="156" t="n"/>
      <c r="N140" s="156" t="n"/>
      <c r="O140" s="156" t="n"/>
      <c r="Q140" s="221" t="inlineStr">
        <is>
          <t>138</t>
        </is>
      </c>
      <c r="R140" s="222" t="inlineStr">
        <is>
          <t>CASANELLO 3463</t>
        </is>
      </c>
      <c r="S140" s="223" t="n">
        <v>36500</v>
      </c>
      <c r="T140" s="224" t="n">
        <v>14000</v>
      </c>
      <c r="U140" s="225" t="n">
        <v>1</v>
      </c>
      <c r="V140" s="226" t="inlineStr">
        <is>
          <t>09/04/2026</t>
        </is>
      </c>
    </row>
    <row r="141" ht="15.75" customHeight="1" s="153">
      <c r="A141" s="227" t="n"/>
      <c r="B141" s="228" t="inlineStr">
        <is>
          <t xml:space="preserve">DANTE </t>
        </is>
      </c>
      <c r="C141" s="229" t="n">
        <v>2</v>
      </c>
      <c r="D141" s="229" t="n"/>
      <c r="E141" s="229" t="n"/>
      <c r="F141" s="230" t="n"/>
      <c r="G141" s="230" t="n"/>
      <c r="H141" s="231" t="n">
        <v>54000</v>
      </c>
      <c r="I141" s="232" t="n">
        <v>54000</v>
      </c>
      <c r="J141" s="232" t="n"/>
      <c r="K141" s="233" t="n"/>
      <c r="L141" s="233">
        <f>IF(K141&lt;&gt;"",24000+K141,24000)</f>
        <v/>
      </c>
      <c r="M141" s="156" t="n"/>
      <c r="N141" s="156" t="n"/>
      <c r="O141" s="156" t="n"/>
      <c r="Q141" s="214" t="inlineStr">
        <is>
          <t>139</t>
        </is>
      </c>
      <c r="R141" s="215" t="inlineStr">
        <is>
          <t>NAMUNCURA 4439</t>
        </is>
      </c>
      <c r="S141" s="216" t="n">
        <v>36500</v>
      </c>
      <c r="T141" s="236" t="n">
        <v>14000</v>
      </c>
      <c r="U141" s="218" t="n">
        <v>1</v>
      </c>
      <c r="V141" s="219" t="inlineStr">
        <is>
          <t>06/04/2026</t>
        </is>
      </c>
    </row>
    <row r="142" ht="15.75" customHeight="1" s="153">
      <c r="A142" s="237" t="n"/>
      <c r="B142" s="238" t="inlineStr">
        <is>
          <t>CASANELLO 3463</t>
        </is>
      </c>
      <c r="C142" s="239" t="n"/>
      <c r="D142" s="239" t="n">
        <v>1</v>
      </c>
      <c r="E142" s="239" t="n"/>
      <c r="F142" s="240" t="n"/>
      <c r="G142" s="240" t="n"/>
      <c r="H142" s="241" t="n">
        <v>36500</v>
      </c>
      <c r="I142" s="242" t="n">
        <v>36500</v>
      </c>
      <c r="J142" s="242" t="n"/>
      <c r="K142" s="233" t="n"/>
      <c r="L142" s="233">
        <f>IF(K142&lt;&gt;"",14000+K142,14000)</f>
        <v/>
      </c>
      <c r="M142" s="156" t="n"/>
      <c r="N142" s="156" t="n"/>
      <c r="O142" s="156" t="n"/>
      <c r="Q142" s="221" t="inlineStr">
        <is>
          <t>140</t>
        </is>
      </c>
      <c r="R142" s="222" t="inlineStr">
        <is>
          <t>BLAS PARERA 7062</t>
        </is>
      </c>
      <c r="S142" s="223" t="n">
        <v>36500</v>
      </c>
      <c r="T142" s="224" t="n">
        <v>14000</v>
      </c>
      <c r="U142" s="225" t="n">
        <v>1</v>
      </c>
      <c r="V142" s="226" t="inlineStr">
        <is>
          <t>08/04/2026</t>
        </is>
      </c>
    </row>
    <row r="143" ht="15.75" customHeight="1" s="153">
      <c r="A143" s="227" t="n"/>
      <c r="B143" s="228" t="inlineStr">
        <is>
          <t xml:space="preserve">ROTI VIEYTES </t>
        </is>
      </c>
      <c r="C143" s="229" t="n"/>
      <c r="D143" s="229" t="n">
        <v>2</v>
      </c>
      <c r="E143" s="229" t="n"/>
      <c r="F143" s="230" t="n"/>
      <c r="G143" s="230" t="n"/>
      <c r="H143" s="231" t="n">
        <v>61000</v>
      </c>
      <c r="I143" s="232" t="n"/>
      <c r="J143" s="232" t="n">
        <v>61000</v>
      </c>
      <c r="K143" s="233" t="n"/>
      <c r="L143" s="233">
        <f>IF(K143&lt;&gt;"",16000+K143,16000)</f>
        <v/>
      </c>
      <c r="M143" s="156" t="n"/>
      <c r="N143" s="156" t="n"/>
      <c r="O143" s="156" t="n"/>
      <c r="Q143" s="214" t="inlineStr">
        <is>
          <t>141</t>
        </is>
      </c>
      <c r="R143" s="215" t="inlineStr">
        <is>
          <t>MALAVER 4238</t>
        </is>
      </c>
      <c r="S143" s="216" t="n">
        <v>36500</v>
      </c>
      <c r="T143" s="236" t="n">
        <v>14000</v>
      </c>
      <c r="U143" s="218" t="n">
        <v>1</v>
      </c>
      <c r="V143" s="219" t="inlineStr">
        <is>
          <t>09/04/2026</t>
        </is>
      </c>
    </row>
    <row r="144" ht="15.75" customHeight="1" s="153">
      <c r="A144" s="237" t="n"/>
      <c r="B144" s="238" t="inlineStr">
        <is>
          <t>SAVEDRA 10125</t>
        </is>
      </c>
      <c r="C144" s="239" t="n"/>
      <c r="D144" s="239" t="n"/>
      <c r="E144" s="239" t="n">
        <v>1</v>
      </c>
      <c r="F144" s="240" t="n"/>
      <c r="G144" s="240" t="n"/>
      <c r="H144" s="241" t="n">
        <v>92000</v>
      </c>
      <c r="I144" s="242" t="n"/>
      <c r="J144" s="242" t="n">
        <v>92000</v>
      </c>
      <c r="K144" s="233" t="n"/>
      <c r="L144" s="233">
        <f>IF(K144&lt;&gt;"",32000+K144,32000)</f>
        <v/>
      </c>
      <c r="M144" s="156" t="n"/>
      <c r="N144" s="156" t="n"/>
      <c r="O144" s="156" t="n"/>
      <c r="Q144" s="221" t="inlineStr">
        <is>
          <t>142</t>
        </is>
      </c>
      <c r="R144" s="222" t="inlineStr">
        <is>
          <t>PJE AGUIAR 9340</t>
        </is>
      </c>
      <c r="S144" s="223" t="n">
        <v>36500</v>
      </c>
      <c r="T144" s="224" t="n">
        <v>14000</v>
      </c>
      <c r="U144" s="225" t="n">
        <v>1</v>
      </c>
      <c r="V144" s="226" t="inlineStr">
        <is>
          <t>10/04/2026</t>
        </is>
      </c>
    </row>
    <row r="145" ht="15.75" customHeight="1" s="153">
      <c r="A145" s="227" t="n"/>
      <c r="B145" s="228" t="inlineStr">
        <is>
          <t>SABOREAR</t>
        </is>
      </c>
      <c r="C145" s="229" t="n">
        <v>1</v>
      </c>
      <c r="D145" s="229" t="n"/>
      <c r="E145" s="229" t="n"/>
      <c r="F145" s="230" t="n"/>
      <c r="G145" s="230" t="n"/>
      <c r="H145" s="231" t="n">
        <v>22500</v>
      </c>
      <c r="I145" s="232" t="n"/>
      <c r="J145" s="232" t="n">
        <v>22500</v>
      </c>
      <c r="K145" s="233" t="n"/>
      <c r="L145" s="233">
        <f>IF(K145&lt;&gt;"",7500+K145,7500)</f>
        <v/>
      </c>
      <c r="M145" s="156" t="n"/>
      <c r="N145" s="156" t="n"/>
      <c r="O145" s="156" t="n"/>
      <c r="Q145" s="214" t="inlineStr">
        <is>
          <t>143</t>
        </is>
      </c>
      <c r="R145" s="215" t="inlineStr">
        <is>
          <t>PIRU</t>
        </is>
      </c>
      <c r="S145" s="216" t="n">
        <v>35500</v>
      </c>
      <c r="T145" s="236" t="n">
        <v>13000</v>
      </c>
      <c r="U145" s="218" t="n">
        <v>1</v>
      </c>
      <c r="V145" s="219" t="inlineStr">
        <is>
          <t>04/03/2026</t>
        </is>
      </c>
    </row>
    <row r="146" ht="15.75" customHeight="1" s="153">
      <c r="A146" s="237" t="n"/>
      <c r="B146" s="238" t="inlineStr">
        <is>
          <t>EXE</t>
        </is>
      </c>
      <c r="C146" s="239" t="n"/>
      <c r="D146" s="239" t="n"/>
      <c r="E146" s="239" t="n">
        <v>1</v>
      </c>
      <c r="F146" s="240" t="n"/>
      <c r="G146" s="240" t="n"/>
      <c r="H146" s="241" t="n">
        <v>82000</v>
      </c>
      <c r="I146" s="242" t="n"/>
      <c r="J146" s="242" t="n">
        <v>82000</v>
      </c>
      <c r="K146" s="233" t="n"/>
      <c r="L146" s="233">
        <f>IF(K146&lt;&gt;"",22000+K146,22000)</f>
        <v/>
      </c>
      <c r="M146" s="156" t="n"/>
      <c r="N146" s="156" t="n"/>
      <c r="O146" s="156" t="n"/>
      <c r="Q146" s="221" t="inlineStr">
        <is>
          <t>144</t>
        </is>
      </c>
      <c r="R146" s="222" t="inlineStr">
        <is>
          <t>GARMENDIA 9249</t>
        </is>
      </c>
      <c r="S146" s="223" t="n">
        <v>35500</v>
      </c>
      <c r="T146" s="224" t="n">
        <v>13000</v>
      </c>
      <c r="U146" s="225" t="n">
        <v>1</v>
      </c>
      <c r="V146" s="226" t="inlineStr">
        <is>
          <t>08/04/2026</t>
        </is>
      </c>
    </row>
    <row r="147" ht="15.75" customHeight="1" s="153">
      <c r="A147" s="227" t="n"/>
      <c r="B147" s="228" t="inlineStr">
        <is>
          <t>CASTAÑADUY 7035</t>
        </is>
      </c>
      <c r="C147" s="229" t="n"/>
      <c r="D147" s="229" t="n"/>
      <c r="E147" s="229" t="n">
        <v>1</v>
      </c>
      <c r="F147" s="230" t="n"/>
      <c r="G147" s="230" t="n"/>
      <c r="H147" s="231" t="n">
        <v>85000</v>
      </c>
      <c r="I147" s="232" t="n"/>
      <c r="J147" s="232" t="n">
        <v>85000</v>
      </c>
      <c r="K147" s="233" t="n"/>
      <c r="L147" s="233">
        <f>IF(K147&lt;&gt;"",25000+K147,25000)</f>
        <v/>
      </c>
      <c r="M147" s="156" t="n"/>
      <c r="N147" s="156" t="n"/>
      <c r="O147" s="156" t="n"/>
      <c r="Q147" s="214" t="inlineStr">
        <is>
          <t>145</t>
        </is>
      </c>
      <c r="R147" s="215" t="inlineStr">
        <is>
          <t>NIC OBUSTO</t>
        </is>
      </c>
      <c r="S147" s="216" t="n">
        <v>35500</v>
      </c>
      <c r="T147" s="236" t="n">
        <v>12500</v>
      </c>
      <c r="U147" s="218" t="n">
        <v>1</v>
      </c>
      <c r="V147" s="219" t="inlineStr">
        <is>
          <t>16/04/2026</t>
        </is>
      </c>
    </row>
    <row r="148" ht="15.75" customHeight="1" s="153">
      <c r="A148" s="237" t="n">
        <v>46122</v>
      </c>
      <c r="B148" s="238" t="inlineStr">
        <is>
          <t>ESTRADA 2198</t>
        </is>
      </c>
      <c r="C148" s="239" t="n"/>
      <c r="D148" s="239" t="n"/>
      <c r="E148" s="239" t="n">
        <v>1</v>
      </c>
      <c r="F148" s="240" t="n"/>
      <c r="G148" s="240" t="n"/>
      <c r="H148" s="241" t="n">
        <v>95000</v>
      </c>
      <c r="I148" s="242" t="n">
        <v>95000</v>
      </c>
      <c r="J148" s="242" t="n"/>
      <c r="K148" s="233" t="n"/>
      <c r="L148" s="233">
        <f>IF(K148&lt;&gt;"",35000+K148,35000)</f>
        <v/>
      </c>
      <c r="M148" s="156" t="n"/>
      <c r="N148" s="156" t="n"/>
      <c r="O148" s="156" t="n"/>
      <c r="Q148" s="221" t="inlineStr">
        <is>
          <t>146</t>
        </is>
      </c>
      <c r="R148" s="222" t="inlineStr">
        <is>
          <t>CASANELLO 2128</t>
        </is>
      </c>
      <c r="S148" s="223" t="n">
        <v>35500</v>
      </c>
      <c r="T148" s="224" t="n">
        <v>13000</v>
      </c>
      <c r="U148" s="225" t="n">
        <v>1</v>
      </c>
      <c r="V148" s="226" t="inlineStr">
        <is>
          <t>17/04/2026</t>
        </is>
      </c>
    </row>
    <row r="149" ht="15.75" customHeight="1" s="153">
      <c r="A149" s="227" t="n"/>
      <c r="B149" s="228" t="inlineStr">
        <is>
          <t>FORMOSA 6058</t>
        </is>
      </c>
      <c r="C149" s="229" t="n">
        <v>1</v>
      </c>
      <c r="D149" s="229" t="n"/>
      <c r="E149" s="229" t="n"/>
      <c r="F149" s="230" t="n"/>
      <c r="G149" s="230" t="n">
        <v>3</v>
      </c>
      <c r="H149" s="231" t="n">
        <v>45000</v>
      </c>
      <c r="I149" s="232" t="n">
        <v>45000</v>
      </c>
      <c r="J149" s="232" t="n"/>
      <c r="K149" s="233" t="n"/>
      <c r="L149" s="233">
        <f>IF(K149&lt;&gt;"",27450+K149,27450)</f>
        <v/>
      </c>
      <c r="M149" s="156" t="n"/>
      <c r="N149" s="156" t="n"/>
      <c r="O149" s="156" t="n"/>
      <c r="Q149" s="214" t="inlineStr">
        <is>
          <t>147</t>
        </is>
      </c>
      <c r="R149" s="215" t="inlineStr">
        <is>
          <t>VIÑAS Y PAUCKE</t>
        </is>
      </c>
      <c r="S149" s="216" t="n">
        <v>35500</v>
      </c>
      <c r="T149" s="236" t="n">
        <v>13000</v>
      </c>
      <c r="U149" s="218" t="n">
        <v>1</v>
      </c>
      <c r="V149" s="219" t="inlineStr">
        <is>
          <t>21/04/2026</t>
        </is>
      </c>
    </row>
    <row r="150" ht="15.75" customHeight="1" s="153">
      <c r="A150" s="237" t="n"/>
      <c r="B150" s="238" t="inlineStr">
        <is>
          <t>PJE AGUIAR 9340</t>
        </is>
      </c>
      <c r="C150" s="239" t="n"/>
      <c r="D150" s="239" t="n">
        <v>1</v>
      </c>
      <c r="E150" s="239" t="n"/>
      <c r="F150" s="240" t="n"/>
      <c r="G150" s="240" t="n"/>
      <c r="H150" s="241" t="n">
        <v>36500</v>
      </c>
      <c r="I150" s="242" t="n"/>
      <c r="J150" s="242" t="n">
        <v>36500</v>
      </c>
      <c r="K150" s="233" t="n"/>
      <c r="L150" s="233">
        <f>IF(K150&lt;&gt;"",14000+K150,14000)</f>
        <v/>
      </c>
      <c r="M150" s="156" t="n"/>
      <c r="N150" s="156" t="n"/>
      <c r="O150" s="156" t="n"/>
      <c r="Q150" s="221" t="inlineStr">
        <is>
          <t>148</t>
        </is>
      </c>
      <c r="R150" s="222" t="inlineStr">
        <is>
          <t>LAVAISE 3458</t>
        </is>
      </c>
      <c r="S150" s="223" t="n">
        <v>35000</v>
      </c>
      <c r="T150" s="224" t="n">
        <v>12500</v>
      </c>
      <c r="U150" s="225" t="n">
        <v>1</v>
      </c>
      <c r="V150" s="226" t="inlineStr">
        <is>
          <t>10/04/2026</t>
        </is>
      </c>
    </row>
    <row r="151" ht="15.75" customHeight="1" s="153">
      <c r="A151" s="227" t="n"/>
      <c r="B151" s="228" t="inlineStr">
        <is>
          <t>FILOMENA</t>
        </is>
      </c>
      <c r="C151" s="229" t="n">
        <v>2</v>
      </c>
      <c r="D151" s="229" t="n"/>
      <c r="E151" s="229" t="n"/>
      <c r="F151" s="230" t="n"/>
      <c r="G151" s="230" t="n"/>
      <c r="H151" s="231" t="n">
        <v>46000</v>
      </c>
      <c r="I151" s="232" t="n"/>
      <c r="J151" s="232" t="n">
        <v>46000</v>
      </c>
      <c r="K151" s="233" t="n"/>
      <c r="L151" s="233">
        <f>IF(K151&lt;&gt;"",16000+K151,16000)</f>
        <v/>
      </c>
      <c r="M151" s="156" t="n"/>
      <c r="N151" s="156" t="n"/>
      <c r="O151" s="156" t="n"/>
      <c r="Q151" s="214" t="inlineStr">
        <is>
          <t>149</t>
        </is>
      </c>
      <c r="R151" s="215" t="inlineStr">
        <is>
          <t>CHICLANA 6668</t>
        </is>
      </c>
      <c r="S151" s="216" t="n">
        <v>34500</v>
      </c>
      <c r="T151" s="236" t="n">
        <v>12000</v>
      </c>
      <c r="U151" s="218" t="n">
        <v>1</v>
      </c>
      <c r="V151" s="219" t="inlineStr">
        <is>
          <t>04/04/2026</t>
        </is>
      </c>
    </row>
    <row r="152" ht="15.75" customHeight="1" s="153">
      <c r="A152" s="237" t="n"/>
      <c r="B152" s="238" t="inlineStr">
        <is>
          <t>LLERENA 3161</t>
        </is>
      </c>
      <c r="C152" s="239" t="n">
        <v>1</v>
      </c>
      <c r="D152" s="239" t="n"/>
      <c r="E152" s="239" t="n"/>
      <c r="F152" s="240" t="n"/>
      <c r="G152" s="240" t="n"/>
      <c r="H152" s="241" t="n">
        <v>26000</v>
      </c>
      <c r="I152" s="242" t="n"/>
      <c r="J152" s="242" t="n">
        <v>26000</v>
      </c>
      <c r="K152" s="233" t="n"/>
      <c r="L152" s="233">
        <f>IF(K152&lt;&gt;"",11000+K152,11000)</f>
        <v/>
      </c>
      <c r="M152" s="156" t="n"/>
      <c r="N152" s="156" t="n"/>
      <c r="O152" s="156" t="n"/>
      <c r="Q152" s="221" t="inlineStr">
        <is>
          <t>150</t>
        </is>
      </c>
      <c r="R152" s="222" t="inlineStr">
        <is>
          <t>ROTI ARISTOBULO 5401</t>
        </is>
      </c>
      <c r="S152" s="223" t="n">
        <v>33500</v>
      </c>
      <c r="T152" s="224" t="n">
        <v>11000</v>
      </c>
      <c r="U152" s="225" t="n">
        <v>1</v>
      </c>
      <c r="V152" s="226" t="inlineStr">
        <is>
          <t>01/04/2026</t>
        </is>
      </c>
    </row>
    <row r="153" ht="15.75" customHeight="1" s="153">
      <c r="A153" s="227" t="n"/>
      <c r="B153" s="228" t="inlineStr">
        <is>
          <t>IGUALDAD</t>
        </is>
      </c>
      <c r="C153" s="229" t="n">
        <v>1</v>
      </c>
      <c r="D153" s="229" t="n"/>
      <c r="E153" s="229" t="n"/>
      <c r="F153" s="230" t="n"/>
      <c r="G153" s="230" t="n"/>
      <c r="H153" s="231" t="n">
        <v>23000</v>
      </c>
      <c r="I153" s="232" t="n"/>
      <c r="J153" s="232" t="n">
        <v>23000</v>
      </c>
      <c r="K153" s="233" t="n"/>
      <c r="L153" s="233">
        <f>IF(K153&lt;&gt;"",8000+K153,8000)</f>
        <v/>
      </c>
      <c r="M153" s="156" t="n"/>
      <c r="N153" s="156" t="n"/>
      <c r="O153" s="156" t="n"/>
      <c r="Q153" s="214" t="inlineStr">
        <is>
          <t>151</t>
        </is>
      </c>
      <c r="R153" s="215" t="inlineStr">
        <is>
          <t>SAVEDRA 2799</t>
        </is>
      </c>
      <c r="S153" s="216" t="n">
        <v>27000</v>
      </c>
      <c r="T153" s="236" t="n">
        <v>12000</v>
      </c>
      <c r="U153" s="218" t="n">
        <v>1</v>
      </c>
      <c r="V153" s="219" t="inlineStr">
        <is>
          <t>04/04/2026</t>
        </is>
      </c>
    </row>
    <row r="154" ht="15.75" customHeight="1" s="153">
      <c r="A154" s="237" t="n"/>
      <c r="B154" s="238" t="inlineStr">
        <is>
          <t>SABOREAR</t>
        </is>
      </c>
      <c r="C154" s="239" t="n"/>
      <c r="D154" s="239" t="n"/>
      <c r="E154" s="239" t="n">
        <v>1</v>
      </c>
      <c r="F154" s="240" t="n"/>
      <c r="G154" s="240" t="n"/>
      <c r="H154" s="241" t="n">
        <v>81000</v>
      </c>
      <c r="I154" s="242" t="n"/>
      <c r="J154" s="242" t="n">
        <v>81000</v>
      </c>
      <c r="K154" s="233" t="n"/>
      <c r="L154" s="233">
        <f>IF(K154&lt;&gt;"",21000+K154,21000)</f>
        <v/>
      </c>
      <c r="M154" s="156" t="n"/>
      <c r="N154" s="156" t="n"/>
      <c r="O154" s="156" t="n"/>
      <c r="Q154" s="221" t="inlineStr">
        <is>
          <t>152</t>
        </is>
      </c>
      <c r="R154" s="222" t="inlineStr">
        <is>
          <t>FACUNDO ZUVIRIA 10235</t>
        </is>
      </c>
      <c r="S154" s="223" t="n">
        <v>27000</v>
      </c>
      <c r="T154" s="224" t="n">
        <v>12000</v>
      </c>
      <c r="U154" s="225" t="n">
        <v>1</v>
      </c>
      <c r="V154" s="226" t="inlineStr">
        <is>
          <t>22/04/2026</t>
        </is>
      </c>
    </row>
    <row r="155" ht="15.75" customHeight="1" s="153">
      <c r="A155" s="227" t="n"/>
      <c r="B155" s="228" t="inlineStr">
        <is>
          <t>LAVAISE 3458</t>
        </is>
      </c>
      <c r="C155" s="229" t="n"/>
      <c r="D155" s="229" t="n">
        <v>1</v>
      </c>
      <c r="E155" s="229" t="n"/>
      <c r="F155" s="230" t="n"/>
      <c r="G155" s="230" t="n"/>
      <c r="H155" s="231" t="n">
        <v>35000</v>
      </c>
      <c r="I155" s="232" t="n">
        <v>35000</v>
      </c>
      <c r="J155" s="232" t="n"/>
      <c r="K155" s="233" t="n"/>
      <c r="L155" s="233">
        <f>IF(K155&lt;&gt;"",12500+K155,12500)</f>
        <v/>
      </c>
      <c r="M155" s="156" t="n"/>
      <c r="N155" s="156" t="n"/>
      <c r="O155" s="156" t="n"/>
      <c r="Q155" s="214" t="inlineStr">
        <is>
          <t>153</t>
        </is>
      </c>
      <c r="R155" s="215" t="inlineStr">
        <is>
          <t>GUEMES 4421</t>
        </is>
      </c>
      <c r="S155" s="216" t="n">
        <v>27000</v>
      </c>
      <c r="T155" s="236" t="n">
        <v>12000</v>
      </c>
      <c r="U155" s="218" t="n">
        <v>1</v>
      </c>
      <c r="V155" s="219" t="inlineStr">
        <is>
          <t>22/04/2026</t>
        </is>
      </c>
    </row>
    <row r="156" ht="15.75" customHeight="1" s="153">
      <c r="A156" s="237" t="n"/>
      <c r="B156" s="238" t="inlineStr">
        <is>
          <t>PEDRO CEBALLOS 8134</t>
        </is>
      </c>
      <c r="C156" s="239" t="n">
        <v>2</v>
      </c>
      <c r="D156" s="239" t="n"/>
      <c r="E156" s="239" t="n"/>
      <c r="F156" s="240" t="n"/>
      <c r="G156" s="240" t="n"/>
      <c r="H156" s="241" t="n">
        <v>38000</v>
      </c>
      <c r="I156" s="242" t="n">
        <v>38000</v>
      </c>
      <c r="J156" s="242" t="n"/>
      <c r="K156" s="233" t="n"/>
      <c r="L156" s="233">
        <f>IF(K156&lt;&gt;"",8000+K156,8000)</f>
        <v/>
      </c>
      <c r="M156" s="156" t="n"/>
      <c r="N156" s="156" t="n"/>
      <c r="O156" s="156" t="n"/>
      <c r="Q156" s="221" t="inlineStr">
        <is>
          <t>154</t>
        </is>
      </c>
      <c r="R156" s="222" t="inlineStr">
        <is>
          <t>MITRE 4930</t>
        </is>
      </c>
      <c r="S156" s="223" t="n">
        <v>27000</v>
      </c>
      <c r="T156" s="224" t="n">
        <v>12000</v>
      </c>
      <c r="U156" s="225" t="n">
        <v>1</v>
      </c>
      <c r="V156" s="226" t="inlineStr">
        <is>
          <t>01/04/2026</t>
        </is>
      </c>
    </row>
    <row r="157" ht="15.75" customHeight="1" s="153">
      <c r="A157" s="227" t="n"/>
      <c r="B157" s="228" t="inlineStr">
        <is>
          <t>GORRITI 6742</t>
        </is>
      </c>
      <c r="C157" s="229" t="n">
        <v>1</v>
      </c>
      <c r="D157" s="229" t="n"/>
      <c r="E157" s="229" t="n"/>
      <c r="F157" s="230" t="n"/>
      <c r="G157" s="230" t="n"/>
      <c r="H157" s="231" t="n">
        <v>26000</v>
      </c>
      <c r="I157" s="232" t="n">
        <v>26000</v>
      </c>
      <c r="J157" s="232" t="n"/>
      <c r="K157" s="233" t="n"/>
      <c r="L157" s="233">
        <f>IF(K157&lt;&gt;"",11000+K157,11000)</f>
        <v/>
      </c>
      <c r="M157" s="156" t="n"/>
      <c r="N157" s="156" t="n"/>
      <c r="O157" s="156" t="n"/>
      <c r="Q157" s="214" t="inlineStr">
        <is>
          <t>155</t>
        </is>
      </c>
      <c r="R157" s="215" t="inlineStr">
        <is>
          <t>CASTELLI 2219</t>
        </is>
      </c>
      <c r="S157" s="216" t="n">
        <v>27000</v>
      </c>
      <c r="T157" s="236" t="n">
        <v>12000</v>
      </c>
      <c r="U157" s="218" t="n">
        <v>1</v>
      </c>
      <c r="V157" s="219" t="inlineStr">
        <is>
          <t>02/04/2026</t>
        </is>
      </c>
    </row>
    <row r="158" ht="15.75" customHeight="1" s="153">
      <c r="A158" s="237" t="n"/>
      <c r="B158" s="238" t="inlineStr">
        <is>
          <t>ROTI ARISTOBULO</t>
        </is>
      </c>
      <c r="C158" s="239" t="n"/>
      <c r="D158" s="239" t="n">
        <v>1</v>
      </c>
      <c r="E158" s="239" t="n"/>
      <c r="F158" s="240" t="n"/>
      <c r="G158" s="240" t="n"/>
      <c r="H158" s="241" t="n">
        <v>33500</v>
      </c>
      <c r="I158" s="242" t="n"/>
      <c r="J158" s="242" t="n">
        <v>33500</v>
      </c>
      <c r="K158" s="233" t="n"/>
      <c r="L158" s="233">
        <f>IF(K158&lt;&gt;"",11000+K158,11000)</f>
        <v/>
      </c>
      <c r="M158" s="156" t="n"/>
      <c r="N158" s="156" t="n"/>
      <c r="O158" s="156" t="n"/>
      <c r="Q158" s="221" t="inlineStr">
        <is>
          <t>156</t>
        </is>
      </c>
      <c r="R158" s="222" t="inlineStr">
        <is>
          <t>BLAS PARERA 9129</t>
        </is>
      </c>
      <c r="S158" s="223" t="n">
        <v>27000</v>
      </c>
      <c r="T158" s="224" t="n">
        <v>12000</v>
      </c>
      <c r="U158" s="225" t="n">
        <v>1</v>
      </c>
      <c r="V158" s="226" t="inlineStr">
        <is>
          <t>03/04/2026</t>
        </is>
      </c>
    </row>
    <row r="159" ht="15.75" customHeight="1" s="153">
      <c r="A159" s="227" t="n"/>
      <c r="B159" s="228" t="inlineStr">
        <is>
          <t>ALSINA 6671</t>
        </is>
      </c>
      <c r="C159" s="229" t="n">
        <v>1</v>
      </c>
      <c r="D159" s="229" t="n"/>
      <c r="E159" s="229" t="n"/>
      <c r="F159" s="230" t="n"/>
      <c r="G159" s="230" t="n"/>
      <c r="H159" s="231" t="n">
        <v>26000</v>
      </c>
      <c r="I159" s="232" t="n">
        <v>26000</v>
      </c>
      <c r="J159" s="232" t="n"/>
      <c r="K159" s="233" t="n"/>
      <c r="L159" s="233">
        <f>IF(K159&lt;&gt;"",11000+K159,11000)</f>
        <v/>
      </c>
      <c r="M159" s="156" t="n"/>
      <c r="N159" s="156" t="n"/>
      <c r="O159" s="156" t="n"/>
      <c r="Q159" s="214" t="inlineStr">
        <is>
          <t>157</t>
        </is>
      </c>
      <c r="R159" s="215" t="inlineStr">
        <is>
          <t>LARGUIA 7251</t>
        </is>
      </c>
      <c r="S159" s="216" t="n">
        <v>27000</v>
      </c>
      <c r="T159" s="236" t="n">
        <v>12000</v>
      </c>
      <c r="U159" s="218" t="n">
        <v>1</v>
      </c>
      <c r="V159" s="219" t="inlineStr">
        <is>
          <t>04/04/2026</t>
        </is>
      </c>
    </row>
    <row r="160" ht="15.75" customHeight="1" s="153">
      <c r="A160" s="237" t="n">
        <v>46123</v>
      </c>
      <c r="B160" s="238" t="inlineStr">
        <is>
          <t>AYACUCHO 5370</t>
        </is>
      </c>
      <c r="C160" s="239" t="n"/>
      <c r="D160" s="239" t="n"/>
      <c r="E160" s="239" t="n"/>
      <c r="F160" s="240" t="n"/>
      <c r="G160" s="240" t="n">
        <v>1</v>
      </c>
      <c r="H160" s="241" t="n">
        <v>6000</v>
      </c>
      <c r="I160" s="242" t="n"/>
      <c r="J160" s="242" t="n">
        <v>6000</v>
      </c>
      <c r="K160" s="233" t="n"/>
      <c r="L160" s="233">
        <f>IF(K160&lt;&gt;"",5150+K160,5150)</f>
        <v/>
      </c>
      <c r="M160" s="156" t="n"/>
      <c r="N160" s="156" t="n"/>
      <c r="O160" s="156" t="n"/>
      <c r="Q160" s="221" t="inlineStr">
        <is>
          <t>158</t>
        </is>
      </c>
      <c r="R160" s="222" t="inlineStr">
        <is>
          <t>FLORES 2 CAS A75</t>
        </is>
      </c>
      <c r="S160" s="223" t="n">
        <v>27000</v>
      </c>
      <c r="T160" s="224" t="n">
        <v>12000</v>
      </c>
      <c r="U160" s="225" t="n">
        <v>1</v>
      </c>
      <c r="V160" s="226" t="inlineStr">
        <is>
          <t>04/04/2026</t>
        </is>
      </c>
    </row>
    <row r="161" ht="15.75" customHeight="1" s="153">
      <c r="A161" s="227" t="n"/>
      <c r="B161" s="228" t="inlineStr">
        <is>
          <t>ROTI AGUADO</t>
        </is>
      </c>
      <c r="C161" s="229" t="n"/>
      <c r="D161" s="229" t="n">
        <v>1</v>
      </c>
      <c r="E161" s="229" t="n"/>
      <c r="F161" s="230" t="n"/>
      <c r="G161" s="230" t="n"/>
      <c r="H161" s="231" t="n">
        <v>33500</v>
      </c>
      <c r="I161" s="232" t="n"/>
      <c r="J161" s="232" t="n">
        <v>33500</v>
      </c>
      <c r="K161" s="233" t="n"/>
      <c r="L161" s="233">
        <f>IF(K161&lt;&gt;"",11000+K161,11000)</f>
        <v/>
      </c>
      <c r="M161" s="156" t="n"/>
      <c r="N161" s="156" t="n"/>
      <c r="O161" s="156" t="n"/>
      <c r="Q161" s="214" t="inlineStr">
        <is>
          <t>159</t>
        </is>
      </c>
      <c r="R161" s="215" t="inlineStr">
        <is>
          <t>CERVERA 4748</t>
        </is>
      </c>
      <c r="S161" s="216" t="n">
        <v>27000</v>
      </c>
      <c r="T161" s="236" t="n">
        <v>12000</v>
      </c>
      <c r="U161" s="218" t="n">
        <v>1</v>
      </c>
      <c r="V161" s="219" t="inlineStr">
        <is>
          <t>05/02/2026</t>
        </is>
      </c>
    </row>
    <row r="162" ht="15.75" customHeight="1" s="153">
      <c r="A162" s="237" t="n"/>
      <c r="B162" s="238" t="inlineStr">
        <is>
          <t>PANA GISELA</t>
        </is>
      </c>
      <c r="C162" s="239" t="n"/>
      <c r="D162" s="239" t="n"/>
      <c r="E162" s="239" t="n"/>
      <c r="F162" s="240" t="n">
        <v>2</v>
      </c>
      <c r="G162" s="240" t="n"/>
      <c r="H162" s="241" t="n">
        <v>7200</v>
      </c>
      <c r="I162" s="242" t="n"/>
      <c r="J162" s="242" t="n">
        <v>7200</v>
      </c>
      <c r="K162" s="233" t="n"/>
      <c r="L162" s="233">
        <f>IF(K162&lt;&gt;"",2600+K162,2600)</f>
        <v/>
      </c>
      <c r="M162" s="156" t="n"/>
      <c r="N162" s="156" t="n"/>
      <c r="O162" s="156" t="n"/>
      <c r="Q162" s="221" t="inlineStr">
        <is>
          <t>160</t>
        </is>
      </c>
      <c r="R162" s="222" t="inlineStr">
        <is>
          <t>CERVERA 6885</t>
        </is>
      </c>
      <c r="S162" s="223" t="n">
        <v>27000</v>
      </c>
      <c r="T162" s="224" t="n">
        <v>12000</v>
      </c>
      <c r="U162" s="225" t="n">
        <v>1</v>
      </c>
      <c r="V162" s="226" t="inlineStr">
        <is>
          <t>05/02/2026</t>
        </is>
      </c>
    </row>
    <row r="163" ht="15.75" customHeight="1" s="153">
      <c r="A163" s="227" t="n"/>
      <c r="B163" s="228" t="inlineStr">
        <is>
          <t>PANA VIEYTES 4500</t>
        </is>
      </c>
      <c r="C163" s="229" t="n"/>
      <c r="D163" s="229" t="n"/>
      <c r="E163" s="229" t="n">
        <v>1</v>
      </c>
      <c r="F163" s="230" t="n"/>
      <c r="G163" s="230" t="n"/>
      <c r="H163" s="231" t="n">
        <v>78000</v>
      </c>
      <c r="I163" s="232" t="n"/>
      <c r="J163" s="232" t="n">
        <v>78000</v>
      </c>
      <c r="K163" s="233" t="n"/>
      <c r="L163" s="233">
        <f>IF(K163&lt;&gt;"",18000+K163,18000)</f>
        <v/>
      </c>
      <c r="M163" s="156" t="n"/>
      <c r="N163" s="156" t="n"/>
      <c r="O163" s="156" t="n"/>
      <c r="Q163" s="214" t="inlineStr">
        <is>
          <t>161</t>
        </is>
      </c>
      <c r="R163" s="215" t="inlineStr">
        <is>
          <t>PJE GIMNASIA 5186</t>
        </is>
      </c>
      <c r="S163" s="216" t="n">
        <v>27000</v>
      </c>
      <c r="T163" s="236" t="n">
        <v>12000</v>
      </c>
      <c r="U163" s="218" t="n">
        <v>1</v>
      </c>
      <c r="V163" s="219" t="inlineStr">
        <is>
          <t>06/04/2026</t>
        </is>
      </c>
    </row>
    <row r="164" ht="15.75" customHeight="1" s="153">
      <c r="A164" s="237" t="n"/>
      <c r="B164" s="238" t="inlineStr">
        <is>
          <t>PANA ALBERTI</t>
        </is>
      </c>
      <c r="C164" s="239" t="n"/>
      <c r="D164" s="239" t="n"/>
      <c r="E164" s="239" t="n">
        <v>1</v>
      </c>
      <c r="F164" s="240" t="n"/>
      <c r="G164" s="240" t="n"/>
      <c r="H164" s="241" t="n">
        <v>82000</v>
      </c>
      <c r="I164" s="242" t="n">
        <v>82000</v>
      </c>
      <c r="J164" s="242" t="n"/>
      <c r="K164" s="233" t="n"/>
      <c r="L164" s="233">
        <f>IF(K164&lt;&gt;"",22000+K164,22000)</f>
        <v/>
      </c>
      <c r="M164" s="156" t="n"/>
      <c r="N164" s="156" t="n"/>
      <c r="O164" s="156" t="n"/>
      <c r="Q164" s="221" t="inlineStr">
        <is>
          <t>162</t>
        </is>
      </c>
      <c r="R164" s="222" t="inlineStr">
        <is>
          <t>PUBLICO 3640</t>
        </is>
      </c>
      <c r="S164" s="223" t="n">
        <v>27000</v>
      </c>
      <c r="T164" s="224" t="n">
        <v>12000</v>
      </c>
      <c r="U164" s="225" t="n">
        <v>1</v>
      </c>
      <c r="V164" s="226" t="inlineStr">
        <is>
          <t>07/04/2026</t>
        </is>
      </c>
    </row>
    <row r="165" ht="15.75" customHeight="1" s="153">
      <c r="A165" s="227" t="n"/>
      <c r="B165" s="228" t="inlineStr">
        <is>
          <t>BRASERIA</t>
        </is>
      </c>
      <c r="C165" s="229" t="n"/>
      <c r="D165" s="229" t="n"/>
      <c r="E165" s="229" t="n">
        <v>1</v>
      </c>
      <c r="F165" s="230" t="n"/>
      <c r="G165" s="230" t="n"/>
      <c r="H165" s="231" t="n">
        <v>83000</v>
      </c>
      <c r="I165" s="232" t="n"/>
      <c r="J165" s="232" t="n">
        <v>83000</v>
      </c>
      <c r="K165" s="233" t="n"/>
      <c r="L165" s="233">
        <f>IF(K165&lt;&gt;"",23000+K165,23000)</f>
        <v/>
      </c>
      <c r="M165" s="156" t="n"/>
      <c r="N165" s="156" t="n"/>
      <c r="O165" s="156" t="n"/>
      <c r="Q165" s="214" t="inlineStr">
        <is>
          <t>163</t>
        </is>
      </c>
      <c r="R165" s="215" t="inlineStr">
        <is>
          <t>PUBLICO 5489 Y CAFERATA</t>
        </is>
      </c>
      <c r="S165" s="216" t="n">
        <v>27000</v>
      </c>
      <c r="T165" s="236" t="n">
        <v>12000</v>
      </c>
      <c r="U165" s="218" t="n">
        <v>1</v>
      </c>
      <c r="V165" s="219" t="inlineStr">
        <is>
          <t>08/04/2026</t>
        </is>
      </c>
    </row>
    <row r="166" ht="15.75" customHeight="1" s="153">
      <c r="A166" s="237" t="n"/>
      <c r="B166" s="238" t="inlineStr">
        <is>
          <t>ARISTOBULO ROTI</t>
        </is>
      </c>
      <c r="C166" s="239" t="n">
        <v>1</v>
      </c>
      <c r="D166" s="239" t="n"/>
      <c r="E166" s="239" t="n"/>
      <c r="F166" s="240" t="n"/>
      <c r="G166" s="240" t="n"/>
      <c r="H166" s="241" t="n">
        <v>23000</v>
      </c>
      <c r="I166" s="242" t="n">
        <v>23000</v>
      </c>
      <c r="J166" s="242" t="n"/>
      <c r="K166" s="233" t="n"/>
      <c r="L166" s="233">
        <f>IF(K166&lt;&gt;"",8000+K166,8000)</f>
        <v/>
      </c>
      <c r="M166" s="156" t="n"/>
      <c r="N166" s="156" t="n"/>
      <c r="O166" s="156" t="n"/>
      <c r="Q166" s="221" t="inlineStr">
        <is>
          <t>164</t>
        </is>
      </c>
      <c r="R166" s="222" t="inlineStr">
        <is>
          <t>9 DE JULIO 2366</t>
        </is>
      </c>
      <c r="S166" s="223" t="n">
        <v>27000</v>
      </c>
      <c r="T166" s="224" t="n">
        <v>12000</v>
      </c>
      <c r="U166" s="225" t="n">
        <v>1</v>
      </c>
      <c r="V166" s="226" t="inlineStr">
        <is>
          <t>12/04/2026</t>
        </is>
      </c>
    </row>
    <row r="167" ht="15.75" customHeight="1" s="153">
      <c r="A167" s="227" t="n"/>
      <c r="B167" s="228" t="inlineStr">
        <is>
          <t>PAULO</t>
        </is>
      </c>
      <c r="C167" s="229" t="n">
        <v>2</v>
      </c>
      <c r="D167" s="229" t="n"/>
      <c r="E167" s="229" t="n"/>
      <c r="F167" s="230" t="n"/>
      <c r="G167" s="230" t="n"/>
      <c r="H167" s="231" t="n">
        <v>37000</v>
      </c>
      <c r="I167" s="232" t="n"/>
      <c r="J167" s="232" t="n">
        <v>37000</v>
      </c>
      <c r="K167" s="233" t="n"/>
      <c r="L167" s="233">
        <f>IF(K167&lt;&gt;"",7000+K167,7000)</f>
        <v/>
      </c>
      <c r="M167" s="156" t="n"/>
      <c r="N167" s="156" t="n"/>
      <c r="O167" s="156" t="n"/>
      <c r="Q167" s="214" t="inlineStr">
        <is>
          <t>165</t>
        </is>
      </c>
      <c r="R167" s="215" t="inlineStr">
        <is>
          <t>LUCAS MANSILLA</t>
        </is>
      </c>
      <c r="S167" s="216" t="n">
        <v>27000</v>
      </c>
      <c r="T167" s="236" t="n">
        <v>12000</v>
      </c>
      <c r="U167" s="218" t="n">
        <v>1</v>
      </c>
      <c r="V167" s="219" t="inlineStr">
        <is>
          <t>12/04/2026</t>
        </is>
      </c>
    </row>
    <row r="168" ht="15.75" customHeight="1" s="153">
      <c r="A168" s="237" t="n"/>
      <c r="B168" s="238" t="inlineStr">
        <is>
          <t>OTNIEL</t>
        </is>
      </c>
      <c r="C168" s="239" t="n"/>
      <c r="D168" s="239" t="n">
        <v>1</v>
      </c>
      <c r="E168" s="239" t="n"/>
      <c r="F168" s="240" t="n"/>
      <c r="G168" s="240" t="n"/>
      <c r="H168" s="241" t="n">
        <v>34000</v>
      </c>
      <c r="I168" s="242" t="n"/>
      <c r="J168" s="242" t="n">
        <v>34000</v>
      </c>
      <c r="K168" s="233" t="n"/>
      <c r="L168" s="233">
        <f>IF(K168&lt;&gt;"",11500+K168,11500)</f>
        <v/>
      </c>
      <c r="M168" s="156" t="n"/>
      <c r="N168" s="156" t="n"/>
      <c r="O168" s="156" t="n"/>
      <c r="Q168" s="221" t="inlineStr">
        <is>
          <t>166</t>
        </is>
      </c>
      <c r="R168" s="222" t="inlineStr">
        <is>
          <t>FRAY CAYETANO 3920</t>
        </is>
      </c>
      <c r="S168" s="223" t="n">
        <v>27000</v>
      </c>
      <c r="T168" s="224" t="n">
        <v>12000</v>
      </c>
      <c r="U168" s="225" t="n">
        <v>1</v>
      </c>
      <c r="V168" s="226" t="inlineStr">
        <is>
          <t>16/04/2026</t>
        </is>
      </c>
    </row>
    <row r="169" ht="15.75" customHeight="1" s="153">
      <c r="A169" s="227" t="n"/>
      <c r="B169" s="228" t="inlineStr">
        <is>
          <t>ARISTOBULO 6897</t>
        </is>
      </c>
      <c r="C169" s="229" t="n"/>
      <c r="D169" s="229" t="n"/>
      <c r="E169" s="229" t="n">
        <v>1</v>
      </c>
      <c r="F169" s="230" t="n"/>
      <c r="G169" s="230" t="n"/>
      <c r="H169" s="231" t="n">
        <v>90000</v>
      </c>
      <c r="I169" s="232" t="n"/>
      <c r="J169" s="232" t="n">
        <v>90000</v>
      </c>
      <c r="K169" s="233" t="n"/>
      <c r="L169" s="233">
        <f>IF(K169&lt;&gt;"",30000+K169,30000)</f>
        <v/>
      </c>
      <c r="M169" s="156" t="n"/>
      <c r="N169" s="156" t="n"/>
      <c r="O169" s="156" t="n"/>
      <c r="Q169" s="214" t="inlineStr">
        <is>
          <t>167</t>
        </is>
      </c>
      <c r="R169" s="215" t="inlineStr">
        <is>
          <t>J CAMPILLO 3481</t>
        </is>
      </c>
      <c r="S169" s="216" t="n">
        <v>27000</v>
      </c>
      <c r="T169" s="236" t="n">
        <v>12000</v>
      </c>
      <c r="U169" s="218" t="n">
        <v>1</v>
      </c>
      <c r="V169" s="219" t="inlineStr">
        <is>
          <t>16/04/2026</t>
        </is>
      </c>
    </row>
    <row r="170" ht="15.75" customHeight="1" s="153">
      <c r="A170" s="237" t="n"/>
      <c r="B170" s="238" t="inlineStr">
        <is>
          <t>D SILVA 4217</t>
        </is>
      </c>
      <c r="C170" s="239" t="n">
        <v>2</v>
      </c>
      <c r="D170" s="239" t="n"/>
      <c r="E170" s="239" t="n"/>
      <c r="F170" s="240" t="n"/>
      <c r="G170" s="240" t="n"/>
      <c r="H170" s="241" t="n">
        <v>38000</v>
      </c>
      <c r="I170" s="242" t="n"/>
      <c r="J170" s="242" t="n">
        <v>38000</v>
      </c>
      <c r="K170" s="233" t="n"/>
      <c r="L170" s="233">
        <f>IF(K170&lt;&gt;"",8000+K170,8000)</f>
        <v/>
      </c>
      <c r="M170" s="156" t="n"/>
      <c r="N170" s="156" t="n"/>
      <c r="O170" s="156" t="n"/>
      <c r="Q170" s="221" t="inlineStr">
        <is>
          <t>168</t>
        </is>
      </c>
      <c r="R170" s="222" t="inlineStr">
        <is>
          <t>IRALA 2865</t>
        </is>
      </c>
      <c r="S170" s="223" t="n">
        <v>26500</v>
      </c>
      <c r="T170" s="224" t="n">
        <v>11500</v>
      </c>
      <c r="U170" s="225" t="n">
        <v>1</v>
      </c>
      <c r="V170" s="226" t="inlineStr">
        <is>
          <t>16/04/2026</t>
        </is>
      </c>
    </row>
    <row r="171" ht="15.75" customHeight="1" s="153">
      <c r="A171" s="227" t="n"/>
      <c r="B171" s="228" t="inlineStr">
        <is>
          <t>ROQUE S PEÑA 3066</t>
        </is>
      </c>
      <c r="C171" s="229" t="n"/>
      <c r="D171" s="229" t="n">
        <v>1</v>
      </c>
      <c r="E171" s="229" t="n"/>
      <c r="F171" s="230" t="n"/>
      <c r="G171" s="230" t="n"/>
      <c r="H171" s="231" t="n">
        <v>41000</v>
      </c>
      <c r="I171" s="232" t="n"/>
      <c r="J171" s="232" t="n">
        <v>41000</v>
      </c>
      <c r="K171" s="233" t="n"/>
      <c r="L171" s="233">
        <f>IF(K171&lt;&gt;"",18500+K171,18500)</f>
        <v/>
      </c>
      <c r="M171" s="156" t="n"/>
      <c r="N171" s="156" t="n"/>
      <c r="O171" s="156" t="n"/>
      <c r="Q171" s="214" t="inlineStr">
        <is>
          <t>169</t>
        </is>
      </c>
      <c r="R171" s="215" t="inlineStr">
        <is>
          <t>1 DE MAYO 8361</t>
        </is>
      </c>
      <c r="S171" s="216" t="n">
        <v>26000</v>
      </c>
      <c r="T171" s="236" t="n">
        <v>11000</v>
      </c>
      <c r="U171" s="218" t="n">
        <v>1</v>
      </c>
      <c r="V171" s="219" t="inlineStr">
        <is>
          <t>18/04/2026</t>
        </is>
      </c>
    </row>
    <row r="172" ht="15.75" customHeight="1" s="153">
      <c r="A172" s="237" t="n"/>
      <c r="B172" s="238" t="inlineStr">
        <is>
          <t>BONEO 4054</t>
        </is>
      </c>
      <c r="C172" s="239" t="n">
        <v>1</v>
      </c>
      <c r="D172" s="239" t="n">
        <v>1</v>
      </c>
      <c r="E172" s="239" t="n"/>
      <c r="F172" s="240" t="n"/>
      <c r="G172" s="240" t="n"/>
      <c r="H172" s="241" t="n">
        <v>65000</v>
      </c>
      <c r="I172" s="242" t="n">
        <v>65000</v>
      </c>
      <c r="J172" s="242" t="n"/>
      <c r="K172" s="233" t="n"/>
      <c r="L172" s="233">
        <f>IF(K172&lt;&gt;"",27500+K172,27500)</f>
        <v/>
      </c>
      <c r="M172" s="156" t="n"/>
      <c r="N172" s="156" t="n"/>
      <c r="O172" s="156" t="n"/>
      <c r="Q172" s="221" t="inlineStr">
        <is>
          <t>170</t>
        </is>
      </c>
      <c r="R172" s="222" t="inlineStr">
        <is>
          <t>CAMELI 4860</t>
        </is>
      </c>
      <c r="S172" s="223" t="n">
        <v>26000</v>
      </c>
      <c r="T172" s="224" t="n">
        <v>11000</v>
      </c>
      <c r="U172" s="225" t="n">
        <v>1</v>
      </c>
      <c r="V172" s="226" t="inlineStr">
        <is>
          <t>17/04/2026</t>
        </is>
      </c>
    </row>
    <row r="173" ht="15.75" customHeight="1" s="153">
      <c r="A173" s="227" t="n"/>
      <c r="B173" s="228" t="inlineStr">
        <is>
          <t>E ISRAEL 4717</t>
        </is>
      </c>
      <c r="C173" s="229" t="n">
        <v>1</v>
      </c>
      <c r="D173" s="229" t="n"/>
      <c r="E173" s="229" t="n"/>
      <c r="F173" s="230" t="n"/>
      <c r="G173" s="230" t="n"/>
      <c r="H173" s="231" t="n">
        <v>26000</v>
      </c>
      <c r="I173" s="232" t="n">
        <v>26000</v>
      </c>
      <c r="J173" s="232" t="n"/>
      <c r="K173" s="233" t="n"/>
      <c r="L173" s="233">
        <f>IF(K173&lt;&gt;"",11000+K173,11000)</f>
        <v/>
      </c>
      <c r="M173" s="156" t="n"/>
      <c r="N173" s="156" t="n"/>
      <c r="O173" s="156" t="n"/>
      <c r="Q173" s="214" t="inlineStr">
        <is>
          <t>171</t>
        </is>
      </c>
      <c r="R173" s="215" t="inlineStr">
        <is>
          <t>EMIR</t>
        </is>
      </c>
      <c r="S173" s="216" t="n">
        <v>26000</v>
      </c>
      <c r="T173" s="236" t="n">
        <v>11000</v>
      </c>
      <c r="U173" s="218" t="n">
        <v>1</v>
      </c>
      <c r="V173" s="219" t="inlineStr">
        <is>
          <t>22/04/2026</t>
        </is>
      </c>
    </row>
    <row r="174" ht="15.75" customHeight="1" s="153">
      <c r="A174" s="237" t="n"/>
      <c r="B174" s="238" t="inlineStr">
        <is>
          <t>TACUARI 5717</t>
        </is>
      </c>
      <c r="C174" s="239" t="n">
        <v>1</v>
      </c>
      <c r="D174" s="239" t="n"/>
      <c r="E174" s="239" t="n"/>
      <c r="F174" s="240" t="n"/>
      <c r="G174" s="240" t="n"/>
      <c r="H174" s="241" t="n">
        <v>25000</v>
      </c>
      <c r="I174" s="242" t="n"/>
      <c r="J174" s="242" t="n">
        <v>25000</v>
      </c>
      <c r="K174" s="233" t="n"/>
      <c r="L174" s="233">
        <f>IF(K174&lt;&gt;"",10000+K174,10000)</f>
        <v/>
      </c>
      <c r="M174" s="156" t="n"/>
      <c r="N174" s="156" t="n"/>
      <c r="O174" s="156" t="n"/>
      <c r="Q174" s="221" t="inlineStr">
        <is>
          <t>172</t>
        </is>
      </c>
      <c r="R174" s="222" t="inlineStr">
        <is>
          <t>GORRITI 6742</t>
        </is>
      </c>
      <c r="S174" s="223" t="n">
        <v>26000</v>
      </c>
      <c r="T174" s="224" t="n">
        <v>11000</v>
      </c>
      <c r="U174" s="225" t="n">
        <v>1</v>
      </c>
      <c r="V174" s="226" t="inlineStr">
        <is>
          <t>10/04/2026</t>
        </is>
      </c>
    </row>
    <row r="175" ht="15.75" customHeight="1" s="153">
      <c r="A175" s="227" t="n"/>
      <c r="B175" s="228" t="inlineStr">
        <is>
          <t>FILOMENA</t>
        </is>
      </c>
      <c r="C175" s="229" t="n">
        <v>2</v>
      </c>
      <c r="D175" s="229" t="n"/>
      <c r="E175" s="229" t="n"/>
      <c r="F175" s="230" t="n"/>
      <c r="G175" s="230" t="n"/>
      <c r="H175" s="231" t="n">
        <v>46000</v>
      </c>
      <c r="I175" s="232" t="n"/>
      <c r="J175" s="232" t="n">
        <v>46000</v>
      </c>
      <c r="K175" s="233" t="n"/>
      <c r="L175" s="233">
        <f>IF(K175&lt;&gt;"",16000+K175,16000)</f>
        <v/>
      </c>
      <c r="M175" s="156" t="n"/>
      <c r="N175" s="156" t="n"/>
      <c r="O175" s="156" t="n"/>
      <c r="Q175" s="214" t="inlineStr">
        <is>
          <t>173</t>
        </is>
      </c>
      <c r="R175" s="215" t="inlineStr">
        <is>
          <t>LINIERS 3735</t>
        </is>
      </c>
      <c r="S175" s="216" t="n">
        <v>26000</v>
      </c>
      <c r="T175" s="236" t="n">
        <v>11000</v>
      </c>
      <c r="U175" s="218" t="n">
        <v>1</v>
      </c>
      <c r="V175" s="219" t="inlineStr">
        <is>
          <t>02/04/2026</t>
        </is>
      </c>
    </row>
    <row r="176" ht="15.75" customHeight="1" s="153">
      <c r="A176" s="237" t="n"/>
      <c r="B176" s="238" t="inlineStr">
        <is>
          <t>DRAXXO COSTA</t>
        </is>
      </c>
      <c r="C176" s="239" t="n">
        <v>1</v>
      </c>
      <c r="D176" s="239" t="n"/>
      <c r="E176" s="239" t="n"/>
      <c r="F176" s="240" t="n"/>
      <c r="G176" s="240" t="n"/>
      <c r="H176" s="241" t="n">
        <v>26000</v>
      </c>
      <c r="I176" s="242" t="n">
        <v>26000</v>
      </c>
      <c r="J176" s="242" t="n"/>
      <c r="K176" s="233" t="n"/>
      <c r="L176" s="233">
        <f>IF(K176&lt;&gt;"",11000+K176,11000)</f>
        <v/>
      </c>
      <c r="M176" s="156" t="n"/>
      <c r="N176" s="156" t="n"/>
      <c r="O176" s="156" t="n"/>
      <c r="Q176" s="221" t="inlineStr">
        <is>
          <t>174</t>
        </is>
      </c>
      <c r="R176" s="222" t="inlineStr">
        <is>
          <t>M CANDIOTI 6141</t>
        </is>
      </c>
      <c r="S176" s="223" t="n">
        <v>26000</v>
      </c>
      <c r="T176" s="224" t="n">
        <v>11000</v>
      </c>
      <c r="U176" s="225" t="n">
        <v>1</v>
      </c>
      <c r="V176" s="226" t="inlineStr">
        <is>
          <t>03/04/2026</t>
        </is>
      </c>
    </row>
    <row r="177" ht="15.75" customHeight="1" s="153">
      <c r="A177" s="227" t="n"/>
      <c r="B177" s="228" t="inlineStr">
        <is>
          <t>CANCHA RIVADAVIA</t>
        </is>
      </c>
      <c r="C177" s="229" t="n">
        <v>1</v>
      </c>
      <c r="D177" s="229" t="n"/>
      <c r="E177" s="229" t="n">
        <v>1</v>
      </c>
      <c r="F177" s="230" t="n"/>
      <c r="G177" s="230" t="n"/>
      <c r="H177" s="231" t="n">
        <v>105000</v>
      </c>
      <c r="I177" s="232" t="n"/>
      <c r="J177" s="232" t="n">
        <v>105000</v>
      </c>
      <c r="K177" s="233" t="n"/>
      <c r="L177" s="233">
        <f>IF(K177&lt;&gt;"",30000+K177,30000)</f>
        <v/>
      </c>
      <c r="M177" s="156" t="n"/>
      <c r="N177" s="156" t="n"/>
      <c r="O177" s="156" t="n"/>
      <c r="Q177" s="214" t="inlineStr">
        <is>
          <t>175</t>
        </is>
      </c>
      <c r="R177" s="215" t="inlineStr">
        <is>
          <t>FRANCIA 1047</t>
        </is>
      </c>
      <c r="S177" s="216" t="n">
        <v>26000</v>
      </c>
      <c r="T177" s="236" t="n">
        <v>11000</v>
      </c>
      <c r="U177" s="218" t="n">
        <v>1</v>
      </c>
      <c r="V177" s="219" t="inlineStr">
        <is>
          <t>04/04/2026</t>
        </is>
      </c>
    </row>
    <row r="178" ht="15.75" customHeight="1" s="153">
      <c r="A178" s="237" t="n"/>
      <c r="B178" s="238" t="inlineStr">
        <is>
          <t>CAREN</t>
        </is>
      </c>
      <c r="C178" s="239" t="n"/>
      <c r="D178" s="239" t="n"/>
      <c r="E178" s="239" t="n">
        <v>1</v>
      </c>
      <c r="F178" s="240" t="n"/>
      <c r="G178" s="240" t="n"/>
      <c r="H178" s="241" t="n">
        <v>82000</v>
      </c>
      <c r="I178" s="242" t="n"/>
      <c r="J178" s="242" t="n">
        <v>82000</v>
      </c>
      <c r="K178" s="233" t="n"/>
      <c r="L178" s="233">
        <f>IF(K178&lt;&gt;"",22000+K178,22000)</f>
        <v/>
      </c>
      <c r="M178" s="156" t="n"/>
      <c r="N178" s="156" t="n"/>
      <c r="O178" s="156" t="n"/>
      <c r="Q178" s="221" t="inlineStr">
        <is>
          <t>176</t>
        </is>
      </c>
      <c r="R178" s="222" t="inlineStr">
        <is>
          <t>PJE MANUE LEIVA 4230</t>
        </is>
      </c>
      <c r="S178" s="223" t="n">
        <v>26000</v>
      </c>
      <c r="T178" s="224" t="n">
        <v>11000</v>
      </c>
      <c r="U178" s="225" t="n">
        <v>1</v>
      </c>
      <c r="V178" s="226" t="inlineStr">
        <is>
          <t>06/04/2026</t>
        </is>
      </c>
    </row>
    <row r="179" ht="15.75" customHeight="1" s="153">
      <c r="A179" s="227" t="n">
        <v>46124</v>
      </c>
      <c r="B179" s="228" t="inlineStr">
        <is>
          <t>9 DE JULIO 2366</t>
        </is>
      </c>
      <c r="C179" s="229" t="n">
        <v>1</v>
      </c>
      <c r="D179" s="229" t="n"/>
      <c r="E179" s="229" t="n"/>
      <c r="F179" s="230" t="n"/>
      <c r="G179" s="230" t="n"/>
      <c r="H179" s="231" t="n">
        <v>27000</v>
      </c>
      <c r="I179" s="232" t="n">
        <v>27000</v>
      </c>
      <c r="J179" s="232" t="n"/>
      <c r="K179" s="233" t="n"/>
      <c r="L179" s="233">
        <f>IF(K179&lt;&gt;"",12000+K179,12000)</f>
        <v/>
      </c>
      <c r="M179" s="156" t="n"/>
      <c r="N179" s="156" t="n"/>
      <c r="O179" s="156" t="n"/>
      <c r="Q179" s="214" t="inlineStr">
        <is>
          <t>177</t>
        </is>
      </c>
      <c r="R179" s="215" t="inlineStr">
        <is>
          <t>JP LOPE 2580</t>
        </is>
      </c>
      <c r="S179" s="216" t="n">
        <v>26000</v>
      </c>
      <c r="T179" s="236" t="n">
        <v>11000</v>
      </c>
      <c r="U179" s="218" t="n">
        <v>1</v>
      </c>
      <c r="V179" s="219" t="inlineStr">
        <is>
          <t>07/04/2026</t>
        </is>
      </c>
    </row>
    <row r="180" ht="15.75" customHeight="1" s="153">
      <c r="A180" s="237" t="n"/>
      <c r="B180" s="238" t="inlineStr">
        <is>
          <t>DANA</t>
        </is>
      </c>
      <c r="C180" s="239" t="n">
        <v>2</v>
      </c>
      <c r="D180" s="239" t="n">
        <v>1</v>
      </c>
      <c r="E180" s="239" t="n"/>
      <c r="F180" s="240" t="n"/>
      <c r="G180" s="240" t="n"/>
      <c r="H180" s="241" t="n">
        <v>67000</v>
      </c>
      <c r="I180" s="242" t="n"/>
      <c r="J180" s="242" t="n">
        <v>67000</v>
      </c>
      <c r="K180" s="233" t="n"/>
      <c r="L180" s="233">
        <f>IF(K180&lt;&gt;"",14500+K180,14500)</f>
        <v/>
      </c>
      <c r="M180" s="156" t="n"/>
      <c r="N180" s="156" t="n"/>
      <c r="O180" s="156" t="n"/>
      <c r="Q180" s="221" t="inlineStr">
        <is>
          <t>178</t>
        </is>
      </c>
      <c r="R180" s="222" t="inlineStr">
        <is>
          <t>EX COMBATIENTE 5550</t>
        </is>
      </c>
      <c r="S180" s="223" t="n">
        <v>26000</v>
      </c>
      <c r="T180" s="224" t="n">
        <v>11000</v>
      </c>
      <c r="U180" s="225" t="n">
        <v>1</v>
      </c>
      <c r="V180" s="226" t="inlineStr">
        <is>
          <t>08/04/2026</t>
        </is>
      </c>
    </row>
    <row r="181" ht="15.75" customHeight="1" s="153">
      <c r="A181" s="227" t="n"/>
      <c r="B181" s="228" t="inlineStr">
        <is>
          <t>LUCAS MANSILLA</t>
        </is>
      </c>
      <c r="C181" s="229" t="n">
        <v>1</v>
      </c>
      <c r="D181" s="229" t="n"/>
      <c r="E181" s="229" t="n"/>
      <c r="F181" s="230" t="n"/>
      <c r="G181" s="230" t="n"/>
      <c r="H181" s="231" t="n">
        <v>27000</v>
      </c>
      <c r="I181" s="232" t="n">
        <v>27000</v>
      </c>
      <c r="J181" s="232" t="n"/>
      <c r="K181" s="233" t="n"/>
      <c r="L181" s="233">
        <f>IF(K181&lt;&gt;"",12000+K181,12000)</f>
        <v/>
      </c>
      <c r="M181" s="156" t="n"/>
      <c r="N181" s="156" t="n"/>
      <c r="O181" s="156" t="n"/>
      <c r="Q181" s="214" t="inlineStr">
        <is>
          <t>179</t>
        </is>
      </c>
      <c r="R181" s="215" t="inlineStr">
        <is>
          <t>ZAVALLA 8455</t>
        </is>
      </c>
      <c r="S181" s="216" t="n">
        <v>26000</v>
      </c>
      <c r="T181" s="236" t="n">
        <v>11000</v>
      </c>
      <c r="U181" s="218" t="n">
        <v>1</v>
      </c>
      <c r="V181" s="219" t="inlineStr">
        <is>
          <t>09/04/2026</t>
        </is>
      </c>
    </row>
    <row r="182" ht="15.75" customHeight="1" s="153">
      <c r="A182" s="237" t="n"/>
      <c r="B182" s="238" t="inlineStr">
        <is>
          <t>DANTE</t>
        </is>
      </c>
      <c r="C182" s="239" t="n">
        <v>2</v>
      </c>
      <c r="D182" s="239" t="n"/>
      <c r="E182" s="239" t="n"/>
      <c r="F182" s="240" t="n"/>
      <c r="G182" s="240" t="n"/>
      <c r="H182" s="241" t="n">
        <v>54000</v>
      </c>
      <c r="I182" s="242" t="n">
        <v>54000</v>
      </c>
      <c r="J182" s="242" t="n"/>
      <c r="K182" s="233" t="n"/>
      <c r="L182" s="233">
        <f>IF(K182&lt;&gt;"",24000+K182,24000)</f>
        <v/>
      </c>
      <c r="M182" s="156" t="n"/>
      <c r="N182" s="156" t="n"/>
      <c r="O182" s="156" t="n"/>
      <c r="Q182" s="221" t="inlineStr">
        <is>
          <t>180</t>
        </is>
      </c>
      <c r="R182" s="222" t="inlineStr">
        <is>
          <t>LLERENA 3161</t>
        </is>
      </c>
      <c r="S182" s="223" t="n">
        <v>26000</v>
      </c>
      <c r="T182" s="224" t="n">
        <v>11000</v>
      </c>
      <c r="U182" s="225" t="n">
        <v>1</v>
      </c>
      <c r="V182" s="226" t="inlineStr">
        <is>
          <t>10/04/2026</t>
        </is>
      </c>
    </row>
    <row r="183" ht="15.75" customHeight="1" s="153">
      <c r="A183" s="227" t="n"/>
      <c r="B183" s="228" t="inlineStr">
        <is>
          <t>ILGATO</t>
        </is>
      </c>
      <c r="C183" s="229" t="n"/>
      <c r="D183" s="229" t="n"/>
      <c r="E183" s="229" t="n">
        <v>1</v>
      </c>
      <c r="F183" s="230" t="n"/>
      <c r="G183" s="230" t="n"/>
      <c r="H183" s="231" t="n">
        <v>92000</v>
      </c>
      <c r="I183" s="232" t="n"/>
      <c r="J183" s="232" t="n">
        <v>92000</v>
      </c>
      <c r="K183" s="233" t="n"/>
      <c r="L183" s="233">
        <f>IF(K183&lt;&gt;"",32000+K183,32000)</f>
        <v/>
      </c>
      <c r="M183" s="156" t="n"/>
      <c r="N183" s="156" t="n"/>
      <c r="O183" s="156" t="n"/>
      <c r="Q183" s="214" t="inlineStr">
        <is>
          <t>181</t>
        </is>
      </c>
      <c r="R183" s="215" t="inlineStr">
        <is>
          <t>ALSINA 6671</t>
        </is>
      </c>
      <c r="S183" s="216" t="n">
        <v>26000</v>
      </c>
      <c r="T183" s="236" t="n">
        <v>11000</v>
      </c>
      <c r="U183" s="218" t="n">
        <v>1</v>
      </c>
      <c r="V183" s="219" t="inlineStr">
        <is>
          <t>10/04/2026</t>
        </is>
      </c>
    </row>
    <row r="184" ht="15.75" customHeight="1" s="153">
      <c r="A184" s="237" t="n"/>
      <c r="B184" s="238" t="inlineStr">
        <is>
          <t>NECOCHEA 3933</t>
        </is>
      </c>
      <c r="C184" s="239" t="n"/>
      <c r="D184" s="239" t="n"/>
      <c r="E184" s="239" t="n">
        <v>1</v>
      </c>
      <c r="F184" s="240" t="n"/>
      <c r="G184" s="240" t="n"/>
      <c r="H184" s="241" t="n">
        <v>80000</v>
      </c>
      <c r="I184" s="242" t="n"/>
      <c r="J184" s="242" t="n">
        <v>80000</v>
      </c>
      <c r="K184" s="233" t="n"/>
      <c r="L184" s="233">
        <f>IF(K184&lt;&gt;"",20000+K184,20000)</f>
        <v/>
      </c>
      <c r="M184" s="156" t="n"/>
      <c r="N184" s="156" t="n"/>
      <c r="O184" s="156" t="n"/>
      <c r="Q184" s="221" t="inlineStr">
        <is>
          <t>182</t>
        </is>
      </c>
      <c r="R184" s="222" t="inlineStr">
        <is>
          <t>E ISRAEL 4717</t>
        </is>
      </c>
      <c r="S184" s="223" t="n">
        <v>26000</v>
      </c>
      <c r="T184" s="224" t="n">
        <v>11000</v>
      </c>
      <c r="U184" s="225" t="n">
        <v>1</v>
      </c>
      <c r="V184" s="226" t="inlineStr">
        <is>
          <t>11/04/2026</t>
        </is>
      </c>
    </row>
    <row r="185" ht="15.75" customHeight="1" s="153">
      <c r="A185" s="227" t="n"/>
      <c r="B185" s="228" t="inlineStr">
        <is>
          <t>9 DE JULIO 9244</t>
        </is>
      </c>
      <c r="C185" s="229" t="n"/>
      <c r="D185" s="229" t="n"/>
      <c r="E185" s="229" t="n">
        <v>1</v>
      </c>
      <c r="F185" s="230" t="n"/>
      <c r="G185" s="230" t="n"/>
      <c r="H185" s="231" t="n">
        <v>84000</v>
      </c>
      <c r="I185" s="232" t="n"/>
      <c r="J185" s="232" t="n">
        <v>84000</v>
      </c>
      <c r="K185" s="233" t="n"/>
      <c r="L185" s="233">
        <f>IF(K185&lt;&gt;"",24000+K185,24000)</f>
        <v/>
      </c>
      <c r="M185" s="156" t="n"/>
      <c r="N185" s="156" t="n"/>
      <c r="O185" s="156" t="n"/>
      <c r="Q185" s="214" t="inlineStr">
        <is>
          <t>183</t>
        </is>
      </c>
      <c r="R185" s="215" t="inlineStr">
        <is>
          <t>DRAXXO COSTA</t>
        </is>
      </c>
      <c r="S185" s="216" t="n">
        <v>26000</v>
      </c>
      <c r="T185" s="236" t="n">
        <v>11000</v>
      </c>
      <c r="U185" s="218" t="n">
        <v>1</v>
      </c>
      <c r="V185" s="219" t="inlineStr">
        <is>
          <t>11/04/2026</t>
        </is>
      </c>
    </row>
    <row r="186" ht="15.75" customHeight="1" s="153">
      <c r="A186" s="237" t="n"/>
      <c r="B186" s="238" t="inlineStr">
        <is>
          <t>LUCHO</t>
        </is>
      </c>
      <c r="C186" s="239" t="n">
        <v>5</v>
      </c>
      <c r="D186" s="239" t="n"/>
      <c r="E186" s="239" t="n"/>
      <c r="F186" s="240" t="n"/>
      <c r="G186" s="240" t="n"/>
      <c r="H186" s="241" t="n">
        <v>95000</v>
      </c>
      <c r="I186" s="242" t="n">
        <v>95000</v>
      </c>
      <c r="J186" s="242" t="n"/>
      <c r="K186" s="233" t="n"/>
      <c r="L186" s="233">
        <f>IF(K186&lt;&gt;"",20000+K186,20000)</f>
        <v/>
      </c>
      <c r="M186" s="156" t="n"/>
      <c r="N186" s="156" t="n"/>
      <c r="O186" s="156" t="n"/>
      <c r="Q186" s="221" t="inlineStr">
        <is>
          <t>184</t>
        </is>
      </c>
      <c r="R186" s="222" t="inlineStr">
        <is>
          <t>ZAVALLA 2880</t>
        </is>
      </c>
      <c r="S186" s="223" t="n">
        <v>26000</v>
      </c>
      <c r="T186" s="224" t="n">
        <v>11000</v>
      </c>
      <c r="U186" s="225" t="n">
        <v>1</v>
      </c>
      <c r="V186" s="226" t="inlineStr">
        <is>
          <t>13/04/2026</t>
        </is>
      </c>
    </row>
    <row r="187" ht="15.75" customHeight="1" s="153">
      <c r="A187" s="227" t="n">
        <v>46125</v>
      </c>
      <c r="B187" s="228" t="inlineStr">
        <is>
          <t>ZAVALLA 2880</t>
        </is>
      </c>
      <c r="C187" s="229" t="n">
        <v>1</v>
      </c>
      <c r="D187" s="229" t="n"/>
      <c r="E187" s="229" t="n"/>
      <c r="F187" s="230" t="n"/>
      <c r="G187" s="230" t="n"/>
      <c r="H187" s="231" t="n">
        <v>26000</v>
      </c>
      <c r="I187" s="232" t="n"/>
      <c r="J187" s="232" t="n">
        <v>26000</v>
      </c>
      <c r="K187" s="233" t="n"/>
      <c r="L187" s="233">
        <f>IF(K187&lt;&gt;"",11000+K187,11000)</f>
        <v/>
      </c>
      <c r="M187" s="156" t="n"/>
      <c r="N187" s="156" t="n"/>
      <c r="O187" s="156" t="n"/>
      <c r="Q187" s="214" t="inlineStr">
        <is>
          <t>185</t>
        </is>
      </c>
      <c r="R187" s="215" t="inlineStr">
        <is>
          <t>M ZAPATA 1328</t>
        </is>
      </c>
      <c r="S187" s="216" t="n">
        <v>26000</v>
      </c>
      <c r="T187" s="236" t="n">
        <v>11000</v>
      </c>
      <c r="U187" s="218" t="n">
        <v>1</v>
      </c>
      <c r="V187" s="219" t="inlineStr">
        <is>
          <t>13/04/2026</t>
        </is>
      </c>
    </row>
    <row r="188" ht="15.75" customHeight="1" s="153">
      <c r="A188" s="237" t="n"/>
      <c r="B188" s="238" t="inlineStr">
        <is>
          <t>PAULO</t>
        </is>
      </c>
      <c r="C188" s="239" t="n">
        <v>3</v>
      </c>
      <c r="D188" s="239" t="n"/>
      <c r="E188" s="239" t="n"/>
      <c r="F188" s="240" t="n"/>
      <c r="G188" s="240" t="n"/>
      <c r="H188" s="241" t="n">
        <v>57000</v>
      </c>
      <c r="I188" s="242" t="n"/>
      <c r="J188" s="242" t="n">
        <v>57000</v>
      </c>
      <c r="K188" s="233" t="n"/>
      <c r="L188" s="233">
        <f>IF(K188&lt;&gt;"",12000+K188,12000)</f>
        <v/>
      </c>
      <c r="M188" s="156" t="n"/>
      <c r="N188" s="156" t="n"/>
      <c r="O188" s="156" t="n"/>
      <c r="Q188" s="221" t="inlineStr">
        <is>
          <t>186</t>
        </is>
      </c>
      <c r="R188" s="222" t="inlineStr">
        <is>
          <t>SAN MARTIN 8050</t>
        </is>
      </c>
      <c r="S188" s="223" t="n">
        <v>26000</v>
      </c>
      <c r="T188" s="224" t="n">
        <v>11000</v>
      </c>
      <c r="U188" s="225" t="n">
        <v>1</v>
      </c>
      <c r="V188" s="226" t="inlineStr">
        <is>
          <t>15/04/2026</t>
        </is>
      </c>
    </row>
    <row r="189" ht="15.75" customHeight="1" s="153">
      <c r="A189" s="227" t="n"/>
      <c r="B189" s="228" t="inlineStr">
        <is>
          <t>AZCUENAGA 5023</t>
        </is>
      </c>
      <c r="C189" s="229" t="n">
        <v>7</v>
      </c>
      <c r="D189" s="229" t="n"/>
      <c r="E189" s="229" t="n"/>
      <c r="F189" s="230" t="n"/>
      <c r="G189" s="230" t="n"/>
      <c r="H189" s="231" t="n">
        <v>133000</v>
      </c>
      <c r="I189" s="232" t="n"/>
      <c r="J189" s="232" t="n">
        <v>133000</v>
      </c>
      <c r="K189" s="233" t="n"/>
      <c r="L189" s="233">
        <f>IF(K189&lt;&gt;"",28000+K189,28000)</f>
        <v/>
      </c>
      <c r="M189" s="156" t="n"/>
      <c r="N189" s="156" t="n"/>
      <c r="O189" s="156" t="n"/>
      <c r="Q189" s="214" t="inlineStr">
        <is>
          <t>187</t>
        </is>
      </c>
      <c r="R189" s="215" t="inlineStr">
        <is>
          <t>ILGATO NEGRO CASA</t>
        </is>
      </c>
      <c r="S189" s="216" t="n">
        <v>26000</v>
      </c>
      <c r="T189" s="236" t="n">
        <v>11000</v>
      </c>
      <c r="U189" s="218" t="n">
        <v>1</v>
      </c>
      <c r="V189" s="219" t="inlineStr">
        <is>
          <t>16/04/2026</t>
        </is>
      </c>
    </row>
    <row r="190" ht="15.75" customHeight="1" s="153">
      <c r="A190" s="237" t="n"/>
      <c r="B190" s="238" t="inlineStr">
        <is>
          <t>M ZAPATA 1328</t>
        </is>
      </c>
      <c r="C190" s="239" t="n">
        <v>1</v>
      </c>
      <c r="D190" s="239" t="n"/>
      <c r="E190" s="239" t="n"/>
      <c r="F190" s="240" t="n"/>
      <c r="G190" s="240" t="n"/>
      <c r="H190" s="241" t="n">
        <v>26000</v>
      </c>
      <c r="I190" s="242" t="n">
        <v>26000</v>
      </c>
      <c r="J190" s="242" t="n"/>
      <c r="K190" s="233" t="n"/>
      <c r="L190" s="233">
        <f>IF(K190&lt;&gt;"",11000+K190,11000)</f>
        <v/>
      </c>
      <c r="M190" s="156" t="n"/>
      <c r="N190" s="156" t="n"/>
      <c r="O190" s="156" t="n"/>
      <c r="Q190" s="221" t="inlineStr">
        <is>
          <t>188</t>
        </is>
      </c>
      <c r="R190" s="222" t="inlineStr">
        <is>
          <t>JJ VALLE 5511</t>
        </is>
      </c>
      <c r="S190" s="223" t="n">
        <v>26000</v>
      </c>
      <c r="T190" s="224" t="n">
        <v>11000</v>
      </c>
      <c r="U190" s="225" t="n">
        <v>1</v>
      </c>
      <c r="V190" s="226" t="inlineStr">
        <is>
          <t>16/04/2026</t>
        </is>
      </c>
    </row>
    <row r="191" ht="15.75" customHeight="1" s="153">
      <c r="A191" s="227" t="n"/>
      <c r="B191" s="228" t="inlineStr">
        <is>
          <t>VIANDAS JORGE</t>
        </is>
      </c>
      <c r="C191" s="229" t="n">
        <v>1</v>
      </c>
      <c r="D191" s="229" t="n"/>
      <c r="E191" s="229" t="n"/>
      <c r="F191" s="230" t="n"/>
      <c r="G191" s="230" t="n"/>
      <c r="H191" s="231" t="n">
        <v>22000</v>
      </c>
      <c r="I191" s="232" t="n">
        <v>22000</v>
      </c>
      <c r="J191" s="232" t="n"/>
      <c r="K191" s="233" t="n"/>
      <c r="L191" s="233">
        <f>IF(K191&lt;&gt;"",7000+K191,7000)</f>
        <v/>
      </c>
      <c r="M191" s="156" t="n"/>
      <c r="N191" s="156" t="n"/>
      <c r="O191" s="156" t="n"/>
      <c r="Q191" s="214" t="inlineStr">
        <is>
          <t>189</t>
        </is>
      </c>
      <c r="R191" s="215" t="inlineStr">
        <is>
          <t>HUERGO 1868</t>
        </is>
      </c>
      <c r="S191" s="216" t="n">
        <v>26000</v>
      </c>
      <c r="T191" s="236" t="n">
        <v>11000</v>
      </c>
      <c r="U191" s="218" t="n">
        <v>1</v>
      </c>
      <c r="V191" s="219" t="inlineStr">
        <is>
          <t>16/04/2026</t>
        </is>
      </c>
    </row>
    <row r="192" ht="15.75" customHeight="1" s="153">
      <c r="A192" s="237" t="n"/>
      <c r="B192" s="238" t="inlineStr">
        <is>
          <t>BLAS PARERA 6578</t>
        </is>
      </c>
      <c r="C192" s="239" t="n"/>
      <c r="D192" s="239" t="n">
        <v>1</v>
      </c>
      <c r="E192" s="239" t="n"/>
      <c r="F192" s="240" t="n"/>
      <c r="G192" s="240" t="n"/>
      <c r="H192" s="241" t="n">
        <v>39000</v>
      </c>
      <c r="I192" s="242" t="n">
        <v>39000</v>
      </c>
      <c r="J192" s="242" t="n"/>
      <c r="K192" s="233" t="n"/>
      <c r="L192" s="233">
        <f>IF(K192&lt;&gt;"",16500+K192,16500)</f>
        <v/>
      </c>
      <c r="M192" s="156" t="n"/>
      <c r="N192" s="156" t="n"/>
      <c r="O192" s="156" t="n"/>
      <c r="Q192" s="221" t="inlineStr">
        <is>
          <t>190</t>
        </is>
      </c>
      <c r="R192" s="222" t="inlineStr">
        <is>
          <t>IRMA</t>
        </is>
      </c>
      <c r="S192" s="223" t="n">
        <v>26000</v>
      </c>
      <c r="T192" s="224" t="n">
        <v>11000</v>
      </c>
      <c r="U192" s="225" t="n">
        <v>1</v>
      </c>
      <c r="V192" s="226" t="inlineStr">
        <is>
          <t>18/04/2026</t>
        </is>
      </c>
    </row>
    <row r="193" ht="15.75" customHeight="1" s="153">
      <c r="A193" s="227" t="n"/>
      <c r="B193" s="228" t="inlineStr">
        <is>
          <t>LOBATO</t>
        </is>
      </c>
      <c r="C193" s="229" t="n"/>
      <c r="D193" s="229" t="n"/>
      <c r="E193" s="229" t="n">
        <v>1</v>
      </c>
      <c r="F193" s="230" t="n"/>
      <c r="G193" s="230" t="n"/>
      <c r="H193" s="231" t="n">
        <v>85000</v>
      </c>
      <c r="I193" s="232" t="n">
        <v>85000</v>
      </c>
      <c r="J193" s="232" t="n"/>
      <c r="K193" s="233" t="n"/>
      <c r="L193" s="233">
        <f>IF(K193&lt;&gt;"",25000+K193,25000)</f>
        <v/>
      </c>
      <c r="M193" s="156" t="n"/>
      <c r="N193" s="156" t="n"/>
      <c r="O193" s="156" t="n"/>
      <c r="Q193" s="214" t="inlineStr">
        <is>
          <t>191</t>
        </is>
      </c>
      <c r="R193" s="215" t="inlineStr">
        <is>
          <t>ALMONACID 4248</t>
        </is>
      </c>
      <c r="S193" s="216" t="n">
        <v>26000</v>
      </c>
      <c r="T193" s="236" t="n">
        <v>11000</v>
      </c>
      <c r="U193" s="218" t="n">
        <v>1</v>
      </c>
      <c r="V193" s="219" t="inlineStr">
        <is>
          <t>19/04/2026</t>
        </is>
      </c>
    </row>
    <row r="194" ht="15.75" customHeight="1" s="153">
      <c r="A194" s="237" t="n"/>
      <c r="B194" s="238" t="inlineStr">
        <is>
          <t>FILOMENA</t>
        </is>
      </c>
      <c r="C194" s="239" t="n">
        <v>2</v>
      </c>
      <c r="D194" s="239" t="n"/>
      <c r="E194" s="239" t="n"/>
      <c r="F194" s="240" t="n"/>
      <c r="G194" s="240" t="n"/>
      <c r="H194" s="241" t="n">
        <v>46000</v>
      </c>
      <c r="I194" s="242" t="n"/>
      <c r="J194" s="242" t="n">
        <v>46000</v>
      </c>
      <c r="K194" s="233" t="n"/>
      <c r="L194" s="233">
        <f>IF(K194&lt;&gt;"",16000+K194,16000)</f>
        <v/>
      </c>
      <c r="M194" s="156" t="n"/>
      <c r="N194" s="156" t="n"/>
      <c r="O194" s="156" t="n"/>
      <c r="Q194" s="221" t="inlineStr">
        <is>
          <t>192</t>
        </is>
      </c>
      <c r="R194" s="222" t="inlineStr">
        <is>
          <t>JUAN DE GARAY 3453</t>
        </is>
      </c>
      <c r="S194" s="223" t="n">
        <v>26000</v>
      </c>
      <c r="T194" s="224" t="n">
        <v>11000</v>
      </c>
      <c r="U194" s="225" t="n">
        <v>1</v>
      </c>
      <c r="V194" s="226" t="inlineStr">
        <is>
          <t>20/04/2026</t>
        </is>
      </c>
    </row>
    <row r="195" ht="15.75" customHeight="1" s="153">
      <c r="A195" s="227" t="n"/>
      <c r="B195" s="228" t="inlineStr">
        <is>
          <t>PAVON 3435</t>
        </is>
      </c>
      <c r="C195" s="229" t="n"/>
      <c r="D195" s="229" t="n"/>
      <c r="E195" s="229" t="n">
        <v>1</v>
      </c>
      <c r="F195" s="230" t="n"/>
      <c r="G195" s="230" t="n"/>
      <c r="H195" s="231" t="n">
        <v>78000</v>
      </c>
      <c r="I195" s="232" t="n"/>
      <c r="J195" s="232" t="n">
        <v>78000</v>
      </c>
      <c r="K195" s="233" t="n"/>
      <c r="L195" s="233">
        <f>IF(K195&lt;&gt;"",18000+K195,18000)</f>
        <v/>
      </c>
      <c r="M195" s="156" t="n"/>
      <c r="N195" s="156" t="n"/>
      <c r="O195" s="156" t="n"/>
      <c r="Q195" s="214" t="inlineStr">
        <is>
          <t>193</t>
        </is>
      </c>
      <c r="R195" s="215" t="inlineStr">
        <is>
          <t>PEÑALOZA 9757</t>
        </is>
      </c>
      <c r="S195" s="216" t="n">
        <v>26000</v>
      </c>
      <c r="T195" s="236" t="n">
        <v>11000</v>
      </c>
      <c r="U195" s="218" t="n">
        <v>1</v>
      </c>
      <c r="V195" s="219" t="inlineStr">
        <is>
          <t>20/04/2026</t>
        </is>
      </c>
    </row>
    <row r="196" ht="15.75" customHeight="1" s="153">
      <c r="A196" s="237" t="n"/>
      <c r="B196" s="238" t="inlineStr">
        <is>
          <t>ARISTOBULO 5137</t>
        </is>
      </c>
      <c r="C196" s="239" t="n"/>
      <c r="D196" s="239" t="n">
        <v>1</v>
      </c>
      <c r="E196" s="239" t="n"/>
      <c r="F196" s="240" t="n"/>
      <c r="G196" s="240" t="n"/>
      <c r="H196" s="241" t="n">
        <v>37500</v>
      </c>
      <c r="I196" s="242" t="n"/>
      <c r="J196" s="242" t="n">
        <v>37500</v>
      </c>
      <c r="K196" s="233" t="n"/>
      <c r="L196" s="233">
        <f>IF(K196&lt;&gt;"",15000+K196,15000)</f>
        <v/>
      </c>
      <c r="M196" s="156" t="n"/>
      <c r="N196" s="156" t="n"/>
      <c r="O196" s="156" t="n"/>
      <c r="Q196" s="221" t="inlineStr">
        <is>
          <t>194</t>
        </is>
      </c>
      <c r="R196" s="222" t="inlineStr">
        <is>
          <t>ESTANISLAO DEL CAMPO 1613</t>
        </is>
      </c>
      <c r="S196" s="223" t="n">
        <v>26000</v>
      </c>
      <c r="T196" s="224" t="n">
        <v>11000</v>
      </c>
      <c r="U196" s="225" t="n">
        <v>1</v>
      </c>
      <c r="V196" s="226" t="inlineStr">
        <is>
          <t>21/04/2026</t>
        </is>
      </c>
    </row>
    <row r="197" ht="15.75" customHeight="1" s="153">
      <c r="A197" s="227" t="n"/>
      <c r="B197" s="228" t="inlineStr">
        <is>
          <t>FRANCIA 2247</t>
        </is>
      </c>
      <c r="C197" s="229" t="n">
        <v>1</v>
      </c>
      <c r="D197" s="229" t="n"/>
      <c r="E197" s="229" t="n"/>
      <c r="F197" s="230" t="n"/>
      <c r="G197" s="230" t="n"/>
      <c r="H197" s="231" t="n">
        <v>26000</v>
      </c>
      <c r="I197" s="232" t="n"/>
      <c r="J197" s="232" t="n">
        <v>26000</v>
      </c>
      <c r="K197" s="233" t="n"/>
      <c r="L197" s="233">
        <f>IF(K197&lt;&gt;"",11000+K197,11000)</f>
        <v/>
      </c>
      <c r="M197" s="156" t="n"/>
      <c r="N197" s="156" t="n"/>
      <c r="O197" s="156" t="n"/>
      <c r="Q197" s="214" t="inlineStr">
        <is>
          <t>195</t>
        </is>
      </c>
      <c r="R197" s="215" t="inlineStr">
        <is>
          <t>AZOPARDO 10560</t>
        </is>
      </c>
      <c r="S197" s="216" t="n">
        <v>26000</v>
      </c>
      <c r="T197" s="236" t="n">
        <v>11000</v>
      </c>
      <c r="U197" s="218" t="n">
        <v>1</v>
      </c>
      <c r="V197" s="219" t="inlineStr">
        <is>
          <t>21/04/2026</t>
        </is>
      </c>
    </row>
    <row r="198" ht="15.75" customHeight="1" s="153">
      <c r="A198" s="237" t="n"/>
      <c r="B198" s="238" t="inlineStr">
        <is>
          <t>FRANCIA 9250</t>
        </is>
      </c>
      <c r="C198" s="239" t="n"/>
      <c r="D198" s="239" t="n"/>
      <c r="E198" s="239" t="n">
        <v>1</v>
      </c>
      <c r="F198" s="240" t="n"/>
      <c r="G198" s="240" t="n"/>
      <c r="H198" s="241" t="n">
        <v>84000</v>
      </c>
      <c r="I198" s="242" t="n"/>
      <c r="J198" s="242" t="n">
        <v>84000</v>
      </c>
      <c r="K198" s="233" t="n"/>
      <c r="L198" s="233">
        <f>IF(K198&lt;&gt;"",24000+K198,24000)</f>
        <v/>
      </c>
      <c r="M198" s="156" t="n"/>
      <c r="N198" s="156" t="n"/>
      <c r="O198" s="156" t="n"/>
      <c r="Q198" s="221" t="inlineStr">
        <is>
          <t>196</t>
        </is>
      </c>
      <c r="R198" s="222" t="inlineStr">
        <is>
          <t>DORREGO 5575</t>
        </is>
      </c>
      <c r="S198" s="223" t="n">
        <v>26000</v>
      </c>
      <c r="T198" s="224" t="n">
        <v>11000</v>
      </c>
      <c r="U198" s="225" t="n">
        <v>1</v>
      </c>
      <c r="V198" s="226" t="inlineStr">
        <is>
          <t>21/04/2026</t>
        </is>
      </c>
    </row>
    <row r="199" ht="15.75" customHeight="1" s="153">
      <c r="A199" s="227" t="n">
        <v>46127</v>
      </c>
      <c r="B199" s="228" t="inlineStr">
        <is>
          <t>JAVIER DE LA ROSA 459</t>
        </is>
      </c>
      <c r="C199" s="229" t="n">
        <v>1</v>
      </c>
      <c r="D199" s="229" t="n">
        <v>1</v>
      </c>
      <c r="E199" s="229" t="n"/>
      <c r="F199" s="230" t="n"/>
      <c r="G199" s="230" t="n"/>
      <c r="H199" s="231" t="n">
        <v>61500</v>
      </c>
      <c r="I199" s="232" t="n"/>
      <c r="J199" s="232" t="n">
        <v>61500</v>
      </c>
      <c r="K199" s="233" t="n"/>
      <c r="L199" s="233">
        <f>IF(K199&lt;&gt;"",24000+K199,24000)</f>
        <v/>
      </c>
      <c r="M199" s="156" t="n"/>
      <c r="N199" s="156" t="n"/>
      <c r="O199" s="156" t="n"/>
      <c r="Q199" s="214" t="inlineStr">
        <is>
          <t>197</t>
        </is>
      </c>
      <c r="R199" s="215" t="inlineStr">
        <is>
          <t>PENALOZA 9757</t>
        </is>
      </c>
      <c r="S199" s="216" t="n">
        <v>25500</v>
      </c>
      <c r="T199" s="236" t="n">
        <v>10500</v>
      </c>
      <c r="U199" s="218" t="n">
        <v>1</v>
      </c>
      <c r="V199" s="219" t="inlineStr">
        <is>
          <t>14/03/2026</t>
        </is>
      </c>
    </row>
    <row r="200" ht="15.75" customHeight="1" s="153">
      <c r="A200" s="237" t="n"/>
      <c r="B200" s="238" t="inlineStr">
        <is>
          <t>AYACUCHO 3760</t>
        </is>
      </c>
      <c r="C200" s="239" t="n">
        <v>1</v>
      </c>
      <c r="D200" s="239" t="n"/>
      <c r="E200" s="239" t="n"/>
      <c r="F200" s="240" t="n"/>
      <c r="G200" s="240" t="n"/>
      <c r="H200" s="241" t="n">
        <v>25000</v>
      </c>
      <c r="I200" s="242" t="n"/>
      <c r="J200" s="242" t="n">
        <v>25000</v>
      </c>
      <c r="K200" s="233" t="n"/>
      <c r="L200" s="233">
        <f>IF(K200&lt;&gt;"",10000+K200,10000)</f>
        <v/>
      </c>
      <c r="M200" s="156" t="n"/>
      <c r="N200" s="156" t="n"/>
      <c r="O200" s="156" t="n"/>
      <c r="Q200" s="221" t="inlineStr">
        <is>
          <t>198</t>
        </is>
      </c>
      <c r="R200" s="222" t="inlineStr">
        <is>
          <t>LAVAISE 3786</t>
        </is>
      </c>
      <c r="S200" s="223" t="n">
        <v>25000</v>
      </c>
      <c r="T200" s="224" t="n">
        <v>10000</v>
      </c>
      <c r="U200" s="225" t="n">
        <v>1</v>
      </c>
      <c r="V200" s="226" t="inlineStr">
        <is>
          <t>08/04/2026</t>
        </is>
      </c>
    </row>
    <row r="201" ht="15.75" customHeight="1" s="153">
      <c r="A201" s="227" t="n"/>
      <c r="B201" s="228" t="inlineStr">
        <is>
          <t xml:space="preserve">SAN MARTIN 8050 </t>
        </is>
      </c>
      <c r="C201" s="229" t="n">
        <v>1</v>
      </c>
      <c r="D201" s="229" t="n"/>
      <c r="E201" s="229" t="n"/>
      <c r="F201" s="230" t="n"/>
      <c r="G201" s="230" t="n"/>
      <c r="H201" s="231" t="n">
        <v>26000</v>
      </c>
      <c r="I201" s="232" t="n"/>
      <c r="J201" s="232" t="n">
        <v>26000</v>
      </c>
      <c r="K201" s="233" t="n"/>
      <c r="L201" s="233">
        <f>IF(K201&lt;&gt;"",11000+K201,11000)</f>
        <v/>
      </c>
      <c r="M201" s="156" t="n"/>
      <c r="N201" s="156" t="n"/>
      <c r="O201" s="156" t="n"/>
      <c r="Q201" s="214" t="inlineStr">
        <is>
          <t>199</t>
        </is>
      </c>
      <c r="R201" s="215" t="inlineStr">
        <is>
          <t>HERNANDARIAS 5356</t>
        </is>
      </c>
      <c r="S201" s="216" t="n">
        <v>25000</v>
      </c>
      <c r="T201" s="236" t="n">
        <v>10000</v>
      </c>
      <c r="U201" s="218" t="n">
        <v>1</v>
      </c>
      <c r="V201" s="219" t="inlineStr">
        <is>
          <t>07/04/2026</t>
        </is>
      </c>
    </row>
    <row r="202" ht="15.75" customHeight="1" s="153">
      <c r="A202" s="237" t="n"/>
      <c r="B202" s="238" t="inlineStr">
        <is>
          <t xml:space="preserve">ROTI SAN LORENZO </t>
        </is>
      </c>
      <c r="C202" s="239" t="n">
        <v>2</v>
      </c>
      <c r="D202" s="239" t="n">
        <v>2</v>
      </c>
      <c r="E202" s="239" t="n"/>
      <c r="F202" s="240" t="n"/>
      <c r="G202" s="240" t="n"/>
      <c r="H202" s="241" t="n">
        <v>117000</v>
      </c>
      <c r="I202" s="242" t="n"/>
      <c r="J202" s="242" t="n">
        <v>117000</v>
      </c>
      <c r="K202" s="233" t="n"/>
      <c r="L202" s="233">
        <f>IF(K202&lt;&gt;"",42000+K202,42000)</f>
        <v/>
      </c>
      <c r="M202" s="156" t="n"/>
      <c r="N202" s="156" t="n"/>
      <c r="O202" s="156" t="n"/>
      <c r="Q202" s="221" t="inlineStr">
        <is>
          <t>200</t>
        </is>
      </c>
      <c r="R202" s="222" t="inlineStr">
        <is>
          <t>ARGENTA</t>
        </is>
      </c>
      <c r="S202" s="223" t="n">
        <v>25000</v>
      </c>
      <c r="T202" s="224" t="n">
        <v>10000</v>
      </c>
      <c r="U202" s="225" t="n">
        <v>1</v>
      </c>
      <c r="V202" s="226" t="inlineStr">
        <is>
          <t>16/04/2026</t>
        </is>
      </c>
    </row>
    <row r="203" ht="15.75" customHeight="1" s="153">
      <c r="A203" s="227" t="n"/>
      <c r="B203" s="228" t="inlineStr">
        <is>
          <t>MARIO</t>
        </is>
      </c>
      <c r="C203" s="229" t="n">
        <v>3</v>
      </c>
      <c r="D203" s="229" t="n"/>
      <c r="E203" s="229" t="n"/>
      <c r="F203" s="230" t="n"/>
      <c r="G203" s="230" t="n"/>
      <c r="H203" s="231" t="n">
        <v>57000</v>
      </c>
      <c r="I203" s="232" t="n"/>
      <c r="J203" s="232" t="n">
        <v>57000</v>
      </c>
      <c r="K203" s="233" t="n"/>
      <c r="L203" s="233">
        <f>IF(K203&lt;&gt;"",12000+K203,12000)</f>
        <v/>
      </c>
      <c r="M203" s="156" t="n"/>
      <c r="N203" s="156" t="n"/>
      <c r="O203" s="156" t="n"/>
      <c r="Q203" s="214" t="inlineStr">
        <is>
          <t>201</t>
        </is>
      </c>
      <c r="R203" s="215" t="inlineStr">
        <is>
          <t>AZOPARDO 8443</t>
        </is>
      </c>
      <c r="S203" s="216" t="n">
        <v>25000</v>
      </c>
      <c r="T203" s="236" t="n">
        <v>10000</v>
      </c>
      <c r="U203" s="218" t="n">
        <v>1</v>
      </c>
      <c r="V203" s="219" t="inlineStr">
        <is>
          <t>21/04/2026</t>
        </is>
      </c>
    </row>
    <row r="204" ht="15.75" customHeight="1" s="153">
      <c r="A204" s="237" t="n"/>
      <c r="B204" s="238" t="inlineStr">
        <is>
          <t>GORRITI 1971</t>
        </is>
      </c>
      <c r="C204" s="239" t="n"/>
      <c r="D204" s="239" t="n">
        <v>1</v>
      </c>
      <c r="E204" s="239" t="n"/>
      <c r="F204" s="240" t="n"/>
      <c r="G204" s="240" t="n"/>
      <c r="H204" s="241" t="n">
        <v>39000</v>
      </c>
      <c r="I204" s="242" t="n">
        <v>39000</v>
      </c>
      <c r="J204" s="242" t="n"/>
      <c r="K204" s="233" t="n"/>
      <c r="L204" s="233">
        <f>IF(K204&lt;&gt;"",16500+K204,16500)</f>
        <v/>
      </c>
      <c r="M204" s="156" t="n"/>
      <c r="N204" s="156" t="n"/>
      <c r="O204" s="156" t="n"/>
      <c r="Q204" s="221" t="inlineStr">
        <is>
          <t>202</t>
        </is>
      </c>
      <c r="R204" s="222" t="inlineStr">
        <is>
          <t>ROTI ROCA 6371</t>
        </is>
      </c>
      <c r="S204" s="223" t="n">
        <v>25000</v>
      </c>
      <c r="T204" s="224" t="n">
        <v>10000</v>
      </c>
      <c r="U204" s="225" t="n">
        <v>1</v>
      </c>
      <c r="V204" s="226" t="inlineStr">
        <is>
          <t>03/04/2026</t>
        </is>
      </c>
    </row>
    <row r="205" ht="15.75" customHeight="1" s="153">
      <c r="A205" s="227" t="n"/>
      <c r="B205" s="228" t="inlineStr">
        <is>
          <t>PUBLICO 9118</t>
        </is>
      </c>
      <c r="C205" s="229" t="n"/>
      <c r="D205" s="229" t="n"/>
      <c r="E205" s="229" t="n">
        <v>1</v>
      </c>
      <c r="F205" s="230" t="n"/>
      <c r="G205" s="230" t="n"/>
      <c r="H205" s="231" t="n">
        <v>88000</v>
      </c>
      <c r="I205" s="232" t="n"/>
      <c r="J205" s="232" t="n">
        <v>88000</v>
      </c>
      <c r="K205" s="233" t="n"/>
      <c r="L205" s="233">
        <f>IF(K205&lt;&gt;"",28000+K205,28000)</f>
        <v/>
      </c>
      <c r="M205" s="156" t="n"/>
      <c r="N205" s="156" t="n"/>
      <c r="O205" s="156" t="n"/>
      <c r="Q205" s="214" t="inlineStr">
        <is>
          <t>203</t>
        </is>
      </c>
      <c r="R205" s="215" t="inlineStr">
        <is>
          <t>SAN LORENZO 5949</t>
        </is>
      </c>
      <c r="S205" s="216" t="n">
        <v>25000</v>
      </c>
      <c r="T205" s="236" t="n">
        <v>10000</v>
      </c>
      <c r="U205" s="218" t="n">
        <v>1</v>
      </c>
      <c r="V205" s="219" t="inlineStr">
        <is>
          <t>03/04/2026</t>
        </is>
      </c>
    </row>
    <row r="206" ht="15.75" customHeight="1" s="153">
      <c r="A206" s="237" t="n"/>
      <c r="B206" s="238" t="inlineStr">
        <is>
          <t>GASTON AMARAL</t>
        </is>
      </c>
      <c r="C206" s="239" t="n"/>
      <c r="D206" s="239" t="n"/>
      <c r="E206" s="239" t="n">
        <v>1</v>
      </c>
      <c r="F206" s="240" t="n">
        <v>2</v>
      </c>
      <c r="G206" s="240" t="n"/>
      <c r="H206" s="241" t="n">
        <v>95000</v>
      </c>
      <c r="I206" s="242" t="n">
        <v>95000</v>
      </c>
      <c r="J206" s="242" t="n"/>
      <c r="K206" s="233" t="n"/>
      <c r="L206" s="233">
        <f>IF(K206&lt;&gt;"",30400+K206,30400)</f>
        <v/>
      </c>
      <c r="M206" s="156" t="n"/>
      <c r="N206" s="156" t="n"/>
      <c r="O206" s="156" t="n"/>
      <c r="Q206" s="221" t="inlineStr">
        <is>
          <t>204</t>
        </is>
      </c>
      <c r="R206" s="222" t="inlineStr">
        <is>
          <t>GUANELA 4543</t>
        </is>
      </c>
      <c r="S206" s="223" t="n">
        <v>25000</v>
      </c>
      <c r="T206" s="224" t="n">
        <v>10000</v>
      </c>
      <c r="U206" s="225" t="n">
        <v>1</v>
      </c>
      <c r="V206" s="226" t="inlineStr">
        <is>
          <t>04/04/2026</t>
        </is>
      </c>
    </row>
    <row r="207" ht="15.75" customHeight="1" s="153">
      <c r="A207" s="227" t="n">
        <v>46128</v>
      </c>
      <c r="B207" s="228" t="inlineStr">
        <is>
          <t xml:space="preserve">JUAN AZUAGA </t>
        </is>
      </c>
      <c r="C207" s="229" t="n">
        <v>1</v>
      </c>
      <c r="D207" s="229" t="n"/>
      <c r="E207" s="229" t="n"/>
      <c r="F207" s="230" t="n"/>
      <c r="G207" s="230" t="n"/>
      <c r="H207" s="231" t="n">
        <v>20000</v>
      </c>
      <c r="I207" s="232" t="n">
        <v>20000</v>
      </c>
      <c r="J207" s="232" t="n"/>
      <c r="K207" s="233" t="n"/>
      <c r="L207" s="233">
        <f>IF(K207&lt;&gt;"",5000+K207,5000)</f>
        <v/>
      </c>
      <c r="M207" s="156" t="n"/>
      <c r="N207" s="156" t="n"/>
      <c r="O207" s="156" t="n"/>
      <c r="Q207" s="214" t="inlineStr">
        <is>
          <t>205</t>
        </is>
      </c>
      <c r="R207" s="215" t="inlineStr">
        <is>
          <t>JAURETCHE 10100</t>
        </is>
      </c>
      <c r="S207" s="216" t="n">
        <v>25000</v>
      </c>
      <c r="T207" s="236" t="n">
        <v>10000</v>
      </c>
      <c r="U207" s="218" t="n">
        <v>1</v>
      </c>
      <c r="V207" s="219" t="inlineStr">
        <is>
          <t>04/04/2026</t>
        </is>
      </c>
    </row>
    <row r="208" ht="15.75" customHeight="1" s="153">
      <c r="A208" s="237" t="n"/>
      <c r="B208" s="238" t="inlineStr">
        <is>
          <t>AYACUCHO 5370</t>
        </is>
      </c>
      <c r="C208" s="239" t="n"/>
      <c r="D208" s="239" t="n"/>
      <c r="E208" s="239" t="n"/>
      <c r="F208" s="240" t="n"/>
      <c r="G208" s="240" t="n">
        <v>2</v>
      </c>
      <c r="H208" s="241" t="n">
        <v>12000</v>
      </c>
      <c r="I208" s="242" t="n"/>
      <c r="J208" s="242" t="n">
        <v>12000</v>
      </c>
      <c r="K208" s="233" t="n"/>
      <c r="L208" s="233">
        <f>IF(K208&lt;&gt;"",10300+K208,10300)</f>
        <v/>
      </c>
      <c r="M208" s="156" t="n"/>
      <c r="N208" s="156" t="n"/>
      <c r="O208" s="156" t="n"/>
      <c r="Q208" s="221" t="inlineStr">
        <is>
          <t>206</t>
        </is>
      </c>
      <c r="R208" s="222" t="inlineStr">
        <is>
          <t>MANTOVANI 6752</t>
        </is>
      </c>
      <c r="S208" s="223" t="n">
        <v>25000</v>
      </c>
      <c r="T208" s="224" t="n">
        <v>10000</v>
      </c>
      <c r="U208" s="225" t="n">
        <v>1</v>
      </c>
      <c r="V208" s="226" t="inlineStr">
        <is>
          <t>05/02/2026</t>
        </is>
      </c>
    </row>
    <row r="209" ht="15.75" customHeight="1" s="153">
      <c r="A209" s="227" t="n"/>
      <c r="B209" s="228" t="inlineStr">
        <is>
          <t>BEATRIZ</t>
        </is>
      </c>
      <c r="C209" s="229" t="n"/>
      <c r="D209" s="229" t="n"/>
      <c r="E209" s="229" t="n"/>
      <c r="F209" s="230" t="n"/>
      <c r="G209" s="230" t="n">
        <v>1</v>
      </c>
      <c r="H209" s="231" t="n">
        <v>6000</v>
      </c>
      <c r="I209" s="232" t="n">
        <v>6000</v>
      </c>
      <c r="J209" s="232" t="n"/>
      <c r="K209" s="233" t="n"/>
      <c r="L209" s="233">
        <f>IF(K209&lt;&gt;"",5150+K209,5150)</f>
        <v/>
      </c>
      <c r="M209" s="156" t="n"/>
      <c r="N209" s="156" t="n"/>
      <c r="O209" s="156" t="n"/>
      <c r="Q209" s="214" t="inlineStr">
        <is>
          <t>207</t>
        </is>
      </c>
      <c r="R209" s="215" t="inlineStr">
        <is>
          <t>HUERGO 2487</t>
        </is>
      </c>
      <c r="S209" s="216" t="n">
        <v>25000</v>
      </c>
      <c r="T209" s="236" t="n">
        <v>10000</v>
      </c>
      <c r="U209" s="218" t="n">
        <v>1</v>
      </c>
      <c r="V209" s="219" t="inlineStr">
        <is>
          <t>06/04/2026</t>
        </is>
      </c>
    </row>
    <row r="210" ht="15.75" customHeight="1" s="153">
      <c r="A210" s="237" t="n"/>
      <c r="B210" s="238" t="inlineStr">
        <is>
          <t>SANDRA</t>
        </is>
      </c>
      <c r="C210" s="239" t="n"/>
      <c r="D210" s="239" t="n"/>
      <c r="E210" s="239" t="n"/>
      <c r="F210" s="240" t="n"/>
      <c r="G210" s="240" t="n">
        <v>2</v>
      </c>
      <c r="H210" s="241" t="n">
        <v>8000</v>
      </c>
      <c r="I210" s="242" t="n">
        <v>8000</v>
      </c>
      <c r="J210" s="242" t="n"/>
      <c r="K210" s="233" t="n"/>
      <c r="L210" s="233">
        <f>IF(K210&lt;&gt;"",6300+K210,6300)</f>
        <v/>
      </c>
      <c r="M210" s="156" t="n"/>
      <c r="N210" s="156" t="n"/>
      <c r="O210" s="156" t="n"/>
      <c r="Q210" s="221" t="inlineStr">
        <is>
          <t>208</t>
        </is>
      </c>
      <c r="R210" s="222" t="inlineStr">
        <is>
          <t>ESC JUAN DE GARAY</t>
        </is>
      </c>
      <c r="S210" s="223" t="n">
        <v>25000</v>
      </c>
      <c r="T210" s="224" t="n">
        <v>10000</v>
      </c>
      <c r="U210" s="225" t="n">
        <v>1</v>
      </c>
      <c r="V210" s="226" t="inlineStr">
        <is>
          <t>08/04/2026</t>
        </is>
      </c>
    </row>
    <row r="211" ht="15.75" customHeight="1" s="153">
      <c r="A211" s="227" t="n"/>
      <c r="B211" s="228" t="inlineStr">
        <is>
          <t>FRANCIA 2247</t>
        </is>
      </c>
      <c r="C211" s="229" t="n">
        <v>1</v>
      </c>
      <c r="D211" s="229" t="n"/>
      <c r="E211" s="229" t="n"/>
      <c r="F211" s="230" t="n"/>
      <c r="G211" s="230" t="n"/>
      <c r="H211" s="231" t="n">
        <v>26000</v>
      </c>
      <c r="I211" s="232" t="n">
        <v>26000</v>
      </c>
      <c r="J211" s="232" t="n"/>
      <c r="K211" s="233" t="n"/>
      <c r="L211" s="233">
        <f>IF(K211&lt;&gt;"",11000+K211,11000)</f>
        <v/>
      </c>
      <c r="M211" s="156" t="n"/>
      <c r="N211" s="156" t="n"/>
      <c r="O211" s="156" t="n"/>
      <c r="Q211" s="214" t="inlineStr">
        <is>
          <t>209</t>
        </is>
      </c>
      <c r="R211" s="215" t="inlineStr">
        <is>
          <t>AYACUCHO 3760</t>
        </is>
      </c>
      <c r="S211" s="216" t="n">
        <v>25000</v>
      </c>
      <c r="T211" s="236" t="n">
        <v>10000</v>
      </c>
      <c r="U211" s="218" t="n">
        <v>1</v>
      </c>
      <c r="V211" s="219" t="inlineStr">
        <is>
          <t>15/04/2026</t>
        </is>
      </c>
    </row>
    <row r="212" ht="15.75" customHeight="1" s="153">
      <c r="A212" s="237" t="n"/>
      <c r="B212" s="238" t="inlineStr">
        <is>
          <t>NIC OBUSTO</t>
        </is>
      </c>
      <c r="C212" s="239" t="n"/>
      <c r="D212" s="239" t="n"/>
      <c r="E212" s="239" t="n"/>
      <c r="F212" s="240" t="n">
        <v>10</v>
      </c>
      <c r="G212" s="240" t="n"/>
      <c r="H212" s="241" t="n">
        <v>35500</v>
      </c>
      <c r="I212" s="242" t="n"/>
      <c r="J212" s="242" t="n">
        <v>35500</v>
      </c>
      <c r="K212" s="233" t="n"/>
      <c r="L212" s="233">
        <f>IF(K212&lt;&gt;"",12500+K212,12500)</f>
        <v/>
      </c>
      <c r="M212" s="156" t="n"/>
      <c r="N212" s="156" t="n"/>
      <c r="O212" s="156" t="n"/>
      <c r="Q212" s="221" t="inlineStr">
        <is>
          <t>210</t>
        </is>
      </c>
      <c r="R212" s="222" t="inlineStr">
        <is>
          <t>INGENIERO 6866</t>
        </is>
      </c>
      <c r="S212" s="223" t="n">
        <v>25000</v>
      </c>
      <c r="T212" s="224" t="n">
        <v>10000</v>
      </c>
      <c r="U212" s="225" t="n">
        <v>1</v>
      </c>
      <c r="V212" s="226" t="inlineStr">
        <is>
          <t>18/04/2026</t>
        </is>
      </c>
    </row>
    <row r="213" ht="15.75" customHeight="1" s="153">
      <c r="A213" s="227" t="n"/>
      <c r="B213" s="228" t="inlineStr">
        <is>
          <t>VIANDAS JORGE</t>
        </is>
      </c>
      <c r="C213" s="229" t="n">
        <v>1</v>
      </c>
      <c r="D213" s="229" t="n"/>
      <c r="E213" s="229" t="n"/>
      <c r="F213" s="230" t="n"/>
      <c r="G213" s="230" t="n"/>
      <c r="H213" s="231" t="n">
        <v>22000</v>
      </c>
      <c r="I213" s="232" t="n">
        <v>22000</v>
      </c>
      <c r="J213" s="232" t="n"/>
      <c r="K213" s="233" t="n"/>
      <c r="L213" s="233">
        <f>IF(K213&lt;&gt;"",7000+K213,7000)</f>
        <v/>
      </c>
      <c r="M213" s="156" t="n"/>
      <c r="N213" s="156" t="n"/>
      <c r="O213" s="156" t="n"/>
      <c r="Q213" s="214" t="inlineStr">
        <is>
          <t>211</t>
        </is>
      </c>
      <c r="R213" s="215" t="inlineStr">
        <is>
          <t>HUERGO 4365</t>
        </is>
      </c>
      <c r="S213" s="216" t="n">
        <v>25000</v>
      </c>
      <c r="T213" s="236" t="n">
        <v>10000</v>
      </c>
      <c r="U213" s="218" t="n">
        <v>1</v>
      </c>
      <c r="V213" s="219" t="inlineStr">
        <is>
          <t>18/04/2026</t>
        </is>
      </c>
    </row>
    <row r="214" ht="15.75" customHeight="1" s="153">
      <c r="A214" s="237" t="n"/>
      <c r="B214" s="238" t="inlineStr">
        <is>
          <t>ANGEL</t>
        </is>
      </c>
      <c r="C214" s="239" t="n">
        <v>2</v>
      </c>
      <c r="D214" s="239" t="n"/>
      <c r="E214" s="239" t="n"/>
      <c r="F214" s="240" t="n"/>
      <c r="G214" s="240" t="n"/>
      <c r="H214" s="241" t="n">
        <v>38000</v>
      </c>
      <c r="I214" s="242" t="n">
        <v>38000</v>
      </c>
      <c r="J214" s="242" t="n"/>
      <c r="K214" s="233" t="n"/>
      <c r="L214" s="233">
        <f>IF(K214&lt;&gt;"",8000+K214,8000)</f>
        <v/>
      </c>
      <c r="M214" s="156" t="n"/>
      <c r="N214" s="156" t="n"/>
      <c r="O214" s="156" t="n"/>
      <c r="Q214" s="221" t="inlineStr">
        <is>
          <t>212</t>
        </is>
      </c>
      <c r="R214" s="222" t="inlineStr">
        <is>
          <t>LA PAZ 4556</t>
        </is>
      </c>
      <c r="S214" s="223" t="n">
        <v>25000</v>
      </c>
      <c r="T214" s="224" t="n">
        <v>10000</v>
      </c>
      <c r="U214" s="225" t="n">
        <v>1</v>
      </c>
      <c r="V214" s="226" t="inlineStr">
        <is>
          <t>18/04/2026</t>
        </is>
      </c>
    </row>
    <row r="215" ht="15.75" customHeight="1" s="153">
      <c r="A215" s="227" t="n"/>
      <c r="B215" s="228" t="inlineStr">
        <is>
          <t>LUCHO</t>
        </is>
      </c>
      <c r="C215" s="229" t="n">
        <v>2</v>
      </c>
      <c r="D215" s="229" t="n"/>
      <c r="E215" s="229" t="n"/>
      <c r="F215" s="230" t="n"/>
      <c r="G215" s="230" t="n">
        <v>2</v>
      </c>
      <c r="H215" s="231" t="n">
        <v>50000</v>
      </c>
      <c r="I215" s="232" t="n">
        <v>50000</v>
      </c>
      <c r="J215" s="232" t="n"/>
      <c r="K215" s="233" t="n"/>
      <c r="L215" s="233">
        <f>IF(K215&lt;&gt;"",18300+K215,18300)</f>
        <v/>
      </c>
      <c r="M215" s="156" t="n"/>
      <c r="N215" s="156" t="n"/>
      <c r="O215" s="156" t="n"/>
      <c r="Q215" s="214" t="inlineStr">
        <is>
          <t>213</t>
        </is>
      </c>
      <c r="R215" s="215" t="inlineStr">
        <is>
          <t>FRENCH 2382</t>
        </is>
      </c>
      <c r="S215" s="216" t="n">
        <v>25000</v>
      </c>
      <c r="T215" s="236" t="n">
        <v>10000</v>
      </c>
      <c r="U215" s="218" t="n">
        <v>1</v>
      </c>
      <c r="V215" s="219" t="inlineStr">
        <is>
          <t>20/04/2026</t>
        </is>
      </c>
    </row>
    <row r="216" ht="15.75" customHeight="1" s="153">
      <c r="A216" s="237" t="n"/>
      <c r="B216" s="238" t="inlineStr">
        <is>
          <t>PANA VIEYTES 4500</t>
        </is>
      </c>
      <c r="C216" s="239" t="n"/>
      <c r="D216" s="239" t="n"/>
      <c r="E216" s="239" t="n">
        <v>1</v>
      </c>
      <c r="F216" s="240" t="n"/>
      <c r="G216" s="240" t="n"/>
      <c r="H216" s="241" t="n">
        <v>78000</v>
      </c>
      <c r="I216" s="242" t="n"/>
      <c r="J216" s="242" t="n">
        <v>78000</v>
      </c>
      <c r="K216" s="233" t="n"/>
      <c r="L216" s="233">
        <f>IF(K216&lt;&gt;"",18000+K216,18000)</f>
        <v/>
      </c>
      <c r="M216" s="156" t="n"/>
      <c r="N216" s="156" t="n"/>
      <c r="O216" s="156" t="n"/>
      <c r="Q216" s="221" t="inlineStr">
        <is>
          <t>214</t>
        </is>
      </c>
      <c r="R216" s="222" t="inlineStr">
        <is>
          <t>LOPEZ Y PLANES 4765</t>
        </is>
      </c>
      <c r="S216" s="223" t="n">
        <v>25000</v>
      </c>
      <c r="T216" s="224" t="n">
        <v>10000</v>
      </c>
      <c r="U216" s="225" t="n">
        <v>1</v>
      </c>
      <c r="V216" s="226" t="inlineStr">
        <is>
          <t>20/04/2026</t>
        </is>
      </c>
    </row>
    <row r="217" ht="15.75" customHeight="1" s="153">
      <c r="A217" s="227" t="n"/>
      <c r="B217" s="228" t="inlineStr">
        <is>
          <t>ILGATO NEGRO CASA</t>
        </is>
      </c>
      <c r="C217" s="229" t="n">
        <v>1</v>
      </c>
      <c r="D217" s="229" t="n"/>
      <c r="E217" s="229" t="n"/>
      <c r="F217" s="230" t="n"/>
      <c r="G217" s="230" t="n"/>
      <c r="H217" s="231" t="n">
        <v>26000</v>
      </c>
      <c r="I217" s="232" t="n">
        <v>26000</v>
      </c>
      <c r="J217" s="232" t="n"/>
      <c r="K217" s="233" t="n"/>
      <c r="L217" s="233">
        <f>IF(K217&lt;&gt;"",11000+K217,11000)</f>
        <v/>
      </c>
      <c r="M217" s="156" t="n"/>
      <c r="N217" s="156" t="n"/>
      <c r="O217" s="156" t="n"/>
      <c r="Q217" s="214" t="inlineStr">
        <is>
          <t>215</t>
        </is>
      </c>
      <c r="R217" s="215" t="inlineStr">
        <is>
          <t>LEO MASARA</t>
        </is>
      </c>
      <c r="S217" s="216" t="n">
        <v>25000</v>
      </c>
      <c r="T217" s="236" t="n">
        <v>10000</v>
      </c>
      <c r="U217" s="218" t="n">
        <v>1</v>
      </c>
      <c r="V217" s="219" t="inlineStr">
        <is>
          <t>20/04/2026</t>
        </is>
      </c>
    </row>
    <row r="218" ht="15.75" customHeight="1" s="153">
      <c r="A218" s="237" t="n"/>
      <c r="B218" s="238" t="inlineStr">
        <is>
          <t>OTNIEL</t>
        </is>
      </c>
      <c r="C218" s="239" t="n"/>
      <c r="D218" s="239" t="n">
        <v>1</v>
      </c>
      <c r="E218" s="239" t="n">
        <v>1</v>
      </c>
      <c r="F218" s="240" t="n"/>
      <c r="G218" s="240" t="n"/>
      <c r="H218" s="241" t="n">
        <v>115000</v>
      </c>
      <c r="I218" s="242" t="n">
        <v>115000</v>
      </c>
      <c r="J218" s="242" t="n"/>
      <c r="K218" s="233" t="n"/>
      <c r="L218" s="233">
        <f>IF(K218&lt;&gt;"",32500+K218,32500)</f>
        <v/>
      </c>
      <c r="M218" s="156" t="n"/>
      <c r="N218" s="156" t="n"/>
      <c r="O218" s="156" t="n"/>
      <c r="Q218" s="221" t="inlineStr">
        <is>
          <t>216</t>
        </is>
      </c>
      <c r="R218" s="222" t="inlineStr">
        <is>
          <t>FABIAN ALADO VIA NORTE</t>
        </is>
      </c>
      <c r="S218" s="223" t="n">
        <v>25000</v>
      </c>
      <c r="T218" s="224" t="n">
        <v>10000</v>
      </c>
      <c r="U218" s="225" t="n">
        <v>1</v>
      </c>
      <c r="V218" s="226" t="inlineStr">
        <is>
          <t>21/04/2026</t>
        </is>
      </c>
    </row>
    <row r="219" ht="15.75" customHeight="1" s="153">
      <c r="A219" s="227" t="n"/>
      <c r="B219" s="228" t="inlineStr">
        <is>
          <t>FRAY CAYETANO 3920</t>
        </is>
      </c>
      <c r="C219" s="229" t="n">
        <v>1</v>
      </c>
      <c r="D219" s="229" t="n"/>
      <c r="E219" s="229" t="n"/>
      <c r="F219" s="230" t="n"/>
      <c r="G219" s="230" t="n"/>
      <c r="H219" s="231" t="n">
        <v>27000</v>
      </c>
      <c r="I219" s="232" t="n"/>
      <c r="J219" s="232" t="n">
        <v>27000</v>
      </c>
      <c r="K219" s="233" t="n"/>
      <c r="L219" s="233">
        <f>IF(K219&lt;&gt;"",12000+K219,12000)</f>
        <v/>
      </c>
      <c r="M219" s="156" t="n"/>
      <c r="N219" s="156" t="n"/>
      <c r="O219" s="156" t="n"/>
      <c r="Q219" s="214" t="inlineStr">
        <is>
          <t>217</t>
        </is>
      </c>
      <c r="R219" s="215" t="inlineStr">
        <is>
          <t>LOPEZ Y PLANES 4585</t>
        </is>
      </c>
      <c r="S219" s="216" t="n">
        <v>25000</v>
      </c>
      <c r="T219" s="236" t="n">
        <v>10000</v>
      </c>
      <c r="U219" s="218" t="n">
        <v>1</v>
      </c>
      <c r="V219" s="219" t="inlineStr">
        <is>
          <t>22/04/2026</t>
        </is>
      </c>
    </row>
    <row r="220" ht="15.75" customHeight="1" s="153">
      <c r="A220" s="237" t="n"/>
      <c r="B220" s="238" t="inlineStr">
        <is>
          <t>IRALA 2865</t>
        </is>
      </c>
      <c r="C220" s="239" t="n">
        <v>1</v>
      </c>
      <c r="D220" s="239" t="n"/>
      <c r="E220" s="239" t="n"/>
      <c r="F220" s="240" t="n"/>
      <c r="G220" s="240" t="n"/>
      <c r="H220" s="241" t="n">
        <v>26500</v>
      </c>
      <c r="I220" s="242" t="n"/>
      <c r="J220" s="242" t="n">
        <v>26500</v>
      </c>
      <c r="K220" s="233" t="n"/>
      <c r="L220" s="233">
        <f>IF(K220&lt;&gt;"",11500+K220,11500)</f>
        <v/>
      </c>
      <c r="M220" s="156" t="n"/>
      <c r="N220" s="156" t="n"/>
      <c r="O220" s="156" t="n"/>
      <c r="Q220" s="221" t="inlineStr">
        <is>
          <t>218</t>
        </is>
      </c>
      <c r="R220" s="222" t="inlineStr">
        <is>
          <t>PEÑALOZA 7716</t>
        </is>
      </c>
      <c r="S220" s="223" t="n">
        <v>25000</v>
      </c>
      <c r="T220" s="224" t="n">
        <v>10000</v>
      </c>
      <c r="U220" s="225" t="n">
        <v>1</v>
      </c>
      <c r="V220" s="226" t="inlineStr">
        <is>
          <t>22/04/2026</t>
        </is>
      </c>
    </row>
    <row r="221" ht="15.75" customHeight="1" s="153">
      <c r="A221" s="227" t="n"/>
      <c r="B221" s="228" t="inlineStr">
        <is>
          <t>GARMENDIA 9250</t>
        </is>
      </c>
      <c r="C221" s="229" t="n"/>
      <c r="D221" s="229" t="n"/>
      <c r="E221" s="229" t="n">
        <v>1</v>
      </c>
      <c r="F221" s="230" t="n"/>
      <c r="G221" s="230" t="n"/>
      <c r="H221" s="231" t="n">
        <v>90000</v>
      </c>
      <c r="I221" s="232" t="n"/>
      <c r="J221" s="232" t="n">
        <v>90000</v>
      </c>
      <c r="K221" s="233" t="n"/>
      <c r="L221" s="233">
        <f>IF(K221&lt;&gt;"",30000+K221,30000)</f>
        <v/>
      </c>
      <c r="M221" s="156" t="n"/>
      <c r="N221" s="156" t="n"/>
      <c r="O221" s="156" t="n"/>
      <c r="Q221" s="214" t="inlineStr">
        <is>
          <t>219</t>
        </is>
      </c>
      <c r="R221" s="215" t="inlineStr">
        <is>
          <t>BONEO 5315</t>
        </is>
      </c>
      <c r="S221" s="216" t="n">
        <v>23500</v>
      </c>
      <c r="T221" s="236" t="n">
        <v>8500</v>
      </c>
      <c r="U221" s="218" t="n">
        <v>1</v>
      </c>
      <c r="V221" s="219" t="inlineStr">
        <is>
          <t>19/04/2026</t>
        </is>
      </c>
    </row>
    <row r="222" ht="15.75" customHeight="1" s="153">
      <c r="A222" s="237" t="n"/>
      <c r="B222" s="238" t="inlineStr">
        <is>
          <t>EXE</t>
        </is>
      </c>
      <c r="C222" s="239" t="n"/>
      <c r="D222" s="239" t="n"/>
      <c r="E222" s="239" t="n">
        <v>1</v>
      </c>
      <c r="F222" s="240" t="n"/>
      <c r="G222" s="240" t="n"/>
      <c r="H222" s="241" t="n">
        <v>82000</v>
      </c>
      <c r="I222" s="242" t="n"/>
      <c r="J222" s="242" t="n">
        <v>22000</v>
      </c>
      <c r="K222" s="233" t="n"/>
      <c r="L222" s="233">
        <f>IF(K222&lt;&gt;"",22000+K222,22000)</f>
        <v/>
      </c>
      <c r="M222" s="156" t="n"/>
      <c r="N222" s="156" t="n"/>
      <c r="O222" s="156" t="n"/>
      <c r="Q222" s="221" t="inlineStr">
        <is>
          <t>220</t>
        </is>
      </c>
      <c r="R222" s="222" t="inlineStr">
        <is>
          <t>PUESTO TORTAS M ZAPATA</t>
        </is>
      </c>
      <c r="S222" s="223" t="n">
        <v>23500</v>
      </c>
      <c r="T222" s="224" t="n">
        <v>8500</v>
      </c>
      <c r="U222" s="225" t="n">
        <v>1</v>
      </c>
      <c r="V222" s="226" t="inlineStr">
        <is>
          <t>07/04/2026</t>
        </is>
      </c>
    </row>
    <row r="223" ht="15.75" customHeight="1" s="153">
      <c r="A223" s="227" t="n"/>
      <c r="B223" s="228" t="inlineStr">
        <is>
          <t>AZCUENAGA 3972</t>
        </is>
      </c>
      <c r="C223" s="229" t="n"/>
      <c r="D223" s="229" t="n"/>
      <c r="E223" s="229" t="n">
        <v>1</v>
      </c>
      <c r="F223" s="230" t="n"/>
      <c r="G223" s="230" t="n"/>
      <c r="H223" s="231" t="n">
        <v>78000</v>
      </c>
      <c r="I223" s="232" t="n">
        <v>78000</v>
      </c>
      <c r="J223" s="232" t="n"/>
      <c r="K223" s="233" t="n"/>
      <c r="L223" s="233">
        <f>IF(K223&lt;&gt;"",18000+K223,18000)</f>
        <v/>
      </c>
      <c r="M223" s="156" t="n"/>
      <c r="N223" s="156" t="n"/>
      <c r="O223" s="156" t="n"/>
      <c r="Q223" s="214" t="inlineStr">
        <is>
          <t>221</t>
        </is>
      </c>
      <c r="R223" s="215" t="inlineStr">
        <is>
          <t>PARRI GABOTO</t>
        </is>
      </c>
      <c r="S223" s="216" t="n">
        <v>23000</v>
      </c>
      <c r="T223" s="236" t="n">
        <v>8000</v>
      </c>
      <c r="U223" s="218" t="n">
        <v>1</v>
      </c>
      <c r="V223" s="219" t="inlineStr">
        <is>
          <t>22/03/2026</t>
        </is>
      </c>
    </row>
    <row r="224" ht="15.75" customHeight="1" s="153">
      <c r="A224" s="237" t="n"/>
      <c r="B224" s="238" t="inlineStr">
        <is>
          <t>J CAMPILLO 3481</t>
        </is>
      </c>
      <c r="C224" s="239" t="n">
        <v>1</v>
      </c>
      <c r="D224" s="239" t="n"/>
      <c r="E224" s="239" t="n"/>
      <c r="F224" s="240" t="n"/>
      <c r="G224" s="240" t="n"/>
      <c r="H224" s="241" t="n">
        <v>27000</v>
      </c>
      <c r="I224" s="242" t="n">
        <v>27000</v>
      </c>
      <c r="J224" s="242" t="n"/>
      <c r="K224" s="233" t="n"/>
      <c r="L224" s="233">
        <f>IF(K224&lt;&gt;"",12000+K224,12000)</f>
        <v/>
      </c>
      <c r="M224" s="156" t="n"/>
      <c r="N224" s="156" t="n"/>
      <c r="O224" s="156" t="n"/>
      <c r="Q224" s="221" t="inlineStr">
        <is>
          <t>222</t>
        </is>
      </c>
      <c r="R224" s="222" t="inlineStr">
        <is>
          <t>IGUALDAD</t>
        </is>
      </c>
      <c r="S224" s="223" t="n">
        <v>23000</v>
      </c>
      <c r="T224" s="224" t="n">
        <v>8000</v>
      </c>
      <c r="U224" s="225" t="n">
        <v>1</v>
      </c>
      <c r="V224" s="226" t="inlineStr">
        <is>
          <t>10/04/2026</t>
        </is>
      </c>
    </row>
    <row r="225" ht="15.75" customHeight="1" s="153">
      <c r="A225" s="227" t="n"/>
      <c r="B225" s="228" t="inlineStr">
        <is>
          <t>RIVADAVIA JUNIOR</t>
        </is>
      </c>
      <c r="C225" s="229" t="n"/>
      <c r="D225" s="229" t="n">
        <v>1</v>
      </c>
      <c r="E225" s="229" t="n"/>
      <c r="F225" s="230" t="n"/>
      <c r="G225" s="230" t="n"/>
      <c r="H225" s="231" t="n">
        <v>40000</v>
      </c>
      <c r="I225" s="232" t="n">
        <v>40000</v>
      </c>
      <c r="J225" s="232" t="n"/>
      <c r="K225" s="233" t="n"/>
      <c r="L225" s="233">
        <f>IF(K225&lt;&gt;"",17500+K225,17500)</f>
        <v/>
      </c>
      <c r="M225" s="156" t="n"/>
      <c r="N225" s="156" t="n"/>
      <c r="O225" s="156" t="n"/>
      <c r="Q225" s="214" t="inlineStr">
        <is>
          <t>223</t>
        </is>
      </c>
      <c r="R225" s="215" t="inlineStr">
        <is>
          <t>PICHI</t>
        </is>
      </c>
      <c r="S225" s="216" t="n">
        <v>23000</v>
      </c>
      <c r="T225" s="236" t="n">
        <v>8000</v>
      </c>
      <c r="U225" s="218" t="n">
        <v>1</v>
      </c>
      <c r="V225" s="219" t="inlineStr">
        <is>
          <t>18/04/2026</t>
        </is>
      </c>
    </row>
    <row r="226" ht="15.75" customHeight="1" s="153">
      <c r="A226" s="237" t="n"/>
      <c r="B226" s="238" t="inlineStr">
        <is>
          <t>JJ VALLE 5511</t>
        </is>
      </c>
      <c r="C226" s="239" t="n">
        <v>1</v>
      </c>
      <c r="D226" s="239" t="n"/>
      <c r="E226" s="239" t="n"/>
      <c r="F226" s="240" t="n"/>
      <c r="G226" s="240" t="n"/>
      <c r="H226" s="241" t="n">
        <v>26000</v>
      </c>
      <c r="I226" s="242" t="n">
        <v>26000</v>
      </c>
      <c r="J226" s="242" t="n"/>
      <c r="K226" s="233" t="n"/>
      <c r="L226" s="233">
        <f>IF(K226&lt;&gt;"",11000+K226,11000)</f>
        <v/>
      </c>
      <c r="M226" s="156" t="n"/>
      <c r="N226" s="156" t="n"/>
      <c r="O226" s="156" t="n"/>
      <c r="Q226" s="221" t="inlineStr">
        <is>
          <t>224</t>
        </is>
      </c>
      <c r="R226" s="222" t="inlineStr">
        <is>
          <t>FRATERNIDAD GUANELLA</t>
        </is>
      </c>
      <c r="S226" s="223" t="n">
        <v>23000</v>
      </c>
      <c r="T226" s="224" t="n">
        <v>8000</v>
      </c>
      <c r="U226" s="225" t="n">
        <v>1</v>
      </c>
      <c r="V226" s="226" t="inlineStr">
        <is>
          <t>08/04/2026</t>
        </is>
      </c>
    </row>
    <row r="227" ht="15.75" customHeight="1" s="153">
      <c r="A227" s="227" t="n"/>
      <c r="B227" s="228" t="inlineStr">
        <is>
          <t>HUERGO 1868</t>
        </is>
      </c>
      <c r="C227" s="229" t="n">
        <v>1</v>
      </c>
      <c r="D227" s="229" t="n"/>
      <c r="E227" s="229" t="n"/>
      <c r="F227" s="230" t="n"/>
      <c r="G227" s="230" t="n"/>
      <c r="H227" s="231" t="n">
        <v>26000</v>
      </c>
      <c r="I227" s="232" t="n">
        <v>26000</v>
      </c>
      <c r="J227" s="232" t="n"/>
      <c r="K227" s="233" t="n"/>
      <c r="L227" s="233">
        <f>IF(K227&lt;&gt;"",11000+K227,11000)</f>
        <v/>
      </c>
      <c r="M227" s="156" t="n"/>
      <c r="N227" s="156" t="n"/>
      <c r="O227" s="156" t="n"/>
      <c r="Q227" s="214" t="inlineStr">
        <is>
          <t>225</t>
        </is>
      </c>
      <c r="R227" s="215" t="inlineStr">
        <is>
          <t>B IRIGOYEN 6854</t>
        </is>
      </c>
      <c r="S227" s="216" t="n">
        <v>23000</v>
      </c>
      <c r="T227" s="236" t="n">
        <v>8000</v>
      </c>
      <c r="U227" s="218" t="n">
        <v>1</v>
      </c>
      <c r="V227" s="219" t="inlineStr">
        <is>
          <t>08/04/2026</t>
        </is>
      </c>
    </row>
    <row r="228" ht="15.75" customHeight="1" s="153">
      <c r="A228" s="237" t="n"/>
      <c r="B228" s="238" t="inlineStr">
        <is>
          <t>PANA VIEYTES GISELA</t>
        </is>
      </c>
      <c r="C228" s="239" t="n">
        <v>1</v>
      </c>
      <c r="D228" s="239" t="n"/>
      <c r="E228" s="239" t="n"/>
      <c r="F228" s="240" t="n"/>
      <c r="G228" s="240" t="n"/>
      <c r="H228" s="241" t="n">
        <v>22000</v>
      </c>
      <c r="I228" s="242" t="n"/>
      <c r="J228" s="242" t="n">
        <v>22000</v>
      </c>
      <c r="K228" s="233" t="n"/>
      <c r="L228" s="233">
        <f>IF(K228&lt;&gt;"",7000+K228,7000)</f>
        <v/>
      </c>
      <c r="M228" s="156" t="n"/>
      <c r="N228" s="156" t="n"/>
      <c r="O228" s="156" t="n"/>
      <c r="Q228" s="221" t="inlineStr">
        <is>
          <t>226</t>
        </is>
      </c>
      <c r="R228" s="222" t="inlineStr">
        <is>
          <t>ARISTOBULO ROTI</t>
        </is>
      </c>
      <c r="S228" s="223" t="n">
        <v>23000</v>
      </c>
      <c r="T228" s="224" t="n">
        <v>8000</v>
      </c>
      <c r="U228" s="225" t="n">
        <v>1</v>
      </c>
      <c r="V228" s="226" t="inlineStr">
        <is>
          <t>11/04/2026</t>
        </is>
      </c>
    </row>
    <row r="229" ht="15.75" customHeight="1" s="153">
      <c r="A229" s="227" t="n"/>
      <c r="B229" s="228" t="inlineStr">
        <is>
          <t>ARGENTA</t>
        </is>
      </c>
      <c r="C229" s="229" t="n">
        <v>1</v>
      </c>
      <c r="D229" s="229" t="n"/>
      <c r="E229" s="229" t="n"/>
      <c r="F229" s="230" t="n"/>
      <c r="G229" s="230" t="n"/>
      <c r="H229" s="231" t="n">
        <v>25000</v>
      </c>
      <c r="I229" s="232" t="n">
        <v>25000</v>
      </c>
      <c r="J229" s="232" t="n"/>
      <c r="K229" s="233" t="n"/>
      <c r="L229" s="233">
        <f>IF(K229&lt;&gt;"",10000+K229,10000)</f>
        <v/>
      </c>
      <c r="M229" s="156" t="n"/>
      <c r="N229" s="156" t="n"/>
      <c r="O229" s="156" t="n"/>
      <c r="Q229" s="214" t="inlineStr">
        <is>
          <t>227</t>
        </is>
      </c>
      <c r="R229" s="215" t="inlineStr">
        <is>
          <t>SABORERAR</t>
        </is>
      </c>
      <c r="S229" s="216" t="n">
        <v>22500</v>
      </c>
      <c r="T229" s="236" t="n">
        <v>7500</v>
      </c>
      <c r="U229" s="218" t="n">
        <v>1</v>
      </c>
      <c r="V229" s="219" t="inlineStr">
        <is>
          <t>03/04/2026</t>
        </is>
      </c>
    </row>
    <row r="230" ht="15.75" customHeight="1" s="153">
      <c r="A230" s="237" t="n">
        <v>46129</v>
      </c>
      <c r="B230" s="238" t="inlineStr">
        <is>
          <t>CAMELI 4860</t>
        </is>
      </c>
      <c r="C230" s="239" t="n">
        <v>1</v>
      </c>
      <c r="D230" s="239" t="n"/>
      <c r="E230" s="239" t="n"/>
      <c r="F230" s="240" t="n"/>
      <c r="G230" s="240" t="n"/>
      <c r="H230" s="241" t="n">
        <v>26000</v>
      </c>
      <c r="I230" s="242" t="n"/>
      <c r="J230" s="242" t="n">
        <v>26000</v>
      </c>
      <c r="K230" s="233" t="n"/>
      <c r="L230" s="233">
        <f>IF(K230&lt;&gt;"",11000+K230,11000)</f>
        <v/>
      </c>
      <c r="M230" s="156" t="n"/>
      <c r="N230" s="156" t="n"/>
      <c r="O230" s="156" t="n"/>
      <c r="Q230" s="221" t="inlineStr">
        <is>
          <t>228</t>
        </is>
      </c>
      <c r="R230" s="222" t="inlineStr">
        <is>
          <t>VIEYTES 4333</t>
        </is>
      </c>
      <c r="S230" s="223" t="n">
        <v>22000</v>
      </c>
      <c r="T230" s="224" t="n">
        <v>7000</v>
      </c>
      <c r="U230" s="225" t="n">
        <v>1</v>
      </c>
      <c r="V230" s="226" t="inlineStr">
        <is>
          <t>18/04/2026</t>
        </is>
      </c>
    </row>
    <row r="231" ht="15.75" customHeight="1" s="153">
      <c r="A231" s="227" t="n"/>
      <c r="B231" s="228" t="inlineStr">
        <is>
          <t>SANTA BAR 1 MAYO 1959</t>
        </is>
      </c>
      <c r="C231" s="229" t="n"/>
      <c r="D231" s="229" t="n"/>
      <c r="E231" s="229" t="n">
        <v>1</v>
      </c>
      <c r="F231" s="230" t="n"/>
      <c r="G231" s="230" t="n"/>
      <c r="H231" s="231" t="n">
        <v>85000</v>
      </c>
      <c r="I231" s="232" t="n"/>
      <c r="J231" s="232" t="n">
        <v>85000</v>
      </c>
      <c r="K231" s="233" t="n"/>
      <c r="L231" s="233">
        <f>IF(K231&lt;&gt;"",25000+K231,25000)</f>
        <v/>
      </c>
      <c r="M231" s="156" t="n"/>
      <c r="N231" s="156" t="n"/>
      <c r="O231" s="156" t="n"/>
      <c r="Q231" s="214" t="inlineStr">
        <is>
          <t>229</t>
        </is>
      </c>
      <c r="R231" s="215" t="inlineStr">
        <is>
          <t>PIZZA TRUCK</t>
        </is>
      </c>
      <c r="S231" s="216" t="n">
        <v>22000</v>
      </c>
      <c r="T231" s="236" t="n">
        <v>7000</v>
      </c>
      <c r="U231" s="218" t="n">
        <v>1</v>
      </c>
      <c r="V231" s="219" t="inlineStr">
        <is>
          <t>19/04/2026</t>
        </is>
      </c>
    </row>
    <row r="232" ht="15.75" customHeight="1" s="153">
      <c r="A232" s="237" t="n"/>
      <c r="B232" s="238" t="inlineStr">
        <is>
          <t>FILOMENA</t>
        </is>
      </c>
      <c r="C232" s="239" t="n">
        <v>3</v>
      </c>
      <c r="D232" s="239" t="n"/>
      <c r="E232" s="239" t="n"/>
      <c r="F232" s="240" t="n"/>
      <c r="G232" s="240" t="n"/>
      <c r="H232" s="241" t="n">
        <v>69000</v>
      </c>
      <c r="I232" s="242" t="n"/>
      <c r="J232" s="242" t="n">
        <v>69000</v>
      </c>
      <c r="K232" s="233" t="n"/>
      <c r="L232" s="233">
        <f>IF(K232&lt;&gt;"",24000+K232,24000)</f>
        <v/>
      </c>
      <c r="M232" s="156" t="n"/>
      <c r="N232" s="156" t="n"/>
      <c r="O232" s="156" t="n"/>
      <c r="Q232" s="221" t="inlineStr">
        <is>
          <t>230</t>
        </is>
      </c>
      <c r="R232" s="222" t="inlineStr">
        <is>
          <t>JUAN AZUAGA</t>
        </is>
      </c>
      <c r="S232" s="223" t="n">
        <v>20000</v>
      </c>
      <c r="T232" s="224" t="n">
        <v>5000</v>
      </c>
      <c r="U232" s="225" t="n">
        <v>1</v>
      </c>
      <c r="V232" s="226" t="inlineStr">
        <is>
          <t>16/04/2026</t>
        </is>
      </c>
    </row>
    <row r="233" ht="15.75" customHeight="1" s="153">
      <c r="A233" s="227" t="n"/>
      <c r="B233" s="228" t="inlineStr">
        <is>
          <t>LUCHO</t>
        </is>
      </c>
      <c r="C233" s="229" t="n">
        <v>2</v>
      </c>
      <c r="D233" s="229" t="n"/>
      <c r="E233" s="229" t="n"/>
      <c r="F233" s="230" t="n"/>
      <c r="G233" s="230" t="n"/>
      <c r="H233" s="231" t="n">
        <v>38000</v>
      </c>
      <c r="I233" s="232" t="n">
        <v>20000</v>
      </c>
      <c r="J233" s="232" t="n">
        <v>18000</v>
      </c>
      <c r="K233" s="233" t="n"/>
      <c r="L233" s="233">
        <f>IF(K233&lt;&gt;"",8000+K233,8000)</f>
        <v/>
      </c>
      <c r="M233" s="156" t="n"/>
      <c r="N233" s="156" t="n"/>
      <c r="O233" s="156" t="n"/>
      <c r="Q233" s="214" t="inlineStr">
        <is>
          <t>231</t>
        </is>
      </c>
      <c r="R233" s="215" t="inlineStr">
        <is>
          <t>USUARIO CALLE</t>
        </is>
      </c>
      <c r="S233" s="216" t="n">
        <v>20000</v>
      </c>
      <c r="T233" s="236" t="n">
        <v>5000</v>
      </c>
      <c r="U233" s="218" t="n">
        <v>1</v>
      </c>
      <c r="V233" s="219" t="inlineStr">
        <is>
          <t>21/04/2026</t>
        </is>
      </c>
    </row>
    <row r="234" ht="15.75" customHeight="1" s="153">
      <c r="A234" s="237" t="n"/>
      <c r="B234" s="238" t="inlineStr">
        <is>
          <t>GARMENDIA 9250</t>
        </is>
      </c>
      <c r="C234" s="239" t="n"/>
      <c r="D234" s="239" t="n"/>
      <c r="E234" s="239" t="n"/>
      <c r="F234" s="240" t="n"/>
      <c r="G234" s="240" t="n">
        <v>2</v>
      </c>
      <c r="H234" s="241" t="n">
        <v>12000</v>
      </c>
      <c r="I234" s="242" t="n"/>
      <c r="J234" s="242" t="n">
        <v>12000</v>
      </c>
      <c r="K234" s="233" t="n"/>
      <c r="L234" s="233">
        <f>IF(K234&lt;&gt;"",10300+K234,10300)</f>
        <v/>
      </c>
      <c r="M234" s="156" t="n"/>
      <c r="N234" s="156" t="n"/>
      <c r="O234" s="156" t="n"/>
      <c r="Q234" s="221" t="inlineStr">
        <is>
          <t>232</t>
        </is>
      </c>
      <c r="R234" s="222" t="inlineStr">
        <is>
          <t>AYACUCHO 5370</t>
        </is>
      </c>
      <c r="S234" s="223" t="n">
        <v>18000</v>
      </c>
      <c r="T234" s="224" t="n">
        <v>15450</v>
      </c>
      <c r="U234" s="225" t="n">
        <v>2</v>
      </c>
      <c r="V234" s="226" t="inlineStr">
        <is>
          <t>16/04/2026</t>
        </is>
      </c>
    </row>
    <row r="235" ht="15.75" customHeight="1" s="153">
      <c r="A235" s="227" t="n"/>
      <c r="B235" s="228" t="inlineStr">
        <is>
          <t>SABOREAR</t>
        </is>
      </c>
      <c r="C235" s="229" t="n">
        <v>1</v>
      </c>
      <c r="D235" s="229" t="n"/>
      <c r="E235" s="229" t="n"/>
      <c r="F235" s="230" t="n"/>
      <c r="G235" s="230" t="n"/>
      <c r="H235" s="231" t="n">
        <v>22500</v>
      </c>
      <c r="I235" s="232" t="n"/>
      <c r="J235" s="232" t="n">
        <v>22500</v>
      </c>
      <c r="K235" s="233" t="n"/>
      <c r="L235" s="233">
        <f>IF(K235&lt;&gt;"",7500+K235,7500)</f>
        <v/>
      </c>
      <c r="M235" s="156" t="n"/>
      <c r="N235" s="156" t="n"/>
      <c r="O235" s="156" t="n"/>
      <c r="Q235" s="214" t="inlineStr">
        <is>
          <t>233</t>
        </is>
      </c>
      <c r="R235" s="215" t="inlineStr">
        <is>
          <t>CAYASTA 4887 MARCE</t>
        </is>
      </c>
      <c r="S235" s="216" t="n">
        <v>15000</v>
      </c>
      <c r="T235" s="236" t="n">
        <v>5800</v>
      </c>
      <c r="U235" s="218" t="n">
        <v>1</v>
      </c>
      <c r="V235" s="219" t="inlineStr">
        <is>
          <t>22/04/2026</t>
        </is>
      </c>
    </row>
    <row r="236" ht="15.75" customHeight="1" s="153">
      <c r="A236" s="237" t="n"/>
      <c r="B236" s="238" t="inlineStr">
        <is>
          <t>CALLEJON FUNES 1883 CARO</t>
        </is>
      </c>
      <c r="C236" s="239" t="n"/>
      <c r="D236" s="239" t="n"/>
      <c r="E236" s="239" t="n">
        <v>1</v>
      </c>
      <c r="F236" s="240" t="n"/>
      <c r="G236" s="240" t="n"/>
      <c r="H236" s="241" t="n">
        <v>85000</v>
      </c>
      <c r="I236" s="242" t="n">
        <v>85000</v>
      </c>
      <c r="J236" s="242" t="n"/>
      <c r="K236" s="233" t="n"/>
      <c r="L236" s="233">
        <f>IF(K236&lt;&gt;"",25000+K236,25000)</f>
        <v/>
      </c>
      <c r="M236" s="156" t="n"/>
      <c r="N236" s="156" t="n"/>
      <c r="O236" s="156" t="n"/>
      <c r="Q236" s="221" t="inlineStr">
        <is>
          <t>234</t>
        </is>
      </c>
      <c r="R236" s="222" t="inlineStr">
        <is>
          <t>BEATRIZ</t>
        </is>
      </c>
      <c r="S236" s="223" t="n">
        <v>12000</v>
      </c>
      <c r="T236" s="224" t="n">
        <v>10300</v>
      </c>
      <c r="U236" s="225" t="n">
        <v>2</v>
      </c>
      <c r="V236" s="226" t="inlineStr">
        <is>
          <t>16/04/2026</t>
        </is>
      </c>
    </row>
    <row r="237" ht="15.75" customHeight="1" s="153">
      <c r="A237" s="227" t="n"/>
      <c r="B237" s="228" t="inlineStr">
        <is>
          <t>VIEYTES 5046</t>
        </is>
      </c>
      <c r="C237" s="229" t="n"/>
      <c r="D237" s="229" t="n"/>
      <c r="E237" s="229" t="n">
        <v>1</v>
      </c>
      <c r="F237" s="230" t="n"/>
      <c r="G237" s="230" t="n"/>
      <c r="H237" s="231" t="n">
        <v>85000</v>
      </c>
      <c r="I237" s="232" t="n">
        <v>85000</v>
      </c>
      <c r="J237" s="232" t="n"/>
      <c r="K237" s="233" t="n"/>
      <c r="L237" s="233">
        <f>IF(K237&lt;&gt;"",25000+K237,25000)</f>
        <v/>
      </c>
      <c r="M237" s="156" t="n"/>
      <c r="N237" s="156" t="n"/>
      <c r="O237" s="156" t="n"/>
      <c r="Q237" s="214" t="inlineStr">
        <is>
          <t>235</t>
        </is>
      </c>
      <c r="R237" s="215" t="inlineStr">
        <is>
          <t>PANA GISELA</t>
        </is>
      </c>
      <c r="S237" s="216" t="n">
        <v>7200</v>
      </c>
      <c r="T237" s="236" t="n">
        <v>2600</v>
      </c>
      <c r="U237" s="218" t="n">
        <v>1</v>
      </c>
      <c r="V237" s="219" t="inlineStr">
        <is>
          <t>11/04/2026</t>
        </is>
      </c>
    </row>
    <row r="238" ht="15.75" customHeight="1" s="153">
      <c r="A238" s="237" t="n"/>
      <c r="B238" s="238" t="inlineStr">
        <is>
          <t xml:space="preserve">ROTI VIEYTES </t>
        </is>
      </c>
      <c r="C238" s="239" t="n"/>
      <c r="D238" s="239" t="n">
        <v>2</v>
      </c>
      <c r="E238" s="239" t="n"/>
      <c r="F238" s="240" t="n"/>
      <c r="G238" s="240" t="n"/>
      <c r="H238" s="241" t="n">
        <v>61000</v>
      </c>
      <c r="I238" s="242" t="n"/>
      <c r="J238" s="242" t="n">
        <v>61000</v>
      </c>
      <c r="K238" s="233" t="n"/>
      <c r="L238" s="233">
        <f>IF(K238&lt;&gt;"",16000+K238,16000)</f>
        <v/>
      </c>
      <c r="M238" s="156" t="n"/>
      <c r="N238" s="156" t="n"/>
      <c r="O238" s="156" t="n"/>
      <c r="Q238" s="221" t="inlineStr">
        <is>
          <t>236</t>
        </is>
      </c>
      <c r="R238" s="222" t="inlineStr">
        <is>
          <t>ALE</t>
        </is>
      </c>
      <c r="S238" s="223" t="n">
        <v>6000</v>
      </c>
      <c r="T238" s="224" t="n">
        <v>5150</v>
      </c>
      <c r="U238" s="225" t="n">
        <v>1</v>
      </c>
      <c r="V238" s="226" t="inlineStr">
        <is>
          <t>18/04/2026</t>
        </is>
      </c>
    </row>
    <row r="239" ht="15.75" customHeight="1" s="153">
      <c r="A239" s="227" t="n"/>
      <c r="B239" s="228" t="inlineStr">
        <is>
          <t>7 JEFES 4525</t>
        </is>
      </c>
      <c r="C239" s="229" t="n"/>
      <c r="D239" s="229" t="n"/>
      <c r="E239" s="229" t="n">
        <v>1</v>
      </c>
      <c r="F239" s="230" t="n"/>
      <c r="G239" s="230" t="n"/>
      <c r="H239" s="231" t="n">
        <v>84000</v>
      </c>
      <c r="I239" s="232" t="n">
        <v>84000</v>
      </c>
      <c r="J239" s="232" t="n"/>
      <c r="K239" s="233" t="n"/>
      <c r="L239" s="233">
        <f>IF(K239&lt;&gt;"",24000+K239,24000)</f>
        <v/>
      </c>
      <c r="M239" s="156" t="n"/>
      <c r="N239" s="156" t="n"/>
      <c r="O239" s="156" t="n"/>
      <c r="Q239" s="214" t="inlineStr">
        <is>
          <t>237</t>
        </is>
      </c>
      <c r="R239" s="215" t="inlineStr">
        <is>
          <t>LUCHIO</t>
        </is>
      </c>
      <c r="S239" s="216" t="n">
        <v>6000</v>
      </c>
      <c r="T239" s="236" t="n">
        <v>5150</v>
      </c>
      <c r="U239" s="218" t="n">
        <v>1</v>
      </c>
      <c r="V239" s="219" t="inlineStr">
        <is>
          <t>01/04/2026</t>
        </is>
      </c>
    </row>
    <row r="240" ht="15.75" customHeight="1" s="153">
      <c r="A240" s="237" t="n"/>
      <c r="B240" s="238" t="inlineStr">
        <is>
          <t>CASANELLO 2128</t>
        </is>
      </c>
      <c r="C240" s="239" t="n"/>
      <c r="D240" s="239" t="n">
        <v>1</v>
      </c>
      <c r="E240" s="239" t="n"/>
      <c r="F240" s="240" t="n"/>
      <c r="G240" s="240" t="n"/>
      <c r="H240" s="241" t="n">
        <v>35500</v>
      </c>
      <c r="I240" s="242" t="n"/>
      <c r="J240" s="242" t="n">
        <v>35500</v>
      </c>
      <c r="K240" s="233" t="n"/>
      <c r="L240" s="233">
        <f>IF(K240&lt;&gt;"",13000+K240,13000)</f>
        <v/>
      </c>
      <c r="M240" s="156" t="n"/>
      <c r="N240" s="156" t="n"/>
      <c r="O240" s="156" t="n"/>
      <c r="Q240" s="221" t="n"/>
      <c r="R240" s="222" t="n"/>
      <c r="S240" s="223" t="n"/>
      <c r="T240" s="224" t="n"/>
      <c r="U240" s="225" t="n"/>
      <c r="V240" s="226" t="n"/>
    </row>
    <row r="241" ht="15.75" customHeight="1" s="153">
      <c r="A241" s="227" t="n"/>
      <c r="B241" s="228" t="inlineStr">
        <is>
          <t>PEDRO ESPINOSA 3169</t>
        </is>
      </c>
      <c r="C241" s="229" t="n"/>
      <c r="D241" s="229" t="n"/>
      <c r="E241" s="229" t="n">
        <v>1</v>
      </c>
      <c r="F241" s="230" t="n"/>
      <c r="G241" s="230" t="n"/>
      <c r="H241" s="231" t="n">
        <v>84000</v>
      </c>
      <c r="I241" s="232" t="n"/>
      <c r="J241" s="232" t="n">
        <v>84000</v>
      </c>
      <c r="K241" s="233" t="n"/>
      <c r="L241" s="233">
        <f>IF(K241&lt;&gt;"",24000+K241,24000)</f>
        <v/>
      </c>
      <c r="M241" s="156" t="n"/>
      <c r="N241" s="156" t="n"/>
      <c r="O241" s="156" t="n"/>
      <c r="Q241" s="214" t="n"/>
      <c r="R241" s="215" t="n"/>
      <c r="S241" s="216" t="n"/>
      <c r="T241" s="236" t="n"/>
      <c r="U241" s="218" t="n"/>
      <c r="V241" s="219" t="n"/>
    </row>
    <row r="242" ht="15.75" customHeight="1" s="153">
      <c r="A242" s="237" t="n"/>
      <c r="B242" s="238" t="inlineStr">
        <is>
          <t>ROTI AGUADO</t>
        </is>
      </c>
      <c r="C242" s="239" t="n"/>
      <c r="D242" s="239" t="n"/>
      <c r="E242" s="239" t="n">
        <v>1</v>
      </c>
      <c r="F242" s="240" t="n"/>
      <c r="G242" s="240" t="n"/>
      <c r="H242" s="241" t="n">
        <v>82000</v>
      </c>
      <c r="I242" s="242" t="n"/>
      <c r="J242" s="242" t="n">
        <v>82000</v>
      </c>
      <c r="K242" s="233" t="n"/>
      <c r="L242" s="233">
        <f>IF(K242&lt;&gt;"",22000+K242,22000)</f>
        <v/>
      </c>
      <c r="M242" s="156" t="n"/>
      <c r="N242" s="156" t="n"/>
      <c r="O242" s="156" t="n"/>
      <c r="Q242" s="221" t="n"/>
      <c r="R242" s="222" t="n"/>
      <c r="S242" s="223" t="n"/>
      <c r="T242" s="224" t="n"/>
      <c r="U242" s="225" t="n"/>
      <c r="V242" s="226" t="n"/>
    </row>
    <row r="243" ht="15.75" customHeight="1" s="153">
      <c r="A243" s="227" t="n"/>
      <c r="B243" s="228" t="inlineStr">
        <is>
          <t>CAREN</t>
        </is>
      </c>
      <c r="C243" s="229" t="n"/>
      <c r="D243" s="229" t="n"/>
      <c r="E243" s="229" t="n">
        <v>1</v>
      </c>
      <c r="F243" s="230" t="n"/>
      <c r="G243" s="230" t="n"/>
      <c r="H243" s="231" t="n">
        <v>82000</v>
      </c>
      <c r="I243" s="232" t="n"/>
      <c r="J243" s="232" t="n">
        <v>82000</v>
      </c>
      <c r="K243" s="233" t="n"/>
      <c r="L243" s="233">
        <f>IF(K243&lt;&gt;"",22000+K243,22000)</f>
        <v/>
      </c>
      <c r="M243" s="156" t="n"/>
      <c r="N243" s="156" t="n"/>
      <c r="O243" s="156" t="n"/>
      <c r="Q243" s="214" t="n"/>
      <c r="R243" s="215" t="n"/>
      <c r="S243" s="216" t="n"/>
      <c r="T243" s="236" t="n"/>
      <c r="U243" s="218" t="n"/>
      <c r="V243" s="219" t="n"/>
    </row>
    <row r="244" ht="18.75" customHeight="1" s="153">
      <c r="A244" s="237" t="n"/>
      <c r="B244" s="238" t="inlineStr">
        <is>
          <t>S BAYO 7165</t>
        </is>
      </c>
      <c r="C244" s="239" t="n"/>
      <c r="D244" s="239" t="n"/>
      <c r="E244" s="239" t="n">
        <v>1</v>
      </c>
      <c r="F244" s="240" t="n"/>
      <c r="G244" s="240" t="n"/>
      <c r="H244" s="241" t="n">
        <v>89000</v>
      </c>
      <c r="I244" s="242" t="n"/>
      <c r="J244" s="242" t="n">
        <v>89000</v>
      </c>
      <c r="K244" s="233" t="n"/>
      <c r="L244" s="233">
        <f>IF(K244&lt;&gt;"",29000+K244,29000)</f>
        <v/>
      </c>
      <c r="M244" s="156" t="n"/>
      <c r="N244" s="156" t="n"/>
      <c r="O244" s="156" t="n"/>
    </row>
    <row r="245" ht="18.75" customHeight="1" s="153">
      <c r="A245" s="227" t="n"/>
      <c r="B245" s="228" t="inlineStr">
        <is>
          <t>PORKIS</t>
        </is>
      </c>
      <c r="C245" s="229" t="n">
        <v>1</v>
      </c>
      <c r="D245" s="229" t="n"/>
      <c r="E245" s="229" t="n"/>
      <c r="F245" s="230" t="n"/>
      <c r="G245" s="230" t="n"/>
      <c r="H245" s="231" t="n">
        <v>23000</v>
      </c>
      <c r="I245" s="232" t="n"/>
      <c r="J245" s="232" t="n">
        <v>23000</v>
      </c>
      <c r="K245" s="233" t="n"/>
      <c r="L245" s="233">
        <f>IF(K245&lt;&gt;"",8000+K245,8000)</f>
        <v/>
      </c>
      <c r="M245" s="156" t="n"/>
      <c r="N245" s="156" t="n"/>
      <c r="O245" s="156" t="n"/>
    </row>
    <row r="246" ht="18.75" customHeight="1" s="153">
      <c r="A246" s="237" t="n">
        <v>46130</v>
      </c>
      <c r="B246" s="238" t="inlineStr">
        <is>
          <t>ROTI ARISTOBULO</t>
        </is>
      </c>
      <c r="C246" s="239" t="n"/>
      <c r="D246" s="239" t="n">
        <v>1</v>
      </c>
      <c r="E246" s="239" t="n"/>
      <c r="F246" s="240" t="n"/>
      <c r="G246" s="240" t="n"/>
      <c r="H246" s="241" t="n">
        <v>33500</v>
      </c>
      <c r="I246" s="242" t="n"/>
      <c r="J246" s="242" t="n">
        <v>33500</v>
      </c>
      <c r="K246" s="233" t="n"/>
      <c r="L246" s="233">
        <f>IF(K246&lt;&gt;"",11000+K246,11000)</f>
        <v/>
      </c>
      <c r="M246" s="156" t="n"/>
      <c r="N246" s="156" t="n"/>
      <c r="O246" s="156" t="n"/>
    </row>
    <row r="247" ht="18.75" customHeight="1" s="153">
      <c r="A247" s="227" t="n"/>
      <c r="B247" s="228" t="inlineStr">
        <is>
          <t>VIEYTES 4333</t>
        </is>
      </c>
      <c r="C247" s="229" t="n">
        <v>1</v>
      </c>
      <c r="D247" s="229" t="n"/>
      <c r="E247" s="229" t="n"/>
      <c r="F247" s="230" t="n"/>
      <c r="G247" s="230" t="n"/>
      <c r="H247" s="231" t="n">
        <v>22000</v>
      </c>
      <c r="I247" s="232" t="n">
        <v>22000</v>
      </c>
      <c r="J247" s="232" t="n"/>
      <c r="K247" s="233" t="n"/>
      <c r="L247" s="233">
        <f>IF(K247&lt;&gt;"",7000+K247,7000)</f>
        <v/>
      </c>
      <c r="M247" s="156" t="n"/>
      <c r="N247" s="156" t="n"/>
      <c r="O247" s="156" t="n"/>
    </row>
    <row r="248" ht="18.75" customHeight="1" s="153">
      <c r="A248" s="237" t="n"/>
      <c r="B248" s="238" t="inlineStr">
        <is>
          <t xml:space="preserve">IRMA </t>
        </is>
      </c>
      <c r="C248" s="239" t="n">
        <v>1</v>
      </c>
      <c r="D248" s="239" t="n"/>
      <c r="E248" s="239" t="n"/>
      <c r="F248" s="240" t="n"/>
      <c r="G248" s="240" t="n"/>
      <c r="H248" s="241" t="n">
        <v>26000</v>
      </c>
      <c r="I248" s="242" t="n">
        <v>26000</v>
      </c>
      <c r="J248" s="242" t="n"/>
      <c r="K248" s="233" t="n"/>
      <c r="L248" s="233">
        <f>IF(K248&lt;&gt;"",11000+K248,11000)</f>
        <v/>
      </c>
      <c r="M248" s="156" t="n"/>
      <c r="N248" s="156" t="n"/>
      <c r="O248" s="156" t="n"/>
    </row>
    <row r="249" ht="18.75" customHeight="1" s="153">
      <c r="A249" s="227" t="n"/>
      <c r="B249" s="228" t="inlineStr">
        <is>
          <t>ALE</t>
        </is>
      </c>
      <c r="C249" s="229" t="n"/>
      <c r="D249" s="229" t="n"/>
      <c r="E249" s="229" t="n"/>
      <c r="F249" s="230" t="n"/>
      <c r="G249" s="230" t="n">
        <v>1</v>
      </c>
      <c r="H249" s="231" t="n">
        <v>6000</v>
      </c>
      <c r="I249" s="232" t="n">
        <v>6000</v>
      </c>
      <c r="J249" s="232" t="n"/>
      <c r="K249" s="233" t="n"/>
      <c r="L249" s="233">
        <f>IF(K249&lt;&gt;"",5150+K249,5150)</f>
        <v/>
      </c>
      <c r="M249" s="156" t="n"/>
      <c r="N249" s="156" t="n"/>
      <c r="O249" s="156" t="n"/>
    </row>
    <row r="250" ht="18.75" customHeight="1" s="153">
      <c r="A250" s="237" t="n"/>
      <c r="B250" s="238" t="inlineStr">
        <is>
          <t>COGORNP 5520</t>
        </is>
      </c>
      <c r="C250" s="239" t="n">
        <v>6</v>
      </c>
      <c r="D250" s="239" t="n"/>
      <c r="E250" s="239" t="n"/>
      <c r="F250" s="240" t="n"/>
      <c r="G250" s="240" t="n"/>
      <c r="H250" s="241" t="n">
        <v>114000</v>
      </c>
      <c r="I250" s="242" t="n"/>
      <c r="J250" s="242" t="n">
        <v>114000</v>
      </c>
      <c r="K250" s="233" t="n"/>
      <c r="L250" s="233">
        <f>IF(K250&lt;&gt;"",24000+K250,24000)</f>
        <v/>
      </c>
      <c r="M250" s="156" t="n"/>
      <c r="N250" s="156" t="n"/>
      <c r="O250" s="156" t="n"/>
    </row>
    <row r="251" ht="18.75" customHeight="1" s="153">
      <c r="A251" s="227" t="n"/>
      <c r="B251" s="228" t="inlineStr">
        <is>
          <t>BRASERIA</t>
        </is>
      </c>
      <c r="C251" s="229" t="n"/>
      <c r="D251" s="229" t="n"/>
      <c r="E251" s="229" t="n">
        <v>1</v>
      </c>
      <c r="F251" s="230" t="n"/>
      <c r="G251" s="230" t="n"/>
      <c r="H251" s="231" t="n">
        <v>83000</v>
      </c>
      <c r="I251" s="232" t="n"/>
      <c r="J251" s="232" t="n">
        <v>83000</v>
      </c>
      <c r="K251" s="233" t="n"/>
      <c r="L251" s="233">
        <f>IF(K251&lt;&gt;"",23000+K251,23000)</f>
        <v/>
      </c>
      <c r="M251" s="156" t="n"/>
      <c r="N251" s="156" t="n"/>
      <c r="O251" s="156" t="n"/>
    </row>
    <row r="252" ht="18.75" customHeight="1" s="153">
      <c r="A252" s="237" t="n"/>
      <c r="B252" s="238" t="inlineStr">
        <is>
          <t>PICHI</t>
        </is>
      </c>
      <c r="C252" s="239" t="n">
        <v>1</v>
      </c>
      <c r="D252" s="239" t="n"/>
      <c r="E252" s="239" t="n"/>
      <c r="F252" s="240" t="n"/>
      <c r="G252" s="240" t="n"/>
      <c r="H252" s="241" t="n">
        <v>23000</v>
      </c>
      <c r="I252" s="242" t="n">
        <v>11000</v>
      </c>
      <c r="J252" s="242" t="n">
        <v>12000</v>
      </c>
      <c r="K252" s="233" t="n"/>
      <c r="L252" s="233">
        <f>IF(K252&lt;&gt;"",8000+K252,8000)</f>
        <v/>
      </c>
      <c r="M252" s="156" t="n"/>
      <c r="N252" s="156" t="n"/>
      <c r="O252" s="156" t="n"/>
    </row>
    <row r="253" ht="18.75" customHeight="1" s="153">
      <c r="A253" s="227" t="n"/>
      <c r="B253" s="228" t="inlineStr">
        <is>
          <t>INGENIERO 6866</t>
        </is>
      </c>
      <c r="C253" s="229" t="n">
        <v>1</v>
      </c>
      <c r="D253" s="229" t="n"/>
      <c r="E253" s="229" t="n"/>
      <c r="F253" s="230" t="n"/>
      <c r="G253" s="230" t="n"/>
      <c r="H253" s="231" t="n">
        <v>25000</v>
      </c>
      <c r="I253" s="232" t="n"/>
      <c r="J253" s="232" t="n">
        <v>25000</v>
      </c>
      <c r="K253" s="233" t="n"/>
      <c r="L253" s="233">
        <f>IF(K253&lt;&gt;"",10000+K253,10000)</f>
        <v/>
      </c>
      <c r="M253" s="156" t="n"/>
      <c r="N253" s="156" t="n"/>
      <c r="O253" s="156" t="n"/>
    </row>
    <row r="254" ht="18.75" customHeight="1" s="153">
      <c r="A254" s="237" t="n"/>
      <c r="B254" s="238" t="inlineStr">
        <is>
          <t>FILOMENA</t>
        </is>
      </c>
      <c r="C254" s="239" t="n">
        <v>2</v>
      </c>
      <c r="D254" s="239" t="n"/>
      <c r="E254" s="239" t="n"/>
      <c r="F254" s="240" t="n"/>
      <c r="G254" s="240" t="n"/>
      <c r="H254" s="241" t="n">
        <v>46000</v>
      </c>
      <c r="I254" s="242" t="n"/>
      <c r="J254" s="242" t="n">
        <v>46000</v>
      </c>
      <c r="K254" s="233" t="n"/>
      <c r="L254" s="233">
        <f>IF(K254&lt;&gt;"",16000+K254,16000)</f>
        <v/>
      </c>
      <c r="M254" s="156" t="n"/>
      <c r="N254" s="156" t="n"/>
      <c r="O254" s="156" t="n"/>
    </row>
    <row r="255" ht="18.75" customHeight="1" s="153">
      <c r="A255" s="227" t="n"/>
      <c r="B255" s="228" t="inlineStr">
        <is>
          <t>HUERGO 4365</t>
        </is>
      </c>
      <c r="C255" s="229" t="n">
        <v>1</v>
      </c>
      <c r="D255" s="229" t="n"/>
      <c r="E255" s="229" t="n"/>
      <c r="F255" s="230" t="n"/>
      <c r="G255" s="230" t="n"/>
      <c r="H255" s="231" t="n">
        <v>25000</v>
      </c>
      <c r="I255" s="232" t="n"/>
      <c r="J255" s="232" t="n">
        <v>25000</v>
      </c>
      <c r="K255" s="233" t="n"/>
      <c r="L255" s="233">
        <f>IF(K255&lt;&gt;"",10000+K255,10000)</f>
        <v/>
      </c>
      <c r="M255" s="156" t="n"/>
      <c r="N255" s="156" t="n"/>
      <c r="O255" s="156" t="n"/>
    </row>
    <row r="256" ht="18.75" customHeight="1" s="153">
      <c r="A256" s="237" t="n"/>
      <c r="B256" s="238" t="inlineStr">
        <is>
          <t>1 DE MAYO 8361</t>
        </is>
      </c>
      <c r="C256" s="239" t="n">
        <v>1</v>
      </c>
      <c r="D256" s="239" t="n"/>
      <c r="E256" s="239" t="n"/>
      <c r="F256" s="240" t="n"/>
      <c r="G256" s="240" t="n"/>
      <c r="H256" s="241" t="n">
        <v>26000</v>
      </c>
      <c r="I256" s="242" t="n">
        <v>26000</v>
      </c>
      <c r="J256" s="242" t="n"/>
      <c r="K256" s="233" t="n"/>
      <c r="L256" s="233">
        <f>IF(K256&lt;&gt;"",11000+K256,11000)</f>
        <v/>
      </c>
      <c r="M256" s="156" t="n"/>
      <c r="N256" s="156" t="n"/>
      <c r="O256" s="156" t="n"/>
    </row>
    <row r="257" ht="18.75" customHeight="1" s="153">
      <c r="A257" s="227" t="n"/>
      <c r="B257" s="228" t="inlineStr">
        <is>
          <t>PANADERIA BAGUETE</t>
        </is>
      </c>
      <c r="C257" s="229" t="n"/>
      <c r="D257" s="229" t="n"/>
      <c r="E257" s="229" t="n">
        <v>1</v>
      </c>
      <c r="F257" s="230" t="n"/>
      <c r="G257" s="230" t="n"/>
      <c r="H257" s="231" t="n">
        <v>75000</v>
      </c>
      <c r="I257" s="232" t="n"/>
      <c r="J257" s="232" t="n">
        <v>75000</v>
      </c>
      <c r="K257" s="233" t="n"/>
      <c r="L257" s="233">
        <f>IF(K257&lt;&gt;"",15000+K257,15000)</f>
        <v/>
      </c>
      <c r="M257" s="156" t="n"/>
      <c r="N257" s="156" t="n"/>
      <c r="O257" s="156" t="n"/>
    </row>
    <row r="258" ht="18.75" customHeight="1" s="153">
      <c r="A258" s="237" t="n"/>
      <c r="B258" s="238" t="inlineStr">
        <is>
          <t>LA PAZ 4556</t>
        </is>
      </c>
      <c r="C258" s="239" t="n">
        <v>1</v>
      </c>
      <c r="D258" s="239" t="n"/>
      <c r="E258" s="239" t="n"/>
      <c r="F258" s="240" t="n"/>
      <c r="G258" s="240" t="n"/>
      <c r="H258" s="241" t="n">
        <v>25000</v>
      </c>
      <c r="I258" s="242" t="n"/>
      <c r="J258" s="242" t="n">
        <v>25000</v>
      </c>
      <c r="K258" s="233" t="n"/>
      <c r="L258" s="233">
        <f>IF(K258&lt;&gt;"",10000+K258,10000)</f>
        <v/>
      </c>
      <c r="M258" s="156" t="n"/>
      <c r="N258" s="156" t="n"/>
      <c r="O258" s="156" t="n"/>
    </row>
    <row r="259" ht="18.75" customHeight="1" s="153">
      <c r="A259" s="227" t="n">
        <v>46131</v>
      </c>
      <c r="B259" s="228" t="inlineStr">
        <is>
          <t>DOMINGO SILVA 4217</t>
        </is>
      </c>
      <c r="C259" s="229" t="n">
        <v>4</v>
      </c>
      <c r="D259" s="229" t="n"/>
      <c r="E259" s="229" t="n"/>
      <c r="F259" s="230" t="n"/>
      <c r="G259" s="230" t="n"/>
      <c r="H259" s="231" t="n">
        <v>76000</v>
      </c>
      <c r="I259" s="232" t="n"/>
      <c r="J259" s="232" t="n">
        <v>76000</v>
      </c>
      <c r="K259" s="233" t="n"/>
      <c r="L259" s="233">
        <f>IF(K259&lt;&gt;"",16000+K259,16000)</f>
        <v/>
      </c>
      <c r="M259" s="156" t="n"/>
      <c r="N259" s="156" t="n"/>
      <c r="O259" s="156" t="n"/>
    </row>
    <row r="260" ht="18.75" customHeight="1" s="153">
      <c r="A260" s="237" t="n"/>
      <c r="B260" s="238" t="inlineStr">
        <is>
          <t>LUCHO</t>
        </is>
      </c>
      <c r="C260" s="239" t="n">
        <v>1</v>
      </c>
      <c r="D260" s="239" t="n"/>
      <c r="E260" s="239" t="n"/>
      <c r="F260" s="240" t="n"/>
      <c r="G260" s="240" t="n"/>
      <c r="H260" s="241" t="n">
        <v>19000</v>
      </c>
      <c r="I260" s="242" t="n">
        <v>19000</v>
      </c>
      <c r="J260" s="242" t="n"/>
      <c r="K260" s="233" t="n"/>
      <c r="L260" s="233">
        <f>IF(K260&lt;&gt;"",4000+K260,4000)</f>
        <v/>
      </c>
      <c r="M260" s="156" t="n"/>
      <c r="N260" s="156" t="n"/>
      <c r="O260" s="156" t="n"/>
    </row>
    <row r="261" ht="18.75" customHeight="1" s="153">
      <c r="A261" s="227" t="n"/>
      <c r="B261" s="228" t="inlineStr">
        <is>
          <t>DANA</t>
        </is>
      </c>
      <c r="C261" s="229" t="n">
        <v>3</v>
      </c>
      <c r="D261" s="229" t="n"/>
      <c r="E261" s="229" t="n"/>
      <c r="F261" s="230" t="n"/>
      <c r="G261" s="230" t="n"/>
      <c r="H261" s="231" t="n">
        <v>57000</v>
      </c>
      <c r="I261" s="232" t="n"/>
      <c r="J261" s="232" t="n">
        <v>57000</v>
      </c>
      <c r="K261" s="233" t="n"/>
      <c r="L261" s="233">
        <f>IF(K261&lt;&gt;"",12000+K261,12000)</f>
        <v/>
      </c>
      <c r="M261" s="156" t="n"/>
      <c r="N261" s="156" t="n"/>
      <c r="O261" s="156" t="n"/>
    </row>
    <row r="262" ht="18.75" customHeight="1" s="153">
      <c r="A262" s="237" t="n"/>
      <c r="B262" s="238" t="inlineStr">
        <is>
          <t>FRAY CAYETANO 3813</t>
        </is>
      </c>
      <c r="C262" s="239" t="n"/>
      <c r="D262" s="239" t="n"/>
      <c r="E262" s="239" t="n">
        <v>1</v>
      </c>
      <c r="F262" s="240" t="n"/>
      <c r="G262" s="240" t="n"/>
      <c r="H262" s="241" t="n">
        <v>90000</v>
      </c>
      <c r="I262" s="242" t="n">
        <v>90000</v>
      </c>
      <c r="J262" s="242" t="n"/>
      <c r="K262" s="233" t="n"/>
      <c r="L262" s="233">
        <f>IF(K262&lt;&gt;"",30000+K262,30000)</f>
        <v/>
      </c>
      <c r="M262" s="156" t="n"/>
      <c r="N262" s="156" t="n"/>
      <c r="O262" s="156" t="n"/>
    </row>
    <row r="263" ht="18.75" customHeight="1" s="153">
      <c r="A263" s="227" t="n"/>
      <c r="B263" s="228" t="inlineStr">
        <is>
          <t>BONEO 5315</t>
        </is>
      </c>
      <c r="C263" s="229" t="n">
        <v>1</v>
      </c>
      <c r="D263" s="229" t="n"/>
      <c r="E263" s="229" t="n"/>
      <c r="F263" s="230" t="n"/>
      <c r="G263" s="230" t="n"/>
      <c r="H263" s="231" t="n">
        <v>23500</v>
      </c>
      <c r="I263" s="232" t="n">
        <v>23500</v>
      </c>
      <c r="J263" s="232" t="n"/>
      <c r="K263" s="233" t="n"/>
      <c r="L263" s="233">
        <f>IF(K263&lt;&gt;"",8500+K263,8500)</f>
        <v/>
      </c>
      <c r="M263" s="156" t="n"/>
      <c r="N263" s="156" t="n"/>
      <c r="O263" s="156" t="n"/>
    </row>
    <row r="264" ht="18.75" customHeight="1" s="153">
      <c r="A264" s="237" t="n"/>
      <c r="B264" s="238" t="inlineStr">
        <is>
          <t>ALMONACID 4248</t>
        </is>
      </c>
      <c r="C264" s="239" t="n">
        <v>1</v>
      </c>
      <c r="D264" s="239" t="n"/>
      <c r="E264" s="239" t="n"/>
      <c r="F264" s="240" t="n"/>
      <c r="G264" s="240" t="n"/>
      <c r="H264" s="241" t="n">
        <v>26000</v>
      </c>
      <c r="I264" s="242" t="n">
        <v>26000</v>
      </c>
      <c r="J264" s="242" t="n"/>
      <c r="K264" s="233" t="n"/>
      <c r="L264" s="233">
        <f>IF(K264&lt;&gt;"",11000+K264,11000)</f>
        <v/>
      </c>
      <c r="M264" s="156" t="n"/>
      <c r="N264" s="156" t="n"/>
      <c r="O264" s="156" t="n"/>
    </row>
    <row r="265" ht="18.75" customHeight="1" s="153">
      <c r="A265" s="227" t="n"/>
      <c r="B265" s="228" t="inlineStr">
        <is>
          <t>EXE</t>
        </is>
      </c>
      <c r="C265" s="229" t="n"/>
      <c r="D265" s="229" t="n"/>
      <c r="E265" s="229" t="n">
        <v>1</v>
      </c>
      <c r="F265" s="230" t="n"/>
      <c r="G265" s="230" t="n"/>
      <c r="H265" s="231" t="n">
        <v>82000</v>
      </c>
      <c r="I265" s="232" t="n"/>
      <c r="J265" s="232" t="n">
        <v>82000</v>
      </c>
      <c r="K265" s="233" t="n"/>
      <c r="L265" s="233">
        <f>IF(K265&lt;&gt;"",22000+K265,22000)</f>
        <v/>
      </c>
      <c r="M265" s="156" t="n"/>
      <c r="N265" s="156" t="n"/>
      <c r="O265" s="156" t="n"/>
    </row>
    <row r="266" ht="18.75" customHeight="1" s="153">
      <c r="A266" s="237" t="n"/>
      <c r="B266" s="238" t="inlineStr">
        <is>
          <t>PORKIS</t>
        </is>
      </c>
      <c r="C266" s="239" t="n"/>
      <c r="D266" s="239" t="n"/>
      <c r="E266" s="239" t="n">
        <v>1</v>
      </c>
      <c r="F266" s="240" t="n"/>
      <c r="G266" s="240" t="n"/>
      <c r="H266" s="241" t="n">
        <v>82000</v>
      </c>
      <c r="I266" s="242" t="n"/>
      <c r="J266" s="242" t="n">
        <v>82000</v>
      </c>
      <c r="K266" s="233" t="n"/>
      <c r="L266" s="233">
        <f>IF(K266&lt;&gt;"",22000+K266,22000)</f>
        <v/>
      </c>
      <c r="M266" s="156" t="n"/>
      <c r="N266" s="156" t="n"/>
      <c r="O266" s="156" t="n"/>
    </row>
    <row r="267" ht="18.75" customHeight="1" s="153">
      <c r="A267" s="227" t="n"/>
      <c r="B267" s="228" t="inlineStr">
        <is>
          <t>PIZZA TRUCK</t>
        </is>
      </c>
      <c r="C267" s="229" t="n">
        <v>1</v>
      </c>
      <c r="D267" s="229" t="n"/>
      <c r="E267" s="229" t="n"/>
      <c r="F267" s="230" t="n"/>
      <c r="G267" s="230" t="n"/>
      <c r="H267" s="231" t="n">
        <v>22000</v>
      </c>
      <c r="I267" s="232" t="n"/>
      <c r="J267" s="232" t="n">
        <v>22000</v>
      </c>
      <c r="K267" s="233" t="n"/>
      <c r="L267" s="233">
        <f>IF(K267&lt;&gt;"",7000+K267,7000)</f>
        <v/>
      </c>
      <c r="M267" s="156" t="n"/>
      <c r="N267" s="156" t="n"/>
      <c r="O267" s="156" t="n"/>
    </row>
    <row r="268" ht="18.75" customHeight="1" s="153">
      <c r="A268" s="237" t="n">
        <v>46132</v>
      </c>
      <c r="B268" s="238" t="inlineStr">
        <is>
          <t>JUAN DE GARAY 3453</t>
        </is>
      </c>
      <c r="C268" s="239" t="n">
        <v>1</v>
      </c>
      <c r="D268" s="239" t="n"/>
      <c r="E268" s="239" t="n"/>
      <c r="F268" s="240" t="n"/>
      <c r="G268" s="240" t="n"/>
      <c r="H268" s="241" t="n">
        <v>26000</v>
      </c>
      <c r="I268" s="242" t="n">
        <v>26000</v>
      </c>
      <c r="J268" s="242" t="n"/>
      <c r="K268" s="233" t="n"/>
      <c r="L268" s="233">
        <f>IF(K268&lt;&gt;"",11000+K268,11000)</f>
        <v/>
      </c>
      <c r="M268" s="156" t="n"/>
      <c r="N268" s="156" t="n"/>
      <c r="O268" s="156" t="n"/>
    </row>
    <row r="269" ht="18.75" customHeight="1" s="153">
      <c r="A269" s="227" t="n"/>
      <c r="B269" s="228" t="inlineStr">
        <is>
          <t>NOGALES 3462</t>
        </is>
      </c>
      <c r="C269" s="229" t="n"/>
      <c r="D269" s="229" t="n">
        <v>1</v>
      </c>
      <c r="E269" s="229" t="n"/>
      <c r="F269" s="230" t="n"/>
      <c r="G269" s="230" t="n"/>
      <c r="H269" s="231" t="n">
        <v>39000</v>
      </c>
      <c r="I269" s="232" t="n">
        <v>39000</v>
      </c>
      <c r="J269" s="232" t="n"/>
      <c r="K269" s="233" t="n"/>
      <c r="L269" s="233">
        <f>IF(K269&lt;&gt;"",16500+K269,16500)</f>
        <v/>
      </c>
      <c r="M269" s="156" t="n"/>
      <c r="N269" s="156" t="n"/>
      <c r="O269" s="156" t="n"/>
    </row>
    <row r="270" ht="18.75" customHeight="1" s="153">
      <c r="A270" s="237" t="n"/>
      <c r="B270" s="238" t="inlineStr">
        <is>
          <t>FRENCH 2382</t>
        </is>
      </c>
      <c r="C270" s="239" t="n">
        <v>1</v>
      </c>
      <c r="D270" s="239" t="n"/>
      <c r="E270" s="239" t="n"/>
      <c r="F270" s="240" t="n"/>
      <c r="G270" s="240" t="n"/>
      <c r="H270" s="241" t="n">
        <v>25000</v>
      </c>
      <c r="I270" s="242" t="n">
        <v>25000</v>
      </c>
      <c r="J270" s="242" t="n"/>
      <c r="K270" s="233" t="n"/>
      <c r="L270" s="233">
        <f>IF(K270&lt;&gt;"",10000+K270,10000)</f>
        <v/>
      </c>
      <c r="M270" s="156" t="n"/>
      <c r="N270" s="156" t="n"/>
      <c r="O270" s="156" t="n"/>
    </row>
    <row r="271" ht="18.75" customHeight="1" s="153">
      <c r="A271" s="227" t="n"/>
      <c r="B271" s="228" t="inlineStr">
        <is>
          <t>LOPEZ Y PLANES 4765</t>
        </is>
      </c>
      <c r="C271" s="229" t="n">
        <v>1</v>
      </c>
      <c r="D271" s="229" t="n"/>
      <c r="E271" s="229" t="n"/>
      <c r="F271" s="230" t="n"/>
      <c r="G271" s="230" t="n"/>
      <c r="H271" s="231" t="n">
        <v>25000</v>
      </c>
      <c r="I271" s="232" t="n"/>
      <c r="J271" s="232" t="n">
        <v>25000</v>
      </c>
      <c r="K271" s="233" t="n"/>
      <c r="L271" s="233">
        <f>IF(K271&lt;&gt;"",10000+K271,10000)</f>
        <v/>
      </c>
      <c r="M271" s="156" t="n"/>
      <c r="N271" s="156" t="n"/>
      <c r="O271" s="156" t="n"/>
    </row>
    <row r="272" ht="18.75" customHeight="1" s="153">
      <c r="A272" s="237" t="n"/>
      <c r="B272" s="238" t="inlineStr">
        <is>
          <t xml:space="preserve">VIANDAS JORGE </t>
        </is>
      </c>
      <c r="C272" s="239" t="n">
        <v>1</v>
      </c>
      <c r="D272" s="239" t="n"/>
      <c r="E272" s="239" t="n"/>
      <c r="F272" s="240" t="n"/>
      <c r="G272" s="240" t="n"/>
      <c r="H272" s="241" t="n">
        <v>22000</v>
      </c>
      <c r="I272" s="242" t="n">
        <v>22000</v>
      </c>
      <c r="J272" s="242" t="n"/>
      <c r="K272" s="233" t="n"/>
      <c r="L272" s="233">
        <f>IF(K272&lt;&gt;"",7000+K272,7000)</f>
        <v/>
      </c>
      <c r="M272" s="156" t="n"/>
      <c r="N272" s="156" t="n"/>
      <c r="O272" s="156" t="n"/>
    </row>
    <row r="273" ht="18.75" customHeight="1" s="153">
      <c r="A273" s="227" t="n"/>
      <c r="B273" s="228" t="inlineStr">
        <is>
          <t>LUCHO</t>
        </is>
      </c>
      <c r="C273" s="229" t="n"/>
      <c r="D273" s="229" t="n">
        <v>1</v>
      </c>
      <c r="E273" s="229" t="n"/>
      <c r="F273" s="230" t="n"/>
      <c r="G273" s="230" t="n"/>
      <c r="H273" s="231" t="n">
        <v>28500</v>
      </c>
      <c r="I273" s="232" t="n"/>
      <c r="J273" s="232" t="n">
        <v>28500</v>
      </c>
      <c r="K273" s="233" t="n"/>
      <c r="L273" s="233">
        <f>IF(K273&lt;&gt;"",6000+K273,6000)</f>
        <v/>
      </c>
      <c r="M273" s="156" t="n"/>
      <c r="N273" s="156" t="n"/>
      <c r="O273" s="156" t="n"/>
    </row>
    <row r="274" ht="18.75" customHeight="1" s="153">
      <c r="A274" s="237" t="n"/>
      <c r="B274" s="238" t="inlineStr">
        <is>
          <t>CHICLANA 7325</t>
        </is>
      </c>
      <c r="C274" s="239" t="n">
        <v>1</v>
      </c>
      <c r="D274" s="239" t="n"/>
      <c r="E274" s="239" t="n"/>
      <c r="F274" s="240" t="n"/>
      <c r="G274" s="240" t="n"/>
      <c r="H274" s="241" t="n">
        <v>19000</v>
      </c>
      <c r="I274" s="242" t="n"/>
      <c r="J274" s="242" t="n">
        <v>19000</v>
      </c>
      <c r="K274" s="233" t="n"/>
      <c r="L274" s="233">
        <f>IF(K274&lt;&gt;"",4000+K274,4000)</f>
        <v/>
      </c>
      <c r="M274" s="156" t="n"/>
      <c r="N274" s="156" t="n"/>
      <c r="O274" s="156" t="n"/>
    </row>
    <row r="275" ht="18.75" customHeight="1" s="153">
      <c r="A275" s="227" t="n"/>
      <c r="B275" s="228" t="inlineStr">
        <is>
          <t>PUBLICO 5727</t>
        </is>
      </c>
      <c r="C275" s="229" t="n">
        <v>1</v>
      </c>
      <c r="D275" s="229" t="n">
        <v>1</v>
      </c>
      <c r="E275" s="229" t="n"/>
      <c r="F275" s="230" t="n"/>
      <c r="G275" s="230" t="n"/>
      <c r="H275" s="231" t="n">
        <v>63000</v>
      </c>
      <c r="I275" s="232" t="n"/>
      <c r="J275" s="232" t="n">
        <v>63000</v>
      </c>
      <c r="K275" s="233" t="n"/>
      <c r="L275" s="233">
        <f>IF(K275&lt;&gt;"",25500+K275,25500)</f>
        <v/>
      </c>
      <c r="M275" s="156" t="n"/>
      <c r="N275" s="156" t="n"/>
      <c r="O275" s="156" t="n"/>
    </row>
    <row r="276" ht="18.75" customHeight="1" s="153">
      <c r="A276" s="237" t="n"/>
      <c r="B276" s="238" t="inlineStr">
        <is>
          <t>FILOMENA</t>
        </is>
      </c>
      <c r="C276" s="239" t="n">
        <v>2</v>
      </c>
      <c r="D276" s="239" t="n"/>
      <c r="E276" s="239" t="n"/>
      <c r="F276" s="240" t="n"/>
      <c r="G276" s="240" t="n"/>
      <c r="H276" s="241" t="n">
        <v>46000</v>
      </c>
      <c r="I276" s="242" t="n"/>
      <c r="J276" s="242" t="n">
        <v>46000</v>
      </c>
      <c r="K276" s="233" t="n"/>
      <c r="L276" s="233">
        <f>IF(K276&lt;&gt;"",16000+K276,16000)</f>
        <v/>
      </c>
      <c r="M276" s="156" t="n"/>
      <c r="N276" s="156" t="n"/>
      <c r="O276" s="156" t="n"/>
    </row>
    <row r="277" ht="18.75" customHeight="1" s="153">
      <c r="A277" s="227" t="n"/>
      <c r="B277" s="228" t="inlineStr">
        <is>
          <t>LARGUIA 7287</t>
        </is>
      </c>
      <c r="C277" s="229" t="n">
        <v>2</v>
      </c>
      <c r="D277" s="229" t="n"/>
      <c r="E277" s="229" t="n">
        <v>1</v>
      </c>
      <c r="F277" s="230" t="n"/>
      <c r="G277" s="230" t="n"/>
      <c r="H277" s="231" t="n">
        <v>132000</v>
      </c>
      <c r="I277" s="232" t="n">
        <v>132000</v>
      </c>
      <c r="J277" s="232" t="n"/>
      <c r="K277" s="233" t="n"/>
      <c r="L277" s="233">
        <f>IF(K277&lt;&gt;"",42000+K277,42000)</f>
        <v/>
      </c>
      <c r="M277" s="156" t="n"/>
      <c r="N277" s="156" t="n"/>
      <c r="O277" s="156" t="n"/>
    </row>
    <row r="278" ht="18.75" customHeight="1" s="153">
      <c r="A278" s="237" t="n"/>
      <c r="B278" s="238" t="inlineStr">
        <is>
          <t>JAVIER DE LA ROSA 5767</t>
        </is>
      </c>
      <c r="C278" s="239" t="n"/>
      <c r="D278" s="239" t="n">
        <v>1</v>
      </c>
      <c r="E278" s="239" t="n"/>
      <c r="F278" s="240" t="n"/>
      <c r="G278" s="240" t="n"/>
      <c r="H278" s="241" t="n">
        <v>37500</v>
      </c>
      <c r="I278" s="242" t="n"/>
      <c r="J278" s="242" t="n">
        <v>37500</v>
      </c>
      <c r="K278" s="233" t="n"/>
      <c r="L278" s="233">
        <f>IF(K278&lt;&gt;"",15000+K278,15000)</f>
        <v/>
      </c>
      <c r="M278" s="156" t="n"/>
      <c r="N278" s="156" t="n"/>
      <c r="O278" s="156" t="n"/>
    </row>
    <row r="279" ht="18.75" customHeight="1" s="153">
      <c r="A279" s="227" t="n"/>
      <c r="B279" s="228" t="inlineStr">
        <is>
          <t>LEO MASARA</t>
        </is>
      </c>
      <c r="C279" s="229" t="n">
        <v>1</v>
      </c>
      <c r="D279" s="229" t="n"/>
      <c r="E279" s="229" t="n"/>
      <c r="F279" s="230" t="n"/>
      <c r="G279" s="230" t="n"/>
      <c r="H279" s="231" t="n">
        <v>25000</v>
      </c>
      <c r="I279" s="232" t="n">
        <v>25000</v>
      </c>
      <c r="J279" s="232" t="n"/>
      <c r="K279" s="233" t="n"/>
      <c r="L279" s="233">
        <f>IF(K279&lt;&gt;"",10000+K279,10000)</f>
        <v/>
      </c>
      <c r="M279" s="156" t="n"/>
      <c r="N279" s="156" t="n"/>
      <c r="O279" s="156" t="n"/>
    </row>
    <row r="280" ht="18.75" customHeight="1" s="153">
      <c r="A280" s="237" t="n"/>
      <c r="B280" s="238" t="inlineStr">
        <is>
          <t>AZCUENAGA 5023</t>
        </is>
      </c>
      <c r="C280" s="239" t="n">
        <v>5</v>
      </c>
      <c r="D280" s="239" t="n"/>
      <c r="E280" s="239" t="n"/>
      <c r="F280" s="240" t="n"/>
      <c r="G280" s="240" t="n"/>
      <c r="H280" s="241" t="n">
        <v>95000</v>
      </c>
      <c r="I280" s="242" t="n"/>
      <c r="J280" s="242" t="n">
        <v>95000</v>
      </c>
      <c r="K280" s="233" t="n"/>
      <c r="L280" s="233">
        <f>IF(K280&lt;&gt;"",20000+K280,20000)</f>
        <v/>
      </c>
      <c r="M280" s="156" t="n"/>
      <c r="N280" s="156" t="n"/>
      <c r="O280" s="156" t="n"/>
    </row>
    <row r="281" ht="18.75" customHeight="1" s="153">
      <c r="A281" s="227" t="n"/>
      <c r="B281" s="228" t="inlineStr">
        <is>
          <t>PUBLICO 5712</t>
        </is>
      </c>
      <c r="C281" s="229" t="n"/>
      <c r="D281" s="229" t="n">
        <v>1</v>
      </c>
      <c r="E281" s="229" t="n"/>
      <c r="F281" s="230" t="n"/>
      <c r="G281" s="230" t="n"/>
      <c r="H281" s="231" t="n">
        <v>37000</v>
      </c>
      <c r="I281" s="232" t="n">
        <v>37000</v>
      </c>
      <c r="J281" s="232" t="n"/>
      <c r="K281" s="233" t="n"/>
      <c r="L281" s="233">
        <f>IF(K281&lt;&gt;"",14500+K281,14500)</f>
        <v/>
      </c>
      <c r="M281" s="156" t="n"/>
      <c r="N281" s="156" t="n"/>
      <c r="O281" s="156" t="n"/>
    </row>
    <row r="282" ht="18.75" customHeight="1" s="153">
      <c r="A282" s="237" t="n"/>
      <c r="B282" s="238" t="inlineStr">
        <is>
          <t>CAREN</t>
        </is>
      </c>
      <c r="C282" s="239" t="n"/>
      <c r="D282" s="239" t="n"/>
      <c r="E282" s="239" t="n">
        <v>1</v>
      </c>
      <c r="F282" s="240" t="n"/>
      <c r="G282" s="240" t="n"/>
      <c r="H282" s="241" t="n">
        <v>82000</v>
      </c>
      <c r="I282" s="242" t="n"/>
      <c r="J282" s="242" t="n">
        <v>82000</v>
      </c>
      <c r="K282" s="233" t="n"/>
      <c r="L282" s="233">
        <f>IF(K282&lt;&gt;"",22000+K282,22000)</f>
        <v/>
      </c>
      <c r="M282" s="156" t="n"/>
      <c r="N282" s="156" t="n"/>
      <c r="O282" s="156" t="n"/>
    </row>
    <row r="283" ht="18.75" customHeight="1" s="153">
      <c r="A283" s="227" t="n"/>
      <c r="B283" s="228" t="inlineStr">
        <is>
          <t>PUBLICO 5746</t>
        </is>
      </c>
      <c r="C283" s="229" t="n"/>
      <c r="D283" s="229" t="n">
        <v>1</v>
      </c>
      <c r="E283" s="229" t="n"/>
      <c r="F283" s="230" t="n"/>
      <c r="G283" s="230" t="n"/>
      <c r="H283" s="231" t="n">
        <v>37000</v>
      </c>
      <c r="I283" s="232" t="n">
        <v>37000</v>
      </c>
      <c r="J283" s="232" t="n"/>
      <c r="K283" s="233" t="n"/>
      <c r="L283" s="233">
        <f>IF(K283&lt;&gt;"",14500+K283,14500)</f>
        <v/>
      </c>
      <c r="M283" s="156" t="n"/>
      <c r="N283" s="156" t="n"/>
      <c r="O283" s="156" t="n"/>
    </row>
    <row r="284" ht="18.75" customHeight="1" s="153">
      <c r="A284" s="237" t="n"/>
      <c r="B284" s="238" t="inlineStr">
        <is>
          <t>PASAJE QUIROGA 5244</t>
        </is>
      </c>
      <c r="C284" s="239" t="n"/>
      <c r="D284" s="239" t="n">
        <v>1</v>
      </c>
      <c r="E284" s="239" t="n"/>
      <c r="F284" s="240" t="n"/>
      <c r="G284" s="240" t="n"/>
      <c r="H284" s="241" t="n">
        <v>37500</v>
      </c>
      <c r="I284" s="242" t="n"/>
      <c r="J284" s="242" t="n">
        <v>37500</v>
      </c>
      <c r="K284" s="233" t="n"/>
      <c r="L284" s="233">
        <f>IF(K284&lt;&gt;"",15000+K284,15000)</f>
        <v/>
      </c>
      <c r="M284" s="156" t="n"/>
      <c r="N284" s="156" t="n"/>
      <c r="O284" s="156" t="n"/>
    </row>
    <row r="285" ht="18.75" customHeight="1" s="153">
      <c r="A285" s="227" t="n"/>
      <c r="B285" s="228" t="inlineStr">
        <is>
          <t>PEÑALOZA 9757</t>
        </is>
      </c>
      <c r="C285" s="229" t="n">
        <v>1</v>
      </c>
      <c r="D285" s="229" t="n"/>
      <c r="E285" s="229" t="n"/>
      <c r="F285" s="230" t="n"/>
      <c r="G285" s="230" t="n"/>
      <c r="H285" s="231" t="n">
        <v>26000</v>
      </c>
      <c r="I285" s="232" t="n">
        <v>26000</v>
      </c>
      <c r="J285" s="232" t="n"/>
      <c r="K285" s="233" t="n"/>
      <c r="L285" s="233">
        <f>IF(K285&lt;&gt;"",11000+K285,11000)</f>
        <v/>
      </c>
      <c r="M285" s="156" t="n"/>
      <c r="N285" s="156" t="n"/>
      <c r="O285" s="156" t="n"/>
    </row>
    <row r="286" ht="18.75" customHeight="1" s="153">
      <c r="A286" s="237" t="n"/>
      <c r="B286" s="238" t="inlineStr">
        <is>
          <t>LLERENA 3746</t>
        </is>
      </c>
      <c r="C286" s="239" t="n"/>
      <c r="D286" s="239" t="n"/>
      <c r="E286" s="239" t="n">
        <v>1</v>
      </c>
      <c r="F286" s="240" t="n"/>
      <c r="G286" s="240" t="n"/>
      <c r="H286" s="241" t="n">
        <v>85000</v>
      </c>
      <c r="I286" s="242" t="n">
        <v>60000</v>
      </c>
      <c r="J286" s="242" t="n">
        <v>25000</v>
      </c>
      <c r="K286" s="233" t="n"/>
      <c r="L286" s="233">
        <f>IF(K286&lt;&gt;"",25000+K286,25000)</f>
        <v/>
      </c>
      <c r="M286" s="156" t="n"/>
      <c r="N286" s="156" t="n"/>
      <c r="O286" s="156" t="n"/>
    </row>
    <row r="287" ht="18.75" customHeight="1" s="153">
      <c r="A287" s="227" t="n">
        <v>46133</v>
      </c>
      <c r="B287" s="228" t="inlineStr">
        <is>
          <t>ESTANISLAO DEL CAMPO 1613</t>
        </is>
      </c>
      <c r="C287" s="229" t="n">
        <v>1</v>
      </c>
      <c r="D287" s="229" t="n"/>
      <c r="E287" s="229" t="n"/>
      <c r="F287" s="230" t="n"/>
      <c r="G287" s="230" t="n"/>
      <c r="H287" s="231" t="n">
        <v>26000</v>
      </c>
      <c r="I287" s="232" t="n"/>
      <c r="J287" s="232" t="n">
        <v>26000</v>
      </c>
      <c r="K287" s="233" t="n"/>
      <c r="L287" s="233">
        <f>IF(K287&lt;&gt;"",11000+K287,11000)</f>
        <v/>
      </c>
      <c r="M287" s="156" t="n"/>
      <c r="N287" s="156" t="n"/>
      <c r="O287" s="156" t="n"/>
    </row>
    <row r="288" ht="18.75" customHeight="1" s="153">
      <c r="A288" s="237" t="n"/>
      <c r="B288" s="238" t="inlineStr">
        <is>
          <t>ANA ABDALA</t>
        </is>
      </c>
      <c r="C288" s="239" t="n">
        <v>1</v>
      </c>
      <c r="D288" s="239" t="n"/>
      <c r="E288" s="239" t="n"/>
      <c r="F288" s="240" t="n"/>
      <c r="G288" s="240" t="n"/>
      <c r="H288" s="241" t="n">
        <v>27000</v>
      </c>
      <c r="I288" s="242" t="n"/>
      <c r="J288" s="242" t="n">
        <v>27000</v>
      </c>
      <c r="K288" s="233" t="n"/>
      <c r="L288" s="233">
        <f>IF(K288&lt;&gt;"",12000+K288,12000)</f>
        <v/>
      </c>
      <c r="M288" s="156" t="n"/>
      <c r="N288" s="156" t="n"/>
      <c r="O288" s="156" t="n"/>
    </row>
    <row r="289" ht="18.75" customHeight="1" s="153">
      <c r="A289" s="227" t="n"/>
      <c r="B289" s="228" t="inlineStr">
        <is>
          <t>VIEYTES 5299</t>
        </is>
      </c>
      <c r="C289" s="229" t="n"/>
      <c r="D289" s="229" t="n">
        <v>1</v>
      </c>
      <c r="E289" s="229" t="n"/>
      <c r="F289" s="230" t="n"/>
      <c r="G289" s="230" t="n"/>
      <c r="H289" s="231" t="n">
        <v>39000</v>
      </c>
      <c r="I289" s="232" t="n">
        <v>39000</v>
      </c>
      <c r="J289" s="232" t="n"/>
      <c r="K289" s="233" t="n"/>
      <c r="L289" s="233">
        <f>IF(K289&lt;&gt;"",16500+K289,16500)</f>
        <v/>
      </c>
      <c r="M289" s="156" t="n"/>
      <c r="N289" s="156" t="n"/>
      <c r="O289" s="156" t="n"/>
    </row>
    <row r="290" ht="18.75" customHeight="1" s="153">
      <c r="A290" s="237" t="n"/>
      <c r="B290" s="238" t="inlineStr">
        <is>
          <t>SERBANDO BAYO 6650</t>
        </is>
      </c>
      <c r="C290" s="239" t="n"/>
      <c r="D290" s="239" t="n">
        <v>1</v>
      </c>
      <c r="E290" s="239" t="n"/>
      <c r="F290" s="240" t="n"/>
      <c r="G290" s="240" t="n"/>
      <c r="H290" s="241" t="n">
        <v>39000</v>
      </c>
      <c r="I290" s="242" t="n">
        <v>39000</v>
      </c>
      <c r="J290" s="242" t="n"/>
      <c r="K290" s="233" t="n"/>
      <c r="L290" s="233">
        <f>IF(K290&lt;&gt;"",16500+K290,16500)</f>
        <v/>
      </c>
      <c r="M290" s="156" t="n"/>
      <c r="N290" s="156" t="n"/>
      <c r="O290" s="156" t="n"/>
    </row>
    <row r="291" ht="18.75" customHeight="1" s="153">
      <c r="A291" s="227" t="n"/>
      <c r="B291" s="228" t="inlineStr">
        <is>
          <t>AZOPARDO 10560</t>
        </is>
      </c>
      <c r="C291" s="229" t="n">
        <v>1</v>
      </c>
      <c r="D291" s="229" t="n"/>
      <c r="E291" s="229" t="n"/>
      <c r="F291" s="230" t="n"/>
      <c r="G291" s="230" t="n"/>
      <c r="H291" s="231" t="n">
        <v>26000</v>
      </c>
      <c r="I291" s="232" t="n">
        <v>26000</v>
      </c>
      <c r="J291" s="232" t="n"/>
      <c r="K291" s="233" t="n"/>
      <c r="L291" s="233">
        <f>IF(K291&lt;&gt;"",11000+K291,11000)</f>
        <v/>
      </c>
      <c r="M291" s="156" t="n"/>
      <c r="N291" s="156" t="n"/>
      <c r="O291" s="156" t="n"/>
    </row>
    <row r="292" ht="18.75" customHeight="1" s="153">
      <c r="A292" s="237" t="n"/>
      <c r="B292" s="238" t="inlineStr">
        <is>
          <t>LARGUIA 6924</t>
        </is>
      </c>
      <c r="C292" s="239" t="n">
        <v>1</v>
      </c>
      <c r="D292" s="239" t="n"/>
      <c r="E292" s="239" t="n"/>
      <c r="F292" s="240" t="n"/>
      <c r="G292" s="240" t="n"/>
      <c r="H292" s="241" t="n">
        <v>25000</v>
      </c>
      <c r="I292" s="242" t="n">
        <v>25000</v>
      </c>
      <c r="J292" s="242" t="n"/>
      <c r="K292" s="233" t="n"/>
      <c r="L292" s="233">
        <f>IF(K292&lt;&gt;"",10000+K292,10000)</f>
        <v/>
      </c>
      <c r="M292" s="156" t="n"/>
      <c r="N292" s="156" t="n"/>
      <c r="O292" s="156" t="n"/>
    </row>
    <row r="293" ht="18.75" customHeight="1" s="153">
      <c r="A293" s="227" t="n"/>
      <c r="B293" s="228" t="inlineStr">
        <is>
          <t>EX COMBATIENTES 5520</t>
        </is>
      </c>
      <c r="C293" s="229" t="n">
        <v>2</v>
      </c>
      <c r="D293" s="229" t="n"/>
      <c r="E293" s="229" t="n"/>
      <c r="F293" s="230" t="n"/>
      <c r="G293" s="230" t="n"/>
      <c r="H293" s="231" t="n">
        <v>52000</v>
      </c>
      <c r="I293" s="232" t="n"/>
      <c r="J293" s="232" t="n">
        <v>52000</v>
      </c>
      <c r="K293" s="233" t="n"/>
      <c r="L293" s="233">
        <f>IF(K293&lt;&gt;"",22000+K293,22000)</f>
        <v/>
      </c>
      <c r="M293" s="156" t="n"/>
      <c r="N293" s="156" t="n"/>
      <c r="O293" s="156" t="n"/>
    </row>
    <row r="294" ht="18.75" customHeight="1" s="153">
      <c r="A294" s="237" t="n"/>
      <c r="B294" s="238" t="inlineStr">
        <is>
          <t>DORREGO 5575</t>
        </is>
      </c>
      <c r="C294" s="239" t="n">
        <v>1</v>
      </c>
      <c r="D294" s="239" t="n"/>
      <c r="E294" s="239" t="n"/>
      <c r="F294" s="240" t="n"/>
      <c r="G294" s="240" t="n"/>
      <c r="H294" s="241" t="n">
        <v>26000</v>
      </c>
      <c r="I294" s="242" t="n">
        <v>20000</v>
      </c>
      <c r="J294" s="242" t="n">
        <v>6000</v>
      </c>
      <c r="K294" s="233" t="n"/>
      <c r="L294" s="233">
        <f>IF(K294&lt;&gt;"",11000+K294,11000)</f>
        <v/>
      </c>
      <c r="M294" s="156" t="n"/>
      <c r="N294" s="156" t="n"/>
      <c r="O294" s="156" t="n"/>
    </row>
    <row r="295" ht="18.75" customHeight="1" s="153">
      <c r="A295" s="227" t="n"/>
      <c r="B295" s="228" t="inlineStr">
        <is>
          <t>VIÑAS Y PAUCKE</t>
        </is>
      </c>
      <c r="C295" s="229" t="n"/>
      <c r="D295" s="229" t="n">
        <v>1</v>
      </c>
      <c r="E295" s="229" t="n"/>
      <c r="F295" s="230" t="n"/>
      <c r="G295" s="230" t="n"/>
      <c r="H295" s="231" t="n">
        <v>35500</v>
      </c>
      <c r="I295" s="232" t="n"/>
      <c r="J295" s="232" t="n">
        <v>35500</v>
      </c>
      <c r="K295" s="233" t="n"/>
      <c r="L295" s="233">
        <f>IF(K295&lt;&gt;"",13000+K295,13000)</f>
        <v/>
      </c>
      <c r="M295" s="156" t="n"/>
      <c r="N295" s="156" t="n"/>
      <c r="O295" s="156" t="n"/>
    </row>
    <row r="296" ht="18.75" customHeight="1" s="153">
      <c r="A296" s="237" t="n"/>
      <c r="B296" s="238" t="inlineStr">
        <is>
          <t>4 DE ENERO 1342</t>
        </is>
      </c>
      <c r="C296" s="239" t="n">
        <v>1</v>
      </c>
      <c r="D296" s="239" t="n">
        <v>1</v>
      </c>
      <c r="E296" s="239" t="n"/>
      <c r="F296" s="240" t="n"/>
      <c r="G296" s="240" t="n"/>
      <c r="H296" s="241" t="n">
        <v>65000</v>
      </c>
      <c r="I296" s="242" t="n"/>
      <c r="J296" s="242" t="n">
        <v>65000</v>
      </c>
      <c r="K296" s="233" t="n"/>
      <c r="L296" s="233">
        <f>IF(K296&lt;&gt;"",27500+K296,27500)</f>
        <v/>
      </c>
      <c r="M296" s="156" t="n"/>
      <c r="N296" s="156" t="n"/>
      <c r="O296" s="156" t="n"/>
    </row>
    <row r="297" ht="18.75" customHeight="1" s="153">
      <c r="A297" s="227" t="n"/>
      <c r="B297" s="228" t="inlineStr">
        <is>
          <t xml:space="preserve">FABIAN ALADO VIA NORTE </t>
        </is>
      </c>
      <c r="C297" s="229" t="n">
        <v>1</v>
      </c>
      <c r="D297" s="229" t="n"/>
      <c r="E297" s="229" t="n"/>
      <c r="F297" s="230" t="n"/>
      <c r="G297" s="230" t="n"/>
      <c r="H297" s="231" t="n">
        <v>25000</v>
      </c>
      <c r="I297" s="232" t="n"/>
      <c r="J297" s="232" t="n">
        <v>25000</v>
      </c>
      <c r="K297" s="233" t="n"/>
      <c r="L297" s="233">
        <f>IF(K297&lt;&gt;"",10000+K297,10000)</f>
        <v/>
      </c>
      <c r="M297" s="156" t="n"/>
      <c r="N297" s="156" t="n"/>
      <c r="O297" s="156" t="n"/>
    </row>
    <row r="298" ht="18.75" customHeight="1" s="153">
      <c r="A298" s="237" t="n"/>
      <c r="B298" s="238" t="inlineStr">
        <is>
          <t>AZOPARDO 8443</t>
        </is>
      </c>
      <c r="C298" s="239" t="n">
        <v>1</v>
      </c>
      <c r="D298" s="239" t="n"/>
      <c r="E298" s="239" t="n"/>
      <c r="F298" s="240" t="n"/>
      <c r="G298" s="240" t="n"/>
      <c r="H298" s="241" t="n">
        <v>25000</v>
      </c>
      <c r="I298" s="242" t="n"/>
      <c r="J298" s="242" t="n">
        <v>25000</v>
      </c>
      <c r="K298" s="233" t="n"/>
      <c r="L298" s="233">
        <f>IF(K298&lt;&gt;"",10000+K298,10000)</f>
        <v/>
      </c>
      <c r="M298" s="156" t="n"/>
      <c r="N298" s="156" t="n"/>
      <c r="O298" s="156" t="n"/>
    </row>
    <row r="299" ht="18.75" customHeight="1" s="153">
      <c r="A299" s="227" t="n"/>
      <c r="B299" s="228" t="inlineStr">
        <is>
          <t xml:space="preserve">USUARIO CALLE </t>
        </is>
      </c>
      <c r="C299" s="229" t="n">
        <v>1</v>
      </c>
      <c r="D299" s="229" t="n"/>
      <c r="E299" s="229" t="n"/>
      <c r="F299" s="230" t="n"/>
      <c r="G299" s="230" t="n"/>
      <c r="H299" s="231" t="n">
        <v>20000</v>
      </c>
      <c r="I299" s="232" t="n"/>
      <c r="J299" s="232" t="n">
        <v>20000</v>
      </c>
      <c r="K299" s="233" t="n"/>
      <c r="L299" s="233">
        <f>IF(K299&lt;&gt;"",5000+K299,5000)</f>
        <v/>
      </c>
      <c r="M299" s="156" t="n"/>
      <c r="N299" s="156" t="n"/>
      <c r="O299" s="156" t="n"/>
    </row>
    <row r="300" ht="18.75" customHeight="1" s="153">
      <c r="A300" s="237" t="n">
        <v>46134</v>
      </c>
      <c r="B300" s="238" t="inlineStr">
        <is>
          <t>CAYASTA 4887 MARCE</t>
        </is>
      </c>
      <c r="C300" s="239" t="n"/>
      <c r="D300" s="239" t="n"/>
      <c r="E300" s="239" t="n"/>
      <c r="F300" s="240" t="n">
        <v>4</v>
      </c>
      <c r="G300" s="240" t="n"/>
      <c r="H300" s="241" t="n">
        <v>15000</v>
      </c>
      <c r="I300" s="242" t="n">
        <v>15000</v>
      </c>
      <c r="J300" s="242" t="n"/>
      <c r="K300" s="233" t="n"/>
      <c r="L300" s="233">
        <f>IF(K300&lt;&gt;"",5800+K300,5800)</f>
        <v/>
      </c>
      <c r="M300" s="156" t="n"/>
      <c r="N300" s="156" t="n"/>
      <c r="O300" s="156" t="n"/>
    </row>
    <row r="301" ht="18.75" customHeight="1" s="153">
      <c r="A301" s="227" t="n"/>
      <c r="B301" s="228" t="inlineStr">
        <is>
          <t>CHICLANA 7325</t>
        </is>
      </c>
      <c r="C301" s="229" t="n">
        <v>2</v>
      </c>
      <c r="D301" s="229" t="n"/>
      <c r="E301" s="229" t="n"/>
      <c r="F301" s="230" t="n"/>
      <c r="G301" s="230" t="n"/>
      <c r="H301" s="231" t="n">
        <v>38000</v>
      </c>
      <c r="I301" s="232" t="n"/>
      <c r="J301" s="232" t="n">
        <v>38000</v>
      </c>
      <c r="K301" s="233" t="n"/>
      <c r="L301" s="233">
        <f>IF(K301&lt;&gt;"",8000+K301,8000)</f>
        <v/>
      </c>
      <c r="M301" s="156" t="n"/>
      <c r="N301" s="156" t="n"/>
      <c r="O301" s="156" t="n"/>
    </row>
    <row r="302" ht="18.75" customHeight="1" s="153">
      <c r="A302" s="237" t="n"/>
      <c r="B302" s="238" t="inlineStr">
        <is>
          <t xml:space="preserve">EMIR </t>
        </is>
      </c>
      <c r="C302" s="239" t="n">
        <v>1</v>
      </c>
      <c r="D302" s="239" t="n"/>
      <c r="E302" s="239" t="n"/>
      <c r="F302" s="240" t="n"/>
      <c r="G302" s="240" t="n"/>
      <c r="H302" s="241" t="n">
        <v>26000</v>
      </c>
      <c r="I302" s="242" t="n"/>
      <c r="J302" s="242" t="n">
        <v>26000</v>
      </c>
      <c r="K302" s="233" t="n"/>
      <c r="L302" s="233">
        <f>IF(K302&lt;&gt;"",11000+K302,11000)</f>
        <v/>
      </c>
      <c r="M302" s="156" t="n"/>
      <c r="N302" s="156" t="n"/>
      <c r="O302" s="156" t="n"/>
    </row>
    <row r="303" ht="18.75" customHeight="1" s="153">
      <c r="A303" s="227" t="n"/>
      <c r="B303" s="228" t="inlineStr">
        <is>
          <t xml:space="preserve">PANA BERUTI 6726 </t>
        </is>
      </c>
      <c r="C303" s="229" t="n"/>
      <c r="D303" s="229" t="n"/>
      <c r="E303" s="229" t="n">
        <v>1</v>
      </c>
      <c r="F303" s="230" t="n"/>
      <c r="G303" s="230" t="n"/>
      <c r="H303" s="231" t="n">
        <v>78000</v>
      </c>
      <c r="I303" s="232" t="n">
        <v>78000</v>
      </c>
      <c r="J303" s="232" t="n"/>
      <c r="K303" s="233" t="n"/>
      <c r="L303" s="233">
        <f>IF(K303&lt;&gt;"",18000+K303,18000)</f>
        <v/>
      </c>
      <c r="M303" s="156" t="n"/>
      <c r="N303" s="156" t="n"/>
      <c r="O303" s="156" t="n"/>
    </row>
    <row r="304" ht="18.75" customHeight="1" s="153">
      <c r="A304" s="237" t="n"/>
      <c r="B304" s="238" t="inlineStr">
        <is>
          <t>PANADERIA BAGUETE</t>
        </is>
      </c>
      <c r="C304" s="239" t="n"/>
      <c r="D304" s="239" t="n"/>
      <c r="E304" s="239" t="n">
        <v>1</v>
      </c>
      <c r="F304" s="240" t="n"/>
      <c r="G304" s="240" t="n"/>
      <c r="H304" s="241" t="n">
        <v>75000</v>
      </c>
      <c r="I304" s="242" t="n"/>
      <c r="J304" s="242" t="n">
        <v>75000</v>
      </c>
      <c r="K304" s="233" t="n"/>
      <c r="L304" s="233">
        <f>IF(K304&lt;&gt;"",15000+K304,15000)</f>
        <v/>
      </c>
      <c r="M304" s="156" t="n"/>
      <c r="N304" s="156" t="n"/>
      <c r="O304" s="156" t="n"/>
    </row>
    <row r="305" ht="18.75" customHeight="1" s="153">
      <c r="A305" s="227" t="n"/>
      <c r="B305" s="228" t="inlineStr">
        <is>
          <t>EMA COMBETO PJE MARSENGO</t>
        </is>
      </c>
      <c r="C305" s="229" t="n"/>
      <c r="D305" s="229" t="n">
        <v>1</v>
      </c>
      <c r="E305" s="229" t="n"/>
      <c r="F305" s="230" t="n"/>
      <c r="G305" s="230" t="n"/>
      <c r="H305" s="231" t="n">
        <v>37500</v>
      </c>
      <c r="I305" s="232" t="n"/>
      <c r="J305" s="232" t="n">
        <v>37500</v>
      </c>
      <c r="K305" s="233" t="n"/>
      <c r="L305" s="233">
        <f>IF(K305&lt;&gt;"",15000+K305,15000)</f>
        <v/>
      </c>
      <c r="M305" s="156" t="n"/>
      <c r="N305" s="156" t="n"/>
      <c r="O305" s="156" t="n"/>
    </row>
    <row r="306" ht="18.75" customHeight="1" s="153">
      <c r="A306" s="237" t="n"/>
      <c r="B306" s="238" t="inlineStr">
        <is>
          <t>TOFFO</t>
        </is>
      </c>
      <c r="C306" s="239" t="n"/>
      <c r="D306" s="239" t="n"/>
      <c r="E306" s="239" t="n">
        <v>1</v>
      </c>
      <c r="F306" s="240" t="n"/>
      <c r="G306" s="240" t="n"/>
      <c r="H306" s="241" t="n">
        <v>90000</v>
      </c>
      <c r="I306" s="242" t="n"/>
      <c r="J306" s="242" t="n">
        <v>90000</v>
      </c>
      <c r="K306" s="233" t="n"/>
      <c r="L306" s="233">
        <f>IF(K306&lt;&gt;"",30000+K306,30000)</f>
        <v/>
      </c>
      <c r="M306" s="156" t="n"/>
      <c r="N306" s="156" t="n"/>
      <c r="O306" s="156" t="n"/>
    </row>
    <row r="307" ht="18.75" customHeight="1" s="153">
      <c r="A307" s="227" t="n"/>
      <c r="B307" s="228" t="inlineStr">
        <is>
          <t>FACUNDO ZUVIRIA 10235</t>
        </is>
      </c>
      <c r="C307" s="229" t="n">
        <v>1</v>
      </c>
      <c r="D307" s="229" t="n"/>
      <c r="E307" s="229" t="n"/>
      <c r="F307" s="230" t="n"/>
      <c r="G307" s="230" t="n"/>
      <c r="H307" s="231" t="n">
        <v>27000</v>
      </c>
      <c r="I307" s="232" t="n"/>
      <c r="J307" s="232" t="n">
        <v>27000</v>
      </c>
      <c r="K307" s="233" t="n"/>
      <c r="L307" s="233">
        <f>IF(K307&lt;&gt;"",12000+K307,12000)</f>
        <v/>
      </c>
      <c r="M307" s="156" t="n"/>
      <c r="N307" s="156" t="n"/>
      <c r="O307" s="156" t="n"/>
    </row>
    <row r="308" ht="18.75" customHeight="1" s="153">
      <c r="A308" s="237" t="n"/>
      <c r="B308" s="238" t="inlineStr">
        <is>
          <t>ALSINA 6601</t>
        </is>
      </c>
      <c r="C308" s="239" t="n"/>
      <c r="D308" s="239" t="n"/>
      <c r="E308" s="239" t="n">
        <v>1</v>
      </c>
      <c r="F308" s="240" t="n"/>
      <c r="G308" s="240" t="n"/>
      <c r="H308" s="241" t="n">
        <v>80000</v>
      </c>
      <c r="I308" s="242" t="n"/>
      <c r="J308" s="242" t="n">
        <v>80000</v>
      </c>
      <c r="K308" s="233" t="n"/>
      <c r="L308" s="233">
        <f>IF(K308&lt;&gt;"",20000+K308,20000)</f>
        <v/>
      </c>
      <c r="M308" s="156" t="n"/>
      <c r="N308" s="156" t="n"/>
      <c r="O308" s="156" t="n"/>
    </row>
    <row r="309" ht="18.75" customHeight="1" s="153">
      <c r="A309" s="227" t="n"/>
      <c r="B309" s="228" t="inlineStr">
        <is>
          <t>GUEMES 4421</t>
        </is>
      </c>
      <c r="C309" s="229" t="n">
        <v>1</v>
      </c>
      <c r="D309" s="229" t="n"/>
      <c r="E309" s="229" t="n"/>
      <c r="F309" s="230" t="n"/>
      <c r="G309" s="230" t="n"/>
      <c r="H309" s="231" t="n">
        <v>27000</v>
      </c>
      <c r="I309" s="232" t="n"/>
      <c r="J309" s="232" t="n">
        <v>27000</v>
      </c>
      <c r="K309" s="233" t="n"/>
      <c r="L309" s="233">
        <f>IF(K309&lt;&gt;"",12000+K309,12000)</f>
        <v/>
      </c>
      <c r="M309" s="156" t="n"/>
      <c r="N309" s="156" t="n"/>
      <c r="O309" s="156" t="n"/>
    </row>
    <row r="310" ht="18.75" customHeight="1" s="153">
      <c r="A310" s="237" t="n"/>
      <c r="B310" s="238" t="inlineStr">
        <is>
          <t>DANA</t>
        </is>
      </c>
      <c r="C310" s="239" t="n">
        <v>3</v>
      </c>
      <c r="D310" s="239" t="n"/>
      <c r="E310" s="239" t="n"/>
      <c r="F310" s="240" t="n"/>
      <c r="G310" s="240" t="n"/>
      <c r="H310" s="241" t="n">
        <v>57000</v>
      </c>
      <c r="I310" s="242" t="n"/>
      <c r="J310" s="242" t="n">
        <v>57000</v>
      </c>
      <c r="K310" s="233" t="n"/>
      <c r="L310" s="233">
        <f>IF(K310&lt;&gt;"",12000+K310,12000)</f>
        <v/>
      </c>
      <c r="M310" s="156" t="n"/>
      <c r="N310" s="156" t="n"/>
      <c r="O310" s="156" t="n"/>
    </row>
    <row r="311" ht="18.75" customHeight="1" s="153">
      <c r="A311" s="227" t="n"/>
      <c r="B311" s="228" t="inlineStr">
        <is>
          <t>LOPEZ Y PLANES 4585</t>
        </is>
      </c>
      <c r="C311" s="229" t="n">
        <v>1</v>
      </c>
      <c r="D311" s="229" t="n"/>
      <c r="E311" s="229" t="n"/>
      <c r="F311" s="230" t="n"/>
      <c r="G311" s="230" t="n"/>
      <c r="H311" s="231" t="n">
        <v>25000</v>
      </c>
      <c r="I311" s="232" t="n"/>
      <c r="J311" s="232" t="n">
        <v>25000</v>
      </c>
      <c r="K311" s="233" t="n"/>
      <c r="L311" s="233">
        <f>IF(K311&lt;&gt;"",10000+K311,10000)</f>
        <v/>
      </c>
      <c r="M311" s="156" t="n"/>
      <c r="N311" s="156" t="n"/>
      <c r="O311" s="156" t="n"/>
    </row>
    <row r="312" ht="18.75" customHeight="1" s="153">
      <c r="A312" s="237" t="n"/>
      <c r="B312" s="238" t="inlineStr">
        <is>
          <t>PEÑALOZA 7716</t>
        </is>
      </c>
      <c r="C312" s="239" t="n">
        <v>1</v>
      </c>
      <c r="D312" s="239" t="n"/>
      <c r="E312" s="239" t="n"/>
      <c r="F312" s="240" t="n"/>
      <c r="G312" s="240" t="n"/>
      <c r="H312" s="241" t="n">
        <v>25000</v>
      </c>
      <c r="I312" s="242" t="n"/>
      <c r="J312" s="242" t="n">
        <v>25000</v>
      </c>
      <c r="K312" s="233" t="n"/>
      <c r="L312" s="233">
        <f>IF(K312&lt;&gt;"",10000+K312,10000)</f>
        <v/>
      </c>
      <c r="M312" s="156" t="n"/>
      <c r="N312" s="156" t="n"/>
      <c r="O312" s="156" t="n"/>
    </row>
    <row r="313" ht="18.75" customHeight="1" s="153">
      <c r="A313" s="227" t="n"/>
      <c r="B313" s="228" t="inlineStr">
        <is>
          <t>PANA ALBERTI</t>
        </is>
      </c>
      <c r="C313" s="229" t="n"/>
      <c r="D313" s="229" t="n"/>
      <c r="E313" s="229" t="n">
        <v>1</v>
      </c>
      <c r="F313" s="230" t="n"/>
      <c r="G313" s="230" t="n"/>
      <c r="H313" s="231" t="n">
        <v>82000</v>
      </c>
      <c r="I313" s="232" t="n">
        <v>82000</v>
      </c>
      <c r="J313" s="232" t="n"/>
      <c r="K313" s="233" t="n"/>
      <c r="L313" s="233">
        <f>IF(K313&lt;&gt;"",22000+K313,22000)</f>
        <v/>
      </c>
      <c r="M313" s="156" t="n"/>
      <c r="N313" s="156" t="n"/>
      <c r="O313" s="156" t="n"/>
    </row>
    <row r="314" ht="18.75" customHeight="1" s="153">
      <c r="A314" s="237" t="n"/>
      <c r="B314" s="238" t="inlineStr">
        <is>
          <t>SANTA CRUZ 3051</t>
        </is>
      </c>
      <c r="C314" s="239" t="n"/>
      <c r="D314" s="239" t="n"/>
      <c r="E314" s="239" t="n">
        <v>1</v>
      </c>
      <c r="F314" s="240" t="n"/>
      <c r="G314" s="240" t="n"/>
      <c r="H314" s="241" t="n">
        <v>78000</v>
      </c>
      <c r="I314" s="242" t="n">
        <v>78000</v>
      </c>
      <c r="J314" s="242" t="n"/>
      <c r="K314" s="233" t="n"/>
      <c r="L314" s="233">
        <f>IF(K314&lt;&gt;"",18000+K314,18000)</f>
        <v/>
      </c>
      <c r="M314" s="156" t="n"/>
      <c r="N314" s="156" t="n"/>
      <c r="O314" s="156" t="n"/>
    </row>
    <row r="315" ht="18.75" customHeight="1" s="153">
      <c r="A315" s="227" t="n"/>
      <c r="B315" s="228" t="inlineStr">
        <is>
          <t>PANA BERUTI 6400</t>
        </is>
      </c>
      <c r="C315" s="229" t="n"/>
      <c r="D315" s="229" t="n"/>
      <c r="E315" s="229" t="n">
        <v>1</v>
      </c>
      <c r="F315" s="230" t="n"/>
      <c r="G315" s="230" t="n"/>
      <c r="H315" s="231" t="n">
        <v>75000</v>
      </c>
      <c r="I315" s="232" t="n">
        <v>5000</v>
      </c>
      <c r="J315" s="232" t="n">
        <v>70000</v>
      </c>
      <c r="K315" s="233" t="n"/>
      <c r="L315" s="233">
        <f>IF(K315&lt;&gt;"",15000+K315,15000)</f>
        <v/>
      </c>
      <c r="M315" s="156" t="n"/>
      <c r="N315" s="156" t="n"/>
      <c r="O315" s="156" t="n"/>
    </row>
    <row r="316" ht="18.75" customHeight="1" s="153">
      <c r="A316" s="237" t="n"/>
      <c r="B316" s="238" t="inlineStr">
        <is>
          <t>SABOREAR</t>
        </is>
      </c>
      <c r="C316" s="239" t="n">
        <v>2</v>
      </c>
      <c r="D316" s="239" t="n"/>
      <c r="E316" s="239" t="n"/>
      <c r="F316" s="240" t="n"/>
      <c r="G316" s="240" t="n"/>
      <c r="H316" s="241" t="n">
        <v>45000</v>
      </c>
      <c r="I316" s="242" t="n"/>
      <c r="J316" s="242" t="n">
        <v>45000</v>
      </c>
      <c r="K316" s="233" t="n"/>
      <c r="L316" s="233">
        <f>IF(K316&lt;&gt;"",15000+K316,15000)</f>
        <v/>
      </c>
      <c r="M316" s="156" t="n"/>
      <c r="N316" s="156" t="n"/>
      <c r="O316" s="156" t="n"/>
    </row>
    <row r="317" ht="18.75" customHeight="1" s="153">
      <c r="A317" s="227" t="n">
        <v>46135</v>
      </c>
      <c r="B317" s="228" t="inlineStr">
        <is>
          <t>PAULO</t>
        </is>
      </c>
      <c r="C317" s="229" t="n">
        <v>2</v>
      </c>
      <c r="D317" s="229" t="n"/>
      <c r="E317" s="229" t="n"/>
      <c r="F317" s="230" t="n"/>
      <c r="G317" s="230" t="n"/>
      <c r="H317" s="257" t="n">
        <v>38000</v>
      </c>
      <c r="I317" s="258" t="n">
        <v>38000</v>
      </c>
      <c r="J317" s="258" t="n"/>
      <c r="K317" s="233" t="n"/>
      <c r="L317" s="233">
        <f>IF(K317&lt;&gt;"",8000+K317,8000)</f>
        <v/>
      </c>
      <c r="M317" s="156" t="n"/>
      <c r="N317" s="156" t="n"/>
      <c r="O317" s="156" t="n"/>
    </row>
    <row r="318" ht="18.75" customHeight="1" s="153">
      <c r="A318" s="237" t="n"/>
      <c r="B318" s="238" t="inlineStr">
        <is>
          <t>MARIO GABOTO Y ALBERTI</t>
        </is>
      </c>
      <c r="C318" s="239" t="n">
        <v>2</v>
      </c>
      <c r="D318" s="239" t="n"/>
      <c r="E318" s="239" t="n"/>
      <c r="F318" s="240" t="n"/>
      <c r="G318" s="240" t="n"/>
      <c r="H318" s="259" t="n">
        <v>38000</v>
      </c>
      <c r="I318" s="260" t="n">
        <v>38000</v>
      </c>
      <c r="J318" s="260" t="n"/>
      <c r="K318" s="233" t="n"/>
      <c r="L318" s="233">
        <f>IF(K318&lt;&gt;"",8000+K318,8000)</f>
        <v/>
      </c>
      <c r="M318" s="156" t="n"/>
      <c r="N318" s="156" t="n"/>
      <c r="O318" s="156" t="n"/>
    </row>
    <row r="319" ht="18.75" customHeight="1" s="153">
      <c r="A319" s="227" t="n"/>
      <c r="B319" s="228" t="inlineStr">
        <is>
          <t>BEATRIZ</t>
        </is>
      </c>
      <c r="C319" s="229" t="n"/>
      <c r="D319" s="229" t="n"/>
      <c r="E319" s="229" t="n"/>
      <c r="F319" s="230" t="n"/>
      <c r="G319" s="230" t="n">
        <v>1</v>
      </c>
      <c r="H319" s="257" t="n">
        <v>6000</v>
      </c>
      <c r="I319" s="258" t="n"/>
      <c r="J319" s="258" t="n">
        <v>6000</v>
      </c>
      <c r="K319" s="233" t="n"/>
      <c r="L319" s="233">
        <f>IF(K319&lt;&gt;"",5150+K319,5150)</f>
        <v/>
      </c>
      <c r="M319" s="156" t="n"/>
      <c r="N319" s="156" t="n"/>
      <c r="O319" s="156" t="n"/>
    </row>
    <row r="320" ht="18.75" customHeight="1" s="153">
      <c r="A320" s="237" t="n"/>
      <c r="B320" s="238" t="inlineStr">
        <is>
          <t>GUANELLA 4552</t>
        </is>
      </c>
      <c r="C320" s="239" t="n">
        <v>1</v>
      </c>
      <c r="D320" s="239" t="n"/>
      <c r="E320" s="239" t="n"/>
      <c r="F320" s="240" t="n"/>
      <c r="G320" s="240" t="n"/>
      <c r="H320" s="259" t="n">
        <v>27000</v>
      </c>
      <c r="I320" s="260" t="n"/>
      <c r="J320" s="260" t="n">
        <v>27000</v>
      </c>
      <c r="K320" s="233" t="n"/>
      <c r="L320" s="233">
        <f>IF(K320&lt;&gt;"",12000+K320,12000)</f>
        <v/>
      </c>
      <c r="M320" s="156" t="n"/>
      <c r="N320" s="156" t="n"/>
      <c r="O320" s="156" t="n"/>
    </row>
    <row r="321" ht="18.75" customHeight="1" s="153">
      <c r="A321" s="227" t="n"/>
      <c r="B321" s="228" t="inlineStr">
        <is>
          <t>ALBERTI 4649</t>
        </is>
      </c>
      <c r="C321" s="229" t="n">
        <v>1</v>
      </c>
      <c r="D321" s="229" t="n"/>
      <c r="E321" s="229" t="n"/>
      <c r="F321" s="230" t="n"/>
      <c r="G321" s="230" t="n"/>
      <c r="H321" s="257" t="n">
        <v>25000</v>
      </c>
      <c r="I321" s="258" t="n"/>
      <c r="J321" s="258" t="n">
        <v>25000</v>
      </c>
      <c r="K321" s="233" t="n"/>
      <c r="L321" s="233">
        <f>IF(K321&lt;&gt;"",10000+K321,10000)</f>
        <v/>
      </c>
      <c r="M321" s="156" t="n"/>
      <c r="N321" s="156" t="n"/>
      <c r="O321" s="156" t="n"/>
    </row>
    <row r="322" ht="18.75" customHeight="1" s="153">
      <c r="A322" s="237" t="n"/>
      <c r="B322" s="238" t="inlineStr">
        <is>
          <t>OTNIEL</t>
        </is>
      </c>
      <c r="C322" s="239" t="n"/>
      <c r="D322" s="239" t="n"/>
      <c r="E322" s="239" t="n"/>
      <c r="F322" s="240" t="n"/>
      <c r="G322" s="240" t="n">
        <v>2</v>
      </c>
      <c r="H322" s="259" t="n">
        <v>12000</v>
      </c>
      <c r="I322" s="260" t="n"/>
      <c r="J322" s="260" t="n">
        <v>12000</v>
      </c>
      <c r="K322" s="233" t="n"/>
      <c r="L322" s="233">
        <f>IF(K322&lt;&gt;"",10300+K322,10300)</f>
        <v/>
      </c>
      <c r="M322" s="156" t="n"/>
      <c r="N322" s="156" t="n"/>
      <c r="O322" s="156" t="n"/>
    </row>
    <row r="323" ht="18.75" customHeight="1" s="153">
      <c r="A323" s="227" t="n"/>
      <c r="B323" s="228" t="inlineStr">
        <is>
          <t>TROPPO</t>
        </is>
      </c>
      <c r="C323" s="229" t="n">
        <v>1</v>
      </c>
      <c r="D323" s="229" t="n"/>
      <c r="E323" s="229" t="n"/>
      <c r="F323" s="230" t="n"/>
      <c r="G323" s="230" t="n"/>
      <c r="H323" s="257" t="n">
        <v>27000</v>
      </c>
      <c r="I323" s="258" t="n"/>
      <c r="J323" s="258" t="n">
        <v>27000</v>
      </c>
      <c r="K323" s="233" t="n"/>
      <c r="L323" s="233">
        <f>IF(K323&lt;&gt;"",12000+K323,12000)</f>
        <v/>
      </c>
      <c r="M323" s="156" t="n"/>
      <c r="N323" s="156" t="n"/>
      <c r="O323" s="156" t="n"/>
    </row>
    <row r="324" ht="18.75" customHeight="1" s="153">
      <c r="A324" s="237" t="n"/>
      <c r="B324" s="238" t="inlineStr">
        <is>
          <t>1 DE MAYO 1605</t>
        </is>
      </c>
      <c r="C324" s="239" t="n"/>
      <c r="D324" s="239" t="n">
        <v>1</v>
      </c>
      <c r="E324" s="239" t="n"/>
      <c r="F324" s="240" t="n"/>
      <c r="G324" s="240" t="n"/>
      <c r="H324" s="259" t="n">
        <v>39000</v>
      </c>
      <c r="I324" s="260" t="n">
        <v>39000</v>
      </c>
      <c r="J324" s="260" t="n"/>
      <c r="K324" s="233" t="n"/>
      <c r="L324" s="233">
        <f>IF(K324&lt;&gt;"",16500+K324,16500)</f>
        <v/>
      </c>
      <c r="M324" s="156" t="n"/>
      <c r="N324" s="156" t="n"/>
      <c r="O324" s="156" t="n"/>
    </row>
    <row r="325" ht="18.75" customHeight="1" s="153">
      <c r="A325" s="227" t="n"/>
      <c r="B325" s="228" t="inlineStr">
        <is>
          <t>SEDLASEK 5347</t>
        </is>
      </c>
      <c r="C325" s="229" t="n">
        <v>1</v>
      </c>
      <c r="D325" s="229" t="n"/>
      <c r="E325" s="229" t="n"/>
      <c r="F325" s="230" t="n"/>
      <c r="G325" s="230" t="n"/>
      <c r="H325" s="257" t="n">
        <v>26000</v>
      </c>
      <c r="I325" s="258" t="n">
        <v>26000</v>
      </c>
      <c r="J325" s="258" t="n"/>
      <c r="K325" s="233" t="n"/>
      <c r="L325" s="233">
        <f>IF(K325&lt;&gt;"",11000+K325,11000)</f>
        <v/>
      </c>
      <c r="M325" s="156" t="n"/>
      <c r="N325" s="156" t="n"/>
      <c r="O325" s="156" t="n"/>
    </row>
    <row r="326" ht="18.75" customHeight="1" s="153">
      <c r="A326" s="237" t="n"/>
      <c r="B326" s="238" t="inlineStr">
        <is>
          <t>PANA VIEYTES 4500</t>
        </is>
      </c>
      <c r="C326" s="239" t="n"/>
      <c r="D326" s="239" t="n"/>
      <c r="E326" s="239" t="n">
        <v>1</v>
      </c>
      <c r="F326" s="240" t="n"/>
      <c r="G326" s="240" t="n"/>
      <c r="H326" s="259" t="n">
        <v>78000</v>
      </c>
      <c r="I326" s="260" t="n">
        <v>78000</v>
      </c>
      <c r="J326" s="260" t="n"/>
      <c r="K326" s="233" t="n"/>
      <c r="L326" s="233">
        <f>IF(K326&lt;&gt;"",18000+K326,18000)</f>
        <v/>
      </c>
      <c r="M326" s="156" t="n"/>
      <c r="N326" s="156" t="n"/>
      <c r="O326" s="156" t="n"/>
    </row>
    <row r="327" ht="18.75" customHeight="1" s="153">
      <c r="A327" s="227" t="n"/>
      <c r="B327" s="228" t="inlineStr">
        <is>
          <t>FILOMENA</t>
        </is>
      </c>
      <c r="C327" s="229" t="n">
        <v>2</v>
      </c>
      <c r="D327" s="229" t="n"/>
      <c r="E327" s="229" t="n"/>
      <c r="F327" s="230" t="n"/>
      <c r="G327" s="230" t="n"/>
      <c r="H327" s="257" t="n">
        <v>46000</v>
      </c>
      <c r="I327" s="258" t="n"/>
      <c r="J327" s="258" t="n">
        <v>46000</v>
      </c>
      <c r="K327" s="233" t="n"/>
      <c r="L327" s="233">
        <f>IF(K327&lt;&gt;"",16000+K327,16000)</f>
        <v/>
      </c>
      <c r="M327" s="156" t="n"/>
      <c r="N327" s="156" t="n"/>
      <c r="O327" s="156" t="n"/>
    </row>
    <row r="328" ht="18.75" customHeight="1" s="153">
      <c r="A328" s="237" t="n"/>
      <c r="B328" s="238" t="inlineStr">
        <is>
          <t>SABOREAR</t>
        </is>
      </c>
      <c r="C328" s="239" t="n"/>
      <c r="D328" s="239" t="n"/>
      <c r="E328" s="239" t="n">
        <v>1</v>
      </c>
      <c r="F328" s="240" t="n"/>
      <c r="G328" s="240" t="n"/>
      <c r="H328" s="259" t="n">
        <v>81000</v>
      </c>
      <c r="I328" s="260" t="n"/>
      <c r="J328" s="260" t="n">
        <v>81000</v>
      </c>
      <c r="K328" s="233" t="n"/>
      <c r="L328" s="233">
        <f>IF(K328&lt;&gt;"",21000+K328,21000)</f>
        <v/>
      </c>
      <c r="M328" s="156" t="n"/>
      <c r="N328" s="156" t="n"/>
      <c r="O328" s="156" t="n"/>
    </row>
    <row r="329" ht="18.75" customHeight="1" s="153">
      <c r="A329" s="227" t="n"/>
      <c r="B329" s="228" t="inlineStr">
        <is>
          <t>LAVALLE 4224</t>
        </is>
      </c>
      <c r="C329" s="229" t="n">
        <v>1</v>
      </c>
      <c r="D329" s="229" t="n"/>
      <c r="E329" s="229" t="n"/>
      <c r="F329" s="230" t="n"/>
      <c r="G329" s="230" t="n"/>
      <c r="H329" s="257" t="n">
        <v>26000</v>
      </c>
      <c r="I329" s="258" t="n"/>
      <c r="J329" s="258" t="n">
        <v>26000</v>
      </c>
      <c r="K329" s="233" t="n"/>
      <c r="L329" s="233">
        <f>IF(K329&lt;&gt;"",11000+K329,11000)</f>
        <v/>
      </c>
      <c r="M329" s="156" t="n"/>
      <c r="N329" s="156" t="n"/>
      <c r="O329" s="156" t="n"/>
    </row>
    <row r="330" ht="18.75" customHeight="1" s="153">
      <c r="A330" s="237" t="n"/>
      <c r="B330" s="238" t="inlineStr">
        <is>
          <t>ROTI ARISTOBULO</t>
        </is>
      </c>
      <c r="C330" s="239" t="n"/>
      <c r="D330" s="239" t="n">
        <v>1</v>
      </c>
      <c r="E330" s="239" t="n"/>
      <c r="F330" s="240" t="n"/>
      <c r="G330" s="240" t="n"/>
      <c r="H330" s="259" t="n">
        <v>33500</v>
      </c>
      <c r="I330" s="260" t="n"/>
      <c r="J330" s="260" t="n">
        <v>33500</v>
      </c>
      <c r="K330" s="233" t="n"/>
      <c r="L330" s="233">
        <f>IF(K330&lt;&gt;"",11000+K330,11000)</f>
        <v/>
      </c>
      <c r="M330" s="156" t="n"/>
      <c r="N330" s="156" t="n"/>
      <c r="O330" s="156" t="n"/>
    </row>
    <row r="331" ht="18.75" customHeight="1" s="153">
      <c r="A331" s="227" t="n">
        <v>46136</v>
      </c>
      <c r="B331" s="228" t="inlineStr">
        <is>
          <t>FREY AROCA 9560 ESCUELA</t>
        </is>
      </c>
      <c r="C331" s="229" t="n"/>
      <c r="D331" s="229" t="n"/>
      <c r="E331" s="229" t="n">
        <v>2</v>
      </c>
      <c r="F331" s="230" t="n"/>
      <c r="G331" s="230" t="n"/>
      <c r="H331" s="257" t="n">
        <v>187900</v>
      </c>
      <c r="I331" s="258" t="n"/>
      <c r="J331" s="258" t="n">
        <v>187900</v>
      </c>
      <c r="K331" s="233" t="n"/>
      <c r="L331" s="233">
        <f>IF(K331&lt;&gt;"",67900+K331,67900)</f>
        <v/>
      </c>
      <c r="M331" s="156" t="n"/>
      <c r="N331" s="156" t="n"/>
      <c r="O331" s="156" t="n"/>
    </row>
    <row r="332" ht="18.75" customHeight="1" s="153">
      <c r="A332" s="237" t="n"/>
      <c r="B332" s="238" t="inlineStr">
        <is>
          <t>ROTI AGUADO</t>
        </is>
      </c>
      <c r="C332" s="239" t="n"/>
      <c r="D332" s="239" t="n">
        <v>2</v>
      </c>
      <c r="E332" s="239" t="n"/>
      <c r="F332" s="240" t="n"/>
      <c r="G332" s="240" t="n"/>
      <c r="H332" s="259" t="n">
        <v>67000</v>
      </c>
      <c r="I332" s="260" t="n"/>
      <c r="J332" s="260" t="n">
        <v>67000</v>
      </c>
      <c r="K332" s="233" t="n"/>
      <c r="L332" s="233">
        <f>IF(K332&lt;&gt;"",22000+K332,22000)</f>
        <v/>
      </c>
      <c r="M332" s="156" t="n"/>
      <c r="N332" s="156" t="n"/>
      <c r="O332" s="156" t="n"/>
    </row>
    <row r="333" ht="18.75" customHeight="1" s="153">
      <c r="A333" s="227" t="n"/>
      <c r="B333" s="228" t="inlineStr">
        <is>
          <t>DOMINGO SILVA 4217</t>
        </is>
      </c>
      <c r="C333" s="229" t="n">
        <v>2</v>
      </c>
      <c r="D333" s="229" t="n">
        <v>1</v>
      </c>
      <c r="E333" s="229" t="n"/>
      <c r="F333" s="230" t="n"/>
      <c r="G333" s="230" t="n"/>
      <c r="H333" s="257" t="n">
        <v>66500</v>
      </c>
      <c r="I333" s="258" t="n"/>
      <c r="J333" s="258" t="n"/>
      <c r="K333" s="233" t="n"/>
      <c r="L333" s="233">
        <f>IF(K333&lt;&gt;"",14000+K333,14000)</f>
        <v/>
      </c>
      <c r="M333" s="156" t="n"/>
      <c r="N333" s="156" t="n"/>
      <c r="O333" s="156" t="n"/>
    </row>
    <row r="334" ht="18.75" customHeight="1" s="153">
      <c r="A334" s="237" t="n"/>
      <c r="B334" s="238" t="inlineStr">
        <is>
          <t>OTNIEL</t>
        </is>
      </c>
      <c r="C334" s="239" t="n"/>
      <c r="D334" s="239" t="n">
        <v>2</v>
      </c>
      <c r="E334" s="239" t="n">
        <v>1</v>
      </c>
      <c r="F334" s="240" t="n"/>
      <c r="G334" s="240" t="n"/>
      <c r="H334" s="259" t="n">
        <v>149000</v>
      </c>
      <c r="I334" s="260" t="n">
        <v>149000</v>
      </c>
      <c r="J334" s="260" t="n"/>
      <c r="K334" s="233" t="n"/>
      <c r="L334" s="233">
        <f>IF(K334&lt;&gt;"",44000+K334,44000)</f>
        <v/>
      </c>
      <c r="M334" s="156" t="n"/>
      <c r="N334" s="156" t="n"/>
      <c r="O334" s="156" t="n"/>
    </row>
    <row r="335" ht="18.75" customHeight="1" s="153">
      <c r="A335" s="227" t="n"/>
      <c r="B335" s="228" t="inlineStr">
        <is>
          <t>VIANDAS JORGE</t>
        </is>
      </c>
      <c r="C335" s="229" t="n">
        <v>1</v>
      </c>
      <c r="D335" s="229" t="n"/>
      <c r="E335" s="229" t="n"/>
      <c r="F335" s="230" t="n"/>
      <c r="G335" s="230" t="n"/>
      <c r="H335" s="257" t="n">
        <v>22000</v>
      </c>
      <c r="I335" s="258" t="n">
        <v>22000</v>
      </c>
      <c r="J335" s="258" t="n"/>
      <c r="K335" s="233" t="n"/>
      <c r="L335" s="233">
        <f>IF(K335&lt;&gt;"",7000+K335,7000)</f>
        <v/>
      </c>
      <c r="M335" s="156" t="n"/>
      <c r="N335" s="156" t="n"/>
      <c r="O335" s="156" t="n"/>
    </row>
    <row r="336" ht="18.75" customHeight="1" s="153">
      <c r="A336" s="237" t="n"/>
      <c r="B336" s="238" t="inlineStr">
        <is>
          <t>ESPORA 3421</t>
        </is>
      </c>
      <c r="C336" s="239" t="n">
        <v>1</v>
      </c>
      <c r="D336" s="239" t="n"/>
      <c r="E336" s="239" t="n"/>
      <c r="F336" s="240" t="n"/>
      <c r="G336" s="240" t="n"/>
      <c r="H336" s="259" t="n">
        <v>26000</v>
      </c>
      <c r="I336" s="260" t="n">
        <v>26000</v>
      </c>
      <c r="J336" s="260" t="n"/>
      <c r="K336" s="233" t="n"/>
      <c r="L336" s="233">
        <f>IF(K336&lt;&gt;"",11000+K336,11000)</f>
        <v/>
      </c>
      <c r="M336" s="156" t="n"/>
      <c r="N336" s="156" t="n"/>
      <c r="O336" s="156" t="n"/>
    </row>
    <row r="337" ht="18.75" customHeight="1" s="153">
      <c r="A337" s="227" t="n"/>
      <c r="B337" s="228" t="inlineStr">
        <is>
          <t>BAGUETT</t>
        </is>
      </c>
      <c r="C337" s="229" t="n"/>
      <c r="D337" s="229" t="n"/>
      <c r="E337" s="229" t="n">
        <v>1</v>
      </c>
      <c r="F337" s="230" t="n"/>
      <c r="G337" s="230" t="n"/>
      <c r="H337" s="257" t="n">
        <v>75000</v>
      </c>
      <c r="I337" s="258" t="n"/>
      <c r="J337" s="258" t="n">
        <v>75000</v>
      </c>
      <c r="K337" s="233" t="n"/>
      <c r="L337" s="233">
        <f>IF(K337&lt;&gt;"",15000+K337,15000)</f>
        <v/>
      </c>
      <c r="M337" s="156" t="n"/>
      <c r="N337" s="156" t="n"/>
      <c r="O337" s="156" t="n"/>
    </row>
    <row r="338" ht="18.75" customHeight="1" s="153">
      <c r="A338" s="237" t="n"/>
      <c r="B338" s="238" t="inlineStr">
        <is>
          <t>CHICLANA 7325</t>
        </is>
      </c>
      <c r="C338" s="239" t="n">
        <v>1</v>
      </c>
      <c r="D338" s="239" t="n"/>
      <c r="E338" s="239" t="n"/>
      <c r="F338" s="240" t="n"/>
      <c r="G338" s="240" t="n"/>
      <c r="H338" s="259" t="n">
        <v>19000</v>
      </c>
      <c r="I338" s="260" t="n"/>
      <c r="J338" s="260" t="n">
        <v>19000</v>
      </c>
      <c r="K338" s="233" t="n"/>
      <c r="L338" s="233">
        <f>IF(K338&lt;&gt;"",4000+K338,4000)</f>
        <v/>
      </c>
      <c r="M338" s="156" t="n"/>
      <c r="N338" s="156" t="n"/>
      <c r="O338" s="156" t="n"/>
    </row>
    <row r="339" ht="18.75" customHeight="1" s="153">
      <c r="A339" s="227" t="n"/>
      <c r="B339" s="228" t="inlineStr">
        <is>
          <t>GENERAL LOPEZ 2614 LOS PRIMOS</t>
        </is>
      </c>
      <c r="C339" s="229" t="n">
        <v>3</v>
      </c>
      <c r="D339" s="229" t="n"/>
      <c r="E339" s="229" t="n"/>
      <c r="F339" s="230" t="n"/>
      <c r="G339" s="230" t="n"/>
      <c r="H339" s="257" t="n">
        <v>81000</v>
      </c>
      <c r="I339" s="258" t="n">
        <v>81000</v>
      </c>
      <c r="J339" s="258" t="n"/>
      <c r="K339" s="233" t="n"/>
      <c r="L339" s="233">
        <f>IF(K339&lt;&gt;"",36000+K339,36000)</f>
        <v/>
      </c>
      <c r="M339" s="156" t="n"/>
      <c r="N339" s="156" t="n"/>
      <c r="O339" s="156" t="n"/>
    </row>
    <row r="340" ht="18.75" customHeight="1" s="153">
      <c r="A340" s="237" t="n"/>
      <c r="B340" s="238" t="inlineStr">
        <is>
          <t>AZCUENAGA 6551</t>
        </is>
      </c>
      <c r="C340" s="239" t="n">
        <v>4</v>
      </c>
      <c r="D340" s="239" t="n">
        <v>1</v>
      </c>
      <c r="E340" s="239" t="n"/>
      <c r="F340" s="240" t="n"/>
      <c r="G340" s="240" t="n"/>
      <c r="H340" s="259" t="n">
        <v>102500</v>
      </c>
      <c r="I340" s="260" t="n"/>
      <c r="J340" s="260" t="n">
        <v>102500</v>
      </c>
      <c r="K340" s="233" t="n"/>
      <c r="L340" s="233">
        <f>IF(K340&lt;&gt;"",20000+K340,20000)</f>
        <v/>
      </c>
      <c r="M340" s="156" t="n"/>
      <c r="N340" s="156" t="n"/>
      <c r="O340" s="156" t="n"/>
    </row>
    <row r="341" ht="18.75" customHeight="1" s="153">
      <c r="A341" s="227" t="n"/>
      <c r="B341" s="228" t="inlineStr">
        <is>
          <t>PASAJE SANTA FE 5893</t>
        </is>
      </c>
      <c r="C341" s="229" t="n"/>
      <c r="D341" s="229" t="n">
        <v>1</v>
      </c>
      <c r="E341" s="229" t="n"/>
      <c r="F341" s="230" t="n"/>
      <c r="G341" s="230" t="n"/>
      <c r="H341" s="257" t="n">
        <v>37500</v>
      </c>
      <c r="I341" s="258" t="n"/>
      <c r="J341" s="258" t="n"/>
      <c r="K341" s="233" t="n"/>
      <c r="L341" s="233">
        <f>IF(K341&lt;&gt;"",15000+K341,15000)</f>
        <v/>
      </c>
      <c r="M341" s="156" t="n"/>
      <c r="N341" s="156" t="n"/>
      <c r="O341" s="156" t="n"/>
    </row>
    <row r="342" ht="18.75" customHeight="1" s="153">
      <c r="A342" s="237" t="n"/>
      <c r="B342" s="238" t="inlineStr">
        <is>
          <t>SANTA CRUZ 6194</t>
        </is>
      </c>
      <c r="C342" s="239" t="n">
        <v>1</v>
      </c>
      <c r="D342" s="239" t="n"/>
      <c r="E342" s="239" t="n"/>
      <c r="F342" s="240" t="n"/>
      <c r="G342" s="240" t="n"/>
      <c r="H342" s="259" t="n">
        <v>26000</v>
      </c>
      <c r="I342" s="260" t="n">
        <v>26000</v>
      </c>
      <c r="J342" s="260" t="n"/>
      <c r="K342" s="233" t="n"/>
      <c r="L342" s="233">
        <f>IF(K342&lt;&gt;"",11000+K342,11000)</f>
        <v/>
      </c>
      <c r="M342" s="156" t="n"/>
      <c r="N342" s="156" t="n"/>
      <c r="O342" s="156" t="n"/>
    </row>
    <row r="343" ht="18.75" customHeight="1" s="153">
      <c r="A343" s="227" t="n"/>
      <c r="B343" s="228" t="inlineStr">
        <is>
          <t>CAREN</t>
        </is>
      </c>
      <c r="C343" s="229" t="n"/>
      <c r="D343" s="229" t="n"/>
      <c r="E343" s="229" t="n">
        <v>1</v>
      </c>
      <c r="F343" s="230" t="n"/>
      <c r="G343" s="230" t="n"/>
      <c r="H343" s="257" t="n">
        <v>82000</v>
      </c>
      <c r="I343" s="258" t="n"/>
      <c r="J343" s="258" t="n">
        <v>82000</v>
      </c>
      <c r="K343" s="233" t="n"/>
      <c r="L343" s="233">
        <f>IF(K343&lt;&gt;"",22000+K343,22000)</f>
        <v/>
      </c>
      <c r="M343" s="156" t="n"/>
      <c r="N343" s="156" t="n"/>
      <c r="O343" s="156" t="n"/>
    </row>
    <row r="344" ht="18.75" customHeight="1" s="153">
      <c r="A344" s="237" t="n"/>
      <c r="B344" s="238" t="inlineStr">
        <is>
          <t>RIVADAVIA JUNIORS</t>
        </is>
      </c>
      <c r="C344" s="239" t="n">
        <v>3</v>
      </c>
      <c r="D344" s="239" t="n"/>
      <c r="E344" s="239" t="n"/>
      <c r="F344" s="240" t="n"/>
      <c r="G344" s="240" t="n"/>
      <c r="H344" s="259" t="n">
        <v>75000</v>
      </c>
      <c r="I344" s="260" t="n">
        <v>75000</v>
      </c>
      <c r="J344" s="260" t="n"/>
      <c r="K344" s="233" t="n"/>
      <c r="L344" s="233">
        <f>IF(K344&lt;&gt;"",30000+K344,30000)</f>
        <v/>
      </c>
      <c r="M344" s="156" t="n"/>
      <c r="N344" s="156" t="n"/>
      <c r="O344" s="156" t="n"/>
    </row>
    <row r="345" ht="18.75" customHeight="1" s="153">
      <c r="A345" s="227" t="n"/>
      <c r="B345" s="228" t="inlineStr">
        <is>
          <t>PEDRO DIAZ COLODRERO 1224</t>
        </is>
      </c>
      <c r="C345" s="229" t="n">
        <v>1</v>
      </c>
      <c r="D345" s="229" t="n"/>
      <c r="E345" s="229" t="n"/>
      <c r="F345" s="230" t="n"/>
      <c r="G345" s="230" t="n"/>
      <c r="H345" s="257" t="n">
        <v>26000</v>
      </c>
      <c r="I345" s="258" t="n">
        <v>26000</v>
      </c>
      <c r="J345" s="258" t="n"/>
      <c r="K345" s="233" t="n"/>
      <c r="L345" s="233">
        <f>IF(K345&lt;&gt;"",11000+K345,11000)</f>
        <v/>
      </c>
      <c r="M345" s="156" t="n"/>
      <c r="N345" s="156" t="n"/>
      <c r="O345" s="156" t="n"/>
    </row>
    <row r="346" ht="18.75" customHeight="1" s="153">
      <c r="A346" s="237" t="n"/>
      <c r="B346" s="238" t="inlineStr">
        <is>
          <t>MATEU 4059</t>
        </is>
      </c>
      <c r="C346" s="239" t="n"/>
      <c r="D346" s="239" t="n">
        <v>1</v>
      </c>
      <c r="E346" s="239" t="n"/>
      <c r="F346" s="240" t="n"/>
      <c r="G346" s="240" t="n"/>
      <c r="H346" s="259" t="n">
        <v>32500</v>
      </c>
      <c r="I346" s="260" t="n">
        <v>32500</v>
      </c>
      <c r="J346" s="260" t="n"/>
      <c r="K346" s="233" t="n"/>
      <c r="L346" s="233">
        <f>IF(K346&lt;&gt;"",10000+K346,10000)</f>
        <v/>
      </c>
      <c r="M346" s="156" t="n"/>
      <c r="N346" s="156" t="n"/>
      <c r="O346" s="156" t="n"/>
    </row>
    <row r="347" ht="18.75" customHeight="1" s="153">
      <c r="A347" s="227" t="n"/>
      <c r="B347" s="228" t="inlineStr">
        <is>
          <t>TROPPO</t>
        </is>
      </c>
      <c r="C347" s="229" t="n">
        <v>3</v>
      </c>
      <c r="D347" s="229" t="n"/>
      <c r="E347" s="229" t="n"/>
      <c r="F347" s="230" t="n"/>
      <c r="G347" s="230" t="n"/>
      <c r="H347" s="257" t="n">
        <v>75000</v>
      </c>
      <c r="I347" s="258" t="n">
        <v>75000</v>
      </c>
      <c r="J347" s="258" t="n"/>
      <c r="K347" s="233" t="n"/>
      <c r="L347" s="233">
        <f>IF(K347&lt;&gt;"",30000+K347,30000)</f>
        <v/>
      </c>
      <c r="M347" s="156" t="n"/>
      <c r="N347" s="156" t="n"/>
      <c r="O347" s="156" t="n"/>
    </row>
    <row r="348" ht="18.75" customHeight="1" s="153">
      <c r="A348" s="237" t="n"/>
      <c r="B348" s="238" t="inlineStr">
        <is>
          <t>9 DE JULIO 1144</t>
        </is>
      </c>
      <c r="C348" s="239" t="n"/>
      <c r="D348" s="239" t="n"/>
      <c r="E348" s="239" t="n">
        <v>2</v>
      </c>
      <c r="F348" s="240" t="n"/>
      <c r="G348" s="240" t="n"/>
      <c r="H348" s="259" t="n">
        <v>180000</v>
      </c>
      <c r="I348" s="260" t="n"/>
      <c r="J348" s="260" t="n">
        <v>180000</v>
      </c>
      <c r="K348" s="233" t="n"/>
      <c r="L348" s="233">
        <f>IF(K348&lt;&gt;"",60000+K348,60000)</f>
        <v/>
      </c>
      <c r="M348" s="156" t="n"/>
      <c r="N348" s="156" t="n"/>
      <c r="O348" s="156" t="n"/>
    </row>
    <row r="349" ht="18.75" customHeight="1" s="153">
      <c r="A349" s="227" t="n"/>
      <c r="B349" s="228" t="inlineStr">
        <is>
          <t>RUPERTO GODOT 1179</t>
        </is>
      </c>
      <c r="C349" s="229" t="n">
        <v>1</v>
      </c>
      <c r="D349" s="229" t="n"/>
      <c r="E349" s="229" t="n"/>
      <c r="F349" s="230" t="n"/>
      <c r="G349" s="230" t="n"/>
      <c r="H349" s="257" t="n">
        <v>25000</v>
      </c>
      <c r="I349" s="258" t="n">
        <v>25000</v>
      </c>
      <c r="J349" s="258" t="n"/>
      <c r="K349" s="233" t="n"/>
      <c r="L349" s="233">
        <f>IF(K349&lt;&gt;"",10000+K349,10000)</f>
        <v/>
      </c>
      <c r="M349" s="156" t="n"/>
      <c r="N349" s="156" t="n"/>
      <c r="O349" s="156" t="n"/>
    </row>
    <row r="350" ht="18.75" customHeight="1" s="153">
      <c r="A350" s="237" t="n"/>
      <c r="B350" s="238" t="inlineStr">
        <is>
          <t>ROTI VIEYTES</t>
        </is>
      </c>
      <c r="C350" s="239" t="n"/>
      <c r="D350" s="239" t="n">
        <v>2</v>
      </c>
      <c r="E350" s="239" t="n"/>
      <c r="F350" s="240" t="n"/>
      <c r="G350" s="240" t="n"/>
      <c r="H350" s="259" t="n">
        <v>61000</v>
      </c>
      <c r="I350" s="260" t="n"/>
      <c r="J350" s="260" t="n">
        <v>61000</v>
      </c>
      <c r="K350" s="233" t="n"/>
      <c r="L350" s="233">
        <f>IF(K350&lt;&gt;"",16000+K350,16000)</f>
        <v/>
      </c>
      <c r="M350" s="156" t="n"/>
      <c r="N350" s="156" t="n"/>
      <c r="O350" s="156" t="n"/>
    </row>
    <row r="351" ht="18.75" customHeight="1" s="153">
      <c r="A351" s="227" t="n"/>
      <c r="B351" s="228" t="inlineStr">
        <is>
          <t>FRANCIA 1864</t>
        </is>
      </c>
      <c r="C351" s="229" t="n"/>
      <c r="D351" s="229" t="n"/>
      <c r="E351" s="229" t="n">
        <v>1</v>
      </c>
      <c r="F351" s="230" t="n"/>
      <c r="G351" s="230" t="n"/>
      <c r="H351" s="257" t="n">
        <v>86000</v>
      </c>
      <c r="I351" s="258" t="n">
        <v>86000</v>
      </c>
      <c r="J351" s="258" t="n"/>
      <c r="K351" s="233" t="n"/>
      <c r="L351" s="233">
        <f>IF(K351&lt;&gt;"",26000+K351,26000)</f>
        <v/>
      </c>
      <c r="M351" s="156" t="n"/>
      <c r="N351" s="156" t="n"/>
      <c r="O351" s="156" t="n"/>
    </row>
    <row r="352" ht="18.75" customHeight="1" s="153">
      <c r="A352" s="237" t="n"/>
      <c r="B352" s="238" t="inlineStr">
        <is>
          <t>BRASERIA</t>
        </is>
      </c>
      <c r="C352" s="239" t="n"/>
      <c r="D352" s="239" t="n"/>
      <c r="E352" s="239" t="n">
        <v>1</v>
      </c>
      <c r="F352" s="240" t="n"/>
      <c r="G352" s="240" t="n"/>
      <c r="H352" s="259" t="n">
        <v>83000</v>
      </c>
      <c r="I352" s="260" t="n"/>
      <c r="J352" s="260" t="n">
        <v>83000</v>
      </c>
      <c r="K352" s="233" t="n"/>
      <c r="L352" s="233">
        <f>IF(K352&lt;&gt;"",23000+K352,23000)</f>
        <v/>
      </c>
      <c r="M352" s="156" t="n"/>
      <c r="N352" s="156" t="n"/>
      <c r="O352" s="156" t="n"/>
    </row>
    <row r="353" ht="18.75" customHeight="1" s="153">
      <c r="A353" s="227" t="n">
        <v>46137</v>
      </c>
      <c r="B353" s="228" t="inlineStr">
        <is>
          <t>SANDRA</t>
        </is>
      </c>
      <c r="C353" s="229" t="n">
        <v>1</v>
      </c>
      <c r="D353" s="229" t="n"/>
      <c r="E353" s="229" t="n"/>
      <c r="F353" s="230" t="n"/>
      <c r="G353" s="230" t="n"/>
      <c r="H353" s="257" t="n">
        <v>19000</v>
      </c>
      <c r="I353" s="258" t="n">
        <v>19000</v>
      </c>
      <c r="J353" s="258" t="n"/>
      <c r="K353" s="233" t="n"/>
      <c r="L353" s="233">
        <f>IF(K353&lt;&gt;"",4000+K353,4000)</f>
        <v/>
      </c>
      <c r="M353" s="156" t="n"/>
      <c r="N353" s="156" t="n"/>
      <c r="O353" s="156" t="n"/>
    </row>
    <row r="354" ht="18.75" customHeight="1" s="153">
      <c r="A354" s="237" t="n"/>
      <c r="B354" s="238" t="inlineStr">
        <is>
          <t>SUPER SERATO</t>
        </is>
      </c>
      <c r="C354" s="239" t="n"/>
      <c r="D354" s="239" t="n"/>
      <c r="E354" s="239" t="n">
        <v>1</v>
      </c>
      <c r="F354" s="240" t="n"/>
      <c r="G354" s="240" t="n"/>
      <c r="H354" s="259" t="n">
        <v>90000</v>
      </c>
      <c r="I354" s="260" t="n"/>
      <c r="J354" s="260" t="n">
        <v>90000</v>
      </c>
      <c r="K354" s="233" t="n"/>
      <c r="L354" s="233">
        <f>IF(K354&lt;&gt;"",30000+K354,30000)</f>
        <v/>
      </c>
      <c r="M354" s="156" t="n"/>
      <c r="N354" s="156" t="n"/>
      <c r="O354" s="156" t="n"/>
    </row>
    <row r="355" ht="15.75" customHeight="1" s="153">
      <c r="A355" s="227" t="n"/>
      <c r="B355" s="228" t="inlineStr">
        <is>
          <t>ABUELA LUCAS</t>
        </is>
      </c>
      <c r="C355" s="229" t="n">
        <v>1</v>
      </c>
      <c r="D355" s="229" t="n"/>
      <c r="E355" s="229" t="n"/>
      <c r="F355" s="230" t="n"/>
      <c r="G355" s="230" t="n"/>
      <c r="H355" s="257" t="n">
        <v>25000</v>
      </c>
      <c r="I355" s="258" t="n">
        <v>25000</v>
      </c>
      <c r="J355" s="258" t="n"/>
      <c r="K355" s="233" t="n"/>
      <c r="L355" s="233">
        <f>IF(K355&lt;&gt;"",10000+K355,10000)</f>
        <v/>
      </c>
      <c r="M355" s="156" t="n"/>
      <c r="N355" s="156" t="n"/>
      <c r="O355" s="156" t="n"/>
    </row>
    <row r="356" ht="15.75" customHeight="1" s="153">
      <c r="A356" s="237" t="n"/>
      <c r="B356" s="238" t="inlineStr">
        <is>
          <t>PARRI BLAS PARERA</t>
        </is>
      </c>
      <c r="C356" s="239" t="n">
        <v>1</v>
      </c>
      <c r="D356" s="239" t="n"/>
      <c r="E356" s="239" t="n"/>
      <c r="F356" s="240" t="n"/>
      <c r="G356" s="240" t="n"/>
      <c r="H356" s="259" t="n">
        <v>23000</v>
      </c>
      <c r="I356" s="260" t="n"/>
      <c r="J356" s="260" t="n">
        <v>23000</v>
      </c>
      <c r="K356" s="233" t="n"/>
      <c r="L356" s="233">
        <f>IF(K356&lt;&gt;"",8000+K356,8000)</f>
        <v/>
      </c>
      <c r="M356" s="156" t="n"/>
      <c r="N356" s="156" t="n"/>
      <c r="O356" s="156" t="n"/>
    </row>
    <row r="357" ht="15.75" customHeight="1" s="153">
      <c r="A357" s="227" t="n"/>
      <c r="B357" s="228" t="inlineStr">
        <is>
          <t>LOLI</t>
        </is>
      </c>
      <c r="C357" s="229" t="n">
        <v>1</v>
      </c>
      <c r="D357" s="229" t="n"/>
      <c r="E357" s="229" t="n"/>
      <c r="F357" s="230" t="n">
        <v>4</v>
      </c>
      <c r="G357" s="230" t="n"/>
      <c r="H357" s="257" t="n">
        <v>50000</v>
      </c>
      <c r="I357" s="258" t="n">
        <v>50000</v>
      </c>
      <c r="J357" s="258" t="n"/>
      <c r="K357" s="233" t="n"/>
      <c r="L357" s="233">
        <f>IF(K357&lt;&gt;"",25800+K357,25800)</f>
        <v/>
      </c>
      <c r="M357" s="156" t="n"/>
      <c r="N357" s="156" t="n"/>
      <c r="O357" s="156" t="n"/>
    </row>
    <row r="358" ht="15.75" customHeight="1" s="153">
      <c r="A358" s="237" t="n"/>
      <c r="B358" s="238" t="inlineStr">
        <is>
          <t>CINDI</t>
        </is>
      </c>
      <c r="C358" s="239" t="n"/>
      <c r="D358" s="239" t="n"/>
      <c r="E358" s="239" t="n"/>
      <c r="F358" s="240" t="n">
        <v>2</v>
      </c>
      <c r="G358" s="240" t="n"/>
      <c r="H358" s="259" t="n">
        <v>7000</v>
      </c>
      <c r="I358" s="260" t="n">
        <v>7000</v>
      </c>
      <c r="J358" s="260" t="n"/>
      <c r="K358" s="233" t="n"/>
      <c r="L358" s="233">
        <f>IF(K358&lt;&gt;"",2400+K358,2400)</f>
        <v/>
      </c>
      <c r="M358" s="156" t="n"/>
      <c r="N358" s="156" t="n"/>
      <c r="O358" s="156" t="n"/>
    </row>
    <row r="359" ht="15.75" customHeight="1" s="153">
      <c r="A359" s="227" t="n"/>
      <c r="B359" s="228" t="inlineStr">
        <is>
          <t>LUCHO</t>
        </is>
      </c>
      <c r="C359" s="229" t="n">
        <v>2</v>
      </c>
      <c r="D359" s="229" t="n"/>
      <c r="E359" s="229" t="n"/>
      <c r="F359" s="230" t="n"/>
      <c r="G359" s="230" t="n"/>
      <c r="H359" s="257" t="n">
        <v>38000</v>
      </c>
      <c r="I359" s="258" t="n">
        <v>38000</v>
      </c>
      <c r="J359" s="258" t="n"/>
      <c r="K359" s="233" t="n"/>
      <c r="L359" s="233">
        <f>IF(K359&lt;&gt;"",8000+K359,8000)</f>
        <v/>
      </c>
      <c r="M359" s="156" t="n"/>
      <c r="N359" s="156" t="n"/>
      <c r="O359" s="156" t="n"/>
    </row>
    <row r="360" ht="15.75" customHeight="1" s="153">
      <c r="A360" s="237" t="n"/>
      <c r="B360" s="238" t="inlineStr">
        <is>
          <t>DAMIANOVICH 3190</t>
        </is>
      </c>
      <c r="C360" s="239" t="n"/>
      <c r="D360" s="239" t="n">
        <v>1</v>
      </c>
      <c r="E360" s="239" t="n"/>
      <c r="F360" s="240" t="n"/>
      <c r="G360" s="240" t="n"/>
      <c r="H360" s="259" t="n">
        <v>38500</v>
      </c>
      <c r="I360" s="260" t="n">
        <v>38500</v>
      </c>
      <c r="J360" s="260" t="n"/>
      <c r="K360" s="233" t="n"/>
      <c r="L360" s="233">
        <f>IF(K360&lt;&gt;"",16000+K360,16000)</f>
        <v/>
      </c>
      <c r="M360" s="156" t="n"/>
      <c r="N360" s="156" t="n"/>
      <c r="O360" s="156" t="n"/>
    </row>
    <row r="361" ht="15.75" customHeight="1" s="153">
      <c r="A361" s="227" t="n"/>
      <c r="B361" s="228" t="inlineStr">
        <is>
          <t>SANTA BAR 1 MAYO 1959</t>
        </is>
      </c>
      <c r="C361" s="229" t="n"/>
      <c r="D361" s="229" t="n"/>
      <c r="E361" s="229" t="n">
        <v>1</v>
      </c>
      <c r="F361" s="230" t="n"/>
      <c r="G361" s="230" t="n"/>
      <c r="H361" s="257" t="n">
        <v>85000</v>
      </c>
      <c r="I361" s="258" t="n"/>
      <c r="J361" s="258" t="n">
        <v>85000</v>
      </c>
      <c r="K361" s="233" t="n"/>
      <c r="L361" s="233">
        <f>IF(K361&lt;&gt;"",25000+K361,25000)</f>
        <v/>
      </c>
      <c r="M361" s="156" t="n"/>
      <c r="N361" s="156" t="n"/>
      <c r="O361" s="156" t="n"/>
    </row>
    <row r="362" ht="15.75" customHeight="1" s="153">
      <c r="A362" s="237" t="n"/>
      <c r="B362" s="238" t="inlineStr">
        <is>
          <t>PANA BERUTI 3850</t>
        </is>
      </c>
      <c r="C362" s="239" t="n">
        <v>1</v>
      </c>
      <c r="D362" s="239" t="n"/>
      <c r="E362" s="239" t="n">
        <v>1</v>
      </c>
      <c r="F362" s="240" t="n"/>
      <c r="G362" s="240" t="n"/>
      <c r="H362" s="259" t="n">
        <v>99000</v>
      </c>
      <c r="I362" s="260" t="n">
        <v>99000</v>
      </c>
      <c r="J362" s="260" t="n"/>
      <c r="K362" s="233" t="n"/>
      <c r="L362" s="233">
        <f>IF(K362&lt;&gt;"",24000+K362,24000)</f>
        <v/>
      </c>
      <c r="M362" s="156" t="n"/>
      <c r="N362" s="156" t="n"/>
      <c r="O362" s="156" t="n"/>
    </row>
    <row r="363" ht="15.75" customHeight="1" s="153">
      <c r="A363" s="227" t="n"/>
      <c r="B363" s="228" t="inlineStr">
        <is>
          <t>FILOMENA</t>
        </is>
      </c>
      <c r="C363" s="229" t="n">
        <v>2</v>
      </c>
      <c r="D363" s="229" t="n"/>
      <c r="E363" s="229" t="n"/>
      <c r="F363" s="230" t="n"/>
      <c r="G363" s="230" t="n"/>
      <c r="H363" s="257" t="n">
        <v>41000</v>
      </c>
      <c r="I363" s="258" t="n"/>
      <c r="J363" s="258" t="n">
        <v>41000</v>
      </c>
      <c r="K363" s="233" t="n"/>
      <c r="L363" s="233">
        <f>IF(K363&lt;&gt;"",11000+K363,11000)</f>
        <v/>
      </c>
      <c r="M363" s="156" t="n"/>
      <c r="N363" s="156" t="n"/>
      <c r="O363" s="156" t="n"/>
    </row>
    <row r="364" ht="15.75" customHeight="1" s="153">
      <c r="A364" s="237" t="n">
        <v>46138</v>
      </c>
      <c r="B364" s="238" t="inlineStr">
        <is>
          <t>MITRE 4241</t>
        </is>
      </c>
      <c r="C364" s="239" t="n"/>
      <c r="D364" s="239" t="n"/>
      <c r="E364" s="239" t="n">
        <v>1</v>
      </c>
      <c r="F364" s="240" t="n"/>
      <c r="G364" s="240" t="n"/>
      <c r="H364" s="259" t="n">
        <v>86000</v>
      </c>
      <c r="I364" s="260" t="n">
        <v>86000</v>
      </c>
      <c r="J364" s="260" t="n"/>
      <c r="K364" s="233" t="n"/>
      <c r="L364" s="233">
        <f>IF(K364&lt;&gt;"",26000+K364,26000)</f>
        <v/>
      </c>
      <c r="M364" s="156" t="n"/>
      <c r="N364" s="156" t="n"/>
      <c r="O364" s="156" t="n"/>
    </row>
    <row r="365" ht="15.75" customHeight="1" s="153">
      <c r="A365" s="227" t="n"/>
      <c r="B365" s="228" t="inlineStr">
        <is>
          <t>PORKI</t>
        </is>
      </c>
      <c r="C365" s="229" t="n">
        <v>1</v>
      </c>
      <c r="D365" s="229" t="n"/>
      <c r="E365" s="229" t="n"/>
      <c r="F365" s="230" t="n"/>
      <c r="G365" s="230" t="n"/>
      <c r="H365" s="257" t="n">
        <v>23000</v>
      </c>
      <c r="I365" s="258" t="n"/>
      <c r="J365" s="258" t="n">
        <v>23000</v>
      </c>
      <c r="K365" s="233" t="n"/>
      <c r="L365" s="233">
        <f>IF(K365&lt;&gt;"",8000+K365,8000)</f>
        <v/>
      </c>
      <c r="M365" s="156" t="n"/>
      <c r="N365" s="156" t="n"/>
      <c r="O365" s="156" t="n"/>
    </row>
    <row r="366" ht="15.75" customHeight="1" s="153">
      <c r="A366" s="237" t="n"/>
      <c r="B366" s="238" t="inlineStr">
        <is>
          <t>ARISTOBULO 5119</t>
        </is>
      </c>
      <c r="C366" s="239" t="n"/>
      <c r="D366" s="239" t="n"/>
      <c r="E366" s="239" t="n">
        <v>1</v>
      </c>
      <c r="F366" s="240" t="n"/>
      <c r="G366" s="240" t="n"/>
      <c r="H366" s="259" t="n">
        <v>85000</v>
      </c>
      <c r="I366" s="260" t="n"/>
      <c r="J366" s="260" t="n">
        <v>85000</v>
      </c>
      <c r="K366" s="233" t="n"/>
      <c r="L366" s="233">
        <f>IF(K366&lt;&gt;"",25000+K366,25000)</f>
        <v/>
      </c>
      <c r="M366" s="156" t="n"/>
      <c r="N366" s="156" t="n"/>
      <c r="O366" s="156" t="n"/>
    </row>
    <row r="367" ht="15.75" customHeight="1" s="153">
      <c r="A367" s="227" t="n"/>
      <c r="B367" s="228" t="inlineStr">
        <is>
          <t>CONDOMINIO MIRLOS RINCON</t>
        </is>
      </c>
      <c r="C367" s="229" t="n">
        <v>3</v>
      </c>
      <c r="D367" s="229" t="n"/>
      <c r="E367" s="229" t="n"/>
      <c r="F367" s="230" t="n"/>
      <c r="G367" s="230" t="n"/>
      <c r="H367" s="257" t="n">
        <v>78000</v>
      </c>
      <c r="I367" s="258" t="n"/>
      <c r="J367" s="258" t="n">
        <v>78000</v>
      </c>
      <c r="K367" s="233" t="n"/>
      <c r="L367" s="233">
        <f>IF(K367&lt;&gt;"",33000+K367,33000)</f>
        <v/>
      </c>
      <c r="M367" s="156" t="n"/>
      <c r="N367" s="156" t="n"/>
      <c r="O367" s="156" t="n"/>
    </row>
    <row r="368" ht="15.75" customHeight="1" s="153">
      <c r="A368" s="237" t="n"/>
      <c r="B368" s="238" t="inlineStr">
        <is>
          <t>DEL SOL Y LUCIERNAGAS</t>
        </is>
      </c>
      <c r="C368" s="239" t="n"/>
      <c r="D368" s="239" t="n"/>
      <c r="E368" s="239" t="n">
        <v>1</v>
      </c>
      <c r="F368" s="240" t="n"/>
      <c r="G368" s="240" t="n"/>
      <c r="H368" s="259" t="n">
        <v>89000</v>
      </c>
      <c r="I368" s="260" t="n"/>
      <c r="J368" s="260" t="n">
        <v>89000</v>
      </c>
      <c r="K368" s="233" t="n"/>
      <c r="L368" s="233">
        <f>IF(K368&lt;&gt;"",29000+K368,29000)</f>
        <v/>
      </c>
      <c r="M368" s="156" t="n"/>
      <c r="N368" s="156" t="n"/>
      <c r="O368" s="156" t="n"/>
    </row>
    <row r="369" ht="15.75" customHeight="1" s="153">
      <c r="A369" s="227" t="n"/>
      <c r="B369" s="228" t="inlineStr">
        <is>
          <t>DANA</t>
        </is>
      </c>
      <c r="C369" s="229" t="n">
        <v>3</v>
      </c>
      <c r="D369" s="229" t="n"/>
      <c r="E369" s="229" t="n"/>
      <c r="F369" s="230" t="n"/>
      <c r="G369" s="230" t="n"/>
      <c r="H369" s="257" t="n">
        <v>57000</v>
      </c>
      <c r="I369" s="258" t="n">
        <v>57000</v>
      </c>
      <c r="J369" s="258" t="n"/>
      <c r="K369" s="233" t="n"/>
      <c r="L369" s="233">
        <f>IF(K369&lt;&gt;"",12000+K369,12000)</f>
        <v/>
      </c>
      <c r="M369" s="156" t="n"/>
      <c r="N369" s="156" t="n"/>
      <c r="O369" s="156" t="n"/>
    </row>
    <row r="370" ht="15.75" customHeight="1" s="153">
      <c r="A370" s="237" t="n"/>
      <c r="B370" s="238" t="inlineStr">
        <is>
          <t>MILENIO DE POLONIA 2819</t>
        </is>
      </c>
      <c r="C370" s="239" t="n">
        <v>2</v>
      </c>
      <c r="D370" s="239" t="n"/>
      <c r="E370" s="239" t="n"/>
      <c r="F370" s="240" t="n"/>
      <c r="G370" s="240" t="n"/>
      <c r="H370" s="259" t="n">
        <v>54000</v>
      </c>
      <c r="I370" s="260" t="n">
        <v>54000</v>
      </c>
      <c r="J370" s="260" t="n"/>
      <c r="K370" s="233" t="n"/>
      <c r="L370" s="233">
        <f>IF(K370&lt;&gt;"",24000+K370,24000)</f>
        <v/>
      </c>
      <c r="M370" s="156" t="n"/>
      <c r="N370" s="156" t="n"/>
      <c r="O370" s="156" t="n"/>
    </row>
    <row r="371" ht="15.75" customHeight="1" s="153">
      <c r="A371" s="227" t="n">
        <v>46139</v>
      </c>
      <c r="B371" s="228" t="inlineStr">
        <is>
          <t>PALLARES 8200 CASA 104</t>
        </is>
      </c>
      <c r="C371" s="229" t="n"/>
      <c r="D371" s="229" t="n"/>
      <c r="E371" s="229" t="n">
        <v>1</v>
      </c>
      <c r="F371" s="230" t="n"/>
      <c r="G371" s="230" t="n"/>
      <c r="H371" s="257" t="n">
        <v>90000</v>
      </c>
      <c r="I371" s="258" t="n"/>
      <c r="J371" s="258" t="n">
        <v>90000</v>
      </c>
      <c r="K371" s="233" t="n"/>
      <c r="L371" s="233">
        <f>IF(K371&lt;&gt;"",30000+K371,30000)</f>
        <v/>
      </c>
      <c r="M371" s="156" t="n"/>
      <c r="N371" s="156" t="n"/>
      <c r="O371" s="156" t="n"/>
    </row>
    <row r="372" ht="15.75" customHeight="1" s="153">
      <c r="A372" s="237" t="n"/>
      <c r="B372" s="238" t="inlineStr">
        <is>
          <t>FACUNDO ZUVIRIA 4041</t>
        </is>
      </c>
      <c r="C372" s="239" t="n">
        <v>1</v>
      </c>
      <c r="D372" s="239" t="n"/>
      <c r="E372" s="239" t="n"/>
      <c r="F372" s="240" t="n"/>
      <c r="G372" s="240" t="n"/>
      <c r="H372" s="259" t="n">
        <v>26000</v>
      </c>
      <c r="I372" s="260" t="n"/>
      <c r="J372" s="260" t="n">
        <v>26000</v>
      </c>
      <c r="K372" s="233" t="n"/>
      <c r="L372" s="233">
        <f>IF(K372&lt;&gt;"",11000+K372,11000)</f>
        <v/>
      </c>
      <c r="M372" s="156" t="n"/>
      <c r="N372" s="156" t="n"/>
      <c r="O372" s="156" t="n"/>
    </row>
    <row r="373" ht="15.75" customHeight="1" s="153">
      <c r="A373" s="227" t="n"/>
      <c r="B373" s="228" t="inlineStr">
        <is>
          <t>ACACIAS 10301</t>
        </is>
      </c>
      <c r="C373" s="229" t="n"/>
      <c r="D373" s="229" t="n"/>
      <c r="E373" s="229" t="n">
        <v>1</v>
      </c>
      <c r="F373" s="230" t="n"/>
      <c r="G373" s="230" t="n"/>
      <c r="H373" s="257" t="n">
        <v>86000</v>
      </c>
      <c r="I373" s="258" t="n">
        <v>86000</v>
      </c>
      <c r="J373" s="258" t="n"/>
      <c r="K373" s="233" t="n"/>
      <c r="L373" s="233">
        <f>IF(K373&lt;&gt;"",26000+K373,26000)</f>
        <v/>
      </c>
      <c r="M373" s="156" t="n"/>
      <c r="N373" s="156" t="n"/>
      <c r="O373" s="156" t="n"/>
    </row>
    <row r="374" ht="15.75" customHeight="1" s="153">
      <c r="A374" s="237" t="n"/>
      <c r="B374" s="238" t="inlineStr">
        <is>
          <t>SAN MARTIN 8400 LULI</t>
        </is>
      </c>
      <c r="C374" s="239" t="n"/>
      <c r="D374" s="239" t="n"/>
      <c r="E374" s="239" t="n">
        <v>1</v>
      </c>
      <c r="F374" s="240" t="n"/>
      <c r="G374" s="240" t="n"/>
      <c r="H374" s="259" t="n">
        <v>86000</v>
      </c>
      <c r="I374" s="260" t="n"/>
      <c r="J374" s="260" t="n">
        <v>86000</v>
      </c>
      <c r="K374" s="233" t="n"/>
      <c r="L374" s="233">
        <f>IF(K374&lt;&gt;"",26000+K374,26000)</f>
        <v/>
      </c>
      <c r="M374" s="156" t="n"/>
      <c r="N374" s="156" t="n"/>
      <c r="O374" s="156" t="n"/>
    </row>
    <row r="375" ht="15.75" customHeight="1" s="153">
      <c r="A375" s="227" t="n"/>
      <c r="B375" s="228" t="inlineStr">
        <is>
          <t>BRASERIA</t>
        </is>
      </c>
      <c r="C375" s="229" t="n"/>
      <c r="D375" s="229" t="n"/>
      <c r="E375" s="229" t="n">
        <v>1</v>
      </c>
      <c r="F375" s="230" t="n"/>
      <c r="G375" s="230" t="n"/>
      <c r="H375" s="257" t="n">
        <v>83000</v>
      </c>
      <c r="I375" s="258" t="n"/>
      <c r="J375" s="258" t="n">
        <v>83000</v>
      </c>
      <c r="K375" s="233" t="n"/>
      <c r="L375" s="233">
        <f>IF(K375&lt;&gt;"",23000+K375,23000)</f>
        <v/>
      </c>
      <c r="M375" s="156" t="n"/>
      <c r="N375" s="156" t="n"/>
      <c r="O375" s="156" t="n"/>
    </row>
    <row r="376" ht="15.75" customHeight="1" s="153">
      <c r="A376" s="237" t="n"/>
      <c r="B376" s="238" t="inlineStr">
        <is>
          <t>BLAS PARERA 7162</t>
        </is>
      </c>
      <c r="C376" s="239" t="n"/>
      <c r="D376" s="239" t="n">
        <v>1</v>
      </c>
      <c r="E376" s="239" t="n"/>
      <c r="F376" s="240" t="n"/>
      <c r="G376" s="240" t="n"/>
      <c r="H376" s="259" t="n">
        <v>34500</v>
      </c>
      <c r="I376" s="260" t="n"/>
      <c r="J376" s="260" t="n">
        <v>34500</v>
      </c>
      <c r="K376" s="233" t="n"/>
      <c r="L376" s="233">
        <f>IF(K376&lt;&gt;"",12000+K376,12000)</f>
        <v/>
      </c>
      <c r="M376" s="156" t="n"/>
      <c r="N376" s="156" t="n"/>
      <c r="O376" s="156" t="n"/>
    </row>
    <row r="377" ht="15.75" customHeight="1" s="153">
      <c r="A377" s="227" t="n"/>
      <c r="B377" s="228" t="inlineStr">
        <is>
          <t>GENERAL PAZ 7826</t>
        </is>
      </c>
      <c r="C377" s="229" t="n"/>
      <c r="D377" s="229" t="n"/>
      <c r="E377" s="229" t="n">
        <v>1</v>
      </c>
      <c r="F377" s="230" t="n"/>
      <c r="G377" s="230" t="n"/>
      <c r="H377" s="257" t="n">
        <v>85000</v>
      </c>
      <c r="I377" s="258" t="n"/>
      <c r="J377" s="258" t="n">
        <v>85000</v>
      </c>
      <c r="K377" s="233" t="n"/>
      <c r="L377" s="233">
        <f>IF(K377&lt;&gt;"",25000+K377,25000)</f>
        <v/>
      </c>
      <c r="M377" s="156" t="n"/>
      <c r="N377" s="156" t="n"/>
      <c r="O377" s="156" t="n"/>
    </row>
    <row r="378" ht="15.75" customHeight="1" s="153">
      <c r="A378" s="237" t="n"/>
      <c r="B378" s="238" t="inlineStr">
        <is>
          <t>AZCUENAGA 5023</t>
        </is>
      </c>
      <c r="C378" s="239" t="n">
        <v>5</v>
      </c>
      <c r="D378" s="239" t="n">
        <v>1</v>
      </c>
      <c r="E378" s="239" t="n"/>
      <c r="F378" s="240" t="n"/>
      <c r="G378" s="240" t="n"/>
      <c r="H378" s="259" t="n">
        <v>123500</v>
      </c>
      <c r="I378" s="260" t="n"/>
      <c r="J378" s="260" t="n">
        <v>123500</v>
      </c>
      <c r="K378" s="233" t="n"/>
      <c r="L378" s="233">
        <f>IF(K378&lt;&gt;"",26000+K378,26000)</f>
        <v/>
      </c>
      <c r="M378" s="156" t="n"/>
      <c r="N378" s="156" t="n"/>
      <c r="O378" s="156" t="n"/>
    </row>
    <row r="379" ht="15.75" customHeight="1" s="153">
      <c r="A379" s="227" t="n"/>
      <c r="B379" s="228" t="inlineStr">
        <is>
          <t>CARRASCO 9330</t>
        </is>
      </c>
      <c r="C379" s="229" t="n">
        <v>1</v>
      </c>
      <c r="D379" s="229" t="n"/>
      <c r="E379" s="229" t="n"/>
      <c r="F379" s="230" t="n"/>
      <c r="G379" s="230" t="n"/>
      <c r="H379" s="257" t="n">
        <v>25000</v>
      </c>
      <c r="I379" s="258" t="n">
        <v>25000</v>
      </c>
      <c r="J379" s="258" t="n"/>
      <c r="K379" s="233" t="n"/>
      <c r="L379" s="233">
        <f>IF(K379&lt;&gt;"",10000+K379,10000)</f>
        <v/>
      </c>
      <c r="M379" s="156" t="n"/>
      <c r="N379" s="156" t="n"/>
      <c r="O379" s="156" t="n"/>
    </row>
    <row r="380" ht="15.75" customHeight="1" s="153">
      <c r="A380" s="237" t="n"/>
      <c r="B380" s="238" t="inlineStr">
        <is>
          <t>BRAZIL 4871</t>
        </is>
      </c>
      <c r="C380" s="239" t="n">
        <v>1</v>
      </c>
      <c r="D380" s="239" t="n"/>
      <c r="E380" s="239" t="n"/>
      <c r="F380" s="240" t="n"/>
      <c r="G380" s="240" t="n"/>
      <c r="H380" s="259" t="n">
        <v>26000</v>
      </c>
      <c r="I380" s="260" t="n"/>
      <c r="J380" s="260" t="n">
        <v>26000</v>
      </c>
      <c r="K380" s="233" t="n"/>
      <c r="L380" s="233">
        <f>IF(K380&lt;&gt;"",11000+K380,11000)</f>
        <v/>
      </c>
      <c r="M380" s="156" t="n"/>
      <c r="N380" s="156" t="n"/>
      <c r="O380" s="156" t="n"/>
    </row>
    <row r="381" ht="15.75" customHeight="1" s="153">
      <c r="A381" s="227" t="n"/>
      <c r="B381" s="228" t="inlineStr">
        <is>
          <t>BONEO 5564</t>
        </is>
      </c>
      <c r="C381" s="229" t="n"/>
      <c r="D381" s="229" t="n"/>
      <c r="E381" s="229" t="n">
        <v>1</v>
      </c>
      <c r="F381" s="230" t="n"/>
      <c r="G381" s="230" t="n"/>
      <c r="H381" s="257" t="n">
        <v>90000</v>
      </c>
      <c r="I381" s="258" t="n">
        <v>90000</v>
      </c>
      <c r="J381" s="258" t="n"/>
      <c r="K381" s="233" t="n"/>
      <c r="L381" s="233">
        <f>IF(K381&lt;&gt;"",30000+K381,30000)</f>
        <v/>
      </c>
      <c r="M381" s="156" t="n"/>
      <c r="N381" s="156" t="n"/>
      <c r="O381" s="156" t="n"/>
    </row>
    <row r="382" ht="15.75" customHeight="1" s="153">
      <c r="A382" s="237" t="n"/>
      <c r="B382" s="238" t="inlineStr">
        <is>
          <t>FILOMENA</t>
        </is>
      </c>
      <c r="C382" s="239" t="n">
        <v>2</v>
      </c>
      <c r="D382" s="239" t="n"/>
      <c r="E382" s="239" t="n"/>
      <c r="F382" s="240" t="n"/>
      <c r="G382" s="240" t="n"/>
      <c r="H382" s="259" t="n">
        <v>46000</v>
      </c>
      <c r="I382" s="260" t="n"/>
      <c r="J382" s="260" t="n">
        <v>46000</v>
      </c>
      <c r="K382" s="233" t="n"/>
      <c r="L382" s="233">
        <f>IF(K382&lt;&gt;"",16000+K382,16000)</f>
        <v/>
      </c>
      <c r="M382" s="156" t="n"/>
      <c r="N382" s="156" t="n"/>
      <c r="O382" s="156" t="n"/>
    </row>
    <row r="383" ht="15.75" customHeight="1" s="153">
      <c r="A383" s="227" t="n"/>
      <c r="B383" s="228" t="inlineStr">
        <is>
          <t>ANGEL</t>
        </is>
      </c>
      <c r="C383" s="229" t="n">
        <v>1</v>
      </c>
      <c r="D383" s="229" t="n"/>
      <c r="E383" s="229" t="n"/>
      <c r="F383" s="230" t="n"/>
      <c r="G383" s="230" t="n"/>
      <c r="H383" s="257" t="n">
        <v>19000</v>
      </c>
      <c r="I383" s="258" t="n">
        <v>19000</v>
      </c>
      <c r="J383" s="258" t="n"/>
      <c r="K383" s="233" t="n"/>
      <c r="L383" s="233">
        <f>IF(K383&lt;&gt;"",4000+K383,4000)</f>
        <v/>
      </c>
      <c r="M383" s="156" t="n"/>
      <c r="N383" s="156" t="n"/>
      <c r="O383" s="156" t="n"/>
    </row>
    <row r="384" ht="15.75" customHeight="1" s="153">
      <c r="A384" s="237" t="n"/>
      <c r="B384" s="238" t="inlineStr">
        <is>
          <t>PAVON 6035</t>
        </is>
      </c>
      <c r="C384" s="239" t="n"/>
      <c r="D384" s="239" t="n">
        <v>1</v>
      </c>
      <c r="E384" s="239" t="n"/>
      <c r="F384" s="240" t="n"/>
      <c r="G384" s="240" t="n"/>
      <c r="H384" s="259" t="n">
        <v>34500</v>
      </c>
      <c r="I384" s="260" t="n">
        <v>34500</v>
      </c>
      <c r="J384" s="260" t="n"/>
      <c r="K384" s="233" t="n"/>
      <c r="L384" s="233">
        <f>IF(K384&lt;&gt;"",12000+K384,12000)</f>
        <v/>
      </c>
      <c r="M384" s="156" t="n"/>
      <c r="N384" s="156" t="n"/>
      <c r="O384" s="156" t="n"/>
    </row>
    <row r="385" ht="15.75" customHeight="1" s="153">
      <c r="A385" s="227" t="n"/>
      <c r="B385" s="228" t="inlineStr">
        <is>
          <t>YANET</t>
        </is>
      </c>
      <c r="C385" s="229" t="n">
        <v>1</v>
      </c>
      <c r="D385" s="229" t="n"/>
      <c r="E385" s="229" t="n"/>
      <c r="F385" s="230" t="n"/>
      <c r="G385" s="230" t="n"/>
      <c r="H385" s="257" t="n">
        <v>25000</v>
      </c>
      <c r="I385" s="258" t="n">
        <v>25000</v>
      </c>
      <c r="J385" s="258" t="n"/>
      <c r="K385" s="233" t="n"/>
      <c r="L385" s="233">
        <f>IF(K385&lt;&gt;"",10000+K385,10000)</f>
        <v/>
      </c>
      <c r="M385" s="156" t="n"/>
      <c r="N385" s="156" t="n"/>
      <c r="O385" s="156" t="n"/>
    </row>
    <row r="386" ht="15.75" customHeight="1" s="153">
      <c r="A386" s="237" t="n"/>
      <c r="B386" s="238" t="inlineStr">
        <is>
          <t>LUCHO</t>
        </is>
      </c>
      <c r="C386" s="239" t="n">
        <v>2</v>
      </c>
      <c r="D386" s="239" t="n"/>
      <c r="E386" s="239" t="n"/>
      <c r="F386" s="240" t="n"/>
      <c r="G386" s="240" t="n"/>
      <c r="H386" s="259" t="n">
        <v>38000</v>
      </c>
      <c r="I386" s="260" t="n">
        <v>38000</v>
      </c>
      <c r="J386" s="260" t="n"/>
      <c r="K386" s="233" t="n"/>
      <c r="L386" s="233">
        <f>IF(K386&lt;&gt;"",8000+K386,8000)</f>
        <v/>
      </c>
      <c r="M386" s="156" t="n"/>
      <c r="N386" s="156" t="n"/>
      <c r="O386" s="156" t="n"/>
    </row>
    <row r="387" ht="15.75" customHeight="1" s="153">
      <c r="A387" s="227" t="n"/>
      <c r="B387" s="228" t="inlineStr">
        <is>
          <t>PANA GORRITI 6500</t>
        </is>
      </c>
      <c r="C387" s="229" t="n"/>
      <c r="D387" s="229" t="n"/>
      <c r="E387" s="229" t="n">
        <v>1</v>
      </c>
      <c r="F387" s="230" t="n"/>
      <c r="G387" s="230" t="n"/>
      <c r="H387" s="257" t="n">
        <v>85000</v>
      </c>
      <c r="I387" s="258" t="n"/>
      <c r="J387" s="258" t="n">
        <v>85000</v>
      </c>
      <c r="K387" s="233" t="n"/>
      <c r="L387" s="233">
        <f>IF(K387&lt;&gt;"",25000+K387,25000)</f>
        <v/>
      </c>
      <c r="M387" s="156" t="n"/>
      <c r="N387" s="156" t="n"/>
      <c r="O387" s="156" t="n"/>
    </row>
    <row r="388" ht="15.75" customHeight="1" s="153">
      <c r="A388" s="227" t="n">
        <v>46140</v>
      </c>
      <c r="B388" s="228" t="inlineStr">
        <is>
          <t>DANA</t>
        </is>
      </c>
      <c r="C388" s="229" t="n">
        <v>4</v>
      </c>
      <c r="D388" s="229" t="n"/>
      <c r="E388" s="229" t="n"/>
      <c r="F388" s="230" t="n"/>
      <c r="G388" s="230" t="n"/>
      <c r="H388" s="257" t="n">
        <v>76000</v>
      </c>
      <c r="I388" s="258" t="n"/>
      <c r="J388" s="258" t="n">
        <v>76000</v>
      </c>
      <c r="K388" s="233" t="n"/>
      <c r="L388" s="233">
        <f>IF(K388&lt;&gt;"",16000+K388,16000)</f>
        <v/>
      </c>
      <c r="M388" s="156" t="n"/>
      <c r="N388" s="156" t="n"/>
      <c r="O388" s="156" t="n"/>
    </row>
    <row r="389" ht="15.75" customHeight="1" s="153">
      <c r="A389" s="237" t="n"/>
      <c r="B389" s="238" t="inlineStr">
        <is>
          <t>SAN MARTIN 9308</t>
        </is>
      </c>
      <c r="C389" s="239" t="n"/>
      <c r="D389" s="239" t="n">
        <v>1</v>
      </c>
      <c r="E389" s="239" t="n"/>
      <c r="F389" s="240" t="n"/>
      <c r="G389" s="240" t="n"/>
      <c r="H389" s="259" t="n">
        <v>37500</v>
      </c>
      <c r="I389" s="260" t="n"/>
      <c r="J389" s="260" t="n">
        <v>37500</v>
      </c>
      <c r="K389" s="233" t="n"/>
      <c r="L389" s="233">
        <f>IF(K389&lt;&gt;"",15000+K389,15000)</f>
        <v/>
      </c>
      <c r="M389" s="156" t="n"/>
      <c r="N389" s="156" t="n"/>
      <c r="O389" s="156" t="n"/>
    </row>
    <row r="390" ht="15.75" customHeight="1" s="153">
      <c r="A390" s="227" t="n"/>
      <c r="B390" s="228" t="inlineStr">
        <is>
          <t>DANI PAPA BRUNO</t>
        </is>
      </c>
      <c r="C390" s="229" t="n"/>
      <c r="D390" s="229" t="n">
        <v>1</v>
      </c>
      <c r="E390" s="229" t="n"/>
      <c r="F390" s="230" t="n"/>
      <c r="G390" s="230" t="n"/>
      <c r="H390" s="257" t="n">
        <v>37500</v>
      </c>
      <c r="I390" s="258" t="n"/>
      <c r="J390" s="258" t="n">
        <v>37500</v>
      </c>
      <c r="K390" s="233" t="n"/>
      <c r="L390" s="233">
        <f>IF(K390&lt;&gt;"",15000+K390,15000)</f>
        <v/>
      </c>
      <c r="M390" s="156" t="n"/>
      <c r="N390" s="156" t="n"/>
      <c r="O390" s="156" t="n"/>
    </row>
    <row r="391" ht="15.75" customHeight="1" s="153">
      <c r="A391" s="237" t="n"/>
      <c r="B391" s="238" t="inlineStr">
        <is>
          <t>VIANDAS JORGE</t>
        </is>
      </c>
      <c r="C391" s="239" t="n">
        <v>1</v>
      </c>
      <c r="D391" s="239" t="n"/>
      <c r="E391" s="239" t="n"/>
      <c r="F391" s="240" t="n"/>
      <c r="G391" s="240" t="n"/>
      <c r="H391" s="259" t="n">
        <v>22000</v>
      </c>
      <c r="I391" s="260" t="n">
        <v>22000</v>
      </c>
      <c r="J391" s="260" t="n"/>
      <c r="K391" s="233" t="n"/>
      <c r="L391" s="233">
        <f>IF(K391&lt;&gt;"",7000+K391,7000)</f>
        <v/>
      </c>
      <c r="M391" s="156" t="n"/>
      <c r="N391" s="156" t="n"/>
      <c r="O391" s="156" t="n"/>
    </row>
    <row r="392" ht="15.75" customHeight="1" s="153">
      <c r="A392" s="227" t="n"/>
      <c r="B392" s="228" t="inlineStr">
        <is>
          <t>PANA VIEYTES 3800</t>
        </is>
      </c>
      <c r="C392" s="229" t="n"/>
      <c r="D392" s="229" t="n"/>
      <c r="E392" s="229" t="n">
        <v>1</v>
      </c>
      <c r="F392" s="230" t="n"/>
      <c r="G392" s="230" t="n"/>
      <c r="H392" s="257" t="n">
        <v>82000</v>
      </c>
      <c r="I392" s="258" t="n"/>
      <c r="J392" s="258" t="n">
        <v>82000</v>
      </c>
      <c r="K392" s="233" t="n"/>
      <c r="L392" s="233">
        <f>IF(K392&lt;&gt;"",22000+K392,22000)</f>
        <v/>
      </c>
      <c r="M392" s="156" t="n"/>
      <c r="N392" s="156" t="n"/>
      <c r="O392" s="156" t="n"/>
    </row>
    <row r="393" ht="15.75" customHeight="1" s="153">
      <c r="A393" s="237" t="n"/>
      <c r="B393" s="238" t="inlineStr">
        <is>
          <t>PEDRO CEBALLOS 8134</t>
        </is>
      </c>
      <c r="C393" s="239" t="n">
        <v>3</v>
      </c>
      <c r="D393" s="239" t="n"/>
      <c r="E393" s="239" t="n"/>
      <c r="F393" s="240" t="n"/>
      <c r="G393" s="240" t="n"/>
      <c r="H393" s="259" t="n">
        <v>57000</v>
      </c>
      <c r="I393" s="260" t="n">
        <v>57000</v>
      </c>
      <c r="J393" s="260" t="n"/>
      <c r="K393" s="233" t="n"/>
      <c r="L393" s="233">
        <f>IF(K393&lt;&gt;"",12000+K393,12000)</f>
        <v/>
      </c>
      <c r="M393" s="156" t="n"/>
      <c r="N393" s="156" t="n"/>
      <c r="O393" s="156" t="n"/>
    </row>
    <row r="394" ht="15.75" customHeight="1" s="153">
      <c r="A394" s="227" t="n"/>
      <c r="B394" s="228" t="inlineStr">
        <is>
          <t>PANA COLODRERO 1258</t>
        </is>
      </c>
      <c r="C394" s="229" t="n"/>
      <c r="D394" s="229" t="n"/>
      <c r="E394" s="229" t="n">
        <v>1</v>
      </c>
      <c r="F394" s="230" t="n"/>
      <c r="G394" s="230" t="n"/>
      <c r="H394" s="257" t="n">
        <v>78000</v>
      </c>
      <c r="I394" s="258" t="n"/>
      <c r="J394" s="258" t="n">
        <v>78000</v>
      </c>
      <c r="K394" s="233" t="n"/>
      <c r="L394" s="233">
        <f>IF(K394&lt;&gt;"",18000+K394,18000)</f>
        <v/>
      </c>
      <c r="M394" s="156" t="n"/>
      <c r="N394" s="156" t="n"/>
      <c r="O394" s="156" t="n"/>
    </row>
    <row r="395" ht="15.75" customHeight="1" s="153">
      <c r="A395" s="237" t="n"/>
      <c r="B395" s="238" t="inlineStr">
        <is>
          <t>CHICLANA 7345</t>
        </is>
      </c>
      <c r="C395" s="239" t="n"/>
      <c r="D395" s="239" t="n"/>
      <c r="E395" s="239" t="n">
        <v>1</v>
      </c>
      <c r="F395" s="240" t="n"/>
      <c r="G395" s="240" t="n"/>
      <c r="H395" s="259" t="n">
        <v>90000</v>
      </c>
      <c r="I395" s="260" t="n"/>
      <c r="J395" s="260" t="n">
        <v>90000</v>
      </c>
      <c r="K395" s="233" t="n"/>
      <c r="L395" s="233">
        <f>IF(K395&lt;&gt;"",30000+K395,30000)</f>
        <v/>
      </c>
      <c r="M395" s="156" t="n"/>
      <c r="N395" s="156" t="n"/>
      <c r="O395" s="156" t="n"/>
    </row>
    <row r="396" ht="15.75" customHeight="1" s="153">
      <c r="A396" s="227" t="n"/>
      <c r="B396" s="228" t="inlineStr">
        <is>
          <t>SERBANDO BAYO 7165</t>
        </is>
      </c>
      <c r="C396" s="229" t="n">
        <v>1</v>
      </c>
      <c r="D396" s="229" t="n"/>
      <c r="E396" s="229" t="n"/>
      <c r="F396" s="230" t="n"/>
      <c r="G396" s="230" t="n"/>
      <c r="H396" s="257" t="n">
        <v>25000</v>
      </c>
      <c r="I396" s="258" t="n">
        <v>25000</v>
      </c>
      <c r="J396" s="258" t="n"/>
      <c r="K396" s="233" t="n"/>
      <c r="L396" s="233">
        <f>IF(K396&lt;&gt;"",10000+K396,10000)</f>
        <v/>
      </c>
      <c r="M396" s="156" t="n"/>
      <c r="N396" s="156" t="n"/>
      <c r="O396" s="156" t="n"/>
    </row>
    <row r="397" ht="15.75" customHeight="1" s="153">
      <c r="A397" s="237" t="n"/>
      <c r="B397" s="238" t="inlineStr">
        <is>
          <t>EXE</t>
        </is>
      </c>
      <c r="C397" s="239" t="n"/>
      <c r="D397" s="239" t="n"/>
      <c r="E397" s="239" t="n">
        <v>1</v>
      </c>
      <c r="F397" s="240" t="n"/>
      <c r="G397" s="240" t="n"/>
      <c r="H397" s="259" t="n">
        <v>82000</v>
      </c>
      <c r="I397" s="260" t="n"/>
      <c r="J397" s="260" t="n">
        <v>82000</v>
      </c>
      <c r="K397" s="233" t="n"/>
      <c r="L397" s="233">
        <f>IF(K397&lt;&gt;"",22000+K397,22000)</f>
        <v/>
      </c>
      <c r="M397" s="156" t="n"/>
      <c r="N397" s="156" t="n"/>
      <c r="O397" s="156" t="n"/>
    </row>
    <row r="398" ht="15.75" customHeight="1" s="153">
      <c r="A398" s="227" t="n"/>
      <c r="B398" s="228" t="inlineStr">
        <is>
          <t>CAFERATA 9416</t>
        </is>
      </c>
      <c r="C398" s="229" t="n"/>
      <c r="D398" s="229" t="n">
        <v>1</v>
      </c>
      <c r="E398" s="229" t="n"/>
      <c r="F398" s="230" t="n"/>
      <c r="G398" s="230" t="n"/>
      <c r="H398" s="257" t="n">
        <v>39000</v>
      </c>
      <c r="I398" s="258" t="n"/>
      <c r="J398" s="258" t="n">
        <v>39000</v>
      </c>
      <c r="K398" s="233" t="n"/>
      <c r="L398" s="233">
        <f>IF(K398&lt;&gt;"",16500+K398,16500)</f>
        <v/>
      </c>
      <c r="M398" s="156" t="n"/>
      <c r="N398" s="156" t="n"/>
      <c r="O398" s="156" t="n"/>
    </row>
    <row r="399" ht="15.75" customHeight="1" s="153">
      <c r="A399" s="237" t="n"/>
      <c r="B399" s="238" t="inlineStr">
        <is>
          <t>PANA VIEYTES 4500</t>
        </is>
      </c>
      <c r="C399" s="239" t="n"/>
      <c r="D399" s="239" t="n"/>
      <c r="E399" s="239" t="n">
        <v>1</v>
      </c>
      <c r="F399" s="240" t="n"/>
      <c r="G399" s="240" t="n"/>
      <c r="H399" s="259" t="n">
        <v>78000</v>
      </c>
      <c r="I399" s="260" t="n"/>
      <c r="J399" s="260" t="n">
        <v>78000</v>
      </c>
      <c r="K399" s="233" t="n"/>
      <c r="L399" s="233">
        <f>IF(K399&lt;&gt;"",18000+K399,18000)</f>
        <v/>
      </c>
      <c r="M399" s="156" t="n"/>
      <c r="N399" s="156" t="n"/>
      <c r="O399" s="156" t="n"/>
    </row>
    <row r="400" ht="15.75" customHeight="1" s="153">
      <c r="A400" s="227" t="n">
        <v>46141</v>
      </c>
      <c r="B400" s="228" t="inlineStr">
        <is>
          <t>PANA VIEYTES GISELA</t>
        </is>
      </c>
      <c r="C400" s="229" t="n">
        <v>1</v>
      </c>
      <c r="D400" s="229" t="n"/>
      <c r="E400" s="229" t="n"/>
      <c r="F400" s="230" t="n"/>
      <c r="G400" s="230" t="n"/>
      <c r="H400" s="257" t="n">
        <v>22000</v>
      </c>
      <c r="I400" s="258" t="n"/>
      <c r="J400" s="258" t="n">
        <v>22000</v>
      </c>
      <c r="K400" s="233" t="n"/>
      <c r="L400" s="233">
        <f>IF(K400&lt;&gt;"",7000+K400,7000)</f>
        <v/>
      </c>
    </row>
    <row r="401" ht="15.75" customHeight="1" s="153">
      <c r="A401" s="237" t="n"/>
      <c r="B401" s="238" t="inlineStr">
        <is>
          <t>PANA GORRITI 4600</t>
        </is>
      </c>
      <c r="C401" s="239" t="n"/>
      <c r="D401" s="239" t="n"/>
      <c r="E401" s="239" t="n">
        <v>1</v>
      </c>
      <c r="F401" s="240" t="n"/>
      <c r="G401" s="240" t="n"/>
      <c r="H401" s="259" t="n">
        <v>83000</v>
      </c>
      <c r="I401" s="260" t="n">
        <v>83000</v>
      </c>
      <c r="J401" s="260" t="n"/>
      <c r="K401" s="233" t="n"/>
      <c r="L401" s="233">
        <f>IF(K401&lt;&gt;"",23000+K401,23000)</f>
        <v/>
      </c>
    </row>
    <row r="402" ht="15.75" customHeight="1" s="153">
      <c r="A402" s="227" t="n"/>
      <c r="B402" s="228" t="inlineStr">
        <is>
          <t>ARISTOBULO 5879</t>
        </is>
      </c>
      <c r="C402" s="229" t="n"/>
      <c r="D402" s="229" t="n">
        <v>1</v>
      </c>
      <c r="E402" s="229" t="n"/>
      <c r="F402" s="230" t="n"/>
      <c r="G402" s="230" t="n"/>
      <c r="H402" s="257" t="n">
        <v>41000</v>
      </c>
      <c r="I402" s="258" t="n">
        <v>41000</v>
      </c>
      <c r="J402" s="258" t="n"/>
      <c r="K402" s="233" t="n"/>
      <c r="L402" s="233">
        <f>IF(K402&lt;&gt;"",18500+K402,18500)</f>
        <v/>
      </c>
    </row>
    <row r="403" ht="15.75" customHeight="1" s="153">
      <c r="A403" s="237" t="n"/>
      <c r="B403" s="238" t="inlineStr">
        <is>
          <t>ROTI VIEYTES</t>
        </is>
      </c>
      <c r="C403" s="239" t="n">
        <v>1</v>
      </c>
      <c r="D403" s="239" t="n">
        <v>2</v>
      </c>
      <c r="E403" s="239" t="n"/>
      <c r="F403" s="240" t="n"/>
      <c r="G403" s="240" t="n"/>
      <c r="H403" s="259" t="n">
        <v>82000</v>
      </c>
      <c r="I403" s="260" t="n"/>
      <c r="J403" s="260" t="n">
        <v>82000</v>
      </c>
      <c r="K403" s="233" t="n"/>
      <c r="L403" s="233">
        <f>IF(K403&lt;&gt;"",22000+K403,22000)</f>
        <v/>
      </c>
    </row>
    <row r="404" ht="15.75" customHeight="1" s="153">
      <c r="A404" s="227" t="n"/>
      <c r="B404" s="228" t="inlineStr">
        <is>
          <t>PEÑALOZA 9757</t>
        </is>
      </c>
      <c r="C404" s="229" t="n">
        <v>1</v>
      </c>
      <c r="D404" s="229" t="n"/>
      <c r="E404" s="229" t="n"/>
      <c r="F404" s="230" t="n"/>
      <c r="G404" s="230" t="n"/>
      <c r="H404" s="257" t="n">
        <v>26000</v>
      </c>
      <c r="I404" s="258" t="n">
        <v>26000</v>
      </c>
      <c r="J404" s="258" t="n"/>
      <c r="K404" s="233" t="n"/>
      <c r="L404" s="233">
        <f>IF(K404&lt;&gt;"",11000+K404,11000)</f>
        <v/>
      </c>
    </row>
    <row r="405" ht="15.75" customHeight="1" s="153">
      <c r="A405" s="237" t="n"/>
      <c r="B405" s="238" t="inlineStr">
        <is>
          <t>ANGEL</t>
        </is>
      </c>
      <c r="C405" s="239" t="n"/>
      <c r="D405" s="239" t="n">
        <v>1</v>
      </c>
      <c r="E405" s="239" t="n"/>
      <c r="F405" s="240" t="n"/>
      <c r="G405" s="240" t="n"/>
      <c r="H405" s="259" t="n">
        <v>28500</v>
      </c>
      <c r="I405" s="260" t="n">
        <v>28500</v>
      </c>
      <c r="J405" s="260" t="n"/>
      <c r="K405" s="233" t="n"/>
      <c r="L405" s="233">
        <f>IF(K405&lt;&gt;"",6000+K405,6000)</f>
        <v/>
      </c>
    </row>
    <row r="406" ht="15.75" customHeight="1" s="153">
      <c r="A406" s="227" t="n"/>
      <c r="B406" s="228" t="inlineStr">
        <is>
          <t>PAULO</t>
        </is>
      </c>
      <c r="C406" s="229" t="n">
        <v>3</v>
      </c>
      <c r="D406" s="229" t="n"/>
      <c r="E406" s="229" t="n"/>
      <c r="F406" s="230" t="n"/>
      <c r="G406" s="230" t="n"/>
      <c r="H406" s="257" t="n">
        <v>57000</v>
      </c>
      <c r="I406" s="258" t="n">
        <v>57000</v>
      </c>
      <c r="J406" s="258" t="n"/>
      <c r="K406" s="233" t="n"/>
      <c r="L406" s="233">
        <f>IF(K406&lt;&gt;"",12000+K406,12000)</f>
        <v/>
      </c>
    </row>
    <row r="407" ht="15.75" customHeight="1" s="153">
      <c r="A407" s="237" t="n"/>
      <c r="B407" s="238" t="inlineStr">
        <is>
          <t>SANDRA</t>
        </is>
      </c>
      <c r="C407" s="239" t="n">
        <v>1</v>
      </c>
      <c r="D407" s="239" t="n">
        <v>1</v>
      </c>
      <c r="E407" s="239" t="n"/>
      <c r="F407" s="240" t="n"/>
      <c r="G407" s="240" t="n"/>
      <c r="H407" s="259" t="n">
        <v>47500</v>
      </c>
      <c r="I407" s="260" t="n">
        <v>47500</v>
      </c>
      <c r="J407" s="260" t="n"/>
      <c r="K407" s="233" t="n"/>
      <c r="L407" s="233">
        <f>IF(K407&lt;&gt;"",10000+K407,10000)</f>
        <v/>
      </c>
    </row>
    <row r="408" ht="15.75" customHeight="1" s="153">
      <c r="A408" s="227" t="n"/>
      <c r="B408" s="228" t="inlineStr">
        <is>
          <t>ALBERTI 4930</t>
        </is>
      </c>
      <c r="C408" s="229" t="n"/>
      <c r="D408" s="229" t="n"/>
      <c r="E408" s="229" t="n">
        <v>1</v>
      </c>
      <c r="F408" s="230" t="n"/>
      <c r="G408" s="230" t="n"/>
      <c r="H408" s="257" t="n">
        <v>95000</v>
      </c>
      <c r="I408" s="258" t="n"/>
      <c r="J408" s="258" t="n">
        <v>95000</v>
      </c>
      <c r="K408" s="233" t="n"/>
      <c r="L408" s="233">
        <f>IF(K408&lt;&gt;"",35000+K408,35000)</f>
        <v/>
      </c>
    </row>
    <row r="409" ht="15.75" customHeight="1" s="153">
      <c r="A409" s="237" t="n"/>
      <c r="B409" s="238" t="inlineStr">
        <is>
          <t>BLAS PARERA 6372</t>
        </is>
      </c>
      <c r="C409" s="239" t="n"/>
      <c r="D409" s="239" t="n"/>
      <c r="E409" s="239" t="n">
        <v>1</v>
      </c>
      <c r="F409" s="240" t="n"/>
      <c r="G409" s="240" t="n"/>
      <c r="H409" s="259" t="n">
        <v>83000</v>
      </c>
      <c r="I409" s="260" t="n"/>
      <c r="J409" s="260" t="n">
        <v>83000</v>
      </c>
      <c r="K409" s="233" t="n"/>
      <c r="L409" s="233">
        <f>IF(K409&lt;&gt;"",23000+K409,23000)</f>
        <v/>
      </c>
    </row>
    <row r="410" ht="15.75" customHeight="1" s="153">
      <c r="A410" s="227" t="n"/>
      <c r="B410" s="228" t="inlineStr">
        <is>
          <t>AZCUENAGA 6551</t>
        </is>
      </c>
      <c r="C410" s="229" t="n">
        <v>2</v>
      </c>
      <c r="D410" s="229" t="n"/>
      <c r="E410" s="229" t="n"/>
      <c r="F410" s="230" t="n"/>
      <c r="G410" s="230" t="n"/>
      <c r="H410" s="257" t="n">
        <v>37000</v>
      </c>
      <c r="I410" s="258" t="n">
        <v>37000</v>
      </c>
      <c r="J410" s="258" t="n"/>
      <c r="K410" s="233" t="n"/>
      <c r="L410" s="233">
        <f>IF(K410&lt;&gt;"",7000+K410,7000)</f>
        <v/>
      </c>
    </row>
    <row r="411" ht="15.75" customHeight="1" s="153">
      <c r="A411" s="237" t="n"/>
      <c r="B411" s="238" t="inlineStr">
        <is>
          <t>ALBERTI 5251</t>
        </is>
      </c>
      <c r="C411" s="239" t="n"/>
      <c r="D411" s="239" t="n">
        <v>1</v>
      </c>
      <c r="E411" s="239" t="n"/>
      <c r="F411" s="240" t="n"/>
      <c r="G411" s="240" t="n"/>
      <c r="H411" s="259" t="n">
        <v>36000</v>
      </c>
      <c r="I411" s="260" t="n">
        <v>36000</v>
      </c>
      <c r="J411" s="260" t="n"/>
      <c r="K411" s="233" t="n"/>
      <c r="L411" s="233">
        <f>IF(K411&lt;&gt;"",13500+K411,13500)</f>
        <v/>
      </c>
    </row>
    <row r="412" ht="15.75" customHeight="1" s="153">
      <c r="A412" s="227" t="n">
        <v>46142</v>
      </c>
      <c r="B412" s="228" t="inlineStr">
        <is>
          <t>LOBOS</t>
        </is>
      </c>
      <c r="C412" s="229" t="n"/>
      <c r="D412" s="229" t="n"/>
      <c r="E412" s="229" t="n">
        <v>1</v>
      </c>
      <c r="F412" s="230" t="n"/>
      <c r="G412" s="230" t="n"/>
      <c r="H412" s="257" t="n">
        <v>88000</v>
      </c>
      <c r="I412" s="258" t="n"/>
      <c r="J412" s="258" t="n">
        <v>88000</v>
      </c>
      <c r="K412" s="233" t="n"/>
      <c r="L412" s="233">
        <f>IF(K412&lt;&gt;"",28000+K412,28000)</f>
        <v/>
      </c>
    </row>
    <row r="413" ht="15.75" customHeight="1" s="153">
      <c r="A413" s="237" t="n"/>
      <c r="B413" s="238" t="inlineStr">
        <is>
          <t>MARTIN IGUALDAD</t>
        </is>
      </c>
      <c r="C413" s="239" t="n">
        <v>1</v>
      </c>
      <c r="D413" s="239" t="n"/>
      <c r="E413" s="239" t="n"/>
      <c r="F413" s="240" t="n"/>
      <c r="G413" s="240" t="n"/>
      <c r="H413" s="259" t="n">
        <v>23000</v>
      </c>
      <c r="I413" s="260" t="n"/>
      <c r="J413" s="260" t="n">
        <v>23000</v>
      </c>
      <c r="K413" s="233" t="n"/>
      <c r="L413" s="233">
        <f>IF(K413&lt;&gt;"",8000+K413,8000)</f>
        <v/>
      </c>
    </row>
    <row r="414" ht="15.75" customHeight="1" s="153">
      <c r="A414" s="227" t="n"/>
      <c r="B414" s="228" t="inlineStr">
        <is>
          <t>MIGUEZ 5479</t>
        </is>
      </c>
      <c r="C414" s="229" t="n">
        <v>1</v>
      </c>
      <c r="D414" s="229" t="n"/>
      <c r="E414" s="229" t="n"/>
      <c r="F414" s="230" t="n"/>
      <c r="G414" s="230" t="n"/>
      <c r="H414" s="257" t="n">
        <v>25000</v>
      </c>
      <c r="I414" s="258" t="n">
        <v>25000</v>
      </c>
      <c r="J414" s="258" t="n"/>
      <c r="K414" s="233" t="n"/>
      <c r="L414" s="233">
        <f>IF(K414&lt;&gt;"",10000+K414,10000)</f>
        <v/>
      </c>
    </row>
    <row r="415" ht="15.75" customHeight="1" s="153">
      <c r="A415" s="237" t="n"/>
      <c r="B415" s="238" t="inlineStr">
        <is>
          <t>LUCHO</t>
        </is>
      </c>
      <c r="C415" s="239" t="n">
        <v>2</v>
      </c>
      <c r="D415" s="239" t="n"/>
      <c r="E415" s="239" t="n"/>
      <c r="F415" s="240" t="n"/>
      <c r="G415" s="240" t="n"/>
      <c r="H415" s="259" t="n">
        <v>38000</v>
      </c>
      <c r="I415" s="260" t="n"/>
      <c r="J415" s="260" t="n">
        <v>38000</v>
      </c>
      <c r="K415" s="233" t="n"/>
      <c r="L415" s="233">
        <f>IF(K415&lt;&gt;"",8000+K415,8000)</f>
        <v/>
      </c>
    </row>
    <row r="416" ht="15.75" customHeight="1" s="153">
      <c r="A416" s="227" t="n"/>
      <c r="B416" s="228" t="inlineStr">
        <is>
          <t>AZCUENAGA 5023</t>
        </is>
      </c>
      <c r="C416" s="229" t="n">
        <v>3</v>
      </c>
      <c r="D416" s="229" t="n">
        <v>2</v>
      </c>
      <c r="E416" s="229" t="n"/>
      <c r="F416" s="230" t="n"/>
      <c r="G416" s="230" t="n"/>
      <c r="H416" s="257" t="n">
        <v>114000</v>
      </c>
      <c r="I416" s="258" t="n"/>
      <c r="J416" s="258" t="n">
        <v>114000</v>
      </c>
      <c r="K416" s="233" t="n"/>
      <c r="L416" s="233">
        <f>IF(K416&lt;&gt;"",24000+K416,24000)</f>
        <v/>
      </c>
    </row>
    <row r="417" ht="15.75" customHeight="1" s="153">
      <c r="A417" s="237" t="n"/>
      <c r="B417" s="238" t="inlineStr">
        <is>
          <t>VIANDAS JORGE</t>
        </is>
      </c>
      <c r="C417" s="239" t="n">
        <v>1</v>
      </c>
      <c r="D417" s="239" t="n"/>
      <c r="E417" s="239" t="n"/>
      <c r="F417" s="240" t="n"/>
      <c r="G417" s="240" t="n"/>
      <c r="H417" s="259" t="n">
        <v>22000</v>
      </c>
      <c r="I417" s="260" t="n">
        <v>22000</v>
      </c>
      <c r="J417" s="260" t="n"/>
      <c r="K417" s="233" t="n"/>
      <c r="L417" s="233">
        <f>IF(K417&lt;&gt;"",7000+K417,7000)</f>
        <v/>
      </c>
    </row>
    <row r="418" ht="15.75" customHeight="1" s="153">
      <c r="A418" s="227" t="n"/>
      <c r="B418" s="228" t="inlineStr">
        <is>
          <t>ARENALES 9203</t>
        </is>
      </c>
      <c r="C418" s="229" t="n"/>
      <c r="D418" s="229" t="n"/>
      <c r="E418" s="229" t="n">
        <v>1</v>
      </c>
      <c r="F418" s="230" t="n"/>
      <c r="G418" s="230" t="n"/>
      <c r="H418" s="257" t="n">
        <v>90000</v>
      </c>
      <c r="I418" s="258" t="n"/>
      <c r="J418" s="258" t="n">
        <v>90000</v>
      </c>
      <c r="K418" s="233" t="n"/>
      <c r="L418" s="233">
        <f>IF(K418&lt;&gt;"",30000+K418,30000)</f>
        <v/>
      </c>
    </row>
    <row r="419" ht="15.75" customHeight="1" s="153">
      <c r="A419" s="237" t="n"/>
      <c r="B419" s="238" t="inlineStr">
        <is>
          <t>TROPPO</t>
        </is>
      </c>
      <c r="C419" s="239" t="n">
        <v>4</v>
      </c>
      <c r="D419" s="239" t="n"/>
      <c r="E419" s="239" t="n"/>
      <c r="F419" s="240" t="n"/>
      <c r="G419" s="240" t="n"/>
      <c r="H419" s="259" t="n">
        <v>108000</v>
      </c>
      <c r="I419" s="260" t="n">
        <v>108000</v>
      </c>
      <c r="J419" s="260" t="n"/>
      <c r="K419" s="233" t="n"/>
      <c r="L419" s="233">
        <f>IF(K419&lt;&gt;"",48000+K419,48000)</f>
        <v/>
      </c>
    </row>
    <row r="420" ht="15.75" customHeight="1" s="153">
      <c r="A420" s="227" t="n"/>
      <c r="B420" s="228" t="inlineStr">
        <is>
          <t>PAULO</t>
        </is>
      </c>
      <c r="C420" s="229" t="n"/>
      <c r="D420" s="229" t="n">
        <v>1</v>
      </c>
      <c r="E420" s="229" t="n"/>
      <c r="F420" s="230" t="n"/>
      <c r="G420" s="230" t="n"/>
      <c r="H420" s="257" t="n">
        <v>28500</v>
      </c>
      <c r="I420" s="258" t="n"/>
      <c r="J420" s="258" t="n">
        <v>28500</v>
      </c>
      <c r="K420" s="233" t="n"/>
      <c r="L420" s="233">
        <f>IF(K420&lt;&gt;"",6000+K420,6000)</f>
        <v/>
      </c>
    </row>
    <row r="421" ht="15.75" customHeight="1" s="153">
      <c r="A421" s="237" t="n"/>
      <c r="B421" s="238" t="inlineStr">
        <is>
          <t>FILOMENA</t>
        </is>
      </c>
      <c r="C421" s="239" t="n">
        <v>2</v>
      </c>
      <c r="D421" s="239" t="n"/>
      <c r="E421" s="239" t="n"/>
      <c r="F421" s="240" t="n"/>
      <c r="G421" s="240" t="n"/>
      <c r="H421" s="259" t="n">
        <v>46000</v>
      </c>
      <c r="I421" s="260" t="n"/>
      <c r="J421" s="260" t="n">
        <v>46000</v>
      </c>
      <c r="K421" s="233" t="n"/>
      <c r="L421" s="233">
        <f>IF(K421&lt;&gt;"",16000+K421,16000)</f>
        <v/>
      </c>
    </row>
    <row r="422" ht="15.75" customHeight="1" s="153">
      <c r="A422" s="227" t="n"/>
      <c r="B422" s="228" t="inlineStr">
        <is>
          <t>ABUELA TUYA</t>
        </is>
      </c>
      <c r="C422" s="229" t="n">
        <v>1</v>
      </c>
      <c r="D422" s="229" t="n"/>
      <c r="E422" s="229" t="n"/>
      <c r="F422" s="230" t="n"/>
      <c r="G422" s="230" t="n"/>
      <c r="H422" s="257" t="n">
        <v>25000</v>
      </c>
      <c r="I422" s="258" t="n">
        <v>25000</v>
      </c>
      <c r="J422" s="258" t="n"/>
      <c r="K422" s="233" t="n"/>
      <c r="L422" s="233">
        <f>IF(K422&lt;&gt;"",10000+K422,10000)</f>
        <v/>
      </c>
    </row>
    <row r="423" ht="15.75" customHeight="1" s="153">
      <c r="A423" s="237" t="n"/>
      <c r="B423" s="238" t="inlineStr">
        <is>
          <t>4TO PASAJE 3782</t>
        </is>
      </c>
      <c r="C423" s="239" t="n">
        <v>1</v>
      </c>
      <c r="D423" s="239" t="n"/>
      <c r="E423" s="239" t="n"/>
      <c r="F423" s="240" t="n"/>
      <c r="G423" s="240" t="n"/>
      <c r="H423" s="259" t="n">
        <v>26000</v>
      </c>
      <c r="I423" s="260" t="n"/>
      <c r="J423" s="260" t="n">
        <v>26000</v>
      </c>
      <c r="K423" s="233" t="n"/>
      <c r="L423" s="233">
        <f>IF(K423&lt;&gt;"",11000+K423,11000)</f>
        <v/>
      </c>
    </row>
    <row r="424" ht="15.75" customHeight="1" s="153">
      <c r="A424" s="227" t="n"/>
      <c r="B424" s="228" t="inlineStr">
        <is>
          <t>IRALA 3140</t>
        </is>
      </c>
      <c r="C424" s="229" t="n">
        <v>1</v>
      </c>
      <c r="D424" s="229" t="n"/>
      <c r="E424" s="229" t="n"/>
      <c r="F424" s="230" t="n"/>
      <c r="G424" s="230" t="n"/>
      <c r="H424" s="257" t="n">
        <v>26000</v>
      </c>
      <c r="I424" s="258" t="n">
        <v>26000</v>
      </c>
      <c r="J424" s="258" t="n"/>
      <c r="K424" s="233" t="n"/>
      <c r="L424" s="233">
        <f>IF(K424&lt;&gt;"",11000+K424,11000)</f>
        <v/>
      </c>
    </row>
    <row r="425" ht="15.75" customHeight="1" s="153">
      <c r="A425" s="237" t="n"/>
      <c r="B425" s="238" t="inlineStr">
        <is>
          <t>ROTI ARISTOBULO</t>
        </is>
      </c>
      <c r="C425" s="239" t="n"/>
      <c r="D425" s="239" t="n">
        <v>1</v>
      </c>
      <c r="E425" s="239" t="n"/>
      <c r="F425" s="240" t="n"/>
      <c r="G425" s="240" t="n"/>
      <c r="H425" s="259" t="n">
        <v>33500</v>
      </c>
      <c r="I425" s="260" t="n"/>
      <c r="J425" s="260" t="n">
        <v>33500</v>
      </c>
      <c r="K425" s="233" t="n"/>
      <c r="L425" s="233">
        <f>IF(K425&lt;&gt;"",11000+K425,11000)</f>
        <v/>
      </c>
    </row>
    <row r="426" ht="15.75" customHeight="1" s="153">
      <c r="A426" s="227" t="n"/>
      <c r="B426" s="228" t="inlineStr">
        <is>
          <t>AGUADO 8961</t>
        </is>
      </c>
      <c r="C426" s="229" t="n"/>
      <c r="D426" s="229" t="n">
        <v>1</v>
      </c>
      <c r="E426" s="229" t="n"/>
      <c r="F426" s="230" t="n"/>
      <c r="G426" s="230" t="n"/>
      <c r="H426" s="257" t="n">
        <v>38500</v>
      </c>
      <c r="I426" s="258" t="n">
        <v>38500</v>
      </c>
      <c r="J426" s="258" t="n"/>
      <c r="K426" s="233" t="n"/>
      <c r="L426" s="233">
        <f>IF(K426&lt;&gt;"",16000+K426,16000)</f>
        <v/>
      </c>
    </row>
    <row r="427" ht="15.75" customHeight="1" s="153">
      <c r="A427" s="237" t="n"/>
      <c r="B427" s="238" t="inlineStr">
        <is>
          <t>PANA BERUTI 6400</t>
        </is>
      </c>
      <c r="C427" s="239" t="n"/>
      <c r="D427" s="239" t="n"/>
      <c r="E427" s="239" t="n">
        <v>2</v>
      </c>
      <c r="F427" s="240" t="n"/>
      <c r="G427" s="240" t="n"/>
      <c r="H427" s="259" t="n">
        <v>150000</v>
      </c>
      <c r="I427" s="260" t="n"/>
      <c r="J427" s="260" t="n">
        <v>150000</v>
      </c>
      <c r="K427" s="233" t="n"/>
      <c r="L427" s="233">
        <f>IF(K427&lt;&gt;"",30000+K427,30000)</f>
        <v/>
      </c>
    </row>
    <row r="428" ht="15.75" customHeight="1" s="153">
      <c r="A428" s="227" t="n"/>
      <c r="B428" s="228" t="inlineStr">
        <is>
          <t>MARTINEZ 3221</t>
        </is>
      </c>
      <c r="C428" s="229" t="n">
        <v>2</v>
      </c>
      <c r="D428" s="229" t="n"/>
      <c r="E428" s="229" t="n">
        <v>1</v>
      </c>
      <c r="F428" s="230" t="n"/>
      <c r="G428" s="230" t="n"/>
      <c r="H428" s="257" t="n">
        <v>147000</v>
      </c>
      <c r="I428" s="258" t="n"/>
      <c r="J428" s="258" t="n">
        <v>147000</v>
      </c>
      <c r="K428" s="233" t="n"/>
      <c r="L428" s="233">
        <f>IF(K428&lt;&gt;"",57000+K428,57000)</f>
        <v/>
      </c>
    </row>
    <row r="429" ht="15.75" customHeight="1" s="153">
      <c r="A429" s="237" t="n"/>
      <c r="B429" s="238" t="inlineStr">
        <is>
          <t>RICARDO ALDAO 928</t>
        </is>
      </c>
      <c r="C429" s="239" t="n">
        <v>1</v>
      </c>
      <c r="D429" s="239" t="n"/>
      <c r="E429" s="239" t="n"/>
      <c r="F429" s="240" t="n"/>
      <c r="G429" s="240" t="n"/>
      <c r="H429" s="259" t="n">
        <v>26000</v>
      </c>
      <c r="I429" s="260" t="n">
        <v>26000</v>
      </c>
      <c r="J429" s="260" t="n"/>
      <c r="K429" s="233" t="n"/>
      <c r="L429" s="233">
        <f>IF(K429&lt;&gt;"",11000+K429,11000)</f>
        <v/>
      </c>
    </row>
    <row r="430" ht="15.75" customHeight="1" s="153">
      <c r="A430" s="227" t="n"/>
      <c r="B430" s="228" t="inlineStr">
        <is>
          <t>PADRE GENESIO 5950</t>
        </is>
      </c>
      <c r="C430" s="229" t="n"/>
      <c r="D430" s="229" t="n">
        <v>1</v>
      </c>
      <c r="E430" s="229" t="n"/>
      <c r="F430" s="230" t="n"/>
      <c r="G430" s="230" t="n"/>
      <c r="H430" s="257" t="n">
        <v>34500</v>
      </c>
      <c r="I430" s="258" t="n"/>
      <c r="J430" s="258" t="n">
        <v>34500</v>
      </c>
      <c r="K430" s="233" t="n"/>
      <c r="L430" s="233">
        <f>IF(K430&lt;&gt;"",12000+K430,12000)</f>
        <v/>
      </c>
    </row>
    <row r="431" ht="15.75" customHeight="1" s="153">
      <c r="A431" s="237" t="n"/>
      <c r="B431" s="238" t="inlineStr">
        <is>
          <t>5TO PASAJE 3750</t>
        </is>
      </c>
      <c r="C431" s="239" t="n"/>
      <c r="D431" s="239" t="n"/>
      <c r="E431" s="239" t="n">
        <v>1</v>
      </c>
      <c r="F431" s="240" t="n"/>
      <c r="G431" s="240" t="n"/>
      <c r="H431" s="259" t="n">
        <v>88000</v>
      </c>
      <c r="I431" s="260" t="n"/>
      <c r="J431" s="260" t="n">
        <v>88000</v>
      </c>
      <c r="K431" s="233" t="n"/>
      <c r="L431" s="233">
        <f>IF(K431&lt;&gt;"",28000+K431,28000)</f>
        <v/>
      </c>
    </row>
    <row r="432" ht="15.75" customHeight="1" s="153">
      <c r="A432" s="227" t="n"/>
      <c r="B432" s="228" t="inlineStr">
        <is>
          <t>VERBENA</t>
        </is>
      </c>
      <c r="C432" s="229" t="n">
        <v>2</v>
      </c>
      <c r="D432" s="229" t="n"/>
      <c r="E432" s="229" t="n"/>
      <c r="F432" s="230" t="n"/>
      <c r="G432" s="230" t="n"/>
      <c r="H432" s="257" t="n">
        <v>51000</v>
      </c>
      <c r="I432" s="258" t="n">
        <v>51000</v>
      </c>
      <c r="J432" s="258" t="n"/>
      <c r="K432" s="233" t="n"/>
      <c r="L432" s="233">
        <f>IF(K432&lt;&gt;"",21000+K432,21000)</f>
        <v/>
      </c>
    </row>
    <row r="433" ht="15.75" customHeight="1" s="153">
      <c r="A433" s="237" t="n"/>
      <c r="B433" s="238" t="inlineStr">
        <is>
          <t>RIVADAVIA 6330</t>
        </is>
      </c>
      <c r="C433" s="239" t="n">
        <v>1</v>
      </c>
      <c r="D433" s="239" t="n"/>
      <c r="E433" s="239" t="n"/>
      <c r="F433" s="240" t="n"/>
      <c r="G433" s="240" t="n"/>
      <c r="H433" s="259" t="n">
        <v>26000</v>
      </c>
      <c r="I433" s="260" t="n">
        <v>26000</v>
      </c>
      <c r="J433" s="260" t="n"/>
      <c r="K433" s="233" t="n"/>
      <c r="L433" s="233">
        <f>IF(K433&lt;&gt;"",11000+K433,11000)</f>
        <v/>
      </c>
    </row>
    <row r="434" ht="15.75" customHeight="1" s="153">
      <c r="A434" s="227" t="n"/>
      <c r="B434" s="228" t="inlineStr">
        <is>
          <t>FLORES 2 TORRE 8 MARCELO</t>
        </is>
      </c>
      <c r="C434" s="229" t="n">
        <v>1</v>
      </c>
      <c r="D434" s="229" t="n"/>
      <c r="E434" s="229" t="n"/>
      <c r="F434" s="230" t="n"/>
      <c r="G434" s="230" t="n"/>
      <c r="H434" s="257" t="n">
        <v>26000</v>
      </c>
      <c r="I434" s="258" t="n"/>
      <c r="J434" s="258" t="n">
        <v>26000</v>
      </c>
      <c r="K434" s="233" t="n"/>
      <c r="L434" s="233">
        <f>IF(K434&lt;&gt;"",11000+K434,11000)</f>
        <v/>
      </c>
    </row>
    <row r="435" ht="15.75" customHeight="1" s="153">
      <c r="A435" s="237" t="n"/>
      <c r="B435" s="238" t="inlineStr">
        <is>
          <t>SANTA BAR 1 MAYO 1959</t>
        </is>
      </c>
      <c r="C435" s="239" t="n">
        <v>1</v>
      </c>
      <c r="D435" s="239" t="n"/>
      <c r="E435" s="239" t="n">
        <v>1</v>
      </c>
      <c r="F435" s="240" t="n"/>
      <c r="G435" s="240" t="n"/>
      <c r="H435" s="259" t="n">
        <v>110000</v>
      </c>
      <c r="I435" s="260" t="n">
        <v>110000</v>
      </c>
      <c r="J435" s="260" t="n"/>
      <c r="K435" s="233" t="n"/>
      <c r="L435" s="233">
        <f>IF(K435&lt;&gt;"",35000+K435,35000)</f>
        <v/>
      </c>
    </row>
    <row r="436" ht="15.75" customHeight="1" s="153">
      <c r="A436" s="227" t="n"/>
      <c r="B436" s="228" t="inlineStr">
        <is>
          <t>PASAJE SUAREZ 3752</t>
        </is>
      </c>
      <c r="C436" s="229" t="n">
        <v>1</v>
      </c>
      <c r="D436" s="229" t="n"/>
      <c r="E436" s="229" t="n"/>
      <c r="F436" s="230" t="n"/>
      <c r="G436" s="230" t="n"/>
      <c r="H436" s="257" t="n">
        <v>25000</v>
      </c>
      <c r="I436" s="258" t="n">
        <v>25000</v>
      </c>
      <c r="J436" s="258" t="n"/>
      <c r="K436" s="233" t="n"/>
      <c r="L436" s="233">
        <f>IF(K436&lt;&gt;"",10000+K436,10000)</f>
        <v/>
      </c>
    </row>
    <row r="437" ht="15.75" customHeight="1" s="153">
      <c r="A437" s="237" t="n"/>
      <c r="B437" s="238" t="inlineStr">
        <is>
          <t>CAREN</t>
        </is>
      </c>
      <c r="C437" s="239" t="n"/>
      <c r="D437" s="239" t="n"/>
      <c r="E437" s="239" t="n">
        <v>1</v>
      </c>
      <c r="F437" s="240" t="n"/>
      <c r="G437" s="240" t="n"/>
      <c r="H437" s="259" t="n">
        <v>82000</v>
      </c>
      <c r="I437" s="260" t="n"/>
      <c r="J437" s="260" t="n">
        <v>82000</v>
      </c>
      <c r="K437" s="233" t="n"/>
      <c r="L437" s="233">
        <f>IF(K437&lt;&gt;"",22000+K437,22000)</f>
        <v/>
      </c>
    </row>
    <row r="438" ht="15.75" customHeight="1" s="153">
      <c r="A438" s="227" t="n"/>
      <c r="B438" s="228" t="inlineStr">
        <is>
          <t>ALVEAR 5259</t>
        </is>
      </c>
      <c r="C438" s="229" t="n">
        <v>1</v>
      </c>
      <c r="D438" s="229" t="n"/>
      <c r="E438" s="229" t="n"/>
      <c r="F438" s="230" t="n"/>
      <c r="G438" s="230" t="n"/>
      <c r="H438" s="257" t="n">
        <v>26000</v>
      </c>
      <c r="I438" s="258" t="n">
        <v>26000</v>
      </c>
      <c r="J438" s="258" t="n"/>
      <c r="K438" s="233" t="n"/>
      <c r="L438" s="233">
        <f>IF(K438&lt;&gt;"",11000+K438,11000)</f>
        <v/>
      </c>
    </row>
    <row r="439" ht="15.75" customHeight="1" s="153">
      <c r="A439" s="237" t="n"/>
      <c r="B439" s="238" t="inlineStr">
        <is>
          <t>TACUARI 5717</t>
        </is>
      </c>
      <c r="C439" s="239" t="n">
        <v>1</v>
      </c>
      <c r="D439" s="239" t="n"/>
      <c r="E439" s="239" t="n"/>
      <c r="F439" s="240" t="n"/>
      <c r="G439" s="240" t="n"/>
      <c r="H439" s="259" t="n">
        <v>25000</v>
      </c>
      <c r="I439" s="260" t="n"/>
      <c r="J439" s="260" t="n">
        <v>25000</v>
      </c>
      <c r="K439" s="233" t="n"/>
      <c r="L439" s="233">
        <f>IF(K439&lt;&gt;"",10000+K439,10000)</f>
        <v/>
      </c>
    </row>
    <row r="440" ht="15.75" customHeight="1" s="153">
      <c r="A440" s="227" t="n"/>
      <c r="B440" s="228" t="inlineStr">
        <is>
          <t>SABOREAR</t>
        </is>
      </c>
      <c r="C440" s="229" t="n">
        <v>1</v>
      </c>
      <c r="D440" s="229" t="n"/>
      <c r="E440" s="229" t="n"/>
      <c r="F440" s="230" t="n"/>
      <c r="G440" s="230" t="n"/>
      <c r="H440" s="257" t="n">
        <v>22500</v>
      </c>
      <c r="I440" s="258" t="n"/>
      <c r="J440" s="258" t="n">
        <v>22500</v>
      </c>
      <c r="K440" s="233" t="n"/>
      <c r="L440" s="233">
        <f>IF(K440&lt;&gt;"",7500+K440,7500)</f>
        <v/>
      </c>
    </row>
    <row r="441" ht="15.75" customHeight="1" s="153">
      <c r="A441" s="237" t="n"/>
      <c r="B441" s="238" t="inlineStr">
        <is>
          <t>PUBLICO 2527</t>
        </is>
      </c>
      <c r="C441" s="239" t="n">
        <v>1</v>
      </c>
      <c r="D441" s="239" t="n"/>
      <c r="E441" s="239" t="n"/>
      <c r="F441" s="240" t="n"/>
      <c r="G441" s="240" t="n"/>
      <c r="H441" s="259" t="n">
        <v>26000</v>
      </c>
      <c r="I441" s="260" t="n">
        <v>26000</v>
      </c>
      <c r="J441" s="260" t="n"/>
      <c r="K441" s="233" t="n"/>
      <c r="L441" s="233">
        <f>IF(K441&lt;&gt;"",11000+K441,11000)</f>
        <v/>
      </c>
    </row>
    <row r="442" ht="15.75" customHeight="1" s="153">
      <c r="A442" s="227" t="n"/>
      <c r="B442" s="228" t="inlineStr">
        <is>
          <t>LAVAISE 3786</t>
        </is>
      </c>
      <c r="C442" s="229" t="n">
        <v>1</v>
      </c>
      <c r="D442" s="229" t="n">
        <v>1</v>
      </c>
      <c r="E442" s="229" t="n"/>
      <c r="F442" s="230" t="n"/>
      <c r="G442" s="230" t="n"/>
      <c r="H442" s="257" t="n">
        <v>61000</v>
      </c>
      <c r="I442" s="258" t="n">
        <v>61000</v>
      </c>
      <c r="J442" s="258" t="n"/>
      <c r="K442" s="233" t="n"/>
      <c r="L442" s="233">
        <f>IF(K442&lt;&gt;"",23500+K442,23500)</f>
        <v/>
      </c>
    </row>
    <row r="443" ht="15.75" customHeight="1" s="153">
      <c r="A443" s="237" t="n"/>
      <c r="B443" s="238" t="inlineStr">
        <is>
          <t>JP LOPEZ 2322</t>
        </is>
      </c>
      <c r="C443" s="239" t="n">
        <v>1</v>
      </c>
      <c r="D443" s="239" t="n"/>
      <c r="E443" s="239" t="n"/>
      <c r="F443" s="240" t="n"/>
      <c r="G443" s="240" t="n"/>
      <c r="H443" s="259" t="n">
        <v>26000</v>
      </c>
      <c r="I443" s="260" t="n">
        <v>26000</v>
      </c>
      <c r="J443" s="260" t="n"/>
      <c r="K443" s="233" t="n"/>
      <c r="L443" s="233">
        <f>IF(K443&lt;&gt;"",11000+K443,11000)</f>
        <v/>
      </c>
    </row>
    <row r="444" ht="15.75" customHeight="1" s="153">
      <c r="A444" s="227" t="n"/>
      <c r="B444" s="228" t="inlineStr">
        <is>
          <t>PASAJE PARAGUAY 6660</t>
        </is>
      </c>
      <c r="C444" s="229" t="n">
        <v>1</v>
      </c>
      <c r="D444" s="229" t="n"/>
      <c r="E444" s="229" t="n"/>
      <c r="F444" s="230" t="n"/>
      <c r="G444" s="230" t="n"/>
      <c r="H444" s="257" t="n">
        <v>26000</v>
      </c>
      <c r="I444" s="258" t="n">
        <v>26000</v>
      </c>
      <c r="J444" s="258" t="n"/>
      <c r="K444" s="233" t="n"/>
      <c r="L444" s="233">
        <f>IF(K444&lt;&gt;"",11000+K444,11000)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 t="n"/>
      <c r="D501" s="255" t="n"/>
      <c r="E501" s="255" t="n"/>
      <c r="F501" s="255" t="n"/>
      <c r="G501" s="255" t="n"/>
      <c r="H501" s="256" t="n"/>
      <c r="I501" s="256" t="n"/>
      <c r="J501" s="256" t="n"/>
      <c r="K501" s="256" t="n"/>
    </row>
  </sheetData>
  <autoFilter ref="A4:K4"/>
  <mergeCells count="4">
    <mergeCell ref="A2:K2"/>
    <mergeCell ref="A1:K1"/>
    <mergeCell ref="Q1:V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cols>
    <col width="14" customWidth="1" style="153" min="1" max="1"/>
    <col width="30" customWidth="1" style="153" min="2" max="2"/>
    <col width="8" customWidth="1" style="153" min="3" max="3"/>
    <col width="8" customWidth="1" style="153" min="4" max="4"/>
    <col width="8" customWidth="1" style="153" min="5" max="5"/>
    <col width="8" customWidth="1" style="153" min="6" max="6"/>
    <col width="8" customWidth="1" style="153" min="7" max="7"/>
    <col width="14" customWidth="1" style="153" min="8" max="8"/>
    <col width="14" customWidth="1" style="153" min="9" max="9"/>
    <col width="14" customWidth="1" style="153" min="10" max="10"/>
    <col width="14" customWidth="1" style="153" min="11" max="11"/>
    <col width="14" customWidth="1" style="153" min="12" max="12"/>
  </cols>
  <sheetData>
    <row r="1">
      <c r="A1" s="261" t="inlineStr">
        <is>
          <t>VENTAS — JUNIO 2026</t>
        </is>
      </c>
    </row>
    <row r="2">
      <c r="A2" t="inlineStr">
        <is>
          <t>Datos cargados por Sistema Galiano</t>
        </is>
      </c>
    </row>
    <row r="4">
      <c r="A4" s="262" t="inlineStr">
        <is>
          <t>FECHA</t>
        </is>
      </c>
      <c r="B4" s="262" t="inlineStr">
        <is>
          <t>CLIENTE</t>
        </is>
      </c>
      <c r="C4" s="262" t="inlineStr">
        <is>
          <t>10</t>
        </is>
      </c>
      <c r="D4" s="262" t="inlineStr">
        <is>
          <t>15</t>
        </is>
      </c>
      <c r="E4" s="262" t="inlineStr">
        <is>
          <t>45</t>
        </is>
      </c>
      <c r="F4" s="262" t="inlineStr">
        <is>
          <t>YERBA</t>
        </is>
      </c>
      <c r="G4" s="262" t="inlineStr">
        <is>
          <t>AGUA/BIDON</t>
        </is>
      </c>
      <c r="H4" s="262" t="inlineStr">
        <is>
          <t>VALOR ($)</t>
        </is>
      </c>
      <c r="I4" s="262" t="inlineStr">
        <is>
          <t>EFECTIVO ($)</t>
        </is>
      </c>
      <c r="J4" s="262" t="inlineStr">
        <is>
          <t>TRANSFER ($)</t>
        </is>
      </c>
      <c r="K4" s="262" t="inlineStr">
        <is>
          <t>ENVASE ($)</t>
        </is>
      </c>
      <c r="L4" s="262" t="inlineStr">
        <is>
          <t>GANANCIA ($)</t>
        </is>
      </c>
    </row>
    <row r="5">
      <c r="A5" s="263" t="inlineStr">
        <is>
          <t>2026-06-01</t>
        </is>
      </c>
      <c r="B5" s="263" t="inlineStr">
        <is>
          <t>DALLAS 6761</t>
        </is>
      </c>
      <c r="C5" s="263" t="n"/>
      <c r="D5" s="263" t="n"/>
      <c r="E5" s="263" t="n">
        <v>1</v>
      </c>
      <c r="F5" s="263" t="n"/>
      <c r="G5" s="263" t="n"/>
      <c r="H5" s="263" t="n">
        <v>98000</v>
      </c>
      <c r="I5" s="263" t="n"/>
      <c r="J5" s="263" t="n">
        <v>98000</v>
      </c>
      <c r="K5" s="263" t="n"/>
      <c r="L5" s="263" t="n">
        <v>29000</v>
      </c>
    </row>
    <row r="6">
      <c r="A6" s="263" t="n"/>
      <c r="B6" s="263" t="inlineStr">
        <is>
          <t>CHICLANA 6630</t>
        </is>
      </c>
      <c r="C6" s="263" t="n">
        <v>1</v>
      </c>
      <c r="D6" s="263" t="n"/>
      <c r="E6" s="263" t="n"/>
      <c r="F6" s="263" t="n"/>
      <c r="G6" s="263" t="n"/>
      <c r="H6" s="263" t="n">
        <v>26000</v>
      </c>
      <c r="I6" s="263" t="n"/>
      <c r="J6" s="263" t="n">
        <v>26000</v>
      </c>
      <c r="K6" s="263" t="n"/>
      <c r="L6" s="263" t="n">
        <v>9000</v>
      </c>
    </row>
    <row r="7">
      <c r="A7" s="263" t="n"/>
      <c r="B7" s="263" t="inlineStr">
        <is>
          <t>BLAS PARERA 6372</t>
        </is>
      </c>
      <c r="C7" s="263" t="n"/>
      <c r="D7" s="263" t="n"/>
      <c r="E7" s="263" t="n">
        <v>1</v>
      </c>
      <c r="F7" s="263" t="n"/>
      <c r="G7" s="263" t="n"/>
      <c r="H7" s="263" t="n">
        <v>93000</v>
      </c>
      <c r="I7" s="263" t="n"/>
      <c r="J7" s="263" t="n">
        <v>93000</v>
      </c>
      <c r="K7" s="263" t="n"/>
      <c r="L7" s="263" t="n">
        <v>24000</v>
      </c>
    </row>
    <row r="8">
      <c r="A8" s="263" t="n"/>
      <c r="B8" s="263" t="inlineStr">
        <is>
          <t>PANA BERUTI 6700</t>
        </is>
      </c>
      <c r="C8" s="263" t="n"/>
      <c r="D8" s="263" t="n"/>
      <c r="E8" s="263" t="n">
        <v>1</v>
      </c>
      <c r="F8" s="263" t="n"/>
      <c r="G8" s="263" t="n"/>
      <c r="H8" s="263" t="n">
        <v>88000</v>
      </c>
      <c r="I8" s="263" t="n">
        <v>88000</v>
      </c>
      <c r="J8" s="263" t="n"/>
      <c r="K8" s="263" t="n"/>
      <c r="L8" s="263" t="n">
        <v>19000</v>
      </c>
    </row>
    <row r="9">
      <c r="A9" s="263" t="n"/>
      <c r="B9" s="263" t="inlineStr">
        <is>
          <t>SAN MARTIN 9308</t>
        </is>
      </c>
      <c r="C9" s="263" t="n"/>
      <c r="D9" s="263" t="n">
        <v>1</v>
      </c>
      <c r="E9" s="263" t="n"/>
      <c r="F9" s="263" t="n"/>
      <c r="G9" s="263" t="n"/>
      <c r="H9" s="263" t="n">
        <v>41500</v>
      </c>
      <c r="I9" s="263" t="n">
        <v>41500</v>
      </c>
      <c r="J9" s="263" t="n"/>
      <c r="K9" s="263" t="n"/>
      <c r="L9" s="263" t="n">
        <v>16000</v>
      </c>
    </row>
    <row r="10">
      <c r="A10" s="263" t="n"/>
      <c r="B10" s="263" t="inlineStr">
        <is>
          <t>LARGUIA 9355</t>
        </is>
      </c>
      <c r="C10" s="263" t="n"/>
      <c r="D10" s="263" t="n"/>
      <c r="E10" s="263" t="n">
        <v>1</v>
      </c>
      <c r="F10" s="263" t="n"/>
      <c r="G10" s="263" t="n"/>
      <c r="H10" s="263" t="n">
        <v>96000</v>
      </c>
      <c r="I10" s="263" t="n"/>
      <c r="J10" s="263" t="n">
        <v>96000</v>
      </c>
      <c r="K10" s="263" t="n"/>
      <c r="L10" s="263" t="n">
        <v>27000</v>
      </c>
    </row>
    <row r="11">
      <c r="A11" s="263" t="n"/>
      <c r="B11" s="263" t="inlineStr">
        <is>
          <t>PANA VIEYTES 4500</t>
        </is>
      </c>
      <c r="C11" s="263" t="n">
        <v>1</v>
      </c>
      <c r="D11" s="263" t="n"/>
      <c r="E11" s="263" t="n">
        <v>1</v>
      </c>
      <c r="F11" s="263" t="n"/>
      <c r="G11" s="263" t="n"/>
      <c r="H11" s="263" t="n">
        <v>113000</v>
      </c>
      <c r="I11" s="263" t="n"/>
      <c r="J11" s="263" t="n">
        <v>113000</v>
      </c>
      <c r="K11" s="263" t="n"/>
      <c r="L11" s="263" t="n">
        <v>27000</v>
      </c>
    </row>
    <row r="12">
      <c r="A12" s="263" t="n"/>
      <c r="B12" s="263" t="inlineStr">
        <is>
          <t>MARCIAL CANDIOTI 5359</t>
        </is>
      </c>
      <c r="C12" s="263" t="n">
        <v>1</v>
      </c>
      <c r="D12" s="263" t="n"/>
      <c r="E12" s="263" t="n"/>
      <c r="F12" s="263" t="n"/>
      <c r="G12" s="263" t="n"/>
      <c r="H12" s="263" t="n">
        <v>28000</v>
      </c>
      <c r="I12" s="263" t="n">
        <v>28000</v>
      </c>
      <c r="J12" s="263" t="n"/>
      <c r="K12" s="263" t="n"/>
      <c r="L12" s="263" t="n">
        <v>11000</v>
      </c>
    </row>
    <row r="13">
      <c r="A13" s="263" t="n"/>
      <c r="B13" s="263" t="inlineStr">
        <is>
          <t>MATEU 4059</t>
        </is>
      </c>
      <c r="C13" s="263" t="n"/>
      <c r="D13" s="263" t="n">
        <v>1</v>
      </c>
      <c r="E13" s="263" t="n"/>
      <c r="F13" s="263" t="n"/>
      <c r="G13" s="263" t="n"/>
      <c r="H13" s="263" t="n">
        <v>37000</v>
      </c>
      <c r="I13" s="263" t="n">
        <v>37000</v>
      </c>
      <c r="J13" s="263" t="n"/>
      <c r="K13" s="263" t="n"/>
      <c r="L13" s="263" t="n">
        <v>11500</v>
      </c>
    </row>
    <row r="14">
      <c r="A14" s="263" t="n"/>
      <c r="B14" s="263" t="inlineStr">
        <is>
          <t>LAVAISE 3786</t>
        </is>
      </c>
      <c r="C14" s="263" t="n">
        <v>1</v>
      </c>
      <c r="D14" s="263" t="n">
        <v>1</v>
      </c>
      <c r="E14" s="263" t="n"/>
      <c r="F14" s="263" t="n"/>
      <c r="G14" s="263" t="n"/>
      <c r="H14" s="263" t="n">
        <v>69000</v>
      </c>
      <c r="I14" s="263" t="n"/>
      <c r="J14" s="263" t="n">
        <v>69000</v>
      </c>
      <c r="K14" s="263" t="n"/>
      <c r="L14" s="263" t="n">
        <v>26500</v>
      </c>
    </row>
    <row r="15">
      <c r="A15" s="263" t="n"/>
      <c r="B15" s="263" t="inlineStr">
        <is>
          <t>CASANELLO 3463</t>
        </is>
      </c>
      <c r="C15" s="263" t="n">
        <v>1</v>
      </c>
      <c r="D15" s="263" t="n"/>
      <c r="E15" s="263" t="n"/>
      <c r="F15" s="263" t="n"/>
      <c r="G15" s="263" t="n"/>
      <c r="H15" s="263" t="n">
        <v>28000</v>
      </c>
      <c r="I15" s="263" t="n"/>
      <c r="J15" s="263" t="n">
        <v>28000</v>
      </c>
      <c r="K15" s="263" t="n"/>
      <c r="L15" s="263" t="n">
        <v>11000</v>
      </c>
    </row>
    <row r="16">
      <c r="A16" s="263" t="n"/>
      <c r="B16" s="263" t="inlineStr">
        <is>
          <t>LUCHO</t>
        </is>
      </c>
      <c r="C16" s="263" t="n"/>
      <c r="D16" s="263" t="n">
        <v>1</v>
      </c>
      <c r="E16" s="263" t="n"/>
      <c r="F16" s="263" t="n"/>
      <c r="G16" s="263" t="n"/>
      <c r="H16" s="263" t="n">
        <v>35000</v>
      </c>
      <c r="I16" s="263" t="n"/>
      <c r="J16" s="263" t="n">
        <v>35000</v>
      </c>
      <c r="K16" s="263" t="n"/>
      <c r="L16" s="263" t="n">
        <v>9500</v>
      </c>
    </row>
    <row r="17">
      <c r="A17" s="263" t="n"/>
      <c r="B17" s="263" t="inlineStr">
        <is>
          <t>9 DE JULIO 6810</t>
        </is>
      </c>
      <c r="C17" s="263" t="n">
        <v>1</v>
      </c>
      <c r="D17" s="263" t="n"/>
      <c r="E17" s="263" t="n"/>
      <c r="F17" s="263" t="n"/>
      <c r="G17" s="263" t="n"/>
      <c r="H17" s="263" t="n">
        <v>27500</v>
      </c>
      <c r="I17" s="263" t="n">
        <v>27500</v>
      </c>
      <c r="J17" s="263" t="n"/>
      <c r="K17" s="263" t="n"/>
      <c r="L17" s="263" t="n">
        <v>10500</v>
      </c>
    </row>
    <row r="18">
      <c r="A18" s="263" t="n"/>
      <c r="B18" s="263" t="inlineStr">
        <is>
          <t>FILOMENA</t>
        </is>
      </c>
      <c r="C18" s="263" t="n">
        <v>3</v>
      </c>
      <c r="D18" s="263" t="n"/>
      <c r="E18" s="263" t="n"/>
      <c r="F18" s="263" t="n"/>
      <c r="G18" s="263" t="n"/>
      <c r="H18" s="263" t="n">
        <v>79500</v>
      </c>
      <c r="I18" s="263" t="n"/>
      <c r="J18" s="263" t="n">
        <v>79500</v>
      </c>
      <c r="K18" s="263" t="n"/>
      <c r="L18" s="263" t="n">
        <v>28500</v>
      </c>
    </row>
    <row r="19">
      <c r="A19" s="263" t="n"/>
      <c r="B19" s="263" t="inlineStr">
        <is>
          <t>PEDRO ESPINOSA 3169</t>
        </is>
      </c>
      <c r="C19" s="263" t="n"/>
      <c r="D19" s="263" t="n"/>
      <c r="E19" s="263" t="n">
        <v>1</v>
      </c>
      <c r="F19" s="263" t="n"/>
      <c r="G19" s="263" t="n"/>
      <c r="H19" s="263" t="n">
        <v>92000</v>
      </c>
      <c r="I19" s="263" t="n">
        <v>92000</v>
      </c>
      <c r="J19" s="263" t="n"/>
      <c r="K19" s="263" t="n"/>
      <c r="L19" s="263" t="n">
        <v>23000</v>
      </c>
    </row>
    <row r="20">
      <c r="A20" s="263" t="inlineStr">
        <is>
          <t>2026-06-02</t>
        </is>
      </c>
      <c r="B20" s="263" t="inlineStr">
        <is>
          <t>ESTRADA 2815</t>
        </is>
      </c>
      <c r="C20" s="263" t="n">
        <v>1</v>
      </c>
      <c r="D20" s="263" t="n"/>
      <c r="E20" s="263" t="n"/>
      <c r="F20" s="263" t="n"/>
      <c r="G20" s="263" t="n"/>
      <c r="H20" s="263" t="n">
        <v>28000</v>
      </c>
      <c r="I20" s="263" t="n">
        <v>28000</v>
      </c>
      <c r="J20" s="263" t="n"/>
      <c r="K20" s="263" t="n"/>
      <c r="L20" s="263" t="n">
        <v>11000</v>
      </c>
    </row>
    <row r="21">
      <c r="A21" s="263" t="n"/>
      <c r="B21" s="263" t="inlineStr">
        <is>
          <t>PASAJE PARAGUAY 10333</t>
        </is>
      </c>
      <c r="C21" s="263" t="n"/>
      <c r="D21" s="263" t="n"/>
      <c r="E21" s="263" t="n">
        <v>1</v>
      </c>
      <c r="F21" s="263" t="n"/>
      <c r="G21" s="263" t="n"/>
      <c r="H21" s="263" t="n">
        <v>96000</v>
      </c>
      <c r="I21" s="263" t="n"/>
      <c r="J21" s="263" t="n">
        <v>96000</v>
      </c>
      <c r="K21" s="263" t="n"/>
      <c r="L21" s="263" t="n">
        <v>27000</v>
      </c>
    </row>
    <row r="22">
      <c r="A22" s="263" t="n"/>
      <c r="B22" s="263" t="inlineStr">
        <is>
          <t>CHICLANA 7325</t>
        </is>
      </c>
      <c r="C22" s="263" t="n">
        <v>1</v>
      </c>
      <c r="D22" s="263" t="n"/>
      <c r="E22" s="263" t="n"/>
      <c r="F22" s="263" t="n"/>
      <c r="G22" s="263" t="n"/>
      <c r="H22" s="263" t="n">
        <v>22500</v>
      </c>
      <c r="I22" s="263" t="n"/>
      <c r="J22" s="263" t="n">
        <v>22500</v>
      </c>
      <c r="K22" s="263" t="n"/>
      <c r="L22" s="263" t="n">
        <v>5500</v>
      </c>
    </row>
    <row r="23">
      <c r="A23" s="263" t="n"/>
      <c r="B23" s="263" t="inlineStr">
        <is>
          <t>MADAME CHEESE</t>
        </is>
      </c>
      <c r="C23" s="263" t="n"/>
      <c r="D23" s="263" t="n">
        <v>1</v>
      </c>
      <c r="E23" s="263" t="n"/>
      <c r="F23" s="263" t="n"/>
      <c r="G23" s="263" t="n"/>
      <c r="H23" s="263" t="n">
        <v>38500</v>
      </c>
      <c r="I23" s="263" t="n"/>
      <c r="J23" s="263" t="n">
        <v>38500</v>
      </c>
      <c r="K23" s="263" t="n"/>
      <c r="L23" s="263" t="n">
        <v>13000</v>
      </c>
    </row>
    <row r="24">
      <c r="A24" s="263" t="n"/>
      <c r="B24" s="263" t="inlineStr">
        <is>
          <t>VIANDAS JORGE</t>
        </is>
      </c>
      <c r="C24" s="263" t="n">
        <v>1</v>
      </c>
      <c r="D24" s="263" t="n"/>
      <c r="E24" s="263" t="n"/>
      <c r="F24" s="263" t="n"/>
      <c r="G24" s="263" t="n"/>
      <c r="H24" s="263" t="n">
        <v>25000</v>
      </c>
      <c r="I24" s="263" t="n">
        <v>25000</v>
      </c>
      <c r="J24" s="263" t="n"/>
      <c r="K24" s="263" t="n"/>
      <c r="L24" s="263" t="n">
        <v>8000</v>
      </c>
    </row>
    <row r="25">
      <c r="A25" s="263" t="n"/>
      <c r="B25" s="263" t="inlineStr">
        <is>
          <t>IGUALDAD</t>
        </is>
      </c>
      <c r="C25" s="263" t="n">
        <v>1</v>
      </c>
      <c r="D25" s="263" t="n"/>
      <c r="E25" s="263" t="n"/>
      <c r="F25" s="263" t="n"/>
      <c r="G25" s="263" t="n"/>
      <c r="H25" s="263" t="n">
        <v>27000</v>
      </c>
      <c r="I25" s="263" t="n"/>
      <c r="J25" s="263" t="n">
        <v>27000</v>
      </c>
      <c r="K25" s="263" t="n"/>
      <c r="L25" s="263" t="n">
        <v>10000</v>
      </c>
    </row>
    <row r="26">
      <c r="A26" s="263" t="n"/>
      <c r="B26" s="263" t="inlineStr">
        <is>
          <t>ROTI ARISTOBULO</t>
        </is>
      </c>
      <c r="C26" s="263" t="n">
        <v>1</v>
      </c>
      <c r="D26" s="263" t="n">
        <v>1</v>
      </c>
      <c r="E26" s="263" t="n"/>
      <c r="F26" s="263" t="n"/>
      <c r="G26" s="263" t="n"/>
      <c r="H26" s="263" t="n">
        <v>65000</v>
      </c>
      <c r="I26" s="263" t="n"/>
      <c r="J26" s="263" t="n">
        <v>65000</v>
      </c>
      <c r="K26" s="263" t="n"/>
      <c r="L26" s="263" t="n">
        <v>22500</v>
      </c>
    </row>
    <row r="27">
      <c r="A27" s="263" t="n"/>
      <c r="B27" s="263" t="inlineStr">
        <is>
          <t>DAVID LEIVA Y ALBERTI</t>
        </is>
      </c>
      <c r="C27" s="263" t="n">
        <v>1</v>
      </c>
      <c r="D27" s="263" t="n"/>
      <c r="E27" s="263" t="n"/>
      <c r="F27" s="263" t="n"/>
      <c r="G27" s="263" t="n"/>
      <c r="H27" s="263" t="n">
        <v>27000</v>
      </c>
      <c r="I27" s="263" t="n">
        <v>27000</v>
      </c>
      <c r="J27" s="263" t="n"/>
      <c r="K27" s="263" t="n"/>
      <c r="L27" s="263" t="n">
        <v>10000</v>
      </c>
    </row>
    <row r="28">
      <c r="A28" s="263" t="n"/>
      <c r="B28" s="263" t="inlineStr">
        <is>
          <t>PRIMERO DE MAYO 1605</t>
        </is>
      </c>
      <c r="C28" s="263" t="n"/>
      <c r="D28" s="263" t="n">
        <v>1</v>
      </c>
      <c r="E28" s="263" t="n"/>
      <c r="F28" s="263" t="n"/>
      <c r="G28" s="263" t="n"/>
      <c r="H28" s="263" t="n">
        <v>42000</v>
      </c>
      <c r="I28" s="263" t="n">
        <v>42000</v>
      </c>
      <c r="J28" s="263" t="n"/>
      <c r="K28" s="263" t="n"/>
      <c r="L28" s="263" t="n">
        <v>16500</v>
      </c>
    </row>
    <row r="29">
      <c r="A29" s="263" t="n"/>
      <c r="B29" s="263" t="inlineStr">
        <is>
          <t>PIEDRABUENA 6450</t>
        </is>
      </c>
      <c r="C29" s="263" t="n"/>
      <c r="D29" s="263" t="n"/>
      <c r="E29" s="263" t="n">
        <v>1</v>
      </c>
      <c r="F29" s="263" t="n"/>
      <c r="G29" s="263" t="n"/>
      <c r="H29" s="263" t="n">
        <v>93000</v>
      </c>
      <c r="I29" s="263" t="n"/>
      <c r="J29" s="263" t="n">
        <v>93000</v>
      </c>
      <c r="K29" s="263" t="n"/>
      <c r="L29" s="263" t="n">
        <v>24000</v>
      </c>
    </row>
    <row r="30">
      <c r="A30" s="263" t="n"/>
      <c r="B30" s="263" t="inlineStr">
        <is>
          <t>BRASIL 4871</t>
        </is>
      </c>
      <c r="C30" s="263" t="n">
        <v>1</v>
      </c>
      <c r="D30" s="263" t="n"/>
      <c r="E30" s="263" t="n"/>
      <c r="F30" s="263" t="n"/>
      <c r="G30" s="263" t="n"/>
      <c r="H30" s="263" t="n">
        <v>28000</v>
      </c>
      <c r="I30" s="263" t="n">
        <v>28000</v>
      </c>
      <c r="J30" s="263" t="n"/>
      <c r="K30" s="263" t="n"/>
      <c r="L30" s="263" t="n">
        <v>11000</v>
      </c>
    </row>
    <row r="31">
      <c r="A31" s="263" t="n"/>
      <c r="B31" s="263" t="inlineStr">
        <is>
          <t>SERVANDO BAYO 7250</t>
        </is>
      </c>
      <c r="C31" s="263" t="n">
        <v>1</v>
      </c>
      <c r="D31" s="263" t="n"/>
      <c r="E31" s="263" t="n"/>
      <c r="F31" s="263" t="n"/>
      <c r="G31" s="263" t="n"/>
      <c r="H31" s="263" t="n">
        <v>27000</v>
      </c>
      <c r="I31" s="263" t="n">
        <v>27000</v>
      </c>
      <c r="J31" s="263" t="n"/>
      <c r="K31" s="263" t="n"/>
      <c r="L31" s="263" t="n">
        <v>10000</v>
      </c>
    </row>
    <row r="32">
      <c r="A32" s="263" t="n"/>
      <c r="B32" s="263" t="inlineStr">
        <is>
          <t>ANGELA LAMADRID 7500</t>
        </is>
      </c>
      <c r="C32" s="263" t="n">
        <v>1</v>
      </c>
      <c r="D32" s="263" t="n"/>
      <c r="E32" s="263" t="n"/>
      <c r="F32" s="263" t="n"/>
      <c r="G32" s="263" t="n"/>
      <c r="H32" s="263" t="n">
        <v>28000</v>
      </c>
      <c r="I32" s="263" t="n">
        <v>28000</v>
      </c>
      <c r="J32" s="263" t="n"/>
      <c r="K32" s="263" t="n"/>
      <c r="L32" s="263" t="n">
        <v>11000</v>
      </c>
    </row>
    <row r="33">
      <c r="A33" s="263" t="n"/>
      <c r="B33" s="263" t="inlineStr">
        <is>
          <t>LAMADRID 1086</t>
        </is>
      </c>
      <c r="C33" s="263" t="n">
        <v>1</v>
      </c>
      <c r="D33" s="263" t="n"/>
      <c r="E33" s="263" t="n"/>
      <c r="F33" s="263" t="n"/>
      <c r="G33" s="263" t="n"/>
      <c r="H33" s="263" t="n">
        <v>27000</v>
      </c>
      <c r="I33" s="263" t="n"/>
      <c r="J33" s="263" t="n">
        <v>27000</v>
      </c>
      <c r="K33" s="263" t="n"/>
      <c r="L33" s="263" t="n">
        <v>10000</v>
      </c>
    </row>
    <row r="34">
      <c r="A34" s="263" t="n"/>
      <c r="B34" s="263" t="inlineStr">
        <is>
          <t>CALLE CONFUNE 5070</t>
        </is>
      </c>
      <c r="C34" s="263" t="n"/>
      <c r="D34" s="263" t="n"/>
      <c r="E34" s="263" t="n">
        <v>1</v>
      </c>
      <c r="F34" s="263" t="n"/>
      <c r="G34" s="263" t="n"/>
      <c r="H34" s="263" t="n">
        <v>96000</v>
      </c>
      <c r="I34" s="263" t="n"/>
      <c r="J34" s="263" t="n">
        <v>96000</v>
      </c>
      <c r="K34" s="263" t="n"/>
      <c r="L34" s="263" t="n">
        <v>27000</v>
      </c>
    </row>
    <row r="35">
      <c r="A35" s="263" t="n"/>
      <c r="B35" s="263" t="inlineStr">
        <is>
          <t>COLODRERO 1258</t>
        </is>
      </c>
      <c r="C35" s="263" t="n"/>
      <c r="D35" s="263" t="n"/>
      <c r="E35" s="263" t="n">
        <v>1</v>
      </c>
      <c r="F35" s="263" t="n"/>
      <c r="G35" s="263" t="n"/>
      <c r="H35" s="263" t="n">
        <v>89000</v>
      </c>
      <c r="I35" s="263" t="n"/>
      <c r="J35" s="263" t="n">
        <v>89000</v>
      </c>
      <c r="K35" s="263" t="n"/>
      <c r="L35" s="263" t="n">
        <v>20000</v>
      </c>
    </row>
    <row r="36">
      <c r="A36" s="263" t="n"/>
      <c r="B36" s="263" t="inlineStr">
        <is>
          <t>NOGALES 2426</t>
        </is>
      </c>
      <c r="C36" s="263" t="n">
        <v>1</v>
      </c>
      <c r="D36" s="263" t="n"/>
      <c r="E36" s="263" t="n"/>
      <c r="F36" s="263" t="n"/>
      <c r="G36" s="263" t="n"/>
      <c r="H36" s="263" t="n">
        <v>28000</v>
      </c>
      <c r="I36" s="263" t="n"/>
      <c r="J36" s="263" t="n">
        <v>28000</v>
      </c>
      <c r="K36" s="263" t="n"/>
      <c r="L36" s="263" t="n">
        <v>11000</v>
      </c>
    </row>
    <row r="37">
      <c r="A37" s="263" t="n"/>
      <c r="B37" s="263" t="inlineStr">
        <is>
          <t>BERUTI 6400</t>
        </is>
      </c>
      <c r="C37" s="263" t="n"/>
      <c r="D37" s="263" t="n"/>
      <c r="E37" s="263" t="n">
        <v>1</v>
      </c>
      <c r="F37" s="263" t="n"/>
      <c r="G37" s="263" t="n"/>
      <c r="H37" s="263" t="n">
        <v>96000</v>
      </c>
      <c r="I37" s="263" t="n">
        <v>96000</v>
      </c>
      <c r="J37" s="263" t="n"/>
      <c r="K37" s="263" t="n"/>
      <c r="L37" s="263" t="n">
        <v>27000</v>
      </c>
    </row>
    <row r="38">
      <c r="A38" s="263" t="n"/>
      <c r="B38" s="263" t="inlineStr">
        <is>
          <t>NAMUNCURA 4436</t>
        </is>
      </c>
      <c r="C38" s="263" t="n"/>
      <c r="D38" s="263" t="n"/>
      <c r="E38" s="263" t="n">
        <v>1</v>
      </c>
      <c r="F38" s="263" t="n"/>
      <c r="G38" s="263" t="n"/>
      <c r="H38" s="263" t="n">
        <v>96000</v>
      </c>
      <c r="I38" s="263" t="n"/>
      <c r="J38" s="263" t="n">
        <v>96000</v>
      </c>
      <c r="K38" s="263" t="n"/>
      <c r="L38" s="263" t="n">
        <v>27000</v>
      </c>
    </row>
    <row r="39">
      <c r="A39" s="263" t="n"/>
      <c r="B39" s="263" t="inlineStr">
        <is>
          <t>ALSINA 7980</t>
        </is>
      </c>
      <c r="C39" s="263" t="n">
        <v>1</v>
      </c>
      <c r="D39" s="263" t="n"/>
      <c r="E39" s="263" t="n"/>
      <c r="F39" s="263" t="n"/>
      <c r="G39" s="263" t="n"/>
      <c r="H39" s="263" t="n">
        <v>28000</v>
      </c>
      <c r="I39" s="263" t="n">
        <v>28000</v>
      </c>
      <c r="J39" s="263" t="n"/>
      <c r="K39" s="263" t="n"/>
      <c r="L39" s="263" t="n">
        <v>11000</v>
      </c>
    </row>
    <row r="40">
      <c r="A40" s="263" t="n"/>
      <c r="B40" s="263" t="inlineStr">
        <is>
          <t>GARMENDIA 9249</t>
        </is>
      </c>
      <c r="C40" s="263" t="n"/>
      <c r="D40" s="263" t="n">
        <v>1</v>
      </c>
      <c r="E40" s="263" t="n"/>
      <c r="F40" s="263" t="n"/>
      <c r="G40" s="263" t="n"/>
      <c r="H40" s="263" t="n">
        <v>41500</v>
      </c>
      <c r="I40" s="263" t="n"/>
      <c r="J40" s="263" t="n">
        <v>41500</v>
      </c>
      <c r="K40" s="263" t="n"/>
      <c r="L40" s="263" t="n">
        <v>16000</v>
      </c>
    </row>
    <row r="41">
      <c r="A41" s="263" t="n"/>
      <c r="B41" s="263" t="inlineStr">
        <is>
          <t>NACHO CUEVA</t>
        </is>
      </c>
      <c r="C41" s="263" t="n">
        <v>1</v>
      </c>
      <c r="D41" s="263" t="n"/>
      <c r="E41" s="263" t="n"/>
      <c r="F41" s="263" t="n"/>
      <c r="G41" s="263" t="n"/>
      <c r="H41" s="263" t="n">
        <v>25500</v>
      </c>
      <c r="I41" s="263" t="n">
        <v>25500</v>
      </c>
      <c r="J41" s="263" t="n"/>
      <c r="K41" s="263" t="n"/>
      <c r="L41" s="263" t="n">
        <v>8500</v>
      </c>
    </row>
    <row r="42">
      <c r="A42" s="263" t="n"/>
      <c r="B42" s="263" t="inlineStr">
        <is>
          <t>SANDRA</t>
        </is>
      </c>
      <c r="C42" s="263" t="n">
        <v>3</v>
      </c>
      <c r="D42" s="263" t="n"/>
      <c r="E42" s="263" t="n"/>
      <c r="F42" s="263" t="n"/>
      <c r="G42" s="263" t="n"/>
      <c r="H42" s="263" t="n">
        <v>66000</v>
      </c>
      <c r="I42" s="263" t="n">
        <v>66000</v>
      </c>
      <c r="J42" s="263" t="n"/>
      <c r="K42" s="263" t="n"/>
      <c r="L42" s="263" t="n">
        <v>15000</v>
      </c>
    </row>
    <row r="43">
      <c r="A43" s="263" t="n"/>
      <c r="B43" s="263" t="inlineStr">
        <is>
          <t>DANA</t>
        </is>
      </c>
      <c r="C43" s="263" t="n">
        <v>1</v>
      </c>
      <c r="D43" s="263" t="n">
        <v>1</v>
      </c>
      <c r="E43" s="263" t="n"/>
      <c r="F43" s="263" t="n"/>
      <c r="G43" s="263" t="n"/>
      <c r="H43" s="263" t="n">
        <v>55000</v>
      </c>
      <c r="I43" s="263" t="n"/>
      <c r="J43" s="263" t="n">
        <v>55000</v>
      </c>
      <c r="K43" s="263" t="n"/>
      <c r="L43" s="263" t="n">
        <v>12500</v>
      </c>
    </row>
    <row r="44">
      <c r="A44" s="263" t="inlineStr">
        <is>
          <t>2026-06-03</t>
        </is>
      </c>
      <c r="B44" s="263" t="inlineStr">
        <is>
          <t>PADILLA 1453</t>
        </is>
      </c>
      <c r="C44" s="263" t="n"/>
      <c r="D44" s="263" t="n">
        <v>1</v>
      </c>
      <c r="E44" s="263" t="n"/>
      <c r="F44" s="263" t="n"/>
      <c r="G44" s="263" t="n"/>
      <c r="H44" s="263" t="n">
        <v>42500</v>
      </c>
      <c r="I44" s="263" t="n"/>
      <c r="J44" s="263" t="n">
        <v>42500</v>
      </c>
      <c r="K44" s="263" t="n"/>
      <c r="L44" s="263" t="n">
        <v>17000</v>
      </c>
    </row>
    <row r="45">
      <c r="A45" s="263" t="n"/>
      <c r="B45" s="263" t="inlineStr">
        <is>
          <t>URQUIZA 9396</t>
        </is>
      </c>
      <c r="C45" s="263" t="n"/>
      <c r="D45" s="263" t="n"/>
      <c r="E45" s="263" t="n">
        <v>1</v>
      </c>
      <c r="F45" s="263" t="n"/>
      <c r="G45" s="263" t="n"/>
      <c r="H45" s="263" t="n">
        <v>96000</v>
      </c>
      <c r="I45" s="263" t="n"/>
      <c r="J45" s="263" t="n">
        <v>96000</v>
      </c>
      <c r="K45" s="263" t="n"/>
      <c r="L45" s="263" t="n">
        <v>27000</v>
      </c>
    </row>
    <row r="46">
      <c r="A46" s="263" t="n"/>
      <c r="B46" s="263" t="inlineStr">
        <is>
          <t>VIANDAS JORGE</t>
        </is>
      </c>
      <c r="C46" s="263" t="n">
        <v>1</v>
      </c>
      <c r="D46" s="263" t="n"/>
      <c r="E46" s="263" t="n"/>
      <c r="F46" s="263" t="n"/>
      <c r="G46" s="263" t="n"/>
      <c r="H46" s="263" t="n">
        <v>25000</v>
      </c>
      <c r="I46" s="263" t="n">
        <v>25000</v>
      </c>
      <c r="J46" s="263" t="n"/>
      <c r="K46" s="263" t="n"/>
      <c r="L46" s="263" t="n">
        <v>8000</v>
      </c>
    </row>
    <row r="47">
      <c r="A47" s="263" t="n"/>
      <c r="B47" s="263" t="inlineStr">
        <is>
          <t>CLIENTE PORTON</t>
        </is>
      </c>
      <c r="C47" s="263" t="n">
        <v>2</v>
      </c>
      <c r="D47" s="263" t="n"/>
      <c r="E47" s="263" t="n"/>
      <c r="F47" s="263" t="n"/>
      <c r="G47" s="263" t="n"/>
      <c r="H47" s="263" t="n">
        <v>46000</v>
      </c>
      <c r="I47" s="263" t="n"/>
      <c r="J47" s="263" t="n">
        <v>46000</v>
      </c>
      <c r="K47" s="263" t="n"/>
      <c r="L47" s="263" t="n">
        <v>12000</v>
      </c>
    </row>
    <row r="48">
      <c r="A48" s="263" t="n"/>
      <c r="B48" s="263" t="inlineStr">
        <is>
          <t>PANA GISELA</t>
        </is>
      </c>
      <c r="C48" s="263" t="n"/>
      <c r="D48" s="263" t="n"/>
      <c r="E48" s="263" t="n"/>
      <c r="F48" s="263" t="n">
        <v>1</v>
      </c>
      <c r="G48" s="263" t="n"/>
      <c r="H48" s="263" t="n">
        <v>7500</v>
      </c>
      <c r="I48" s="263" t="n"/>
      <c r="J48" s="263" t="n">
        <v>7500</v>
      </c>
      <c r="K48" s="263" t="n"/>
      <c r="L48" s="263" t="n">
        <v>7500</v>
      </c>
    </row>
    <row r="49">
      <c r="A49" s="263" t="n"/>
      <c r="B49" s="263" t="inlineStr">
        <is>
          <t>FRATERNIDAD GUANELIANA</t>
        </is>
      </c>
      <c r="C49" s="263" t="n">
        <v>1</v>
      </c>
      <c r="D49" s="263" t="n"/>
      <c r="E49" s="263" t="n"/>
      <c r="F49" s="263" t="n"/>
      <c r="G49" s="263" t="n"/>
      <c r="H49" s="263" t="n">
        <v>25000</v>
      </c>
      <c r="I49" s="263" t="n"/>
      <c r="J49" s="263" t="n">
        <v>25000</v>
      </c>
      <c r="K49" s="263" t="n"/>
      <c r="L49" s="263" t="n">
        <v>8000</v>
      </c>
    </row>
    <row r="50">
      <c r="A50" s="263" t="n"/>
      <c r="B50" s="263" t="inlineStr">
        <is>
          <t>CASTELI 4320</t>
        </is>
      </c>
      <c r="C50" s="263" t="n">
        <v>1</v>
      </c>
      <c r="D50" s="263" t="n"/>
      <c r="E50" s="263" t="n"/>
      <c r="F50" s="263" t="n"/>
      <c r="G50" s="263" t="n"/>
      <c r="H50" s="263" t="n">
        <v>28000</v>
      </c>
      <c r="I50" s="263" t="n">
        <v>28000</v>
      </c>
      <c r="J50" s="263" t="n"/>
      <c r="K50" s="263" t="n"/>
      <c r="L50" s="263" t="n">
        <v>11000</v>
      </c>
    </row>
    <row r="51">
      <c r="A51" s="263" t="n"/>
      <c r="B51" s="263" t="inlineStr">
        <is>
          <t>CALLEJON FUNES 2965</t>
        </is>
      </c>
      <c r="C51" s="263" t="n">
        <v>1</v>
      </c>
      <c r="D51" s="263" t="n"/>
      <c r="E51" s="263" t="n"/>
      <c r="F51" s="263" t="n"/>
      <c r="G51" s="263" t="n"/>
      <c r="H51" s="263" t="n">
        <v>28000</v>
      </c>
      <c r="I51" s="263" t="n"/>
      <c r="J51" s="263" t="n">
        <v>28000</v>
      </c>
      <c r="K51" s="263" t="n"/>
      <c r="L51" s="263" t="n">
        <v>11000</v>
      </c>
    </row>
    <row r="52">
      <c r="A52" s="263" t="n"/>
      <c r="B52" s="263" t="inlineStr">
        <is>
          <t>PUBLICO 2550</t>
        </is>
      </c>
      <c r="C52" s="263" t="n"/>
      <c r="D52" s="263" t="n"/>
      <c r="E52" s="263" t="n">
        <v>1</v>
      </c>
      <c r="F52" s="263" t="n"/>
      <c r="G52" s="263" t="n"/>
      <c r="H52" s="263" t="n">
        <v>96000</v>
      </c>
      <c r="I52" s="263" t="n"/>
      <c r="J52" s="263" t="n">
        <v>96000</v>
      </c>
      <c r="K52" s="263" t="n"/>
      <c r="L52" s="263" t="n">
        <v>27000</v>
      </c>
    </row>
    <row r="53">
      <c r="A53" s="263" t="n"/>
      <c r="B53" s="263" t="inlineStr">
        <is>
          <t>QUIROGA 5244</t>
        </is>
      </c>
      <c r="C53" s="263" t="n"/>
      <c r="D53" s="263" t="n">
        <v>1</v>
      </c>
      <c r="E53" s="263" t="n"/>
      <c r="F53" s="263" t="n"/>
      <c r="G53" s="263" t="n"/>
      <c r="H53" s="263" t="n">
        <v>41500</v>
      </c>
      <c r="I53" s="263" t="n"/>
      <c r="J53" s="263" t="n">
        <v>41500</v>
      </c>
      <c r="K53" s="263" t="n"/>
      <c r="L53" s="263" t="n">
        <v>16000</v>
      </c>
    </row>
    <row r="54">
      <c r="A54" s="263" t="n"/>
      <c r="B54" s="263" t="inlineStr">
        <is>
          <t>CAFERATA 9416</t>
        </is>
      </c>
      <c r="C54" s="263" t="n"/>
      <c r="D54" s="263" t="n">
        <v>1</v>
      </c>
      <c r="E54" s="263" t="n"/>
      <c r="F54" s="263" t="n"/>
      <c r="G54" s="263" t="n"/>
      <c r="H54" s="263" t="n">
        <v>41500</v>
      </c>
      <c r="I54" s="263" t="n"/>
      <c r="J54" s="263" t="n">
        <v>41500</v>
      </c>
      <c r="K54" s="263" t="n"/>
      <c r="L54" s="263" t="n">
        <v>16000</v>
      </c>
    </row>
    <row r="55">
      <c r="A55" s="263" t="n"/>
      <c r="B55" s="263" t="inlineStr">
        <is>
          <t>BONEO 5363</t>
        </is>
      </c>
      <c r="C55" s="263" t="n"/>
      <c r="D55" s="263" t="n"/>
      <c r="E55" s="263" t="n">
        <v>1</v>
      </c>
      <c r="F55" s="263" t="n"/>
      <c r="G55" s="263" t="n"/>
      <c r="H55" s="263" t="n">
        <v>98000</v>
      </c>
      <c r="I55" s="263" t="n"/>
      <c r="J55" s="263" t="n">
        <v>98000</v>
      </c>
      <c r="K55" s="263" t="n"/>
      <c r="L55" s="263" t="n">
        <v>29000</v>
      </c>
    </row>
    <row r="56">
      <c r="A56" s="263" t="n"/>
      <c r="B56" s="263" t="inlineStr">
        <is>
          <t>NECOCHEA 6709</t>
        </is>
      </c>
      <c r="C56" s="263" t="n"/>
      <c r="D56" s="263" t="n">
        <v>1</v>
      </c>
      <c r="E56" s="263" t="n"/>
      <c r="F56" s="263" t="n"/>
      <c r="G56" s="263" t="n"/>
      <c r="H56" s="263" t="n">
        <v>39500</v>
      </c>
      <c r="I56" s="263" t="n">
        <v>39500</v>
      </c>
      <c r="J56" s="263" t="n"/>
      <c r="K56" s="263" t="n"/>
      <c r="L56" s="263" t="n">
        <v>14000</v>
      </c>
    </row>
    <row r="57">
      <c r="A57" s="263" t="n"/>
      <c r="B57" s="263" t="inlineStr">
        <is>
          <t>EXE</t>
        </is>
      </c>
      <c r="C57" s="263" t="n"/>
      <c r="D57" s="263" t="n"/>
      <c r="E57" s="263" t="n">
        <v>1</v>
      </c>
      <c r="F57" s="263" t="n"/>
      <c r="G57" s="263" t="n"/>
      <c r="H57" s="263" t="n">
        <v>93000</v>
      </c>
      <c r="I57" s="263" t="n"/>
      <c r="J57" s="263" t="n">
        <v>93000</v>
      </c>
      <c r="K57" s="263" t="n"/>
      <c r="L57" s="263" t="n">
        <v>24000</v>
      </c>
    </row>
    <row r="58">
      <c r="A58" s="263" t="inlineStr">
        <is>
          <t>2026-06-04</t>
        </is>
      </c>
      <c r="B58" s="263" t="inlineStr">
        <is>
          <t>BARRETO 9261</t>
        </is>
      </c>
      <c r="C58" s="263" t="n"/>
      <c r="D58" s="263" t="n">
        <v>1</v>
      </c>
      <c r="E58" s="263" t="n"/>
      <c r="F58" s="263" t="n"/>
      <c r="G58" s="263" t="n"/>
      <c r="H58" s="263" t="n">
        <v>41500</v>
      </c>
      <c r="I58" s="263" t="n"/>
      <c r="J58" s="263" t="n">
        <v>41500</v>
      </c>
      <c r="K58" s="263" t="n"/>
      <c r="L58" s="263" t="n">
        <v>16000</v>
      </c>
    </row>
    <row r="59">
      <c r="A59" s="263" t="n"/>
      <c r="B59" s="263" t="inlineStr">
        <is>
          <t>4 DE ENERO 1935</t>
        </is>
      </c>
      <c r="C59" s="263" t="n">
        <v>1</v>
      </c>
      <c r="D59" s="263" t="n"/>
      <c r="E59" s="263" t="n"/>
      <c r="F59" s="263" t="n"/>
      <c r="G59" s="263" t="n"/>
      <c r="H59" s="263" t="n">
        <v>131000</v>
      </c>
      <c r="I59" s="263" t="n"/>
      <c r="J59" s="263" t="n">
        <v>131000</v>
      </c>
      <c r="K59" s="263" t="n">
        <v>65000</v>
      </c>
      <c r="L59" s="263" t="n">
        <v>49000</v>
      </c>
    </row>
    <row r="60">
      <c r="A60" s="263" t="n"/>
      <c r="B60" s="263" t="inlineStr">
        <is>
          <t>RIO NEGRO 6558</t>
        </is>
      </c>
      <c r="C60" s="263" t="n"/>
      <c r="D60" s="263" t="n"/>
      <c r="E60" s="263" t="n">
        <v>1</v>
      </c>
      <c r="F60" s="263" t="n"/>
      <c r="G60" s="263" t="n"/>
      <c r="H60" s="263" t="n">
        <v>98000</v>
      </c>
      <c r="I60" s="263" t="n">
        <v>98000</v>
      </c>
      <c r="J60" s="263" t="n"/>
      <c r="K60" s="263" t="n"/>
      <c r="L60" s="263" t="n">
        <v>29000</v>
      </c>
    </row>
    <row r="61">
      <c r="A61" s="263" t="n"/>
      <c r="B61" s="263" t="inlineStr">
        <is>
          <t>SANDRA</t>
        </is>
      </c>
      <c r="C61" s="263" t="n">
        <v>2</v>
      </c>
      <c r="D61" s="263" t="n"/>
      <c r="E61" s="263" t="n"/>
      <c r="F61" s="263" t="n"/>
      <c r="G61" s="263" t="n">
        <v>2</v>
      </c>
      <c r="H61" s="263" t="n">
        <v>54000</v>
      </c>
      <c r="I61" s="263" t="n">
        <v>54000</v>
      </c>
      <c r="J61" s="263" t="n"/>
      <c r="K61" s="263" t="n"/>
      <c r="L61" s="263" t="n">
        <v>18160</v>
      </c>
    </row>
    <row r="62">
      <c r="A62" s="263" t="n"/>
      <c r="B62" s="263" t="inlineStr">
        <is>
          <t>FACUNDO ZUVIRIA 10235</t>
        </is>
      </c>
      <c r="C62" s="263" t="n"/>
      <c r="D62" s="263" t="n"/>
      <c r="E62" s="263" t="n">
        <v>1</v>
      </c>
      <c r="F62" s="263" t="n"/>
      <c r="G62" s="263" t="n"/>
      <c r="H62" s="263" t="n">
        <v>98500</v>
      </c>
      <c r="I62" s="263" t="n">
        <v>98500</v>
      </c>
      <c r="J62" s="263" t="n"/>
      <c r="K62" s="263" t="n"/>
      <c r="L62" s="263" t="n">
        <v>29500</v>
      </c>
    </row>
    <row r="63">
      <c r="A63" s="263" t="n"/>
      <c r="B63" s="263" t="inlineStr">
        <is>
          <t>PEDRO CEBALLOS 8134</t>
        </is>
      </c>
      <c r="C63" s="263" t="n">
        <v>3</v>
      </c>
      <c r="D63" s="263" t="n"/>
      <c r="E63" s="263" t="n"/>
      <c r="F63" s="263" t="n"/>
      <c r="G63" s="263" t="n"/>
      <c r="H63" s="263" t="n">
        <v>66000</v>
      </c>
      <c r="I63" s="263" t="n">
        <v>66000</v>
      </c>
      <c r="J63" s="263" t="n"/>
      <c r="K63" s="263" t="n"/>
      <c r="L63" s="263" t="n">
        <v>15000</v>
      </c>
    </row>
    <row r="64">
      <c r="A64" s="263" t="n"/>
      <c r="B64" s="263" t="inlineStr">
        <is>
          <t>PUBLICO 8170</t>
        </is>
      </c>
      <c r="C64" s="263" t="n">
        <v>1</v>
      </c>
      <c r="D64" s="263" t="n"/>
      <c r="E64" s="263" t="n"/>
      <c r="F64" s="263" t="n"/>
      <c r="G64" s="263" t="n"/>
      <c r="H64" s="263" t="n">
        <v>28000</v>
      </c>
      <c r="I64" s="263" t="n"/>
      <c r="J64" s="263" t="n">
        <v>28000</v>
      </c>
      <c r="K64" s="263" t="n"/>
      <c r="L64" s="263" t="n">
        <v>11000</v>
      </c>
    </row>
    <row r="65">
      <c r="A65" s="263" t="n"/>
      <c r="B65" s="263" t="inlineStr">
        <is>
          <t>SANTA BAR 1 MAYO 1959</t>
        </is>
      </c>
      <c r="C65" s="263" t="n"/>
      <c r="D65" s="263" t="n"/>
      <c r="E65" s="263" t="n">
        <v>2</v>
      </c>
      <c r="F65" s="263" t="n"/>
      <c r="G65" s="263" t="n"/>
      <c r="H65" s="263" t="n">
        <v>190000</v>
      </c>
      <c r="I65" s="263" t="n"/>
      <c r="J65" s="263" t="n">
        <v>190000</v>
      </c>
      <c r="K65" s="263" t="n"/>
      <c r="L65" s="263" t="n">
        <v>52000</v>
      </c>
    </row>
    <row r="66">
      <c r="A66" s="263" t="n"/>
      <c r="B66" s="263" t="inlineStr">
        <is>
          <t>ROTI SAN LORENZO</t>
        </is>
      </c>
      <c r="C66" s="263" t="n">
        <v>3</v>
      </c>
      <c r="D66" s="263" t="n">
        <v>2</v>
      </c>
      <c r="E66" s="263" t="n"/>
      <c r="F66" s="263" t="n"/>
      <c r="G66" s="263" t="n"/>
      <c r="H66" s="263" t="n">
        <v>155000</v>
      </c>
      <c r="I66" s="263" t="n"/>
      <c r="J66" s="263" t="n">
        <v>155000</v>
      </c>
      <c r="K66" s="263" t="n"/>
      <c r="L66" s="263" t="n">
        <v>53000</v>
      </c>
    </row>
    <row r="67">
      <c r="A67" s="263" t="n"/>
      <c r="B67" s="263" t="inlineStr">
        <is>
          <t>ALSINA 7035</t>
        </is>
      </c>
      <c r="C67" s="263" t="n"/>
      <c r="D67" s="263" t="n"/>
      <c r="E67" s="263" t="n">
        <v>1</v>
      </c>
      <c r="F67" s="263" t="n"/>
      <c r="G67" s="263" t="n"/>
      <c r="H67" s="263" t="n">
        <v>96500</v>
      </c>
      <c r="I67" s="263" t="n"/>
      <c r="J67" s="263" t="n">
        <v>96500</v>
      </c>
      <c r="K67" s="263" t="n"/>
      <c r="L67" s="263" t="n">
        <v>27500</v>
      </c>
    </row>
    <row r="68">
      <c r="A68" s="263" t="n"/>
      <c r="B68" s="263" t="inlineStr">
        <is>
          <t>ANA ABDALA</t>
        </is>
      </c>
      <c r="C68" s="263" t="n">
        <v>1</v>
      </c>
      <c r="D68" s="263" t="n"/>
      <c r="E68" s="263" t="n"/>
      <c r="F68" s="263" t="n"/>
      <c r="G68" s="263" t="n"/>
      <c r="H68" s="263" t="n">
        <v>28000</v>
      </c>
      <c r="I68" s="263" t="n"/>
      <c r="J68" s="263" t="n">
        <v>28000</v>
      </c>
      <c r="K68" s="263" t="n"/>
      <c r="L68" s="263" t="n">
        <v>11000</v>
      </c>
    </row>
    <row r="69">
      <c r="A69" s="263" t="n"/>
      <c r="B69" s="263" t="inlineStr">
        <is>
          <t>LAS HERAS 7529</t>
        </is>
      </c>
      <c r="C69" s="263" t="n"/>
      <c r="D69" s="263" t="n">
        <v>1</v>
      </c>
      <c r="E69" s="263" t="n"/>
      <c r="F69" s="263" t="n"/>
      <c r="G69" s="263" t="n"/>
      <c r="H69" s="263" t="n">
        <v>39500</v>
      </c>
      <c r="I69" s="263" t="n">
        <v>39500</v>
      </c>
      <c r="J69" s="263" t="n"/>
      <c r="K69" s="263" t="n"/>
      <c r="L69" s="263" t="n">
        <v>14000</v>
      </c>
    </row>
    <row r="70">
      <c r="A70" s="263" t="n"/>
      <c r="B70" s="263" t="inlineStr">
        <is>
          <t>BRASERIA</t>
        </is>
      </c>
      <c r="C70" s="263" t="n"/>
      <c r="D70" s="263" t="n"/>
      <c r="E70" s="263" t="n">
        <v>1</v>
      </c>
      <c r="F70" s="263" t="n"/>
      <c r="G70" s="263" t="n"/>
      <c r="H70" s="263" t="n">
        <v>94000</v>
      </c>
      <c r="I70" s="263" t="n"/>
      <c r="J70" s="263" t="n">
        <v>94000</v>
      </c>
      <c r="K70" s="263" t="n"/>
      <c r="L70" s="263" t="n">
        <v>25000</v>
      </c>
    </row>
    <row r="71">
      <c r="A71" s="263" t="n"/>
      <c r="B71" s="263" t="inlineStr">
        <is>
          <t>PUBLICO 56/20</t>
        </is>
      </c>
      <c r="C71" s="263" t="n"/>
      <c r="D71" s="263" t="n"/>
      <c r="E71" s="263" t="n">
        <v>1</v>
      </c>
      <c r="F71" s="263" t="n"/>
      <c r="G71" s="263" t="n"/>
      <c r="H71" s="263" t="n">
        <v>98000</v>
      </c>
      <c r="I71" s="263" t="n"/>
      <c r="J71" s="263" t="n">
        <v>98000</v>
      </c>
      <c r="K71" s="263" t="n"/>
      <c r="L71" s="263" t="n">
        <v>29000</v>
      </c>
    </row>
    <row r="72">
      <c r="A72" s="263" t="n"/>
      <c r="B72" s="263" t="inlineStr">
        <is>
          <t>SANDRA</t>
        </is>
      </c>
      <c r="C72" s="263" t="n">
        <v>1</v>
      </c>
      <c r="D72" s="263" t="n">
        <v>1</v>
      </c>
      <c r="E72" s="263" t="n"/>
      <c r="F72" s="263" t="n"/>
      <c r="G72" s="263" t="n"/>
      <c r="H72" s="263" t="n">
        <v>55000</v>
      </c>
      <c r="I72" s="263" t="n">
        <v>55000</v>
      </c>
      <c r="J72" s="263" t="n"/>
      <c r="K72" s="263" t="n"/>
      <c r="L72" s="263" t="n">
        <v>12500</v>
      </c>
    </row>
    <row r="73">
      <c r="A73" s="263" t="n"/>
      <c r="B73" s="263" t="inlineStr">
        <is>
          <t>VANE GORDILLO</t>
        </is>
      </c>
      <c r="C73" s="263" t="n"/>
      <c r="D73" s="263" t="n"/>
      <c r="E73" s="263" t="n">
        <v>1</v>
      </c>
      <c r="F73" s="263" t="n"/>
      <c r="G73" s="263" t="n"/>
      <c r="H73" s="263" t="n">
        <v>93000</v>
      </c>
      <c r="I73" s="263" t="n"/>
      <c r="J73" s="263" t="n">
        <v>93000</v>
      </c>
      <c r="K73" s="263" t="n"/>
      <c r="L73" s="263" t="n">
        <v>24000</v>
      </c>
    </row>
    <row r="74">
      <c r="A74" s="263" t="n"/>
      <c r="B74" s="263" t="inlineStr">
        <is>
          <t>CAREN</t>
        </is>
      </c>
      <c r="C74" s="263" t="n"/>
      <c r="D74" s="263" t="n"/>
      <c r="E74" s="263" t="n">
        <v>1</v>
      </c>
      <c r="F74" s="263" t="n"/>
      <c r="G74" s="263" t="n"/>
      <c r="H74" s="263" t="n">
        <v>93000</v>
      </c>
      <c r="I74" s="263" t="n"/>
      <c r="J74" s="263" t="n">
        <v>93000</v>
      </c>
      <c r="K74" s="263" t="n"/>
      <c r="L74" s="263" t="n">
        <v>24000</v>
      </c>
    </row>
    <row r="75">
      <c r="A75" s="263" t="inlineStr">
        <is>
          <t>2026-06-05</t>
        </is>
      </c>
      <c r="B75" s="263" t="inlineStr">
        <is>
          <t>ANDRE</t>
        </is>
      </c>
      <c r="C75" s="263" t="n"/>
      <c r="D75" s="263" t="n"/>
      <c r="E75" s="263" t="n"/>
      <c r="F75" s="263" t="n">
        <v>14</v>
      </c>
      <c r="G75" s="263" t="n"/>
      <c r="H75" s="263" t="n">
        <v>95200</v>
      </c>
      <c r="I75" s="263" t="n">
        <v>95200</v>
      </c>
      <c r="J75" s="263" t="n"/>
      <c r="K75" s="263" t="n"/>
      <c r="L75" s="263" t="n">
        <v>95200</v>
      </c>
    </row>
    <row r="76">
      <c r="A76" s="263" t="n"/>
      <c r="B76" s="263" t="inlineStr">
        <is>
          <t>BOULEVARD GALVEZ 2333</t>
        </is>
      </c>
      <c r="C76" s="263" t="n">
        <v>1</v>
      </c>
      <c r="D76" s="263" t="n"/>
      <c r="E76" s="263" t="n"/>
      <c r="F76" s="263" t="n"/>
      <c r="G76" s="263" t="n"/>
      <c r="H76" s="263" t="n">
        <v>29000</v>
      </c>
      <c r="I76" s="263" t="n">
        <v>29000</v>
      </c>
      <c r="J76" s="263" t="n"/>
      <c r="K76" s="263" t="n"/>
      <c r="L76" s="263" t="n">
        <v>12000</v>
      </c>
    </row>
    <row r="77">
      <c r="A77" s="263" t="n"/>
      <c r="B77" s="263" t="inlineStr">
        <is>
          <t>CHICLANA 7325</t>
        </is>
      </c>
      <c r="C77" s="263" t="n">
        <v>1</v>
      </c>
      <c r="D77" s="263" t="n"/>
      <c r="E77" s="263" t="n"/>
      <c r="F77" s="263" t="n"/>
      <c r="G77" s="263" t="n"/>
      <c r="H77" s="263" t="n">
        <v>22500</v>
      </c>
      <c r="I77" s="263" t="n"/>
      <c r="J77" s="263" t="n">
        <v>22500</v>
      </c>
      <c r="K77" s="263" t="n"/>
      <c r="L77" s="263" t="n">
        <v>5500</v>
      </c>
    </row>
    <row r="78">
      <c r="A78" s="263" t="n"/>
      <c r="B78" s="263" t="inlineStr">
        <is>
          <t>LUCHO</t>
        </is>
      </c>
      <c r="C78" s="263" t="n">
        <v>2</v>
      </c>
      <c r="D78" s="263" t="n"/>
      <c r="E78" s="263" t="n"/>
      <c r="F78" s="263" t="n"/>
      <c r="G78" s="263" t="n">
        <v>2</v>
      </c>
      <c r="H78" s="263" t="n">
        <v>44000</v>
      </c>
      <c r="I78" s="263" t="n">
        <v>44000</v>
      </c>
      <c r="J78" s="263" t="n"/>
      <c r="K78" s="263" t="n"/>
      <c r="L78" s="263" t="n">
        <v>8160</v>
      </c>
    </row>
    <row r="79">
      <c r="A79" s="263" t="n"/>
      <c r="B79" s="263" t="inlineStr">
        <is>
          <t>ALSINA 7981</t>
        </is>
      </c>
      <c r="C79" s="263" t="n"/>
      <c r="D79" s="263" t="n"/>
      <c r="E79" s="263" t="n">
        <v>1</v>
      </c>
      <c r="F79" s="263" t="n"/>
      <c r="G79" s="263" t="n"/>
      <c r="H79" s="263" t="n">
        <v>98000</v>
      </c>
      <c r="I79" s="263" t="n"/>
      <c r="J79" s="263" t="n">
        <v>98000</v>
      </c>
      <c r="K79" s="263" t="n"/>
      <c r="L79" s="263" t="n">
        <v>29000</v>
      </c>
    </row>
    <row r="80">
      <c r="A80" s="263" t="n"/>
      <c r="B80" s="263" t="inlineStr">
        <is>
          <t>CERVANTES 3754</t>
        </is>
      </c>
      <c r="C80" s="263" t="n"/>
      <c r="D80" s="263" t="n">
        <v>1</v>
      </c>
      <c r="E80" s="263" t="n"/>
      <c r="F80" s="263" t="n"/>
      <c r="G80" s="263" t="n"/>
      <c r="H80" s="263" t="n">
        <v>41500</v>
      </c>
      <c r="I80" s="263" t="n">
        <v>41500</v>
      </c>
      <c r="J80" s="263" t="n"/>
      <c r="K80" s="263" t="n"/>
      <c r="L80" s="263" t="n">
        <v>16000</v>
      </c>
    </row>
    <row r="81">
      <c r="A81" s="263" t="n"/>
      <c r="B81" s="263" t="inlineStr">
        <is>
          <t>ARENALES 7200 PASILLO</t>
        </is>
      </c>
      <c r="C81" s="263" t="n">
        <v>1</v>
      </c>
      <c r="D81" s="263" t="n"/>
      <c r="E81" s="263" t="n"/>
      <c r="F81" s="263" t="n"/>
      <c r="G81" s="263" t="n"/>
      <c r="H81" s="263" t="n">
        <v>27000</v>
      </c>
      <c r="I81" s="263" t="n"/>
      <c r="J81" s="263" t="n">
        <v>27000</v>
      </c>
      <c r="K81" s="263" t="n"/>
      <c r="L81" s="263" t="n">
        <v>10000</v>
      </c>
    </row>
    <row r="82">
      <c r="A82" s="263" t="n"/>
      <c r="B82" s="263" t="inlineStr">
        <is>
          <t>12 DE INFANTERIA 5210</t>
        </is>
      </c>
      <c r="C82" s="263" t="n">
        <v>1</v>
      </c>
      <c r="D82" s="263" t="n"/>
      <c r="E82" s="263" t="n"/>
      <c r="F82" s="263" t="n"/>
      <c r="G82" s="263" t="n"/>
      <c r="H82" s="263" t="n">
        <v>28000</v>
      </c>
      <c r="I82" s="263" t="n">
        <v>28000</v>
      </c>
      <c r="J82" s="263" t="n"/>
      <c r="K82" s="263" t="n"/>
      <c r="L82" s="263" t="n">
        <v>11000</v>
      </c>
    </row>
    <row r="83">
      <c r="A83" s="263" t="n"/>
      <c r="B83" s="263" t="inlineStr">
        <is>
          <t>VIEYTES 4361</t>
        </is>
      </c>
      <c r="C83" s="263" t="n">
        <v>2</v>
      </c>
      <c r="D83" s="263" t="n"/>
      <c r="E83" s="263" t="n"/>
      <c r="F83" s="263" t="n"/>
      <c r="G83" s="263" t="n"/>
      <c r="H83" s="263" t="n">
        <v>57000</v>
      </c>
      <c r="I83" s="263" t="n">
        <v>57000</v>
      </c>
      <c r="J83" s="263" t="n"/>
      <c r="K83" s="263" t="n"/>
      <c r="L83" s="263" t="n">
        <v>23000</v>
      </c>
    </row>
    <row r="84">
      <c r="A84" s="263" t="n"/>
      <c r="B84" s="263" t="inlineStr">
        <is>
          <t>FABIAN BLAS PARERA</t>
        </is>
      </c>
      <c r="C84" s="263" t="n">
        <v>1</v>
      </c>
      <c r="D84" s="263" t="n">
        <v>1</v>
      </c>
      <c r="E84" s="263" t="n"/>
      <c r="F84" s="263" t="n"/>
      <c r="G84" s="263" t="n"/>
      <c r="H84" s="263" t="n">
        <v>65500</v>
      </c>
      <c r="I84" s="263" t="n">
        <v>65500</v>
      </c>
      <c r="J84" s="263" t="n"/>
      <c r="K84" s="263" t="n"/>
      <c r="L84" s="263" t="n">
        <v>23000</v>
      </c>
    </row>
    <row r="85">
      <c r="A85" s="263" t="n"/>
      <c r="B85" s="263" t="inlineStr">
        <is>
          <t>JM ZUVIRIA 2143</t>
        </is>
      </c>
      <c r="C85" s="263" t="n"/>
      <c r="D85" s="263" t="n">
        <v>1</v>
      </c>
      <c r="E85" s="263" t="n"/>
      <c r="F85" s="263" t="n"/>
      <c r="G85" s="263" t="n"/>
      <c r="H85" s="263" t="n">
        <v>43500</v>
      </c>
      <c r="I85" s="263" t="n">
        <v>43500</v>
      </c>
      <c r="J85" s="263" t="n"/>
      <c r="K85" s="263" t="n"/>
      <c r="L85" s="263" t="n">
        <v>18000</v>
      </c>
    </row>
    <row r="86">
      <c r="A86" s="263" t="n"/>
      <c r="B86" s="263" t="inlineStr">
        <is>
          <t>SAN JERONIMO 5231</t>
        </is>
      </c>
      <c r="C86" s="263" t="n">
        <v>1</v>
      </c>
      <c r="D86" s="263" t="n"/>
      <c r="E86" s="263" t="n"/>
      <c r="F86" s="263" t="n"/>
      <c r="G86" s="263" t="n"/>
      <c r="H86" s="263" t="n">
        <v>110000</v>
      </c>
      <c r="I86" s="263" t="n">
        <v>110000</v>
      </c>
      <c r="J86" s="263" t="n"/>
      <c r="K86" s="263" t="n">
        <v>65000</v>
      </c>
      <c r="L86" s="263" t="n">
        <v>28000</v>
      </c>
    </row>
    <row r="87">
      <c r="A87" s="263" t="n"/>
      <c r="B87" s="263" t="inlineStr">
        <is>
          <t>LAS HERAS 5471</t>
        </is>
      </c>
      <c r="C87" s="263" t="n">
        <v>1</v>
      </c>
      <c r="D87" s="263" t="n"/>
      <c r="E87" s="263" t="n"/>
      <c r="F87" s="263" t="n"/>
      <c r="G87" s="263" t="n"/>
      <c r="H87" s="263" t="n">
        <v>28500</v>
      </c>
      <c r="I87" s="263" t="n"/>
      <c r="J87" s="263" t="n">
        <v>28500</v>
      </c>
      <c r="K87" s="263" t="n"/>
      <c r="L87" s="263" t="n">
        <v>11500</v>
      </c>
    </row>
    <row r="88">
      <c r="A88" s="263" t="n"/>
      <c r="B88" s="263" t="inlineStr">
        <is>
          <t>SIRLAKI</t>
        </is>
      </c>
      <c r="C88" s="263" t="n">
        <v>1</v>
      </c>
      <c r="D88" s="263" t="n"/>
      <c r="E88" s="263" t="n"/>
      <c r="F88" s="263" t="n"/>
      <c r="G88" s="263" t="n"/>
      <c r="H88" s="263" t="n">
        <v>26000</v>
      </c>
      <c r="I88" s="263" t="n">
        <v>26000</v>
      </c>
      <c r="J88" s="263" t="n"/>
      <c r="K88" s="263" t="n"/>
      <c r="L88" s="263" t="n">
        <v>9000</v>
      </c>
    </row>
    <row r="89">
      <c r="A89" s="263" t="n"/>
      <c r="B89" s="263" t="inlineStr">
        <is>
          <t>TACUARI 5717</t>
        </is>
      </c>
      <c r="C89" s="263" t="n">
        <v>1</v>
      </c>
      <c r="D89" s="263" t="n"/>
      <c r="E89" s="263" t="n"/>
      <c r="F89" s="263" t="n"/>
      <c r="G89" s="263" t="n"/>
      <c r="H89" s="263" t="n">
        <v>28500</v>
      </c>
      <c r="I89" s="263" t="n"/>
      <c r="J89" s="263" t="n">
        <v>28500</v>
      </c>
      <c r="K89" s="263" t="n"/>
      <c r="L89" s="263" t="n">
        <v>11500</v>
      </c>
    </row>
    <row r="90">
      <c r="A90" s="263" t="n"/>
      <c r="B90" s="263" t="inlineStr">
        <is>
          <t>FILOMENA</t>
        </is>
      </c>
      <c r="C90" s="263" t="n">
        <v>3</v>
      </c>
      <c r="D90" s="263" t="n"/>
      <c r="E90" s="263" t="n"/>
      <c r="F90" s="263" t="n"/>
      <c r="G90" s="263" t="n"/>
      <c r="H90" s="263" t="n">
        <v>79500</v>
      </c>
      <c r="I90" s="263" t="n"/>
      <c r="J90" s="263" t="n">
        <v>79500</v>
      </c>
      <c r="K90" s="263" t="n"/>
      <c r="L90" s="263" t="n">
        <v>28500</v>
      </c>
    </row>
    <row r="91">
      <c r="A91" s="263" t="n"/>
      <c r="B91" s="263" t="inlineStr">
        <is>
          <t>GOBERNADOR FREIRE 6084</t>
        </is>
      </c>
      <c r="C91" s="263" t="n"/>
      <c r="D91" s="263" t="n"/>
      <c r="E91" s="263" t="n">
        <v>1</v>
      </c>
      <c r="F91" s="263" t="n"/>
      <c r="G91" s="263" t="n"/>
      <c r="H91" s="263" t="n">
        <v>96000</v>
      </c>
      <c r="I91" s="263" t="n"/>
      <c r="J91" s="263" t="n">
        <v>96000</v>
      </c>
      <c r="K91" s="263" t="n"/>
      <c r="L91" s="263" t="n">
        <v>27000</v>
      </c>
    </row>
    <row r="92">
      <c r="A92" s="263" t="n"/>
      <c r="B92" s="263" t="inlineStr">
        <is>
          <t>BERNARDO IRIGOYEN 6721</t>
        </is>
      </c>
      <c r="C92" s="263" t="n">
        <v>1</v>
      </c>
      <c r="D92" s="263" t="n"/>
      <c r="E92" s="263" t="n"/>
      <c r="F92" s="263" t="n"/>
      <c r="G92" s="263" t="n"/>
      <c r="H92" s="263" t="n">
        <v>27000</v>
      </c>
      <c r="I92" s="263" t="n">
        <v>27000</v>
      </c>
      <c r="J92" s="263" t="n"/>
      <c r="K92" s="263" t="n"/>
      <c r="L92" s="263" t="n">
        <v>10000</v>
      </c>
    </row>
    <row r="93">
      <c r="A93" s="263" t="n"/>
      <c r="B93" s="263" t="inlineStr">
        <is>
          <t>HUDSON 6047</t>
        </is>
      </c>
      <c r="C93" s="263" t="n"/>
      <c r="D93" s="263" t="n">
        <v>1</v>
      </c>
      <c r="E93" s="263" t="n"/>
      <c r="F93" s="263" t="n"/>
      <c r="G93" s="263" t="n"/>
      <c r="H93" s="263" t="n">
        <v>39500</v>
      </c>
      <c r="I93" s="263" t="n"/>
      <c r="J93" s="263" t="n">
        <v>39500</v>
      </c>
      <c r="K93" s="263" t="n"/>
      <c r="L93" s="263" t="n">
        <v>14000</v>
      </c>
    </row>
    <row r="94">
      <c r="A94" s="263" t="n"/>
      <c r="B94" s="263" t="inlineStr">
        <is>
          <t>LARGUIA 6924</t>
        </is>
      </c>
      <c r="C94" s="263" t="n">
        <v>1</v>
      </c>
      <c r="D94" s="263" t="n"/>
      <c r="E94" s="263" t="n"/>
      <c r="F94" s="263" t="n"/>
      <c r="G94" s="263" t="n"/>
      <c r="H94" s="263" t="n">
        <v>27000</v>
      </c>
      <c r="I94" s="263" t="n">
        <v>27000</v>
      </c>
      <c r="J94" s="263" t="n"/>
      <c r="K94" s="263" t="n"/>
      <c r="L94" s="263" t="n">
        <v>10000</v>
      </c>
    </row>
    <row r="95">
      <c r="A95" s="263" t="n"/>
      <c r="B95" s="263" t="inlineStr">
        <is>
          <t>PANA VIEYTES 3800</t>
        </is>
      </c>
      <c r="C95" s="263" t="n"/>
      <c r="D95" s="263" t="n"/>
      <c r="E95" s="263" t="n">
        <v>1</v>
      </c>
      <c r="F95" s="263" t="n"/>
      <c r="G95" s="263" t="n"/>
      <c r="H95" s="263" t="n">
        <v>93000</v>
      </c>
      <c r="I95" s="263" t="n">
        <v>93000</v>
      </c>
      <c r="J95" s="263" t="n"/>
      <c r="K95" s="263" t="n"/>
      <c r="L95" s="263" t="n">
        <v>24000</v>
      </c>
    </row>
    <row r="96">
      <c r="A96" s="263" t="n"/>
      <c r="B96" s="263" t="inlineStr">
        <is>
          <t>MITRE 6479</t>
        </is>
      </c>
      <c r="C96" s="263" t="n">
        <v>1</v>
      </c>
      <c r="D96" s="263" t="n"/>
      <c r="E96" s="263" t="n"/>
      <c r="F96" s="263" t="n"/>
      <c r="G96" s="263" t="n"/>
      <c r="H96" s="263" t="n">
        <v>27500</v>
      </c>
      <c r="I96" s="263" t="n"/>
      <c r="J96" s="263" t="n">
        <v>27500</v>
      </c>
      <c r="K96" s="263" t="n"/>
      <c r="L96" s="263" t="n">
        <v>10500</v>
      </c>
    </row>
    <row r="97">
      <c r="A97" s="263" t="n"/>
      <c r="B97" s="263" t="inlineStr">
        <is>
          <t>ALSINA 7981 DPTO</t>
        </is>
      </c>
      <c r="C97" s="263" t="n"/>
      <c r="D97" s="263" t="n"/>
      <c r="E97" s="263" t="n">
        <v>1</v>
      </c>
      <c r="F97" s="263" t="n"/>
      <c r="G97" s="263" t="n"/>
      <c r="H97" s="263" t="n">
        <v>98000</v>
      </c>
      <c r="I97" s="263" t="n"/>
      <c r="J97" s="263" t="n">
        <v>98000</v>
      </c>
      <c r="K97" s="263" t="n"/>
      <c r="L97" s="263" t="n">
        <v>29000</v>
      </c>
    </row>
    <row r="98">
      <c r="A98" s="263" t="n"/>
      <c r="B98" s="263" t="inlineStr">
        <is>
          <t>NACHO CUEVA</t>
        </is>
      </c>
      <c r="C98" s="263" t="n">
        <v>1</v>
      </c>
      <c r="D98" s="263" t="n">
        <v>1</v>
      </c>
      <c r="E98" s="263" t="n"/>
      <c r="F98" s="263" t="n"/>
      <c r="G98" s="263" t="n"/>
      <c r="H98" s="263" t="n">
        <v>62000</v>
      </c>
      <c r="I98" s="263" t="n">
        <v>62000</v>
      </c>
      <c r="J98" s="263" t="n"/>
      <c r="K98" s="263" t="n"/>
      <c r="L98" s="263" t="n">
        <v>19500</v>
      </c>
    </row>
    <row r="99">
      <c r="A99" s="263" t="n"/>
      <c r="B99" s="263" t="inlineStr">
        <is>
          <t>LARREA 3164</t>
        </is>
      </c>
      <c r="C99" s="263" t="n"/>
      <c r="D99" s="263" t="n"/>
      <c r="E99" s="263" t="n">
        <v>1</v>
      </c>
      <c r="F99" s="263" t="n"/>
      <c r="G99" s="263" t="n"/>
      <c r="H99" s="263" t="n">
        <v>98500</v>
      </c>
      <c r="I99" s="263" t="n"/>
      <c r="J99" s="263" t="n">
        <v>98500</v>
      </c>
      <c r="K99" s="263" t="n"/>
      <c r="L99" s="263" t="n">
        <v>29500</v>
      </c>
    </row>
    <row r="100">
      <c r="A100" s="263" t="n"/>
      <c r="B100" s="263" t="inlineStr">
        <is>
          <t>CERVERA 7037</t>
        </is>
      </c>
      <c r="C100" s="263" t="n"/>
      <c r="D100" s="263" t="n">
        <v>1</v>
      </c>
      <c r="E100" s="263" t="n"/>
      <c r="F100" s="263" t="n"/>
      <c r="G100" s="263" t="n"/>
      <c r="H100" s="263" t="n">
        <v>42500</v>
      </c>
      <c r="I100" s="263" t="n">
        <v>42500</v>
      </c>
      <c r="J100" s="263" t="n"/>
      <c r="K100" s="263" t="n"/>
      <c r="L100" s="263" t="n">
        <v>17000</v>
      </c>
    </row>
    <row r="101">
      <c r="A101" s="263" t="n"/>
      <c r="B101" s="263" t="inlineStr">
        <is>
          <t>LUCHO</t>
        </is>
      </c>
      <c r="C101" s="263" t="n">
        <v>1</v>
      </c>
      <c r="D101" s="263" t="n"/>
      <c r="E101" s="263" t="n"/>
      <c r="F101" s="263" t="n"/>
      <c r="G101" s="263" t="n"/>
      <c r="H101" s="263" t="n">
        <v>22000</v>
      </c>
      <c r="I101" s="263" t="n">
        <v>22000</v>
      </c>
      <c r="J101" s="263" t="n"/>
      <c r="K101" s="263" t="n"/>
      <c r="L101" s="263" t="n">
        <v>5000</v>
      </c>
    </row>
    <row r="102">
      <c r="A102" s="263" t="inlineStr">
        <is>
          <t>2026-06-06</t>
        </is>
      </c>
      <c r="B102" s="263" t="inlineStr">
        <is>
          <t>ZAVALLA 2880</t>
        </is>
      </c>
      <c r="C102" s="263" t="n">
        <v>1</v>
      </c>
      <c r="D102" s="263" t="n"/>
      <c r="E102" s="263" t="n"/>
      <c r="F102" s="263" t="n"/>
      <c r="G102" s="263" t="n"/>
      <c r="H102" s="263" t="n">
        <v>28500</v>
      </c>
      <c r="I102" s="263" t="n"/>
      <c r="J102" s="263" t="n">
        <v>28500</v>
      </c>
      <c r="K102" s="263" t="n"/>
      <c r="L102" s="263" t="n">
        <v>11500</v>
      </c>
    </row>
    <row r="103">
      <c r="A103" s="263" t="n"/>
      <c r="B103" s="263" t="inlineStr">
        <is>
          <t>TROPPO</t>
        </is>
      </c>
      <c r="C103" s="263" t="n">
        <v>7</v>
      </c>
      <c r="D103" s="263" t="n"/>
      <c r="E103" s="263" t="n"/>
      <c r="F103" s="263" t="n"/>
      <c r="G103" s="263" t="n"/>
      <c r="H103" s="263" t="n">
        <v>199500</v>
      </c>
      <c r="I103" s="263" t="n">
        <v>199500</v>
      </c>
      <c r="J103" s="263" t="n"/>
      <c r="K103" s="263" t="n"/>
      <c r="L103" s="263" t="n">
        <v>80500</v>
      </c>
    </row>
    <row r="104">
      <c r="A104" s="263" t="n"/>
      <c r="B104" s="263" t="inlineStr">
        <is>
          <t>BEATRIZ</t>
        </is>
      </c>
      <c r="C104" s="263" t="n"/>
      <c r="D104" s="263" t="n"/>
      <c r="E104" s="263" t="n"/>
      <c r="F104" s="263" t="n"/>
      <c r="G104" s="263" t="n">
        <v>1</v>
      </c>
      <c r="H104" s="263" t="n">
        <v>6500</v>
      </c>
      <c r="I104" s="263" t="n"/>
      <c r="J104" s="263" t="n">
        <v>6500</v>
      </c>
      <c r="K104" s="263" t="n"/>
      <c r="L104" s="263" t="n">
        <v>5580</v>
      </c>
    </row>
    <row r="105">
      <c r="A105" s="263" t="n"/>
      <c r="B105" s="263" t="inlineStr">
        <is>
          <t>AYACUCHO 5370</t>
        </is>
      </c>
      <c r="C105" s="263" t="n"/>
      <c r="D105" s="263" t="n"/>
      <c r="E105" s="263" t="n"/>
      <c r="F105" s="263" t="n"/>
      <c r="G105" s="263" t="n">
        <v>1</v>
      </c>
      <c r="H105" s="263" t="n">
        <v>6500</v>
      </c>
      <c r="I105" s="263" t="n"/>
      <c r="J105" s="263" t="n">
        <v>6500</v>
      </c>
      <c r="K105" s="263" t="n"/>
      <c r="L105" s="263" t="n">
        <v>5580</v>
      </c>
    </row>
    <row r="106">
      <c r="A106" s="263" t="n"/>
      <c r="B106" s="263" t="inlineStr">
        <is>
          <t>JP LOPEZ 2709</t>
        </is>
      </c>
      <c r="C106" s="263" t="n"/>
      <c r="D106" s="263" t="n">
        <v>1</v>
      </c>
      <c r="E106" s="263" t="n"/>
      <c r="F106" s="263" t="n"/>
      <c r="G106" s="263" t="n"/>
      <c r="H106" s="263" t="n">
        <v>41000</v>
      </c>
      <c r="I106" s="263" t="n"/>
      <c r="J106" s="263" t="n">
        <v>41000</v>
      </c>
      <c r="K106" s="263" t="n"/>
      <c r="L106" s="263" t="n">
        <v>15500</v>
      </c>
    </row>
    <row r="107">
      <c r="A107" s="263" t="n"/>
      <c r="B107" s="263" t="inlineStr">
        <is>
          <t>ROTI ARISTOBULO</t>
        </is>
      </c>
      <c r="C107" s="263" t="n">
        <v>1</v>
      </c>
      <c r="D107" s="263" t="n">
        <v>1</v>
      </c>
      <c r="E107" s="263" t="n"/>
      <c r="F107" s="263" t="n"/>
      <c r="G107" s="263" t="n"/>
      <c r="H107" s="263" t="n">
        <v>65000</v>
      </c>
      <c r="I107" s="263" t="n"/>
      <c r="J107" s="263" t="n">
        <v>65000</v>
      </c>
      <c r="K107" s="263" t="n"/>
      <c r="L107" s="263" t="n">
        <v>22500</v>
      </c>
    </row>
    <row r="108">
      <c r="A108" s="263" t="n"/>
      <c r="B108" s="263" t="inlineStr">
        <is>
          <t>FILOMENA</t>
        </is>
      </c>
      <c r="C108" s="263" t="n">
        <v>2</v>
      </c>
      <c r="D108" s="263" t="n"/>
      <c r="E108" s="263" t="n"/>
      <c r="F108" s="263" t="n"/>
      <c r="G108" s="263" t="n"/>
      <c r="H108" s="263" t="n">
        <v>53000</v>
      </c>
      <c r="I108" s="263" t="n"/>
      <c r="J108" s="263" t="n">
        <v>53000</v>
      </c>
      <c r="K108" s="263" t="n"/>
      <c r="L108" s="263" t="n">
        <v>19000</v>
      </c>
    </row>
    <row r="109">
      <c r="A109" s="263" t="n"/>
      <c r="B109" s="263" t="inlineStr">
        <is>
          <t>QUINTANA 2396</t>
        </is>
      </c>
      <c r="C109" s="263" t="n"/>
      <c r="D109" s="263" t="n"/>
      <c r="E109" s="263" t="n">
        <v>1</v>
      </c>
      <c r="F109" s="263" t="n"/>
      <c r="G109" s="263" t="n"/>
      <c r="H109" s="263" t="n">
        <v>293500</v>
      </c>
      <c r="I109" s="263" t="n"/>
      <c r="J109" s="263" t="n">
        <v>293500</v>
      </c>
      <c r="K109" s="263" t="n">
        <v>60000</v>
      </c>
      <c r="L109" s="263" t="n">
        <v>164500</v>
      </c>
    </row>
    <row r="110">
      <c r="A110" s="263" t="n"/>
      <c r="B110" s="263" t="inlineStr">
        <is>
          <t>CORDOBA 2460</t>
        </is>
      </c>
      <c r="C110" s="263" t="n">
        <v>1</v>
      </c>
      <c r="D110" s="263" t="n"/>
      <c r="E110" s="263" t="n"/>
      <c r="F110" s="263" t="n"/>
      <c r="G110" s="263" t="n"/>
      <c r="H110" s="263" t="n">
        <v>28500</v>
      </c>
      <c r="I110" s="263" t="n"/>
      <c r="J110" s="263" t="n">
        <v>28500</v>
      </c>
      <c r="K110" s="263" t="n"/>
      <c r="L110" s="263" t="n">
        <v>11500</v>
      </c>
    </row>
    <row r="111">
      <c r="A111" s="263" t="n"/>
      <c r="B111" s="263" t="inlineStr">
        <is>
          <t>ARISTOBULO 5879</t>
        </is>
      </c>
      <c r="C111" s="263" t="n"/>
      <c r="D111" s="263" t="n">
        <v>1</v>
      </c>
      <c r="E111" s="263" t="n"/>
      <c r="F111" s="263" t="n"/>
      <c r="G111" s="263" t="n"/>
      <c r="H111" s="263" t="n">
        <v>44000</v>
      </c>
      <c r="I111" s="263" t="n">
        <v>44000</v>
      </c>
      <c r="J111" s="263" t="n"/>
      <c r="K111" s="263" t="n"/>
      <c r="L111" s="263" t="n">
        <v>18500</v>
      </c>
    </row>
    <row r="112">
      <c r="A112" s="263" t="n"/>
      <c r="B112" s="263" t="inlineStr">
        <is>
          <t>VANE GORDILLO</t>
        </is>
      </c>
      <c r="C112" s="263" t="n">
        <v>1</v>
      </c>
      <c r="D112" s="263" t="n">
        <v>1</v>
      </c>
      <c r="E112" s="263" t="n"/>
      <c r="F112" s="263" t="n"/>
      <c r="G112" s="263" t="n"/>
      <c r="H112" s="263" t="n">
        <v>69000</v>
      </c>
      <c r="I112" s="263" t="n"/>
      <c r="J112" s="263" t="n">
        <v>69000</v>
      </c>
      <c r="K112" s="263" t="n"/>
      <c r="L112" s="263" t="n">
        <v>26500</v>
      </c>
    </row>
    <row r="113">
      <c r="A113" s="263" t="n"/>
      <c r="B113" s="263" t="inlineStr">
        <is>
          <t>REYNARES 8275</t>
        </is>
      </c>
      <c r="C113" s="263" t="n">
        <v>1</v>
      </c>
      <c r="D113" s="263" t="n"/>
      <c r="E113" s="263" t="n"/>
      <c r="F113" s="263" t="n"/>
      <c r="G113" s="263" t="n"/>
      <c r="H113" s="263" t="n">
        <v>28500</v>
      </c>
      <c r="I113" s="263" t="n">
        <v>28500</v>
      </c>
      <c r="J113" s="263" t="n"/>
      <c r="K113" s="263" t="n"/>
      <c r="L113" s="263" t="n">
        <v>11500</v>
      </c>
    </row>
    <row r="114">
      <c r="A114" s="263" t="n"/>
      <c r="B114" s="263" t="inlineStr">
        <is>
          <t>LA BANDERA CLAUDIA</t>
        </is>
      </c>
      <c r="C114" s="263" t="n">
        <v>4</v>
      </c>
      <c r="D114" s="263" t="n"/>
      <c r="E114" s="263" t="n"/>
      <c r="F114" s="263" t="n"/>
      <c r="G114" s="263" t="n"/>
      <c r="H114" s="263" t="n">
        <v>76000</v>
      </c>
      <c r="I114" s="263" t="n">
        <v>76000</v>
      </c>
      <c r="J114" s="263" t="n"/>
      <c r="K114" s="263" t="n"/>
      <c r="L114" s="263" t="n">
        <v>8000</v>
      </c>
    </row>
    <row r="115">
      <c r="A115" s="263" t="n"/>
      <c r="B115" s="263" t="inlineStr">
        <is>
          <t>FRANCIA 1366</t>
        </is>
      </c>
      <c r="C115" s="263" t="n">
        <v>1</v>
      </c>
      <c r="D115" s="263" t="n"/>
      <c r="E115" s="263" t="n"/>
      <c r="F115" s="263" t="n"/>
      <c r="G115" s="263" t="n"/>
      <c r="H115" s="263" t="n">
        <v>28500</v>
      </c>
      <c r="I115" s="263" t="n"/>
      <c r="J115" s="263" t="n">
        <v>28500</v>
      </c>
      <c r="K115" s="263" t="n"/>
      <c r="L115" s="263" t="n">
        <v>11500</v>
      </c>
    </row>
    <row r="116">
      <c r="A116" s="263" t="n"/>
      <c r="B116" s="263" t="inlineStr">
        <is>
          <t>SAAVEDRA 1683</t>
        </is>
      </c>
      <c r="C116" s="263" t="n">
        <v>1</v>
      </c>
      <c r="D116" s="263" t="n"/>
      <c r="E116" s="263" t="n"/>
      <c r="F116" s="263" t="n"/>
      <c r="G116" s="263" t="n"/>
      <c r="H116" s="263" t="n">
        <v>28500</v>
      </c>
      <c r="I116" s="263" t="n">
        <v>28500</v>
      </c>
      <c r="J116" s="263" t="n"/>
      <c r="K116" s="263" t="n"/>
      <c r="L116" s="263" t="n">
        <v>11500</v>
      </c>
    </row>
    <row r="117">
      <c r="A117" s="263" t="n"/>
      <c r="B117" s="263" t="inlineStr">
        <is>
          <t>PANA GISELA</t>
        </is>
      </c>
      <c r="C117" s="263" t="n">
        <v>1</v>
      </c>
      <c r="D117" s="263" t="n"/>
      <c r="E117" s="263" t="n"/>
      <c r="F117" s="263" t="n"/>
      <c r="G117" s="263" t="n"/>
      <c r="H117" s="263" t="n">
        <v>25500</v>
      </c>
      <c r="I117" s="263" t="n"/>
      <c r="J117" s="263" t="n">
        <v>25500</v>
      </c>
      <c r="K117" s="263" t="n"/>
      <c r="L117" s="263" t="n">
        <v>8500</v>
      </c>
    </row>
    <row r="118">
      <c r="A118" s="263" t="n"/>
      <c r="B118" s="263" t="inlineStr">
        <is>
          <t>ANDINO 5875</t>
        </is>
      </c>
      <c r="C118" s="263" t="n">
        <v>1</v>
      </c>
      <c r="D118" s="263" t="n"/>
      <c r="E118" s="263" t="n"/>
      <c r="F118" s="263" t="n"/>
      <c r="G118" s="263" t="n"/>
      <c r="H118" s="263" t="n">
        <v>28500</v>
      </c>
      <c r="I118" s="263" t="n">
        <v>28500</v>
      </c>
      <c r="J118" s="263" t="n"/>
      <c r="K118" s="263" t="n"/>
      <c r="L118" s="263" t="n">
        <v>11500</v>
      </c>
    </row>
    <row r="119">
      <c r="A119" s="263" t="n"/>
      <c r="B119" s="263" t="inlineStr">
        <is>
          <t>JP LOPEZ 1875</t>
        </is>
      </c>
      <c r="C119" s="263" t="n">
        <v>1</v>
      </c>
      <c r="D119" s="263" t="n"/>
      <c r="E119" s="263" t="n"/>
      <c r="F119" s="263" t="n"/>
      <c r="G119" s="263" t="n"/>
      <c r="H119" s="263" t="n">
        <v>29000</v>
      </c>
      <c r="I119" s="263" t="n">
        <v>29000</v>
      </c>
      <c r="J119" s="263" t="n"/>
      <c r="K119" s="263" t="n"/>
      <c r="L119" s="263" t="n">
        <v>12000</v>
      </c>
    </row>
    <row r="120">
      <c r="A120" s="263" t="n"/>
      <c r="B120" s="263" t="inlineStr">
        <is>
          <t>ZAVALLA 7090</t>
        </is>
      </c>
      <c r="C120" s="263" t="n"/>
      <c r="D120" s="263" t="n"/>
      <c r="E120" s="263" t="n">
        <v>1</v>
      </c>
      <c r="F120" s="263" t="n"/>
      <c r="G120" s="263" t="n"/>
      <c r="H120" s="263" t="n">
        <v>98500</v>
      </c>
      <c r="I120" s="263" t="n"/>
      <c r="J120" s="263" t="n">
        <v>98500</v>
      </c>
      <c r="K120" s="263" t="n"/>
      <c r="L120" s="263" t="n">
        <v>29500</v>
      </c>
    </row>
    <row r="121">
      <c r="A121" s="263" t="n"/>
      <c r="B121" s="263" t="inlineStr">
        <is>
          <t>PRIMERO DE MAYO 7185</t>
        </is>
      </c>
      <c r="C121" s="263" t="n">
        <v>1</v>
      </c>
      <c r="D121" s="263" t="n"/>
      <c r="E121" s="263" t="n"/>
      <c r="F121" s="263" t="n"/>
      <c r="G121" s="263" t="n"/>
      <c r="H121" s="263" t="n">
        <v>28500</v>
      </c>
      <c r="I121" s="263" t="n"/>
      <c r="J121" s="263" t="n">
        <v>28500</v>
      </c>
      <c r="K121" s="263" t="n"/>
      <c r="L121" s="263" t="n">
        <v>11500</v>
      </c>
    </row>
    <row r="122">
      <c r="A122" s="263" t="n"/>
      <c r="B122" s="263" t="inlineStr">
        <is>
          <t>AGUSTIN DELGADO 1737</t>
        </is>
      </c>
      <c r="C122" s="263" t="n">
        <v>1</v>
      </c>
      <c r="D122" s="263" t="n"/>
      <c r="E122" s="263" t="n"/>
      <c r="F122" s="263" t="n"/>
      <c r="G122" s="263" t="n"/>
      <c r="H122" s="263" t="n">
        <v>28500</v>
      </c>
      <c r="I122" s="263" t="n">
        <v>28500</v>
      </c>
      <c r="J122" s="263" t="n"/>
      <c r="K122" s="263" t="n"/>
      <c r="L122" s="263" t="n">
        <v>11500</v>
      </c>
    </row>
    <row r="123">
      <c r="A123" s="263" t="n"/>
      <c r="B123" s="263" t="inlineStr">
        <is>
          <t>AZCUENAGA 5023</t>
        </is>
      </c>
      <c r="C123" s="263" t="n">
        <v>7</v>
      </c>
      <c r="D123" s="263" t="n"/>
      <c r="E123" s="263" t="n"/>
      <c r="F123" s="263" t="n"/>
      <c r="G123" s="263" t="n"/>
      <c r="H123" s="263" t="n">
        <v>154000</v>
      </c>
      <c r="I123" s="263" t="n"/>
      <c r="J123" s="263" t="n">
        <v>154000</v>
      </c>
      <c r="K123" s="263" t="n"/>
      <c r="L123" s="263" t="n">
        <v>35000</v>
      </c>
    </row>
    <row r="124">
      <c r="A124" s="263" t="n"/>
      <c r="B124" s="263" t="inlineStr">
        <is>
          <t>SABOREAR</t>
        </is>
      </c>
      <c r="C124" s="263" t="n">
        <v>1</v>
      </c>
      <c r="D124" s="263" t="n"/>
      <c r="E124" s="263" t="n"/>
      <c r="F124" s="263" t="n"/>
      <c r="G124" s="263" t="n"/>
      <c r="H124" s="263" t="n">
        <v>25500</v>
      </c>
      <c r="I124" s="263" t="n"/>
      <c r="J124" s="263" t="n">
        <v>25500</v>
      </c>
      <c r="K124" s="263" t="n"/>
      <c r="L124" s="263" t="n">
        <v>8500</v>
      </c>
    </row>
    <row r="125">
      <c r="A125" s="263" t="inlineStr">
        <is>
          <t>2026-06-07</t>
        </is>
      </c>
      <c r="B125" s="263" t="inlineStr">
        <is>
          <t>ORTIZ 4285</t>
        </is>
      </c>
      <c r="C125" s="263" t="n"/>
      <c r="D125" s="263" t="n">
        <v>1</v>
      </c>
      <c r="E125" s="263" t="n"/>
      <c r="F125" s="263" t="n"/>
      <c r="G125" s="263" t="n"/>
      <c r="H125" s="263" t="n">
        <v>42500</v>
      </c>
      <c r="I125" s="263" t="n"/>
      <c r="J125" s="263" t="n">
        <v>42500</v>
      </c>
      <c r="K125" s="263" t="n"/>
      <c r="L125" s="263" t="n">
        <v>17000</v>
      </c>
    </row>
    <row r="126">
      <c r="A126" s="263" t="n"/>
      <c r="B126" s="263" t="inlineStr">
        <is>
          <t>BAIGORRIA 9351</t>
        </is>
      </c>
      <c r="C126" s="263" t="n"/>
      <c r="D126" s="263" t="n"/>
      <c r="E126" s="263" t="n">
        <v>1</v>
      </c>
      <c r="F126" s="263" t="n"/>
      <c r="G126" s="263" t="n"/>
      <c r="H126" s="263" t="n">
        <v>99000</v>
      </c>
      <c r="I126" s="263" t="n">
        <v>99000</v>
      </c>
      <c r="J126" s="263" t="n"/>
      <c r="K126" s="263" t="n"/>
      <c r="L126" s="263" t="n">
        <v>30000</v>
      </c>
    </row>
    <row r="127">
      <c r="A127" s="263" t="n"/>
      <c r="B127" s="263" t="inlineStr">
        <is>
          <t>BARRETO 7148</t>
        </is>
      </c>
      <c r="C127" s="263" t="n">
        <v>1</v>
      </c>
      <c r="D127" s="263" t="n"/>
      <c r="E127" s="263" t="n"/>
      <c r="F127" s="263" t="n"/>
      <c r="G127" s="263" t="n"/>
      <c r="H127" s="263" t="n">
        <v>28500</v>
      </c>
      <c r="I127" s="263" t="n">
        <v>28500</v>
      </c>
      <c r="J127" s="263" t="n"/>
      <c r="K127" s="263" t="n"/>
      <c r="L127" s="263" t="n">
        <v>11500</v>
      </c>
    </row>
    <row r="128">
      <c r="A128" s="263" t="n"/>
      <c r="B128" s="263" t="inlineStr">
        <is>
          <t>SAN JUAN 5672</t>
        </is>
      </c>
      <c r="C128" s="263" t="n">
        <v>2</v>
      </c>
      <c r="D128" s="263" t="n"/>
      <c r="E128" s="263" t="n"/>
      <c r="F128" s="263" t="n"/>
      <c r="G128" s="263" t="n"/>
      <c r="H128" s="263" t="n">
        <v>44000</v>
      </c>
      <c r="I128" s="263" t="n"/>
      <c r="J128" s="263" t="n">
        <v>44000</v>
      </c>
      <c r="K128" s="263" t="n"/>
      <c r="L128" s="263" t="n">
        <v>10000</v>
      </c>
    </row>
    <row r="129">
      <c r="A129" s="263" t="n"/>
      <c r="B129" s="263" t="inlineStr">
        <is>
          <t>PANA ALBERTI</t>
        </is>
      </c>
      <c r="C129" s="263" t="n"/>
      <c r="D129" s="263" t="n"/>
      <c r="E129" s="263" t="n">
        <v>1</v>
      </c>
      <c r="F129" s="263" t="n"/>
      <c r="G129" s="263" t="n"/>
      <c r="H129" s="263" t="n">
        <v>91000</v>
      </c>
      <c r="I129" s="263" t="n">
        <v>91000</v>
      </c>
      <c r="J129" s="263" t="n"/>
      <c r="K129" s="263" t="n"/>
      <c r="L129" s="263" t="n">
        <v>22000</v>
      </c>
    </row>
    <row r="130">
      <c r="A130" s="263" t="n"/>
      <c r="B130" s="263" t="inlineStr">
        <is>
          <t>CUARTO PASAJE 3782</t>
        </is>
      </c>
      <c r="C130" s="263" t="n">
        <v>1</v>
      </c>
      <c r="D130" s="263" t="n"/>
      <c r="E130" s="263" t="n"/>
      <c r="F130" s="263" t="n"/>
      <c r="G130" s="263" t="n"/>
      <c r="H130" s="263" t="n">
        <v>29000</v>
      </c>
      <c r="I130" s="263" t="n"/>
      <c r="J130" s="263" t="n">
        <v>29000</v>
      </c>
      <c r="K130" s="263" t="n"/>
      <c r="L130" s="263" t="n">
        <v>12000</v>
      </c>
    </row>
    <row r="131">
      <c r="A131" s="263" t="n"/>
      <c r="B131" s="263" t="inlineStr">
        <is>
          <t>LA SALLE 3115</t>
        </is>
      </c>
      <c r="C131" s="263" t="n"/>
      <c r="D131" s="263" t="n"/>
      <c r="E131" s="263" t="n">
        <v>1</v>
      </c>
      <c r="F131" s="263" t="n"/>
      <c r="G131" s="263" t="n"/>
      <c r="H131" s="263" t="n">
        <v>98500</v>
      </c>
      <c r="I131" s="263" t="n"/>
      <c r="J131" s="263" t="n">
        <v>98500</v>
      </c>
      <c r="K131" s="263" t="n"/>
      <c r="L131" s="263" t="n">
        <v>29500</v>
      </c>
    </row>
    <row r="132">
      <c r="A132" s="263" t="n"/>
      <c r="B132" s="263" t="inlineStr">
        <is>
          <t>ANGEL</t>
        </is>
      </c>
      <c r="C132" s="263" t="n"/>
      <c r="D132" s="263" t="n">
        <v>1</v>
      </c>
      <c r="E132" s="263" t="n"/>
      <c r="F132" s="263" t="n"/>
      <c r="G132" s="263" t="n"/>
      <c r="H132" s="263" t="n">
        <v>33000</v>
      </c>
      <c r="I132" s="263" t="n">
        <v>33000</v>
      </c>
      <c r="J132" s="263" t="n"/>
      <c r="K132" s="263" t="n"/>
      <c r="L132" s="263" t="n">
        <v>7500</v>
      </c>
    </row>
    <row r="133">
      <c r="A133" s="263" t="n"/>
      <c r="B133" s="263" t="inlineStr">
        <is>
          <t>CALLEJON ROCA 2480</t>
        </is>
      </c>
      <c r="C133" s="263" t="n"/>
      <c r="D133" s="263" t="n">
        <v>1</v>
      </c>
      <c r="E133" s="263" t="n"/>
      <c r="F133" s="263" t="n"/>
      <c r="G133" s="263" t="n"/>
      <c r="H133" s="263" t="n">
        <v>42500</v>
      </c>
      <c r="I133" s="263" t="n">
        <v>42500</v>
      </c>
      <c r="J133" s="263" t="n"/>
      <c r="K133" s="263" t="n"/>
      <c r="L133" s="263" t="n">
        <v>17000</v>
      </c>
    </row>
    <row r="134">
      <c r="A134" s="263" t="n"/>
      <c r="B134" s="263" t="inlineStr">
        <is>
          <t>MAGALLANES 4060</t>
        </is>
      </c>
      <c r="C134" s="263" t="n">
        <v>1</v>
      </c>
      <c r="D134" s="263" t="n"/>
      <c r="E134" s="263" t="n"/>
      <c r="F134" s="263" t="n"/>
      <c r="G134" s="263" t="n"/>
      <c r="H134" s="263" t="n">
        <v>28500</v>
      </c>
      <c r="I134" s="263" t="n">
        <v>28500</v>
      </c>
      <c r="J134" s="263" t="n"/>
      <c r="K134" s="263" t="n"/>
      <c r="L134" s="263" t="n">
        <v>11500</v>
      </c>
    </row>
    <row r="135">
      <c r="A135" s="263" t="n"/>
      <c r="B135" s="263" t="inlineStr">
        <is>
          <t>PASAJE ROMERO 9357</t>
        </is>
      </c>
      <c r="C135" s="263" t="n"/>
      <c r="D135" s="263" t="n"/>
      <c r="E135" s="263" t="n">
        <v>1</v>
      </c>
      <c r="F135" s="263" t="n"/>
      <c r="G135" s="263" t="n"/>
      <c r="H135" s="263" t="n">
        <v>98500</v>
      </c>
      <c r="I135" s="263" t="n">
        <v>98500</v>
      </c>
      <c r="J135" s="263" t="n"/>
      <c r="K135" s="263" t="n"/>
      <c r="L135" s="263" t="n">
        <v>29500</v>
      </c>
    </row>
    <row r="136">
      <c r="A136" s="263" t="n"/>
      <c r="B136" s="263" t="inlineStr">
        <is>
          <t>PAULO</t>
        </is>
      </c>
      <c r="C136" s="263" t="n">
        <v>2</v>
      </c>
      <c r="D136" s="263" t="n"/>
      <c r="E136" s="263" t="n"/>
      <c r="F136" s="263" t="n"/>
      <c r="G136" s="263" t="n"/>
      <c r="H136" s="263" t="n">
        <v>44000</v>
      </c>
      <c r="I136" s="263" t="n"/>
      <c r="J136" s="263" t="n">
        <v>44000</v>
      </c>
      <c r="K136" s="263" t="n"/>
      <c r="L136" s="263" t="n">
        <v>10000</v>
      </c>
    </row>
    <row r="137">
      <c r="A137" s="263" t="n"/>
      <c r="B137" s="263" t="inlineStr">
        <is>
          <t>CALLEJON AGUIRRE 9340</t>
        </is>
      </c>
      <c r="C137" s="263" t="n"/>
      <c r="D137" s="263" t="n">
        <v>1</v>
      </c>
      <c r="E137" s="263" t="n"/>
      <c r="F137" s="263" t="n"/>
      <c r="G137" s="263" t="n"/>
      <c r="H137" s="263" t="n">
        <v>41500</v>
      </c>
      <c r="I137" s="263" t="n"/>
      <c r="J137" s="263" t="n">
        <v>41500</v>
      </c>
      <c r="K137" s="263" t="n"/>
      <c r="L137" s="263" t="n">
        <v>16000</v>
      </c>
    </row>
    <row r="138">
      <c r="A138" s="263" t="n"/>
      <c r="B138" s="263" t="inlineStr">
        <is>
          <t>COLODRERO 2414</t>
        </is>
      </c>
      <c r="C138" s="263" t="n"/>
      <c r="D138" s="263" t="n">
        <v>1</v>
      </c>
      <c r="E138" s="263" t="n"/>
      <c r="F138" s="263" t="n"/>
      <c r="G138" s="263" t="n"/>
      <c r="H138" s="263" t="n">
        <v>42500</v>
      </c>
      <c r="I138" s="263" t="n">
        <v>42500</v>
      </c>
      <c r="J138" s="263" t="n"/>
      <c r="K138" s="263" t="n"/>
      <c r="L138" s="263" t="n">
        <v>17000</v>
      </c>
    </row>
    <row r="139">
      <c r="A139" s="263" t="n"/>
      <c r="B139" s="263" t="inlineStr">
        <is>
          <t>SANDRA</t>
        </is>
      </c>
      <c r="C139" s="263" t="n">
        <v>1</v>
      </c>
      <c r="D139" s="263" t="n"/>
      <c r="E139" s="263" t="n"/>
      <c r="F139" s="263" t="n"/>
      <c r="G139" s="263" t="n"/>
      <c r="H139" s="263" t="n">
        <v>22000</v>
      </c>
      <c r="I139" s="263" t="n">
        <v>22000</v>
      </c>
      <c r="J139" s="263" t="n"/>
      <c r="K139" s="263" t="n"/>
      <c r="L139" s="263" t="n">
        <v>5000</v>
      </c>
    </row>
    <row r="140">
      <c r="A140" s="263" t="n"/>
      <c r="B140" s="263" t="inlineStr">
        <is>
          <t>FACUNDO ZUVIRIA 7757</t>
        </is>
      </c>
      <c r="C140" s="263" t="n"/>
      <c r="D140" s="263" t="n"/>
      <c r="E140" s="263" t="n">
        <v>1</v>
      </c>
      <c r="F140" s="263" t="n"/>
      <c r="G140" s="263" t="n"/>
      <c r="H140" s="263" t="n">
        <v>98500</v>
      </c>
      <c r="I140" s="263" t="n"/>
      <c r="J140" s="263" t="n">
        <v>98500</v>
      </c>
      <c r="K140" s="263" t="n"/>
      <c r="L140" s="263" t="n">
        <v>29500</v>
      </c>
    </row>
    <row r="141">
      <c r="A141" s="263" t="n"/>
      <c r="B141" s="263" t="inlineStr">
        <is>
          <t>SERVANDO BAYO 7166</t>
        </is>
      </c>
      <c r="C141" s="263" t="n"/>
      <c r="D141" s="263" t="n">
        <v>1</v>
      </c>
      <c r="E141" s="263" t="n"/>
      <c r="F141" s="263" t="n"/>
      <c r="G141" s="263" t="n"/>
      <c r="H141" s="263" t="n">
        <v>38500</v>
      </c>
      <c r="I141" s="263" t="n"/>
      <c r="J141" s="263" t="n">
        <v>38500</v>
      </c>
      <c r="K141" s="263" t="n"/>
      <c r="L141" s="263" t="n">
        <v>13000</v>
      </c>
    </row>
    <row r="142">
      <c r="A142" s="263" t="n"/>
      <c r="B142" s="263" t="inlineStr">
        <is>
          <t>CASANELLO 784</t>
        </is>
      </c>
      <c r="C142" s="263" t="n">
        <v>1</v>
      </c>
      <c r="D142" s="263" t="n"/>
      <c r="E142" s="263" t="n"/>
      <c r="F142" s="263" t="n"/>
      <c r="G142" s="263" t="n"/>
      <c r="H142" s="263" t="n">
        <v>28500</v>
      </c>
      <c r="I142" s="263" t="n"/>
      <c r="J142" s="263" t="n">
        <v>28500</v>
      </c>
      <c r="K142" s="263" t="n"/>
      <c r="L142" s="263" t="n">
        <v>11500</v>
      </c>
    </row>
    <row r="143">
      <c r="A143" s="263" t="n"/>
      <c r="B143" s="263" t="inlineStr">
        <is>
          <t>SANDRA</t>
        </is>
      </c>
      <c r="C143" s="263" t="n">
        <v>1</v>
      </c>
      <c r="D143" s="263" t="n"/>
      <c r="E143" s="263" t="n"/>
      <c r="F143" s="263" t="n"/>
      <c r="G143" s="263" t="n"/>
      <c r="H143" s="263" t="n">
        <v>22000</v>
      </c>
      <c r="I143" s="263" t="n">
        <v>22000</v>
      </c>
      <c r="J143" s="263" t="n"/>
      <c r="K143" s="263" t="n"/>
      <c r="L143" s="263" t="n">
        <v>5000</v>
      </c>
    </row>
    <row r="144">
      <c r="A144" s="263" t="n"/>
      <c r="B144" s="263" t="inlineStr">
        <is>
          <t>DANA</t>
        </is>
      </c>
      <c r="C144" s="263" t="n">
        <v>2</v>
      </c>
      <c r="D144" s="263" t="n"/>
      <c r="E144" s="263" t="n"/>
      <c r="F144" s="263" t="n"/>
      <c r="G144" s="263" t="n"/>
      <c r="H144" s="263" t="n">
        <v>44000</v>
      </c>
      <c r="I144" s="263" t="n"/>
      <c r="J144" s="263" t="n">
        <v>44000</v>
      </c>
      <c r="K144" s="263" t="n"/>
      <c r="L144" s="263" t="n">
        <v>10000</v>
      </c>
    </row>
    <row r="145">
      <c r="A145" s="263" t="inlineStr">
        <is>
          <t>2026-06-08</t>
        </is>
      </c>
      <c r="B145" s="263" t="inlineStr">
        <is>
          <t>ANGEL</t>
        </is>
      </c>
      <c r="C145" s="263" t="n"/>
      <c r="D145" s="263" t="n">
        <v>1</v>
      </c>
      <c r="E145" s="263" t="n"/>
      <c r="F145" s="263" t="n"/>
      <c r="G145" s="263" t="n"/>
      <c r="H145" s="263" t="n">
        <v>33000</v>
      </c>
      <c r="I145" s="263" t="n">
        <v>33000</v>
      </c>
      <c r="J145" s="263" t="n"/>
      <c r="K145" s="263" t="n"/>
      <c r="L145" s="263" t="n">
        <v>7500</v>
      </c>
    </row>
    <row r="146">
      <c r="A146" s="263" t="n"/>
      <c r="B146" s="263" t="inlineStr">
        <is>
          <t>MOLINA FLORES 1</t>
        </is>
      </c>
      <c r="C146" s="263" t="n"/>
      <c r="D146" s="263" t="n"/>
      <c r="E146" s="263" t="n">
        <v>1</v>
      </c>
      <c r="F146" s="263" t="n"/>
      <c r="G146" s="263" t="n"/>
      <c r="H146" s="263" t="n">
        <v>98500</v>
      </c>
      <c r="I146" s="263" t="n">
        <v>98500</v>
      </c>
      <c r="J146" s="263" t="n"/>
      <c r="K146" s="263" t="n"/>
      <c r="L146" s="263" t="n">
        <v>29500</v>
      </c>
    </row>
    <row r="147">
      <c r="A147" s="263" t="n"/>
      <c r="B147" s="263" t="inlineStr">
        <is>
          <t>MADAME CHEESE</t>
        </is>
      </c>
      <c r="C147" s="263" t="n"/>
      <c r="D147" s="263" t="n">
        <v>1</v>
      </c>
      <c r="E147" s="263" t="n"/>
      <c r="F147" s="263" t="n"/>
      <c r="G147" s="263" t="n"/>
      <c r="H147" s="263" t="n">
        <v>38500</v>
      </c>
      <c r="I147" s="263" t="n"/>
      <c r="J147" s="263" t="n">
        <v>38500</v>
      </c>
      <c r="K147" s="263" t="n"/>
      <c r="L147" s="263" t="n">
        <v>13000</v>
      </c>
    </row>
    <row r="148">
      <c r="A148" s="263" t="n"/>
      <c r="B148" s="263" t="inlineStr">
        <is>
          <t>OTNIEL</t>
        </is>
      </c>
      <c r="C148" s="263" t="n"/>
      <c r="D148" s="263" t="n">
        <v>2</v>
      </c>
      <c r="E148" s="263" t="n">
        <v>1</v>
      </c>
      <c r="F148" s="263" t="n"/>
      <c r="G148" s="263" t="n"/>
      <c r="H148" s="263" t="n">
        <v>166000</v>
      </c>
      <c r="I148" s="263" t="n">
        <v>100000</v>
      </c>
      <c r="J148" s="263" t="n">
        <v>66000</v>
      </c>
      <c r="K148" s="263" t="n"/>
      <c r="L148" s="263" t="n">
        <v>46000</v>
      </c>
    </row>
    <row r="149">
      <c r="A149" s="263" t="n"/>
      <c r="B149" s="263" t="inlineStr">
        <is>
          <t>VIANDAS JORGE</t>
        </is>
      </c>
      <c r="C149" s="263" t="n">
        <v>1</v>
      </c>
      <c r="D149" s="263" t="n"/>
      <c r="E149" s="263" t="n"/>
      <c r="F149" s="263" t="n"/>
      <c r="G149" s="263" t="n"/>
      <c r="H149" s="263" t="n">
        <v>25000</v>
      </c>
      <c r="I149" s="263" t="n">
        <v>25000</v>
      </c>
      <c r="J149" s="263" t="n"/>
      <c r="K149" s="263" t="n"/>
      <c r="L149" s="263" t="n">
        <v>8000</v>
      </c>
    </row>
    <row r="150">
      <c r="A150" s="263" t="n"/>
      <c r="B150" s="263" t="inlineStr">
        <is>
          <t>PUBLICO 5727</t>
        </is>
      </c>
      <c r="C150" s="263" t="n">
        <v>1</v>
      </c>
      <c r="D150" s="263" t="n"/>
      <c r="E150" s="263" t="n"/>
      <c r="F150" s="263" t="n"/>
      <c r="G150" s="263" t="n"/>
      <c r="H150" s="263" t="n">
        <v>28500</v>
      </c>
      <c r="I150" s="263" t="n"/>
      <c r="J150" s="263" t="n">
        <v>28500</v>
      </c>
      <c r="K150" s="263" t="n"/>
      <c r="L150" s="263" t="n">
        <v>11500</v>
      </c>
    </row>
    <row r="151">
      <c r="A151" s="263" t="n"/>
      <c r="B151" s="263" t="inlineStr">
        <is>
          <t>PIRU</t>
        </is>
      </c>
      <c r="C151" s="263" t="n"/>
      <c r="D151" s="263" t="n">
        <v>1</v>
      </c>
      <c r="E151" s="263" t="n"/>
      <c r="F151" s="263" t="n"/>
      <c r="G151" s="263" t="n"/>
      <c r="H151" s="263" t="n">
        <v>38500</v>
      </c>
      <c r="I151" s="263" t="n">
        <v>38500</v>
      </c>
      <c r="J151" s="263" t="n"/>
      <c r="K151" s="263" t="n"/>
      <c r="L151" s="263" t="n">
        <v>13000</v>
      </c>
    </row>
    <row r="152">
      <c r="A152" s="263" t="n"/>
      <c r="B152" s="263" t="inlineStr">
        <is>
          <t>FRANCIA 3601</t>
        </is>
      </c>
      <c r="C152" s="263" t="n">
        <v>1</v>
      </c>
      <c r="D152" s="263" t="n"/>
      <c r="E152" s="263" t="n"/>
      <c r="F152" s="263" t="n"/>
      <c r="G152" s="263" t="n"/>
      <c r="H152" s="263" t="n">
        <v>28000</v>
      </c>
      <c r="I152" s="263" t="n">
        <v>28000</v>
      </c>
      <c r="J152" s="263" t="n"/>
      <c r="K152" s="263" t="n"/>
      <c r="L152" s="263" t="n">
        <v>11000</v>
      </c>
    </row>
    <row r="153">
      <c r="A153" s="263" t="n"/>
      <c r="B153" s="263" t="inlineStr">
        <is>
          <t>PRIMERO DE MAYO 1959</t>
        </is>
      </c>
      <c r="C153" s="263" t="n">
        <v>1</v>
      </c>
      <c r="D153" s="263" t="n"/>
      <c r="E153" s="263" t="n"/>
      <c r="F153" s="263" t="n"/>
      <c r="G153" s="263" t="n"/>
      <c r="H153" s="263" t="n">
        <v>27000</v>
      </c>
      <c r="I153" s="263" t="n"/>
      <c r="J153" s="263" t="n">
        <v>27000</v>
      </c>
      <c r="K153" s="263" t="n"/>
      <c r="L153" s="263" t="n">
        <v>10000</v>
      </c>
    </row>
    <row r="154">
      <c r="A154" s="263" t="n"/>
      <c r="B154" s="263" t="inlineStr">
        <is>
          <t>CASTELLI LA VIA</t>
        </is>
      </c>
      <c r="C154" s="263" t="n">
        <v>2</v>
      </c>
      <c r="D154" s="263" t="n"/>
      <c r="E154" s="263" t="n"/>
      <c r="F154" s="263" t="n"/>
      <c r="G154" s="263" t="n"/>
      <c r="H154" s="263" t="n">
        <v>44000</v>
      </c>
      <c r="I154" s="263" t="n">
        <v>44000</v>
      </c>
      <c r="J154" s="263" t="n"/>
      <c r="K154" s="263" t="n"/>
      <c r="L154" s="263" t="n">
        <v>10000</v>
      </c>
    </row>
    <row r="155">
      <c r="A155" s="263" t="n"/>
      <c r="B155" s="263" t="inlineStr">
        <is>
          <t>LAVATO 8168</t>
        </is>
      </c>
      <c r="C155" s="263" t="n">
        <v>1</v>
      </c>
      <c r="D155" s="263" t="n"/>
      <c r="E155" s="263" t="n"/>
      <c r="F155" s="263" t="n"/>
      <c r="G155" s="263" t="n"/>
      <c r="H155" s="263" t="n">
        <v>28500</v>
      </c>
      <c r="I155" s="263" t="n"/>
      <c r="J155" s="263" t="n">
        <v>28500</v>
      </c>
      <c r="K155" s="263" t="n"/>
      <c r="L155" s="263" t="n">
        <v>11500</v>
      </c>
    </row>
    <row r="156">
      <c r="A156" s="263" t="n"/>
      <c r="B156" s="263" t="inlineStr">
        <is>
          <t>EUROPA 10419</t>
        </is>
      </c>
      <c r="C156" s="263" t="n">
        <v>2</v>
      </c>
      <c r="D156" s="263" t="n"/>
      <c r="E156" s="263" t="n"/>
      <c r="F156" s="263" t="n"/>
      <c r="G156" s="263" t="n"/>
      <c r="H156" s="263" t="n">
        <v>57000</v>
      </c>
      <c r="I156" s="263" t="n"/>
      <c r="J156" s="263" t="n">
        <v>57000</v>
      </c>
      <c r="K156" s="263" t="n"/>
      <c r="L156" s="263" t="n">
        <v>23000</v>
      </c>
    </row>
    <row r="157">
      <c r="A157" s="263" t="n"/>
      <c r="B157" s="263" t="inlineStr">
        <is>
          <t>RICARDO ALDADO 3459</t>
        </is>
      </c>
      <c r="C157" s="263" t="n">
        <v>1</v>
      </c>
      <c r="D157" s="263" t="n"/>
      <c r="E157" s="263" t="n"/>
      <c r="F157" s="263" t="n"/>
      <c r="G157" s="263" t="n"/>
      <c r="H157" s="263" t="n">
        <v>27000</v>
      </c>
      <c r="I157" s="263" t="n"/>
      <c r="J157" s="263" t="n">
        <v>27000</v>
      </c>
      <c r="K157" s="263" t="n"/>
      <c r="L157" s="263" t="n">
        <v>10000</v>
      </c>
    </row>
    <row r="158">
      <c r="A158" s="263" t="n"/>
      <c r="B158" s="263" t="inlineStr">
        <is>
          <t>9 DE JULIO 2107</t>
        </is>
      </c>
      <c r="C158" s="263" t="n">
        <v>1</v>
      </c>
      <c r="D158" s="263" t="n"/>
      <c r="E158" s="263" t="n"/>
      <c r="F158" s="263" t="n"/>
      <c r="G158" s="263" t="n"/>
      <c r="H158" s="263" t="n">
        <v>28500</v>
      </c>
      <c r="I158" s="263" t="n"/>
      <c r="J158" s="263" t="n">
        <v>28500</v>
      </c>
      <c r="K158" s="263" t="n"/>
      <c r="L158" s="263" t="n">
        <v>11500</v>
      </c>
    </row>
    <row r="159">
      <c r="A159" s="263" t="n"/>
      <c r="B159" s="263" t="inlineStr">
        <is>
          <t>ARENALES 6659</t>
        </is>
      </c>
      <c r="C159" s="263" t="n">
        <v>1</v>
      </c>
      <c r="D159" s="263" t="n"/>
      <c r="E159" s="263" t="n"/>
      <c r="F159" s="263" t="n"/>
      <c r="G159" s="263" t="n"/>
      <c r="H159" s="263" t="n">
        <v>27000</v>
      </c>
      <c r="I159" s="263" t="n"/>
      <c r="J159" s="263" t="n">
        <v>27000</v>
      </c>
      <c r="K159" s="263" t="n"/>
      <c r="L159" s="263" t="n">
        <v>10000</v>
      </c>
    </row>
    <row r="160">
      <c r="A160" s="263" t="n"/>
      <c r="B160" s="263" t="inlineStr">
        <is>
          <t>EXE</t>
        </is>
      </c>
      <c r="C160" s="263" t="n"/>
      <c r="D160" s="263" t="n"/>
      <c r="E160" s="263" t="n">
        <v>1</v>
      </c>
      <c r="F160" s="263" t="n"/>
      <c r="G160" s="263" t="n"/>
      <c r="H160" s="263" t="n">
        <v>95000</v>
      </c>
      <c r="I160" s="263" t="n"/>
      <c r="J160" s="263" t="n">
        <v>95000</v>
      </c>
      <c r="K160" s="263" t="n"/>
      <c r="L160" s="263" t="n">
        <v>26000</v>
      </c>
    </row>
    <row r="161">
      <c r="A161" s="263" t="n"/>
      <c r="B161" s="263" t="inlineStr">
        <is>
          <t>PANA VIEYTES 4500</t>
        </is>
      </c>
      <c r="C161" s="263" t="n"/>
      <c r="D161" s="263" t="n"/>
      <c r="E161" s="263" t="n">
        <v>1</v>
      </c>
      <c r="F161" s="263" t="n"/>
      <c r="G161" s="263" t="n"/>
      <c r="H161" s="263" t="n">
        <v>88000</v>
      </c>
      <c r="I161" s="263" t="n"/>
      <c r="J161" s="263" t="n">
        <v>88000</v>
      </c>
      <c r="K161" s="263" t="n"/>
      <c r="L161" s="263" t="n">
        <v>19000</v>
      </c>
    </row>
    <row r="162">
      <c r="A162" s="263" t="n"/>
      <c r="B162" s="263" t="inlineStr">
        <is>
          <t>GALISTEO 3023</t>
        </is>
      </c>
      <c r="C162" s="263" t="n">
        <v>1</v>
      </c>
      <c r="D162" s="263" t="n"/>
      <c r="E162" s="263" t="n"/>
      <c r="F162" s="263" t="n"/>
      <c r="G162" s="263" t="n"/>
      <c r="H162" s="263" t="n">
        <v>27000</v>
      </c>
      <c r="I162" s="263" t="n"/>
      <c r="J162" s="263" t="n">
        <v>27000</v>
      </c>
      <c r="K162" s="263" t="n"/>
      <c r="L162" s="263" t="n">
        <v>10000</v>
      </c>
    </row>
    <row r="163">
      <c r="A163" s="263" t="n"/>
      <c r="B163" s="263" t="inlineStr">
        <is>
          <t>AGUAYO 3617</t>
        </is>
      </c>
      <c r="C163" s="263" t="n">
        <v>1</v>
      </c>
      <c r="D163" s="263" t="n"/>
      <c r="E163" s="263" t="n"/>
      <c r="F163" s="263" t="n"/>
      <c r="G163" s="263" t="n"/>
      <c r="H163" s="263" t="n">
        <v>28500</v>
      </c>
      <c r="I163" s="263" t="n">
        <v>28500</v>
      </c>
      <c r="J163" s="263" t="n"/>
      <c r="K163" s="263" t="n"/>
      <c r="L163" s="263" t="n">
        <v>11500</v>
      </c>
    </row>
    <row r="164">
      <c r="A164" s="263" t="n"/>
      <c r="B164" s="263" t="inlineStr">
        <is>
          <t>LA RIOJA 3823</t>
        </is>
      </c>
      <c r="C164" s="263" t="n">
        <v>1</v>
      </c>
      <c r="D164" s="263" t="n"/>
      <c r="E164" s="263" t="n"/>
      <c r="F164" s="263" t="n"/>
      <c r="G164" s="263" t="n"/>
      <c r="H164" s="263" t="n">
        <v>28500</v>
      </c>
      <c r="I164" s="263" t="n">
        <v>28500</v>
      </c>
      <c r="J164" s="263" t="n"/>
      <c r="K164" s="263" t="n"/>
      <c r="L164" s="263" t="n">
        <v>11500</v>
      </c>
    </row>
    <row r="165">
      <c r="A165" s="263" t="n"/>
      <c r="B165" s="263" t="inlineStr">
        <is>
          <t>ROTI VIAJES</t>
        </is>
      </c>
      <c r="C165" s="263" t="n"/>
      <c r="D165" s="263" t="n">
        <v>2</v>
      </c>
      <c r="E165" s="263" t="n"/>
      <c r="F165" s="263" t="n"/>
      <c r="G165" s="263" t="n"/>
      <c r="H165" s="263" t="n">
        <v>69000</v>
      </c>
      <c r="I165" s="263" t="n"/>
      <c r="J165" s="263" t="n">
        <v>69000</v>
      </c>
      <c r="K165" s="263" t="n"/>
      <c r="L165" s="263" t="n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6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MAYO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MAYO</t>
        </is>
      </c>
    </row>
    <row r="5" ht="21.75" customHeight="1" s="153">
      <c r="A5" s="227" t="n">
        <v>46143</v>
      </c>
      <c r="B5" s="228" t="inlineStr">
        <is>
          <t>5TO PASAJE 9681</t>
        </is>
      </c>
      <c r="C5" s="229" t="n"/>
      <c r="D5" s="229" t="n"/>
      <c r="E5" s="229" t="n">
        <v>1</v>
      </c>
      <c r="F5" s="230" t="n"/>
      <c r="G5" s="230" t="n"/>
      <c r="H5" s="257" t="n">
        <v>95000</v>
      </c>
      <c r="I5" s="258" t="n"/>
      <c r="J5" s="258" t="n">
        <v>95000</v>
      </c>
      <c r="K5" s="233" t="n"/>
      <c r="L5" s="233">
        <f>IF(K5&lt;&gt;"",35000+K5,35000)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inlineStr">
        <is>
          <t>PIEDRABUENA 4506</t>
        </is>
      </c>
      <c r="C6" s="239" t="n"/>
      <c r="D6" s="239" t="n"/>
      <c r="E6" s="239" t="n">
        <v>1</v>
      </c>
      <c r="F6" s="240" t="n"/>
      <c r="G6" s="240" t="n"/>
      <c r="H6" s="259" t="n">
        <v>91000</v>
      </c>
      <c r="I6" s="260" t="n"/>
      <c r="J6" s="260" t="n">
        <v>91000</v>
      </c>
      <c r="K6" s="233" t="n"/>
      <c r="L6" s="233">
        <f>IF(K6&lt;&gt;"",31000+K6,31000)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inlineStr">
        <is>
          <t>ALBERTI 5303</t>
        </is>
      </c>
      <c r="C7" s="229" t="n">
        <v>1</v>
      </c>
      <c r="D7" s="229" t="n"/>
      <c r="E7" s="229" t="n"/>
      <c r="F7" s="230" t="n"/>
      <c r="G7" s="230" t="n"/>
      <c r="H7" s="257" t="n">
        <v>25000</v>
      </c>
      <c r="I7" s="258" t="n">
        <v>25000</v>
      </c>
      <c r="J7" s="258" t="n"/>
      <c r="K7" s="233" t="n"/>
      <c r="L7" s="233">
        <f>IF(K7&lt;&gt;"",10000+K7,10000)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inlineStr">
        <is>
          <t>LUCHO</t>
        </is>
      </c>
      <c r="C8" s="239" t="n">
        <v>1</v>
      </c>
      <c r="D8" s="239" t="n">
        <v>1</v>
      </c>
      <c r="E8" s="239" t="n"/>
      <c r="F8" s="240" t="n"/>
      <c r="G8" s="240" t="n"/>
      <c r="H8" s="259" t="n">
        <v>47500</v>
      </c>
      <c r="I8" s="260" t="n">
        <v>47500</v>
      </c>
      <c r="J8" s="260" t="n"/>
      <c r="K8" s="233" t="n"/>
      <c r="L8" s="233">
        <f>IF(K8&lt;&gt;"",10000+K8,10000)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inlineStr">
        <is>
          <t>CALLEJON ROCA 2622</t>
        </is>
      </c>
      <c r="C9" s="229" t="n">
        <v>1</v>
      </c>
      <c r="D9" s="229" t="n"/>
      <c r="E9" s="229" t="n"/>
      <c r="F9" s="230" t="n"/>
      <c r="G9" s="230" t="n"/>
      <c r="H9" s="257" t="n">
        <v>27000</v>
      </c>
      <c r="I9" s="258" t="n">
        <v>27000</v>
      </c>
      <c r="J9" s="258" t="n"/>
      <c r="K9" s="233" t="n"/>
      <c r="L9" s="233">
        <f>IF(K9&lt;&gt;"",12000+K9,12000)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inlineStr">
        <is>
          <t>4 DE ENERO 6652</t>
        </is>
      </c>
      <c r="C10" s="239" t="n">
        <v>1</v>
      </c>
      <c r="D10" s="239" t="n"/>
      <c r="E10" s="239" t="n"/>
      <c r="F10" s="240" t="n"/>
      <c r="G10" s="240" t="n"/>
      <c r="H10" s="259" t="n">
        <v>27000</v>
      </c>
      <c r="I10" s="260" t="n">
        <v>27000</v>
      </c>
      <c r="J10" s="260" t="n"/>
      <c r="K10" s="233" t="n"/>
      <c r="L10" s="233">
        <f>IF(K10&lt;&gt;"",12000+K10,12000)</f>
        <v/>
      </c>
      <c r="M10" s="156" t="n"/>
      <c r="N10" s="243" t="n"/>
      <c r="O10" s="244" t="n"/>
    </row>
    <row r="11" ht="21.75" customHeight="1" s="153">
      <c r="A11" s="227" t="n"/>
      <c r="B11" s="228" t="inlineStr">
        <is>
          <t>GUANELLA 4883</t>
        </is>
      </c>
      <c r="C11" s="229" t="n"/>
      <c r="D11" s="229" t="n">
        <v>1</v>
      </c>
      <c r="E11" s="229" t="n"/>
      <c r="F11" s="230" t="n"/>
      <c r="G11" s="230" t="n"/>
      <c r="H11" s="257" t="n">
        <v>37500</v>
      </c>
      <c r="I11" s="258" t="n"/>
      <c r="J11" s="258" t="n">
        <v>37500</v>
      </c>
      <c r="K11" s="233" t="n"/>
      <c r="L11" s="233">
        <f>IF(K11&lt;&gt;"",15000+K11,15000)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inlineStr">
        <is>
          <t>CARRANZA 8275</t>
        </is>
      </c>
      <c r="C12" s="239" t="n">
        <v>1</v>
      </c>
      <c r="D12" s="239" t="n"/>
      <c r="E12" s="239" t="n"/>
      <c r="F12" s="240" t="n"/>
      <c r="G12" s="240" t="n"/>
      <c r="H12" s="259" t="n">
        <v>26000</v>
      </c>
      <c r="I12" s="260" t="n"/>
      <c r="J12" s="260" t="n">
        <v>26000</v>
      </c>
      <c r="K12" s="233" t="n"/>
      <c r="L12" s="233">
        <f>IF(K12&lt;&gt;"",11000+K12,11000)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inlineStr">
        <is>
          <t>GENEIRO 8249</t>
        </is>
      </c>
      <c r="C13" s="229" t="n">
        <v>1</v>
      </c>
      <c r="D13" s="229" t="n"/>
      <c r="E13" s="229" t="n"/>
      <c r="F13" s="230" t="n"/>
      <c r="G13" s="230" t="n"/>
      <c r="H13" s="257" t="n">
        <v>26000</v>
      </c>
      <c r="I13" s="258" t="n"/>
      <c r="J13" s="258" t="n">
        <v>26000</v>
      </c>
      <c r="K13" s="233" t="n"/>
      <c r="L13" s="233">
        <f>IF(K13&lt;&gt;"",11000+K13,11000)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inlineStr">
        <is>
          <t>PANA ALBERTI</t>
        </is>
      </c>
      <c r="C14" s="239" t="n"/>
      <c r="D14" s="239" t="n"/>
      <c r="E14" s="239" t="n">
        <v>1</v>
      </c>
      <c r="F14" s="240" t="n"/>
      <c r="G14" s="240" t="n"/>
      <c r="H14" s="259" t="n">
        <v>82000</v>
      </c>
      <c r="I14" s="260" t="n">
        <v>82000</v>
      </c>
      <c r="J14" s="260" t="n"/>
      <c r="K14" s="233" t="n"/>
      <c r="L14" s="233">
        <f>IF(K14&lt;&gt;"",22000+K14,22000)</f>
        <v/>
      </c>
      <c r="M14" s="156" t="n"/>
      <c r="N14" s="243" t="n"/>
      <c r="O14" s="244" t="n"/>
    </row>
    <row r="15" ht="21.75" customHeight="1" s="153">
      <c r="A15" s="227" t="n"/>
      <c r="B15" s="228" t="inlineStr">
        <is>
          <t>BAGUETTE</t>
        </is>
      </c>
      <c r="C15" s="229" t="n"/>
      <c r="D15" s="229" t="n"/>
      <c r="E15" s="229" t="n">
        <v>1</v>
      </c>
      <c r="F15" s="230" t="n"/>
      <c r="G15" s="230" t="n"/>
      <c r="H15" s="257" t="n">
        <v>75000</v>
      </c>
      <c r="I15" s="258" t="n"/>
      <c r="J15" s="258" t="n">
        <v>75000</v>
      </c>
      <c r="K15" s="233" t="n"/>
      <c r="L15" s="233">
        <f>IF(K15&lt;&gt;"",15000+K15,15000)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inlineStr">
        <is>
          <t>RIVADAVIA 8280</t>
        </is>
      </c>
      <c r="C16" s="239" t="n"/>
      <c r="D16" s="239" t="n"/>
      <c r="E16" s="239" t="n">
        <v>1</v>
      </c>
      <c r="F16" s="240" t="n"/>
      <c r="G16" s="240" t="n"/>
      <c r="H16" s="259" t="n">
        <v>92000</v>
      </c>
      <c r="I16" s="260" t="n"/>
      <c r="J16" s="260" t="n">
        <v>92000</v>
      </c>
      <c r="K16" s="233" t="n"/>
      <c r="L16" s="233">
        <f>IF(K16&lt;&gt;"",32000+K16,32000)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inlineStr">
        <is>
          <t>LUCHO</t>
        </is>
      </c>
      <c r="C17" s="229" t="n">
        <v>1</v>
      </c>
      <c r="D17" s="229" t="n">
        <v>1</v>
      </c>
      <c r="E17" s="229" t="n"/>
      <c r="F17" s="230" t="n"/>
      <c r="G17" s="230" t="n"/>
      <c r="H17" s="257" t="n">
        <v>47500</v>
      </c>
      <c r="I17" s="258" t="n"/>
      <c r="J17" s="258" t="n">
        <v>47500</v>
      </c>
      <c r="K17" s="233" t="n"/>
      <c r="L17" s="233">
        <f>IF(K17&lt;&gt;"",10000+K17,10000)</f>
        <v/>
      </c>
      <c r="M17" s="156" t="n"/>
      <c r="N17" s="243" t="n"/>
      <c r="O17" s="244" t="n"/>
    </row>
    <row r="18" ht="21.75" customHeight="1" s="153">
      <c r="A18" s="237" t="n"/>
      <c r="B18" s="238" t="inlineStr">
        <is>
          <t>MARCIAL CANDIOTI 6281</t>
        </is>
      </c>
      <c r="C18" s="239" t="n"/>
      <c r="D18" s="239" t="n">
        <v>1</v>
      </c>
      <c r="E18" s="239" t="n"/>
      <c r="F18" s="240" t="n"/>
      <c r="G18" s="240" t="n"/>
      <c r="H18" s="259" t="n">
        <v>39000</v>
      </c>
      <c r="I18" s="260" t="n">
        <v>39000</v>
      </c>
      <c r="J18" s="260" t="n"/>
      <c r="K18" s="233" t="n"/>
      <c r="L18" s="233">
        <f>IF(K18&lt;&gt;"",16500+K18,16500)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inlineStr">
        <is>
          <t>BRASERIA</t>
        </is>
      </c>
      <c r="C19" s="229" t="n"/>
      <c r="D19" s="229" t="n"/>
      <c r="E19" s="229" t="n">
        <v>1</v>
      </c>
      <c r="F19" s="230" t="n"/>
      <c r="G19" s="230" t="n"/>
      <c r="H19" s="257" t="n">
        <v>83000</v>
      </c>
      <c r="I19" s="258" t="n"/>
      <c r="J19" s="258" t="n">
        <v>83000</v>
      </c>
      <c r="K19" s="233" t="n"/>
      <c r="L19" s="233">
        <f>IF(K19&lt;&gt;"",23000+K19,23000)</f>
        <v/>
      </c>
      <c r="M19" s="156" t="n"/>
      <c r="N19" s="234" t="inlineStr">
        <is>
          <t>DÍAS DEL MES</t>
        </is>
      </c>
      <c r="O19" s="250" t="n">
        <v>31</v>
      </c>
    </row>
    <row r="20" ht="21.75" customHeight="1" s="153">
      <c r="A20" s="227" t="n">
        <v>46144</v>
      </c>
      <c r="B20" s="228" t="inlineStr">
        <is>
          <t>RIVADAVIA JUNIORS</t>
        </is>
      </c>
      <c r="C20" s="229" t="n">
        <v>2</v>
      </c>
      <c r="D20" s="229" t="n"/>
      <c r="E20" s="229" t="n"/>
      <c r="F20" s="230" t="n"/>
      <c r="G20" s="230" t="n"/>
      <c r="H20" s="257" t="n">
        <v>52000</v>
      </c>
      <c r="I20" s="258" t="n">
        <v>52000</v>
      </c>
      <c r="J20" s="258" t="n"/>
      <c r="K20" s="233" t="n"/>
      <c r="L20" s="233">
        <f>IF(K20&lt;&gt;"",22000+K20,22000)</f>
        <v/>
      </c>
      <c r="M20" s="156" t="n"/>
      <c r="N20" s="243" t="n"/>
      <c r="O20" s="244" t="n"/>
    </row>
    <row r="21" ht="21.75" customHeight="1" s="153">
      <c r="A21" s="237" t="n"/>
      <c r="B21" s="238" t="inlineStr">
        <is>
          <t>URQUIZA 9309</t>
        </is>
      </c>
      <c r="C21" s="239" t="n">
        <v>2</v>
      </c>
      <c r="D21" s="239" t="n">
        <v>1</v>
      </c>
      <c r="E21" s="239" t="n"/>
      <c r="F21" s="240" t="n"/>
      <c r="G21" s="240" t="n"/>
      <c r="H21" s="259" t="n">
        <v>68500</v>
      </c>
      <c r="I21" s="260" t="n"/>
      <c r="J21" s="260" t="n">
        <v>68500</v>
      </c>
      <c r="K21" s="233" t="n"/>
      <c r="L21" s="233">
        <f>IF(K21&lt;&gt;"",16000+K21,16000)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27" t="n"/>
      <c r="B22" s="228" t="inlineStr">
        <is>
          <t>BEATRIZ</t>
        </is>
      </c>
      <c r="C22" s="229" t="n"/>
      <c r="D22" s="229" t="n"/>
      <c r="E22" s="229" t="n"/>
      <c r="F22" s="230" t="n"/>
      <c r="G22" s="230" t="n">
        <v>2</v>
      </c>
      <c r="H22" s="257" t="n">
        <v>12000</v>
      </c>
      <c r="I22" s="258" t="n"/>
      <c r="J22" s="258" t="n">
        <v>12000</v>
      </c>
      <c r="K22" s="233" t="n"/>
      <c r="L22" s="233">
        <f>IF(K22&lt;&gt;"",10300+K22,10300)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37" t="n"/>
      <c r="B23" s="238" t="inlineStr">
        <is>
          <t>LAVALLE 4859</t>
        </is>
      </c>
      <c r="C23" s="239" t="n">
        <v>1</v>
      </c>
      <c r="D23" s="239" t="n"/>
      <c r="E23" s="239" t="n"/>
      <c r="F23" s="240" t="n"/>
      <c r="G23" s="240" t="n"/>
      <c r="H23" s="259" t="n">
        <v>26000</v>
      </c>
      <c r="I23" s="260" t="n">
        <v>26000</v>
      </c>
      <c r="J23" s="260" t="n"/>
      <c r="K23" s="233" t="n"/>
      <c r="L23" s="233">
        <f>IF(K23&lt;&gt;"",11000+K23,11000)</f>
        <v/>
      </c>
      <c r="M23" s="156" t="n"/>
      <c r="N23" s="156" t="n"/>
      <c r="O23" s="156" t="n"/>
    </row>
    <row r="24" ht="18.75" customHeight="1" s="153">
      <c r="A24" s="227" t="n"/>
      <c r="B24" s="228" t="inlineStr">
        <is>
          <t>DOMINGO SILVA 4217</t>
        </is>
      </c>
      <c r="C24" s="229" t="n">
        <v>1</v>
      </c>
      <c r="D24" s="229" t="n">
        <v>1</v>
      </c>
      <c r="E24" s="229" t="n"/>
      <c r="F24" s="230" t="n"/>
      <c r="G24" s="230" t="n"/>
      <c r="H24" s="257" t="n">
        <v>47500</v>
      </c>
      <c r="I24" s="258" t="n"/>
      <c r="J24" s="258" t="n">
        <v>47500</v>
      </c>
      <c r="K24" s="233" t="n"/>
      <c r="L24" s="233">
        <f>IF(K24&lt;&gt;"",10000+K24,10000)</f>
        <v/>
      </c>
      <c r="M24" s="156" t="n"/>
      <c r="N24" s="246" t="inlineStr">
        <is>
          <t>KG BUTANO</t>
        </is>
      </c>
      <c r="O24" s="252">
        <f>IFERROR((SUM(C5:C700)*10)+(SUM(D5:D700)*15),0)</f>
        <v/>
      </c>
    </row>
    <row r="25" ht="18.75" customHeight="1" s="153">
      <c r="A25" s="237" t="n"/>
      <c r="B25" s="238" t="inlineStr">
        <is>
          <t>ALSINA 7981</t>
        </is>
      </c>
      <c r="C25" s="239" t="n"/>
      <c r="D25" s="239" t="n"/>
      <c r="E25" s="239" t="n">
        <v>1</v>
      </c>
      <c r="F25" s="240" t="n"/>
      <c r="G25" s="240" t="n"/>
      <c r="H25" s="259" t="n">
        <v>84000</v>
      </c>
      <c r="I25" s="260" t="n">
        <v>84000</v>
      </c>
      <c r="J25" s="260" t="n"/>
      <c r="K25" s="233" t="n"/>
      <c r="L25" s="233">
        <f>IF(K25&lt;&gt;"",24000+K25,24000)</f>
        <v/>
      </c>
      <c r="M25" s="156" t="n"/>
      <c r="N25" s="246" t="inlineStr">
        <is>
          <t>KG PROPANO</t>
        </is>
      </c>
      <c r="O25" s="252">
        <f>IFERROR(SUM(E5:E700)*45,0)</f>
        <v/>
      </c>
    </row>
    <row r="26" ht="18.75" customHeight="1" s="153">
      <c r="A26" s="227" t="n"/>
      <c r="B26" s="228" t="inlineStr">
        <is>
          <t>ROTI SAN LORENZO</t>
        </is>
      </c>
      <c r="C26" s="229" t="n">
        <v>2</v>
      </c>
      <c r="D26" s="229" t="n">
        <v>1</v>
      </c>
      <c r="E26" s="229" t="n"/>
      <c r="F26" s="230" t="n"/>
      <c r="G26" s="230" t="n"/>
      <c r="H26" s="257" t="n">
        <v>85000</v>
      </c>
      <c r="I26" s="258" t="n"/>
      <c r="J26" s="258" t="n">
        <v>85000</v>
      </c>
      <c r="K26" s="233" t="n"/>
      <c r="L26" s="233">
        <f>IF(K26&lt;&gt;"",32500+K26,32500)</f>
        <v/>
      </c>
      <c r="M26" s="156" t="n"/>
      <c r="N26" s="246" t="inlineStr">
        <is>
          <t>KG TOTAL</t>
        </is>
      </c>
      <c r="O26" s="252">
        <f>IFERROR(O24+O25,0)</f>
        <v/>
      </c>
    </row>
    <row r="27" ht="18.75" customHeight="1" s="153">
      <c r="A27" s="237" t="n"/>
      <c r="B27" s="238" t="inlineStr">
        <is>
          <t>OTNIEL</t>
        </is>
      </c>
      <c r="C27" s="239" t="n"/>
      <c r="D27" s="239" t="n">
        <v>1</v>
      </c>
      <c r="E27" s="239" t="n">
        <v>1</v>
      </c>
      <c r="F27" s="240" t="n"/>
      <c r="G27" s="240" t="n"/>
      <c r="H27" s="259" t="n">
        <v>115000</v>
      </c>
      <c r="I27" s="260" t="n">
        <v>115000</v>
      </c>
      <c r="J27" s="260" t="n"/>
      <c r="K27" s="233" t="n"/>
      <c r="L27" s="233">
        <f>IF(K27&lt;&gt;"",32500+K27,32500)</f>
        <v/>
      </c>
      <c r="M27" s="156" t="n"/>
      <c r="N27" s="156" t="n"/>
      <c r="O27" s="156" t="n"/>
    </row>
    <row r="28" ht="18.75" customHeight="1" s="153">
      <c r="A28" s="227" t="n"/>
      <c r="B28" s="228" t="inlineStr">
        <is>
          <t>MARCE DUSO</t>
        </is>
      </c>
      <c r="C28" s="229" t="n">
        <v>3</v>
      </c>
      <c r="D28" s="229" t="n"/>
      <c r="E28" s="229" t="n"/>
      <c r="F28" s="230" t="n"/>
      <c r="G28" s="230" t="n"/>
      <c r="H28" s="257" t="n">
        <v>57000</v>
      </c>
      <c r="I28" s="258" t="n">
        <v>57000</v>
      </c>
      <c r="J28" s="258" t="n"/>
      <c r="K28" s="233" t="n"/>
      <c r="L28" s="233">
        <f>IF(K28&lt;&gt;"",12000+K28,12000)</f>
        <v/>
      </c>
      <c r="M28" s="156" t="n"/>
      <c r="N28" s="246" t="inlineStr">
        <is>
          <t>TICKET PROM. VENTA</t>
        </is>
      </c>
      <c r="O28" s="253">
        <f>IFERROR(SUM(H5:H700)/COUNTA(B5:B700),0)</f>
        <v/>
      </c>
    </row>
    <row r="29" ht="18.75" customHeight="1" s="153">
      <c r="A29" s="237" t="n"/>
      <c r="B29" s="238" t="inlineStr">
        <is>
          <t>VIÑAS 9420</t>
        </is>
      </c>
      <c r="C29" s="239" t="n"/>
      <c r="D29" s="239" t="n"/>
      <c r="E29" s="239" t="n">
        <v>1</v>
      </c>
      <c r="F29" s="240" t="n"/>
      <c r="G29" s="240" t="n"/>
      <c r="H29" s="259" t="n">
        <v>92000</v>
      </c>
      <c r="I29" s="260" t="n"/>
      <c r="J29" s="260" t="n">
        <v>92000</v>
      </c>
      <c r="K29" s="233" t="n"/>
      <c r="L29" s="233">
        <f>IF(K29&lt;&gt;"",32000+K29,32000)</f>
        <v/>
      </c>
      <c r="M29" s="156" t="n"/>
      <c r="N29" s="246" t="inlineStr">
        <is>
          <t>TICKET PROM. GANANCIA</t>
        </is>
      </c>
      <c r="O29" s="253">
        <f>IFERROR(SUM(L5:L700)/COUNTA(B5:B700),0)</f>
        <v/>
      </c>
    </row>
    <row r="30" ht="18.75" customHeight="1" s="153">
      <c r="A30" s="227" t="n"/>
      <c r="B30" s="228" t="inlineStr">
        <is>
          <t>VIANDAS JORGE</t>
        </is>
      </c>
      <c r="C30" s="229" t="n">
        <v>1</v>
      </c>
      <c r="D30" s="229" t="n"/>
      <c r="E30" s="229" t="n"/>
      <c r="F30" s="230" t="n"/>
      <c r="G30" s="230" t="n"/>
      <c r="H30" s="257" t="n">
        <v>22000</v>
      </c>
      <c r="I30" s="258" t="n">
        <v>22000</v>
      </c>
      <c r="J30" s="258" t="n"/>
      <c r="K30" s="233" t="n"/>
      <c r="L30" s="233">
        <f>IF(K30&lt;&gt;"",7000+K30,7000)</f>
        <v/>
      </c>
      <c r="M30" s="156" t="n"/>
      <c r="N30" s="156" t="n"/>
      <c r="O30" s="156" t="n"/>
    </row>
    <row r="31" ht="18.75" customHeight="1" s="153">
      <c r="A31" s="237" t="n"/>
      <c r="B31" s="238" t="inlineStr">
        <is>
          <t>JOSE CIBILS 6789</t>
        </is>
      </c>
      <c r="C31" s="239" t="n"/>
      <c r="D31" s="239" t="n"/>
      <c r="E31" s="239" t="n">
        <v>1</v>
      </c>
      <c r="F31" s="240" t="n"/>
      <c r="G31" s="240" t="n"/>
      <c r="H31" s="259" t="n">
        <v>91000</v>
      </c>
      <c r="I31" s="260" t="n">
        <v>91000</v>
      </c>
      <c r="J31" s="260" t="n"/>
      <c r="K31" s="233" t="n"/>
      <c r="L31" s="233">
        <f>IF(K31&lt;&gt;"",31000+K31,31000)</f>
        <v/>
      </c>
      <c r="M31" s="156" t="n"/>
      <c r="N31" s="156" t="n"/>
      <c r="O31" s="156" t="n"/>
    </row>
    <row r="32" ht="18.75" customHeight="1" s="153">
      <c r="A32" s="227" t="n"/>
      <c r="B32" s="228" t="inlineStr">
        <is>
          <t>RICARDO ALDAO 3082</t>
        </is>
      </c>
      <c r="C32" s="229" t="n">
        <v>1</v>
      </c>
      <c r="D32" s="229" t="n"/>
      <c r="E32" s="229" t="n"/>
      <c r="F32" s="230" t="n"/>
      <c r="G32" s="230" t="n"/>
      <c r="H32" s="257" t="n">
        <v>26000</v>
      </c>
      <c r="I32" s="258" t="n">
        <v>26000</v>
      </c>
      <c r="J32" s="258" t="n"/>
      <c r="K32" s="233" t="n"/>
      <c r="L32" s="233">
        <f>IF(K32&lt;&gt;"",11000+K32,11000)</f>
        <v/>
      </c>
      <c r="M32" s="156" t="n"/>
      <c r="N32" s="156" t="n"/>
      <c r="O32" s="156" t="n"/>
    </row>
    <row r="33" ht="18.75" customHeight="1" s="153">
      <c r="A33" s="237" t="n"/>
      <c r="B33" s="238" t="inlineStr">
        <is>
          <t>FLORENCIO FERNANDEZ 6196</t>
        </is>
      </c>
      <c r="C33" s="239" t="n">
        <v>10</v>
      </c>
      <c r="D33" s="239" t="n"/>
      <c r="E33" s="239" t="n"/>
      <c r="F33" s="240" t="n"/>
      <c r="G33" s="240" t="n"/>
      <c r="H33" s="259" t="n">
        <v>185000</v>
      </c>
      <c r="I33" s="260" t="n"/>
      <c r="J33" s="260" t="n">
        <v>185000</v>
      </c>
      <c r="K33" s="233" t="n"/>
      <c r="L33" s="233">
        <f>IF(K33&lt;&gt;"",35000+K33,35000)</f>
        <v/>
      </c>
      <c r="M33" s="156" t="n"/>
      <c r="N33" s="156" t="n"/>
      <c r="O33" s="156" t="n"/>
    </row>
    <row r="34" ht="18.75" customHeight="1" s="153">
      <c r="A34" s="227" t="n"/>
      <c r="B34" s="228" t="inlineStr">
        <is>
          <t>FLORES 1 CANCHITA</t>
        </is>
      </c>
      <c r="C34" s="229" t="n">
        <v>1</v>
      </c>
      <c r="D34" s="229" t="n"/>
      <c r="E34" s="229" t="n"/>
      <c r="F34" s="230" t="n"/>
      <c r="G34" s="230" t="n"/>
      <c r="H34" s="257" t="n">
        <v>26000</v>
      </c>
      <c r="I34" s="258" t="n">
        <v>26000</v>
      </c>
      <c r="J34" s="258" t="n"/>
      <c r="K34" s="233" t="n"/>
      <c r="L34" s="233">
        <f>IF(K34&lt;&gt;"",11000+K34,11000)</f>
        <v/>
      </c>
      <c r="M34" s="156" t="n"/>
      <c r="N34" s="156" t="n"/>
      <c r="O34" s="156" t="n"/>
    </row>
    <row r="35" ht="18.75" customHeight="1" s="153">
      <c r="A35" s="237" t="n"/>
      <c r="B35" s="238" t="inlineStr">
        <is>
          <t>GORRITI 4661</t>
        </is>
      </c>
      <c r="C35" s="239" t="n">
        <v>1</v>
      </c>
      <c r="D35" s="239" t="n"/>
      <c r="E35" s="239" t="n"/>
      <c r="F35" s="240" t="n"/>
      <c r="G35" s="240" t="n"/>
      <c r="H35" s="259" t="n">
        <v>26000</v>
      </c>
      <c r="I35" s="260" t="n"/>
      <c r="J35" s="260" t="n">
        <v>26000</v>
      </c>
      <c r="K35" s="233" t="n"/>
      <c r="L35" s="233">
        <f>IF(K35&lt;&gt;"",11000+K35,11000)</f>
        <v/>
      </c>
      <c r="M35" s="156" t="n"/>
      <c r="N35" s="156" t="n"/>
      <c r="O35" s="156" t="n"/>
    </row>
    <row r="36" ht="18.75" customHeight="1" s="153">
      <c r="A36" s="227" t="n"/>
      <c r="B36" s="228" t="inlineStr">
        <is>
          <t>AZOPARDO Y FLORENCIO SANCHEZ</t>
        </is>
      </c>
      <c r="C36" s="229" t="n"/>
      <c r="D36" s="229" t="n">
        <v>1</v>
      </c>
      <c r="E36" s="229" t="n"/>
      <c r="F36" s="230" t="n"/>
      <c r="G36" s="230" t="n"/>
      <c r="H36" s="257" t="n">
        <v>35500</v>
      </c>
      <c r="I36" s="258" t="n"/>
      <c r="J36" s="258" t="n">
        <v>35500</v>
      </c>
      <c r="K36" s="233" t="n"/>
      <c r="L36" s="233">
        <f>IF(K36&lt;&gt;"",13000+K36,13000)</f>
        <v/>
      </c>
      <c r="M36" s="156" t="n"/>
      <c r="N36" s="156" t="n"/>
      <c r="O36" s="156" t="n"/>
    </row>
    <row r="37" ht="18.75" customHeight="1" s="153">
      <c r="A37" s="237" t="n"/>
      <c r="B37" s="238" t="inlineStr">
        <is>
          <t>CALLE 14 3363</t>
        </is>
      </c>
      <c r="C37" s="239" t="n"/>
      <c r="D37" s="239" t="n"/>
      <c r="E37" s="239" t="n">
        <v>1</v>
      </c>
      <c r="F37" s="240" t="n"/>
      <c r="G37" s="240" t="n"/>
      <c r="H37" s="259" t="n">
        <v>91000</v>
      </c>
      <c r="I37" s="260" t="n"/>
      <c r="J37" s="260" t="n">
        <v>91000</v>
      </c>
      <c r="K37" s="233" t="n"/>
      <c r="L37" s="233">
        <f>IF(K37&lt;&gt;"",31000+K37,31000)</f>
        <v/>
      </c>
      <c r="M37" s="156" t="n"/>
      <c r="N37" s="156" t="n"/>
      <c r="O37" s="156" t="n"/>
    </row>
    <row r="38" ht="18.75" customHeight="1" s="153">
      <c r="A38" s="227" t="n"/>
      <c r="B38" s="228" t="inlineStr">
        <is>
          <t>REMEDIO DE ESCALADA</t>
        </is>
      </c>
      <c r="C38" s="229" t="n"/>
      <c r="D38" s="229" t="n"/>
      <c r="E38" s="229" t="n">
        <v>2</v>
      </c>
      <c r="F38" s="230" t="n"/>
      <c r="G38" s="230" t="n"/>
      <c r="H38" s="257" t="n">
        <v>180000</v>
      </c>
      <c r="I38" s="258" t="n">
        <v>180000</v>
      </c>
      <c r="J38" s="258" t="n"/>
      <c r="K38" s="233" t="n"/>
      <c r="L38" s="233">
        <f>IF(K38&lt;&gt;"",60000+K38,60000)</f>
        <v/>
      </c>
      <c r="M38" s="156" t="n"/>
      <c r="N38" s="156" t="n"/>
      <c r="O38" s="156" t="n"/>
    </row>
    <row r="39" ht="18.75" customHeight="1" s="153">
      <c r="A39" s="237" t="n"/>
      <c r="B39" s="238" t="inlineStr">
        <is>
          <t>LUCHO</t>
        </is>
      </c>
      <c r="C39" s="239" t="n">
        <v>1</v>
      </c>
      <c r="D39" s="239" t="n">
        <v>1</v>
      </c>
      <c r="E39" s="239" t="n"/>
      <c r="F39" s="240" t="n"/>
      <c r="G39" s="240" t="n"/>
      <c r="H39" s="259" t="n">
        <v>47500</v>
      </c>
      <c r="I39" s="260" t="n"/>
      <c r="J39" s="260" t="n">
        <v>47500</v>
      </c>
      <c r="K39" s="233" t="n"/>
      <c r="L39" s="233">
        <f>IF(K39&lt;&gt;"",10000+K39,10000)</f>
        <v/>
      </c>
      <c r="M39" s="156" t="n"/>
      <c r="N39" s="156" t="n"/>
      <c r="O39" s="156" t="n"/>
    </row>
    <row r="40" ht="18.75" customHeight="1" s="153">
      <c r="A40" s="227" t="n"/>
      <c r="B40" s="228" t="inlineStr">
        <is>
          <t>SAN JUAN 1963</t>
        </is>
      </c>
      <c r="C40" s="229" t="n"/>
      <c r="D40" s="229" t="n"/>
      <c r="E40" s="229" t="n">
        <v>1</v>
      </c>
      <c r="F40" s="230" t="n"/>
      <c r="G40" s="230" t="n"/>
      <c r="H40" s="257" t="n">
        <v>91000</v>
      </c>
      <c r="I40" s="258" t="n"/>
      <c r="J40" s="258" t="n">
        <v>91000</v>
      </c>
      <c r="K40" s="233" t="n"/>
      <c r="L40" s="233">
        <f>IF(K40&lt;&gt;"",31000+K40,31000)</f>
        <v/>
      </c>
      <c r="M40" s="156" t="n"/>
      <c r="N40" s="156" t="n"/>
      <c r="O40" s="156" t="n"/>
    </row>
    <row r="41" ht="18.75" customHeight="1" s="153">
      <c r="A41" s="237" t="n"/>
      <c r="B41" s="238" t="inlineStr">
        <is>
          <t>URQUIZA 9309</t>
        </is>
      </c>
      <c r="C41" s="239" t="n">
        <v>3</v>
      </c>
      <c r="D41" s="239" t="n">
        <v>1</v>
      </c>
      <c r="E41" s="239" t="n"/>
      <c r="F41" s="240" t="n"/>
      <c r="G41" s="240" t="n"/>
      <c r="H41" s="259" t="n">
        <v>88000</v>
      </c>
      <c r="I41" s="260" t="n"/>
      <c r="J41" s="260" t="n">
        <v>88000</v>
      </c>
      <c r="K41" s="233" t="n"/>
      <c r="L41" s="233">
        <f>IF(K41&lt;&gt;"",20500+K41,20500)</f>
        <v/>
      </c>
      <c r="M41" s="156" t="n"/>
      <c r="N41" s="156" t="n"/>
      <c r="O41" s="156" t="n"/>
    </row>
    <row r="42" ht="18.75" customHeight="1" s="153">
      <c r="A42" s="227" t="n"/>
      <c r="B42" s="228" t="inlineStr">
        <is>
          <t>MISIONES 4693</t>
        </is>
      </c>
      <c r="C42" s="229" t="n"/>
      <c r="D42" s="229" t="n"/>
      <c r="E42" s="229" t="n">
        <v>1</v>
      </c>
      <c r="F42" s="230" t="n"/>
      <c r="G42" s="230" t="n"/>
      <c r="H42" s="257" t="n">
        <v>91000</v>
      </c>
      <c r="I42" s="258" t="n"/>
      <c r="J42" s="258" t="n">
        <v>91000</v>
      </c>
      <c r="K42" s="233" t="n"/>
      <c r="L42" s="233">
        <f>IF(K42&lt;&gt;"",31000+K42,31000)</f>
        <v/>
      </c>
      <c r="M42" s="156" t="n"/>
      <c r="N42" s="156" t="n"/>
      <c r="O42" s="156" t="n"/>
    </row>
    <row r="43" ht="18.75" customHeight="1" s="153">
      <c r="A43" s="237" t="n"/>
      <c r="B43" s="238" t="inlineStr">
        <is>
          <t>FILOMENA</t>
        </is>
      </c>
      <c r="C43" s="239" t="n">
        <v>2</v>
      </c>
      <c r="D43" s="239" t="n"/>
      <c r="E43" s="239" t="n"/>
      <c r="F43" s="240" t="n"/>
      <c r="G43" s="240" t="n"/>
      <c r="H43" s="259" t="n">
        <v>46000</v>
      </c>
      <c r="I43" s="260" t="n"/>
      <c r="J43" s="260" t="n">
        <v>46000</v>
      </c>
      <c r="K43" s="233" t="n"/>
      <c r="L43" s="233">
        <f>IF(K43&lt;&gt;"",16000+K43,16000)</f>
        <v/>
      </c>
      <c r="M43" s="156" t="n"/>
      <c r="N43" s="156" t="n"/>
      <c r="O43" s="156" t="n"/>
    </row>
    <row r="44" ht="18.75" customHeight="1" s="153">
      <c r="A44" s="227" t="n"/>
      <c r="B44" s="228" t="inlineStr">
        <is>
          <t>PANA VIEYTES GISELA</t>
        </is>
      </c>
      <c r="C44" s="229" t="n">
        <v>2</v>
      </c>
      <c r="D44" s="229" t="n"/>
      <c r="E44" s="229" t="n"/>
      <c r="F44" s="230" t="n"/>
      <c r="G44" s="230" t="n"/>
      <c r="H44" s="257" t="n">
        <v>44000</v>
      </c>
      <c r="I44" s="258" t="n"/>
      <c r="J44" s="258" t="n">
        <v>44000</v>
      </c>
      <c r="K44" s="233" t="n"/>
      <c r="L44" s="233">
        <f>IF(K44&lt;&gt;"",14000+K44,14000)</f>
        <v/>
      </c>
      <c r="M44" s="156" t="n"/>
      <c r="N44" s="156" t="n"/>
      <c r="O44" s="156" t="n"/>
    </row>
    <row r="45" ht="18.75" customHeight="1" s="153">
      <c r="A45" s="237" t="n"/>
      <c r="B45" s="238" t="inlineStr">
        <is>
          <t>SABOREAR</t>
        </is>
      </c>
      <c r="C45" s="239" t="n">
        <v>1</v>
      </c>
      <c r="D45" s="239" t="n"/>
      <c r="E45" s="239" t="n"/>
      <c r="F45" s="240" t="n"/>
      <c r="G45" s="240" t="n"/>
      <c r="H45" s="259" t="n">
        <v>22500</v>
      </c>
      <c r="I45" s="260" t="n"/>
      <c r="J45" s="260" t="n">
        <v>22500</v>
      </c>
      <c r="K45" s="233" t="n"/>
      <c r="L45" s="233">
        <f>IF(K45&lt;&gt;"",7500+K45,7500)</f>
        <v/>
      </c>
      <c r="M45" s="156" t="n"/>
      <c r="N45" s="156" t="n"/>
      <c r="O45" s="156" t="n"/>
    </row>
    <row r="46" ht="18.75" customHeight="1" s="153">
      <c r="A46" s="227" t="n"/>
      <c r="B46" s="228" t="inlineStr">
        <is>
          <t>PAVON 4712</t>
        </is>
      </c>
      <c r="C46" s="229" t="n">
        <v>1</v>
      </c>
      <c r="D46" s="229" t="n"/>
      <c r="E46" s="229" t="n"/>
      <c r="F46" s="230" t="n"/>
      <c r="G46" s="230" t="n"/>
      <c r="H46" s="257" t="n">
        <v>26000</v>
      </c>
      <c r="I46" s="258" t="n"/>
      <c r="J46" s="258" t="n">
        <v>26000</v>
      </c>
      <c r="K46" s="233" t="n"/>
      <c r="L46" s="233">
        <f>IF(K46&lt;&gt;"",11000+K46,11000)</f>
        <v/>
      </c>
      <c r="M46" s="156" t="n"/>
      <c r="N46" s="156" t="n"/>
      <c r="O46" s="156" t="n"/>
    </row>
    <row r="47" ht="18.75" customHeight="1" s="153">
      <c r="A47" s="237" t="n"/>
      <c r="B47" s="238" t="inlineStr">
        <is>
          <t>LAVADERO</t>
        </is>
      </c>
      <c r="C47" s="239" t="n">
        <v>2</v>
      </c>
      <c r="D47" s="239" t="n"/>
      <c r="E47" s="239" t="n"/>
      <c r="F47" s="240" t="n"/>
      <c r="G47" s="240" t="n"/>
      <c r="H47" s="259" t="n">
        <v>38000</v>
      </c>
      <c r="I47" s="260" t="n">
        <v>38000</v>
      </c>
      <c r="J47" s="260" t="n"/>
      <c r="K47" s="233" t="n"/>
      <c r="L47" s="233">
        <f>IF(K47&lt;&gt;"",8000+K47,8000)</f>
        <v/>
      </c>
      <c r="M47" s="156" t="n"/>
      <c r="N47" s="156" t="n"/>
      <c r="O47" s="156" t="n"/>
    </row>
    <row r="48" ht="18.75" customHeight="1" s="153">
      <c r="A48" s="227" t="n">
        <v>46145</v>
      </c>
      <c r="B48" s="228" t="inlineStr">
        <is>
          <t>PEDRONI 6704</t>
        </is>
      </c>
      <c r="C48" s="229" t="n"/>
      <c r="D48" s="229" t="n"/>
      <c r="E48" s="229" t="n">
        <v>1</v>
      </c>
      <c r="F48" s="230" t="n"/>
      <c r="G48" s="230" t="n"/>
      <c r="H48" s="257" t="n">
        <v>90000</v>
      </c>
      <c r="I48" s="258" t="n">
        <v>90000</v>
      </c>
      <c r="J48" s="258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inlineStr">
        <is>
          <t>CÓRDOBA 2753</t>
        </is>
      </c>
      <c r="C49" s="229" t="n"/>
      <c r="D49" s="229" t="n"/>
      <c r="E49" s="229" t="n">
        <v>1</v>
      </c>
      <c r="F49" s="230" t="n"/>
      <c r="G49" s="230" t="n"/>
      <c r="H49" s="257" t="n">
        <v>91000</v>
      </c>
      <c r="I49" s="258" t="n">
        <v>91000</v>
      </c>
      <c r="J49" s="258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27" t="n"/>
      <c r="B50" s="228" t="inlineStr">
        <is>
          <t>AYACUCHO 5644</t>
        </is>
      </c>
      <c r="C50" s="229" t="n"/>
      <c r="D50" s="229" t="n"/>
      <c r="E50" s="229" t="n">
        <v>1</v>
      </c>
      <c r="F50" s="230" t="n"/>
      <c r="G50" s="230" t="n"/>
      <c r="H50" s="257" t="n">
        <v>91000</v>
      </c>
      <c r="I50" s="258" t="n"/>
      <c r="J50" s="258" t="n">
        <v>91000</v>
      </c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inlineStr">
        <is>
          <t>DOMINGO SILVA 4217</t>
        </is>
      </c>
      <c r="C51" s="229" t="n">
        <v>2</v>
      </c>
      <c r="D51" s="229" t="n"/>
      <c r="E51" s="229" t="n"/>
      <c r="F51" s="230" t="n"/>
      <c r="G51" s="230" t="n"/>
      <c r="H51" s="257" t="n">
        <v>38000</v>
      </c>
      <c r="I51" s="258" t="n">
        <v>38000</v>
      </c>
      <c r="J51" s="258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27" t="n"/>
      <c r="B52" s="228" t="inlineStr">
        <is>
          <t>JOSÉ 6529</t>
        </is>
      </c>
      <c r="C52" s="229" t="n"/>
      <c r="D52" s="229" t="n"/>
      <c r="E52" s="229" t="n">
        <v>1</v>
      </c>
      <c r="F52" s="230" t="n"/>
      <c r="G52" s="230" t="n"/>
      <c r="H52" s="257" t="n">
        <v>95000</v>
      </c>
      <c r="I52" s="258" t="n"/>
      <c r="J52" s="258" t="n">
        <v>95000</v>
      </c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inlineStr">
        <is>
          <t>PORKIS</t>
        </is>
      </c>
      <c r="C53" s="229" t="n">
        <v>1</v>
      </c>
      <c r="D53" s="229" t="n"/>
      <c r="E53" s="229" t="n"/>
      <c r="F53" s="230" t="n"/>
      <c r="G53" s="230" t="n"/>
      <c r="H53" s="257" t="n">
        <v>23000</v>
      </c>
      <c r="I53" s="258" t="n"/>
      <c r="J53" s="258" t="n">
        <v>23000</v>
      </c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27" t="n"/>
      <c r="B54" s="228" t="inlineStr">
        <is>
          <t>LUCHO</t>
        </is>
      </c>
      <c r="C54" s="229" t="n">
        <v>1</v>
      </c>
      <c r="D54" s="229" t="n">
        <v>1</v>
      </c>
      <c r="E54" s="229" t="n"/>
      <c r="F54" s="230" t="n"/>
      <c r="G54" s="230" t="n"/>
      <c r="H54" s="257" t="n">
        <v>47500</v>
      </c>
      <c r="I54" s="258" t="n"/>
      <c r="J54" s="258" t="n">
        <v>47500</v>
      </c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inlineStr">
        <is>
          <t>SERVANDO 6858</t>
        </is>
      </c>
      <c r="C55" s="229" t="n"/>
      <c r="D55" s="229" t="n"/>
      <c r="E55" s="229" t="n">
        <v>1</v>
      </c>
      <c r="F55" s="230" t="n"/>
      <c r="G55" s="230" t="n"/>
      <c r="H55" s="257" t="n">
        <v>91000</v>
      </c>
      <c r="I55" s="258" t="n">
        <v>91000</v>
      </c>
      <c r="J55" s="258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27" t="n"/>
      <c r="B56" s="228" t="inlineStr">
        <is>
          <t>QUINTANA 1868</t>
        </is>
      </c>
      <c r="C56" s="229" t="n">
        <v>1</v>
      </c>
      <c r="D56" s="229" t="n"/>
      <c r="E56" s="229" t="n"/>
      <c r="F56" s="230" t="n"/>
      <c r="G56" s="230" t="n"/>
      <c r="H56" s="257" t="n">
        <v>27000</v>
      </c>
      <c r="I56" s="258" t="n">
        <v>27000</v>
      </c>
      <c r="J56" s="258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inlineStr">
        <is>
          <t>SANTA CRUZ 3051</t>
        </is>
      </c>
      <c r="C57" s="229" t="n"/>
      <c r="D57" s="229" t="n"/>
      <c r="E57" s="229" t="n">
        <v>1</v>
      </c>
      <c r="F57" s="230" t="n"/>
      <c r="G57" s="230" t="n"/>
      <c r="H57" s="257" t="n">
        <v>78000</v>
      </c>
      <c r="I57" s="258" t="n">
        <v>78000</v>
      </c>
      <c r="J57" s="258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27" t="n"/>
      <c r="B58" s="228" t="inlineStr">
        <is>
          <t>GABOTO 8168</t>
        </is>
      </c>
      <c r="C58" s="229" t="n"/>
      <c r="D58" s="229" t="n"/>
      <c r="E58" s="229" t="n">
        <v>1</v>
      </c>
      <c r="F58" s="230" t="n"/>
      <c r="G58" s="230" t="n"/>
      <c r="H58" s="257" t="n">
        <v>91000</v>
      </c>
      <c r="I58" s="258" t="n">
        <v>91000</v>
      </c>
      <c r="J58" s="258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inlineStr">
        <is>
          <t>DUCHO</t>
        </is>
      </c>
      <c r="C59" s="229" t="n">
        <v>1</v>
      </c>
      <c r="D59" s="229" t="n"/>
      <c r="E59" s="229" t="n"/>
      <c r="F59" s="230" t="n"/>
      <c r="G59" s="230" t="n"/>
      <c r="H59" s="257" t="n">
        <v>19000</v>
      </c>
      <c r="I59" s="258" t="n"/>
      <c r="J59" s="258" t="n">
        <v>19000</v>
      </c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27" t="n"/>
      <c r="B60" s="228" t="inlineStr">
        <is>
          <t>50 Y 23</t>
        </is>
      </c>
      <c r="C60" s="229" t="n">
        <v>3</v>
      </c>
      <c r="D60" s="229" t="n"/>
      <c r="E60" s="229" t="n"/>
      <c r="F60" s="230" t="n"/>
      <c r="G60" s="230" t="n"/>
      <c r="H60" s="257" t="n">
        <v>57000</v>
      </c>
      <c r="I60" s="258" t="n">
        <v>57000</v>
      </c>
      <c r="J60" s="258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inlineStr">
        <is>
          <t>9 DE JULIO 1356</t>
        </is>
      </c>
      <c r="C61" s="229" t="n">
        <v>1</v>
      </c>
      <c r="D61" s="229" t="n"/>
      <c r="E61" s="229" t="n"/>
      <c r="F61" s="230" t="n"/>
      <c r="G61" s="230" t="n"/>
      <c r="H61" s="257" t="n">
        <v>27000</v>
      </c>
      <c r="I61" s="258" t="n">
        <v>27000</v>
      </c>
      <c r="J61" s="258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27" t="n"/>
      <c r="B62" s="228" t="inlineStr">
        <is>
          <t>AVELLANEDA 4448</t>
        </is>
      </c>
      <c r="C62" s="229" t="n"/>
      <c r="D62" s="229" t="n"/>
      <c r="E62" s="229" t="n">
        <v>1</v>
      </c>
      <c r="F62" s="230" t="n"/>
      <c r="G62" s="230" t="n"/>
      <c r="H62" s="257" t="n">
        <v>87000</v>
      </c>
      <c r="I62" s="258" t="n"/>
      <c r="J62" s="258" t="n">
        <v>87000</v>
      </c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inlineStr">
        <is>
          <t>AZOPARDO 6965</t>
        </is>
      </c>
      <c r="C63" s="229" t="n"/>
      <c r="D63" s="229" t="n"/>
      <c r="E63" s="229" t="n">
        <v>1</v>
      </c>
      <c r="F63" s="230" t="n"/>
      <c r="G63" s="230" t="n"/>
      <c r="H63" s="257" t="n">
        <v>91000</v>
      </c>
      <c r="I63" s="258" t="n"/>
      <c r="J63" s="258" t="n">
        <v>91000</v>
      </c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27" t="n"/>
      <c r="B64" s="228" t="inlineStr">
        <is>
          <t>EXE</t>
        </is>
      </c>
      <c r="C64" s="229" t="n"/>
      <c r="D64" s="229" t="n"/>
      <c r="E64" s="229" t="n">
        <v>1</v>
      </c>
      <c r="F64" s="230" t="n"/>
      <c r="G64" s="230" t="n"/>
      <c r="H64" s="257" t="n">
        <v>82000</v>
      </c>
      <c r="I64" s="258" t="n"/>
      <c r="J64" s="258" t="n">
        <v>82000</v>
      </c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inlineStr">
        <is>
          <t>CAREN</t>
        </is>
      </c>
      <c r="C65" s="229" t="n"/>
      <c r="D65" s="229" t="n"/>
      <c r="E65" s="229" t="n">
        <v>1</v>
      </c>
      <c r="F65" s="230" t="n"/>
      <c r="G65" s="230" t="n"/>
      <c r="H65" s="257" t="n">
        <v>82000</v>
      </c>
      <c r="I65" s="258" t="n"/>
      <c r="J65" s="258" t="n">
        <v>82000</v>
      </c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27" t="n"/>
      <c r="B66" s="228" t="inlineStr">
        <is>
          <t>DANA</t>
        </is>
      </c>
      <c r="C66" s="229" t="n">
        <v>4</v>
      </c>
      <c r="D66" s="229" t="n"/>
      <c r="E66" s="229" t="n"/>
      <c r="F66" s="230" t="n"/>
      <c r="G66" s="230" t="n"/>
      <c r="H66" s="257" t="n">
        <v>76000</v>
      </c>
      <c r="I66" s="258" t="n"/>
      <c r="J66" s="258" t="n">
        <v>76000</v>
      </c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>
        <v>46146</v>
      </c>
      <c r="B67" s="228" t="inlineStr">
        <is>
          <t>JORGE VIANDAS</t>
        </is>
      </c>
      <c r="C67" s="229" t="n">
        <v>1</v>
      </c>
      <c r="D67" s="229" t="n"/>
      <c r="E67" s="229" t="n"/>
      <c r="F67" s="230" t="n"/>
      <c r="G67" s="230" t="n"/>
      <c r="H67" s="257" t="n">
        <v>22000</v>
      </c>
      <c r="I67" s="258" t="n"/>
      <c r="J67" s="258" t="n">
        <v>22000</v>
      </c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27" t="n"/>
      <c r="B68" s="228" t="inlineStr">
        <is>
          <t>OTNIEL</t>
        </is>
      </c>
      <c r="C68" s="229" t="n"/>
      <c r="D68" s="229" t="n"/>
      <c r="E68" s="229" t="n"/>
      <c r="F68" s="230" t="n">
        <v>20</v>
      </c>
      <c r="G68" s="230" t="n"/>
      <c r="H68" s="257" t="n">
        <v>69000</v>
      </c>
      <c r="I68" s="258" t="n">
        <v>69000</v>
      </c>
      <c r="J68" s="258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inlineStr">
        <is>
          <t>FLORES 1 MOLINA</t>
        </is>
      </c>
      <c r="C69" s="229" t="n"/>
      <c r="D69" s="229" t="n"/>
      <c r="E69" s="229" t="n">
        <v>1</v>
      </c>
      <c r="F69" s="230" t="n"/>
      <c r="G69" s="230" t="n"/>
      <c r="H69" s="257" t="n">
        <v>91000</v>
      </c>
      <c r="I69" s="258" t="n">
        <v>91000</v>
      </c>
      <c r="J69" s="258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27" t="n"/>
      <c r="B70" s="228" t="inlineStr">
        <is>
          <t>BAGUETTE</t>
        </is>
      </c>
      <c r="C70" s="229" t="n"/>
      <c r="D70" s="229" t="n"/>
      <c r="E70" s="229" t="n">
        <v>1</v>
      </c>
      <c r="F70" s="230" t="n"/>
      <c r="G70" s="230" t="n"/>
      <c r="H70" s="257" t="n">
        <v>75000</v>
      </c>
      <c r="I70" s="258" t="n"/>
      <c r="J70" s="258" t="n">
        <v>75000</v>
      </c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inlineStr">
        <is>
          <t>JM ZUVIRIA 3439</t>
        </is>
      </c>
      <c r="C71" s="229" t="n">
        <v>1</v>
      </c>
      <c r="D71" s="229" t="n"/>
      <c r="E71" s="229" t="n"/>
      <c r="F71" s="230" t="n"/>
      <c r="G71" s="230" t="n"/>
      <c r="H71" s="257" t="n">
        <v>26000</v>
      </c>
      <c r="I71" s="258" t="n">
        <v>26000</v>
      </c>
      <c r="J71" s="258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27" t="n"/>
      <c r="B72" s="228" t="inlineStr">
        <is>
          <t>PEDRONI 6521</t>
        </is>
      </c>
      <c r="C72" s="229" t="n">
        <v>2</v>
      </c>
      <c r="D72" s="229" t="n"/>
      <c r="E72" s="229" t="n"/>
      <c r="F72" s="230" t="n"/>
      <c r="G72" s="230" t="n"/>
      <c r="H72" s="257" t="n">
        <v>39000</v>
      </c>
      <c r="I72" s="258" t="n">
        <v>39000</v>
      </c>
      <c r="J72" s="258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inlineStr">
        <is>
          <t>GUANELLA 4543</t>
        </is>
      </c>
      <c r="C73" s="229" t="n">
        <v>1</v>
      </c>
      <c r="D73" s="229" t="n"/>
      <c r="E73" s="229" t="n"/>
      <c r="F73" s="230" t="n"/>
      <c r="G73" s="230" t="n"/>
      <c r="H73" s="257" t="n">
        <v>25000</v>
      </c>
      <c r="I73" s="258" t="n"/>
      <c r="J73" s="258" t="n">
        <v>25000</v>
      </c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27" t="n"/>
      <c r="B74" s="228" t="inlineStr">
        <is>
          <t>BERUTI 4075</t>
        </is>
      </c>
      <c r="C74" s="229" t="n"/>
      <c r="D74" s="229" t="n"/>
      <c r="E74" s="229" t="n">
        <v>2</v>
      </c>
      <c r="F74" s="230" t="n"/>
      <c r="G74" s="230" t="n"/>
      <c r="H74" s="257" t="n">
        <v>182000</v>
      </c>
      <c r="I74" s="258" t="n"/>
      <c r="J74" s="258" t="n">
        <v>182000</v>
      </c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inlineStr">
        <is>
          <t>ROTI VIEYTES</t>
        </is>
      </c>
      <c r="C75" s="229" t="n"/>
      <c r="D75" s="229" t="n">
        <v>2</v>
      </c>
      <c r="E75" s="229" t="n"/>
      <c r="F75" s="230" t="n"/>
      <c r="G75" s="230" t="n"/>
      <c r="H75" s="257" t="n">
        <v>61000</v>
      </c>
      <c r="I75" s="258" t="n"/>
      <c r="J75" s="258" t="n">
        <v>61000</v>
      </c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27" t="n"/>
      <c r="B76" s="228" t="inlineStr">
        <is>
          <t>DAVID LEIVA Y ALBERTO</t>
        </is>
      </c>
      <c r="C76" s="229" t="n">
        <v>1</v>
      </c>
      <c r="D76" s="229" t="n"/>
      <c r="E76" s="229" t="n"/>
      <c r="F76" s="230" t="n"/>
      <c r="G76" s="230" t="n"/>
      <c r="H76" s="257" t="n">
        <v>25000</v>
      </c>
      <c r="I76" s="258" t="n">
        <v>25000</v>
      </c>
      <c r="J76" s="258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inlineStr">
        <is>
          <t>SAN MARTÍN 6376</t>
        </is>
      </c>
      <c r="C77" s="229" t="n">
        <v>1</v>
      </c>
      <c r="D77" s="229" t="n"/>
      <c r="E77" s="229" t="n"/>
      <c r="F77" s="230" t="n"/>
      <c r="G77" s="230" t="n"/>
      <c r="H77" s="257" t="n">
        <v>26000</v>
      </c>
      <c r="I77" s="258" t="n"/>
      <c r="J77" s="258" t="n">
        <v>26000</v>
      </c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27" t="n"/>
      <c r="B78" s="228" t="inlineStr">
        <is>
          <t>DRUGSTORE LODENICO</t>
        </is>
      </c>
      <c r="C78" s="229" t="n">
        <v>3</v>
      </c>
      <c r="D78" s="229" t="n"/>
      <c r="E78" s="229" t="n"/>
      <c r="F78" s="230" t="n"/>
      <c r="G78" s="230" t="n"/>
      <c r="H78" s="257" t="n">
        <v>58500</v>
      </c>
      <c r="I78" s="258" t="n"/>
      <c r="J78" s="258" t="n">
        <v>58500</v>
      </c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inlineStr">
        <is>
          <t>NECOCHEA 7314</t>
        </is>
      </c>
      <c r="C79" s="229" t="n"/>
      <c r="D79" s="229" t="n"/>
      <c r="E79" s="229" t="n">
        <v>1</v>
      </c>
      <c r="F79" s="230" t="n"/>
      <c r="G79" s="230" t="n"/>
      <c r="H79" s="257" t="n">
        <v>91000</v>
      </c>
      <c r="I79" s="258" t="n"/>
      <c r="J79" s="258" t="n">
        <v>91000</v>
      </c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27" t="n"/>
      <c r="B80" s="228" t="inlineStr">
        <is>
          <t>EX COMBATIENTES 5500</t>
        </is>
      </c>
      <c r="C80" s="229" t="n">
        <v>1</v>
      </c>
      <c r="D80" s="229" t="n"/>
      <c r="E80" s="229" t="n"/>
      <c r="F80" s="230" t="n"/>
      <c r="G80" s="230" t="n"/>
      <c r="H80" s="257" t="n">
        <v>27000</v>
      </c>
      <c r="I80" s="258" t="n">
        <v>27000</v>
      </c>
      <c r="J80" s="258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inlineStr">
        <is>
          <t>FILOMENA</t>
        </is>
      </c>
      <c r="C81" s="229" t="n">
        <v>2</v>
      </c>
      <c r="D81" s="229" t="n"/>
      <c r="E81" s="229" t="n"/>
      <c r="F81" s="230" t="n"/>
      <c r="G81" s="230" t="n"/>
      <c r="H81" s="257" t="n">
        <v>46000</v>
      </c>
      <c r="I81" s="258" t="n"/>
      <c r="J81" s="258" t="n">
        <v>46000</v>
      </c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27" t="n"/>
      <c r="B82" s="228" t="inlineStr">
        <is>
          <t>EX COMBATIENTES 5400</t>
        </is>
      </c>
      <c r="C82" s="229" t="n">
        <v>1</v>
      </c>
      <c r="D82" s="229" t="n"/>
      <c r="E82" s="229" t="n"/>
      <c r="F82" s="230" t="n"/>
      <c r="G82" s="230" t="n"/>
      <c r="H82" s="257" t="n">
        <v>25000</v>
      </c>
      <c r="I82" s="258" t="n"/>
      <c r="J82" s="258" t="n">
        <v>25000</v>
      </c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inlineStr">
        <is>
          <t>ÁNGEL</t>
        </is>
      </c>
      <c r="C83" s="229" t="n"/>
      <c r="D83" s="229" t="n">
        <v>1</v>
      </c>
      <c r="E83" s="229" t="n"/>
      <c r="F83" s="230" t="n"/>
      <c r="G83" s="230" t="n"/>
      <c r="H83" s="257" t="n">
        <v>28500</v>
      </c>
      <c r="I83" s="258" t="n">
        <v>28500</v>
      </c>
      <c r="J83" s="258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27" t="n"/>
      <c r="B84" s="228" t="inlineStr">
        <is>
          <t>ALMONACID 4248</t>
        </is>
      </c>
      <c r="C84" s="229" t="n">
        <v>1</v>
      </c>
      <c r="D84" s="229" t="n"/>
      <c r="E84" s="229" t="n"/>
      <c r="F84" s="230" t="n"/>
      <c r="G84" s="230" t="n"/>
      <c r="H84" s="257" t="n">
        <v>26000</v>
      </c>
      <c r="I84" s="258" t="n"/>
      <c r="J84" s="258" t="n">
        <v>26000</v>
      </c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inlineStr">
        <is>
          <t>SANDRA</t>
        </is>
      </c>
      <c r="C85" s="229" t="n">
        <v>2</v>
      </c>
      <c r="D85" s="229" t="n"/>
      <c r="E85" s="229" t="n"/>
      <c r="F85" s="230" t="n"/>
      <c r="G85" s="230" t="n"/>
      <c r="H85" s="257" t="n">
        <v>38000</v>
      </c>
      <c r="I85" s="258" t="n">
        <v>38000</v>
      </c>
      <c r="J85" s="258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27" t="n"/>
      <c r="B86" s="228" t="inlineStr">
        <is>
          <t>JULIO ALBERTI</t>
        </is>
      </c>
      <c r="C86" s="229" t="n"/>
      <c r="D86" s="229" t="n"/>
      <c r="E86" s="229" t="n">
        <v>1</v>
      </c>
      <c r="F86" s="230" t="n"/>
      <c r="G86" s="230" t="n"/>
      <c r="H86" s="257" t="n">
        <v>95000</v>
      </c>
      <c r="I86" s="258" t="n">
        <v>95000</v>
      </c>
      <c r="J86" s="258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>
        <v>46147</v>
      </c>
      <c r="B87" s="228" t="inlineStr">
        <is>
          <t>LUCIANO TORRENT 2027</t>
        </is>
      </c>
      <c r="C87" s="229" t="n">
        <v>1</v>
      </c>
      <c r="D87" s="229" t="n"/>
      <c r="E87" s="229" t="n"/>
      <c r="F87" s="230" t="n"/>
      <c r="G87" s="230" t="n"/>
      <c r="H87" s="257" t="n">
        <v>27000</v>
      </c>
      <c r="I87" s="258" t="n">
        <v>27000</v>
      </c>
      <c r="J87" s="258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27" t="n"/>
      <c r="B88" s="228" t="inlineStr">
        <is>
          <t>AVENIDA FREIRE 3151</t>
        </is>
      </c>
      <c r="C88" s="229" t="n">
        <v>1</v>
      </c>
      <c r="D88" s="229" t="n"/>
      <c r="E88" s="229" t="n"/>
      <c r="F88" s="230" t="n"/>
      <c r="G88" s="230" t="n"/>
      <c r="H88" s="257" t="n">
        <v>27000</v>
      </c>
      <c r="I88" s="258" t="n">
        <v>27000</v>
      </c>
      <c r="J88" s="258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inlineStr">
        <is>
          <t>NAMUNCURA 4436</t>
        </is>
      </c>
      <c r="C89" s="229" t="n"/>
      <c r="D89" s="229" t="n"/>
      <c r="E89" s="229" t="n">
        <v>1</v>
      </c>
      <c r="F89" s="230" t="n"/>
      <c r="G89" s="230" t="n"/>
      <c r="H89" s="257" t="n">
        <v>89000</v>
      </c>
      <c r="I89" s="258" t="n"/>
      <c r="J89" s="258" t="n">
        <v>89000</v>
      </c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27" t="n">
        <v>46148</v>
      </c>
      <c r="B90" s="228" t="inlineStr">
        <is>
          <t>SUPERCERATO</t>
        </is>
      </c>
      <c r="C90" s="229" t="n">
        <v>1</v>
      </c>
      <c r="D90" s="229" t="n"/>
      <c r="E90" s="229" t="n"/>
      <c r="F90" s="230" t="n"/>
      <c r="G90" s="230" t="n"/>
      <c r="H90" s="257" t="n">
        <v>25000</v>
      </c>
      <c r="I90" s="258" t="n"/>
      <c r="J90" s="258" t="n">
        <v>25000</v>
      </c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inlineStr">
        <is>
          <t>ESPORA 4874</t>
        </is>
      </c>
      <c r="C91" s="229" t="n"/>
      <c r="D91" s="229" t="n">
        <v>1</v>
      </c>
      <c r="E91" s="229" t="n"/>
      <c r="F91" s="230" t="n"/>
      <c r="G91" s="230" t="n"/>
      <c r="H91" s="257" t="n">
        <v>43000</v>
      </c>
      <c r="I91" s="258" t="n"/>
      <c r="J91" s="258" t="n">
        <v>43000</v>
      </c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27" t="n"/>
      <c r="B92" s="228" t="inlineStr">
        <is>
          <t>CHICLANA 7325</t>
        </is>
      </c>
      <c r="C92" s="229" t="n">
        <v>1</v>
      </c>
      <c r="D92" s="229" t="n"/>
      <c r="E92" s="229" t="n"/>
      <c r="F92" s="230" t="n"/>
      <c r="G92" s="230" t="n"/>
      <c r="H92" s="257" t="n">
        <v>19000</v>
      </c>
      <c r="I92" s="258" t="n"/>
      <c r="J92" s="258" t="n">
        <v>19000</v>
      </c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inlineStr">
        <is>
          <t>BAIGORRIA 9351</t>
        </is>
      </c>
      <c r="C93" s="229" t="n"/>
      <c r="D93" s="229" t="n"/>
      <c r="E93" s="229" t="n">
        <v>1</v>
      </c>
      <c r="F93" s="230" t="n"/>
      <c r="G93" s="230" t="n"/>
      <c r="H93" s="257" t="n">
        <v>95000</v>
      </c>
      <c r="I93" s="258" t="n">
        <v>95000</v>
      </c>
      <c r="J93" s="258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27" t="n"/>
      <c r="B94" s="228" t="inlineStr">
        <is>
          <t>ZAVALLA 6577</t>
        </is>
      </c>
      <c r="C94" s="229" t="n">
        <v>1</v>
      </c>
      <c r="D94" s="229" t="n"/>
      <c r="E94" s="229" t="n"/>
      <c r="F94" s="230" t="n"/>
      <c r="G94" s="230" t="n"/>
      <c r="H94" s="257" t="n">
        <v>26000</v>
      </c>
      <c r="I94" s="258" t="n">
        <v>26000</v>
      </c>
      <c r="J94" s="258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inlineStr">
        <is>
          <t>ROTI ARISTÓBULO</t>
        </is>
      </c>
      <c r="C95" s="229" t="n"/>
      <c r="D95" s="229" t="n">
        <v>1</v>
      </c>
      <c r="E95" s="229" t="n"/>
      <c r="F95" s="230" t="n"/>
      <c r="G95" s="230" t="n"/>
      <c r="H95" s="257" t="n">
        <v>33500</v>
      </c>
      <c r="I95" s="258" t="n"/>
      <c r="J95" s="258" t="n">
        <v>33500</v>
      </c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27" t="n"/>
      <c r="B96" s="228" t="inlineStr">
        <is>
          <t>GENERAL PAZ 7826</t>
        </is>
      </c>
      <c r="C96" s="229" t="n">
        <v>2</v>
      </c>
      <c r="D96" s="229" t="n"/>
      <c r="E96" s="229" t="n"/>
      <c r="F96" s="230" t="n"/>
      <c r="G96" s="230" t="n"/>
      <c r="H96" s="257" t="n">
        <v>52000</v>
      </c>
      <c r="I96" s="258" t="n">
        <v>52000</v>
      </c>
      <c r="J96" s="258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inlineStr">
        <is>
          <t>LEMANN 7856</t>
        </is>
      </c>
      <c r="C97" s="229" t="n">
        <v>1</v>
      </c>
      <c r="D97" s="229" t="n"/>
      <c r="E97" s="229" t="n"/>
      <c r="F97" s="230" t="n"/>
      <c r="G97" s="230" t="n"/>
      <c r="H97" s="257" t="n">
        <v>26000</v>
      </c>
      <c r="I97" s="258" t="n"/>
      <c r="J97" s="258" t="n">
        <v>26000</v>
      </c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27" t="n"/>
      <c r="B98" s="228" t="inlineStr">
        <is>
          <t>CASTAÑADUI 6601</t>
        </is>
      </c>
      <c r="C98" s="229" t="n">
        <v>1</v>
      </c>
      <c r="D98" s="229" t="n"/>
      <c r="E98" s="229" t="n"/>
      <c r="F98" s="230" t="n"/>
      <c r="G98" s="230" t="n"/>
      <c r="H98" s="257" t="n">
        <v>26000</v>
      </c>
      <c r="I98" s="258" t="n">
        <v>26000</v>
      </c>
      <c r="J98" s="258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inlineStr">
        <is>
          <t>LAS HERAS 6714</t>
        </is>
      </c>
      <c r="C99" s="229" t="n">
        <v>1</v>
      </c>
      <c r="D99" s="229" t="n"/>
      <c r="E99" s="229" t="n"/>
      <c r="F99" s="230" t="n"/>
      <c r="G99" s="230" t="n"/>
      <c r="H99" s="257" t="n">
        <v>25000</v>
      </c>
      <c r="I99" s="258" t="n"/>
      <c r="J99" s="258" t="n">
        <v>25000</v>
      </c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27" t="n"/>
      <c r="B100" s="228" t="inlineStr">
        <is>
          <t>PANA VIEYTES 4500</t>
        </is>
      </c>
      <c r="C100" s="229" t="n"/>
      <c r="D100" s="229" t="n"/>
      <c r="E100" s="229" t="n">
        <v>1</v>
      </c>
      <c r="F100" s="230" t="n"/>
      <c r="G100" s="230" t="n"/>
      <c r="H100" s="257" t="n">
        <v>78000</v>
      </c>
      <c r="I100" s="258" t="n">
        <v>78000</v>
      </c>
      <c r="J100" s="258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inlineStr">
        <is>
          <t>ASCUÉNAGA 5023</t>
        </is>
      </c>
      <c r="C101" s="229" t="n">
        <v>3</v>
      </c>
      <c r="D101" s="229" t="n">
        <v>1</v>
      </c>
      <c r="E101" s="229" t="n"/>
      <c r="F101" s="230" t="n"/>
      <c r="G101" s="230" t="n"/>
      <c r="H101" s="257" t="n">
        <v>85500</v>
      </c>
      <c r="I101" s="258" t="n"/>
      <c r="J101" s="258" t="n">
        <v>85500</v>
      </c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27" t="n"/>
      <c r="B102" s="228" t="inlineStr">
        <is>
          <t>LUCHO</t>
        </is>
      </c>
      <c r="C102" s="229" t="n">
        <v>1</v>
      </c>
      <c r="D102" s="229" t="n">
        <v>1</v>
      </c>
      <c r="E102" s="229" t="n"/>
      <c r="F102" s="230" t="n"/>
      <c r="G102" s="230" t="n"/>
      <c r="H102" s="257" t="n">
        <v>47500</v>
      </c>
      <c r="I102" s="258" t="n"/>
      <c r="J102" s="258" t="n">
        <v>47500</v>
      </c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inlineStr">
        <is>
          <t>SAN MARTÍN 1925</t>
        </is>
      </c>
      <c r="C103" s="229" t="n">
        <v>1</v>
      </c>
      <c r="D103" s="229" t="n"/>
      <c r="E103" s="229" t="n"/>
      <c r="F103" s="230" t="n"/>
      <c r="G103" s="230" t="n"/>
      <c r="H103" s="257" t="n">
        <v>26000</v>
      </c>
      <c r="I103" s="258" t="n">
        <v>26000</v>
      </c>
      <c r="J103" s="258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27" t="n"/>
      <c r="B104" s="228" t="inlineStr">
        <is>
          <t>PANADERÍA CAFERATA 8877</t>
        </is>
      </c>
      <c r="C104" s="229" t="n"/>
      <c r="D104" s="229" t="n"/>
      <c r="E104" s="229" t="n">
        <v>1</v>
      </c>
      <c r="F104" s="230" t="n"/>
      <c r="G104" s="230" t="n"/>
      <c r="H104" s="257" t="n">
        <v>78000</v>
      </c>
      <c r="I104" s="258" t="n">
        <v>78000</v>
      </c>
      <c r="J104" s="258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inlineStr">
        <is>
          <t>IGLESIA FRATERNIDAD</t>
        </is>
      </c>
      <c r="C105" s="229" t="n">
        <v>1</v>
      </c>
      <c r="D105" s="229" t="n"/>
      <c r="E105" s="229" t="n"/>
      <c r="F105" s="230" t="n"/>
      <c r="G105" s="230" t="n"/>
      <c r="H105" s="257" t="n">
        <v>25000</v>
      </c>
      <c r="I105" s="258" t="n"/>
      <c r="J105" s="258" t="n">
        <v>25000</v>
      </c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27" t="n"/>
      <c r="B106" s="228" t="inlineStr">
        <is>
          <t>BERUTI 2430</t>
        </is>
      </c>
      <c r="C106" s="229" t="n"/>
      <c r="D106" s="229" t="n"/>
      <c r="E106" s="229" t="n">
        <v>1</v>
      </c>
      <c r="F106" s="230" t="n"/>
      <c r="G106" s="230" t="n"/>
      <c r="H106" s="257" t="n">
        <v>91000</v>
      </c>
      <c r="I106" s="258" t="n">
        <v>91000</v>
      </c>
      <c r="J106" s="258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inlineStr">
        <is>
          <t>MISIONES 5280</t>
        </is>
      </c>
      <c r="C107" s="229" t="n"/>
      <c r="D107" s="229" t="n"/>
      <c r="E107" s="229" t="n">
        <v>1</v>
      </c>
      <c r="F107" s="230" t="n"/>
      <c r="G107" s="230" t="n"/>
      <c r="H107" s="257" t="n">
        <v>95000</v>
      </c>
      <c r="I107" s="258" t="n">
        <v>95000</v>
      </c>
      <c r="J107" s="258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27" t="n"/>
      <c r="B108" s="228" t="inlineStr">
        <is>
          <t>JUAN DE GARAY 3810</t>
        </is>
      </c>
      <c r="C108" s="229" t="n">
        <v>1</v>
      </c>
      <c r="D108" s="229" t="n">
        <v>1</v>
      </c>
      <c r="E108" s="229" t="n"/>
      <c r="F108" s="230" t="n"/>
      <c r="G108" s="230" t="n"/>
      <c r="H108" s="257" t="n">
        <v>63500</v>
      </c>
      <c r="I108" s="258" t="n"/>
      <c r="J108" s="258" t="n">
        <v>63500</v>
      </c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inlineStr">
        <is>
          <t>AGUADO 6766</t>
        </is>
      </c>
      <c r="C109" s="229" t="n"/>
      <c r="D109" s="229" t="n"/>
      <c r="E109" s="229" t="n">
        <v>1</v>
      </c>
      <c r="F109" s="230" t="n"/>
      <c r="G109" s="230" t="n"/>
      <c r="H109" s="257" t="n">
        <v>89000</v>
      </c>
      <c r="I109" s="258" t="n"/>
      <c r="J109" s="258" t="n">
        <v>89000</v>
      </c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27" t="n"/>
      <c r="B110" s="228" t="inlineStr">
        <is>
          <t>SABOREAR</t>
        </is>
      </c>
      <c r="C110" s="229" t="n"/>
      <c r="D110" s="229" t="n"/>
      <c r="E110" s="229" t="n">
        <v>1</v>
      </c>
      <c r="F110" s="230" t="n"/>
      <c r="G110" s="230" t="n"/>
      <c r="H110" s="257" t="n">
        <v>81000</v>
      </c>
      <c r="I110" s="258" t="n"/>
      <c r="J110" s="258" t="n">
        <v>81000</v>
      </c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>
        <v>46149</v>
      </c>
      <c r="B111" s="228" t="inlineStr">
        <is>
          <t>OTNIEL</t>
        </is>
      </c>
      <c r="C111" s="229" t="n"/>
      <c r="D111" s="229" t="n"/>
      <c r="E111" s="229" t="n"/>
      <c r="F111" s="230" t="n"/>
      <c r="G111" s="230" t="n">
        <v>2</v>
      </c>
      <c r="H111" s="257" t="n">
        <v>12000</v>
      </c>
      <c r="I111" s="258" t="n">
        <v>12000</v>
      </c>
      <c r="J111" s="258" t="n"/>
      <c r="K111" s="233" t="n"/>
      <c r="L111" s="233" t="n">
        <v>10300</v>
      </c>
      <c r="M111" s="156" t="n"/>
      <c r="N111" s="156" t="n"/>
      <c r="O111" s="156" t="n"/>
    </row>
    <row r="112" ht="18.75" customHeight="1" s="153">
      <c r="A112" s="227" t="n"/>
      <c r="B112" s="228" t="inlineStr">
        <is>
          <t>AYACUCHO 5370</t>
        </is>
      </c>
      <c r="C112" s="229" t="n"/>
      <c r="D112" s="229" t="n"/>
      <c r="E112" s="229" t="n"/>
      <c r="F112" s="230" t="n"/>
      <c r="G112" s="230" t="n">
        <v>2</v>
      </c>
      <c r="H112" s="257" t="n">
        <v>12000</v>
      </c>
      <c r="I112" s="258" t="n"/>
      <c r="J112" s="258" t="n">
        <v>12000</v>
      </c>
      <c r="K112" s="233" t="n"/>
      <c r="L112" s="233" t="n">
        <v>10300</v>
      </c>
      <c r="M112" s="156" t="n"/>
      <c r="N112" s="156" t="n"/>
      <c r="O112" s="156" t="n"/>
    </row>
    <row r="113" ht="18.75" customHeight="1" s="153">
      <c r="A113" s="227" t="n"/>
      <c r="B113" s="228" t="inlineStr">
        <is>
          <t>BONEO 4821</t>
        </is>
      </c>
      <c r="C113" s="229" t="n"/>
      <c r="D113" s="229" t="n"/>
      <c r="E113" s="229" t="n"/>
      <c r="F113" s="230" t="n"/>
      <c r="G113" s="230" t="n">
        <v>2</v>
      </c>
      <c r="H113" s="257" t="n">
        <v>12000</v>
      </c>
      <c r="I113" s="258" t="n">
        <v>12000</v>
      </c>
      <c r="J113" s="258" t="n"/>
      <c r="K113" s="233" t="n"/>
      <c r="L113" s="233" t="n">
        <v>10300</v>
      </c>
      <c r="M113" s="156" t="n"/>
      <c r="N113" s="156" t="n"/>
      <c r="O113" s="156" t="n"/>
    </row>
    <row r="114" ht="18.75" customHeight="1" s="153">
      <c r="A114" s="227" t="n"/>
      <c r="B114" s="228" t="inlineStr">
        <is>
          <t>LARGUIA 6924</t>
        </is>
      </c>
      <c r="C114" s="229" t="n">
        <v>1</v>
      </c>
      <c r="D114" s="229" t="n"/>
      <c r="E114" s="229" t="n"/>
      <c r="F114" s="230" t="n"/>
      <c r="G114" s="230" t="n"/>
      <c r="H114" s="257" t="n">
        <v>25000</v>
      </c>
      <c r="I114" s="258" t="n">
        <v>25000</v>
      </c>
      <c r="J114" s="258" t="n"/>
      <c r="K114" s="233" t="n"/>
      <c r="L114" s="233" t="n">
        <v>10000</v>
      </c>
      <c r="M114" s="156" t="n"/>
      <c r="N114" s="156" t="n"/>
      <c r="O114" s="156" t="n"/>
    </row>
    <row r="115" ht="18.75" customHeight="1" s="153">
      <c r="A115" s="227" t="n"/>
      <c r="B115" s="228" t="inlineStr">
        <is>
          <t>RICARDO ALDAO 362</t>
        </is>
      </c>
      <c r="C115" s="229" t="n"/>
      <c r="D115" s="229" t="n"/>
      <c r="E115" s="229" t="n">
        <v>1</v>
      </c>
      <c r="F115" s="230" t="n"/>
      <c r="G115" s="230" t="n"/>
      <c r="H115" s="257" t="n">
        <v>94000</v>
      </c>
      <c r="I115" s="258" t="n"/>
      <c r="J115" s="258" t="n">
        <v>94000</v>
      </c>
      <c r="K115" s="233" t="n"/>
      <c r="L115" s="233" t="n">
        <v>34000</v>
      </c>
      <c r="M115" s="156" t="n"/>
      <c r="N115" s="156" t="n"/>
      <c r="O115" s="156" t="n"/>
    </row>
    <row r="116" ht="18.75" customHeight="1" s="153">
      <c r="A116" s="227" t="n"/>
      <c r="B116" s="228" t="inlineStr">
        <is>
          <t>PANA VIEYTES 4500</t>
        </is>
      </c>
      <c r="C116" s="229" t="n"/>
      <c r="D116" s="229" t="n"/>
      <c r="E116" s="229" t="n">
        <v>1</v>
      </c>
      <c r="F116" s="230" t="n"/>
      <c r="G116" s="230" t="n"/>
      <c r="H116" s="257" t="n">
        <v>78000</v>
      </c>
      <c r="I116" s="258" t="n">
        <v>78000</v>
      </c>
      <c r="J116" s="258" t="n"/>
      <c r="K116" s="233" t="n"/>
      <c r="L116" s="233" t="n">
        <v>18000</v>
      </c>
      <c r="M116" s="156" t="n"/>
      <c r="N116" s="156" t="n"/>
      <c r="O116" s="156" t="n"/>
    </row>
    <row r="117" ht="18.75" customHeight="1" s="153">
      <c r="A117" s="227" t="n"/>
      <c r="B117" s="228" t="inlineStr">
        <is>
          <t>FACUNDO ZUVIRIA 10235</t>
        </is>
      </c>
      <c r="C117" s="229" t="n">
        <v>1</v>
      </c>
      <c r="D117" s="229" t="n"/>
      <c r="E117" s="229" t="n"/>
      <c r="F117" s="230" t="n"/>
      <c r="G117" s="230" t="n"/>
      <c r="H117" s="257" t="n">
        <v>27000</v>
      </c>
      <c r="I117" s="258" t="n"/>
      <c r="J117" s="258" t="n">
        <v>27000</v>
      </c>
      <c r="K117" s="233" t="n"/>
      <c r="L117" s="233" t="n">
        <v>12000</v>
      </c>
      <c r="M117" s="156" t="n"/>
      <c r="N117" s="156" t="n"/>
      <c r="O117" s="156" t="n"/>
    </row>
    <row r="118" ht="18.75" customHeight="1" s="153">
      <c r="A118" s="227" t="n"/>
      <c r="B118" s="228" t="inlineStr">
        <is>
          <t>PAULO</t>
        </is>
      </c>
      <c r="C118" s="229" t="n">
        <v>3</v>
      </c>
      <c r="D118" s="229" t="n"/>
      <c r="E118" s="229" t="n"/>
      <c r="F118" s="230" t="n"/>
      <c r="G118" s="230" t="n"/>
      <c r="H118" s="257" t="n">
        <v>57000</v>
      </c>
      <c r="I118" s="258" t="n"/>
      <c r="J118" s="258" t="n">
        <v>57000</v>
      </c>
      <c r="K118" s="233" t="n"/>
      <c r="L118" s="233" t="n">
        <v>12000</v>
      </c>
      <c r="M118" s="156" t="n"/>
      <c r="N118" s="156" t="n"/>
      <c r="O118" s="156" t="n"/>
    </row>
    <row r="119" ht="18.75" customHeight="1" s="153">
      <c r="A119" s="227" t="n"/>
      <c r="B119" s="228" t="inlineStr">
        <is>
          <t>PERU 3841</t>
        </is>
      </c>
      <c r="C119" s="229" t="n">
        <v>1</v>
      </c>
      <c r="D119" s="229" t="n"/>
      <c r="E119" s="229" t="n"/>
      <c r="F119" s="230" t="n"/>
      <c r="G119" s="230" t="n"/>
      <c r="H119" s="257" t="n">
        <v>27000</v>
      </c>
      <c r="I119" s="258" t="n"/>
      <c r="J119" s="258" t="n">
        <v>27000</v>
      </c>
      <c r="K119" s="233" t="n"/>
      <c r="L119" s="233" t="n">
        <v>12000</v>
      </c>
      <c r="M119" s="156" t="n"/>
      <c r="N119" s="156" t="n"/>
      <c r="O119" s="156" t="n"/>
    </row>
    <row r="120" ht="18.75" customHeight="1" s="153">
      <c r="A120" s="227" t="n"/>
      <c r="B120" s="228" t="inlineStr">
        <is>
          <t>CERVERA 7081</t>
        </is>
      </c>
      <c r="C120" s="229" t="n">
        <v>1</v>
      </c>
      <c r="D120" s="229" t="n"/>
      <c r="E120" s="229" t="n"/>
      <c r="F120" s="230" t="n"/>
      <c r="G120" s="230" t="n"/>
      <c r="H120" s="257" t="n">
        <v>26000</v>
      </c>
      <c r="I120" s="258" t="n"/>
      <c r="J120" s="258" t="n">
        <v>26000</v>
      </c>
      <c r="K120" s="233" t="n"/>
      <c r="L120" s="233" t="n">
        <v>11000</v>
      </c>
      <c r="M120" s="156" t="n"/>
      <c r="N120" s="156" t="n"/>
      <c r="O120" s="156" t="n"/>
    </row>
    <row r="121" ht="18.75" customHeight="1" s="153">
      <c r="A121" s="227" t="n"/>
      <c r="B121" s="228" t="inlineStr">
        <is>
          <t>SARA FAISAL 1723</t>
        </is>
      </c>
      <c r="C121" s="229" t="n"/>
      <c r="D121" s="229" t="n"/>
      <c r="E121" s="229" t="n">
        <v>1</v>
      </c>
      <c r="F121" s="230" t="n"/>
      <c r="G121" s="230" t="n"/>
      <c r="H121" s="257" t="n">
        <v>95000</v>
      </c>
      <c r="I121" s="258" t="n">
        <v>95000</v>
      </c>
      <c r="J121" s="258" t="n"/>
      <c r="K121" s="233" t="n"/>
      <c r="L121" s="233" t="n">
        <v>35000</v>
      </c>
      <c r="M121" s="156" t="n"/>
      <c r="N121" s="156" t="n"/>
      <c r="O121" s="156" t="n"/>
    </row>
    <row r="122" ht="18.75" customHeight="1" s="153">
      <c r="A122" s="227" t="n"/>
      <c r="B122" s="228" t="inlineStr">
        <is>
          <t>DON LOBO</t>
        </is>
      </c>
      <c r="C122" s="229" t="n">
        <v>1</v>
      </c>
      <c r="D122" s="229" t="n"/>
      <c r="E122" s="229" t="n"/>
      <c r="F122" s="230" t="n"/>
      <c r="G122" s="230" t="n"/>
      <c r="H122" s="257" t="n">
        <v>27000</v>
      </c>
      <c r="I122" s="258" t="n"/>
      <c r="J122" s="258" t="n">
        <v>27000</v>
      </c>
      <c r="K122" s="233" t="n"/>
      <c r="L122" s="233" t="n">
        <v>12000</v>
      </c>
      <c r="M122" s="156" t="n"/>
      <c r="N122" s="156" t="n"/>
      <c r="O122" s="156" t="n"/>
    </row>
    <row r="123" ht="18.75" customHeight="1" s="153">
      <c r="A123" s="227" t="n"/>
      <c r="B123" s="228" t="inlineStr">
        <is>
          <t>FILOMENA</t>
        </is>
      </c>
      <c r="C123" s="229" t="n">
        <v>2</v>
      </c>
      <c r="D123" s="229" t="n"/>
      <c r="E123" s="229" t="n"/>
      <c r="F123" s="230" t="n"/>
      <c r="G123" s="230" t="n"/>
      <c r="H123" s="257" t="n">
        <v>46000</v>
      </c>
      <c r="I123" s="258" t="n"/>
      <c r="J123" s="258" t="n">
        <v>46000</v>
      </c>
      <c r="K123" s="233" t="n"/>
      <c r="L123" s="233" t="n">
        <v>16000</v>
      </c>
      <c r="M123" s="156" t="n"/>
      <c r="N123" s="156" t="n"/>
      <c r="O123" s="156" t="n"/>
    </row>
    <row r="124" ht="18.75" customHeight="1" s="153">
      <c r="A124" s="227" t="n"/>
      <c r="B124" s="228" t="inlineStr">
        <is>
          <t>CAPILLA LA SALLE Y GRANDOLI</t>
        </is>
      </c>
      <c r="C124" s="229" t="n">
        <v>1</v>
      </c>
      <c r="D124" s="229" t="n"/>
      <c r="E124" s="229" t="n"/>
      <c r="F124" s="230" t="n"/>
      <c r="G124" s="230" t="n"/>
      <c r="H124" s="257" t="n">
        <v>27000</v>
      </c>
      <c r="I124" s="258" t="n"/>
      <c r="J124" s="258" t="n">
        <v>27000</v>
      </c>
      <c r="K124" s="233" t="n"/>
      <c r="L124" s="233" t="n">
        <v>12000</v>
      </c>
      <c r="M124" s="156" t="n"/>
      <c r="N124" s="156" t="n"/>
      <c r="O124" s="156" t="n"/>
    </row>
    <row r="125" ht="18.75" customHeight="1" s="153">
      <c r="A125" s="227" t="n"/>
      <c r="B125" s="228" t="inlineStr">
        <is>
          <t>LUCHO</t>
        </is>
      </c>
      <c r="C125" s="229" t="n">
        <v>1</v>
      </c>
      <c r="D125" s="229" t="n"/>
      <c r="E125" s="229" t="n"/>
      <c r="F125" s="230" t="n"/>
      <c r="G125" s="230" t="n">
        <v>1</v>
      </c>
      <c r="H125" s="257" t="n">
        <v>25000</v>
      </c>
      <c r="I125" s="258" t="n"/>
      <c r="J125" s="258" t="n">
        <v>25000</v>
      </c>
      <c r="K125" s="233" t="n"/>
      <c r="L125" s="233" t="n">
        <v>9150</v>
      </c>
      <c r="M125" s="156" t="n"/>
      <c r="N125" s="156" t="n"/>
      <c r="O125" s="156" t="n"/>
    </row>
    <row r="126" ht="18.75" customHeight="1" s="153">
      <c r="A126" s="227" t="n"/>
      <c r="B126" s="228" t="inlineStr">
        <is>
          <t>CACO</t>
        </is>
      </c>
      <c r="C126" s="229" t="n">
        <v>1</v>
      </c>
      <c r="D126" s="229" t="n"/>
      <c r="E126" s="229" t="n"/>
      <c r="F126" s="230" t="n"/>
      <c r="G126" s="230" t="n"/>
      <c r="H126" s="257" t="n">
        <v>27000</v>
      </c>
      <c r="I126" s="258" t="n"/>
      <c r="J126" s="258" t="n">
        <v>27000</v>
      </c>
      <c r="K126" s="233" t="n"/>
      <c r="L126" s="233" t="n">
        <v>12000</v>
      </c>
      <c r="M126" s="156" t="n"/>
      <c r="N126" s="156" t="n"/>
      <c r="O126" s="156" t="n"/>
    </row>
    <row r="127" ht="18.75" customHeight="1" s="153">
      <c r="A127" s="227" t="n"/>
      <c r="B127" s="228" t="inlineStr">
        <is>
          <t>TROPPO</t>
        </is>
      </c>
      <c r="C127" s="229" t="n">
        <v>3</v>
      </c>
      <c r="D127" s="229" t="n"/>
      <c r="E127" s="229" t="n"/>
      <c r="F127" s="230" t="n"/>
      <c r="G127" s="230" t="n"/>
      <c r="H127" s="257" t="n">
        <v>84000</v>
      </c>
      <c r="I127" s="258" t="n">
        <v>84000</v>
      </c>
      <c r="J127" s="258" t="n"/>
      <c r="K127" s="233" t="n"/>
      <c r="L127" s="233" t="n">
        <v>39000</v>
      </c>
      <c r="M127" s="156" t="n"/>
      <c r="N127" s="156" t="n"/>
      <c r="O127" s="156" t="n"/>
    </row>
    <row r="128" ht="18.75" customHeight="1" s="153">
      <c r="A128" s="227" t="n"/>
      <c r="B128" s="228" t="inlineStr">
        <is>
          <t>CAREN</t>
        </is>
      </c>
      <c r="C128" s="229" t="n"/>
      <c r="D128" s="229" t="n"/>
      <c r="E128" s="229" t="n">
        <v>1</v>
      </c>
      <c r="F128" s="230" t="n"/>
      <c r="G128" s="230" t="n"/>
      <c r="H128" s="257" t="n">
        <v>85000</v>
      </c>
      <c r="I128" s="258" t="n"/>
      <c r="J128" s="258" t="n">
        <v>85000</v>
      </c>
      <c r="K128" s="233" t="n"/>
      <c r="L128" s="233" t="n">
        <v>25000</v>
      </c>
      <c r="M128" s="156" t="n"/>
      <c r="N128" s="156" t="n"/>
      <c r="O128" s="156" t="n"/>
    </row>
    <row r="129" ht="18.75" customHeight="1" s="153">
      <c r="A129" s="227" t="n">
        <v>46150</v>
      </c>
      <c r="B129" s="228" t="inlineStr">
        <is>
          <t>SANTA BAR 1 MAYO 1959</t>
        </is>
      </c>
      <c r="C129" s="229" t="n"/>
      <c r="D129" s="229" t="n"/>
      <c r="E129" s="229" t="n">
        <v>1</v>
      </c>
      <c r="F129" s="230" t="n"/>
      <c r="G129" s="230" t="n"/>
      <c r="H129" s="257" t="n">
        <v>85000</v>
      </c>
      <c r="I129" s="258" t="n"/>
      <c r="J129" s="258" t="n">
        <v>85000</v>
      </c>
      <c r="K129" s="233" t="n"/>
      <c r="L129" s="233">
        <f>IF(K129&lt;&gt;"",23000+K129,23000)</f>
        <v/>
      </c>
      <c r="M129" s="156" t="n"/>
      <c r="N129" s="156" t="n"/>
      <c r="O129" s="156" t="n"/>
    </row>
    <row r="130" ht="18.75" customHeight="1" s="153">
      <c r="A130" s="227" t="n"/>
      <c r="B130" s="228" t="inlineStr">
        <is>
          <t>VIANDAS JORGE</t>
        </is>
      </c>
      <c r="C130" s="229" t="n">
        <v>1</v>
      </c>
      <c r="D130" s="229" t="n"/>
      <c r="E130" s="229" t="n"/>
      <c r="F130" s="230" t="n"/>
      <c r="G130" s="230" t="n"/>
      <c r="H130" s="257" t="n">
        <v>22000</v>
      </c>
      <c r="I130" s="258" t="n">
        <v>22000</v>
      </c>
      <c r="J130" s="258" t="n"/>
      <c r="K130" s="233" t="n"/>
      <c r="L130" s="233">
        <f>IF(K130&lt;&gt;"",6200+K130,6200)</f>
        <v/>
      </c>
      <c r="M130" s="156" t="n"/>
      <c r="N130" s="156" t="n"/>
      <c r="O130" s="156" t="n"/>
    </row>
    <row r="131" ht="18.75" customHeight="1" s="153">
      <c r="A131" s="227" t="n"/>
      <c r="B131" s="228" t="inlineStr">
        <is>
          <t>OTNIEL</t>
        </is>
      </c>
      <c r="C131" s="229" t="n"/>
      <c r="D131" s="229" t="n">
        <v>2</v>
      </c>
      <c r="E131" s="229" t="n"/>
      <c r="F131" s="230" t="n"/>
      <c r="G131" s="230" t="n"/>
      <c r="H131" s="257" t="n">
        <v>70000</v>
      </c>
      <c r="I131" s="258" t="n">
        <v>70000</v>
      </c>
      <c r="J131" s="258" t="n"/>
      <c r="K131" s="233" t="n"/>
      <c r="L131" s="233">
        <f>IF(K131&lt;&gt;"",22600+K131,22600)</f>
        <v/>
      </c>
      <c r="M131" s="156" t="n"/>
      <c r="N131" s="156" t="n"/>
      <c r="O131" s="156" t="n"/>
    </row>
    <row r="132" ht="18.75" customHeight="1" s="153">
      <c r="A132" s="227" t="n"/>
      <c r="B132" s="228" t="inlineStr">
        <is>
          <t>SANDRA</t>
        </is>
      </c>
      <c r="C132" s="229" t="n">
        <v>1</v>
      </c>
      <c r="D132" s="229" t="n"/>
      <c r="E132" s="229" t="n"/>
      <c r="F132" s="230" t="n"/>
      <c r="G132" s="230" t="n"/>
      <c r="H132" s="257" t="n">
        <v>19500</v>
      </c>
      <c r="I132" s="258" t="n">
        <v>19500</v>
      </c>
      <c r="J132" s="258" t="n"/>
      <c r="K132" s="233" t="n"/>
      <c r="L132" s="233">
        <f>IF(K132&lt;&gt;"",3700+K132,3700)</f>
        <v/>
      </c>
      <c r="M132" s="156" t="n"/>
      <c r="N132" s="156" t="n"/>
      <c r="O132" s="156" t="n"/>
    </row>
    <row r="133" ht="18.75" customHeight="1" s="153">
      <c r="A133" s="227" t="n"/>
      <c r="B133" s="228" t="inlineStr">
        <is>
          <t>LARGUIA 6924</t>
        </is>
      </c>
      <c r="C133" s="229" t="n">
        <v>2</v>
      </c>
      <c r="D133" s="229" t="n"/>
      <c r="E133" s="229" t="n"/>
      <c r="F133" s="230" t="n"/>
      <c r="G133" s="230" t="n"/>
      <c r="H133" s="257" t="n">
        <v>50000</v>
      </c>
      <c r="I133" s="258" t="n">
        <v>50000</v>
      </c>
      <c r="J133" s="258" t="n"/>
      <c r="K133" s="233" t="n"/>
      <c r="L133" s="233">
        <f>IF(K133&lt;&gt;"",18400+K133,18400)</f>
        <v/>
      </c>
      <c r="M133" s="156" t="n"/>
      <c r="N133" s="156" t="n"/>
      <c r="O133" s="156" t="n"/>
    </row>
    <row r="134" ht="18.75" customHeight="1" s="153">
      <c r="A134" s="227" t="n"/>
      <c r="B134" s="228" t="inlineStr">
        <is>
          <t>PANA VIEYTES 3800</t>
        </is>
      </c>
      <c r="C134" s="229" t="n">
        <v>1</v>
      </c>
      <c r="D134" s="229" t="n"/>
      <c r="E134" s="229" t="n">
        <v>1</v>
      </c>
      <c r="F134" s="230" t="n"/>
      <c r="G134" s="230" t="n"/>
      <c r="H134" s="257" t="n">
        <v>110000</v>
      </c>
      <c r="I134" s="258" t="n">
        <v>110000</v>
      </c>
      <c r="J134" s="258" t="n"/>
      <c r="K134" s="233" t="n"/>
      <c r="L134" s="233">
        <f>IF(K134&lt;&gt;"",32200+K134,32200)</f>
        <v/>
      </c>
      <c r="M134" s="156" t="n"/>
      <c r="N134" s="156" t="n"/>
      <c r="O134" s="156" t="n"/>
    </row>
    <row r="135" ht="18.75" customHeight="1" s="153">
      <c r="A135" s="227" t="n"/>
      <c r="B135" s="228" t="inlineStr">
        <is>
          <t>ARISTÓBULO 5137</t>
        </is>
      </c>
      <c r="C135" s="229" t="n"/>
      <c r="D135" s="229" t="n">
        <v>1</v>
      </c>
      <c r="E135" s="229" t="n"/>
      <c r="F135" s="230" t="n"/>
      <c r="G135" s="230" t="n"/>
      <c r="H135" s="257" t="n">
        <v>39000</v>
      </c>
      <c r="I135" s="258" t="n">
        <v>39000</v>
      </c>
      <c r="J135" s="258" t="n"/>
      <c r="K135" s="233" t="n"/>
      <c r="L135" s="233">
        <f>IF(K135&lt;&gt;"",15300+K135,15300)</f>
        <v/>
      </c>
      <c r="M135" s="156" t="n"/>
      <c r="N135" s="156" t="n"/>
      <c r="O135" s="156" t="n"/>
    </row>
    <row r="136" ht="18.75" customHeight="1" s="153">
      <c r="A136" s="227" t="n"/>
      <c r="B136" s="228" t="inlineStr">
        <is>
          <t>MARIO</t>
        </is>
      </c>
      <c r="C136" s="229" t="n">
        <v>2</v>
      </c>
      <c r="D136" s="229" t="n"/>
      <c r="E136" s="229" t="n"/>
      <c r="F136" s="230" t="n"/>
      <c r="G136" s="230" t="n"/>
      <c r="H136" s="257" t="n">
        <v>39000</v>
      </c>
      <c r="I136" s="258" t="n"/>
      <c r="J136" s="258" t="n">
        <v>39000</v>
      </c>
      <c r="K136" s="233" t="n"/>
      <c r="L136" s="233">
        <f>IF(K136&lt;&gt;"",7400+K136,7400)</f>
        <v/>
      </c>
      <c r="M136" s="156" t="n"/>
      <c r="N136" s="156" t="n"/>
      <c r="O136" s="156" t="n"/>
    </row>
    <row r="137" ht="18.75" customHeight="1" s="153">
      <c r="A137" s="227" t="n"/>
      <c r="B137" s="228" t="inlineStr">
        <is>
          <t>MATEU 4059</t>
        </is>
      </c>
      <c r="C137" s="229" t="n"/>
      <c r="D137" s="229" t="n">
        <v>1</v>
      </c>
      <c r="E137" s="229" t="n"/>
      <c r="F137" s="230" t="n"/>
      <c r="G137" s="230" t="n"/>
      <c r="H137" s="257" t="n">
        <v>35000</v>
      </c>
      <c r="I137" s="258" t="n">
        <v>35000</v>
      </c>
      <c r="J137" s="258" t="n"/>
      <c r="K137" s="233" t="n"/>
      <c r="L137" s="233">
        <f>IF(K137&lt;&gt;"",11300+K137,11300)</f>
        <v/>
      </c>
      <c r="M137" s="156" t="n"/>
      <c r="N137" s="156" t="n"/>
      <c r="O137" s="156" t="n"/>
    </row>
    <row r="138" ht="18.75" customHeight="1" s="153">
      <c r="A138" s="227" t="n"/>
      <c r="B138" s="228" t="inlineStr">
        <is>
          <t>GOLD BURGER</t>
        </is>
      </c>
      <c r="C138" s="229" t="n">
        <v>4</v>
      </c>
      <c r="D138" s="229" t="n"/>
      <c r="E138" s="229" t="n"/>
      <c r="F138" s="230" t="n"/>
      <c r="G138" s="230" t="n"/>
      <c r="H138" s="257" t="n">
        <v>104000</v>
      </c>
      <c r="I138" s="258" t="n">
        <v>104000</v>
      </c>
      <c r="J138" s="258" t="n"/>
      <c r="K138" s="233" t="n"/>
      <c r="L138" s="233">
        <f>IF(K138&lt;&gt;"",40800+K138,40800)</f>
        <v/>
      </c>
      <c r="M138" s="156" t="n"/>
      <c r="N138" s="156" t="n"/>
      <c r="O138" s="156" t="n"/>
    </row>
    <row r="139" ht="18.75" customHeight="1" s="153">
      <c r="A139" s="227" t="n"/>
      <c r="B139" s="228" t="inlineStr">
        <is>
          <t>PIRU</t>
        </is>
      </c>
      <c r="C139" s="229" t="n"/>
      <c r="D139" s="229" t="n">
        <v>1</v>
      </c>
      <c r="E139" s="229" t="n"/>
      <c r="F139" s="230" t="n"/>
      <c r="G139" s="230" t="n"/>
      <c r="H139" s="257" t="n">
        <v>37000</v>
      </c>
      <c r="I139" s="258" t="n">
        <v>37000</v>
      </c>
      <c r="J139" s="258" t="n"/>
      <c r="K139" s="233" t="n"/>
      <c r="L139" s="233">
        <f>IF(K139&lt;&gt;"",13300+K139,13300)</f>
        <v/>
      </c>
      <c r="M139" s="156" t="n"/>
      <c r="N139" s="156" t="n"/>
      <c r="O139" s="156" t="n"/>
    </row>
    <row r="140" ht="18.75" customHeight="1" s="153">
      <c r="A140" s="227" t="n"/>
      <c r="B140" s="228" t="inlineStr">
        <is>
          <t>MARCIAL CANDIOTI 8846</t>
        </is>
      </c>
      <c r="C140" s="229" t="n"/>
      <c r="D140" s="229" t="n"/>
      <c r="E140" s="229" t="n">
        <v>1</v>
      </c>
      <c r="F140" s="230" t="n"/>
      <c r="G140" s="230" t="n"/>
      <c r="H140" s="257" t="n">
        <v>91000</v>
      </c>
      <c r="I140" s="258" t="n"/>
      <c r="J140" s="258" t="n">
        <v>91000</v>
      </c>
      <c r="K140" s="233" t="n"/>
      <c r="L140" s="233">
        <f>IF(K140&lt;&gt;"",29000+K140,29000)</f>
        <v/>
      </c>
      <c r="M140" s="156" t="n"/>
      <c r="N140" s="156" t="n"/>
      <c r="O140" s="156" t="n"/>
    </row>
    <row r="141" ht="18.75" customHeight="1" s="153">
      <c r="A141" s="227" t="n"/>
      <c r="B141" s="228" t="inlineStr">
        <is>
          <t>SAN MARTÍN 8947</t>
        </is>
      </c>
      <c r="C141" s="229" t="n">
        <v>1</v>
      </c>
      <c r="D141" s="229" t="n"/>
      <c r="E141" s="229" t="n"/>
      <c r="F141" s="230" t="n"/>
      <c r="G141" s="230" t="n"/>
      <c r="H141" s="257" t="n">
        <v>27000</v>
      </c>
      <c r="I141" s="258" t="n">
        <v>27000</v>
      </c>
      <c r="J141" s="258" t="n"/>
      <c r="K141" s="233" t="n"/>
      <c r="L141" s="233">
        <f>IF(K141&lt;&gt;"",11200+K141,11200)</f>
        <v/>
      </c>
      <c r="M141" s="156" t="n"/>
      <c r="N141" s="156" t="n"/>
      <c r="O141" s="156" t="n"/>
    </row>
    <row r="142" ht="18.75" customHeight="1" s="153">
      <c r="A142" s="227" t="n"/>
      <c r="B142" s="228" t="inlineStr">
        <is>
          <t>PUBLICO 8436</t>
        </is>
      </c>
      <c r="C142" s="229" t="n"/>
      <c r="D142" s="229" t="n">
        <v>1</v>
      </c>
      <c r="E142" s="229" t="n"/>
      <c r="F142" s="230" t="n"/>
      <c r="G142" s="230" t="n"/>
      <c r="H142" s="257" t="n">
        <v>42000</v>
      </c>
      <c r="I142" s="258" t="n">
        <v>42000</v>
      </c>
      <c r="J142" s="258" t="n"/>
      <c r="K142" s="233" t="n"/>
      <c r="L142" s="233">
        <f>IF(K142&lt;&gt;"",18300+K142,18300)</f>
        <v/>
      </c>
      <c r="M142" s="156" t="n"/>
      <c r="N142" s="156" t="n"/>
      <c r="O142" s="156" t="n"/>
    </row>
    <row r="143" ht="18.75" customHeight="1" s="153">
      <c r="A143" s="227" t="n"/>
      <c r="B143" s="228" t="inlineStr">
        <is>
          <t>JAVIER DE LA ROSA 2585</t>
        </is>
      </c>
      <c r="C143" s="229" t="n">
        <v>1</v>
      </c>
      <c r="D143" s="229" t="n"/>
      <c r="E143" s="229" t="n"/>
      <c r="F143" s="230" t="n"/>
      <c r="G143" s="230" t="n"/>
      <c r="H143" s="257" t="n">
        <v>27000</v>
      </c>
      <c r="I143" s="258" t="n">
        <v>27000</v>
      </c>
      <c r="J143" s="258" t="n"/>
      <c r="K143" s="233" t="n"/>
      <c r="L143" s="233">
        <f>IF(K143&lt;&gt;"",11200+K143,11200)</f>
        <v/>
      </c>
      <c r="M143" s="156" t="n"/>
      <c r="N143" s="156" t="n"/>
      <c r="O143" s="156" t="n"/>
    </row>
    <row r="144" ht="18.75" customHeight="1" s="153">
      <c r="A144" s="227" t="n"/>
      <c r="B144" s="228" t="inlineStr">
        <is>
          <t>SAAVEDRA 5820</t>
        </is>
      </c>
      <c r="C144" s="229" t="n"/>
      <c r="D144" s="229" t="n"/>
      <c r="E144" s="229" t="n">
        <v>1</v>
      </c>
      <c r="F144" s="230" t="n"/>
      <c r="G144" s="230" t="n"/>
      <c r="H144" s="257" t="n">
        <v>91000</v>
      </c>
      <c r="I144" s="258" t="n">
        <v>91000</v>
      </c>
      <c r="J144" s="258" t="n"/>
      <c r="K144" s="233" t="n"/>
      <c r="L144" s="233">
        <f>IF(K144&lt;&gt;"",29000+K144,29000)</f>
        <v/>
      </c>
      <c r="M144" s="156" t="n"/>
      <c r="N144" s="156" t="n"/>
      <c r="O144" s="156" t="n"/>
    </row>
    <row r="145" ht="18.75" customHeight="1" s="153">
      <c r="A145" s="227" t="n"/>
      <c r="B145" s="228" t="inlineStr">
        <is>
          <t>LUCHO</t>
        </is>
      </c>
      <c r="C145" s="229" t="n">
        <v>1</v>
      </c>
      <c r="D145" s="229" t="n"/>
      <c r="E145" s="229" t="n"/>
      <c r="F145" s="230" t="n"/>
      <c r="G145" s="230" t="n"/>
      <c r="H145" s="257" t="n">
        <v>20000</v>
      </c>
      <c r="I145" s="258" t="n"/>
      <c r="J145" s="258" t="n">
        <v>20000</v>
      </c>
      <c r="K145" s="233" t="n"/>
      <c r="L145" s="233">
        <f>IF(K145&lt;&gt;"",4200+K145,4200)</f>
        <v/>
      </c>
      <c r="M145" s="156" t="n"/>
      <c r="N145" s="156" t="n"/>
      <c r="O145" s="156" t="n"/>
    </row>
    <row r="146" ht="18.75" customHeight="1" s="153">
      <c r="A146" s="227" t="n"/>
      <c r="B146" s="228" t="inlineStr">
        <is>
          <t>AZCUENAGA 5023</t>
        </is>
      </c>
      <c r="C146" s="229" t="n">
        <v>3</v>
      </c>
      <c r="D146" s="229" t="n"/>
      <c r="E146" s="229" t="n"/>
      <c r="F146" s="230" t="n"/>
      <c r="G146" s="230" t="n"/>
      <c r="H146" s="257" t="n">
        <v>60000</v>
      </c>
      <c r="I146" s="258" t="n"/>
      <c r="J146" s="258" t="n">
        <v>60000</v>
      </c>
      <c r="K146" s="233" t="n"/>
      <c r="L146" s="233">
        <f>IF(K146&lt;&gt;"",12600+K146,12600)</f>
        <v/>
      </c>
      <c r="M146" s="156" t="n"/>
      <c r="N146" s="156" t="n"/>
      <c r="O146" s="156" t="n"/>
    </row>
    <row r="147" ht="18.75" customHeight="1" s="153">
      <c r="A147" s="227" t="n"/>
      <c r="B147" s="228" t="inlineStr">
        <is>
          <t>BRASERIA</t>
        </is>
      </c>
      <c r="C147" s="229" t="n"/>
      <c r="D147" s="229" t="n"/>
      <c r="E147" s="229" t="n">
        <v>1</v>
      </c>
      <c r="F147" s="230" t="n"/>
      <c r="G147" s="230" t="n"/>
      <c r="H147" s="257" t="n">
        <v>86000</v>
      </c>
      <c r="I147" s="258" t="n"/>
      <c r="J147" s="258" t="n">
        <v>86000</v>
      </c>
      <c r="K147" s="233" t="n"/>
      <c r="L147" s="233">
        <f>IF(K147&lt;&gt;"",24000+K147,24000)</f>
        <v/>
      </c>
      <c r="M147" s="156" t="n"/>
      <c r="N147" s="156" t="n"/>
      <c r="O147" s="156" t="n"/>
    </row>
    <row r="148" ht="18.75" customHeight="1" s="153">
      <c r="A148" s="227" t="n"/>
      <c r="B148" s="228" t="inlineStr">
        <is>
          <t>TACUARI 5717</t>
        </is>
      </c>
      <c r="C148" s="229" t="n">
        <v>1</v>
      </c>
      <c r="D148" s="229" t="n"/>
      <c r="E148" s="229" t="n"/>
      <c r="F148" s="230" t="n"/>
      <c r="G148" s="230" t="n"/>
      <c r="H148" s="257" t="n">
        <v>27000</v>
      </c>
      <c r="I148" s="258" t="n"/>
      <c r="J148" s="258" t="n">
        <v>27000</v>
      </c>
      <c r="K148" s="233" t="n"/>
      <c r="L148" s="233">
        <f>IF(K148&lt;&gt;"",11200+K148,11200)</f>
        <v/>
      </c>
      <c r="M148" s="156" t="n"/>
      <c r="N148" s="156" t="n"/>
      <c r="O148" s="156" t="n"/>
    </row>
    <row r="149" ht="18.75" customHeight="1" s="153">
      <c r="A149" s="227" t="n"/>
      <c r="B149" s="228" t="inlineStr">
        <is>
          <t>BELGRANO 7972</t>
        </is>
      </c>
      <c r="C149" s="229" t="n">
        <v>1</v>
      </c>
      <c r="D149" s="229" t="n"/>
      <c r="E149" s="229" t="n"/>
      <c r="F149" s="230" t="n"/>
      <c r="G149" s="230" t="n"/>
      <c r="H149" s="257" t="n">
        <v>27000</v>
      </c>
      <c r="I149" s="258" t="n">
        <v>27000</v>
      </c>
      <c r="J149" s="258" t="n"/>
      <c r="K149" s="233" t="n"/>
      <c r="L149" s="233">
        <f>IF(K149&lt;&gt;"",11200+K149,11200)</f>
        <v/>
      </c>
      <c r="M149" s="156" t="n"/>
      <c r="N149" s="156" t="n"/>
      <c r="O149" s="156" t="n"/>
    </row>
    <row r="150" ht="18.75" customHeight="1" s="153">
      <c r="A150" s="227" t="n">
        <v>46151</v>
      </c>
      <c r="B150" s="228" t="inlineStr">
        <is>
          <t>GENERAL PAZ 5179</t>
        </is>
      </c>
      <c r="C150" s="229" t="n"/>
      <c r="D150" s="229" t="n">
        <v>1</v>
      </c>
      <c r="E150" s="229" t="n"/>
      <c r="F150" s="230" t="n"/>
      <c r="G150" s="230" t="n"/>
      <c r="H150" s="257" t="n">
        <v>38500</v>
      </c>
      <c r="I150" s="258" t="n"/>
      <c r="J150" s="258" t="n">
        <v>38500</v>
      </c>
      <c r="K150" s="233" t="n"/>
      <c r="L150" s="233" t="n">
        <v>14800</v>
      </c>
      <c r="M150" s="156" t="n"/>
      <c r="N150" s="156" t="n"/>
      <c r="O150" s="156" t="n"/>
    </row>
    <row r="151" ht="18.75" customHeight="1" s="153">
      <c r="A151" s="227" t="n"/>
      <c r="B151" s="228" t="inlineStr">
        <is>
          <t>ALSINA 7980</t>
        </is>
      </c>
      <c r="C151" s="229" t="n"/>
      <c r="D151" s="229" t="n"/>
      <c r="E151" s="229" t="n">
        <v>1</v>
      </c>
      <c r="F151" s="230" t="n"/>
      <c r="G151" s="230" t="n"/>
      <c r="H151" s="257" t="n">
        <v>91000</v>
      </c>
      <c r="I151" s="258" t="n"/>
      <c r="J151" s="258" t="n">
        <v>91000</v>
      </c>
      <c r="K151" s="233" t="n"/>
      <c r="L151" s="233" t="n">
        <v>29000</v>
      </c>
      <c r="M151" s="156" t="n"/>
      <c r="N151" s="156" t="n"/>
      <c r="O151" s="156" t="n"/>
    </row>
    <row r="152" ht="18.75" customHeight="1" s="153">
      <c r="A152" s="227" t="n"/>
      <c r="B152" s="228" t="inlineStr">
        <is>
          <t>PANA ALBERTI</t>
        </is>
      </c>
      <c r="C152" s="229" t="n"/>
      <c r="D152" s="229" t="n"/>
      <c r="E152" s="229" t="n">
        <v>1</v>
      </c>
      <c r="F152" s="230" t="n"/>
      <c r="G152" s="230" t="n"/>
      <c r="H152" s="257" t="n">
        <v>84000</v>
      </c>
      <c r="I152" s="258" t="n">
        <v>84000</v>
      </c>
      <c r="J152" s="258" t="n"/>
      <c r="K152" s="233" t="n"/>
      <c r="L152" s="233" t="n">
        <v>22000</v>
      </c>
      <c r="M152" s="156" t="n"/>
      <c r="N152" s="156" t="n"/>
      <c r="O152" s="156" t="n"/>
    </row>
    <row r="153" ht="18.75" customHeight="1" s="153">
      <c r="A153" s="227" t="n"/>
      <c r="B153" s="228" t="inlineStr">
        <is>
          <t>EXE</t>
        </is>
      </c>
      <c r="C153" s="229" t="n"/>
      <c r="D153" s="229" t="n"/>
      <c r="E153" s="229" t="n">
        <v>1</v>
      </c>
      <c r="F153" s="230" t="n"/>
      <c r="G153" s="230" t="n"/>
      <c r="H153" s="257" t="n">
        <v>85000</v>
      </c>
      <c r="I153" s="258" t="n"/>
      <c r="J153" s="258" t="n">
        <v>85000</v>
      </c>
      <c r="K153" s="233" t="n"/>
      <c r="L153" s="233" t="n">
        <v>23000</v>
      </c>
      <c r="M153" s="156" t="n"/>
      <c r="N153" s="156" t="n"/>
      <c r="O153" s="156" t="n"/>
    </row>
    <row r="154" ht="18.75" customHeight="1" s="153">
      <c r="A154" s="227" t="n"/>
      <c r="B154" s="228" t="inlineStr">
        <is>
          <t>SABOREAR</t>
        </is>
      </c>
      <c r="C154" s="229" t="n">
        <v>2</v>
      </c>
      <c r="D154" s="229" t="n"/>
      <c r="E154" s="229" t="n"/>
      <c r="F154" s="230" t="n"/>
      <c r="G154" s="230" t="n"/>
      <c r="H154" s="257" t="n">
        <v>47000</v>
      </c>
      <c r="I154" s="258" t="n"/>
      <c r="J154" s="258" t="n">
        <v>47000</v>
      </c>
      <c r="K154" s="233" t="n"/>
      <c r="L154" s="233" t="n">
        <v>15400</v>
      </c>
      <c r="M154" s="156" t="n"/>
      <c r="N154" s="156" t="n"/>
      <c r="O154" s="156" t="n"/>
    </row>
    <row r="155" ht="18.75" customHeight="1" s="153">
      <c r="A155" s="227" t="n"/>
      <c r="B155" s="228" t="inlineStr">
        <is>
          <t>MARCIAL CANDIOTI 8968</t>
        </is>
      </c>
      <c r="C155" s="229" t="n"/>
      <c r="D155" s="229" t="n"/>
      <c r="E155" s="229" t="n">
        <v>1</v>
      </c>
      <c r="F155" s="230" t="n"/>
      <c r="G155" s="230" t="n"/>
      <c r="H155" s="257" t="n">
        <v>91000</v>
      </c>
      <c r="I155" s="258" t="n">
        <v>91000</v>
      </c>
      <c r="J155" s="258" t="n"/>
      <c r="K155" s="233" t="n"/>
      <c r="L155" s="233" t="n">
        <v>29000</v>
      </c>
      <c r="M155" s="156" t="n"/>
      <c r="N155" s="156" t="n"/>
      <c r="O155" s="156" t="n"/>
    </row>
    <row r="156" ht="18.75" customHeight="1" s="153">
      <c r="A156" s="227" t="n"/>
      <c r="B156" s="228" t="inlineStr">
        <is>
          <t>AVENIDA FREIRE 6181</t>
        </is>
      </c>
      <c r="C156" s="229" t="n">
        <v>1</v>
      </c>
      <c r="D156" s="229" t="n"/>
      <c r="E156" s="229" t="n"/>
      <c r="F156" s="230" t="n"/>
      <c r="G156" s="230" t="n"/>
      <c r="H156" s="257" t="n">
        <v>26000</v>
      </c>
      <c r="I156" s="258" t="n">
        <v>26000</v>
      </c>
      <c r="J156" s="258" t="n"/>
      <c r="K156" s="233" t="n"/>
      <c r="L156" s="233" t="n">
        <v>10200</v>
      </c>
      <c r="M156" s="156" t="n"/>
      <c r="N156" s="156" t="n"/>
      <c r="O156" s="156" t="n"/>
    </row>
    <row r="157" ht="18.75" customHeight="1" s="153">
      <c r="A157" s="227" t="n"/>
      <c r="B157" s="228" t="inlineStr">
        <is>
          <t>FILOMENA</t>
        </is>
      </c>
      <c r="C157" s="229" t="n">
        <v>2</v>
      </c>
      <c r="D157" s="229" t="n"/>
      <c r="E157" s="229" t="n"/>
      <c r="F157" s="230" t="n"/>
      <c r="G157" s="230" t="n"/>
      <c r="H157" s="257" t="n">
        <v>49000</v>
      </c>
      <c r="I157" s="258" t="n"/>
      <c r="J157" s="258" t="n">
        <v>49000</v>
      </c>
      <c r="K157" s="233" t="n"/>
      <c r="L157" s="233" t="n">
        <v>17400</v>
      </c>
      <c r="M157" s="156" t="n"/>
      <c r="N157" s="156" t="n"/>
      <c r="O157" s="156" t="n"/>
    </row>
    <row r="158" ht="18.75" customHeight="1" s="153">
      <c r="A158" s="227" t="n"/>
      <c r="B158" s="228" t="inlineStr">
        <is>
          <t>ARIEL IMPRENTA</t>
        </is>
      </c>
      <c r="C158" s="229" t="n"/>
      <c r="D158" s="229" t="n"/>
      <c r="E158" s="229" t="n">
        <v>1</v>
      </c>
      <c r="F158" s="230" t="n"/>
      <c r="G158" s="230" t="n"/>
      <c r="H158" s="257" t="n">
        <v>91000</v>
      </c>
      <c r="I158" s="258" t="n"/>
      <c r="J158" s="258" t="n">
        <v>91000</v>
      </c>
      <c r="K158" s="233" t="n"/>
      <c r="L158" s="233" t="n">
        <v>29000</v>
      </c>
      <c r="M158" s="156" t="n"/>
      <c r="N158" s="156" t="n"/>
      <c r="O158" s="156" t="n"/>
    </row>
    <row r="159" ht="18.75" customHeight="1" s="153">
      <c r="A159" s="227" t="n"/>
      <c r="B159" s="228" t="inlineStr">
        <is>
          <t>ALSINA 7980</t>
        </is>
      </c>
      <c r="C159" s="229" t="n">
        <v>1</v>
      </c>
      <c r="D159" s="229" t="n"/>
      <c r="E159" s="229" t="n"/>
      <c r="F159" s="230" t="n"/>
      <c r="G159" s="230" t="n"/>
      <c r="H159" s="257" t="n">
        <v>27000</v>
      </c>
      <c r="I159" s="258" t="n">
        <v>27000</v>
      </c>
      <c r="J159" s="258" t="n"/>
      <c r="K159" s="233" t="n"/>
      <c r="L159" s="233" t="n">
        <v>11200</v>
      </c>
      <c r="M159" s="156" t="n"/>
      <c r="N159" s="156" t="n"/>
      <c r="O159" s="156" t="n"/>
    </row>
    <row r="160" ht="18.75" customHeight="1" s="153">
      <c r="A160" s="227" t="n"/>
      <c r="B160" s="228" t="inlineStr">
        <is>
          <t>MARIO ALBERTI Y GABOTO</t>
        </is>
      </c>
      <c r="C160" s="229" t="n">
        <v>2</v>
      </c>
      <c r="D160" s="229" t="n">
        <v>1</v>
      </c>
      <c r="E160" s="229" t="n"/>
      <c r="F160" s="230" t="n"/>
      <c r="G160" s="230" t="n"/>
      <c r="H160" s="257" t="n">
        <v>67500</v>
      </c>
      <c r="I160" s="258" t="n">
        <v>67500</v>
      </c>
      <c r="J160" s="258" t="n"/>
      <c r="K160" s="233" t="n"/>
      <c r="L160" s="233" t="n">
        <v>12200</v>
      </c>
      <c r="M160" s="156" t="n"/>
      <c r="N160" s="156" t="n"/>
      <c r="O160" s="156" t="n"/>
    </row>
    <row r="161" ht="18.75" customHeight="1" s="153">
      <c r="A161" s="227" t="n"/>
      <c r="B161" s="228" t="inlineStr">
        <is>
          <t>TROPPO</t>
        </is>
      </c>
      <c r="C161" s="229" t="n">
        <v>1</v>
      </c>
      <c r="D161" s="229" t="n"/>
      <c r="E161" s="229" t="n"/>
      <c r="F161" s="230" t="n"/>
      <c r="G161" s="230" t="n"/>
      <c r="H161" s="257" t="n">
        <v>27000</v>
      </c>
      <c r="I161" s="258" t="n"/>
      <c r="J161" s="258" t="n">
        <v>27000</v>
      </c>
      <c r="K161" s="233" t="n"/>
      <c r="L161" s="233" t="n">
        <v>11200</v>
      </c>
      <c r="M161" s="156" t="n"/>
      <c r="N161" s="156" t="n"/>
      <c r="O161" s="156" t="n"/>
    </row>
    <row r="162" ht="18.75" customHeight="1" s="153">
      <c r="A162" s="227" t="n"/>
      <c r="B162" s="228" t="inlineStr">
        <is>
          <t>NOGALES 2412</t>
        </is>
      </c>
      <c r="C162" s="229" t="n"/>
      <c r="D162" s="229" t="n"/>
      <c r="E162" s="229" t="n">
        <v>1</v>
      </c>
      <c r="F162" s="230" t="n"/>
      <c r="G162" s="230" t="n"/>
      <c r="H162" s="257" t="n">
        <v>95000</v>
      </c>
      <c r="I162" s="258" t="n"/>
      <c r="J162" s="258" t="n">
        <v>95000</v>
      </c>
      <c r="K162" s="233" t="n"/>
      <c r="L162" s="233" t="n">
        <v>33000</v>
      </c>
      <c r="M162" s="156" t="n"/>
      <c r="N162" s="156" t="n"/>
      <c r="O162" s="156" t="n"/>
    </row>
    <row r="163" ht="18.75" customHeight="1" s="153">
      <c r="A163" s="227" t="n">
        <v>46152</v>
      </c>
      <c r="B163" s="228" t="inlineStr">
        <is>
          <t>JUANA ZUAGA</t>
        </is>
      </c>
      <c r="C163" s="229" t="n">
        <v>1</v>
      </c>
      <c r="D163" s="229" t="n"/>
      <c r="E163" s="229" t="n"/>
      <c r="F163" s="230" t="n"/>
      <c r="G163" s="230" t="n"/>
      <c r="H163" s="257" t="n">
        <v>20000</v>
      </c>
      <c r="I163" s="258" t="n">
        <v>20000</v>
      </c>
      <c r="J163" s="258" t="n"/>
      <c r="K163" s="233" t="n"/>
      <c r="L163" s="233" t="n">
        <v>4200</v>
      </c>
      <c r="M163" s="156" t="n"/>
      <c r="N163" s="156" t="n"/>
      <c r="O163" s="156" t="n"/>
    </row>
    <row r="164" ht="18.75" customHeight="1" s="153">
      <c r="A164" s="227" t="n"/>
      <c r="B164" s="228" t="inlineStr">
        <is>
          <t>EX COMBATIENTES 5462</t>
        </is>
      </c>
      <c r="C164" s="229" t="n"/>
      <c r="D164" s="229" t="n">
        <v>1</v>
      </c>
      <c r="E164" s="229" t="n"/>
      <c r="F164" s="230" t="n"/>
      <c r="G164" s="230" t="n"/>
      <c r="H164" s="257" t="n">
        <v>37500</v>
      </c>
      <c r="I164" s="258" t="n">
        <v>37500</v>
      </c>
      <c r="J164" s="258" t="n"/>
      <c r="K164" s="233" t="n"/>
      <c r="L164" s="233" t="n">
        <v>13800</v>
      </c>
      <c r="M164" s="156" t="n"/>
      <c r="N164" s="156" t="n"/>
      <c r="O164" s="156" t="n"/>
    </row>
    <row r="165" ht="18.75" customHeight="1" s="153">
      <c r="A165" s="227" t="n"/>
      <c r="B165" s="228" t="inlineStr">
        <is>
          <t>LOS PRIMOS</t>
        </is>
      </c>
      <c r="C165" s="229" t="n">
        <v>1</v>
      </c>
      <c r="D165" s="229" t="n">
        <v>1</v>
      </c>
      <c r="E165" s="229" t="n"/>
      <c r="F165" s="230" t="n"/>
      <c r="G165" s="230" t="n"/>
      <c r="H165" s="257" t="n">
        <v>64000</v>
      </c>
      <c r="I165" s="258" t="n">
        <v>64000</v>
      </c>
      <c r="J165" s="258" t="n"/>
      <c r="K165" s="233" t="n"/>
      <c r="L165" s="233" t="n">
        <v>24500</v>
      </c>
      <c r="M165" s="156" t="n"/>
      <c r="N165" s="156" t="n"/>
      <c r="O165" s="156" t="n"/>
    </row>
    <row r="166" ht="18.75" customHeight="1" s="153">
      <c r="A166" s="227" t="n"/>
      <c r="B166" s="228" t="inlineStr">
        <is>
          <t>ASCUÉNAGA 6551</t>
        </is>
      </c>
      <c r="C166" s="229" t="n">
        <v>5</v>
      </c>
      <c r="D166" s="229" t="n"/>
      <c r="E166" s="229" t="n"/>
      <c r="F166" s="230" t="n"/>
      <c r="G166" s="230" t="n"/>
      <c r="H166" s="257" t="n">
        <v>100000</v>
      </c>
      <c r="I166" s="258" t="n"/>
      <c r="J166" s="258" t="n">
        <v>100000</v>
      </c>
      <c r="K166" s="233" t="n"/>
      <c r="L166" s="233" t="n">
        <v>21000</v>
      </c>
      <c r="M166" s="156" t="n"/>
      <c r="N166" s="156" t="n"/>
      <c r="O166" s="156" t="n"/>
    </row>
    <row r="167" ht="18.75" customHeight="1" s="153">
      <c r="A167" s="227" t="n"/>
      <c r="B167" s="228" t="inlineStr">
        <is>
          <t>PAULO</t>
        </is>
      </c>
      <c r="C167" s="229" t="n">
        <v>1</v>
      </c>
      <c r="D167" s="229" t="n">
        <v>1</v>
      </c>
      <c r="E167" s="229" t="n"/>
      <c r="F167" s="230" t="n"/>
      <c r="G167" s="230" t="n"/>
      <c r="H167" s="257" t="n">
        <v>47500</v>
      </c>
      <c r="I167" s="258" t="n">
        <v>47500</v>
      </c>
      <c r="J167" s="258" t="n"/>
      <c r="K167" s="233" t="n"/>
      <c r="L167" s="233" t="n">
        <v>8000</v>
      </c>
      <c r="M167" s="156" t="n"/>
      <c r="N167" s="156" t="n"/>
      <c r="O167" s="156" t="n"/>
    </row>
    <row r="168" ht="18.75" customHeight="1" s="153">
      <c r="A168" s="227" t="n"/>
      <c r="B168" s="228" t="inlineStr">
        <is>
          <t>LAS HERAS 5471</t>
        </is>
      </c>
      <c r="C168" s="229" t="n">
        <v>2</v>
      </c>
      <c r="D168" s="229" t="n"/>
      <c r="E168" s="229" t="n"/>
      <c r="F168" s="230" t="n"/>
      <c r="G168" s="230" t="n"/>
      <c r="H168" s="257" t="n">
        <v>54000</v>
      </c>
      <c r="I168" s="258" t="n"/>
      <c r="J168" s="258" t="n">
        <v>54000</v>
      </c>
      <c r="K168" s="233" t="n"/>
      <c r="L168" s="233" t="n">
        <v>22400</v>
      </c>
      <c r="M168" s="156" t="n"/>
      <c r="N168" s="156" t="n"/>
      <c r="O168" s="156" t="n"/>
    </row>
    <row r="169" ht="18.75" customHeight="1" s="153">
      <c r="A169" s="227" t="n"/>
      <c r="B169" s="228" t="inlineStr">
        <is>
          <t>SAN JERÓNIMO 4532</t>
        </is>
      </c>
      <c r="C169" s="229" t="n">
        <v>1</v>
      </c>
      <c r="D169" s="229" t="n"/>
      <c r="E169" s="229" t="n"/>
      <c r="F169" s="230" t="n"/>
      <c r="G169" s="230" t="n"/>
      <c r="H169" s="257" t="n">
        <v>27000</v>
      </c>
      <c r="I169" s="258" t="n"/>
      <c r="J169" s="258" t="n">
        <v>27000</v>
      </c>
      <c r="K169" s="233" t="n"/>
      <c r="L169" s="233" t="n">
        <v>11200</v>
      </c>
      <c r="M169" s="156" t="n"/>
      <c r="N169" s="156" t="n"/>
      <c r="O169" s="156" t="n"/>
    </row>
    <row r="170" ht="18.75" customHeight="1" s="153">
      <c r="A170" s="227" t="n"/>
      <c r="B170" s="228" t="inlineStr">
        <is>
          <t>FORMOSA 6058</t>
        </is>
      </c>
      <c r="C170" s="229" t="n"/>
      <c r="D170" s="229" t="n"/>
      <c r="E170" s="229" t="n"/>
      <c r="F170" s="230" t="n"/>
      <c r="G170" s="230" t="n">
        <v>3</v>
      </c>
      <c r="H170" s="257" t="n">
        <v>18000</v>
      </c>
      <c r="I170" s="258" t="n">
        <v>18000</v>
      </c>
      <c r="J170" s="258" t="n"/>
      <c r="K170" s="233" t="n"/>
      <c r="L170" s="233" t="n">
        <v>15240</v>
      </c>
      <c r="M170" s="156" t="n"/>
      <c r="N170" s="156" t="n"/>
      <c r="O170" s="156" t="n"/>
    </row>
    <row r="171" ht="18.75" customHeight="1" s="153">
      <c r="A171" s="227" t="n"/>
      <c r="B171" s="228" t="inlineStr">
        <is>
          <t>ROTI AGUADO</t>
        </is>
      </c>
      <c r="C171" s="229" t="n">
        <v>1</v>
      </c>
      <c r="D171" s="229" t="n">
        <v>1</v>
      </c>
      <c r="E171" s="229" t="n"/>
      <c r="F171" s="230" t="n"/>
      <c r="G171" s="230" t="n"/>
      <c r="H171" s="257" t="n">
        <v>65500</v>
      </c>
      <c r="I171" s="258" t="n">
        <v>65500</v>
      </c>
      <c r="J171" s="258" t="n"/>
      <c r="K171" s="233" t="n"/>
      <c r="L171" s="233" t="n">
        <v>26000</v>
      </c>
      <c r="M171" s="156" t="n"/>
      <c r="N171" s="156" t="n"/>
      <c r="O171" s="156" t="n"/>
    </row>
    <row r="172" ht="18.75" customHeight="1" s="153">
      <c r="A172" s="227" t="n"/>
      <c r="B172" s="228" t="inlineStr">
        <is>
          <t>COLODRERO 2414</t>
        </is>
      </c>
      <c r="C172" s="229" t="n"/>
      <c r="D172" s="229" t="n">
        <v>1</v>
      </c>
      <c r="E172" s="229" t="n"/>
      <c r="F172" s="230" t="n"/>
      <c r="G172" s="230" t="n"/>
      <c r="H172" s="257" t="n">
        <v>37000</v>
      </c>
      <c r="I172" s="258" t="n">
        <v>37000</v>
      </c>
      <c r="J172" s="258" t="n"/>
      <c r="K172" s="233" t="n"/>
      <c r="L172" s="233" t="n">
        <v>13300</v>
      </c>
      <c r="M172" s="156" t="n"/>
      <c r="N172" s="156" t="n"/>
      <c r="O172" s="156" t="n"/>
    </row>
    <row r="173" ht="18.75" customHeight="1" s="153">
      <c r="A173" s="227" t="n"/>
      <c r="B173" s="228" t="inlineStr">
        <is>
          <t>GRINGO IL GATO</t>
        </is>
      </c>
      <c r="C173" s="229" t="n"/>
      <c r="D173" s="229" t="n"/>
      <c r="E173" s="229" t="n">
        <v>1</v>
      </c>
      <c r="F173" s="230" t="n"/>
      <c r="G173" s="230" t="n"/>
      <c r="H173" s="257" t="n">
        <v>95000</v>
      </c>
      <c r="I173" s="258" t="n">
        <v>95000</v>
      </c>
      <c r="J173" s="258" t="n"/>
      <c r="K173" s="233" t="n"/>
      <c r="L173" s="233" t="n">
        <v>33000</v>
      </c>
      <c r="M173" s="156" t="n"/>
      <c r="N173" s="156" t="n"/>
      <c r="O173" s="156" t="n"/>
    </row>
    <row r="174" ht="18.75" customHeight="1" s="153">
      <c r="A174" s="227" t="n"/>
      <c r="B174" s="228" t="inlineStr">
        <is>
          <t>ALSINA 6550</t>
        </is>
      </c>
      <c r="C174" s="229" t="n"/>
      <c r="D174" s="229" t="n">
        <v>1</v>
      </c>
      <c r="E174" s="229" t="n"/>
      <c r="F174" s="230" t="n"/>
      <c r="G174" s="230" t="n"/>
      <c r="H174" s="257" t="n">
        <v>40000</v>
      </c>
      <c r="I174" s="258" t="n">
        <v>40000</v>
      </c>
      <c r="J174" s="258" t="n"/>
      <c r="K174" s="233" t="n"/>
      <c r="L174" s="233" t="n">
        <v>16300</v>
      </c>
      <c r="M174" s="156" t="n"/>
      <c r="N174" s="156" t="n"/>
      <c r="O174" s="156" t="n"/>
    </row>
    <row r="175" ht="18.75" customHeight="1" s="153">
      <c r="A175" s="227" t="n"/>
      <c r="B175" s="228" t="inlineStr">
        <is>
          <t>LEHMANN 9357</t>
        </is>
      </c>
      <c r="C175" s="229" t="n"/>
      <c r="D175" s="229" t="n"/>
      <c r="E175" s="229" t="n">
        <v>1</v>
      </c>
      <c r="F175" s="230" t="n"/>
      <c r="G175" s="230" t="n"/>
      <c r="H175" s="257" t="n">
        <v>92000</v>
      </c>
      <c r="I175" s="258" t="n">
        <v>92000</v>
      </c>
      <c r="J175" s="258" t="n"/>
      <c r="K175" s="233" t="n"/>
      <c r="L175" s="233" t="n">
        <v>30000</v>
      </c>
      <c r="M175" s="156" t="n"/>
      <c r="N175" s="156" t="n"/>
      <c r="O175" s="156" t="n"/>
    </row>
    <row r="176" ht="18.75" customHeight="1" s="153">
      <c r="A176" s="227" t="n"/>
      <c r="B176" s="228" t="inlineStr">
        <is>
          <t>JOSÉ MONTEVERA</t>
        </is>
      </c>
      <c r="C176" s="229" t="n">
        <v>1</v>
      </c>
      <c r="D176" s="229" t="n"/>
      <c r="E176" s="229" t="n">
        <v>1</v>
      </c>
      <c r="F176" s="230" t="n"/>
      <c r="G176" s="230" t="n"/>
      <c r="H176" s="257" t="n">
        <v>122000</v>
      </c>
      <c r="I176" s="258" t="n">
        <v>122000</v>
      </c>
      <c r="J176" s="258" t="n"/>
      <c r="K176" s="233" t="n"/>
      <c r="L176" s="233" t="n">
        <v>44200</v>
      </c>
      <c r="M176" s="156" t="n"/>
      <c r="N176" s="156" t="n"/>
      <c r="O176" s="156" t="n"/>
    </row>
    <row r="177" ht="18.75" customHeight="1" s="153">
      <c r="A177" s="227" t="n"/>
      <c r="B177" s="228" t="inlineStr">
        <is>
          <t>1 DE MAYO 3173</t>
        </is>
      </c>
      <c r="C177" s="229" t="n">
        <v>1</v>
      </c>
      <c r="D177" s="229" t="n"/>
      <c r="E177" s="229" t="n"/>
      <c r="F177" s="230" t="n"/>
      <c r="G177" s="230" t="n"/>
      <c r="H177" s="257" t="n">
        <v>27000</v>
      </c>
      <c r="I177" s="258" t="n">
        <v>27000</v>
      </c>
      <c r="J177" s="258" t="n"/>
      <c r="K177" s="233" t="n"/>
      <c r="L177" s="233" t="n">
        <v>11200</v>
      </c>
      <c r="M177" s="156" t="n"/>
      <c r="N177" s="156" t="n"/>
      <c r="O177" s="156" t="n"/>
    </row>
    <row r="178" ht="18.75" customHeight="1" s="153">
      <c r="A178" s="227" t="n"/>
      <c r="B178" s="228" t="inlineStr">
        <is>
          <t>NECOCHEA 7264</t>
        </is>
      </c>
      <c r="C178" s="229" t="n">
        <v>1</v>
      </c>
      <c r="D178" s="229" t="n"/>
      <c r="E178" s="229" t="n"/>
      <c r="F178" s="230" t="n"/>
      <c r="G178" s="230" t="n"/>
      <c r="H178" s="257" t="n">
        <v>26000</v>
      </c>
      <c r="I178" s="258" t="n"/>
      <c r="J178" s="258" t="n">
        <v>26000</v>
      </c>
      <c r="K178" s="233" t="n"/>
      <c r="L178" s="233" t="n">
        <v>10200</v>
      </c>
      <c r="M178" s="156" t="n"/>
      <c r="N178" s="156" t="n"/>
      <c r="O178" s="156" t="n"/>
    </row>
    <row r="179" ht="18.75" customHeight="1" s="153">
      <c r="A179" s="227" t="n"/>
      <c r="B179" s="228" t="inlineStr">
        <is>
          <t>RÍO NEGRO 4464</t>
        </is>
      </c>
      <c r="C179" s="229" t="n">
        <v>1</v>
      </c>
      <c r="D179" s="229" t="n"/>
      <c r="E179" s="229" t="n"/>
      <c r="F179" s="230" t="n"/>
      <c r="G179" s="230" t="n"/>
      <c r="H179" s="257" t="n">
        <v>27000</v>
      </c>
      <c r="I179" s="258" t="n">
        <v>27000</v>
      </c>
      <c r="J179" s="258" t="n"/>
      <c r="K179" s="233" t="n"/>
      <c r="L179" s="233" t="n">
        <v>11200</v>
      </c>
      <c r="M179" s="156" t="n"/>
      <c r="N179" s="156" t="n"/>
      <c r="O179" s="156" t="n"/>
    </row>
    <row r="180" ht="18.75" customHeight="1" s="153">
      <c r="A180" s="227" t="n"/>
      <c r="B180" s="228" t="inlineStr">
        <is>
          <t>PUBLICO 8251</t>
        </is>
      </c>
      <c r="C180" s="229" t="n"/>
      <c r="D180" s="229" t="n"/>
      <c r="E180" s="229" t="n">
        <v>1</v>
      </c>
      <c r="F180" s="230" t="n"/>
      <c r="G180" s="230" t="n"/>
      <c r="H180" s="257" t="n">
        <v>91000</v>
      </c>
      <c r="I180" s="258" t="n"/>
      <c r="J180" s="258" t="n">
        <v>91000</v>
      </c>
      <c r="K180" s="233" t="n"/>
      <c r="L180" s="233" t="n">
        <v>29000</v>
      </c>
      <c r="M180" s="156" t="n"/>
      <c r="N180" s="156" t="n"/>
      <c r="O180" s="156" t="n"/>
    </row>
    <row r="181" ht="18.75" customHeight="1" s="153">
      <c r="A181" s="227" t="n"/>
      <c r="B181" s="228" t="inlineStr">
        <is>
          <t>ROTI ARISTÓBULO</t>
        </is>
      </c>
      <c r="C181" s="229" t="n">
        <v>1</v>
      </c>
      <c r="D181" s="229" t="n"/>
      <c r="E181" s="229" t="n"/>
      <c r="F181" s="230" t="n"/>
      <c r="G181" s="230" t="n"/>
      <c r="H181" s="257" t="n">
        <v>25000</v>
      </c>
      <c r="I181" s="258" t="n"/>
      <c r="J181" s="258" t="n">
        <v>25000</v>
      </c>
      <c r="K181" s="233" t="n"/>
      <c r="L181" s="233" t="n">
        <v>9200</v>
      </c>
      <c r="M181" s="156" t="n"/>
      <c r="N181" s="156" t="n"/>
      <c r="O181" s="156" t="n"/>
    </row>
    <row r="182" ht="18.75" customHeight="1" s="153">
      <c r="A182" s="227" t="n"/>
      <c r="B182" s="228" t="inlineStr">
        <is>
          <t>DOMINGO SILVA 4217</t>
        </is>
      </c>
      <c r="C182" s="229" t="n">
        <v>1</v>
      </c>
      <c r="D182" s="229" t="n"/>
      <c r="E182" s="229" t="n"/>
      <c r="F182" s="230" t="n"/>
      <c r="G182" s="230" t="n"/>
      <c r="H182" s="257" t="n">
        <v>20000</v>
      </c>
      <c r="I182" s="258" t="n"/>
      <c r="J182" s="258" t="n">
        <v>20000</v>
      </c>
      <c r="K182" s="233" t="n"/>
      <c r="L182" s="233" t="n">
        <v>4200</v>
      </c>
      <c r="M182" s="156" t="n"/>
      <c r="N182" s="156" t="n"/>
      <c r="O182" s="156" t="n"/>
    </row>
    <row r="183" ht="18.75" customHeight="1" s="153">
      <c r="A183" s="227" t="n"/>
      <c r="B183" s="228" t="inlineStr">
        <is>
          <t>PADRE GENESIO 4001</t>
        </is>
      </c>
      <c r="C183" s="229" t="n">
        <v>1</v>
      </c>
      <c r="D183" s="229" t="n"/>
      <c r="E183" s="229" t="n"/>
      <c r="F183" s="230" t="n"/>
      <c r="G183" s="230" t="n"/>
      <c r="H183" s="257" t="n">
        <v>26000</v>
      </c>
      <c r="I183" s="258" t="n"/>
      <c r="J183" s="258" t="n">
        <v>26000</v>
      </c>
      <c r="K183" s="233" t="n"/>
      <c r="L183" s="233" t="n">
        <v>10200</v>
      </c>
      <c r="M183" s="156" t="n"/>
      <c r="N183" s="156" t="n"/>
      <c r="O183" s="156" t="n"/>
    </row>
    <row r="184" ht="18.75" customHeight="1" s="153">
      <c r="A184" s="227" t="n"/>
      <c r="B184" s="228" t="inlineStr">
        <is>
          <t>SANDRA</t>
        </is>
      </c>
      <c r="C184" s="229" t="n">
        <v>2</v>
      </c>
      <c r="D184" s="229" t="n"/>
      <c r="E184" s="229" t="n"/>
      <c r="F184" s="230" t="n"/>
      <c r="G184" s="230" t="n"/>
      <c r="H184" s="257" t="n">
        <v>39000</v>
      </c>
      <c r="I184" s="258" t="n">
        <v>39000</v>
      </c>
      <c r="J184" s="258" t="n"/>
      <c r="K184" s="233" t="n"/>
      <c r="L184" s="233" t="n">
        <v>7400</v>
      </c>
      <c r="M184" s="156" t="n"/>
      <c r="N184" s="156" t="n"/>
      <c r="O184" s="156" t="n"/>
    </row>
    <row r="185" ht="18.75" customHeight="1" s="153">
      <c r="A185" s="227" t="n"/>
      <c r="B185" s="228" t="inlineStr">
        <is>
          <t>ARENALES 9100 CASA 5</t>
        </is>
      </c>
      <c r="C185" s="229" t="n"/>
      <c r="D185" s="229" t="n"/>
      <c r="E185" s="229" t="n">
        <v>1</v>
      </c>
      <c r="F185" s="230" t="n"/>
      <c r="G185" s="230" t="n"/>
      <c r="H185" s="257" t="n">
        <v>93000</v>
      </c>
      <c r="I185" s="258" t="n"/>
      <c r="J185" s="258" t="n">
        <v>93000</v>
      </c>
      <c r="K185" s="233" t="n"/>
      <c r="L185" s="233" t="n">
        <v>31000</v>
      </c>
      <c r="M185" s="156" t="n"/>
      <c r="N185" s="156" t="n"/>
      <c r="O185" s="156" t="n"/>
    </row>
    <row r="186" ht="18.75" customHeight="1" s="153">
      <c r="A186" s="227" t="n"/>
      <c r="B186" s="228" t="inlineStr">
        <is>
          <t>PUERTA</t>
        </is>
      </c>
      <c r="C186" s="229" t="n">
        <v>1</v>
      </c>
      <c r="D186" s="229" t="n"/>
      <c r="E186" s="229" t="n"/>
      <c r="F186" s="230" t="n"/>
      <c r="G186" s="230" t="n"/>
      <c r="H186" s="257" t="n">
        <v>22000</v>
      </c>
      <c r="I186" s="258" t="n">
        <v>22000</v>
      </c>
      <c r="J186" s="258" t="n"/>
      <c r="K186" s="233" t="n"/>
      <c r="L186" s="233" t="n">
        <v>6200</v>
      </c>
      <c r="M186" s="156" t="n"/>
      <c r="N186" s="156" t="n"/>
      <c r="O186" s="156" t="n"/>
    </row>
    <row r="187" ht="18.75" customHeight="1" s="153">
      <c r="A187" s="227" t="n"/>
      <c r="B187" s="228" t="inlineStr">
        <is>
          <t>CORRIENTES 2979</t>
        </is>
      </c>
      <c r="C187" s="229" t="n"/>
      <c r="D187" s="229" t="n">
        <v>1</v>
      </c>
      <c r="E187" s="229" t="n"/>
      <c r="F187" s="230" t="n"/>
      <c r="G187" s="230" t="n"/>
      <c r="H187" s="257" t="n">
        <v>42000</v>
      </c>
      <c r="I187" s="258" t="n"/>
      <c r="J187" s="258" t="n">
        <v>42000</v>
      </c>
      <c r="K187" s="233" t="n"/>
      <c r="L187" s="233" t="n">
        <v>18300</v>
      </c>
      <c r="M187" s="156" t="n"/>
      <c r="N187" s="156" t="n"/>
      <c r="O187" s="156" t="n"/>
    </row>
    <row r="188" ht="18.75" customHeight="1" s="153">
      <c r="A188" s="227" t="n"/>
      <c r="B188" s="228" t="inlineStr">
        <is>
          <t>PUBLICO 2527</t>
        </is>
      </c>
      <c r="C188" s="229" t="n"/>
      <c r="D188" s="229" t="n">
        <v>1</v>
      </c>
      <c r="E188" s="229" t="n"/>
      <c r="F188" s="230" t="n"/>
      <c r="G188" s="230" t="n"/>
      <c r="H188" s="257" t="n">
        <v>38500</v>
      </c>
      <c r="I188" s="258" t="n"/>
      <c r="J188" s="258" t="n">
        <v>38500</v>
      </c>
      <c r="K188" s="233" t="n"/>
      <c r="L188" s="233" t="n">
        <v>14800</v>
      </c>
      <c r="M188" s="156" t="n"/>
      <c r="N188" s="156" t="n"/>
      <c r="O188" s="156" t="n"/>
    </row>
    <row r="189" ht="18.75" customHeight="1" s="153">
      <c r="A189" s="227" t="n">
        <v>46153</v>
      </c>
      <c r="B189" s="228" t="inlineStr">
        <is>
          <t>SANDRA</t>
        </is>
      </c>
      <c r="C189" s="229" t="n">
        <v>1</v>
      </c>
      <c r="D189" s="229" t="n"/>
      <c r="E189" s="229" t="n"/>
      <c r="F189" s="230" t="n"/>
      <c r="G189" s="230" t="n"/>
      <c r="H189" s="257" t="n">
        <v>19500</v>
      </c>
      <c r="I189" s="258" t="n">
        <v>19500</v>
      </c>
      <c r="J189" s="258" t="n"/>
      <c r="K189" s="233" t="n"/>
      <c r="L189" s="233" t="n">
        <v>3700</v>
      </c>
      <c r="M189" s="156" t="n"/>
      <c r="N189" s="156" t="n"/>
      <c r="O189" s="156" t="n"/>
    </row>
    <row r="190" ht="18.75" customHeight="1" s="153">
      <c r="A190" s="227" t="n"/>
      <c r="B190" s="228" t="inlineStr">
        <is>
          <t>ÁNGEL</t>
        </is>
      </c>
      <c r="C190" s="229" t="n"/>
      <c r="D190" s="229" t="n">
        <v>1</v>
      </c>
      <c r="E190" s="229" t="n"/>
      <c r="F190" s="230" t="n"/>
      <c r="G190" s="230" t="n"/>
      <c r="H190" s="257" t="n">
        <v>28500</v>
      </c>
      <c r="I190" s="258" t="n">
        <v>28500</v>
      </c>
      <c r="J190" s="258" t="n"/>
      <c r="K190" s="233" t="n"/>
      <c r="L190" s="233" t="n">
        <v>4800</v>
      </c>
      <c r="M190" s="156" t="n"/>
      <c r="N190" s="156" t="n"/>
      <c r="O190" s="156" t="n"/>
    </row>
    <row r="191" ht="18.75" customHeight="1" s="153">
      <c r="A191" s="227" t="n"/>
      <c r="B191" s="228" t="inlineStr">
        <is>
          <t>DAMIÁN BENTEVEOS</t>
        </is>
      </c>
      <c r="C191" s="229" t="n"/>
      <c r="D191" s="229" t="n"/>
      <c r="E191" s="229" t="n">
        <v>1</v>
      </c>
      <c r="F191" s="230" t="n"/>
      <c r="G191" s="230" t="n"/>
      <c r="H191" s="257" t="n">
        <v>95000</v>
      </c>
      <c r="I191" s="258" t="n"/>
      <c r="J191" s="258" t="n">
        <v>95000</v>
      </c>
      <c r="K191" s="233" t="n"/>
      <c r="L191" s="233" t="n">
        <v>33000</v>
      </c>
      <c r="M191" s="156" t="n"/>
      <c r="N191" s="156" t="n"/>
      <c r="O191" s="156" t="n"/>
    </row>
    <row r="192" ht="18.75" customHeight="1" s="153">
      <c r="A192" s="227" t="n"/>
      <c r="B192" s="228" t="inlineStr">
        <is>
          <t>MAMA NICO BUSTOS</t>
        </is>
      </c>
      <c r="C192" s="229" t="n">
        <v>2</v>
      </c>
      <c r="D192" s="229" t="n"/>
      <c r="E192" s="229" t="n"/>
      <c r="F192" s="230" t="n"/>
      <c r="G192" s="230" t="n"/>
      <c r="H192" s="257" t="n">
        <v>52000</v>
      </c>
      <c r="I192" s="258" t="n"/>
      <c r="J192" s="258" t="n">
        <v>52000</v>
      </c>
      <c r="K192" s="233" t="n"/>
      <c r="L192" s="233" t="n">
        <v>20400</v>
      </c>
      <c r="M192" s="156" t="n"/>
      <c r="N192" s="156" t="n"/>
      <c r="O192" s="156" t="n"/>
    </row>
    <row r="193" ht="18.75" customHeight="1" s="153">
      <c r="A193" s="227" t="n"/>
      <c r="B193" s="228" t="inlineStr">
        <is>
          <t>VIANDAS JORGE</t>
        </is>
      </c>
      <c r="C193" s="229" t="n">
        <v>1</v>
      </c>
      <c r="D193" s="229" t="n"/>
      <c r="E193" s="229" t="n"/>
      <c r="F193" s="230" t="n"/>
      <c r="G193" s="230" t="n"/>
      <c r="H193" s="257" t="n">
        <v>23000</v>
      </c>
      <c r="I193" s="258" t="n">
        <v>23000</v>
      </c>
      <c r="J193" s="258" t="n"/>
      <c r="K193" s="233" t="n"/>
      <c r="L193" s="233" t="n">
        <v>7200</v>
      </c>
      <c r="M193" s="156" t="n"/>
      <c r="N193" s="156" t="n"/>
      <c r="O193" s="156" t="n"/>
    </row>
    <row r="194" ht="18.75" customHeight="1" s="153">
      <c r="A194" s="227" t="n"/>
      <c r="B194" s="228" t="inlineStr">
        <is>
          <t>CHICLANA 6630</t>
        </is>
      </c>
      <c r="C194" s="229" t="n">
        <v>1</v>
      </c>
      <c r="D194" s="229" t="n"/>
      <c r="E194" s="229" t="n"/>
      <c r="F194" s="230" t="n"/>
      <c r="G194" s="230" t="n"/>
      <c r="H194" s="257" t="n">
        <v>120000</v>
      </c>
      <c r="I194" s="258" t="n">
        <v>120000</v>
      </c>
      <c r="J194" s="258" t="n"/>
      <c r="K194" s="233" t="n">
        <v>29000</v>
      </c>
      <c r="L194" s="233" t="n">
        <v>39200</v>
      </c>
      <c r="M194" s="156" t="n"/>
      <c r="N194" s="156" t="n"/>
      <c r="O194" s="156" t="n"/>
    </row>
    <row r="195" ht="18.75" customHeight="1" s="153">
      <c r="A195" s="227" t="n"/>
      <c r="B195" s="228" t="inlineStr">
        <is>
          <t>OTNIEL</t>
        </is>
      </c>
      <c r="C195" s="229" t="n"/>
      <c r="D195" s="229" t="n"/>
      <c r="E195" s="229" t="n">
        <v>1</v>
      </c>
      <c r="F195" s="230" t="n"/>
      <c r="G195" s="230" t="n"/>
      <c r="H195" s="257" t="n">
        <v>84000</v>
      </c>
      <c r="I195" s="258" t="n"/>
      <c r="J195" s="258" t="n">
        <v>84000</v>
      </c>
      <c r="K195" s="233" t="n"/>
      <c r="L195" s="233" t="n">
        <v>22000</v>
      </c>
      <c r="M195" s="156" t="n"/>
      <c r="N195" s="156" t="n"/>
      <c r="O195" s="156" t="n"/>
    </row>
    <row r="196" ht="18.75" customHeight="1" s="153">
      <c r="A196" s="227" t="n"/>
      <c r="B196" s="228" t="inlineStr">
        <is>
          <t>COGORNO 5520</t>
        </is>
      </c>
      <c r="C196" s="229" t="n">
        <v>6</v>
      </c>
      <c r="D196" s="229" t="n"/>
      <c r="E196" s="229" t="n"/>
      <c r="F196" s="230" t="n"/>
      <c r="G196" s="230" t="n"/>
      <c r="H196" s="257" t="n">
        <v>123000</v>
      </c>
      <c r="I196" s="258" t="n"/>
      <c r="J196" s="258" t="n">
        <v>123000</v>
      </c>
      <c r="K196" s="233" t="n"/>
      <c r="L196" s="233" t="n">
        <v>28200</v>
      </c>
      <c r="M196" s="156" t="n"/>
      <c r="N196" s="156" t="n"/>
      <c r="O196" s="156" t="n"/>
    </row>
    <row r="197" ht="18.75" customHeight="1" s="153">
      <c r="A197" s="227" t="n"/>
      <c r="B197" s="228" t="inlineStr">
        <is>
          <t>PANA GORRITI 4600</t>
        </is>
      </c>
      <c r="C197" s="229" t="n"/>
      <c r="D197" s="229" t="n"/>
      <c r="E197" s="229" t="n">
        <v>1</v>
      </c>
      <c r="F197" s="230" t="n"/>
      <c r="G197" s="230" t="n"/>
      <c r="H197" s="257" t="n">
        <v>84000</v>
      </c>
      <c r="I197" s="258" t="n"/>
      <c r="J197" s="258" t="n">
        <v>84000</v>
      </c>
      <c r="K197" s="233" t="n"/>
      <c r="L197" s="233" t="n">
        <v>22000</v>
      </c>
      <c r="M197" s="156" t="n"/>
      <c r="N197" s="156" t="n"/>
      <c r="O197" s="156" t="n"/>
    </row>
    <row r="198" ht="18.75" customHeight="1" s="153">
      <c r="A198" s="227" t="n"/>
      <c r="B198" s="228" t="inlineStr">
        <is>
          <t>9 DE JULIO 2107</t>
        </is>
      </c>
      <c r="C198" s="229" t="n">
        <v>1</v>
      </c>
      <c r="D198" s="229" t="n"/>
      <c r="E198" s="229" t="n"/>
      <c r="F198" s="230" t="n"/>
      <c r="G198" s="230" t="n"/>
      <c r="H198" s="257" t="n">
        <v>27000</v>
      </c>
      <c r="I198" s="258" t="n"/>
      <c r="J198" s="258" t="n">
        <v>27000</v>
      </c>
      <c r="K198" s="233" t="n"/>
      <c r="L198" s="233" t="n">
        <v>11200</v>
      </c>
      <c r="M198" s="156" t="n"/>
      <c r="N198" s="156" t="n"/>
      <c r="O198" s="156" t="n"/>
    </row>
    <row r="199" ht="18.75" customHeight="1" s="153">
      <c r="A199" s="227" t="n"/>
      <c r="B199" s="228" t="inlineStr">
        <is>
          <t>MALAVER 3793</t>
        </is>
      </c>
      <c r="C199" s="229" t="n"/>
      <c r="D199" s="229" t="n"/>
      <c r="E199" s="229" t="n">
        <v>1</v>
      </c>
      <c r="F199" s="230" t="n"/>
      <c r="G199" s="230" t="n"/>
      <c r="H199" s="257" t="n">
        <v>91000</v>
      </c>
      <c r="I199" s="258" t="n">
        <v>91000</v>
      </c>
      <c r="J199" s="258" t="n"/>
      <c r="K199" s="233" t="n"/>
      <c r="L199" s="233" t="n">
        <v>29000</v>
      </c>
      <c r="M199" s="156" t="n"/>
      <c r="N199" s="156" t="n"/>
      <c r="O199" s="156" t="n"/>
    </row>
    <row r="200" ht="18.75" customHeight="1" s="153">
      <c r="A200" s="227" t="n"/>
      <c r="B200" s="228" t="inlineStr">
        <is>
          <t>PUBLICO 2371</t>
        </is>
      </c>
      <c r="C200" s="229" t="n"/>
      <c r="D200" s="229" t="n"/>
      <c r="E200" s="229" t="n">
        <v>1</v>
      </c>
      <c r="F200" s="230" t="n"/>
      <c r="G200" s="230" t="n"/>
      <c r="H200" s="257" t="n">
        <v>89000</v>
      </c>
      <c r="I200" s="258" t="n">
        <v>89000</v>
      </c>
      <c r="J200" s="258" t="n"/>
      <c r="K200" s="233" t="n"/>
      <c r="L200" s="233" t="n">
        <v>27000</v>
      </c>
      <c r="M200" s="156" t="n"/>
      <c r="N200" s="156" t="n"/>
      <c r="O200" s="156" t="n"/>
    </row>
    <row r="201" ht="18.75" customHeight="1" s="153">
      <c r="A201" s="227" t="n">
        <v>46154</v>
      </c>
      <c r="B201" s="228" t="inlineStr">
        <is>
          <t>JJ PASO 3905</t>
        </is>
      </c>
      <c r="C201" s="229" t="n">
        <v>2</v>
      </c>
      <c r="D201" s="229" t="n">
        <v>1</v>
      </c>
      <c r="E201" s="229" t="n"/>
      <c r="F201" s="230" t="n"/>
      <c r="G201" s="230" t="n"/>
      <c r="H201" s="257" t="n">
        <v>91000</v>
      </c>
      <c r="I201" s="258" t="n"/>
      <c r="J201" s="258" t="n">
        <v>91000</v>
      </c>
      <c r="K201" s="233" t="n"/>
      <c r="L201" s="233" t="n">
        <v>35700</v>
      </c>
      <c r="M201" s="156" t="n"/>
      <c r="N201" s="156" t="n"/>
      <c r="O201" s="156" t="n"/>
    </row>
    <row r="202" ht="18.75" customHeight="1" s="153">
      <c r="A202" s="227" t="n"/>
      <c r="B202" s="228" t="inlineStr">
        <is>
          <t>AZCUENAGA 5023</t>
        </is>
      </c>
      <c r="C202" s="229" t="n">
        <v>4</v>
      </c>
      <c r="D202" s="229" t="n"/>
      <c r="E202" s="229" t="n"/>
      <c r="F202" s="230" t="n"/>
      <c r="G202" s="230" t="n"/>
      <c r="H202" s="257" t="n">
        <v>80000</v>
      </c>
      <c r="I202" s="258" t="n"/>
      <c r="J202" s="258" t="n">
        <v>80000</v>
      </c>
      <c r="K202" s="233" t="n"/>
      <c r="L202" s="233" t="n">
        <v>16800</v>
      </c>
      <c r="M202" s="156" t="n"/>
      <c r="N202" s="156" t="n"/>
      <c r="O202" s="156" t="n"/>
    </row>
    <row r="203" ht="18.75" customHeight="1" s="153">
      <c r="A203" s="227" t="n"/>
      <c r="B203" s="228" t="inlineStr">
        <is>
          <t>LUCHO</t>
        </is>
      </c>
      <c r="C203" s="229" t="n">
        <v>1</v>
      </c>
      <c r="D203" s="229" t="n"/>
      <c r="E203" s="229" t="n"/>
      <c r="F203" s="230" t="n"/>
      <c r="G203" s="230" t="n"/>
      <c r="H203" s="257" t="n">
        <v>20000</v>
      </c>
      <c r="I203" s="258" t="n"/>
      <c r="J203" s="258" t="n">
        <v>20000</v>
      </c>
      <c r="K203" s="233" t="n"/>
      <c r="L203" s="233" t="n">
        <v>4200</v>
      </c>
      <c r="M203" s="156" t="n"/>
      <c r="N203" s="156" t="n"/>
      <c r="O203" s="156" t="n"/>
    </row>
    <row r="204" ht="18.75" customHeight="1" s="153">
      <c r="A204" s="227" t="n"/>
      <c r="B204" s="228" t="inlineStr">
        <is>
          <t>ÁNGEL</t>
        </is>
      </c>
      <c r="C204" s="229" t="n"/>
      <c r="D204" s="229" t="n">
        <v>1</v>
      </c>
      <c r="E204" s="229" t="n"/>
      <c r="F204" s="230" t="n"/>
      <c r="G204" s="230" t="n"/>
      <c r="H204" s="257" t="n">
        <v>28500</v>
      </c>
      <c r="I204" s="258" t="n">
        <v>28500</v>
      </c>
      <c r="J204" s="258" t="n"/>
      <c r="K204" s="233" t="n"/>
      <c r="L204" s="233" t="n">
        <v>4800</v>
      </c>
      <c r="M204" s="156" t="n"/>
      <c r="N204" s="156" t="n"/>
      <c r="O204" s="156" t="n"/>
    </row>
    <row r="205" ht="18.75" customHeight="1" s="153">
      <c r="A205" s="227" t="n"/>
      <c r="B205" s="228" t="inlineStr">
        <is>
          <t>PANA VIEYTES 4500</t>
        </is>
      </c>
      <c r="C205" s="229" t="n"/>
      <c r="D205" s="229" t="n"/>
      <c r="E205" s="229" t="n">
        <v>1</v>
      </c>
      <c r="F205" s="230" t="n"/>
      <c r="G205" s="230" t="n"/>
      <c r="H205" s="257" t="n">
        <v>81000</v>
      </c>
      <c r="I205" s="258" t="n"/>
      <c r="J205" s="258" t="n">
        <v>81000</v>
      </c>
      <c r="K205" s="233" t="n"/>
      <c r="L205" s="233" t="n">
        <v>19000</v>
      </c>
      <c r="M205" s="156" t="n"/>
      <c r="N205" s="156" t="n"/>
      <c r="O205" s="156" t="n"/>
    </row>
    <row r="206" ht="18.75" customHeight="1" s="153">
      <c r="A206" s="227" t="n"/>
      <c r="B206" s="228" t="inlineStr">
        <is>
          <t>ESPORA 3540</t>
        </is>
      </c>
      <c r="C206" s="229" t="n">
        <v>1</v>
      </c>
      <c r="D206" s="229" t="n"/>
      <c r="E206" s="229" t="n"/>
      <c r="F206" s="230" t="n"/>
      <c r="G206" s="230" t="n"/>
      <c r="H206" s="257" t="n">
        <v>26000</v>
      </c>
      <c r="I206" s="258" t="n">
        <v>26000</v>
      </c>
      <c r="J206" s="258" t="n"/>
      <c r="K206" s="233" t="n"/>
      <c r="L206" s="233" t="n">
        <v>10200</v>
      </c>
      <c r="M206" s="156" t="n"/>
      <c r="N206" s="156" t="n"/>
      <c r="O206" s="156" t="n"/>
    </row>
    <row r="207" ht="18.75" customHeight="1" s="153">
      <c r="A207" s="227" t="n"/>
      <c r="B207" s="228" t="inlineStr">
        <is>
          <t>ESTANISLAO DEL CAMPO 1613</t>
        </is>
      </c>
      <c r="C207" s="229" t="n">
        <v>1</v>
      </c>
      <c r="D207" s="229" t="n"/>
      <c r="E207" s="229" t="n"/>
      <c r="F207" s="230" t="n"/>
      <c r="G207" s="230" t="n"/>
      <c r="H207" s="257" t="n">
        <v>27000</v>
      </c>
      <c r="I207" s="258" t="n"/>
      <c r="J207" s="258" t="n">
        <v>27000</v>
      </c>
      <c r="K207" s="233" t="n"/>
      <c r="L207" s="233" t="n">
        <v>11200</v>
      </c>
      <c r="M207" s="156" t="n"/>
      <c r="N207" s="156" t="n"/>
      <c r="O207" s="156" t="n"/>
    </row>
    <row r="208" ht="18.75" customHeight="1" s="153">
      <c r="A208" s="227" t="n"/>
      <c r="B208" s="228" t="inlineStr">
        <is>
          <t>LA RIOJA 3730</t>
        </is>
      </c>
      <c r="C208" s="229" t="n">
        <v>1</v>
      </c>
      <c r="D208" s="229" t="n"/>
      <c r="E208" s="229" t="n"/>
      <c r="F208" s="230" t="n"/>
      <c r="G208" s="230" t="n"/>
      <c r="H208" s="257" t="n">
        <v>26000</v>
      </c>
      <c r="I208" s="258" t="n"/>
      <c r="J208" s="258" t="n">
        <v>26000</v>
      </c>
      <c r="K208" s="233" t="n"/>
      <c r="L208" s="233" t="n">
        <v>10200</v>
      </c>
      <c r="M208" s="156" t="n"/>
      <c r="N208" s="156" t="n"/>
      <c r="O208" s="156" t="n"/>
    </row>
    <row r="209" ht="18.75" customHeight="1" s="153">
      <c r="A209" s="227" t="n"/>
      <c r="B209" s="228" t="inlineStr">
        <is>
          <t>M POLONIA 3065</t>
        </is>
      </c>
      <c r="C209" s="229" t="n">
        <v>4</v>
      </c>
      <c r="D209" s="229" t="n"/>
      <c r="E209" s="229" t="n"/>
      <c r="F209" s="230" t="n"/>
      <c r="G209" s="230" t="n"/>
      <c r="H209" s="257" t="n">
        <v>104000</v>
      </c>
      <c r="I209" s="258" t="n">
        <v>104000</v>
      </c>
      <c r="J209" s="258" t="n"/>
      <c r="K209" s="233" t="n"/>
      <c r="L209" s="233" t="n">
        <v>40800</v>
      </c>
      <c r="M209" s="156" t="n"/>
      <c r="N209" s="156" t="n"/>
      <c r="O209" s="156" t="n"/>
    </row>
    <row r="210" ht="18.75" customHeight="1" s="153">
      <c r="A210" s="227" t="n"/>
      <c r="B210" s="228" t="inlineStr">
        <is>
          <t>ROTI ARISTÓBULO</t>
        </is>
      </c>
      <c r="C210" s="229" t="n"/>
      <c r="D210" s="229" t="n">
        <v>1</v>
      </c>
      <c r="E210" s="229" t="n"/>
      <c r="F210" s="230" t="n"/>
      <c r="G210" s="230" t="n"/>
      <c r="H210" s="257" t="n">
        <v>36000</v>
      </c>
      <c r="I210" s="258" t="n"/>
      <c r="J210" s="258" t="n">
        <v>36000</v>
      </c>
      <c r="K210" s="233" t="n"/>
      <c r="L210" s="233" t="n">
        <v>12300</v>
      </c>
      <c r="M210" s="156" t="n"/>
      <c r="N210" s="156" t="n"/>
      <c r="O210" s="156" t="n"/>
    </row>
    <row r="211" ht="18.75" customHeight="1" s="153">
      <c r="A211" s="227" t="n"/>
      <c r="B211" s="228" t="inlineStr">
        <is>
          <t>MORENO 3669</t>
        </is>
      </c>
      <c r="C211" s="229" t="n">
        <v>1</v>
      </c>
      <c r="D211" s="229" t="n"/>
      <c r="E211" s="229" t="n"/>
      <c r="F211" s="230" t="n"/>
      <c r="G211" s="230" t="n"/>
      <c r="H211" s="257" t="n">
        <v>26000</v>
      </c>
      <c r="I211" s="258" t="n">
        <v>26000</v>
      </c>
      <c r="J211" s="258" t="n"/>
      <c r="K211" s="233" t="n"/>
      <c r="L211" s="233" t="n">
        <v>10200</v>
      </c>
      <c r="M211" s="156" t="n"/>
      <c r="N211" s="156" t="n"/>
      <c r="O211" s="156" t="n"/>
    </row>
    <row r="212" ht="18.75" customHeight="1" s="153">
      <c r="A212" s="227" t="n"/>
      <c r="B212" s="228" t="inlineStr">
        <is>
          <t>SANDRA</t>
        </is>
      </c>
      <c r="C212" s="229" t="n"/>
      <c r="D212" s="229" t="n">
        <v>2</v>
      </c>
      <c r="E212" s="229" t="n"/>
      <c r="F212" s="230" t="n"/>
      <c r="G212" s="230" t="n">
        <v>2</v>
      </c>
      <c r="H212" s="257" t="n">
        <v>70000</v>
      </c>
      <c r="I212" s="258" t="n">
        <v>70000</v>
      </c>
      <c r="J212" s="258" t="n"/>
      <c r="K212" s="233" t="n"/>
      <c r="L212" s="233" t="n">
        <v>20760</v>
      </c>
      <c r="M212" s="156" t="n"/>
      <c r="N212" s="156" t="n"/>
      <c r="O212" s="156" t="n"/>
    </row>
    <row r="213" ht="18.75" customHeight="1" s="153">
      <c r="A213" s="227" t="n"/>
      <c r="B213" s="228" t="inlineStr">
        <is>
          <t>PEÑALOZA 9757</t>
        </is>
      </c>
      <c r="C213" s="229" t="n">
        <v>2</v>
      </c>
      <c r="D213" s="229" t="n"/>
      <c r="E213" s="229" t="n"/>
      <c r="F213" s="230" t="n"/>
      <c r="G213" s="230" t="n"/>
      <c r="H213" s="257" t="n">
        <v>52000</v>
      </c>
      <c r="I213" s="258" t="n">
        <v>52000</v>
      </c>
      <c r="J213" s="258" t="n"/>
      <c r="K213" s="233" t="n"/>
      <c r="L213" s="233" t="n">
        <v>20400</v>
      </c>
      <c r="M213" s="156" t="n"/>
      <c r="N213" s="156" t="n"/>
      <c r="O213" s="156" t="n"/>
    </row>
    <row r="214" ht="18.75" customHeight="1" s="153">
      <c r="A214" s="227" t="n"/>
      <c r="B214" s="228" t="inlineStr">
        <is>
          <t>MARIO</t>
        </is>
      </c>
      <c r="C214" s="229" t="n">
        <v>3</v>
      </c>
      <c r="D214" s="229" t="n"/>
      <c r="E214" s="229" t="n"/>
      <c r="F214" s="230" t="n"/>
      <c r="G214" s="230" t="n"/>
      <c r="H214" s="257" t="n">
        <v>57000</v>
      </c>
      <c r="I214" s="258" t="n"/>
      <c r="J214" s="258" t="n">
        <v>57000</v>
      </c>
      <c r="K214" s="233" t="n"/>
      <c r="L214" s="233" t="n">
        <v>9600</v>
      </c>
      <c r="M214" s="156" t="n"/>
      <c r="N214" s="156" t="n"/>
      <c r="O214" s="156" t="n"/>
    </row>
    <row r="215" ht="18.75" customHeight="1" s="153">
      <c r="A215" s="227" t="n"/>
      <c r="B215" s="228" t="inlineStr">
        <is>
          <t>VIEYTES 4361</t>
        </is>
      </c>
      <c r="C215" s="229" t="n">
        <v>2</v>
      </c>
      <c r="D215" s="229" t="n"/>
      <c r="E215" s="229" t="n"/>
      <c r="F215" s="230" t="n"/>
      <c r="G215" s="230" t="n"/>
      <c r="H215" s="257" t="n">
        <v>52000</v>
      </c>
      <c r="I215" s="258" t="n">
        <v>52000</v>
      </c>
      <c r="J215" s="258" t="n"/>
      <c r="K215" s="233" t="n"/>
      <c r="L215" s="233" t="n">
        <v>20400</v>
      </c>
      <c r="M215" s="156" t="n"/>
      <c r="N215" s="156" t="n"/>
      <c r="O215" s="156" t="n"/>
    </row>
    <row r="216" ht="18.75" customHeight="1" s="153">
      <c r="A216" s="227" t="n"/>
      <c r="B216" s="228" t="inlineStr">
        <is>
          <t>FILOMENA</t>
        </is>
      </c>
      <c r="C216" s="229" t="n">
        <v>2</v>
      </c>
      <c r="D216" s="229" t="n"/>
      <c r="E216" s="229" t="n"/>
      <c r="F216" s="230" t="n"/>
      <c r="G216" s="230" t="n"/>
      <c r="H216" s="257" t="n">
        <v>49000</v>
      </c>
      <c r="I216" s="258" t="n"/>
      <c r="J216" s="258" t="n">
        <v>49000</v>
      </c>
      <c r="K216" s="233" t="n"/>
      <c r="L216" s="233" t="n">
        <v>17400</v>
      </c>
      <c r="M216" s="156" t="n"/>
      <c r="N216" s="156" t="n"/>
      <c r="O216" s="156" t="n"/>
    </row>
    <row r="217" ht="18.75" customHeight="1" s="153">
      <c r="A217" s="227" t="n"/>
      <c r="B217" s="228" t="inlineStr">
        <is>
          <t>DRUGSTORE LO DE NICO</t>
        </is>
      </c>
      <c r="C217" s="229" t="n">
        <v>4</v>
      </c>
      <c r="D217" s="229" t="n"/>
      <c r="E217" s="229" t="n"/>
      <c r="F217" s="230" t="n"/>
      <c r="G217" s="230" t="n"/>
      <c r="H217" s="257" t="n">
        <v>82000</v>
      </c>
      <c r="I217" s="258" t="n"/>
      <c r="J217" s="258" t="n">
        <v>82000</v>
      </c>
      <c r="K217" s="233" t="n"/>
      <c r="L217" s="233" t="n">
        <v>18800</v>
      </c>
      <c r="M217" s="156" t="n"/>
      <c r="N217" s="156" t="n"/>
      <c r="O217" s="156" t="n"/>
    </row>
    <row r="218" ht="18.75" customHeight="1" s="153">
      <c r="A218" s="227" t="n"/>
      <c r="B218" s="228" t="inlineStr">
        <is>
          <t>9 DE JULIO 1144</t>
        </is>
      </c>
      <c r="C218" s="229" t="n"/>
      <c r="D218" s="229" t="n"/>
      <c r="E218" s="229" t="n">
        <v>2</v>
      </c>
      <c r="F218" s="230" t="n"/>
      <c r="G218" s="230" t="n"/>
      <c r="H218" s="257" t="n">
        <v>184000</v>
      </c>
      <c r="I218" s="258" t="n"/>
      <c r="J218" s="258" t="n">
        <v>184000</v>
      </c>
      <c r="K218" s="233" t="n"/>
      <c r="L218" s="233" t="n">
        <v>60000</v>
      </c>
      <c r="M218" s="156" t="n"/>
      <c r="N218" s="156" t="n"/>
      <c r="O218" s="156" t="n"/>
    </row>
    <row r="219" ht="18.75" customHeight="1" s="153">
      <c r="A219" s="227" t="n"/>
      <c r="B219" s="228" t="inlineStr">
        <is>
          <t>DANA</t>
        </is>
      </c>
      <c r="C219" s="229" t="n">
        <v>4</v>
      </c>
      <c r="D219" s="229" t="n"/>
      <c r="E219" s="229" t="n"/>
      <c r="F219" s="230" t="n"/>
      <c r="G219" s="230" t="n"/>
      <c r="H219" s="257" t="n">
        <v>80000</v>
      </c>
      <c r="I219" s="258" t="n">
        <v>80000</v>
      </c>
      <c r="J219" s="258" t="n"/>
      <c r="K219" s="233" t="n"/>
      <c r="L219" s="233" t="n">
        <v>16800</v>
      </c>
      <c r="M219" s="156" t="n"/>
      <c r="N219" s="156" t="n"/>
      <c r="O219" s="156" t="n"/>
    </row>
    <row r="220" ht="18.75" customHeight="1" s="153">
      <c r="A220" s="227" t="n"/>
      <c r="B220" s="228" t="inlineStr">
        <is>
          <t>PANA VIEYTES GISELA</t>
        </is>
      </c>
      <c r="C220" s="229" t="n">
        <v>1</v>
      </c>
      <c r="D220" s="229" t="n"/>
      <c r="E220" s="229" t="n"/>
      <c r="F220" s="230" t="n"/>
      <c r="G220" s="230" t="n"/>
      <c r="H220" s="257" t="n">
        <v>24000</v>
      </c>
      <c r="I220" s="258" t="n"/>
      <c r="J220" s="258" t="n">
        <v>24000</v>
      </c>
      <c r="K220" s="233" t="n"/>
      <c r="L220" s="233" t="n">
        <v>8200</v>
      </c>
      <c r="M220" s="156" t="n"/>
      <c r="N220" s="156" t="n"/>
      <c r="O220" s="156" t="n"/>
    </row>
    <row r="221" ht="18.75" customHeight="1" s="153">
      <c r="A221" s="227" t="n"/>
      <c r="B221" s="228" t="inlineStr">
        <is>
          <t>PANDOLFO 8845</t>
        </is>
      </c>
      <c r="C221" s="229" t="n"/>
      <c r="D221" s="229" t="n"/>
      <c r="E221" s="229" t="n">
        <v>1</v>
      </c>
      <c r="F221" s="230" t="n"/>
      <c r="G221" s="230" t="n"/>
      <c r="H221" s="257" t="n">
        <v>89000</v>
      </c>
      <c r="I221" s="258" t="n">
        <v>89000</v>
      </c>
      <c r="J221" s="258" t="n"/>
      <c r="K221" s="233" t="n"/>
      <c r="L221" s="233" t="n">
        <v>27000</v>
      </c>
      <c r="M221" s="156" t="n"/>
      <c r="N221" s="156" t="n"/>
      <c r="O221" s="156" t="n"/>
    </row>
    <row r="222" ht="18.75" customHeight="1" s="153">
      <c r="A222" s="227" t="n"/>
      <c r="B222" s="228" t="inlineStr">
        <is>
          <t>CASANELLO 3463</t>
        </is>
      </c>
      <c r="C222" s="229" t="n">
        <v>1</v>
      </c>
      <c r="D222" s="229" t="n"/>
      <c r="E222" s="229" t="n"/>
      <c r="F222" s="230" t="n"/>
      <c r="G222" s="230" t="n"/>
      <c r="H222" s="257" t="n">
        <v>26000</v>
      </c>
      <c r="I222" s="258" t="n">
        <v>26000</v>
      </c>
      <c r="J222" s="258" t="n"/>
      <c r="K222" s="233" t="n"/>
      <c r="L222" s="233" t="n">
        <v>10200</v>
      </c>
      <c r="M222" s="156" t="n"/>
      <c r="N222" s="156" t="n"/>
      <c r="O222" s="156" t="n"/>
    </row>
    <row r="223" ht="18.75" customHeight="1" s="153">
      <c r="A223" s="227" t="n"/>
      <c r="B223" s="228" t="inlineStr">
        <is>
          <t>LA SALLE 3904</t>
        </is>
      </c>
      <c r="C223" s="229" t="n"/>
      <c r="D223" s="229" t="n"/>
      <c r="E223" s="229" t="n">
        <v>1</v>
      </c>
      <c r="F223" s="230" t="n"/>
      <c r="G223" s="230" t="n"/>
      <c r="H223" s="257" t="n">
        <v>89000</v>
      </c>
      <c r="I223" s="258" t="n">
        <v>89000</v>
      </c>
      <c r="J223" s="258" t="n"/>
      <c r="K223" s="233" t="n"/>
      <c r="L223" s="233" t="n">
        <v>27000</v>
      </c>
      <c r="M223" s="156" t="n"/>
      <c r="N223" s="156" t="n"/>
      <c r="O223" s="156" t="n"/>
    </row>
    <row r="224" ht="18.75" customHeight="1" s="153">
      <c r="A224" s="227" t="n"/>
      <c r="B224" s="228" t="inlineStr">
        <is>
          <t>GENERAL PAZ 6721</t>
        </is>
      </c>
      <c r="C224" s="229" t="n">
        <v>1</v>
      </c>
      <c r="D224" s="229" t="n"/>
      <c r="E224" s="229" t="n"/>
      <c r="F224" s="230" t="n"/>
      <c r="G224" s="230" t="n"/>
      <c r="H224" s="257" t="n">
        <v>26000</v>
      </c>
      <c r="I224" s="258" t="n"/>
      <c r="J224" s="258" t="n">
        <v>26000</v>
      </c>
      <c r="K224" s="233" t="n"/>
      <c r="L224" s="233" t="n">
        <v>10200</v>
      </c>
      <c r="M224" s="156" t="n"/>
      <c r="N224" s="156" t="n"/>
      <c r="O224" s="156" t="n"/>
    </row>
    <row r="225" ht="18.75" customHeight="1" s="153">
      <c r="A225" s="227" t="n"/>
      <c r="B225" s="228" t="inlineStr">
        <is>
          <t>FRANCIA 3285</t>
        </is>
      </c>
      <c r="C225" s="229" t="n">
        <v>3</v>
      </c>
      <c r="D225" s="229" t="n"/>
      <c r="E225" s="229" t="n"/>
      <c r="F225" s="230" t="n"/>
      <c r="G225" s="230" t="n"/>
      <c r="H225" s="257" t="n">
        <v>78000</v>
      </c>
      <c r="I225" s="258" t="n">
        <v>78000</v>
      </c>
      <c r="J225" s="258" t="n"/>
      <c r="K225" s="233" t="n"/>
      <c r="L225" s="233" t="n">
        <v>30600</v>
      </c>
      <c r="M225" s="156" t="n"/>
      <c r="N225" s="156" t="n"/>
      <c r="O225" s="156" t="n"/>
    </row>
    <row r="226" ht="18.75" customHeight="1" s="153">
      <c r="A226" s="227" t="n">
        <v>46155</v>
      </c>
      <c r="B226" s="228" t="inlineStr">
        <is>
          <t>ACSIAS 10301</t>
        </is>
      </c>
      <c r="C226" s="229" t="n">
        <v>2</v>
      </c>
      <c r="D226" s="229" t="n"/>
      <c r="E226" s="229" t="n"/>
      <c r="F226" s="230" t="n"/>
      <c r="G226" s="230" t="n"/>
      <c r="H226" s="257" t="n">
        <v>54000</v>
      </c>
      <c r="I226" s="258" t="n"/>
      <c r="J226" s="258" t="n">
        <v>54000</v>
      </c>
      <c r="K226" s="233" t="n"/>
      <c r="L226" s="233" t="n">
        <v>22400</v>
      </c>
      <c r="M226" s="156" t="n"/>
      <c r="N226" s="156" t="n"/>
      <c r="O226" s="156" t="n"/>
    </row>
    <row r="227" ht="18.75" customHeight="1" s="153">
      <c r="A227" s="227" t="n"/>
      <c r="B227" s="228" t="inlineStr">
        <is>
          <t>CHICLANA 7325</t>
        </is>
      </c>
      <c r="C227" s="229" t="n">
        <v>1</v>
      </c>
      <c r="D227" s="229" t="n"/>
      <c r="E227" s="229" t="n"/>
      <c r="F227" s="230" t="n"/>
      <c r="G227" s="230" t="n"/>
      <c r="H227" s="257" t="n">
        <v>20000</v>
      </c>
      <c r="I227" s="258" t="n"/>
      <c r="J227" s="258" t="n">
        <v>20000</v>
      </c>
      <c r="K227" s="233" t="n"/>
      <c r="L227" s="233" t="n">
        <v>4200</v>
      </c>
      <c r="M227" s="156" t="n"/>
      <c r="N227" s="156" t="n"/>
      <c r="O227" s="156" t="n"/>
    </row>
    <row r="228" ht="18.75" customHeight="1" s="153">
      <c r="A228" s="227" t="n"/>
      <c r="B228" s="228" t="inlineStr">
        <is>
          <t>PUBLICO 8821</t>
        </is>
      </c>
      <c r="C228" s="229" t="n"/>
      <c r="D228" s="229" t="n"/>
      <c r="E228" s="229" t="n">
        <v>1</v>
      </c>
      <c r="F228" s="230" t="n"/>
      <c r="G228" s="230" t="n"/>
      <c r="H228" s="257" t="n">
        <v>91000</v>
      </c>
      <c r="I228" s="258" t="n"/>
      <c r="J228" s="258" t="n">
        <v>91000</v>
      </c>
      <c r="K228" s="233" t="n"/>
      <c r="L228" s="233" t="n">
        <v>29000</v>
      </c>
      <c r="M228" s="156" t="n"/>
      <c r="N228" s="156" t="n"/>
      <c r="O228" s="156" t="n"/>
    </row>
    <row r="229" ht="18.75" customHeight="1" s="153">
      <c r="A229" s="227" t="n"/>
      <c r="B229" s="228" t="inlineStr">
        <is>
          <t>ÁNGEL</t>
        </is>
      </c>
      <c r="C229" s="229" t="n"/>
      <c r="D229" s="229" t="n">
        <v>1</v>
      </c>
      <c r="E229" s="229" t="n"/>
      <c r="F229" s="230" t="n"/>
      <c r="G229" s="230" t="n"/>
      <c r="H229" s="257" t="n">
        <v>28500</v>
      </c>
      <c r="I229" s="258" t="n">
        <v>28500</v>
      </c>
      <c r="J229" s="258" t="n"/>
      <c r="K229" s="233" t="n"/>
      <c r="L229" s="233" t="n">
        <v>4800</v>
      </c>
      <c r="M229" s="156" t="n"/>
      <c r="N229" s="156" t="n"/>
      <c r="O229" s="156" t="n"/>
    </row>
    <row r="230" ht="18.75" customHeight="1" s="153">
      <c r="A230" s="227" t="n"/>
      <c r="B230" s="228" t="inlineStr">
        <is>
          <t>BEATRIZ</t>
        </is>
      </c>
      <c r="C230" s="229" t="n"/>
      <c r="D230" s="229" t="n"/>
      <c r="E230" s="229" t="n"/>
      <c r="F230" s="230" t="n"/>
      <c r="G230" s="230" t="n">
        <v>1</v>
      </c>
      <c r="H230" s="257" t="n">
        <v>6000</v>
      </c>
      <c r="I230" s="258" t="n"/>
      <c r="J230" s="258" t="n">
        <v>6000</v>
      </c>
      <c r="K230" s="233" t="n"/>
      <c r="L230" s="233" t="n">
        <v>5080</v>
      </c>
      <c r="M230" s="156" t="n"/>
      <c r="N230" s="156" t="n"/>
      <c r="O230" s="156" t="n"/>
    </row>
    <row r="231" ht="18.75" customHeight="1" s="153">
      <c r="A231" s="227" t="n"/>
      <c r="B231" s="228" t="inlineStr">
        <is>
          <t>LOBOS</t>
        </is>
      </c>
      <c r="C231" s="229" t="n">
        <v>1</v>
      </c>
      <c r="D231" s="229" t="n"/>
      <c r="E231" s="229" t="n">
        <v>1</v>
      </c>
      <c r="F231" s="230" t="n"/>
      <c r="G231" s="230" t="n"/>
      <c r="H231" s="257" t="n">
        <v>117000</v>
      </c>
      <c r="I231" s="258" t="n">
        <v>117000</v>
      </c>
      <c r="J231" s="258" t="n"/>
      <c r="K231" s="233" t="n"/>
      <c r="L231" s="233" t="n">
        <v>39200</v>
      </c>
      <c r="M231" s="156" t="n"/>
      <c r="N231" s="156" t="n"/>
      <c r="O231" s="156" t="n"/>
    </row>
    <row r="232" ht="18.75" customHeight="1" s="153">
      <c r="A232" s="227" t="n"/>
      <c r="B232" s="228" t="inlineStr">
        <is>
          <t>TOFFO MAMA</t>
        </is>
      </c>
      <c r="C232" s="229" t="n"/>
      <c r="D232" s="229" t="n">
        <v>1</v>
      </c>
      <c r="E232" s="229" t="n"/>
      <c r="F232" s="230" t="n"/>
      <c r="G232" s="230" t="n"/>
      <c r="H232" s="257" t="n">
        <v>39500</v>
      </c>
      <c r="I232" s="258" t="n">
        <v>39500</v>
      </c>
      <c r="J232" s="258" t="n"/>
      <c r="K232" s="233" t="n"/>
      <c r="L232" s="233" t="n">
        <v>15800</v>
      </c>
      <c r="M232" s="156" t="n"/>
      <c r="N232" s="156" t="n"/>
      <c r="O232" s="156" t="n"/>
    </row>
    <row r="233" ht="18.75" customHeight="1" s="153">
      <c r="A233" s="227" t="n"/>
      <c r="B233" s="228" t="inlineStr">
        <is>
          <t>LUCHO</t>
        </is>
      </c>
      <c r="C233" s="229" t="n">
        <v>2</v>
      </c>
      <c r="D233" s="229" t="n"/>
      <c r="E233" s="229" t="n"/>
      <c r="F233" s="230" t="n"/>
      <c r="G233" s="230" t="n"/>
      <c r="H233" s="257" t="n">
        <v>40000</v>
      </c>
      <c r="I233" s="258" t="n"/>
      <c r="J233" s="258" t="n">
        <v>40000</v>
      </c>
      <c r="K233" s="233" t="n"/>
      <c r="L233" s="233" t="n">
        <v>8400</v>
      </c>
      <c r="M233" s="156" t="n"/>
      <c r="N233" s="156" t="n"/>
      <c r="O233" s="156" t="n"/>
    </row>
    <row r="234" ht="18.75" customHeight="1" s="153">
      <c r="A234" s="227" t="n"/>
      <c r="B234" s="228" t="inlineStr">
        <is>
          <t>CASTELLI 5351</t>
        </is>
      </c>
      <c r="C234" s="229" t="n">
        <v>1</v>
      </c>
      <c r="D234" s="229" t="n"/>
      <c r="E234" s="229" t="n"/>
      <c r="F234" s="230" t="n"/>
      <c r="G234" s="230" t="n"/>
      <c r="H234" s="257" t="n">
        <v>26000</v>
      </c>
      <c r="I234" s="258" t="n">
        <v>26000</v>
      </c>
      <c r="J234" s="258" t="n"/>
      <c r="K234" s="233" t="n"/>
      <c r="L234" s="233" t="n">
        <v>10200</v>
      </c>
      <c r="M234" s="156" t="n"/>
      <c r="N234" s="156" t="n"/>
      <c r="O234" s="156" t="n"/>
    </row>
    <row r="235" ht="18.75" customHeight="1" s="153">
      <c r="A235" s="227" t="n"/>
      <c r="B235" s="228" t="inlineStr">
        <is>
          <t>4 DE ENERO 2646</t>
        </is>
      </c>
      <c r="C235" s="229" t="n">
        <v>1</v>
      </c>
      <c r="D235" s="229" t="n"/>
      <c r="E235" s="229" t="n"/>
      <c r="F235" s="230" t="n"/>
      <c r="G235" s="230" t="n"/>
      <c r="H235" s="257" t="n">
        <v>26000</v>
      </c>
      <c r="I235" s="258" t="n">
        <v>26000</v>
      </c>
      <c r="J235" s="258" t="n"/>
      <c r="K235" s="233" t="n"/>
      <c r="L235" s="233" t="n">
        <v>10200</v>
      </c>
      <c r="M235" s="156" t="n"/>
      <c r="N235" s="156" t="n"/>
      <c r="O235" s="156" t="n"/>
    </row>
    <row r="236" ht="18.75" customHeight="1" s="153">
      <c r="A236" s="227" t="n"/>
      <c r="B236" s="228" t="inlineStr">
        <is>
          <t>ROTI VIEYTES</t>
        </is>
      </c>
      <c r="C236" s="229" t="n"/>
      <c r="D236" s="229" t="n">
        <v>2</v>
      </c>
      <c r="E236" s="229" t="n"/>
      <c r="F236" s="230" t="n"/>
      <c r="G236" s="230" t="n"/>
      <c r="H236" s="257" t="n">
        <v>64000</v>
      </c>
      <c r="I236" s="258" t="n"/>
      <c r="J236" s="258" t="n">
        <v>64000</v>
      </c>
      <c r="K236" s="233" t="n"/>
      <c r="L236" s="233" t="n">
        <v>16600</v>
      </c>
      <c r="M236" s="156" t="n"/>
      <c r="N236" s="156" t="n"/>
      <c r="O236" s="156" t="n"/>
    </row>
    <row r="237" ht="18.75" customHeight="1" s="153">
      <c r="A237" s="227" t="n"/>
      <c r="B237" s="228" t="inlineStr">
        <is>
          <t>SANTIAGO CHILE 5832</t>
        </is>
      </c>
      <c r="C237" s="229" t="n">
        <v>1</v>
      </c>
      <c r="D237" s="229" t="n"/>
      <c r="E237" s="229" t="n"/>
      <c r="F237" s="230" t="n"/>
      <c r="G237" s="230" t="n"/>
      <c r="H237" s="257" t="n">
        <v>26000</v>
      </c>
      <c r="I237" s="258" t="n">
        <v>26000</v>
      </c>
      <c r="J237" s="258" t="n"/>
      <c r="K237" s="233" t="n"/>
      <c r="L237" s="233" t="n">
        <v>10200</v>
      </c>
      <c r="M237" s="156" t="n"/>
      <c r="N237" s="156" t="n"/>
      <c r="O237" s="156" t="n"/>
    </row>
    <row r="238" ht="18.75" customHeight="1" s="153">
      <c r="A238" s="227" t="n"/>
      <c r="B238" s="228" t="inlineStr">
        <is>
          <t>DANA</t>
        </is>
      </c>
      <c r="C238" s="229" t="n"/>
      <c r="D238" s="229" t="n">
        <v>1</v>
      </c>
      <c r="E238" s="229" t="n"/>
      <c r="F238" s="230" t="n"/>
      <c r="G238" s="230" t="n"/>
      <c r="H238" s="257" t="n">
        <v>31000</v>
      </c>
      <c r="I238" s="258" t="n">
        <v>31000</v>
      </c>
      <c r="J238" s="258" t="n"/>
      <c r="K238" s="233" t="n"/>
      <c r="L238" s="233" t="n">
        <v>7300</v>
      </c>
      <c r="M238" s="156" t="n"/>
      <c r="N238" s="156" t="n"/>
      <c r="O238" s="156" t="n"/>
    </row>
    <row r="239" ht="18.75" customHeight="1" s="153">
      <c r="A239" s="227" t="n"/>
      <c r="B239" s="228" t="inlineStr">
        <is>
          <t>JM ZUVIRIA 1852</t>
        </is>
      </c>
      <c r="C239" s="229" t="n"/>
      <c r="D239" s="229" t="n"/>
      <c r="E239" s="229" t="n">
        <v>1</v>
      </c>
      <c r="F239" s="230" t="n"/>
      <c r="G239" s="230" t="n"/>
      <c r="H239" s="257" t="n">
        <v>92000</v>
      </c>
      <c r="I239" s="258" t="n"/>
      <c r="J239" s="258" t="n">
        <v>92000</v>
      </c>
      <c r="K239" s="233" t="n"/>
      <c r="L239" s="233" t="n">
        <v>30000</v>
      </c>
      <c r="M239" s="156" t="n"/>
      <c r="N239" s="156" t="n"/>
      <c r="O239" s="156" t="n"/>
    </row>
    <row r="240" ht="18.75" customHeight="1" s="153">
      <c r="A240" s="227" t="n"/>
      <c r="B240" s="228" t="inlineStr">
        <is>
          <t>CAREN</t>
        </is>
      </c>
      <c r="C240" s="229" t="n"/>
      <c r="D240" s="229" t="n"/>
      <c r="E240" s="229" t="n">
        <v>1</v>
      </c>
      <c r="F240" s="230" t="n"/>
      <c r="G240" s="230" t="n"/>
      <c r="H240" s="257" t="n">
        <v>85000</v>
      </c>
      <c r="I240" s="258" t="n"/>
      <c r="J240" s="258" t="n">
        <v>85000</v>
      </c>
      <c r="K240" s="233" t="n"/>
      <c r="L240" s="233" t="n">
        <v>23000</v>
      </c>
      <c r="M240" s="156" t="n"/>
      <c r="N240" s="156" t="n"/>
      <c r="O240" s="156" t="n"/>
    </row>
    <row r="241" ht="18.75" customHeight="1" s="153">
      <c r="A241" s="227" t="n"/>
      <c r="B241" s="228" t="inlineStr">
        <is>
          <t>AYACUCHO 5284</t>
        </is>
      </c>
      <c r="C241" s="229" t="n">
        <v>1</v>
      </c>
      <c r="D241" s="229" t="n"/>
      <c r="E241" s="229" t="n"/>
      <c r="F241" s="230" t="n"/>
      <c r="G241" s="230" t="n"/>
      <c r="H241" s="257" t="n">
        <v>26000</v>
      </c>
      <c r="I241" s="258" t="n"/>
      <c r="J241" s="258" t="n">
        <v>26000</v>
      </c>
      <c r="K241" s="233" t="n"/>
      <c r="L241" s="233" t="n">
        <v>10200</v>
      </c>
      <c r="M241" s="156" t="n"/>
      <c r="N241" s="156" t="n"/>
      <c r="O241" s="156" t="n"/>
    </row>
    <row r="242" ht="18.75" customHeight="1" s="153">
      <c r="A242" s="227" t="n"/>
      <c r="B242" s="228" t="inlineStr">
        <is>
          <t>HERNANDARIAS 3445</t>
        </is>
      </c>
      <c r="C242" s="229" t="n">
        <v>1</v>
      </c>
      <c r="D242" s="229" t="n"/>
      <c r="E242" s="229" t="n"/>
      <c r="F242" s="230" t="n"/>
      <c r="G242" s="230" t="n"/>
      <c r="H242" s="257" t="n">
        <v>26000</v>
      </c>
      <c r="I242" s="258" t="n">
        <v>26000</v>
      </c>
      <c r="J242" s="258" t="n"/>
      <c r="K242" s="233" t="n"/>
      <c r="L242" s="233" t="n">
        <v>10200</v>
      </c>
      <c r="M242" s="156" t="n"/>
      <c r="N242" s="156" t="n"/>
      <c r="O242" s="156" t="n"/>
    </row>
    <row r="243" ht="18.75" customHeight="1" s="153">
      <c r="A243" s="227" t="n"/>
      <c r="B243" s="228" t="inlineStr">
        <is>
          <t>HERNANDARIAS 2253</t>
        </is>
      </c>
      <c r="C243" s="229" t="n"/>
      <c r="D243" s="229" t="n">
        <v>1</v>
      </c>
      <c r="E243" s="229" t="n"/>
      <c r="F243" s="230" t="n"/>
      <c r="G243" s="230" t="n"/>
      <c r="H243" s="257" t="n">
        <v>39500</v>
      </c>
      <c r="I243" s="258" t="n"/>
      <c r="J243" s="258" t="n">
        <v>39500</v>
      </c>
      <c r="K243" s="233" t="n"/>
      <c r="L243" s="233" t="n">
        <v>15800</v>
      </c>
      <c r="M243" s="156" t="n"/>
      <c r="N243" s="156" t="n"/>
      <c r="O243" s="156" t="n"/>
    </row>
    <row r="244" ht="18.75" customHeight="1" s="153">
      <c r="A244" s="227" t="n">
        <v>46156</v>
      </c>
      <c r="B244" s="228" t="inlineStr">
        <is>
          <t>VALDIVIESO 6832</t>
        </is>
      </c>
      <c r="C244" s="229" t="n"/>
      <c r="D244" s="229" t="n"/>
      <c r="E244" s="229" t="n">
        <v>1</v>
      </c>
      <c r="F244" s="230" t="n"/>
      <c r="G244" s="230" t="n"/>
      <c r="H244" s="257" t="n">
        <v>91000</v>
      </c>
      <c r="I244" s="258" t="n"/>
      <c r="J244" s="258" t="n">
        <v>91000</v>
      </c>
      <c r="K244" s="233" t="n"/>
      <c r="L244" s="233" t="n">
        <v>29000</v>
      </c>
      <c r="M244" s="156" t="n"/>
      <c r="N244" s="156" t="n"/>
      <c r="O244" s="156" t="n"/>
    </row>
    <row r="245" ht="18.75" customHeight="1" s="153">
      <c r="A245" s="227" t="n"/>
      <c r="B245" s="228" t="inlineStr">
        <is>
          <t>RIVADAVIA 6330</t>
        </is>
      </c>
      <c r="C245" s="229" t="n">
        <v>1</v>
      </c>
      <c r="D245" s="229" t="n"/>
      <c r="E245" s="229" t="n"/>
      <c r="F245" s="230" t="n"/>
      <c r="G245" s="230" t="n"/>
      <c r="H245" s="257" t="n">
        <v>27000</v>
      </c>
      <c r="I245" s="258" t="n">
        <v>27000</v>
      </c>
      <c r="J245" s="258" t="n"/>
      <c r="K245" s="233" t="n"/>
      <c r="L245" s="233" t="n">
        <v>11200</v>
      </c>
      <c r="M245" s="156" t="n"/>
      <c r="N245" s="156" t="n"/>
      <c r="O245" s="156" t="n"/>
    </row>
    <row r="246" ht="18.75" customHeight="1" s="153">
      <c r="A246" s="227" t="n"/>
      <c r="B246" s="228" t="inlineStr">
        <is>
          <t>PASAJE MAIPU 3315</t>
        </is>
      </c>
      <c r="C246" s="229" t="n"/>
      <c r="D246" s="229" t="n"/>
      <c r="E246" s="229" t="n">
        <v>1</v>
      </c>
      <c r="F246" s="230" t="n"/>
      <c r="G246" s="230" t="n"/>
      <c r="H246" s="257" t="n">
        <v>91000</v>
      </c>
      <c r="I246" s="258" t="n"/>
      <c r="J246" s="258" t="n">
        <v>91000</v>
      </c>
      <c r="K246" s="233" t="n"/>
      <c r="L246" s="233" t="n">
        <v>29000</v>
      </c>
      <c r="M246" s="156" t="n"/>
      <c r="N246" s="156" t="n"/>
      <c r="O246" s="156" t="n"/>
    </row>
    <row r="247" ht="18.75" customHeight="1" s="153">
      <c r="A247" s="227" t="n"/>
      <c r="B247" s="228" t="inlineStr">
        <is>
          <t>COSTA ESTE 1980</t>
        </is>
      </c>
      <c r="C247" s="229" t="n">
        <v>4</v>
      </c>
      <c r="D247" s="229" t="n"/>
      <c r="E247" s="229" t="n"/>
      <c r="F247" s="230" t="n"/>
      <c r="G247" s="230" t="n"/>
      <c r="H247" s="257" t="n">
        <v>112000</v>
      </c>
      <c r="I247" s="258" t="n">
        <v>112000</v>
      </c>
      <c r="J247" s="258" t="n"/>
      <c r="K247" s="233" t="n"/>
      <c r="L247" s="233" t="n">
        <v>48800</v>
      </c>
      <c r="M247" s="156" t="n"/>
      <c r="N247" s="156" t="n"/>
      <c r="O247" s="156" t="n"/>
    </row>
    <row r="248" ht="18.75" customHeight="1" s="153">
      <c r="A248" s="227" t="n"/>
      <c r="B248" s="228" t="inlineStr">
        <is>
          <t>ÁNGEL</t>
        </is>
      </c>
      <c r="C248" s="229" t="n">
        <v>1</v>
      </c>
      <c r="D248" s="229" t="n">
        <v>1</v>
      </c>
      <c r="E248" s="229" t="n"/>
      <c r="F248" s="230" t="n"/>
      <c r="G248" s="230" t="n"/>
      <c r="H248" s="257" t="n">
        <v>47500</v>
      </c>
      <c r="I248" s="258" t="n">
        <v>47500</v>
      </c>
      <c r="J248" s="258" t="n"/>
      <c r="K248" s="233" t="n"/>
      <c r="L248" s="233" t="n">
        <v>8000</v>
      </c>
      <c r="M248" s="156" t="n"/>
      <c r="N248" s="156" t="n"/>
      <c r="O248" s="156" t="n"/>
    </row>
    <row r="249" ht="18.75" customHeight="1" s="153">
      <c r="A249" s="227" t="n"/>
      <c r="B249" s="228" t="inlineStr">
        <is>
          <t>VIANDAS JORGE</t>
        </is>
      </c>
      <c r="C249" s="229" t="n">
        <v>1</v>
      </c>
      <c r="D249" s="229" t="n"/>
      <c r="E249" s="229" t="n"/>
      <c r="F249" s="230" t="n"/>
      <c r="G249" s="230" t="n"/>
      <c r="H249" s="257" t="n">
        <v>23000</v>
      </c>
      <c r="I249" s="258" t="n">
        <v>23000</v>
      </c>
      <c r="J249" s="258" t="n"/>
      <c r="K249" s="233" t="n"/>
      <c r="L249" s="233" t="n">
        <v>7200</v>
      </c>
      <c r="M249" s="156" t="n"/>
      <c r="N249" s="156" t="n"/>
      <c r="O249" s="156" t="n"/>
    </row>
    <row r="250" ht="18.75" customHeight="1" s="153">
      <c r="A250" s="227" t="n"/>
      <c r="B250" s="228" t="inlineStr">
        <is>
          <t>CAMELLI 4860</t>
        </is>
      </c>
      <c r="C250" s="229" t="n">
        <v>1</v>
      </c>
      <c r="D250" s="229" t="n"/>
      <c r="E250" s="229" t="n"/>
      <c r="F250" s="230" t="n"/>
      <c r="G250" s="230" t="n"/>
      <c r="H250" s="257" t="n">
        <v>27000</v>
      </c>
      <c r="I250" s="258" t="n"/>
      <c r="J250" s="258" t="n">
        <v>27000</v>
      </c>
      <c r="K250" s="233" t="n"/>
      <c r="L250" s="233" t="n">
        <v>11200</v>
      </c>
      <c r="M250" s="156" t="n"/>
      <c r="N250" s="156" t="n"/>
      <c r="O250" s="156" t="n"/>
    </row>
    <row r="251" ht="18.75" customHeight="1" s="153">
      <c r="A251" s="227" t="n"/>
      <c r="B251" s="228" t="inlineStr">
        <is>
          <t>AZCUENAGA 5023</t>
        </is>
      </c>
      <c r="C251" s="229" t="n">
        <v>4</v>
      </c>
      <c r="D251" s="229" t="n"/>
      <c r="E251" s="229" t="n"/>
      <c r="F251" s="230" t="n"/>
      <c r="G251" s="230" t="n"/>
      <c r="H251" s="257" t="n">
        <v>80000</v>
      </c>
      <c r="I251" s="258" t="n"/>
      <c r="J251" s="258" t="n">
        <v>80000</v>
      </c>
      <c r="K251" s="233" t="n"/>
      <c r="L251" s="233" t="n">
        <v>16800</v>
      </c>
      <c r="M251" s="156" t="n"/>
      <c r="N251" s="156" t="n"/>
      <c r="O251" s="156" t="n"/>
    </row>
    <row r="252" ht="18.75" customHeight="1" s="153">
      <c r="A252" s="227" t="n"/>
      <c r="B252" s="228" t="inlineStr">
        <is>
          <t>PJE BOEDO 1637</t>
        </is>
      </c>
      <c r="C252" s="229" t="n">
        <v>1</v>
      </c>
      <c r="D252" s="229" t="n"/>
      <c r="E252" s="229" t="n"/>
      <c r="F252" s="230" t="n"/>
      <c r="G252" s="230" t="n"/>
      <c r="H252" s="257" t="n">
        <v>27000</v>
      </c>
      <c r="I252" s="258" t="n">
        <v>27000</v>
      </c>
      <c r="J252" s="258" t="n"/>
      <c r="K252" s="233" t="n"/>
      <c r="L252" s="233" t="n">
        <v>11200</v>
      </c>
      <c r="M252" s="156" t="n"/>
      <c r="N252" s="156" t="n"/>
      <c r="O252" s="156" t="n"/>
    </row>
    <row r="253" ht="18.75" customHeight="1" s="153">
      <c r="A253" s="227" t="n"/>
      <c r="B253" s="228" t="inlineStr">
        <is>
          <t>LAS HERAS 5947</t>
        </is>
      </c>
      <c r="C253" s="229" t="n">
        <v>1</v>
      </c>
      <c r="D253" s="229" t="n"/>
      <c r="E253" s="229" t="n"/>
      <c r="F253" s="230" t="n"/>
      <c r="G253" s="230" t="n"/>
      <c r="H253" s="257" t="n">
        <v>27000</v>
      </c>
      <c r="I253" s="258" t="n"/>
      <c r="J253" s="258" t="n">
        <v>27000</v>
      </c>
      <c r="K253" s="233" t="n"/>
      <c r="L253" s="233" t="n">
        <v>11200</v>
      </c>
      <c r="M253" s="156" t="n"/>
      <c r="N253" s="156" t="n"/>
      <c r="O253" s="156" t="n"/>
    </row>
    <row r="254" ht="18.75" customHeight="1" s="153">
      <c r="A254" s="227" t="n"/>
      <c r="B254" s="228" t="inlineStr">
        <is>
          <t>PICHI</t>
        </is>
      </c>
      <c r="C254" s="229" t="n">
        <v>1</v>
      </c>
      <c r="D254" s="229" t="n"/>
      <c r="E254" s="229" t="n"/>
      <c r="F254" s="230" t="n"/>
      <c r="G254" s="230" t="n"/>
      <c r="H254" s="257" t="n">
        <v>22000</v>
      </c>
      <c r="I254" s="258" t="n"/>
      <c r="J254" s="258" t="n">
        <v>22000</v>
      </c>
      <c r="K254" s="233" t="n"/>
      <c r="L254" s="233" t="n">
        <v>6200</v>
      </c>
      <c r="M254" s="156" t="n"/>
      <c r="N254" s="156" t="n"/>
      <c r="O254" s="156" t="n"/>
    </row>
    <row r="255" ht="18.75" customHeight="1" s="153">
      <c r="A255" s="227" t="n"/>
      <c r="B255" s="228" t="inlineStr">
        <is>
          <t>ROTI SAN LORENZO</t>
        </is>
      </c>
      <c r="C255" s="229" t="n">
        <v>2</v>
      </c>
      <c r="D255" s="229" t="n">
        <v>2</v>
      </c>
      <c r="E255" s="229" t="n"/>
      <c r="F255" s="230" t="n"/>
      <c r="G255" s="230" t="n"/>
      <c r="H255" s="257" t="n">
        <v>125000</v>
      </c>
      <c r="I255" s="258" t="n"/>
      <c r="J255" s="258" t="n">
        <v>125000</v>
      </c>
      <c r="K255" s="233" t="n"/>
      <c r="L255" s="233" t="n">
        <v>46000</v>
      </c>
      <c r="M255" s="156" t="n"/>
      <c r="N255" s="156" t="n"/>
      <c r="O255" s="156" t="n"/>
    </row>
    <row r="256" ht="18.75" customHeight="1" s="153">
      <c r="A256" s="227" t="n"/>
      <c r="B256" s="228" t="inlineStr">
        <is>
          <t>SANTA BAR 1 MAYO 1959</t>
        </is>
      </c>
      <c r="C256" s="229" t="n"/>
      <c r="D256" s="229" t="n"/>
      <c r="E256" s="229" t="n">
        <v>1</v>
      </c>
      <c r="F256" s="230" t="n"/>
      <c r="G256" s="230" t="n"/>
      <c r="H256" s="257" t="n">
        <v>88000</v>
      </c>
      <c r="I256" s="258" t="n">
        <v>43000</v>
      </c>
      <c r="J256" s="258" t="n">
        <v>45000</v>
      </c>
      <c r="K256" s="233" t="n"/>
      <c r="L256" s="233" t="n">
        <v>26000</v>
      </c>
      <c r="M256" s="156" t="n"/>
      <c r="N256" s="156" t="n"/>
      <c r="O256" s="156" t="n"/>
    </row>
    <row r="257" ht="18.75" customHeight="1" s="153">
      <c r="A257" s="227" t="n"/>
      <c r="B257" s="228" t="inlineStr">
        <is>
          <t>ARENALES 10625</t>
        </is>
      </c>
      <c r="C257" s="229" t="n">
        <v>2</v>
      </c>
      <c r="D257" s="229" t="n"/>
      <c r="E257" s="229" t="n">
        <v>1</v>
      </c>
      <c r="F257" s="230" t="n"/>
      <c r="G257" s="230" t="n"/>
      <c r="H257" s="257" t="n">
        <v>112000</v>
      </c>
      <c r="I257" s="258" t="n">
        <v>112000</v>
      </c>
      <c r="J257" s="258" t="n"/>
      <c r="K257" s="233" t="n"/>
      <c r="L257" s="233" t="n">
        <v>18400</v>
      </c>
      <c r="M257" s="156" t="n"/>
      <c r="N257" s="156" t="n"/>
      <c r="O257" s="156" t="n"/>
    </row>
    <row r="258" ht="18.75" customHeight="1" s="153">
      <c r="A258" s="227" t="n"/>
      <c r="B258" s="228" t="inlineStr">
        <is>
          <t>AZOPARDO 8443</t>
        </is>
      </c>
      <c r="C258" s="229" t="n">
        <v>1</v>
      </c>
      <c r="D258" s="229" t="n"/>
      <c r="E258" s="229" t="n"/>
      <c r="F258" s="230" t="n"/>
      <c r="G258" s="230" t="n"/>
      <c r="H258" s="257" t="n">
        <v>26000</v>
      </c>
      <c r="I258" s="258" t="n">
        <v>26000</v>
      </c>
      <c r="J258" s="258" t="n"/>
      <c r="K258" s="233" t="n"/>
      <c r="L258" s="233" t="n">
        <v>10200</v>
      </c>
      <c r="M258" s="156" t="n"/>
      <c r="N258" s="156" t="n"/>
      <c r="O258" s="156" t="n"/>
    </row>
    <row r="259" ht="18.75" customHeight="1" s="153">
      <c r="A259" s="227" t="n"/>
      <c r="B259" s="228" t="inlineStr">
        <is>
          <t>PAPA BRUNO</t>
        </is>
      </c>
      <c r="C259" s="229" t="n"/>
      <c r="D259" s="229" t="n">
        <v>1</v>
      </c>
      <c r="E259" s="229" t="n"/>
      <c r="F259" s="230" t="n"/>
      <c r="G259" s="230" t="n"/>
      <c r="H259" s="257" t="n">
        <v>37500</v>
      </c>
      <c r="I259" s="258" t="n"/>
      <c r="J259" s="258" t="n">
        <v>37500</v>
      </c>
      <c r="K259" s="233" t="n"/>
      <c r="L259" s="233" t="n">
        <v>13800</v>
      </c>
      <c r="M259" s="156" t="n"/>
      <c r="N259" s="156" t="n"/>
      <c r="O259" s="156" t="n"/>
    </row>
    <row r="260" ht="18.75" customHeight="1" s="153">
      <c r="A260" s="227" t="n"/>
      <c r="B260" s="228" t="inlineStr">
        <is>
          <t>DAMIANOVICH 6212</t>
        </is>
      </c>
      <c r="C260" s="229" t="n"/>
      <c r="D260" s="229" t="n"/>
      <c r="E260" s="229" t="n">
        <v>1</v>
      </c>
      <c r="F260" s="230" t="n"/>
      <c r="G260" s="230" t="n"/>
      <c r="H260" s="257" t="n">
        <v>92000</v>
      </c>
      <c r="I260" s="258" t="n"/>
      <c r="J260" s="258" t="n">
        <v>92000</v>
      </c>
      <c r="K260" s="233" t="n"/>
      <c r="L260" s="233" t="n">
        <v>30000</v>
      </c>
      <c r="M260" s="156" t="n"/>
      <c r="N260" s="156" t="n"/>
      <c r="O260" s="156" t="n"/>
    </row>
    <row r="261" ht="18.75" customHeight="1" s="153">
      <c r="A261" s="227" t="n"/>
      <c r="B261" s="228" t="inlineStr">
        <is>
          <t>LO DE NICO</t>
        </is>
      </c>
      <c r="C261" s="229" t="n">
        <v>4</v>
      </c>
      <c r="D261" s="229" t="n"/>
      <c r="E261" s="229" t="n"/>
      <c r="F261" s="230" t="n"/>
      <c r="G261" s="230" t="n"/>
      <c r="H261" s="257" t="n">
        <v>82000</v>
      </c>
      <c r="I261" s="258" t="n"/>
      <c r="J261" s="258" t="n">
        <v>82000</v>
      </c>
      <c r="K261" s="233" t="n"/>
      <c r="L261" s="233" t="n">
        <v>18800</v>
      </c>
      <c r="M261" s="156" t="n"/>
      <c r="N261" s="156" t="n"/>
      <c r="O261" s="156" t="n"/>
    </row>
    <row r="262" ht="18.75" customHeight="1" s="153">
      <c r="A262" s="227" t="n"/>
      <c r="B262" s="228" t="inlineStr">
        <is>
          <t>GENERAL PAZ 7826</t>
        </is>
      </c>
      <c r="C262" s="229" t="n"/>
      <c r="D262" s="229" t="n"/>
      <c r="E262" s="229" t="n">
        <v>1</v>
      </c>
      <c r="F262" s="230" t="n"/>
      <c r="G262" s="230" t="n"/>
      <c r="H262" s="257" t="n">
        <v>88000</v>
      </c>
      <c r="I262" s="258" t="n">
        <v>88000</v>
      </c>
      <c r="J262" s="258" t="n"/>
      <c r="K262" s="233" t="n"/>
      <c r="L262" s="233" t="n">
        <v>26000</v>
      </c>
      <c r="M262" s="156" t="n"/>
      <c r="N262" s="156" t="n"/>
      <c r="O262" s="156" t="n"/>
    </row>
    <row r="263" ht="18.75" customHeight="1" s="153">
      <c r="A263" s="227" t="n"/>
      <c r="B263" s="228" t="inlineStr">
        <is>
          <t>GENERAL PAZ 7651</t>
        </is>
      </c>
      <c r="C263" s="229" t="n"/>
      <c r="D263" s="229" t="n"/>
      <c r="E263" s="229" t="n">
        <v>1</v>
      </c>
      <c r="F263" s="230" t="n"/>
      <c r="G263" s="230" t="n"/>
      <c r="H263" s="257" t="n">
        <v>91000</v>
      </c>
      <c r="I263" s="258" t="n">
        <v>91000</v>
      </c>
      <c r="J263" s="258" t="n"/>
      <c r="K263" s="233" t="n"/>
      <c r="L263" s="233" t="n">
        <v>29000</v>
      </c>
      <c r="M263" s="156" t="n"/>
      <c r="N263" s="156" t="n"/>
      <c r="O263" s="156" t="n"/>
    </row>
    <row r="264" ht="18.75" customHeight="1" s="153">
      <c r="A264" s="227" t="n"/>
      <c r="B264" s="228" t="inlineStr">
        <is>
          <t>FRANCIA 2063</t>
        </is>
      </c>
      <c r="C264" s="229" t="n"/>
      <c r="D264" s="229" t="n">
        <v>1</v>
      </c>
      <c r="E264" s="229" t="n"/>
      <c r="F264" s="230" t="n"/>
      <c r="G264" s="230" t="n"/>
      <c r="H264" s="257" t="n">
        <v>42000</v>
      </c>
      <c r="I264" s="258" t="n">
        <v>42000</v>
      </c>
      <c r="J264" s="258" t="n"/>
      <c r="K264" s="233" t="n"/>
      <c r="L264" s="233" t="n">
        <v>18300</v>
      </c>
      <c r="M264" s="156" t="n"/>
      <c r="N264" s="156" t="n"/>
      <c r="O264" s="156" t="n"/>
    </row>
    <row r="265" ht="18.75" customHeight="1" s="153">
      <c r="A265" s="227" t="n"/>
      <c r="B265" s="228" t="inlineStr">
        <is>
          <t>GASTON AMARAL</t>
        </is>
      </c>
      <c r="C265" s="229" t="n"/>
      <c r="D265" s="229" t="n"/>
      <c r="E265" s="229" t="n">
        <v>1</v>
      </c>
      <c r="F265" s="230" t="n"/>
      <c r="G265" s="230" t="n"/>
      <c r="H265" s="257" t="n">
        <v>91000</v>
      </c>
      <c r="I265" s="258" t="n">
        <v>91000</v>
      </c>
      <c r="J265" s="258" t="n"/>
      <c r="K265" s="233" t="n"/>
      <c r="L265" s="233" t="n">
        <v>29000</v>
      </c>
      <c r="M265" s="156" t="n"/>
      <c r="N265" s="156" t="n"/>
      <c r="O265" s="156" t="n"/>
    </row>
    <row r="266" ht="18.75" customHeight="1" s="153">
      <c r="A266" s="227" t="n"/>
      <c r="B266" s="228" t="inlineStr">
        <is>
          <t>HERNANDARIAS 3445</t>
        </is>
      </c>
      <c r="C266" s="229" t="n">
        <v>1</v>
      </c>
      <c r="D266" s="229" t="n"/>
      <c r="E266" s="229" t="n"/>
      <c r="F266" s="230" t="n"/>
      <c r="G266" s="230" t="n"/>
      <c r="H266" s="257" t="n">
        <v>26000</v>
      </c>
      <c r="I266" s="258" t="n">
        <v>26000</v>
      </c>
      <c r="J266" s="258" t="n"/>
      <c r="K266" s="233" t="n"/>
      <c r="L266" s="233" t="n">
        <v>10200</v>
      </c>
      <c r="M266" s="156" t="n"/>
      <c r="N266" s="156" t="n"/>
      <c r="O266" s="156" t="n"/>
    </row>
    <row r="267" ht="18.75" customHeight="1" s="153">
      <c r="A267" s="227" t="n"/>
      <c r="B267" s="228" t="inlineStr">
        <is>
          <t>BRASERIA</t>
        </is>
      </c>
      <c r="C267" s="229" t="n"/>
      <c r="D267" s="229" t="n"/>
      <c r="E267" s="229" t="n">
        <v>1</v>
      </c>
      <c r="F267" s="230" t="n"/>
      <c r="G267" s="230" t="n"/>
      <c r="H267" s="257" t="n">
        <v>86000</v>
      </c>
      <c r="I267" s="258" t="n"/>
      <c r="J267" s="258" t="n">
        <v>86000</v>
      </c>
      <c r="K267" s="233" t="n"/>
      <c r="L267" s="233" t="n">
        <v>24000</v>
      </c>
      <c r="M267" s="156" t="n"/>
      <c r="N267" s="156" t="n"/>
      <c r="O267" s="156" t="n"/>
    </row>
    <row r="268" ht="18.75" customHeight="1" s="153">
      <c r="A268" s="227" t="n">
        <v>46157</v>
      </c>
      <c r="B268" s="228" t="inlineStr">
        <is>
          <t>FABIO PARISI</t>
        </is>
      </c>
      <c r="C268" s="229" t="n"/>
      <c r="D268" s="229" t="n"/>
      <c r="E268" s="229" t="n"/>
      <c r="F268" s="230" t="n">
        <v>20</v>
      </c>
      <c r="G268" s="230" t="n"/>
      <c r="H268" s="257" t="n">
        <v>68500</v>
      </c>
      <c r="I268" s="258" t="n">
        <v>68500</v>
      </c>
      <c r="J268" s="258" t="n"/>
      <c r="K268" s="233" t="n"/>
      <c r="L268" s="233" t="n">
        <v>22500</v>
      </c>
      <c r="M268" s="156" t="n"/>
      <c r="N268" s="156" t="n"/>
      <c r="O268" s="156" t="n"/>
    </row>
    <row r="269" ht="18.75" customHeight="1" s="153">
      <c r="A269" s="227" t="n"/>
      <c r="B269" s="228" t="inlineStr">
        <is>
          <t>NICO PIRIZ SIR LAKI</t>
        </is>
      </c>
      <c r="C269" s="229" t="n"/>
      <c r="D269" s="229" t="n"/>
      <c r="E269" s="229" t="n">
        <v>1</v>
      </c>
      <c r="F269" s="230" t="n"/>
      <c r="G269" s="230" t="n"/>
      <c r="H269" s="257" t="n">
        <v>88000</v>
      </c>
      <c r="I269" s="258" t="n">
        <v>88000</v>
      </c>
      <c r="J269" s="258" t="n"/>
      <c r="K269" s="233" t="n"/>
      <c r="L269" s="233" t="n">
        <v>26000</v>
      </c>
      <c r="M269" s="156" t="n"/>
      <c r="N269" s="156" t="n"/>
      <c r="O269" s="156" t="n"/>
    </row>
    <row r="270" ht="18.75" customHeight="1" s="153">
      <c r="A270" s="227" t="n"/>
      <c r="B270" s="228" t="inlineStr">
        <is>
          <t>SAVEDRA 10125</t>
        </is>
      </c>
      <c r="C270" s="229" t="n"/>
      <c r="D270" s="229" t="n">
        <v>1</v>
      </c>
      <c r="E270" s="229" t="n">
        <v>1</v>
      </c>
      <c r="F270" s="230" t="n"/>
      <c r="G270" s="230" t="n"/>
      <c r="H270" s="257" t="n">
        <v>135000</v>
      </c>
      <c r="I270" s="258" t="n"/>
      <c r="J270" s="258" t="n">
        <v>135000</v>
      </c>
      <c r="K270" s="233" t="n"/>
      <c r="L270" s="233" t="n">
        <v>49300</v>
      </c>
      <c r="M270" s="156" t="n"/>
      <c r="N270" s="156" t="n"/>
      <c r="O270" s="156" t="n"/>
    </row>
    <row r="271" ht="18.75" customHeight="1" s="153">
      <c r="A271" s="227" t="n"/>
      <c r="B271" s="228" t="inlineStr">
        <is>
          <t>VIANDAS JORGE</t>
        </is>
      </c>
      <c r="C271" s="229" t="n">
        <v>1</v>
      </c>
      <c r="D271" s="229" t="n"/>
      <c r="E271" s="229" t="n"/>
      <c r="F271" s="230" t="n"/>
      <c r="G271" s="230" t="n"/>
      <c r="H271" s="257" t="n">
        <v>23000</v>
      </c>
      <c r="I271" s="258" t="n">
        <v>23000</v>
      </c>
      <c r="J271" s="258" t="n"/>
      <c r="K271" s="233" t="n"/>
      <c r="L271" s="233" t="n">
        <v>7200</v>
      </c>
      <c r="M271" s="156" t="n"/>
      <c r="N271" s="156" t="n"/>
      <c r="O271" s="156" t="n"/>
    </row>
    <row r="272" ht="18.75" customHeight="1" s="153">
      <c r="A272" s="227" t="n"/>
      <c r="B272" s="228" t="inlineStr">
        <is>
          <t>ARENALES 10625</t>
        </is>
      </c>
      <c r="C272" s="229" t="n">
        <v>1</v>
      </c>
      <c r="D272" s="229" t="n"/>
      <c r="E272" s="229" t="n"/>
      <c r="F272" s="230" t="n"/>
      <c r="G272" s="230" t="n"/>
      <c r="H272" s="257" t="n">
        <v>20000</v>
      </c>
      <c r="I272" s="258" t="n"/>
      <c r="J272" s="258" t="n">
        <v>20000</v>
      </c>
      <c r="K272" s="233" t="n"/>
      <c r="L272" s="233" t="n">
        <v>4200</v>
      </c>
      <c r="M272" s="156" t="n"/>
      <c r="N272" s="156" t="n"/>
      <c r="O272" s="156" t="n"/>
    </row>
    <row r="273" ht="18.75" customHeight="1" s="153">
      <c r="A273" s="227" t="n"/>
      <c r="B273" s="228" t="inlineStr">
        <is>
          <t>FACUNDO ZUVIRIA 7757</t>
        </is>
      </c>
      <c r="C273" s="229" t="n"/>
      <c r="D273" s="229" t="n">
        <v>1</v>
      </c>
      <c r="E273" s="229" t="n"/>
      <c r="F273" s="230" t="n"/>
      <c r="G273" s="230" t="n"/>
      <c r="H273" s="257" t="n">
        <v>39500</v>
      </c>
      <c r="I273" s="258" t="n"/>
      <c r="J273" s="258" t="n">
        <v>39500</v>
      </c>
      <c r="K273" s="233" t="n"/>
      <c r="L273" s="233" t="n">
        <v>15800</v>
      </c>
      <c r="M273" s="156" t="n"/>
      <c r="N273" s="156" t="n"/>
      <c r="O273" s="156" t="n"/>
    </row>
    <row r="274" ht="18.75" customHeight="1" s="153">
      <c r="A274" s="227" t="n"/>
      <c r="B274" s="228" t="inlineStr">
        <is>
          <t>FRENCH 1912</t>
        </is>
      </c>
      <c r="C274" s="229" t="n"/>
      <c r="D274" s="229" t="n"/>
      <c r="E274" s="229" t="n">
        <v>1</v>
      </c>
      <c r="F274" s="230" t="n"/>
      <c r="G274" s="230" t="n"/>
      <c r="H274" s="257" t="n">
        <v>91000</v>
      </c>
      <c r="I274" s="258" t="n">
        <v>91000</v>
      </c>
      <c r="J274" s="258" t="n"/>
      <c r="K274" s="233" t="n"/>
      <c r="L274" s="233" t="n">
        <v>29000</v>
      </c>
      <c r="M274" s="156" t="n"/>
      <c r="N274" s="156" t="n"/>
      <c r="O274" s="156" t="n"/>
    </row>
    <row r="275" ht="18.75" customHeight="1" s="153">
      <c r="A275" s="227" t="n"/>
      <c r="B275" s="228" t="inlineStr">
        <is>
          <t>MARIO</t>
        </is>
      </c>
      <c r="C275" s="229" t="n">
        <v>2</v>
      </c>
      <c r="D275" s="229" t="n">
        <v>1</v>
      </c>
      <c r="E275" s="229" t="n"/>
      <c r="F275" s="230" t="n"/>
      <c r="G275" s="230" t="n"/>
      <c r="H275" s="257" t="n">
        <v>67500</v>
      </c>
      <c r="I275" s="258" t="n">
        <v>67500</v>
      </c>
      <c r="J275" s="258" t="n"/>
      <c r="K275" s="233" t="n"/>
      <c r="L275" s="233" t="n">
        <v>12200</v>
      </c>
      <c r="M275" s="156" t="n"/>
      <c r="N275" s="156" t="n"/>
      <c r="O275" s="156" t="n"/>
    </row>
    <row r="276" ht="18.75" customHeight="1" s="153">
      <c r="A276" s="227" t="n"/>
      <c r="B276" s="228" t="inlineStr">
        <is>
          <t>GOROSTIAGA 4659</t>
        </is>
      </c>
      <c r="C276" s="229" t="n"/>
      <c r="D276" s="229" t="n"/>
      <c r="E276" s="229" t="n">
        <v>1</v>
      </c>
      <c r="F276" s="230" t="n"/>
      <c r="G276" s="230" t="n"/>
      <c r="H276" s="257" t="n">
        <v>92000</v>
      </c>
      <c r="I276" s="258" t="n"/>
      <c r="J276" s="258" t="n">
        <v>92000</v>
      </c>
      <c r="K276" s="233" t="n"/>
      <c r="L276" s="233" t="n">
        <v>30000</v>
      </c>
      <c r="M276" s="156" t="n"/>
      <c r="N276" s="156" t="n"/>
      <c r="O276" s="156" t="n"/>
    </row>
    <row r="277" ht="18.75" customHeight="1" s="153">
      <c r="A277" s="227" t="n"/>
      <c r="B277" s="228" t="inlineStr">
        <is>
          <t>SALTEÑA</t>
        </is>
      </c>
      <c r="C277" s="229" t="n">
        <v>1</v>
      </c>
      <c r="D277" s="229" t="n"/>
      <c r="E277" s="229" t="n"/>
      <c r="F277" s="230" t="n"/>
      <c r="G277" s="230" t="n"/>
      <c r="H277" s="257" t="n">
        <v>25000</v>
      </c>
      <c r="I277" s="258" t="n">
        <v>25000</v>
      </c>
      <c r="J277" s="258" t="n"/>
      <c r="K277" s="233" t="n"/>
      <c r="L277" s="233" t="n">
        <v>9200</v>
      </c>
      <c r="M277" s="156" t="n"/>
      <c r="N277" s="156" t="n"/>
      <c r="O277" s="156" t="n"/>
    </row>
    <row r="278" ht="18.75" customHeight="1" s="153">
      <c r="A278" s="227" t="n"/>
      <c r="B278" s="228" t="inlineStr">
        <is>
          <t>FILOMENA</t>
        </is>
      </c>
      <c r="C278" s="229" t="n">
        <v>2</v>
      </c>
      <c r="D278" s="229" t="n"/>
      <c r="E278" s="229" t="n"/>
      <c r="F278" s="230" t="n"/>
      <c r="G278" s="230" t="n"/>
      <c r="H278" s="257" t="n">
        <v>49000</v>
      </c>
      <c r="I278" s="258" t="n"/>
      <c r="J278" s="258" t="n">
        <v>49000</v>
      </c>
      <c r="K278" s="233" t="n"/>
      <c r="L278" s="233" t="n">
        <v>17400</v>
      </c>
      <c r="M278" s="156" t="n"/>
      <c r="N278" s="156" t="n"/>
      <c r="O278" s="156" t="n"/>
    </row>
    <row r="279" ht="18.75" customHeight="1" s="153">
      <c r="A279" s="227" t="n"/>
      <c r="B279" s="228" t="inlineStr">
        <is>
          <t>LUCHO</t>
        </is>
      </c>
      <c r="C279" s="229" t="n"/>
      <c r="D279" s="229" t="n">
        <v>1</v>
      </c>
      <c r="E279" s="229" t="n"/>
      <c r="F279" s="230" t="n"/>
      <c r="G279" s="230" t="n"/>
      <c r="H279" s="257" t="n">
        <v>31500</v>
      </c>
      <c r="I279" s="258" t="n"/>
      <c r="J279" s="258" t="n">
        <v>31500</v>
      </c>
      <c r="K279" s="233" t="n"/>
      <c r="L279" s="233" t="n">
        <v>7800</v>
      </c>
      <c r="M279" s="156" t="n"/>
      <c r="N279" s="156" t="n"/>
      <c r="O279" s="156" t="n"/>
    </row>
    <row r="280" ht="18.75" customHeight="1" s="153">
      <c r="A280" s="227" t="n"/>
      <c r="B280" s="228" t="inlineStr">
        <is>
          <t>SAN JUAN 5682</t>
        </is>
      </c>
      <c r="C280" s="229" t="n">
        <v>1</v>
      </c>
      <c r="D280" s="229" t="n"/>
      <c r="E280" s="229" t="n"/>
      <c r="F280" s="230" t="n"/>
      <c r="G280" s="230" t="n"/>
      <c r="H280" s="257" t="n">
        <v>26000</v>
      </c>
      <c r="I280" s="258" t="n"/>
      <c r="J280" s="258" t="n">
        <v>26000</v>
      </c>
      <c r="K280" s="233" t="n"/>
      <c r="L280" s="233" t="n">
        <v>10200</v>
      </c>
      <c r="M280" s="156" t="n"/>
      <c r="N280" s="156" t="n"/>
      <c r="O280" s="156" t="n"/>
    </row>
    <row r="281" ht="18.75" customHeight="1" s="153">
      <c r="A281" s="227" t="n"/>
      <c r="B281" s="228" t="inlineStr">
        <is>
          <t>BONEO 5315</t>
        </is>
      </c>
      <c r="C281" s="229" t="n">
        <v>1</v>
      </c>
      <c r="D281" s="229" t="n"/>
      <c r="E281" s="229" t="n"/>
      <c r="F281" s="230" t="n"/>
      <c r="G281" s="230" t="n"/>
      <c r="H281" s="257" t="n">
        <v>25000</v>
      </c>
      <c r="I281" s="258" t="n">
        <v>25000</v>
      </c>
      <c r="J281" s="258" t="n"/>
      <c r="K281" s="233" t="n"/>
      <c r="L281" s="233" t="n">
        <v>9200</v>
      </c>
      <c r="M281" s="156" t="n"/>
      <c r="N281" s="156" t="n"/>
      <c r="O281" s="156" t="n"/>
    </row>
    <row r="282" ht="18.75" customHeight="1" s="153">
      <c r="A282" s="227" t="n"/>
      <c r="B282" s="228" t="inlineStr">
        <is>
          <t>PAULO</t>
        </is>
      </c>
      <c r="C282" s="229" t="n">
        <v>2</v>
      </c>
      <c r="D282" s="229" t="n"/>
      <c r="E282" s="229" t="n"/>
      <c r="F282" s="230" t="n"/>
      <c r="G282" s="230" t="n"/>
      <c r="H282" s="257" t="n">
        <v>40000</v>
      </c>
      <c r="I282" s="258" t="n">
        <v>40000</v>
      </c>
      <c r="J282" s="258" t="n"/>
      <c r="K282" s="233" t="n"/>
      <c r="L282" s="233" t="n">
        <v>8400</v>
      </c>
      <c r="M282" s="156" t="n"/>
      <c r="N282" s="156" t="n"/>
      <c r="O282" s="156" t="n"/>
    </row>
    <row r="283" ht="18.75" customHeight="1" s="153">
      <c r="A283" s="227" t="n"/>
      <c r="B283" s="228" t="inlineStr">
        <is>
          <t>EXE</t>
        </is>
      </c>
      <c r="C283" s="229" t="n"/>
      <c r="D283" s="229" t="n"/>
      <c r="E283" s="229" t="n">
        <v>1</v>
      </c>
      <c r="F283" s="230" t="n"/>
      <c r="G283" s="230" t="n"/>
      <c r="H283" s="257" t="n">
        <v>85000</v>
      </c>
      <c r="I283" s="258" t="n"/>
      <c r="J283" s="258" t="n">
        <v>85000</v>
      </c>
      <c r="K283" s="233" t="n"/>
      <c r="L283" s="233" t="n">
        <v>23000</v>
      </c>
      <c r="M283" s="156" t="n"/>
      <c r="N283" s="156" t="n"/>
      <c r="O283" s="156" t="n"/>
    </row>
    <row r="284" ht="18.75" customHeight="1" s="153">
      <c r="A284" s="227" t="n"/>
      <c r="B284" s="228" t="inlineStr">
        <is>
          <t>AZOPARDO 8350</t>
        </is>
      </c>
      <c r="C284" s="229" t="n"/>
      <c r="D284" s="229" t="n"/>
      <c r="E284" s="229" t="n">
        <v>1</v>
      </c>
      <c r="F284" s="230" t="n"/>
      <c r="G284" s="230" t="n"/>
      <c r="H284" s="257" t="n">
        <v>91000</v>
      </c>
      <c r="I284" s="258" t="n"/>
      <c r="J284" s="258" t="n">
        <v>91000</v>
      </c>
      <c r="K284" s="233" t="n"/>
      <c r="L284" s="233" t="n">
        <v>29000</v>
      </c>
      <c r="M284" s="156" t="n"/>
      <c r="N284" s="156" t="n"/>
      <c r="O284" s="156" t="n"/>
    </row>
    <row r="285" ht="18.75" customHeight="1" s="153">
      <c r="A285" s="227" t="n"/>
      <c r="B285" s="228" t="inlineStr">
        <is>
          <t>ESTADO ISRAEL 4990</t>
        </is>
      </c>
      <c r="C285" s="229" t="n">
        <v>1</v>
      </c>
      <c r="D285" s="229" t="n"/>
      <c r="E285" s="229" t="n"/>
      <c r="F285" s="230" t="n"/>
      <c r="G285" s="230" t="n"/>
      <c r="H285" s="257" t="n">
        <v>27000</v>
      </c>
      <c r="I285" s="258" t="n">
        <v>27000</v>
      </c>
      <c r="J285" s="258" t="n"/>
      <c r="K285" s="233" t="n"/>
      <c r="L285" s="233" t="n">
        <v>11200</v>
      </c>
      <c r="M285" s="156" t="n"/>
      <c r="N285" s="156" t="n"/>
      <c r="O285" s="156" t="n"/>
    </row>
    <row r="286" ht="18.75" customHeight="1" s="153">
      <c r="A286" s="227" t="n"/>
      <c r="B286" s="228" t="inlineStr">
        <is>
          <t>PANA GORRITI 6500</t>
        </is>
      </c>
      <c r="C286" s="229" t="n"/>
      <c r="D286" s="229" t="n"/>
      <c r="E286" s="229" t="n">
        <v>1</v>
      </c>
      <c r="F286" s="230" t="n"/>
      <c r="G286" s="230" t="n"/>
      <c r="H286" s="257" t="n">
        <v>88000</v>
      </c>
      <c r="I286" s="258" t="n"/>
      <c r="J286" s="258" t="n">
        <v>88000</v>
      </c>
      <c r="K286" s="233" t="n"/>
      <c r="L286" s="233" t="n">
        <v>26000</v>
      </c>
      <c r="M286" s="156" t="n"/>
      <c r="N286" s="156" t="n"/>
      <c r="O286" s="156" t="n"/>
    </row>
    <row r="287" ht="18.75" customHeight="1" s="153">
      <c r="A287" s="227" t="n"/>
      <c r="B287" s="228" t="inlineStr">
        <is>
          <t>PANA BERUTI 6700</t>
        </is>
      </c>
      <c r="C287" s="229" t="n">
        <v>1</v>
      </c>
      <c r="D287" s="229" t="n"/>
      <c r="E287" s="229" t="n">
        <v>1</v>
      </c>
      <c r="F287" s="230" t="n"/>
      <c r="G287" s="230" t="n"/>
      <c r="H287" s="257" t="n">
        <v>107000</v>
      </c>
      <c r="I287" s="258" t="n"/>
      <c r="J287" s="258" t="n">
        <v>107000</v>
      </c>
      <c r="K287" s="233" t="n"/>
      <c r="L287" s="233" t="n">
        <v>29200</v>
      </c>
      <c r="M287" s="156" t="n"/>
      <c r="N287" s="156" t="n"/>
      <c r="O287" s="156" t="n"/>
    </row>
    <row r="288" ht="18.75" customHeight="1" s="153">
      <c r="A288" s="227" t="n"/>
      <c r="B288" s="228" t="inlineStr">
        <is>
          <t>MARIANA PERFUMERIA</t>
        </is>
      </c>
      <c r="C288" s="229" t="n">
        <v>1</v>
      </c>
      <c r="D288" s="229" t="n"/>
      <c r="E288" s="229" t="n"/>
      <c r="F288" s="230" t="n"/>
      <c r="G288" s="230" t="n"/>
      <c r="H288" s="257" t="n">
        <v>26000</v>
      </c>
      <c r="I288" s="258" t="n"/>
      <c r="J288" s="258" t="n">
        <v>26000</v>
      </c>
      <c r="K288" s="233" t="n"/>
      <c r="L288" s="233" t="n">
        <v>10200</v>
      </c>
      <c r="M288" s="156" t="n"/>
      <c r="N288" s="156" t="n"/>
      <c r="O288" s="156" t="n"/>
    </row>
    <row r="289" ht="18.75" customHeight="1" s="153">
      <c r="A289" s="227" t="n"/>
      <c r="B289" s="228" t="inlineStr">
        <is>
          <t>OSCAR FLORES 1 BLASPA</t>
        </is>
      </c>
      <c r="C289" s="229" t="n">
        <v>1</v>
      </c>
      <c r="D289" s="229" t="n"/>
      <c r="E289" s="229" t="n"/>
      <c r="F289" s="230" t="n"/>
      <c r="G289" s="230" t="n"/>
      <c r="H289" s="257" t="n">
        <v>133000</v>
      </c>
      <c r="I289" s="258" t="n">
        <v>133000</v>
      </c>
      <c r="J289" s="258" t="n"/>
      <c r="K289" s="233" t="n">
        <v>42000</v>
      </c>
      <c r="L289" s="233" t="n">
        <v>52200</v>
      </c>
      <c r="M289" s="156" t="n"/>
      <c r="N289" s="156" t="n"/>
      <c r="O289" s="156" t="n"/>
    </row>
    <row r="290" ht="18.75" customHeight="1" s="153">
      <c r="A290" s="227" t="n"/>
      <c r="B290" s="228" t="inlineStr">
        <is>
          <t>TROPPO</t>
        </is>
      </c>
      <c r="C290" s="229" t="n">
        <v>3</v>
      </c>
      <c r="D290" s="229" t="n"/>
      <c r="E290" s="229" t="n"/>
      <c r="F290" s="230" t="n"/>
      <c r="G290" s="230" t="n"/>
      <c r="H290" s="257" t="n">
        <v>81000</v>
      </c>
      <c r="I290" s="258" t="n">
        <v>81000</v>
      </c>
      <c r="J290" s="258" t="n"/>
      <c r="K290" s="233" t="n"/>
      <c r="L290" s="233" t="n">
        <v>33600</v>
      </c>
      <c r="M290" s="156" t="n"/>
      <c r="N290" s="156" t="n"/>
      <c r="O290" s="156" t="n"/>
    </row>
    <row r="291" ht="18.75" customHeight="1" s="153">
      <c r="A291" s="227" t="n"/>
      <c r="B291" s="228" t="inlineStr">
        <is>
          <t>SABOREAR</t>
        </is>
      </c>
      <c r="C291" s="229" t="n">
        <v>1</v>
      </c>
      <c r="D291" s="229" t="n"/>
      <c r="E291" s="229" t="n"/>
      <c r="F291" s="230" t="n"/>
      <c r="G291" s="230" t="n"/>
      <c r="H291" s="257" t="n">
        <v>23500</v>
      </c>
      <c r="I291" s="258" t="n"/>
      <c r="J291" s="258" t="n">
        <v>23500</v>
      </c>
      <c r="K291" s="233" t="n"/>
      <c r="L291" s="233" t="n">
        <v>7700</v>
      </c>
      <c r="M291" s="156" t="n"/>
      <c r="N291" s="156" t="n"/>
      <c r="O291" s="156" t="n"/>
    </row>
    <row r="292" ht="18.75" customHeight="1" s="153">
      <c r="A292" s="227" t="n"/>
      <c r="B292" s="228" t="inlineStr">
        <is>
          <t>JUAN AZUAGA</t>
        </is>
      </c>
      <c r="C292" s="229" t="n">
        <v>1</v>
      </c>
      <c r="D292" s="229" t="n"/>
      <c r="E292" s="229" t="n"/>
      <c r="F292" s="230" t="n"/>
      <c r="G292" s="230" t="n"/>
      <c r="H292" s="257" t="n">
        <v>22000</v>
      </c>
      <c r="I292" s="258" t="n">
        <v>22000</v>
      </c>
      <c r="J292" s="258" t="n"/>
      <c r="K292" s="233" t="n"/>
      <c r="L292" s="233" t="n">
        <v>6200</v>
      </c>
      <c r="M292" s="156" t="n"/>
      <c r="N292" s="156" t="n"/>
      <c r="O292" s="156" t="n"/>
    </row>
    <row r="293" ht="18.75" customHeight="1" s="153">
      <c r="A293" s="227" t="n"/>
      <c r="B293" s="228" t="inlineStr">
        <is>
          <t>ALBERDI 8230</t>
        </is>
      </c>
      <c r="C293" s="229" t="n"/>
      <c r="D293" s="229" t="n">
        <v>1</v>
      </c>
      <c r="E293" s="229" t="n"/>
      <c r="F293" s="230" t="n"/>
      <c r="G293" s="230" t="n"/>
      <c r="H293" s="257" t="n">
        <v>41000</v>
      </c>
      <c r="I293" s="258" t="n"/>
      <c r="J293" s="258" t="n">
        <v>41000</v>
      </c>
      <c r="K293" s="233" t="n"/>
      <c r="L293" s="233" t="n">
        <v>17300</v>
      </c>
      <c r="M293" s="156" t="n"/>
      <c r="N293" s="156" t="n"/>
      <c r="O293" s="156" t="n"/>
    </row>
    <row r="294" ht="18.75" customHeight="1" s="153">
      <c r="A294" s="227" t="n">
        <v>46158</v>
      </c>
      <c r="B294" s="228" t="inlineStr">
        <is>
          <t>LUCHO</t>
        </is>
      </c>
      <c r="C294" s="229" t="n"/>
      <c r="D294" s="229" t="n">
        <v>1</v>
      </c>
      <c r="E294" s="229" t="n"/>
      <c r="F294" s="230" t="n"/>
      <c r="G294" s="230" t="n"/>
      <c r="H294" s="257" t="n">
        <v>31500</v>
      </c>
      <c r="I294" s="258" t="n">
        <v>31500</v>
      </c>
      <c r="J294" s="258" t="n"/>
      <c r="K294" s="233" t="n"/>
      <c r="L294" s="233" t="n">
        <v>7800</v>
      </c>
      <c r="M294" s="156" t="n"/>
      <c r="N294" s="156" t="n"/>
      <c r="O294" s="156" t="n"/>
    </row>
    <row r="295" ht="18.75" customHeight="1" s="153">
      <c r="A295" s="227" t="n"/>
      <c r="B295" s="228" t="inlineStr">
        <is>
          <t>ROTI VIEYTES</t>
        </is>
      </c>
      <c r="C295" s="229" t="n"/>
      <c r="D295" s="229" t="n">
        <v>2</v>
      </c>
      <c r="E295" s="229" t="n"/>
      <c r="F295" s="230" t="n"/>
      <c r="G295" s="230" t="n"/>
      <c r="H295" s="257" t="n">
        <v>64000</v>
      </c>
      <c r="I295" s="258" t="n"/>
      <c r="J295" s="258" t="n">
        <v>64000</v>
      </c>
      <c r="K295" s="233" t="n"/>
      <c r="L295" s="233" t="n">
        <v>16600</v>
      </c>
      <c r="M295" s="156" t="n"/>
      <c r="N295" s="156" t="n"/>
      <c r="O295" s="156" t="n"/>
    </row>
    <row r="296" ht="18.75" customHeight="1" s="153">
      <c r="A296" s="227" t="n"/>
      <c r="B296" s="228" t="inlineStr">
        <is>
          <t>AZCUENAGA 4800</t>
        </is>
      </c>
      <c r="C296" s="229" t="n"/>
      <c r="D296" s="229" t="n"/>
      <c r="E296" s="229" t="n">
        <v>1</v>
      </c>
      <c r="F296" s="230" t="n"/>
      <c r="G296" s="230" t="n"/>
      <c r="H296" s="257" t="n">
        <v>87000</v>
      </c>
      <c r="I296" s="258" t="n">
        <v>87000</v>
      </c>
      <c r="J296" s="258" t="n"/>
      <c r="K296" s="233" t="n"/>
      <c r="L296" s="233" t="n">
        <v>25000</v>
      </c>
      <c r="M296" s="156" t="n"/>
      <c r="N296" s="156" t="n"/>
      <c r="O296" s="156" t="n"/>
    </row>
    <row r="297" ht="18.75" customHeight="1" s="153">
      <c r="A297" s="227" t="n"/>
      <c r="B297" s="228" t="inlineStr">
        <is>
          <t>LOS PRIMOS</t>
        </is>
      </c>
      <c r="C297" s="229" t="n">
        <v>1</v>
      </c>
      <c r="D297" s="229" t="n">
        <v>1</v>
      </c>
      <c r="E297" s="229" t="n"/>
      <c r="F297" s="230" t="n"/>
      <c r="G297" s="230" t="n"/>
      <c r="H297" s="257" t="n">
        <v>66000</v>
      </c>
      <c r="I297" s="258" t="n">
        <v>66000</v>
      </c>
      <c r="J297" s="258" t="n"/>
      <c r="K297" s="233" t="n"/>
      <c r="L297" s="233" t="n">
        <v>26500</v>
      </c>
      <c r="M297" s="156" t="n"/>
      <c r="N297" s="156" t="n"/>
      <c r="O297" s="156" t="n"/>
    </row>
    <row r="298" ht="18.75" customHeight="1" s="153">
      <c r="A298" s="227" t="n"/>
      <c r="B298" s="228" t="inlineStr">
        <is>
          <t>JAVIER DE LA ROSA 456</t>
        </is>
      </c>
      <c r="C298" s="229" t="n">
        <v>1</v>
      </c>
      <c r="D298" s="229" t="n"/>
      <c r="E298" s="229" t="n"/>
      <c r="F298" s="230" t="n"/>
      <c r="G298" s="230" t="n"/>
      <c r="H298" s="257" t="n">
        <v>27000</v>
      </c>
      <c r="I298" s="258" t="n"/>
      <c r="J298" s="258" t="n">
        <v>27000</v>
      </c>
      <c r="K298" s="233" t="n"/>
      <c r="L298" s="233" t="n">
        <v>11200</v>
      </c>
      <c r="M298" s="156" t="n"/>
      <c r="N298" s="156" t="n"/>
      <c r="O298" s="156" t="n"/>
    </row>
    <row r="299" ht="18.75" customHeight="1" s="153">
      <c r="A299" s="227" t="n"/>
      <c r="B299" s="228" t="inlineStr">
        <is>
          <t>PASAJE CONTRERAS 8257</t>
        </is>
      </c>
      <c r="C299" s="229" t="n"/>
      <c r="D299" s="229" t="n">
        <v>1</v>
      </c>
      <c r="E299" s="229" t="n"/>
      <c r="F299" s="230" t="n"/>
      <c r="G299" s="230" t="n"/>
      <c r="H299" s="257" t="n">
        <v>40500</v>
      </c>
      <c r="I299" s="258" t="n"/>
      <c r="J299" s="258" t="n">
        <v>40500</v>
      </c>
      <c r="K299" s="233" t="n"/>
      <c r="L299" s="233" t="n">
        <v>16800</v>
      </c>
      <c r="M299" s="156" t="n"/>
      <c r="N299" s="156" t="n"/>
      <c r="O299" s="156" t="n"/>
    </row>
    <row r="300" ht="18.75" customHeight="1" s="153">
      <c r="A300" s="227" t="n"/>
      <c r="B300" s="228" t="inlineStr">
        <is>
          <t>AIMARA</t>
        </is>
      </c>
      <c r="C300" s="229" t="n">
        <v>1</v>
      </c>
      <c r="D300" s="229" t="n"/>
      <c r="E300" s="229" t="n"/>
      <c r="F300" s="230" t="n"/>
      <c r="G300" s="230" t="n"/>
      <c r="H300" s="257" t="n">
        <v>26000</v>
      </c>
      <c r="I300" s="258" t="n">
        <v>26000</v>
      </c>
      <c r="J300" s="258" t="n"/>
      <c r="K300" s="233" t="n"/>
      <c r="L300" s="233" t="n">
        <v>10200</v>
      </c>
      <c r="M300" s="156" t="n"/>
      <c r="N300" s="156" t="n"/>
      <c r="O300" s="156" t="n"/>
    </row>
    <row r="301" ht="18.75" customHeight="1" s="153">
      <c r="A301" s="227" t="n"/>
      <c r="B301" s="228" t="inlineStr">
        <is>
          <t>RIVADAVIA 9741</t>
        </is>
      </c>
      <c r="C301" s="229" t="n">
        <v>1</v>
      </c>
      <c r="D301" s="229" t="n"/>
      <c r="E301" s="229" t="n"/>
      <c r="F301" s="230" t="n"/>
      <c r="G301" s="230" t="n"/>
      <c r="H301" s="257" t="n">
        <v>25500</v>
      </c>
      <c r="I301" s="258" t="n"/>
      <c r="J301" s="258" t="n">
        <v>25500</v>
      </c>
      <c r="K301" s="233" t="n"/>
      <c r="L301" s="233" t="n">
        <v>9700</v>
      </c>
      <c r="M301" s="156" t="n"/>
      <c r="N301" s="156" t="n"/>
      <c r="O301" s="156" t="n"/>
    </row>
    <row r="302" ht="18.75" customHeight="1" s="153">
      <c r="A302" s="227" t="n"/>
      <c r="B302" s="228" t="inlineStr">
        <is>
          <t>LARGUIA 7186</t>
        </is>
      </c>
      <c r="C302" s="229" t="n"/>
      <c r="D302" s="229" t="n"/>
      <c r="E302" s="229" t="n">
        <v>1</v>
      </c>
      <c r="F302" s="230" t="n"/>
      <c r="G302" s="230" t="n"/>
      <c r="H302" s="257" t="n">
        <v>91000</v>
      </c>
      <c r="I302" s="258" t="n"/>
      <c r="J302" s="258" t="n">
        <v>91000</v>
      </c>
      <c r="K302" s="233" t="n"/>
      <c r="L302" s="233" t="n">
        <v>29000</v>
      </c>
      <c r="M302" s="156" t="n"/>
      <c r="N302" s="156" t="n"/>
      <c r="O302" s="156" t="n"/>
    </row>
    <row r="303" ht="18.75" customHeight="1" s="153">
      <c r="A303" s="227" t="n"/>
      <c r="B303" s="228" t="inlineStr">
        <is>
          <t>1 DE MAYO 8369</t>
        </is>
      </c>
      <c r="C303" s="229" t="n">
        <v>1</v>
      </c>
      <c r="D303" s="229" t="n"/>
      <c r="E303" s="229" t="n"/>
      <c r="F303" s="230" t="n"/>
      <c r="G303" s="230" t="n"/>
      <c r="H303" s="257" t="n">
        <v>26000</v>
      </c>
      <c r="I303" s="258" t="n"/>
      <c r="J303" s="258" t="n">
        <v>26000</v>
      </c>
      <c r="K303" s="233" t="n"/>
      <c r="L303" s="233" t="n">
        <v>10200</v>
      </c>
      <c r="M303" s="156" t="n"/>
      <c r="N303" s="156" t="n"/>
      <c r="O303" s="156" t="n"/>
    </row>
    <row r="304" ht="18.75" customHeight="1" s="153">
      <c r="A304" s="227" t="n"/>
      <c r="B304" s="228" t="inlineStr">
        <is>
          <t>CALLEJON FUNES 4659</t>
        </is>
      </c>
      <c r="C304" s="229" t="n">
        <v>1</v>
      </c>
      <c r="D304" s="229" t="n"/>
      <c r="E304" s="229" t="n"/>
      <c r="F304" s="230" t="n"/>
      <c r="G304" s="230" t="n"/>
      <c r="H304" s="257" t="n">
        <v>128000</v>
      </c>
      <c r="I304" s="258" t="n">
        <v>128000</v>
      </c>
      <c r="J304" s="258" t="n"/>
      <c r="K304" s="233" t="n">
        <v>37000</v>
      </c>
      <c r="L304" s="233" t="n">
        <v>47200</v>
      </c>
      <c r="M304" s="156" t="n"/>
      <c r="N304" s="156" t="n"/>
      <c r="O304" s="156" t="n"/>
    </row>
    <row r="305" ht="18.75" customHeight="1" s="153">
      <c r="A305" s="227" t="n"/>
      <c r="B305" s="228" t="inlineStr">
        <is>
          <t>SAN MARTÍN 1925</t>
        </is>
      </c>
      <c r="C305" s="229" t="n">
        <v>1</v>
      </c>
      <c r="D305" s="229" t="n"/>
      <c r="E305" s="229" t="n"/>
      <c r="F305" s="230" t="n"/>
      <c r="G305" s="230" t="n"/>
      <c r="H305" s="257" t="n">
        <v>27500</v>
      </c>
      <c r="I305" s="258" t="n">
        <v>27500</v>
      </c>
      <c r="J305" s="258" t="n"/>
      <c r="K305" s="233" t="n"/>
      <c r="L305" s="233" t="n">
        <v>11700</v>
      </c>
      <c r="M305" s="156" t="n"/>
      <c r="N305" s="156" t="n"/>
      <c r="O305" s="156" t="n"/>
    </row>
    <row r="306" ht="18.75" customHeight="1" s="153">
      <c r="A306" s="227" t="n"/>
      <c r="B306" s="228" t="inlineStr">
        <is>
          <t>MARCELO FLORES 2 TORRE 8</t>
        </is>
      </c>
      <c r="C306" s="229" t="n">
        <v>1</v>
      </c>
      <c r="D306" s="229" t="n"/>
      <c r="E306" s="229" t="n"/>
      <c r="F306" s="230" t="n"/>
      <c r="G306" s="230" t="n"/>
      <c r="H306" s="257" t="n">
        <v>26000</v>
      </c>
      <c r="I306" s="258" t="n">
        <v>26000</v>
      </c>
      <c r="J306" s="258" t="n"/>
      <c r="K306" s="233" t="n"/>
      <c r="L306" s="233" t="n">
        <v>10200</v>
      </c>
      <c r="M306" s="156" t="n"/>
      <c r="N306" s="156" t="n"/>
      <c r="O306" s="156" t="n"/>
    </row>
    <row r="307" ht="18.75" customHeight="1" s="153">
      <c r="A307" s="227" t="n"/>
      <c r="B307" s="228" t="inlineStr">
        <is>
          <t>FRAY M PEREZ 648</t>
        </is>
      </c>
      <c r="C307" s="229" t="n">
        <v>2</v>
      </c>
      <c r="D307" s="229" t="n"/>
      <c r="E307" s="229" t="n"/>
      <c r="F307" s="230" t="n"/>
      <c r="G307" s="230" t="n"/>
      <c r="H307" s="257" t="n">
        <v>54000</v>
      </c>
      <c r="I307" s="258" t="n">
        <v>54000</v>
      </c>
      <c r="J307" s="258" t="n"/>
      <c r="K307" s="233" t="n"/>
      <c r="L307" s="233" t="n">
        <v>22400</v>
      </c>
      <c r="M307" s="156" t="n"/>
      <c r="N307" s="156" t="n"/>
      <c r="O307" s="156" t="n"/>
    </row>
    <row r="308" ht="18.75" customHeight="1" s="153">
      <c r="A308" s="227" t="n"/>
      <c r="B308" s="228" t="inlineStr">
        <is>
          <t>BARRETO 9161</t>
        </is>
      </c>
      <c r="C308" s="229" t="n"/>
      <c r="D308" s="229" t="n"/>
      <c r="E308" s="229" t="n">
        <v>1</v>
      </c>
      <c r="F308" s="230" t="n"/>
      <c r="G308" s="230" t="n"/>
      <c r="H308" s="257" t="n">
        <v>91000</v>
      </c>
      <c r="I308" s="258" t="n">
        <v>91000</v>
      </c>
      <c r="J308" s="258" t="n"/>
      <c r="K308" s="233" t="n"/>
      <c r="L308" s="233" t="n">
        <v>29000</v>
      </c>
      <c r="M308" s="156" t="n"/>
      <c r="N308" s="156" t="n"/>
      <c r="O308" s="156" t="n"/>
    </row>
    <row r="309" ht="18.75" customHeight="1" s="153">
      <c r="A309" s="227" t="n"/>
      <c r="B309" s="228" t="inlineStr">
        <is>
          <t>FILOMENA</t>
        </is>
      </c>
      <c r="C309" s="229" t="n">
        <v>2</v>
      </c>
      <c r="D309" s="229" t="n"/>
      <c r="E309" s="229" t="n"/>
      <c r="F309" s="230" t="n"/>
      <c r="G309" s="230" t="n"/>
      <c r="H309" s="257" t="n">
        <v>49000</v>
      </c>
      <c r="I309" s="258" t="n"/>
      <c r="J309" s="258" t="n">
        <v>49000</v>
      </c>
      <c r="K309" s="233" t="n"/>
      <c r="L309" s="233" t="n">
        <v>17400</v>
      </c>
      <c r="M309" s="156" t="n"/>
      <c r="N309" s="156" t="n"/>
      <c r="O309" s="156" t="n"/>
    </row>
    <row r="310" ht="18.75" customHeight="1" s="153">
      <c r="A310" s="227" t="n"/>
      <c r="B310" s="228" t="inlineStr">
        <is>
          <t>TROPPO</t>
        </is>
      </c>
      <c r="C310" s="229" t="n">
        <v>4</v>
      </c>
      <c r="D310" s="229" t="n"/>
      <c r="E310" s="229" t="n"/>
      <c r="F310" s="230" t="n"/>
      <c r="G310" s="230" t="n"/>
      <c r="H310" s="257" t="n">
        <v>206000</v>
      </c>
      <c r="I310" s="258" t="n">
        <v>206000</v>
      </c>
      <c r="J310" s="258" t="n"/>
      <c r="K310" s="233" t="n">
        <v>33000</v>
      </c>
      <c r="L310" s="233" t="n">
        <v>77800</v>
      </c>
      <c r="M310" s="156" t="n"/>
      <c r="N310" s="156" t="n"/>
      <c r="O310" s="156" t="n"/>
    </row>
    <row r="311" ht="18.75" customHeight="1" s="153">
      <c r="A311" s="227" t="n"/>
      <c r="B311" s="228" t="inlineStr">
        <is>
          <t>SANTA BAR 1 MAYO 1959</t>
        </is>
      </c>
      <c r="C311" s="229" t="n"/>
      <c r="D311" s="229" t="n"/>
      <c r="E311" s="229" t="n">
        <v>1</v>
      </c>
      <c r="F311" s="230" t="n"/>
      <c r="G311" s="230" t="n"/>
      <c r="H311" s="257" t="n">
        <v>88000</v>
      </c>
      <c r="I311" s="258" t="n">
        <v>88000</v>
      </c>
      <c r="J311" s="258" t="n"/>
      <c r="K311" s="233" t="n"/>
      <c r="L311" s="233" t="n">
        <v>26000</v>
      </c>
      <c r="M311" s="156" t="n"/>
      <c r="N311" s="156" t="n"/>
      <c r="O311" s="156" t="n"/>
    </row>
    <row r="312" ht="18.75" customHeight="1" s="153">
      <c r="A312" s="227" t="n"/>
      <c r="B312" s="228" t="inlineStr">
        <is>
          <t>CAREN</t>
        </is>
      </c>
      <c r="C312" s="229" t="n"/>
      <c r="D312" s="229" t="n"/>
      <c r="E312" s="229" t="n">
        <v>1</v>
      </c>
      <c r="F312" s="230" t="n"/>
      <c r="G312" s="230" t="n"/>
      <c r="H312" s="257" t="n">
        <v>85000</v>
      </c>
      <c r="I312" s="258" t="n"/>
      <c r="J312" s="258" t="n">
        <v>85000</v>
      </c>
      <c r="K312" s="233" t="n"/>
      <c r="L312" s="233" t="n">
        <v>23000</v>
      </c>
      <c r="M312" s="156" t="n"/>
      <c r="N312" s="156" t="n"/>
      <c r="O312" s="156" t="n"/>
    </row>
    <row r="313" ht="18.75" customHeight="1" s="153">
      <c r="A313" s="227" t="n"/>
      <c r="B313" s="228" t="inlineStr">
        <is>
          <t>LA SALLE 3706</t>
        </is>
      </c>
      <c r="C313" s="229" t="n"/>
      <c r="D313" s="229" t="n"/>
      <c r="E313" s="229" t="n">
        <v>1</v>
      </c>
      <c r="F313" s="230" t="n"/>
      <c r="G313" s="230" t="n"/>
      <c r="H313" s="257" t="n">
        <v>91000</v>
      </c>
      <c r="I313" s="258" t="n"/>
      <c r="J313" s="258" t="n">
        <v>91000</v>
      </c>
      <c r="K313" s="233" t="n"/>
      <c r="L313" s="233" t="n">
        <v>29000</v>
      </c>
      <c r="M313" s="156" t="n"/>
      <c r="N313" s="156" t="n"/>
      <c r="O313" s="156" t="n"/>
    </row>
    <row r="314" ht="18.75" customHeight="1" s="153">
      <c r="A314" s="227" t="n"/>
      <c r="B314" s="228" t="inlineStr">
        <is>
          <t>JP LOPES 2322</t>
        </is>
      </c>
      <c r="C314" s="229" t="n">
        <v>1</v>
      </c>
      <c r="D314" s="229" t="n"/>
      <c r="E314" s="229" t="n"/>
      <c r="F314" s="230" t="n"/>
      <c r="G314" s="230" t="n"/>
      <c r="H314" s="257" t="n">
        <v>26000</v>
      </c>
      <c r="I314" s="258" t="n">
        <v>26000</v>
      </c>
      <c r="J314" s="258" t="n"/>
      <c r="K314" s="233" t="n"/>
      <c r="L314" s="233" t="n">
        <v>10200</v>
      </c>
      <c r="M314" s="156" t="n"/>
      <c r="N314" s="156" t="n"/>
      <c r="O314" s="156" t="n"/>
    </row>
    <row r="315" ht="18.75" customHeight="1" s="153">
      <c r="A315" s="227" t="n"/>
      <c r="B315" s="228" t="inlineStr">
        <is>
          <t>CANCHA RIVADAVIA 7200</t>
        </is>
      </c>
      <c r="C315" s="229" t="n">
        <v>1</v>
      </c>
      <c r="D315" s="229" t="n"/>
      <c r="E315" s="229" t="n"/>
      <c r="F315" s="230" t="n"/>
      <c r="G315" s="230" t="n"/>
      <c r="H315" s="257" t="n">
        <v>24500</v>
      </c>
      <c r="I315" s="258" t="n"/>
      <c r="J315" s="258" t="n">
        <v>24500</v>
      </c>
      <c r="K315" s="233" t="n"/>
      <c r="L315" s="233" t="n">
        <v>8700</v>
      </c>
      <c r="M315" s="156" t="n"/>
      <c r="N315" s="156" t="n"/>
      <c r="O315" s="156" t="n"/>
    </row>
    <row r="316" ht="18.75" customHeight="1" s="153">
      <c r="A316" s="227" t="n"/>
      <c r="B316" s="228" t="inlineStr">
        <is>
          <t>PAVON 2946</t>
        </is>
      </c>
      <c r="C316" s="229" t="n">
        <v>1</v>
      </c>
      <c r="D316" s="229" t="n"/>
      <c r="E316" s="229" t="n"/>
      <c r="F316" s="230" t="n"/>
      <c r="G316" s="230" t="n"/>
      <c r="H316" s="257" t="n">
        <v>26000</v>
      </c>
      <c r="I316" s="258" t="n">
        <v>26000</v>
      </c>
      <c r="J316" s="258" t="n"/>
      <c r="K316" s="233" t="n"/>
      <c r="L316" s="233" t="n">
        <v>10200</v>
      </c>
      <c r="M316" s="156" t="n"/>
      <c r="N316" s="156" t="n"/>
      <c r="O316" s="156" t="n"/>
    </row>
    <row r="317" ht="18.75" customHeight="1" s="153">
      <c r="A317" s="227" t="n"/>
      <c r="B317" s="228" t="inlineStr">
        <is>
          <t>OBISPO GELABERT 3622</t>
        </is>
      </c>
      <c r="C317" s="229" t="n">
        <v>1</v>
      </c>
      <c r="D317" s="229" t="n"/>
      <c r="E317" s="229" t="n"/>
      <c r="F317" s="230" t="n"/>
      <c r="G317" s="230" t="n"/>
      <c r="H317" s="257" t="n">
        <v>27000</v>
      </c>
      <c r="I317" s="258" t="n"/>
      <c r="J317" s="258" t="n">
        <v>27000</v>
      </c>
      <c r="K317" s="233" t="n"/>
      <c r="L317" s="233" t="n">
        <v>11200</v>
      </c>
      <c r="M317" s="156" t="n"/>
      <c r="N317" s="156" t="n"/>
      <c r="O317" s="156" t="n"/>
    </row>
    <row r="318" ht="18.75" customHeight="1" s="153">
      <c r="A318" s="227" t="n"/>
      <c r="B318" s="228" t="inlineStr">
        <is>
          <t>VICTOR CAPE</t>
        </is>
      </c>
      <c r="C318" s="229" t="n">
        <v>1</v>
      </c>
      <c r="D318" s="229" t="n"/>
      <c r="E318" s="229" t="n"/>
      <c r="F318" s="230" t="n"/>
      <c r="G318" s="230" t="n"/>
      <c r="H318" s="257" t="n">
        <v>27000</v>
      </c>
      <c r="I318" s="258" t="n"/>
      <c r="J318" s="258" t="n">
        <v>27000</v>
      </c>
      <c r="K318" s="233" t="n"/>
      <c r="L318" s="233" t="n">
        <v>11200</v>
      </c>
      <c r="M318" s="156" t="n"/>
      <c r="N318" s="156" t="n"/>
      <c r="O318" s="156" t="n"/>
    </row>
    <row r="319" ht="18.75" customHeight="1" s="153">
      <c r="A319" s="227" t="n"/>
      <c r="B319" s="228" t="inlineStr">
        <is>
          <t>GABOTO 7320</t>
        </is>
      </c>
      <c r="C319" s="229" t="n"/>
      <c r="D319" s="229" t="n"/>
      <c r="E319" s="229" t="n">
        <v>1</v>
      </c>
      <c r="F319" s="230" t="n"/>
      <c r="G319" s="230" t="n"/>
      <c r="H319" s="257" t="n">
        <v>91000</v>
      </c>
      <c r="I319" s="258" t="n"/>
      <c r="J319" s="258" t="n">
        <v>91000</v>
      </c>
      <c r="K319" s="233" t="n"/>
      <c r="L319" s="233" t="n">
        <v>29000</v>
      </c>
      <c r="M319" s="156" t="n"/>
      <c r="N319" s="156" t="n"/>
      <c r="O319" s="156" t="n"/>
    </row>
    <row r="320" ht="18.75" customHeight="1" s="153">
      <c r="A320" s="227" t="n"/>
      <c r="B320" s="228" t="inlineStr">
        <is>
          <t>TACUARI 5717</t>
        </is>
      </c>
      <c r="C320" s="229" t="n">
        <v>1</v>
      </c>
      <c r="D320" s="229" t="n"/>
      <c r="E320" s="229" t="n"/>
      <c r="F320" s="230" t="n"/>
      <c r="G320" s="230" t="n"/>
      <c r="H320" s="257" t="n">
        <v>27000</v>
      </c>
      <c r="I320" s="258" t="n"/>
      <c r="J320" s="258" t="n">
        <v>27000</v>
      </c>
      <c r="K320" s="233" t="n"/>
      <c r="L320" s="233" t="n">
        <v>11200</v>
      </c>
      <c r="M320" s="156" t="n"/>
      <c r="N320" s="156" t="n"/>
      <c r="O320" s="156" t="n"/>
    </row>
    <row r="321" ht="18.75" customHeight="1" s="153">
      <c r="A321" s="227" t="n"/>
      <c r="B321" s="228" t="inlineStr">
        <is>
          <t>I CRESPO 7370</t>
        </is>
      </c>
      <c r="C321" s="229" t="n">
        <v>1</v>
      </c>
      <c r="D321" s="229" t="n"/>
      <c r="E321" s="229" t="n"/>
      <c r="F321" s="230" t="n"/>
      <c r="G321" s="230" t="n"/>
      <c r="H321" s="257" t="n">
        <v>24000</v>
      </c>
      <c r="I321" s="258" t="n">
        <v>24000</v>
      </c>
      <c r="J321" s="258" t="n"/>
      <c r="K321" s="233" t="n"/>
      <c r="L321" s="233" t="n">
        <v>8200</v>
      </c>
      <c r="M321" s="156" t="n"/>
      <c r="N321" s="156" t="n"/>
      <c r="O321" s="156" t="n"/>
    </row>
    <row r="322" ht="18.75" customHeight="1" s="153">
      <c r="A322" s="227" t="n"/>
      <c r="B322" s="228" t="inlineStr">
        <is>
          <t>ROMERO 9331</t>
        </is>
      </c>
      <c r="C322" s="229" t="n"/>
      <c r="D322" s="229" t="n"/>
      <c r="E322" s="229" t="n">
        <v>1</v>
      </c>
      <c r="F322" s="230" t="n"/>
      <c r="G322" s="230" t="n"/>
      <c r="H322" s="257" t="n">
        <v>91000</v>
      </c>
      <c r="I322" s="258" t="n"/>
      <c r="J322" s="258" t="n">
        <v>91000</v>
      </c>
      <c r="K322" s="233" t="n"/>
      <c r="L322" s="233" t="n">
        <v>29000</v>
      </c>
      <c r="M322" s="156" t="n"/>
      <c r="N322" s="156" t="n"/>
      <c r="O322" s="156" t="n"/>
    </row>
    <row r="323" ht="18.75" customHeight="1" s="153">
      <c r="A323" s="227" t="n"/>
      <c r="B323" s="228" t="inlineStr">
        <is>
          <t>DANA</t>
        </is>
      </c>
      <c r="C323" s="229" t="n">
        <v>3</v>
      </c>
      <c r="D323" s="229" t="n"/>
      <c r="E323" s="229" t="n"/>
      <c r="F323" s="230" t="n"/>
      <c r="G323" s="230" t="n"/>
      <c r="H323" s="257" t="n">
        <v>60000</v>
      </c>
      <c r="I323" s="258" t="n">
        <v>60000</v>
      </c>
      <c r="J323" s="258" t="n"/>
      <c r="K323" s="233" t="n"/>
      <c r="L323" s="233" t="n">
        <v>12600</v>
      </c>
      <c r="M323" s="156" t="n"/>
      <c r="N323" s="156" t="n"/>
      <c r="O323" s="156" t="n"/>
    </row>
    <row r="324" ht="18.75" customHeight="1" s="153">
      <c r="A324" s="227" t="n"/>
      <c r="B324" s="228" t="inlineStr">
        <is>
          <t>MARIA AMIGA NONA</t>
        </is>
      </c>
      <c r="C324" s="229" t="n"/>
      <c r="D324" s="229" t="n">
        <v>1</v>
      </c>
      <c r="E324" s="229" t="n"/>
      <c r="F324" s="230" t="n"/>
      <c r="G324" s="230" t="n"/>
      <c r="H324" s="257" t="n">
        <v>39000</v>
      </c>
      <c r="I324" s="258" t="n">
        <v>39000</v>
      </c>
      <c r="J324" s="258" t="n"/>
      <c r="K324" s="233" t="n"/>
      <c r="L324" s="233" t="n">
        <v>15300</v>
      </c>
      <c r="M324" s="156" t="n"/>
      <c r="N324" s="156" t="n"/>
      <c r="O324" s="156" t="n"/>
    </row>
    <row r="325" ht="18.75" customHeight="1" s="153">
      <c r="A325" s="227" t="n">
        <v>46159</v>
      </c>
      <c r="B325" s="228" t="inlineStr">
        <is>
          <t>PUBLICO 2152</t>
        </is>
      </c>
      <c r="C325" s="229" t="n"/>
      <c r="D325" s="229" t="n"/>
      <c r="E325" s="229" t="n">
        <v>1</v>
      </c>
      <c r="F325" s="230" t="n"/>
      <c r="G325" s="230" t="n"/>
      <c r="H325" s="257" t="n">
        <v>91000</v>
      </c>
      <c r="I325" s="258" t="n"/>
      <c r="J325" s="258" t="n">
        <v>91000</v>
      </c>
      <c r="K325" s="233" t="n"/>
      <c r="L325" s="233" t="n">
        <v>29000</v>
      </c>
      <c r="M325" s="156" t="n"/>
      <c r="N325" s="156" t="n"/>
      <c r="O325" s="156" t="n"/>
    </row>
    <row r="326" ht="18.75" customHeight="1" s="153">
      <c r="A326" s="227" t="n"/>
      <c r="B326" s="228" t="inlineStr">
        <is>
          <t>9 DE JULIO 2105</t>
        </is>
      </c>
      <c r="C326" s="229" t="n">
        <v>1</v>
      </c>
      <c r="D326" s="229" t="n"/>
      <c r="E326" s="229" t="n"/>
      <c r="F326" s="230" t="n"/>
      <c r="G326" s="230" t="n"/>
      <c r="H326" s="257" t="n">
        <v>27000</v>
      </c>
      <c r="I326" s="258" t="n"/>
      <c r="J326" s="258" t="n">
        <v>27000</v>
      </c>
      <c r="K326" s="233" t="n"/>
      <c r="L326" s="233" t="n">
        <v>11200</v>
      </c>
      <c r="M326" s="156" t="n"/>
      <c r="N326" s="156" t="n"/>
      <c r="O326" s="156" t="n"/>
    </row>
    <row r="327" ht="18.75" customHeight="1" s="153">
      <c r="A327" s="227" t="n"/>
      <c r="B327" s="228" t="inlineStr">
        <is>
          <t>TROPPO</t>
        </is>
      </c>
      <c r="C327" s="229" t="n">
        <v>3</v>
      </c>
      <c r="D327" s="229" t="n"/>
      <c r="E327" s="229" t="n"/>
      <c r="F327" s="230" t="n"/>
      <c r="G327" s="230" t="n"/>
      <c r="H327" s="257" t="n">
        <v>81000</v>
      </c>
      <c r="I327" s="258" t="n">
        <v>81000</v>
      </c>
      <c r="J327" s="258" t="n"/>
      <c r="K327" s="233" t="n"/>
      <c r="L327" s="233" t="n">
        <v>33600</v>
      </c>
      <c r="M327" s="156" t="n"/>
      <c r="N327" s="156" t="n"/>
      <c r="O327" s="156" t="n"/>
    </row>
    <row r="328" ht="18.75" customHeight="1" s="153">
      <c r="A328" s="227" t="n"/>
      <c r="B328" s="228" t="inlineStr">
        <is>
          <t>LAVALLE 7100</t>
        </is>
      </c>
      <c r="C328" s="229" t="n">
        <v>1</v>
      </c>
      <c r="D328" s="229" t="n"/>
      <c r="E328" s="229" t="n"/>
      <c r="F328" s="230" t="n"/>
      <c r="G328" s="230" t="n"/>
      <c r="H328" s="257" t="n">
        <v>25000</v>
      </c>
      <c r="I328" s="258" t="n">
        <v>25000</v>
      </c>
      <c r="J328" s="258" t="n"/>
      <c r="K328" s="233" t="n"/>
      <c r="L328" s="233" t="n">
        <v>9200</v>
      </c>
      <c r="M328" s="156" t="n"/>
      <c r="N328" s="156" t="n"/>
      <c r="O328" s="156" t="n"/>
    </row>
    <row r="329" ht="18.75" customHeight="1" s="153">
      <c r="A329" s="227" t="n"/>
      <c r="B329" s="228" t="inlineStr">
        <is>
          <t>GORRITI 6742</t>
        </is>
      </c>
      <c r="C329" s="229" t="n">
        <v>1</v>
      </c>
      <c r="D329" s="229" t="n"/>
      <c r="E329" s="229" t="n"/>
      <c r="F329" s="230" t="n"/>
      <c r="G329" s="230" t="n"/>
      <c r="H329" s="257" t="n">
        <v>26500</v>
      </c>
      <c r="I329" s="258" t="n"/>
      <c r="J329" s="258" t="n">
        <v>26500</v>
      </c>
      <c r="K329" s="233" t="n"/>
      <c r="L329" s="233" t="n">
        <v>10700</v>
      </c>
      <c r="M329" s="156" t="n"/>
      <c r="N329" s="156" t="n"/>
      <c r="O329" s="156" t="n"/>
    </row>
    <row r="330" ht="18.75" customHeight="1" s="153">
      <c r="A330" s="227" t="n"/>
      <c r="B330" s="228" t="inlineStr">
        <is>
          <t>DAVID LEIVA Y ALBERTO</t>
        </is>
      </c>
      <c r="C330" s="229" t="n">
        <v>1</v>
      </c>
      <c r="D330" s="229" t="n"/>
      <c r="E330" s="229" t="n"/>
      <c r="F330" s="230" t="n"/>
      <c r="G330" s="230" t="n"/>
      <c r="H330" s="257" t="n">
        <v>25000</v>
      </c>
      <c r="I330" s="258" t="n">
        <v>25000</v>
      </c>
      <c r="J330" s="258" t="n"/>
      <c r="K330" s="233" t="n"/>
      <c r="L330" s="233" t="n">
        <v>9200</v>
      </c>
      <c r="M330" s="156" t="n"/>
      <c r="N330" s="156" t="n"/>
      <c r="O330" s="156" t="n"/>
    </row>
    <row r="331" ht="18.75" customHeight="1" s="153">
      <c r="A331" s="227" t="n"/>
      <c r="B331" s="228" t="inlineStr">
        <is>
          <t>SANDRA</t>
        </is>
      </c>
      <c r="C331" s="229" t="n">
        <v>2</v>
      </c>
      <c r="D331" s="229" t="n"/>
      <c r="E331" s="229" t="n"/>
      <c r="F331" s="230" t="n"/>
      <c r="G331" s="230" t="n"/>
      <c r="H331" s="257" t="n">
        <v>39000</v>
      </c>
      <c r="I331" s="258" t="n"/>
      <c r="J331" s="258" t="n">
        <v>39000</v>
      </c>
      <c r="K331" s="233" t="n"/>
      <c r="L331" s="233" t="n">
        <v>7400</v>
      </c>
      <c r="M331" s="156" t="n"/>
      <c r="N331" s="156" t="n"/>
      <c r="O331" s="156" t="n"/>
    </row>
    <row r="332" ht="18.75" customHeight="1" s="153">
      <c r="A332" s="227" t="n"/>
      <c r="B332" s="228" t="inlineStr">
        <is>
          <t>AZOPARDO 8395</t>
        </is>
      </c>
      <c r="C332" s="229" t="n"/>
      <c r="D332" s="229" t="n">
        <v>1</v>
      </c>
      <c r="E332" s="229" t="n"/>
      <c r="F332" s="230" t="n"/>
      <c r="G332" s="230" t="n"/>
      <c r="H332" s="257" t="n">
        <v>39500</v>
      </c>
      <c r="I332" s="258" t="n"/>
      <c r="J332" s="258" t="n">
        <v>39500</v>
      </c>
      <c r="K332" s="233" t="n"/>
      <c r="L332" s="233" t="n">
        <v>15800</v>
      </c>
      <c r="M332" s="156" t="n"/>
      <c r="N332" s="156" t="n"/>
      <c r="O332" s="156" t="n"/>
    </row>
    <row r="333" ht="18.75" customHeight="1" s="153">
      <c r="A333" s="227" t="n"/>
      <c r="B333" s="228" t="inlineStr">
        <is>
          <t>VENTA EN PUERTA</t>
        </is>
      </c>
      <c r="C333" s="229" t="n">
        <v>1</v>
      </c>
      <c r="D333" s="229" t="n"/>
      <c r="E333" s="229" t="n"/>
      <c r="F333" s="230" t="n"/>
      <c r="G333" s="230" t="n"/>
      <c r="H333" s="257" t="n">
        <v>22000</v>
      </c>
      <c r="I333" s="258" t="n"/>
      <c r="J333" s="258" t="n">
        <v>22000</v>
      </c>
      <c r="K333" s="233" t="n"/>
      <c r="L333" s="233" t="n">
        <v>6200</v>
      </c>
      <c r="M333" s="156" t="n"/>
      <c r="N333" s="156" t="n"/>
      <c r="O333" s="156" t="n"/>
    </row>
    <row r="334" ht="18.75" customHeight="1" s="153">
      <c r="A334" s="227" t="n"/>
      <c r="B334" s="228" t="inlineStr">
        <is>
          <t>BAR DEL SUR</t>
        </is>
      </c>
      <c r="C334" s="229" t="n">
        <v>1</v>
      </c>
      <c r="D334" s="229" t="n"/>
      <c r="E334" s="229" t="n"/>
      <c r="F334" s="230" t="n"/>
      <c r="G334" s="230" t="n"/>
      <c r="H334" s="257" t="n">
        <v>26000</v>
      </c>
      <c r="I334" s="258" t="n">
        <v>26000</v>
      </c>
      <c r="J334" s="258" t="n"/>
      <c r="K334" s="233" t="n"/>
      <c r="L334" s="233" t="n">
        <v>10200</v>
      </c>
      <c r="M334" s="156" t="n"/>
      <c r="N334" s="156" t="n"/>
      <c r="O334" s="156" t="n"/>
    </row>
    <row r="335" ht="18.75" customHeight="1" s="153">
      <c r="A335" s="227" t="n"/>
      <c r="B335" s="228" t="inlineStr">
        <is>
          <t>DOMINGO SILVA 4217</t>
        </is>
      </c>
      <c r="C335" s="229" t="n">
        <v>2</v>
      </c>
      <c r="D335" s="229" t="n"/>
      <c r="E335" s="229" t="n"/>
      <c r="F335" s="230" t="n"/>
      <c r="G335" s="230" t="n"/>
      <c r="H335" s="257" t="n">
        <v>40000</v>
      </c>
      <c r="I335" s="258" t="n"/>
      <c r="J335" s="258" t="n">
        <v>40000</v>
      </c>
      <c r="K335" s="233" t="n"/>
      <c r="L335" s="233" t="n">
        <v>8400</v>
      </c>
      <c r="M335" s="156" t="n"/>
      <c r="N335" s="156" t="n"/>
      <c r="O335" s="156" t="n"/>
    </row>
    <row r="336" ht="18.75" customHeight="1" s="153">
      <c r="A336" s="227" t="n"/>
      <c r="B336" s="228" t="inlineStr">
        <is>
          <t>GOLD BURGER</t>
        </is>
      </c>
      <c r="C336" s="229" t="n">
        <v>4</v>
      </c>
      <c r="D336" s="229" t="n"/>
      <c r="E336" s="229" t="n"/>
      <c r="F336" s="230" t="n"/>
      <c r="G336" s="230" t="n"/>
      <c r="H336" s="257" t="n">
        <v>108000</v>
      </c>
      <c r="I336" s="258" t="n">
        <v>108000</v>
      </c>
      <c r="J336" s="258" t="n"/>
      <c r="K336" s="233" t="n"/>
      <c r="L336" s="233" t="n">
        <v>44800</v>
      </c>
      <c r="M336" s="156" t="n"/>
      <c r="N336" s="156" t="n"/>
      <c r="O336" s="156" t="n"/>
    </row>
    <row r="337" ht="18.75" customHeight="1" s="153">
      <c r="A337" s="227" t="n"/>
      <c r="B337" s="228" t="inlineStr">
        <is>
          <t>CORRIENTES 3782</t>
        </is>
      </c>
      <c r="C337" s="229" t="n">
        <v>1</v>
      </c>
      <c r="D337" s="229" t="n"/>
      <c r="E337" s="229" t="n"/>
      <c r="F337" s="230" t="n"/>
      <c r="G337" s="230" t="n"/>
      <c r="H337" s="257" t="n">
        <v>27000</v>
      </c>
      <c r="I337" s="258" t="n">
        <v>27000</v>
      </c>
      <c r="J337" s="258" t="n"/>
      <c r="K337" s="233" t="n"/>
      <c r="L337" s="233" t="n">
        <v>11200</v>
      </c>
      <c r="M337" s="156" t="n"/>
      <c r="N337" s="156" t="n"/>
      <c r="O337" s="156" t="n"/>
    </row>
    <row r="338" ht="18.75" customHeight="1" s="153">
      <c r="A338" s="227" t="n"/>
      <c r="B338" s="228" t="inlineStr">
        <is>
          <t>BELGRANO 7944</t>
        </is>
      </c>
      <c r="C338" s="229" t="n">
        <v>1</v>
      </c>
      <c r="D338" s="229" t="n"/>
      <c r="E338" s="229" t="n"/>
      <c r="F338" s="230" t="n"/>
      <c r="G338" s="230" t="n"/>
      <c r="H338" s="257" t="n">
        <v>125000</v>
      </c>
      <c r="I338" s="258" t="n">
        <v>125000</v>
      </c>
      <c r="J338" s="258" t="n"/>
      <c r="K338" s="233" t="n">
        <v>34000</v>
      </c>
      <c r="L338" s="233" t="n">
        <v>44200</v>
      </c>
      <c r="M338" s="156" t="n"/>
      <c r="N338" s="156" t="n"/>
      <c r="O338" s="156" t="n"/>
    </row>
    <row r="339" ht="18.75" customHeight="1" s="153">
      <c r="A339" s="227" t="n"/>
      <c r="B339" s="228" t="inlineStr">
        <is>
          <t>GRIERSON 8369</t>
        </is>
      </c>
      <c r="C339" s="229" t="n"/>
      <c r="D339" s="229" t="n"/>
      <c r="E339" s="229" t="n">
        <v>1</v>
      </c>
      <c r="F339" s="230" t="n"/>
      <c r="G339" s="230" t="n"/>
      <c r="H339" s="257" t="n">
        <v>94000</v>
      </c>
      <c r="I339" s="258" t="n"/>
      <c r="J339" s="258" t="n">
        <v>94000</v>
      </c>
      <c r="K339" s="233" t="n"/>
      <c r="L339" s="233" t="n">
        <v>32000</v>
      </c>
      <c r="M339" s="156" t="n"/>
      <c r="N339" s="156" t="n"/>
      <c r="O339" s="156" t="n"/>
    </row>
    <row r="340" ht="18.75" customHeight="1" s="153">
      <c r="A340" s="227" t="n"/>
      <c r="B340" s="228" t="inlineStr">
        <is>
          <t>MONTIEL 9165</t>
        </is>
      </c>
      <c r="C340" s="229" t="n"/>
      <c r="D340" s="229" t="n"/>
      <c r="E340" s="229" t="n">
        <v>1</v>
      </c>
      <c r="F340" s="230" t="n"/>
      <c r="G340" s="230" t="n"/>
      <c r="H340" s="257" t="n">
        <v>91000</v>
      </c>
      <c r="I340" s="258" t="n">
        <v>91000</v>
      </c>
      <c r="J340" s="258" t="n"/>
      <c r="K340" s="233" t="n"/>
      <c r="L340" s="233" t="n">
        <v>29000</v>
      </c>
      <c r="M340" s="156" t="n"/>
      <c r="N340" s="156" t="n"/>
      <c r="O340" s="156" t="n"/>
    </row>
    <row r="341" ht="18.75" customHeight="1" s="153">
      <c r="A341" s="227" t="n"/>
      <c r="B341" s="228" t="inlineStr">
        <is>
          <t>PEDRO FERRE 3472</t>
        </is>
      </c>
      <c r="C341" s="229" t="n">
        <v>1</v>
      </c>
      <c r="D341" s="229" t="n"/>
      <c r="E341" s="229" t="n"/>
      <c r="F341" s="230" t="n"/>
      <c r="G341" s="230" t="n"/>
      <c r="H341" s="231" t="n">
        <v>26000</v>
      </c>
      <c r="I341" s="232" t="n">
        <v>26000</v>
      </c>
      <c r="J341" s="232" t="n"/>
      <c r="K341" s="233" t="n"/>
      <c r="L341" s="233" t="n">
        <v>10200</v>
      </c>
      <c r="M341" s="156" t="n"/>
      <c r="N341" s="156" t="n"/>
      <c r="O341" s="156" t="n"/>
    </row>
    <row r="342" ht="18.75" customHeight="1" s="153">
      <c r="A342" s="227" t="n">
        <v>46160</v>
      </c>
      <c r="B342" s="228" t="inlineStr">
        <is>
          <t>25 DE MAYO 2617</t>
        </is>
      </c>
      <c r="C342" s="229" t="n"/>
      <c r="D342" s="229" t="n">
        <v>1</v>
      </c>
      <c r="E342" s="229" t="n"/>
      <c r="F342" s="230" t="n"/>
      <c r="G342" s="230" t="n"/>
      <c r="H342" s="257" t="n">
        <v>41000</v>
      </c>
      <c r="I342" s="258" t="n"/>
      <c r="J342" s="258" t="n">
        <v>41000</v>
      </c>
      <c r="K342" s="233" t="n"/>
      <c r="L342" s="233" t="n">
        <v>17300</v>
      </c>
      <c r="M342" s="156" t="n"/>
      <c r="N342" s="156" t="n"/>
      <c r="O342" s="156" t="n"/>
    </row>
    <row r="343" ht="18.75" customHeight="1" s="153">
      <c r="A343" s="227" t="n"/>
      <c r="B343" s="228" t="inlineStr">
        <is>
          <t>TENIENTE LOZA 6053</t>
        </is>
      </c>
      <c r="C343" s="229" t="n"/>
      <c r="D343" s="229" t="n"/>
      <c r="E343" s="229" t="n">
        <v>1</v>
      </c>
      <c r="F343" s="230" t="n"/>
      <c r="G343" s="230" t="n"/>
      <c r="H343" s="257" t="n">
        <v>92000</v>
      </c>
      <c r="I343" s="258" t="n"/>
      <c r="J343" s="258" t="n">
        <v>92000</v>
      </c>
      <c r="K343" s="233" t="n"/>
      <c r="L343" s="233" t="n">
        <v>30000</v>
      </c>
      <c r="M343" s="156" t="n"/>
      <c r="N343" s="156" t="n"/>
      <c r="O343" s="156" t="n"/>
    </row>
    <row r="344" ht="18.75" customHeight="1" s="153">
      <c r="A344" s="227" t="n"/>
      <c r="B344" s="228" t="inlineStr">
        <is>
          <t>OTNIEL</t>
        </is>
      </c>
      <c r="C344" s="229" t="n"/>
      <c r="D344" s="229" t="n">
        <v>2</v>
      </c>
      <c r="E344" s="229" t="n"/>
      <c r="F344" s="230" t="n"/>
      <c r="G344" s="230" t="n"/>
      <c r="H344" s="257" t="n">
        <v>70000</v>
      </c>
      <c r="I344" s="258" t="n"/>
      <c r="J344" s="258" t="n">
        <v>70000</v>
      </c>
      <c r="K344" s="233" t="n"/>
      <c r="L344" s="233" t="n">
        <v>22600</v>
      </c>
      <c r="M344" s="156" t="n"/>
      <c r="N344" s="156" t="n"/>
      <c r="O344" s="156" t="n"/>
    </row>
    <row r="345" ht="18.75" customHeight="1" s="153">
      <c r="A345" s="227" t="n"/>
      <c r="B345" s="228" t="inlineStr">
        <is>
          <t>RÍO NEGRO 6570</t>
        </is>
      </c>
      <c r="C345" s="229" t="n"/>
      <c r="D345" s="229" t="n"/>
      <c r="E345" s="229" t="n">
        <v>1</v>
      </c>
      <c r="F345" s="230" t="n"/>
      <c r="G345" s="230" t="n"/>
      <c r="H345" s="257" t="n">
        <v>92000</v>
      </c>
      <c r="I345" s="258" t="n"/>
      <c r="J345" s="258" t="n">
        <v>92000</v>
      </c>
      <c r="K345" s="233" t="n"/>
      <c r="L345" s="233" t="n">
        <v>30000</v>
      </c>
      <c r="M345" s="156" t="n"/>
      <c r="N345" s="156" t="n"/>
      <c r="O345" s="156" t="n"/>
    </row>
    <row r="346" ht="18.75" customHeight="1" s="153">
      <c r="A346" s="227" t="n"/>
      <c r="B346" s="228" t="inlineStr">
        <is>
          <t>URQUIZA 9396</t>
        </is>
      </c>
      <c r="C346" s="229" t="n">
        <v>1</v>
      </c>
      <c r="D346" s="229" t="n"/>
      <c r="E346" s="229" t="n"/>
      <c r="F346" s="230" t="n"/>
      <c r="G346" s="230" t="n"/>
      <c r="H346" s="257" t="n">
        <v>128000</v>
      </c>
      <c r="I346" s="258" t="n">
        <v>128000</v>
      </c>
      <c r="J346" s="258" t="n"/>
      <c r="K346" s="233" t="n">
        <v>37000</v>
      </c>
      <c r="L346" s="233" t="n">
        <v>47200</v>
      </c>
      <c r="M346" s="156" t="n"/>
      <c r="N346" s="156" t="n"/>
      <c r="O346" s="156" t="n"/>
    </row>
    <row r="347" ht="18.75" customHeight="1" s="153">
      <c r="A347" s="227" t="n"/>
      <c r="B347" s="228" t="inlineStr">
        <is>
          <t>PEDRO CEBALLOS 8134</t>
        </is>
      </c>
      <c r="C347" s="229" t="n">
        <v>4</v>
      </c>
      <c r="D347" s="229" t="n"/>
      <c r="E347" s="229" t="n"/>
      <c r="F347" s="230" t="n"/>
      <c r="G347" s="230" t="n"/>
      <c r="H347" s="257" t="n">
        <v>76000</v>
      </c>
      <c r="I347" s="258" t="n"/>
      <c r="J347" s="258" t="n">
        <v>76000</v>
      </c>
      <c r="K347" s="233" t="n"/>
      <c r="L347" s="233" t="n">
        <v>12800</v>
      </c>
      <c r="M347" s="156" t="n"/>
      <c r="N347" s="156" t="n"/>
      <c r="O347" s="156" t="n"/>
    </row>
    <row r="348" ht="18.75" customHeight="1" s="153">
      <c r="A348" s="227" t="n"/>
      <c r="B348" s="228" t="inlineStr">
        <is>
          <t>IRMA</t>
        </is>
      </c>
      <c r="C348" s="229" t="n">
        <v>1</v>
      </c>
      <c r="D348" s="229" t="n"/>
      <c r="E348" s="229" t="n"/>
      <c r="F348" s="230" t="n"/>
      <c r="G348" s="230" t="n"/>
      <c r="H348" s="257" t="n">
        <v>27000</v>
      </c>
      <c r="I348" s="258" t="n">
        <v>27000</v>
      </c>
      <c r="J348" s="258" t="n"/>
      <c r="K348" s="233" t="n"/>
      <c r="L348" s="233" t="n">
        <v>11200</v>
      </c>
      <c r="M348" s="156" t="n"/>
      <c r="N348" s="156" t="n"/>
      <c r="O348" s="156" t="n"/>
    </row>
    <row r="349" ht="18.75" customHeight="1" s="153">
      <c r="A349" s="227" t="n"/>
      <c r="B349" s="228" t="inlineStr">
        <is>
          <t>AZCUENAGA 6100</t>
        </is>
      </c>
      <c r="C349" s="229" t="n">
        <v>1</v>
      </c>
      <c r="D349" s="229" t="n"/>
      <c r="E349" s="229" t="n"/>
      <c r="F349" s="230" t="n"/>
      <c r="G349" s="230" t="n"/>
      <c r="H349" s="257" t="n">
        <v>27000</v>
      </c>
      <c r="I349" s="258" t="n"/>
      <c r="J349" s="258" t="n">
        <v>27000</v>
      </c>
      <c r="K349" s="233" t="n"/>
      <c r="L349" s="233" t="n">
        <v>11200</v>
      </c>
      <c r="M349" s="156" t="n"/>
      <c r="N349" s="156" t="n"/>
      <c r="O349" s="156" t="n"/>
    </row>
    <row r="350" ht="18.75" customHeight="1" s="153">
      <c r="A350" s="227" t="n"/>
      <c r="B350" s="228" t="inlineStr">
        <is>
          <t>AZOPARDO ALICIA</t>
        </is>
      </c>
      <c r="C350" s="229" t="n">
        <v>1</v>
      </c>
      <c r="D350" s="229" t="n"/>
      <c r="E350" s="229" t="n"/>
      <c r="F350" s="230" t="n"/>
      <c r="G350" s="230" t="n"/>
      <c r="H350" s="257" t="n">
        <v>27500</v>
      </c>
      <c r="I350" s="258" t="n"/>
      <c r="J350" s="258" t="n">
        <v>27500</v>
      </c>
      <c r="K350" s="233" t="n"/>
      <c r="L350" s="233" t="n">
        <v>11700</v>
      </c>
      <c r="M350" s="156" t="n"/>
      <c r="N350" s="156" t="n"/>
      <c r="O350" s="156" t="n"/>
    </row>
    <row r="351" ht="18.75" customHeight="1" s="153">
      <c r="A351" s="227" t="n"/>
      <c r="B351" s="228" t="inlineStr">
        <is>
          <t>EUROPA 8762</t>
        </is>
      </c>
      <c r="C351" s="229" t="n">
        <v>1</v>
      </c>
      <c r="D351" s="229" t="n"/>
      <c r="E351" s="229" t="n"/>
      <c r="F351" s="230" t="n"/>
      <c r="G351" s="230" t="n"/>
      <c r="H351" s="257" t="n">
        <v>26000</v>
      </c>
      <c r="I351" s="258" t="n">
        <v>26000</v>
      </c>
      <c r="J351" s="258" t="n"/>
      <c r="K351" s="233" t="n"/>
      <c r="L351" s="233" t="n">
        <v>10200</v>
      </c>
      <c r="M351" s="156" t="n"/>
      <c r="N351" s="156" t="n"/>
      <c r="O351" s="156" t="n"/>
    </row>
    <row r="352" ht="18.75" customHeight="1" s="153">
      <c r="A352" s="227" t="n"/>
      <c r="B352" s="228" t="inlineStr">
        <is>
          <t>VIANDAS JORGE</t>
        </is>
      </c>
      <c r="C352" s="229" t="n">
        <v>1</v>
      </c>
      <c r="D352" s="229" t="n"/>
      <c r="E352" s="229" t="n"/>
      <c r="F352" s="230" t="n"/>
      <c r="G352" s="230" t="n"/>
      <c r="H352" s="257" t="n">
        <v>23000</v>
      </c>
      <c r="I352" s="258" t="n">
        <v>23000</v>
      </c>
      <c r="J352" s="258" t="n"/>
      <c r="K352" s="233" t="n"/>
      <c r="L352" s="233" t="n">
        <v>7200</v>
      </c>
      <c r="M352" s="156" t="n"/>
      <c r="N352" s="156" t="n"/>
      <c r="O352" s="156" t="n"/>
    </row>
    <row r="353" ht="18.75" customHeight="1" s="153">
      <c r="A353" s="227" t="n"/>
      <c r="B353" s="228" t="inlineStr">
        <is>
          <t>PORKIS</t>
        </is>
      </c>
      <c r="C353" s="229" t="n">
        <v>2</v>
      </c>
      <c r="D353" s="229" t="n"/>
      <c r="E353" s="229" t="n"/>
      <c r="F353" s="230" t="n"/>
      <c r="G353" s="230" t="n"/>
      <c r="H353" s="257" t="n">
        <v>48000</v>
      </c>
      <c r="I353" s="258" t="n">
        <v>48000</v>
      </c>
      <c r="J353" s="258" t="n"/>
      <c r="K353" s="233" t="n"/>
      <c r="L353" s="233" t="n">
        <v>16400</v>
      </c>
      <c r="M353" s="156" t="n"/>
      <c r="N353" s="156" t="n"/>
      <c r="O353" s="156" t="n"/>
    </row>
    <row r="354" ht="18.75" customHeight="1" s="153">
      <c r="A354" s="227" t="n"/>
      <c r="B354" s="228" t="inlineStr">
        <is>
          <t>SAN JOSÉ 1279</t>
        </is>
      </c>
      <c r="C354" s="229" t="n">
        <v>1</v>
      </c>
      <c r="D354" s="229" t="n"/>
      <c r="E354" s="229" t="n"/>
      <c r="F354" s="230" t="n"/>
      <c r="G354" s="230" t="n"/>
      <c r="H354" s="257" t="n">
        <v>26000</v>
      </c>
      <c r="I354" s="258" t="n">
        <v>26000</v>
      </c>
      <c r="J354" s="258" t="n"/>
      <c r="K354" s="233" t="n"/>
      <c r="L354" s="233" t="n">
        <v>10200</v>
      </c>
      <c r="M354" s="156" t="n"/>
      <c r="N354" s="156" t="n"/>
      <c r="O354" s="156" t="n"/>
    </row>
    <row r="355" ht="15.75" customHeight="1" s="153">
      <c r="A355" s="227" t="n"/>
      <c r="B355" s="228" t="inlineStr">
        <is>
          <t>AZOPARDO 10560</t>
        </is>
      </c>
      <c r="C355" s="229" t="n">
        <v>1</v>
      </c>
      <c r="D355" s="229" t="n"/>
      <c r="E355" s="229" t="n"/>
      <c r="F355" s="230" t="n"/>
      <c r="G355" s="230" t="n"/>
      <c r="H355" s="257" t="n">
        <v>26000</v>
      </c>
      <c r="I355" s="258" t="n">
        <v>26000</v>
      </c>
      <c r="J355" s="258" t="n"/>
      <c r="K355" s="233" t="n"/>
      <c r="L355" s="233" t="n">
        <v>10200</v>
      </c>
      <c r="M355" s="156" t="n"/>
      <c r="N355" s="156" t="n"/>
      <c r="O355" s="156" t="n"/>
    </row>
    <row r="356" ht="15.75" customHeight="1" s="153">
      <c r="A356" s="227" t="n"/>
      <c r="B356" s="228" t="inlineStr">
        <is>
          <t>SIR LAKI</t>
        </is>
      </c>
      <c r="C356" s="229" t="n">
        <v>1</v>
      </c>
      <c r="D356" s="229" t="n"/>
      <c r="E356" s="229" t="n"/>
      <c r="F356" s="230" t="n"/>
      <c r="G356" s="230" t="n"/>
      <c r="H356" s="257" t="n">
        <v>25000</v>
      </c>
      <c r="I356" s="258" t="n">
        <v>25000</v>
      </c>
      <c r="J356" s="258" t="n"/>
      <c r="K356" s="233" t="n"/>
      <c r="L356" s="233" t="n">
        <v>9200</v>
      </c>
      <c r="M356" s="156" t="n"/>
      <c r="N356" s="156" t="n"/>
      <c r="O356" s="156" t="n"/>
    </row>
    <row r="357" ht="15.75" customHeight="1" s="153">
      <c r="A357" s="227" t="n"/>
      <c r="B357" s="228" t="inlineStr">
        <is>
          <t>FILOMENA</t>
        </is>
      </c>
      <c r="C357" s="229" t="n">
        <v>1</v>
      </c>
      <c r="D357" s="229" t="n"/>
      <c r="E357" s="229" t="n"/>
      <c r="F357" s="230" t="n"/>
      <c r="G357" s="230" t="n"/>
      <c r="H357" s="257" t="n">
        <v>24500</v>
      </c>
      <c r="I357" s="258" t="n">
        <v>24500</v>
      </c>
      <c r="J357" s="258" t="n"/>
      <c r="K357" s="233" t="n"/>
      <c r="L357" s="233" t="n">
        <v>8700</v>
      </c>
      <c r="M357" s="156" t="n"/>
      <c r="N357" s="156" t="n"/>
      <c r="O357" s="156" t="n"/>
    </row>
    <row r="358" ht="15.75" customHeight="1" s="153">
      <c r="A358" s="227" t="n"/>
      <c r="B358" s="228" t="inlineStr">
        <is>
          <t>EL GATO NEGRO</t>
        </is>
      </c>
      <c r="C358" s="229" t="n">
        <v>1</v>
      </c>
      <c r="D358" s="229" t="n"/>
      <c r="E358" s="229" t="n"/>
      <c r="F358" s="230" t="n"/>
      <c r="G358" s="230" t="n"/>
      <c r="H358" s="257" t="n">
        <v>27000</v>
      </c>
      <c r="I358" s="258" t="n"/>
      <c r="J358" s="258" t="n">
        <v>27000</v>
      </c>
      <c r="K358" s="233" t="n"/>
      <c r="L358" s="233" t="n">
        <v>11200</v>
      </c>
      <c r="M358" s="156" t="n"/>
      <c r="N358" s="156" t="n"/>
      <c r="O358" s="156" t="n"/>
    </row>
    <row r="359" ht="15.75" customHeight="1" s="153">
      <c r="A359" s="227" t="n"/>
      <c r="B359" s="228" t="inlineStr">
        <is>
          <t>PANA ALBERTI</t>
        </is>
      </c>
      <c r="C359" s="229" t="n"/>
      <c r="D359" s="229" t="n"/>
      <c r="E359" s="229" t="n">
        <v>1</v>
      </c>
      <c r="F359" s="230" t="n"/>
      <c r="G359" s="230" t="n"/>
      <c r="H359" s="257" t="n">
        <v>84000</v>
      </c>
      <c r="I359" s="258" t="n">
        <v>84000</v>
      </c>
      <c r="J359" s="258" t="n"/>
      <c r="K359" s="233" t="n"/>
      <c r="L359" s="233" t="n">
        <v>22000</v>
      </c>
      <c r="M359" s="156" t="n"/>
      <c r="N359" s="156" t="n"/>
      <c r="O359" s="156" t="n"/>
    </row>
    <row r="360" ht="15.75" customHeight="1" s="153">
      <c r="A360" s="227" t="n"/>
      <c r="B360" s="228" t="inlineStr">
        <is>
          <t>SAN LORENZO 3626</t>
        </is>
      </c>
      <c r="C360" s="229" t="n">
        <v>1</v>
      </c>
      <c r="D360" s="229" t="n"/>
      <c r="E360" s="229" t="n"/>
      <c r="F360" s="230" t="n"/>
      <c r="G360" s="230" t="n"/>
      <c r="H360" s="257" t="n">
        <v>26000</v>
      </c>
      <c r="I360" s="258" t="n"/>
      <c r="J360" s="258" t="n">
        <v>26000</v>
      </c>
      <c r="K360" s="233" t="n"/>
      <c r="L360" s="233" t="n">
        <v>10200</v>
      </c>
      <c r="M360" s="156" t="n"/>
      <c r="N360" s="156" t="n"/>
      <c r="O360" s="156" t="n"/>
    </row>
    <row r="361" ht="15.75" customHeight="1" s="153">
      <c r="A361" s="227" t="n"/>
      <c r="B361" s="228" t="inlineStr">
        <is>
          <t>ZAVALA 1231</t>
        </is>
      </c>
      <c r="C361" s="229" t="n">
        <v>1</v>
      </c>
      <c r="D361" s="229" t="n"/>
      <c r="E361" s="229" t="n"/>
      <c r="F361" s="230" t="n"/>
      <c r="G361" s="230" t="n"/>
      <c r="H361" s="257" t="n">
        <v>27000</v>
      </c>
      <c r="I361" s="258" t="n"/>
      <c r="J361" s="258" t="n">
        <v>27000</v>
      </c>
      <c r="K361" s="233" t="n"/>
      <c r="L361" s="233" t="n">
        <v>11200</v>
      </c>
      <c r="M361" s="156" t="n"/>
      <c r="N361" s="156" t="n"/>
      <c r="O361" s="156" t="n"/>
    </row>
    <row r="362" ht="15.75" customHeight="1" s="153">
      <c r="A362" s="227" t="n"/>
      <c r="B362" s="228" t="inlineStr">
        <is>
          <t>ALMONACID 4248</t>
        </is>
      </c>
      <c r="C362" s="229" t="n">
        <v>1</v>
      </c>
      <c r="D362" s="229" t="n"/>
      <c r="E362" s="229" t="n"/>
      <c r="F362" s="230" t="n"/>
      <c r="G362" s="230" t="n"/>
      <c r="H362" s="257" t="n">
        <v>27000</v>
      </c>
      <c r="I362" s="258" t="n"/>
      <c r="J362" s="258" t="n">
        <v>27000</v>
      </c>
      <c r="K362" s="233" t="n"/>
      <c r="L362" s="233" t="n">
        <v>11200</v>
      </c>
      <c r="M362" s="156" t="n"/>
      <c r="N362" s="156" t="n"/>
      <c r="O362" s="156" t="n"/>
    </row>
    <row r="363" ht="15.75" customHeight="1" s="153">
      <c r="A363" s="227" t="n"/>
      <c r="B363" s="228" t="inlineStr">
        <is>
          <t>CHICLANA 8727</t>
        </is>
      </c>
      <c r="C363" s="229" t="n"/>
      <c r="D363" s="229" t="n"/>
      <c r="E363" s="229" t="n">
        <v>1</v>
      </c>
      <c r="F363" s="230" t="n"/>
      <c r="G363" s="230" t="n"/>
      <c r="H363" s="257" t="n">
        <v>94000</v>
      </c>
      <c r="I363" s="258" t="n"/>
      <c r="J363" s="258" t="n">
        <v>94000</v>
      </c>
      <c r="K363" s="233" t="n"/>
      <c r="L363" s="233" t="n">
        <v>32000</v>
      </c>
      <c r="M363" s="156" t="n"/>
      <c r="N363" s="156" t="n"/>
      <c r="O363" s="156" t="n"/>
    </row>
    <row r="364" ht="15.75" customHeight="1" s="153">
      <c r="A364" s="227" t="n"/>
      <c r="B364" s="228" t="inlineStr">
        <is>
          <t>ESMERALDA 2376</t>
        </is>
      </c>
      <c r="C364" s="229" t="n"/>
      <c r="D364" s="229" t="n"/>
      <c r="E364" s="229" t="n">
        <v>1</v>
      </c>
      <c r="F364" s="230" t="n"/>
      <c r="G364" s="230" t="n"/>
      <c r="H364" s="257" t="n">
        <v>91000</v>
      </c>
      <c r="I364" s="258" t="n"/>
      <c r="J364" s="258" t="n">
        <v>91000</v>
      </c>
      <c r="K364" s="233" t="n"/>
      <c r="L364" s="233" t="n">
        <v>29000</v>
      </c>
      <c r="M364" s="156" t="n"/>
      <c r="N364" s="156" t="n"/>
      <c r="O364" s="156" t="n"/>
    </row>
    <row r="365" ht="15.75" customHeight="1" s="153">
      <c r="A365" s="227" t="n">
        <v>46161</v>
      </c>
      <c r="B365" s="228" t="inlineStr">
        <is>
          <t>PAVÓN 6035</t>
        </is>
      </c>
      <c r="C365" s="229" t="n">
        <v>1</v>
      </c>
      <c r="D365" s="229" t="n"/>
      <c r="E365" s="229" t="n"/>
      <c r="F365" s="230" t="n"/>
      <c r="G365" s="230" t="n"/>
      <c r="H365" s="257" t="n">
        <v>125000</v>
      </c>
      <c r="I365" s="258" t="n">
        <v>125000</v>
      </c>
      <c r="J365" s="258" t="n"/>
      <c r="K365" s="233" t="n">
        <v>34000</v>
      </c>
      <c r="L365" s="233" t="n">
        <v>44200</v>
      </c>
      <c r="M365" s="156" t="n"/>
      <c r="N365" s="156" t="n"/>
      <c r="O365" s="156" t="n"/>
    </row>
    <row r="366" ht="15.75" customHeight="1" s="153">
      <c r="A366" s="227" t="n"/>
      <c r="B366" s="228" t="inlineStr">
        <is>
          <t>ECHEVERRÍA 6363</t>
        </is>
      </c>
      <c r="C366" s="229" t="n">
        <v>1</v>
      </c>
      <c r="D366" s="229" t="n"/>
      <c r="E366" s="229" t="n"/>
      <c r="F366" s="230" t="n"/>
      <c r="G366" s="230" t="n"/>
      <c r="H366" s="257" t="n">
        <v>26000</v>
      </c>
      <c r="I366" s="258" t="n"/>
      <c r="J366" s="258" t="n">
        <v>26000</v>
      </c>
      <c r="K366" s="233" t="n"/>
      <c r="L366" s="233" t="n">
        <v>10200</v>
      </c>
      <c r="M366" s="156" t="n"/>
      <c r="N366" s="156" t="n"/>
      <c r="O366" s="156" t="n"/>
    </row>
    <row r="367" ht="15.75" customHeight="1" s="153">
      <c r="A367" s="227" t="n"/>
      <c r="B367" s="228" t="inlineStr">
        <is>
          <t>MADAME CHEESE</t>
        </is>
      </c>
      <c r="C367" s="229" t="n"/>
      <c r="D367" s="229" t="n">
        <v>1</v>
      </c>
      <c r="E367" s="229" t="n"/>
      <c r="F367" s="230" t="n"/>
      <c r="G367" s="230" t="n"/>
      <c r="H367" s="257" t="n">
        <v>36000</v>
      </c>
      <c r="I367" s="258" t="n"/>
      <c r="J367" s="258" t="n">
        <v>36000</v>
      </c>
      <c r="K367" s="233" t="n"/>
      <c r="L367" s="233" t="n">
        <v>12300</v>
      </c>
      <c r="M367" s="156" t="n"/>
      <c r="N367" s="156" t="n"/>
      <c r="O367" s="156" t="n"/>
    </row>
    <row r="368" ht="15.75" customHeight="1" s="153">
      <c r="A368" s="227" t="n"/>
      <c r="B368" s="228" t="inlineStr">
        <is>
          <t>LOS PRIMOS</t>
        </is>
      </c>
      <c r="C368" s="229" t="n">
        <v>3</v>
      </c>
      <c r="D368" s="229" t="n"/>
      <c r="E368" s="229" t="n"/>
      <c r="F368" s="230" t="n"/>
      <c r="G368" s="230" t="n"/>
      <c r="H368" s="257" t="n">
        <v>81000</v>
      </c>
      <c r="I368" s="258" t="n">
        <v>81000</v>
      </c>
      <c r="J368" s="258" t="n"/>
      <c r="K368" s="233" t="n"/>
      <c r="L368" s="233" t="n">
        <v>33600</v>
      </c>
      <c r="M368" s="156" t="n"/>
      <c r="N368" s="156" t="n"/>
      <c r="O368" s="156" t="n"/>
    </row>
    <row r="369" ht="15.75" customHeight="1" s="153">
      <c r="A369" s="227" t="n"/>
      <c r="B369" s="228" t="inlineStr">
        <is>
          <t>IGNACIO CRESPO 7380</t>
        </is>
      </c>
      <c r="C369" s="229" t="n"/>
      <c r="D369" s="229" t="n">
        <v>1</v>
      </c>
      <c r="E369" s="229" t="n"/>
      <c r="F369" s="230" t="n"/>
      <c r="G369" s="230" t="n"/>
      <c r="H369" s="257" t="n">
        <v>39500</v>
      </c>
      <c r="I369" s="258" t="n"/>
      <c r="J369" s="258" t="n">
        <v>39500</v>
      </c>
      <c r="K369" s="233" t="n"/>
      <c r="L369" s="233" t="n">
        <v>15800</v>
      </c>
      <c r="M369" s="156" t="n"/>
      <c r="N369" s="156" t="n"/>
      <c r="O369" s="156" t="n"/>
    </row>
    <row r="370" ht="15.75" customHeight="1" s="153">
      <c r="A370" s="227" t="n"/>
      <c r="B370" s="228" t="inlineStr">
        <is>
          <t>DANA</t>
        </is>
      </c>
      <c r="C370" s="229" t="n">
        <v>3</v>
      </c>
      <c r="D370" s="229" t="n"/>
      <c r="E370" s="229" t="n"/>
      <c r="F370" s="230" t="n"/>
      <c r="G370" s="230" t="n"/>
      <c r="H370" s="257" t="n">
        <v>60000</v>
      </c>
      <c r="I370" s="258" t="n"/>
      <c r="J370" s="258" t="n">
        <v>60000</v>
      </c>
      <c r="K370" s="233" t="n"/>
      <c r="L370" s="233" t="n">
        <v>12600</v>
      </c>
      <c r="M370" s="156" t="n"/>
      <c r="N370" s="156" t="n"/>
      <c r="O370" s="156" t="n"/>
    </row>
    <row r="371" ht="15.75" customHeight="1" s="153">
      <c r="A371" s="227" t="n"/>
      <c r="B371" s="228" t="inlineStr">
        <is>
          <t>PANA VIEYTES GISELA</t>
        </is>
      </c>
      <c r="C371" s="229" t="n">
        <v>1</v>
      </c>
      <c r="D371" s="229" t="n"/>
      <c r="E371" s="229" t="n"/>
      <c r="F371" s="230" t="n"/>
      <c r="G371" s="230" t="n"/>
      <c r="H371" s="257" t="n">
        <v>24000</v>
      </c>
      <c r="I371" s="258" t="n"/>
      <c r="J371" s="258" t="n">
        <v>24000</v>
      </c>
      <c r="K371" s="233" t="n"/>
      <c r="L371" s="233" t="n">
        <v>8200</v>
      </c>
      <c r="M371" s="156" t="n"/>
      <c r="N371" s="156" t="n"/>
      <c r="O371" s="156" t="n"/>
    </row>
    <row r="372" ht="15.75" customHeight="1" s="153">
      <c r="A372" s="227" t="n"/>
      <c r="B372" s="228" t="inlineStr">
        <is>
          <t>PANA BERUTI 6400</t>
        </is>
      </c>
      <c r="C372" s="229" t="n"/>
      <c r="D372" s="229" t="n"/>
      <c r="E372" s="229" t="n">
        <v>1</v>
      </c>
      <c r="F372" s="230" t="n"/>
      <c r="G372" s="230" t="n"/>
      <c r="H372" s="257" t="n">
        <v>79000</v>
      </c>
      <c r="I372" s="258" t="n"/>
      <c r="J372" s="258" t="n">
        <v>79000</v>
      </c>
      <c r="K372" s="233" t="n"/>
      <c r="L372" s="233" t="n">
        <v>17000</v>
      </c>
      <c r="M372" s="156" t="n"/>
      <c r="N372" s="156" t="n"/>
      <c r="O372" s="156" t="n"/>
    </row>
    <row r="373" ht="15.75" customHeight="1" s="153">
      <c r="A373" s="227" t="n"/>
      <c r="B373" s="228" t="inlineStr">
        <is>
          <t>CASTELLI 5406</t>
        </is>
      </c>
      <c r="C373" s="229" t="n"/>
      <c r="D373" s="229" t="n">
        <v>1</v>
      </c>
      <c r="E373" s="229" t="n"/>
      <c r="F373" s="230" t="n"/>
      <c r="G373" s="230" t="n"/>
      <c r="H373" s="257" t="n">
        <v>40000</v>
      </c>
      <c r="I373" s="258" t="n">
        <v>40000</v>
      </c>
      <c r="J373" s="258" t="n"/>
      <c r="K373" s="233" t="n"/>
      <c r="L373" s="233" t="n">
        <v>16300</v>
      </c>
      <c r="M373" s="156" t="n"/>
      <c r="N373" s="156" t="n"/>
      <c r="O373" s="156" t="n"/>
    </row>
    <row r="374" ht="15.75" customHeight="1" s="153">
      <c r="A374" s="227" t="n"/>
      <c r="B374" s="228" t="inlineStr">
        <is>
          <t>LO DE NICO</t>
        </is>
      </c>
      <c r="C374" s="229" t="n">
        <v>2</v>
      </c>
      <c r="D374" s="229" t="n"/>
      <c r="E374" s="229" t="n"/>
      <c r="F374" s="230" t="n"/>
      <c r="G374" s="230" t="n"/>
      <c r="H374" s="257" t="n">
        <v>41000</v>
      </c>
      <c r="I374" s="258" t="n"/>
      <c r="J374" s="258" t="n">
        <v>41000</v>
      </c>
      <c r="K374" s="233" t="n"/>
      <c r="L374" s="233" t="n">
        <v>9400</v>
      </c>
      <c r="M374" s="156" t="n"/>
      <c r="N374" s="156" t="n"/>
      <c r="O374" s="156" t="n"/>
    </row>
    <row r="375" ht="15.75" customHeight="1" s="153">
      <c r="A375" s="227" t="n"/>
      <c r="B375" s="228" t="inlineStr">
        <is>
          <t>LARGUIA 7247</t>
        </is>
      </c>
      <c r="C375" s="229" t="n">
        <v>1</v>
      </c>
      <c r="D375" s="229" t="n"/>
      <c r="E375" s="229" t="n"/>
      <c r="F375" s="230" t="n"/>
      <c r="G375" s="230" t="n"/>
      <c r="H375" s="257" t="n">
        <v>27000</v>
      </c>
      <c r="I375" s="258" t="n"/>
      <c r="J375" s="258" t="n">
        <v>27000</v>
      </c>
      <c r="K375" s="233" t="n"/>
      <c r="L375" s="233" t="n">
        <v>11200</v>
      </c>
      <c r="M375" s="156" t="n"/>
      <c r="N375" s="156" t="n"/>
      <c r="O375" s="156" t="n"/>
    </row>
    <row r="376" ht="15.75" customHeight="1" s="153">
      <c r="A376" s="227" t="n"/>
      <c r="B376" s="228" t="inlineStr">
        <is>
          <t>SAN LORENZO 8166</t>
        </is>
      </c>
      <c r="C376" s="229" t="n">
        <v>1</v>
      </c>
      <c r="D376" s="229" t="n"/>
      <c r="E376" s="229" t="n"/>
      <c r="F376" s="230" t="n"/>
      <c r="G376" s="230" t="n"/>
      <c r="H376" s="257" t="n">
        <v>26000</v>
      </c>
      <c r="I376" s="258" t="n"/>
      <c r="J376" s="258" t="n">
        <v>26000</v>
      </c>
      <c r="K376" s="233" t="n"/>
      <c r="L376" s="233" t="n">
        <v>10200</v>
      </c>
      <c r="M376" s="156" t="n"/>
      <c r="N376" s="156" t="n"/>
      <c r="O376" s="156" t="n"/>
    </row>
    <row r="377" ht="15.75" customHeight="1" s="153">
      <c r="A377" s="227" t="n"/>
      <c r="B377" s="228" t="inlineStr">
        <is>
          <t>CHICLANA 6330</t>
        </is>
      </c>
      <c r="C377" s="229" t="n">
        <v>1</v>
      </c>
      <c r="D377" s="229" t="n"/>
      <c r="E377" s="229" t="n"/>
      <c r="F377" s="230" t="n"/>
      <c r="G377" s="230" t="n"/>
      <c r="H377" s="257" t="n">
        <v>26000</v>
      </c>
      <c r="I377" s="258" t="n"/>
      <c r="J377" s="258" t="n">
        <v>26000</v>
      </c>
      <c r="K377" s="233" t="n"/>
      <c r="L377" s="233" t="n">
        <v>10200</v>
      </c>
      <c r="M377" s="156" t="n"/>
      <c r="N377" s="156" t="n"/>
      <c r="O377" s="156" t="n"/>
    </row>
    <row r="378" ht="15.75" customHeight="1" s="153">
      <c r="A378" s="227" t="n"/>
      <c r="B378" s="228" t="inlineStr">
        <is>
          <t>12 DE INFANTERÍA 5210</t>
        </is>
      </c>
      <c r="C378" s="229" t="n">
        <v>1</v>
      </c>
      <c r="D378" s="229" t="n"/>
      <c r="E378" s="229" t="n"/>
      <c r="F378" s="230" t="n"/>
      <c r="G378" s="230" t="n"/>
      <c r="H378" s="257" t="n">
        <v>27000</v>
      </c>
      <c r="I378" s="258" t="n">
        <v>27000</v>
      </c>
      <c r="J378" s="258" t="n"/>
      <c r="K378" s="233" t="n"/>
      <c r="L378" s="233" t="n">
        <v>11200</v>
      </c>
      <c r="M378" s="156" t="n"/>
      <c r="N378" s="156" t="n"/>
      <c r="O378" s="156" t="n"/>
    </row>
    <row r="379" ht="15.75" customHeight="1" s="153">
      <c r="A379" s="227" t="n"/>
      <c r="B379" s="228" t="inlineStr">
        <is>
          <t>LOLI</t>
        </is>
      </c>
      <c r="C379" s="229" t="n"/>
      <c r="D379" s="229" t="n"/>
      <c r="E379" s="229" t="n">
        <v>1</v>
      </c>
      <c r="F379" s="230" t="n"/>
      <c r="G379" s="230" t="n"/>
      <c r="H379" s="257" t="n">
        <v>92000</v>
      </c>
      <c r="I379" s="258" t="n">
        <v>92000</v>
      </c>
      <c r="J379" s="258" t="n"/>
      <c r="K379" s="233" t="n"/>
      <c r="L379" s="233" t="n">
        <v>30000</v>
      </c>
      <c r="M379" s="156" t="n"/>
      <c r="N379" s="156" t="n"/>
      <c r="O379" s="156" t="n"/>
    </row>
    <row r="380" ht="15.75" customHeight="1" s="153">
      <c r="A380" s="227" t="n"/>
      <c r="B380" s="228" t="inlineStr">
        <is>
          <t>MONI ALBERTI</t>
        </is>
      </c>
      <c r="C380" s="229" t="n"/>
      <c r="D380" s="229" t="n"/>
      <c r="E380" s="229" t="n">
        <v>1</v>
      </c>
      <c r="F380" s="230" t="n"/>
      <c r="G380" s="230" t="n"/>
      <c r="H380" s="257" t="n">
        <v>88000</v>
      </c>
      <c r="I380" s="258" t="n"/>
      <c r="J380" s="258" t="n">
        <v>88000</v>
      </c>
      <c r="K380" s="233" t="n"/>
      <c r="L380" s="233" t="n">
        <v>26000</v>
      </c>
      <c r="M380" s="156" t="n"/>
      <c r="N380" s="156" t="n"/>
      <c r="O380" s="156" t="n"/>
    </row>
    <row r="381" ht="15.75" customHeight="1" s="153">
      <c r="A381" s="227" t="n"/>
      <c r="B381" s="228" t="inlineStr">
        <is>
          <t>FLORENCIO FERNÁNDEZ 6195</t>
        </is>
      </c>
      <c r="C381" s="229" t="n">
        <v>5</v>
      </c>
      <c r="D381" s="229" t="n">
        <v>1</v>
      </c>
      <c r="E381" s="229" t="n"/>
      <c r="F381" s="230" t="n"/>
      <c r="G381" s="230" t="n"/>
      <c r="H381" s="257" t="n">
        <v>126000</v>
      </c>
      <c r="I381" s="258" t="n"/>
      <c r="J381" s="258" t="n">
        <v>126000</v>
      </c>
      <c r="K381" s="233" t="n"/>
      <c r="L381" s="233" t="n">
        <v>23300</v>
      </c>
      <c r="M381" s="156" t="n"/>
      <c r="N381" s="156" t="n"/>
      <c r="O381" s="156" t="n"/>
    </row>
    <row r="382" ht="15.75" customHeight="1" s="153">
      <c r="A382" s="227" t="n"/>
      <c r="B382" s="228" t="inlineStr">
        <is>
          <t>PANA GENESIO</t>
        </is>
      </c>
      <c r="C382" s="229" t="n"/>
      <c r="D382" s="229" t="n"/>
      <c r="E382" s="229" t="n">
        <v>1</v>
      </c>
      <c r="F382" s="230" t="n"/>
      <c r="G382" s="230" t="n"/>
      <c r="H382" s="257" t="n">
        <v>79000</v>
      </c>
      <c r="I382" s="258" t="n">
        <v>79000</v>
      </c>
      <c r="J382" s="258" t="n"/>
      <c r="K382" s="233" t="n"/>
      <c r="L382" s="233" t="n">
        <v>17000</v>
      </c>
      <c r="M382" s="156" t="n"/>
      <c r="N382" s="156" t="n"/>
      <c r="O382" s="156" t="n"/>
    </row>
    <row r="383" ht="15.75" customHeight="1" s="153">
      <c r="A383" s="227" t="n"/>
      <c r="B383" s="228" t="inlineStr">
        <is>
          <t>PANA VIEYTES 4500</t>
        </is>
      </c>
      <c r="C383" s="229" t="n"/>
      <c r="D383" s="229" t="n"/>
      <c r="E383" s="229" t="n">
        <v>1</v>
      </c>
      <c r="F383" s="230" t="n"/>
      <c r="G383" s="230" t="n"/>
      <c r="H383" s="257" t="n">
        <v>81000</v>
      </c>
      <c r="I383" s="258" t="n"/>
      <c r="J383" s="258" t="n">
        <v>81000</v>
      </c>
      <c r="K383" s="233" t="n"/>
      <c r="L383" s="233" t="n">
        <v>19000</v>
      </c>
      <c r="M383" s="156" t="n"/>
      <c r="N383" s="156" t="n"/>
      <c r="O383" s="156" t="n"/>
    </row>
    <row r="384" ht="15.75" customHeight="1" s="153">
      <c r="A384" s="227" t="n"/>
      <c r="B384" s="228" t="inlineStr">
        <is>
          <t>LUCHO</t>
        </is>
      </c>
      <c r="C384" s="229" t="n">
        <v>1</v>
      </c>
      <c r="D384" s="229" t="n"/>
      <c r="E384" s="229" t="n"/>
      <c r="F384" s="230" t="n"/>
      <c r="G384" s="230" t="n"/>
      <c r="H384" s="257" t="n">
        <v>20000</v>
      </c>
      <c r="I384" s="258" t="n">
        <v>20000</v>
      </c>
      <c r="J384" s="258" t="n"/>
      <c r="K384" s="233" t="n"/>
      <c r="L384" s="233" t="n">
        <v>4200</v>
      </c>
      <c r="M384" s="156" t="n"/>
      <c r="N384" s="156" t="n"/>
      <c r="O384" s="156" t="n"/>
    </row>
    <row r="385" ht="15.75" customHeight="1" s="153">
      <c r="A385" s="227" t="n"/>
      <c r="B385" s="228" t="inlineStr">
        <is>
          <t>IL GATO</t>
        </is>
      </c>
      <c r="C385" s="229" t="n"/>
      <c r="D385" s="229" t="n"/>
      <c r="E385" s="229" t="n">
        <v>1</v>
      </c>
      <c r="F385" s="230" t="n"/>
      <c r="G385" s="230" t="n"/>
      <c r="H385" s="257" t="n">
        <v>92000</v>
      </c>
      <c r="I385" s="258" t="n"/>
      <c r="J385" s="258" t="n">
        <v>92000</v>
      </c>
      <c r="K385" s="233" t="n"/>
      <c r="L385" s="233" t="n">
        <v>30000</v>
      </c>
      <c r="M385" s="156" t="n"/>
      <c r="N385" s="156" t="n"/>
      <c r="O385" s="156" t="n"/>
    </row>
    <row r="386" ht="15.75" customHeight="1" s="153">
      <c r="A386" s="227" t="n"/>
      <c r="B386" s="228" t="inlineStr">
        <is>
          <t>9 DE JULIO 1356</t>
        </is>
      </c>
      <c r="C386" s="229" t="n"/>
      <c r="D386" s="229" t="n">
        <v>1</v>
      </c>
      <c r="E386" s="229" t="n"/>
      <c r="F386" s="230" t="n"/>
      <c r="G386" s="230" t="n"/>
      <c r="H386" s="257" t="n">
        <v>39500</v>
      </c>
      <c r="I386" s="258" t="n"/>
      <c r="J386" s="258" t="n">
        <v>39500</v>
      </c>
      <c r="K386" s="233" t="n"/>
      <c r="L386" s="233" t="n">
        <v>15800</v>
      </c>
      <c r="M386" s="156" t="n"/>
      <c r="N386" s="156" t="n"/>
      <c r="O386" s="156" t="n"/>
    </row>
    <row r="387" ht="15.75" customHeight="1" s="153">
      <c r="A387" s="227" t="n"/>
      <c r="B387" s="228" t="inlineStr">
        <is>
          <t>ROTI ISTANBUL</t>
        </is>
      </c>
      <c r="C387" s="229" t="n"/>
      <c r="D387" s="229" t="n">
        <v>1</v>
      </c>
      <c r="E387" s="229" t="n"/>
      <c r="F387" s="230" t="n"/>
      <c r="G387" s="230" t="n"/>
      <c r="H387" s="257" t="n">
        <v>36000</v>
      </c>
      <c r="I387" s="258" t="n"/>
      <c r="J387" s="258" t="n">
        <v>36000</v>
      </c>
      <c r="K387" s="233" t="n"/>
      <c r="L387" s="233" t="n">
        <v>12300</v>
      </c>
      <c r="M387" s="156" t="n"/>
      <c r="N387" s="156" t="n"/>
      <c r="O387" s="156" t="n"/>
    </row>
    <row r="388" ht="15.75" customHeight="1" s="153">
      <c r="A388" s="227" t="n"/>
      <c r="B388" s="228" t="inlineStr">
        <is>
          <t>FUNES Y SARMIENTO</t>
        </is>
      </c>
      <c r="C388" s="229" t="n">
        <v>1</v>
      </c>
      <c r="D388" s="229" t="n"/>
      <c r="E388" s="229" t="n"/>
      <c r="F388" s="230" t="n"/>
      <c r="G388" s="230" t="n"/>
      <c r="H388" s="257" t="n">
        <v>26500</v>
      </c>
      <c r="I388" s="258" t="n">
        <v>26500</v>
      </c>
      <c r="J388" s="258" t="n"/>
      <c r="K388" s="233" t="n"/>
      <c r="L388" s="233" t="n">
        <v>10700</v>
      </c>
      <c r="M388" s="156" t="n"/>
      <c r="N388" s="156" t="n"/>
      <c r="O388" s="156" t="n"/>
    </row>
    <row r="389" ht="15.75" customHeight="1" s="153">
      <c r="A389" s="227" t="n"/>
      <c r="B389" s="228" t="inlineStr">
        <is>
          <t>ASCUÉNAGA 5023</t>
        </is>
      </c>
      <c r="C389" s="229" t="n">
        <v>5</v>
      </c>
      <c r="D389" s="229" t="n"/>
      <c r="E389" s="229" t="n"/>
      <c r="F389" s="230" t="n"/>
      <c r="G389" s="230" t="n"/>
      <c r="H389" s="257" t="n">
        <v>100000</v>
      </c>
      <c r="I389" s="258" t="n">
        <v>100000</v>
      </c>
      <c r="J389" s="258" t="n"/>
      <c r="K389" s="233" t="n"/>
      <c r="L389" s="233" t="n">
        <v>21000</v>
      </c>
      <c r="M389" s="156" t="n"/>
      <c r="N389" s="156" t="n"/>
      <c r="O389" s="156" t="n"/>
    </row>
    <row r="390" ht="15.75" customHeight="1" s="153">
      <c r="A390" s="227" t="n"/>
      <c r="B390" s="228" t="inlineStr">
        <is>
          <t>ENTRE RÍOS 3350</t>
        </is>
      </c>
      <c r="C390" s="229" t="n">
        <v>1</v>
      </c>
      <c r="D390" s="229" t="n"/>
      <c r="E390" s="229" t="n"/>
      <c r="F390" s="230" t="n"/>
      <c r="G390" s="230" t="n"/>
      <c r="H390" s="257" t="n">
        <v>26000</v>
      </c>
      <c r="I390" s="258" t="n">
        <v>26000</v>
      </c>
      <c r="J390" s="258" t="n"/>
      <c r="K390" s="233" t="n"/>
      <c r="L390" s="233" t="n">
        <v>10200</v>
      </c>
      <c r="M390" s="156" t="n"/>
      <c r="N390" s="156" t="n"/>
      <c r="O390" s="156" t="n"/>
    </row>
    <row r="391" ht="15.75" customHeight="1" s="153">
      <c r="A391" s="227" t="n"/>
      <c r="B391" s="228" t="inlineStr">
        <is>
          <t>FACUNDO ZUVIRIA 10235</t>
        </is>
      </c>
      <c r="C391" s="229" t="n">
        <v>1</v>
      </c>
      <c r="D391" s="229" t="n"/>
      <c r="E391" s="229" t="n"/>
      <c r="F391" s="230" t="n"/>
      <c r="G391" s="230" t="n"/>
      <c r="H391" s="257" t="n">
        <v>27000</v>
      </c>
      <c r="I391" s="258" t="n"/>
      <c r="J391" s="258" t="n">
        <v>27000</v>
      </c>
      <c r="K391" s="233" t="n"/>
      <c r="L391" s="233" t="n">
        <v>11200</v>
      </c>
      <c r="M391" s="156" t="n"/>
      <c r="N391" s="156" t="n"/>
      <c r="O391" s="156" t="n"/>
    </row>
    <row r="392" ht="15.75" customHeight="1" s="153">
      <c r="A392" s="227" t="n">
        <v>46162</v>
      </c>
      <c r="B392" s="228" t="inlineStr">
        <is>
          <t>TROPPO</t>
        </is>
      </c>
      <c r="C392" s="229" t="n">
        <v>8</v>
      </c>
      <c r="D392" s="229" t="n"/>
      <c r="E392" s="229" t="n"/>
      <c r="F392" s="230" t="n"/>
      <c r="G392" s="230" t="n"/>
      <c r="H392" s="257" t="n">
        <v>522000</v>
      </c>
      <c r="I392" s="258" t="n"/>
      <c r="J392" s="258" t="n">
        <v>522000</v>
      </c>
      <c r="K392" s="233" t="n">
        <v>111000</v>
      </c>
      <c r="L392" s="233" t="n">
        <v>200600</v>
      </c>
      <c r="M392" s="156" t="n"/>
      <c r="N392" s="156" t="n"/>
      <c r="O392" s="156" t="n"/>
    </row>
    <row r="393" ht="15.75" customHeight="1" s="153">
      <c r="A393" s="227" t="n"/>
      <c r="B393" s="228" t="inlineStr">
        <is>
          <t>FILOMENA</t>
        </is>
      </c>
      <c r="C393" s="229" t="n">
        <v>2</v>
      </c>
      <c r="D393" s="229" t="n"/>
      <c r="E393" s="229" t="n"/>
      <c r="F393" s="230" t="n"/>
      <c r="G393" s="230" t="n"/>
      <c r="H393" s="257" t="n">
        <v>49000</v>
      </c>
      <c r="I393" s="258" t="n"/>
      <c r="J393" s="258" t="n">
        <v>49000</v>
      </c>
      <c r="K393" s="233" t="n"/>
      <c r="L393" s="233" t="n">
        <v>17400</v>
      </c>
      <c r="M393" s="156" t="n"/>
      <c r="N393" s="156" t="n"/>
      <c r="O393" s="156" t="n"/>
    </row>
    <row r="394" ht="15.75" customHeight="1" s="153">
      <c r="A394" s="227" t="n"/>
      <c r="B394" s="228" t="inlineStr">
        <is>
          <t>MARTÍN TATU</t>
        </is>
      </c>
      <c r="C394" s="229" t="n"/>
      <c r="D394" s="229" t="n"/>
      <c r="E394" s="229" t="n">
        <v>1</v>
      </c>
      <c r="F394" s="230" t="n"/>
      <c r="G394" s="230" t="n"/>
      <c r="H394" s="257" t="n">
        <v>95000</v>
      </c>
      <c r="I394" s="258" t="n"/>
      <c r="J394" s="258" t="n">
        <v>95000</v>
      </c>
      <c r="K394" s="233" t="n"/>
      <c r="L394" s="233" t="n">
        <v>33000</v>
      </c>
      <c r="M394" s="156" t="n"/>
      <c r="N394" s="156" t="n"/>
      <c r="O394" s="156" t="n"/>
    </row>
    <row r="395" ht="15.75" customHeight="1" s="153">
      <c r="A395" s="227" t="n"/>
      <c r="B395" s="228" t="inlineStr">
        <is>
          <t>PAVON 3941</t>
        </is>
      </c>
      <c r="C395" s="229" t="n">
        <v>1</v>
      </c>
      <c r="D395" s="229" t="n"/>
      <c r="E395" s="229" t="n"/>
      <c r="F395" s="230" t="n"/>
      <c r="G395" s="230" t="n"/>
      <c r="H395" s="257" t="n">
        <v>26000</v>
      </c>
      <c r="I395" s="258" t="n">
        <v>26000</v>
      </c>
      <c r="J395" s="258" t="n"/>
      <c r="K395" s="233" t="n"/>
      <c r="L395" s="233" t="n">
        <v>10200</v>
      </c>
      <c r="M395" s="156" t="n"/>
      <c r="N395" s="156" t="n"/>
      <c r="O395" s="156" t="n"/>
    </row>
    <row r="396" ht="15.75" customHeight="1" s="153">
      <c r="A396" s="227" t="n"/>
      <c r="B396" s="228" t="inlineStr">
        <is>
          <t>LUCHO</t>
        </is>
      </c>
      <c r="C396" s="229" t="n">
        <v>2</v>
      </c>
      <c r="D396" s="229" t="n"/>
      <c r="E396" s="229" t="n"/>
      <c r="F396" s="230" t="n"/>
      <c r="G396" s="230" t="n">
        <v>1</v>
      </c>
      <c r="H396" s="257" t="n">
        <v>46000</v>
      </c>
      <c r="I396" s="258" t="n">
        <v>46000</v>
      </c>
      <c r="J396" s="258" t="n"/>
      <c r="K396" s="233" t="n"/>
      <c r="L396" s="233" t="n">
        <v>13480</v>
      </c>
      <c r="M396" s="156" t="n"/>
      <c r="N396" s="156" t="n"/>
      <c r="O396" s="156" t="n"/>
    </row>
    <row r="397" ht="15.75" customHeight="1" s="153">
      <c r="A397" s="227" t="n"/>
      <c r="B397" s="228" t="inlineStr">
        <is>
          <t>PAVON 3320</t>
        </is>
      </c>
      <c r="C397" s="229" t="n">
        <v>1</v>
      </c>
      <c r="D397" s="229" t="n"/>
      <c r="E397" s="229" t="n"/>
      <c r="F397" s="230" t="n"/>
      <c r="G397" s="230" t="n"/>
      <c r="H397" s="257" t="n">
        <v>128000</v>
      </c>
      <c r="I397" s="258" t="n"/>
      <c r="J397" s="258" t="n">
        <v>128000</v>
      </c>
      <c r="K397" s="233" t="n">
        <v>37000</v>
      </c>
      <c r="L397" s="233" t="n">
        <v>47200</v>
      </c>
      <c r="M397" s="156" t="n"/>
      <c r="N397" s="156" t="n"/>
      <c r="O397" s="156" t="n"/>
    </row>
    <row r="398" ht="15.75" customHeight="1" s="153">
      <c r="A398" s="227" t="n"/>
      <c r="B398" s="228" t="inlineStr">
        <is>
          <t>SANDRA</t>
        </is>
      </c>
      <c r="C398" s="229" t="n">
        <v>1</v>
      </c>
      <c r="D398" s="229" t="n"/>
      <c r="E398" s="229" t="n"/>
      <c r="F398" s="230" t="n"/>
      <c r="G398" s="230" t="n"/>
      <c r="H398" s="257" t="n">
        <v>19500</v>
      </c>
      <c r="I398" s="258" t="n"/>
      <c r="J398" s="258" t="n">
        <v>19500</v>
      </c>
      <c r="K398" s="233" t="n"/>
      <c r="L398" s="233" t="n">
        <v>3700</v>
      </c>
      <c r="M398" s="156" t="n"/>
      <c r="N398" s="156" t="n"/>
      <c r="O398" s="156" t="n"/>
    </row>
    <row r="399" ht="15.75" customHeight="1" s="153">
      <c r="A399" s="227" t="n"/>
      <c r="B399" s="228" t="inlineStr">
        <is>
          <t>PARAGUAY 5234</t>
        </is>
      </c>
      <c r="C399" s="229" t="n"/>
      <c r="D399" s="229" t="n"/>
      <c r="E399" s="229" t="n">
        <v>1</v>
      </c>
      <c r="F399" s="230" t="n"/>
      <c r="G399" s="230" t="n"/>
      <c r="H399" s="257" t="n">
        <v>90000</v>
      </c>
      <c r="I399" s="258" t="n"/>
      <c r="J399" s="258" t="n">
        <v>90000</v>
      </c>
      <c r="K399" s="233" t="n"/>
      <c r="L399" s="233" t="n">
        <v>28000</v>
      </c>
      <c r="M399" s="156" t="n"/>
      <c r="N399" s="156" t="n"/>
      <c r="O399" s="156" t="n"/>
    </row>
    <row r="400" ht="15.75" customHeight="1" s="153">
      <c r="A400" s="227" t="n"/>
      <c r="B400" s="228" t="inlineStr">
        <is>
          <t>CHICLANA 7325</t>
        </is>
      </c>
      <c r="C400" s="229" t="n">
        <v>1</v>
      </c>
      <c r="D400" s="229" t="n"/>
      <c r="E400" s="229" t="n"/>
      <c r="F400" s="230" t="n"/>
      <c r="G400" s="230" t="n"/>
      <c r="H400" s="257" t="n">
        <v>20000</v>
      </c>
      <c r="I400" s="258" t="n"/>
      <c r="J400" s="258" t="n">
        <v>20000</v>
      </c>
      <c r="K400" s="233" t="n"/>
      <c r="L400" s="233" t="n">
        <v>4200</v>
      </c>
      <c r="M400" s="156" t="n"/>
    </row>
    <row r="401" ht="15.75" customHeight="1" s="153">
      <c r="A401" s="227" t="n"/>
      <c r="B401" s="228" t="inlineStr">
        <is>
          <t>LAVADERO</t>
        </is>
      </c>
      <c r="C401" s="229" t="n"/>
      <c r="D401" s="229" t="n">
        <v>1</v>
      </c>
      <c r="E401" s="229" t="n"/>
      <c r="F401" s="230" t="n"/>
      <c r="G401" s="230" t="n"/>
      <c r="H401" s="257" t="n">
        <v>28500</v>
      </c>
      <c r="I401" s="258" t="n"/>
      <c r="J401" s="258" t="n">
        <v>28500</v>
      </c>
      <c r="K401" s="233" t="n"/>
      <c r="L401" s="233" t="n">
        <v>4800</v>
      </c>
      <c r="M401" s="156" t="n"/>
    </row>
    <row r="402" ht="15.75" customHeight="1" s="153">
      <c r="A402" s="227" t="n"/>
      <c r="B402" s="228" t="inlineStr">
        <is>
          <t>GÜEMES 4421</t>
        </is>
      </c>
      <c r="C402" s="229" t="n">
        <v>1</v>
      </c>
      <c r="D402" s="229" t="n"/>
      <c r="E402" s="229" t="n"/>
      <c r="F402" s="230" t="n"/>
      <c r="G402" s="230" t="n"/>
      <c r="H402" s="257" t="n">
        <v>28500</v>
      </c>
      <c r="I402" s="258" t="n"/>
      <c r="J402" s="258" t="n">
        <v>28500</v>
      </c>
      <c r="K402" s="233" t="n"/>
      <c r="L402" s="233" t="n">
        <v>12700</v>
      </c>
      <c r="M402" s="156" t="n"/>
    </row>
    <row r="403" ht="15.75" customHeight="1" s="153">
      <c r="A403" s="227" t="n"/>
      <c r="B403" s="228" t="inlineStr">
        <is>
          <t>NOGALES 3419</t>
        </is>
      </c>
      <c r="C403" s="229" t="n">
        <v>1</v>
      </c>
      <c r="D403" s="229" t="n"/>
      <c r="E403" s="229" t="n"/>
      <c r="F403" s="230" t="n"/>
      <c r="G403" s="230" t="n"/>
      <c r="H403" s="257" t="n">
        <v>26000</v>
      </c>
      <c r="I403" s="258" t="n"/>
      <c r="J403" s="258" t="n">
        <v>26000</v>
      </c>
      <c r="K403" s="233" t="n"/>
      <c r="L403" s="233" t="n">
        <v>10200</v>
      </c>
      <c r="M403" s="156" t="n"/>
    </row>
    <row r="404" ht="15.75" customHeight="1" s="153">
      <c r="A404" s="227" t="n"/>
      <c r="B404" s="228" t="inlineStr">
        <is>
          <t>ITURRASPE 962</t>
        </is>
      </c>
      <c r="C404" s="229" t="n">
        <v>1</v>
      </c>
      <c r="D404" s="229" t="n"/>
      <c r="E404" s="229" t="n"/>
      <c r="F404" s="230" t="n"/>
      <c r="G404" s="230" t="n"/>
      <c r="H404" s="257" t="n">
        <v>26000</v>
      </c>
      <c r="I404" s="258" t="n">
        <v>26000</v>
      </c>
      <c r="J404" s="258" t="n"/>
      <c r="K404" s="233" t="n"/>
      <c r="L404" s="233" t="n">
        <v>10200</v>
      </c>
      <c r="M404" s="156" t="n"/>
    </row>
    <row r="405" ht="15.75" customHeight="1" s="153">
      <c r="A405" s="227" t="n"/>
      <c r="B405" s="228" t="inlineStr">
        <is>
          <t>CASTAÑADUY 7019</t>
        </is>
      </c>
      <c r="C405" s="229" t="n"/>
      <c r="D405" s="229" t="n"/>
      <c r="E405" s="229" t="n">
        <v>1</v>
      </c>
      <c r="F405" s="230" t="n"/>
      <c r="G405" s="230" t="n"/>
      <c r="H405" s="257" t="n">
        <v>95000</v>
      </c>
      <c r="I405" s="258" t="n">
        <v>95000</v>
      </c>
      <c r="J405" s="258" t="n"/>
      <c r="K405" s="233" t="n"/>
      <c r="L405" s="233" t="n">
        <v>33000</v>
      </c>
      <c r="M405" s="156" t="n"/>
    </row>
    <row r="406" ht="15.75" customHeight="1" s="153">
      <c r="A406" s="227" t="n"/>
      <c r="B406" s="228" t="inlineStr">
        <is>
          <t>SABOREAR</t>
        </is>
      </c>
      <c r="C406" s="229" t="n"/>
      <c r="D406" s="229" t="n"/>
      <c r="E406" s="229" t="n">
        <v>1</v>
      </c>
      <c r="F406" s="230" t="n"/>
      <c r="G406" s="230" t="n"/>
      <c r="H406" s="257" t="n">
        <v>84000</v>
      </c>
      <c r="I406" s="258" t="n"/>
      <c r="J406" s="258" t="n">
        <v>84000</v>
      </c>
      <c r="K406" s="233" t="n"/>
      <c r="L406" s="233" t="n">
        <v>22000</v>
      </c>
      <c r="M406" s="156" t="n"/>
    </row>
    <row r="407" ht="15.75" customHeight="1" s="153">
      <c r="A407" s="227" t="n"/>
      <c r="B407" s="228" t="inlineStr">
        <is>
          <t>BRASERIA</t>
        </is>
      </c>
      <c r="C407" s="229" t="n">
        <v>1</v>
      </c>
      <c r="D407" s="229" t="n"/>
      <c r="E407" s="229" t="n">
        <v>1</v>
      </c>
      <c r="F407" s="230" t="n"/>
      <c r="G407" s="230" t="n"/>
      <c r="H407" s="257" t="n">
        <v>109000</v>
      </c>
      <c r="I407" s="258" t="n"/>
      <c r="J407" s="258" t="n">
        <v>109000</v>
      </c>
      <c r="K407" s="233" t="n"/>
      <c r="L407" s="233" t="n">
        <v>31200</v>
      </c>
      <c r="M407" s="156" t="n"/>
    </row>
    <row r="408" ht="15.75" customHeight="1" s="153">
      <c r="A408" s="227" t="n">
        <v>46163</v>
      </c>
      <c r="B408" s="228" t="inlineStr">
        <is>
          <t>CARO FACELLO</t>
        </is>
      </c>
      <c r="C408" s="229" t="n"/>
      <c r="D408" s="229" t="n">
        <v>1</v>
      </c>
      <c r="E408" s="229" t="n"/>
      <c r="F408" s="230" t="n"/>
      <c r="G408" s="230" t="n"/>
      <c r="H408" s="257" t="n">
        <v>39500</v>
      </c>
      <c r="I408" s="258" t="n">
        <v>39500</v>
      </c>
      <c r="J408" s="258" t="n"/>
      <c r="K408" s="233" t="n"/>
      <c r="L408" s="233" t="n">
        <v>15800</v>
      </c>
      <c r="M408" s="156" t="n"/>
    </row>
    <row r="409" ht="15.75" customHeight="1" s="153">
      <c r="A409" s="227" t="n"/>
      <c r="B409" s="228" t="inlineStr">
        <is>
          <t>PANA GORRITI 4600</t>
        </is>
      </c>
      <c r="C409" s="229" t="n"/>
      <c r="D409" s="229" t="n"/>
      <c r="E409" s="229" t="n">
        <v>1</v>
      </c>
      <c r="F409" s="230" t="n"/>
      <c r="G409" s="230" t="n"/>
      <c r="H409" s="257" t="n">
        <v>84000</v>
      </c>
      <c r="I409" s="258" t="n"/>
      <c r="J409" s="258" t="n">
        <v>84000</v>
      </c>
      <c r="K409" s="233" t="n"/>
      <c r="L409" s="233" t="n">
        <v>22000</v>
      </c>
      <c r="M409" s="156" t="n"/>
    </row>
    <row r="410" ht="15.75" customHeight="1" s="153">
      <c r="A410" s="227" t="n"/>
      <c r="B410" s="228" t="inlineStr">
        <is>
          <t>EXE</t>
        </is>
      </c>
      <c r="C410" s="229" t="n"/>
      <c r="D410" s="229" t="n"/>
      <c r="E410" s="229" t="n">
        <v>1</v>
      </c>
      <c r="F410" s="230" t="n"/>
      <c r="G410" s="230" t="n"/>
      <c r="H410" s="257" t="n">
        <v>85000</v>
      </c>
      <c r="I410" s="258" t="n"/>
      <c r="J410" s="258" t="n">
        <v>85000</v>
      </c>
      <c r="K410" s="233" t="n"/>
      <c r="L410" s="233" t="n">
        <v>23000</v>
      </c>
      <c r="M410" s="156" t="n"/>
    </row>
    <row r="411" ht="15.75" customHeight="1" s="153">
      <c r="A411" s="227" t="n"/>
      <c r="B411" s="228" t="inlineStr">
        <is>
          <t>CHICLANA 7325</t>
        </is>
      </c>
      <c r="C411" s="229" t="n">
        <v>3</v>
      </c>
      <c r="D411" s="229" t="n"/>
      <c r="E411" s="229" t="n"/>
      <c r="F411" s="230" t="n"/>
      <c r="G411" s="230" t="n"/>
      <c r="H411" s="257" t="n">
        <v>60000</v>
      </c>
      <c r="I411" s="258" t="n"/>
      <c r="J411" s="258" t="n">
        <v>60000</v>
      </c>
      <c r="K411" s="233" t="n"/>
      <c r="L411" s="233" t="n">
        <v>12600</v>
      </c>
      <c r="M411" s="156" t="n"/>
    </row>
    <row r="412" ht="15.75" customHeight="1" s="153">
      <c r="A412" s="227" t="n"/>
      <c r="B412" s="228" t="inlineStr">
        <is>
          <t>VIEYTES 4333</t>
        </is>
      </c>
      <c r="C412" s="229" t="n">
        <v>1</v>
      </c>
      <c r="D412" s="229" t="n"/>
      <c r="E412" s="229" t="n"/>
      <c r="F412" s="230" t="n"/>
      <c r="G412" s="230" t="n"/>
      <c r="H412" s="257" t="n">
        <v>23500</v>
      </c>
      <c r="I412" s="258" t="n">
        <v>23500</v>
      </c>
      <c r="J412" s="258" t="n"/>
      <c r="K412" s="233" t="n"/>
      <c r="L412" s="233" t="n">
        <v>7700</v>
      </c>
      <c r="M412" s="156" t="n"/>
    </row>
    <row r="413" ht="15.75" customHeight="1" s="153">
      <c r="A413" s="227" t="n"/>
      <c r="B413" s="228" t="inlineStr">
        <is>
          <t>VIANDAS JORGE</t>
        </is>
      </c>
      <c r="C413" s="229" t="n">
        <v>1</v>
      </c>
      <c r="D413" s="229" t="n"/>
      <c r="E413" s="229" t="n"/>
      <c r="F413" s="230" t="n"/>
      <c r="G413" s="230" t="n"/>
      <c r="H413" s="257" t="n">
        <v>23000</v>
      </c>
      <c r="I413" s="258" t="n">
        <v>23000</v>
      </c>
      <c r="J413" s="258" t="n"/>
      <c r="K413" s="233" t="n"/>
      <c r="L413" s="233" t="n">
        <v>7200</v>
      </c>
      <c r="M413" s="156" t="n"/>
    </row>
    <row r="414" ht="15.75" customHeight="1" s="153">
      <c r="A414" s="227" t="n"/>
      <c r="B414" s="228" t="inlineStr">
        <is>
          <t>CAFERATA 9653</t>
        </is>
      </c>
      <c r="C414" s="229" t="n">
        <v>1</v>
      </c>
      <c r="D414" s="229" t="n"/>
      <c r="E414" s="229" t="n"/>
      <c r="F414" s="230" t="n"/>
      <c r="G414" s="230" t="n"/>
      <c r="H414" s="257" t="n">
        <v>26000</v>
      </c>
      <c r="I414" s="258" t="n">
        <v>26000</v>
      </c>
      <c r="J414" s="258" t="n"/>
      <c r="K414" s="233" t="n"/>
      <c r="L414" s="233" t="n">
        <v>10200</v>
      </c>
      <c r="M414" s="156" t="n"/>
    </row>
    <row r="415" ht="15.75" customHeight="1" s="153">
      <c r="A415" s="227" t="n"/>
      <c r="B415" s="228" t="inlineStr">
        <is>
          <t>JUNÍN 2282</t>
        </is>
      </c>
      <c r="C415" s="229" t="n">
        <v>1</v>
      </c>
      <c r="D415" s="229" t="n"/>
      <c r="E415" s="229" t="n"/>
      <c r="F415" s="230" t="n"/>
      <c r="G415" s="230" t="n"/>
      <c r="H415" s="257" t="n">
        <v>26000</v>
      </c>
      <c r="I415" s="258" t="n"/>
      <c r="J415" s="258" t="n">
        <v>26000</v>
      </c>
      <c r="K415" s="233" t="n"/>
      <c r="L415" s="233" t="n">
        <v>10200</v>
      </c>
      <c r="M415" s="156" t="n"/>
    </row>
    <row r="416" ht="15.75" customHeight="1" s="153">
      <c r="A416" s="227" t="n"/>
      <c r="B416" s="228" t="inlineStr">
        <is>
          <t>QUINTANA 3340</t>
        </is>
      </c>
      <c r="C416" s="229" t="n">
        <v>1</v>
      </c>
      <c r="D416" s="229" t="n"/>
      <c r="E416" s="229" t="n"/>
      <c r="F416" s="230" t="n"/>
      <c r="G416" s="230" t="n"/>
      <c r="H416" s="257" t="n">
        <v>26000</v>
      </c>
      <c r="I416" s="258" t="n">
        <v>26000</v>
      </c>
      <c r="J416" s="258" t="n"/>
      <c r="K416" s="233" t="n"/>
      <c r="L416" s="233" t="n">
        <v>10200</v>
      </c>
      <c r="M416" s="156" t="n"/>
    </row>
    <row r="417" ht="15.75" customHeight="1" s="153">
      <c r="A417" s="227" t="n"/>
      <c r="B417" s="228" t="inlineStr">
        <is>
          <t>JP LOPEZ 3249</t>
        </is>
      </c>
      <c r="C417" s="229" t="n">
        <v>1</v>
      </c>
      <c r="D417" s="229" t="n"/>
      <c r="E417" s="229" t="n"/>
      <c r="F417" s="230" t="n"/>
      <c r="G417" s="230" t="n"/>
      <c r="H417" s="257" t="n">
        <v>26000</v>
      </c>
      <c r="I417" s="258" t="n"/>
      <c r="J417" s="258" t="n">
        <v>26000</v>
      </c>
      <c r="K417" s="233" t="n"/>
      <c r="L417" s="233" t="n">
        <v>10200</v>
      </c>
      <c r="M417" s="156" t="n"/>
    </row>
    <row r="418" ht="15.75" customHeight="1" s="153">
      <c r="A418" s="227" t="n"/>
      <c r="B418" s="228" t="inlineStr">
        <is>
          <t>LUCHO</t>
        </is>
      </c>
      <c r="C418" s="229" t="n">
        <v>2</v>
      </c>
      <c r="D418" s="229" t="n">
        <v>1</v>
      </c>
      <c r="E418" s="229" t="n"/>
      <c r="F418" s="230" t="n"/>
      <c r="G418" s="230" t="n"/>
      <c r="H418" s="257" t="n">
        <v>71500</v>
      </c>
      <c r="I418" s="258" t="n">
        <v>71500</v>
      </c>
      <c r="J418" s="258" t="n"/>
      <c r="K418" s="233" t="n"/>
      <c r="L418" s="233" t="n">
        <v>16200</v>
      </c>
      <c r="M418" s="156" t="n"/>
    </row>
    <row r="419" ht="15.75" customHeight="1" s="153">
      <c r="A419" s="227" t="n"/>
      <c r="B419" s="228" t="inlineStr">
        <is>
          <t>VENIALBO 5829</t>
        </is>
      </c>
      <c r="C419" s="229" t="n">
        <v>1</v>
      </c>
      <c r="D419" s="229" t="n"/>
      <c r="E419" s="229" t="n"/>
      <c r="F419" s="230" t="n"/>
      <c r="G419" s="230" t="n"/>
      <c r="H419" s="257" t="n">
        <v>26000</v>
      </c>
      <c r="I419" s="258" t="n">
        <v>26000</v>
      </c>
      <c r="J419" s="258" t="n"/>
      <c r="K419" s="233" t="n"/>
      <c r="L419" s="233" t="n">
        <v>10200</v>
      </c>
      <c r="M419" s="156" t="n"/>
    </row>
    <row r="420" ht="15.75" customHeight="1" s="153">
      <c r="A420" s="227" t="n"/>
      <c r="B420" s="228" t="inlineStr">
        <is>
          <t>P GENESIO 5995</t>
        </is>
      </c>
      <c r="C420" s="229" t="n"/>
      <c r="D420" s="229" t="n">
        <v>1</v>
      </c>
      <c r="E420" s="229" t="n"/>
      <c r="F420" s="230" t="n"/>
      <c r="G420" s="230" t="n"/>
      <c r="H420" s="257" t="n">
        <v>40000</v>
      </c>
      <c r="I420" s="258" t="n">
        <v>40000</v>
      </c>
      <c r="J420" s="258" t="n"/>
      <c r="K420" s="233" t="n"/>
      <c r="L420" s="233" t="n">
        <v>16300</v>
      </c>
      <c r="M420" s="156" t="n"/>
    </row>
    <row r="421" ht="15.75" customHeight="1" s="153">
      <c r="A421" s="227" t="n"/>
      <c r="B421" s="228" t="inlineStr">
        <is>
          <t>ROTI SAN LORENZO</t>
        </is>
      </c>
      <c r="C421" s="229" t="n">
        <v>1</v>
      </c>
      <c r="D421" s="229" t="n">
        <v>1</v>
      </c>
      <c r="E421" s="229" t="n">
        <v>1</v>
      </c>
      <c r="F421" s="230" t="n"/>
      <c r="G421" s="230" t="n"/>
      <c r="H421" s="257" t="n">
        <v>147500</v>
      </c>
      <c r="I421" s="258" t="n">
        <v>100000</v>
      </c>
      <c r="J421" s="258" t="n">
        <v>47500</v>
      </c>
      <c r="K421" s="233" t="n"/>
      <c r="L421" s="233" t="n">
        <v>46000</v>
      </c>
      <c r="M421" s="156" t="n"/>
    </row>
    <row r="422" ht="15.75" customHeight="1" s="153">
      <c r="A422" s="227" t="n"/>
      <c r="B422" s="228" t="inlineStr">
        <is>
          <t>VERBENA</t>
        </is>
      </c>
      <c r="C422" s="229" t="n">
        <v>4</v>
      </c>
      <c r="D422" s="229" t="n"/>
      <c r="E422" s="229" t="n"/>
      <c r="F422" s="230" t="n"/>
      <c r="G422" s="230" t="n"/>
      <c r="H422" s="257" t="n">
        <v>108000</v>
      </c>
      <c r="I422" s="258" t="n"/>
      <c r="J422" s="258" t="n">
        <v>108000</v>
      </c>
      <c r="K422" s="233" t="n"/>
      <c r="L422" s="233" t="n">
        <v>44800</v>
      </c>
      <c r="M422" s="156" t="n"/>
    </row>
    <row r="423" ht="15.75" customHeight="1" s="153">
      <c r="A423" s="227" t="n"/>
      <c r="B423" s="228" t="inlineStr">
        <is>
          <t>FACU MANTARAS</t>
        </is>
      </c>
      <c r="C423" s="229" t="n">
        <v>2</v>
      </c>
      <c r="D423" s="229" t="n"/>
      <c r="E423" s="229" t="n"/>
      <c r="F423" s="230" t="n"/>
      <c r="G423" s="230" t="n"/>
      <c r="H423" s="257" t="n">
        <v>54000</v>
      </c>
      <c r="I423" s="258" t="n"/>
      <c r="J423" s="258" t="n">
        <v>54000</v>
      </c>
      <c r="K423" s="233" t="n"/>
      <c r="L423" s="233" t="n">
        <v>22400</v>
      </c>
      <c r="M423" s="156" t="n"/>
    </row>
    <row r="424" ht="15.75" customHeight="1" s="153">
      <c r="A424" s="227" t="n"/>
      <c r="B424" s="228" t="inlineStr">
        <is>
          <t>PAULO</t>
        </is>
      </c>
      <c r="C424" s="229" t="n">
        <v>3</v>
      </c>
      <c r="D424" s="229" t="n"/>
      <c r="E424" s="229" t="n"/>
      <c r="F424" s="230" t="n"/>
      <c r="G424" s="230" t="n"/>
      <c r="H424" s="257" t="n">
        <v>60000</v>
      </c>
      <c r="I424" s="258" t="n"/>
      <c r="J424" s="258" t="n">
        <v>60000</v>
      </c>
      <c r="K424" s="233" t="n"/>
      <c r="L424" s="233" t="n">
        <v>12600</v>
      </c>
      <c r="M424" s="156" t="n"/>
    </row>
    <row r="425" ht="15.75" customHeight="1" s="153">
      <c r="A425" s="227" t="n"/>
      <c r="B425" s="228" t="inlineStr">
        <is>
          <t>AGUADO 9067</t>
        </is>
      </c>
      <c r="C425" s="229" t="n"/>
      <c r="D425" s="229" t="n">
        <v>1</v>
      </c>
      <c r="E425" s="229" t="n"/>
      <c r="F425" s="230" t="n"/>
      <c r="G425" s="230" t="n"/>
      <c r="H425" s="257" t="n">
        <v>39500</v>
      </c>
      <c r="I425" s="258" t="n"/>
      <c r="J425" s="258" t="n">
        <v>39500</v>
      </c>
      <c r="K425" s="233" t="n"/>
      <c r="L425" s="233" t="n">
        <v>15800</v>
      </c>
      <c r="M425" s="156" t="n"/>
    </row>
    <row r="426" ht="15.75" customHeight="1" s="153">
      <c r="A426" s="227" t="n">
        <v>46164</v>
      </c>
      <c r="B426" s="228" t="inlineStr">
        <is>
          <t>ESPORA 4846</t>
        </is>
      </c>
      <c r="C426" s="229" t="n">
        <v>1</v>
      </c>
      <c r="D426" s="229" t="n">
        <v>1</v>
      </c>
      <c r="E426" s="229" t="n"/>
      <c r="F426" s="230" t="n"/>
      <c r="G426" s="230" t="n"/>
      <c r="H426" s="257" t="n">
        <v>68000</v>
      </c>
      <c r="I426" s="258" t="n">
        <v>68000</v>
      </c>
      <c r="J426" s="258" t="n"/>
      <c r="K426" s="233" t="n"/>
      <c r="L426" s="233" t="n">
        <v>28500</v>
      </c>
      <c r="M426" s="156" t="n"/>
    </row>
    <row r="427" ht="15.75" customHeight="1" s="153">
      <c r="A427" s="227" t="n"/>
      <c r="B427" s="228" t="inlineStr">
        <is>
          <t>MARIO</t>
        </is>
      </c>
      <c r="C427" s="229" t="n">
        <v>2</v>
      </c>
      <c r="D427" s="229" t="n"/>
      <c r="E427" s="229" t="n"/>
      <c r="F427" s="230" t="n"/>
      <c r="G427" s="230" t="n"/>
      <c r="H427" s="257" t="n">
        <v>38000</v>
      </c>
      <c r="I427" s="258" t="n">
        <v>38000</v>
      </c>
      <c r="J427" s="258" t="n"/>
      <c r="K427" s="233" t="n"/>
      <c r="L427" s="233" t="n">
        <v>6400</v>
      </c>
      <c r="M427" s="156" t="n"/>
    </row>
    <row r="428" ht="15.75" customHeight="1" s="153">
      <c r="A428" s="227" t="n"/>
      <c r="B428" s="228" t="inlineStr">
        <is>
          <t>PAVÓN 3435</t>
        </is>
      </c>
      <c r="C428" s="229" t="n"/>
      <c r="D428" s="229" t="n">
        <v>1</v>
      </c>
      <c r="E428" s="229" t="n">
        <v>1</v>
      </c>
      <c r="F428" s="230" t="n"/>
      <c r="G428" s="230" t="n"/>
      <c r="H428" s="257" t="n">
        <v>120000</v>
      </c>
      <c r="I428" s="258" t="n"/>
      <c r="J428" s="258" t="n">
        <v>120000</v>
      </c>
      <c r="K428" s="233" t="n"/>
      <c r="L428" s="233" t="n">
        <v>34300</v>
      </c>
      <c r="M428" s="156" t="n"/>
    </row>
    <row r="429" ht="15.75" customHeight="1" s="153">
      <c r="A429" s="227" t="n"/>
      <c r="B429" s="228" t="inlineStr">
        <is>
          <t>BOULEVARD GÁLVEZ 2333</t>
        </is>
      </c>
      <c r="C429" s="229" t="n">
        <v>1</v>
      </c>
      <c r="D429" s="229" t="n"/>
      <c r="E429" s="229" t="n"/>
      <c r="F429" s="230" t="n"/>
      <c r="G429" s="230" t="n"/>
      <c r="H429" s="257" t="n">
        <v>26000</v>
      </c>
      <c r="I429" s="258" t="n">
        <v>26000</v>
      </c>
      <c r="J429" s="258" t="n"/>
      <c r="K429" s="233" t="n"/>
      <c r="L429" s="233" t="n">
        <v>10200</v>
      </c>
      <c r="M429" s="156" t="n"/>
    </row>
    <row r="430" ht="15.75" customHeight="1" s="153">
      <c r="A430" s="227" t="n"/>
      <c r="B430" s="228" t="inlineStr">
        <is>
          <t>PANA ALBERTI</t>
        </is>
      </c>
      <c r="C430" s="229" t="n">
        <v>1</v>
      </c>
      <c r="D430" s="229" t="n">
        <v>1</v>
      </c>
      <c r="E430" s="229" t="n"/>
      <c r="F430" s="230" t="n"/>
      <c r="G430" s="230" t="n"/>
      <c r="H430" s="257" t="n">
        <v>60500</v>
      </c>
      <c r="I430" s="258" t="n">
        <v>60500</v>
      </c>
      <c r="J430" s="258" t="n"/>
      <c r="K430" s="233" t="n"/>
      <c r="L430" s="233" t="n">
        <v>21000</v>
      </c>
      <c r="M430" s="156" t="n"/>
    </row>
    <row r="431" ht="15.75" customHeight="1" s="153">
      <c r="A431" s="227" t="n"/>
      <c r="B431" s="228" t="inlineStr">
        <is>
          <t>ROTI AGUADO</t>
        </is>
      </c>
      <c r="C431" s="229" t="n"/>
      <c r="D431" s="229" t="n"/>
      <c r="E431" s="229" t="n">
        <v>1</v>
      </c>
      <c r="F431" s="230" t="n"/>
      <c r="G431" s="230" t="n"/>
      <c r="H431" s="257" t="n">
        <v>83000</v>
      </c>
      <c r="I431" s="258" t="n"/>
      <c r="J431" s="258" t="n">
        <v>83000</v>
      </c>
      <c r="K431" s="233" t="n"/>
      <c r="L431" s="233" t="n">
        <v>21000</v>
      </c>
      <c r="M431" s="156" t="n"/>
    </row>
    <row r="432" ht="15.75" customHeight="1" s="153">
      <c r="A432" s="227" t="n"/>
      <c r="B432" s="228" t="inlineStr">
        <is>
          <t>PANA GENESIO</t>
        </is>
      </c>
      <c r="C432" s="229" t="n"/>
      <c r="D432" s="229" t="n"/>
      <c r="E432" s="229" t="n">
        <v>1</v>
      </c>
      <c r="F432" s="230" t="n"/>
      <c r="G432" s="230" t="n"/>
      <c r="H432" s="257" t="n">
        <v>79000</v>
      </c>
      <c r="I432" s="258" t="n">
        <v>79000</v>
      </c>
      <c r="J432" s="258" t="n"/>
      <c r="K432" s="233" t="n"/>
      <c r="L432" s="233" t="n">
        <v>17000</v>
      </c>
      <c r="M432" s="156" t="n"/>
    </row>
    <row r="433" ht="15.75" customHeight="1" s="153">
      <c r="A433" s="227" t="n"/>
      <c r="B433" s="228" t="inlineStr">
        <is>
          <t>FILOMENA</t>
        </is>
      </c>
      <c r="C433" s="229" t="n">
        <v>2</v>
      </c>
      <c r="D433" s="229" t="n"/>
      <c r="E433" s="229" t="n"/>
      <c r="F433" s="230" t="n"/>
      <c r="G433" s="230" t="n"/>
      <c r="H433" s="257" t="n">
        <v>49000</v>
      </c>
      <c r="I433" s="258" t="n"/>
      <c r="J433" s="258" t="n">
        <v>49000</v>
      </c>
      <c r="K433" s="233" t="n"/>
      <c r="L433" s="233" t="n">
        <v>17400</v>
      </c>
      <c r="M433" s="156" t="n"/>
    </row>
    <row r="434" ht="15.75" customHeight="1" s="153">
      <c r="A434" s="227" t="n"/>
      <c r="B434" s="228" t="inlineStr">
        <is>
          <t>CASANELLO 2128</t>
        </is>
      </c>
      <c r="C434" s="229" t="n">
        <v>1</v>
      </c>
      <c r="D434" s="229" t="n"/>
      <c r="E434" s="229" t="n"/>
      <c r="F434" s="230" t="n"/>
      <c r="G434" s="230" t="n"/>
      <c r="H434" s="257" t="n">
        <v>27500</v>
      </c>
      <c r="I434" s="258" t="n"/>
      <c r="J434" s="258" t="n">
        <v>27500</v>
      </c>
      <c r="K434" s="233" t="n"/>
      <c r="L434" s="233" t="n">
        <v>11700</v>
      </c>
      <c r="M434" s="156" t="n"/>
    </row>
    <row r="435" ht="15.75" customHeight="1" s="153">
      <c r="A435" s="227" t="n"/>
      <c r="B435" s="228" t="inlineStr">
        <is>
          <t>GENERAL PAZ 7989</t>
        </is>
      </c>
      <c r="C435" s="229" t="n">
        <v>1</v>
      </c>
      <c r="D435" s="229" t="n"/>
      <c r="E435" s="229" t="n"/>
      <c r="F435" s="230" t="n"/>
      <c r="G435" s="230" t="n"/>
      <c r="H435" s="257" t="n">
        <v>26000</v>
      </c>
      <c r="I435" s="258" t="n"/>
      <c r="J435" s="258" t="n">
        <v>26000</v>
      </c>
      <c r="K435" s="233" t="n"/>
      <c r="L435" s="233" t="n">
        <v>10200</v>
      </c>
      <c r="M435" s="156" t="n"/>
    </row>
    <row r="436" ht="15.75" customHeight="1" s="153">
      <c r="A436" s="227" t="n"/>
      <c r="B436" s="228" t="inlineStr">
        <is>
          <t>CACIQUE ANDRESITO 9133</t>
        </is>
      </c>
      <c r="C436" s="229" t="n"/>
      <c r="D436" s="229" t="n"/>
      <c r="E436" s="229" t="n">
        <v>1</v>
      </c>
      <c r="F436" s="230" t="n"/>
      <c r="G436" s="230" t="n"/>
      <c r="H436" s="257" t="n">
        <v>91000</v>
      </c>
      <c r="I436" s="258" t="n">
        <v>91000</v>
      </c>
      <c r="J436" s="258" t="n"/>
      <c r="K436" s="233" t="n"/>
      <c r="L436" s="233" t="n">
        <v>29000</v>
      </c>
      <c r="M436" s="156" t="n"/>
    </row>
    <row r="437" ht="15.75" customHeight="1" s="153">
      <c r="A437" s="227" t="n"/>
      <c r="B437" s="228" t="inlineStr">
        <is>
          <t>PANA VIEYTES 3800</t>
        </is>
      </c>
      <c r="C437" s="229" t="n"/>
      <c r="D437" s="229" t="n"/>
      <c r="E437" s="229" t="n">
        <v>1</v>
      </c>
      <c r="F437" s="230" t="n"/>
      <c r="G437" s="230" t="n"/>
      <c r="H437" s="257" t="n">
        <v>85000</v>
      </c>
      <c r="I437" s="258" t="n">
        <v>85000</v>
      </c>
      <c r="J437" s="258" t="n"/>
      <c r="K437" s="233" t="n"/>
      <c r="L437" s="233" t="n">
        <v>23000</v>
      </c>
      <c r="M437" s="156" t="n"/>
    </row>
    <row r="438" ht="15.75" customHeight="1" s="153">
      <c r="A438" s="227" t="n"/>
      <c r="B438" s="228" t="inlineStr">
        <is>
          <t>GENERAL PAZ 7869</t>
        </is>
      </c>
      <c r="C438" s="229" t="n"/>
      <c r="D438" s="229" t="n"/>
      <c r="E438" s="229" t="n">
        <v>1</v>
      </c>
      <c r="F438" s="230" t="n"/>
      <c r="G438" s="230" t="n"/>
      <c r="H438" s="257" t="n">
        <v>88000</v>
      </c>
      <c r="I438" s="258" t="n">
        <v>88000</v>
      </c>
      <c r="J438" s="258" t="n"/>
      <c r="K438" s="233" t="n"/>
      <c r="L438" s="233" t="n">
        <v>26000</v>
      </c>
      <c r="M438" s="156" t="n"/>
    </row>
    <row r="439" ht="15.75" customHeight="1" s="153">
      <c r="A439" s="227" t="n"/>
      <c r="B439" s="228" t="inlineStr">
        <is>
          <t>PAVÓN 3941</t>
        </is>
      </c>
      <c r="C439" s="229" t="n">
        <v>1</v>
      </c>
      <c r="D439" s="229" t="n"/>
      <c r="E439" s="229" t="n"/>
      <c r="F439" s="230" t="n"/>
      <c r="G439" s="230" t="n"/>
      <c r="H439" s="257" t="n">
        <v>26000</v>
      </c>
      <c r="I439" s="258" t="n">
        <v>26000</v>
      </c>
      <c r="J439" s="258" t="n"/>
      <c r="K439" s="233" t="n"/>
      <c r="L439" s="233" t="n">
        <v>10200</v>
      </c>
      <c r="M439" s="156" t="n"/>
    </row>
    <row r="440" ht="15.75" customHeight="1" s="153">
      <c r="A440" s="227" t="n"/>
      <c r="B440" s="228" t="inlineStr">
        <is>
          <t>ASCUÉNAGA 5023</t>
        </is>
      </c>
      <c r="C440" s="229" t="n">
        <v>4</v>
      </c>
      <c r="D440" s="229" t="n"/>
      <c r="E440" s="229" t="n"/>
      <c r="F440" s="230" t="n"/>
      <c r="G440" s="230" t="n"/>
      <c r="H440" s="257" t="n">
        <v>80000</v>
      </c>
      <c r="I440" s="258" t="n"/>
      <c r="J440" s="258" t="n">
        <v>80000</v>
      </c>
      <c r="K440" s="233" t="n"/>
      <c r="L440" s="233" t="n">
        <v>16800</v>
      </c>
      <c r="M440" s="156" t="n"/>
    </row>
    <row r="441" ht="15.75" customHeight="1" s="153">
      <c r="A441" s="227" t="n"/>
      <c r="B441" s="228" t="inlineStr">
        <is>
          <t>HERMANO MAXI OTNIEL</t>
        </is>
      </c>
      <c r="C441" s="229" t="n"/>
      <c r="D441" s="229" t="n"/>
      <c r="E441" s="229" t="n"/>
      <c r="F441" s="230" t="n"/>
      <c r="G441" s="230" t="n">
        <v>1</v>
      </c>
      <c r="H441" s="257" t="n">
        <v>6500</v>
      </c>
      <c r="I441" s="258" t="n"/>
      <c r="J441" s="258" t="n">
        <v>6500</v>
      </c>
      <c r="K441" s="233" t="n"/>
      <c r="L441" s="233" t="n">
        <v>5580</v>
      </c>
      <c r="M441" s="156" t="n"/>
    </row>
    <row r="442" ht="15.75" customHeight="1" s="153">
      <c r="A442" s="227" t="n"/>
      <c r="B442" s="228" t="inlineStr">
        <is>
          <t>COGORNO 5520</t>
        </is>
      </c>
      <c r="C442" s="229" t="n">
        <v>6</v>
      </c>
      <c r="D442" s="229" t="n"/>
      <c r="E442" s="229" t="n"/>
      <c r="F442" s="230" t="n"/>
      <c r="G442" s="230" t="n"/>
      <c r="H442" s="257" t="n">
        <v>123000</v>
      </c>
      <c r="I442" s="258" t="n"/>
      <c r="J442" s="258" t="n">
        <v>123000</v>
      </c>
      <c r="K442" s="233" t="n"/>
      <c r="L442" s="233" t="n">
        <v>28200</v>
      </c>
      <c r="M442" s="156" t="n"/>
    </row>
    <row r="443" ht="15.75" customHeight="1" s="153">
      <c r="A443" s="227" t="n"/>
      <c r="B443" s="228" t="inlineStr">
        <is>
          <t>VIEYTES 4361</t>
        </is>
      </c>
      <c r="C443" s="229" t="n">
        <v>2</v>
      </c>
      <c r="D443" s="229" t="n"/>
      <c r="E443" s="229" t="n"/>
      <c r="F443" s="230" t="n"/>
      <c r="G443" s="230" t="n"/>
      <c r="H443" s="257" t="n">
        <v>52000</v>
      </c>
      <c r="I443" s="258" t="n"/>
      <c r="J443" s="258" t="n">
        <v>52000</v>
      </c>
      <c r="K443" s="233" t="n"/>
      <c r="L443" s="233" t="n">
        <v>20400</v>
      </c>
      <c r="M443" s="156" t="n"/>
    </row>
    <row r="444" ht="15.75" customHeight="1" s="153">
      <c r="A444" s="227" t="n"/>
      <c r="B444" s="228" t="inlineStr">
        <is>
          <t>ALBERTI 4637</t>
        </is>
      </c>
      <c r="C444" s="229" t="n">
        <v>1</v>
      </c>
      <c r="D444" s="229" t="n"/>
      <c r="E444" s="229" t="n"/>
      <c r="F444" s="230" t="n"/>
      <c r="G444" s="230" t="n"/>
      <c r="H444" s="257" t="n">
        <v>26000</v>
      </c>
      <c r="I444" s="258" t="n"/>
      <c r="J444" s="258" t="n">
        <v>26000</v>
      </c>
      <c r="K444" s="233" t="n"/>
      <c r="L444" s="233" t="n">
        <v>10200</v>
      </c>
      <c r="M444" s="156" t="n"/>
    </row>
    <row r="445" ht="15.75" customHeight="1" s="153">
      <c r="A445" s="227" t="n"/>
      <c r="B445" s="228" t="inlineStr">
        <is>
          <t>MARTÍN ZAPATA 2101</t>
        </is>
      </c>
      <c r="C445" s="229" t="n">
        <v>2</v>
      </c>
      <c r="D445" s="229" t="n"/>
      <c r="E445" s="229" t="n"/>
      <c r="F445" s="230" t="n"/>
      <c r="G445" s="230" t="n"/>
      <c r="H445" s="257" t="n">
        <v>42000</v>
      </c>
      <c r="I445" s="258" t="n">
        <v>42000</v>
      </c>
      <c r="J445" s="258" t="n"/>
      <c r="K445" s="233" t="n"/>
      <c r="L445" s="233" t="n">
        <v>10400</v>
      </c>
      <c r="M445" s="156" t="n"/>
    </row>
    <row r="446" ht="15.75" customHeight="1" s="153">
      <c r="A446" s="227" t="n"/>
      <c r="B446" s="228" t="inlineStr">
        <is>
          <t>M POLONIA 2809</t>
        </is>
      </c>
      <c r="C446" s="229" t="n">
        <v>1</v>
      </c>
      <c r="D446" s="229" t="n"/>
      <c r="E446" s="229" t="n"/>
      <c r="F446" s="230" t="n"/>
      <c r="G446" s="230" t="n"/>
      <c r="H446" s="257" t="n">
        <v>27000</v>
      </c>
      <c r="I446" s="258" t="n"/>
      <c r="J446" s="258" t="n">
        <v>27000</v>
      </c>
      <c r="K446" s="233" t="n"/>
      <c r="L446" s="233" t="n">
        <v>11200</v>
      </c>
      <c r="M446" s="156" t="n"/>
    </row>
    <row r="447" ht="15.75" customHeight="1" s="153">
      <c r="A447" s="227" t="n"/>
      <c r="B447" s="228" t="inlineStr">
        <is>
          <t>PANDOLFO 9078</t>
        </is>
      </c>
      <c r="C447" s="229" t="n"/>
      <c r="D447" s="229" t="n"/>
      <c r="E447" s="229" t="n">
        <v>1</v>
      </c>
      <c r="F447" s="230" t="n"/>
      <c r="G447" s="230" t="n"/>
      <c r="H447" s="257" t="n">
        <v>91000</v>
      </c>
      <c r="I447" s="258" t="n"/>
      <c r="J447" s="258" t="n">
        <v>91000</v>
      </c>
      <c r="K447" s="233" t="n"/>
      <c r="L447" s="233" t="n">
        <v>29000</v>
      </c>
      <c r="M447" s="156" t="n"/>
    </row>
    <row r="448" ht="15.75" customHeight="1" s="153">
      <c r="A448" s="227" t="n"/>
      <c r="B448" s="228" t="inlineStr">
        <is>
          <t>VALDIVIESO 2475</t>
        </is>
      </c>
      <c r="C448" s="229" t="n">
        <v>1</v>
      </c>
      <c r="D448" s="229" t="n"/>
      <c r="E448" s="229" t="n">
        <v>1</v>
      </c>
      <c r="F448" s="230" t="n"/>
      <c r="G448" s="230" t="n"/>
      <c r="H448" s="257" t="n">
        <v>108000</v>
      </c>
      <c r="I448" s="258" t="n"/>
      <c r="J448" s="258" t="n">
        <v>108000</v>
      </c>
      <c r="K448" s="233" t="n"/>
      <c r="L448" s="233" t="n">
        <v>30200</v>
      </c>
      <c r="M448" s="156" t="n"/>
    </row>
    <row r="449" ht="15.75" customHeight="1" s="153">
      <c r="A449" s="227" t="n"/>
      <c r="B449" s="228" t="inlineStr">
        <is>
          <t>SABOREAR</t>
        </is>
      </c>
      <c r="C449" s="229" t="n">
        <v>1</v>
      </c>
      <c r="D449" s="229" t="n">
        <v>1</v>
      </c>
      <c r="E449" s="229" t="n"/>
      <c r="F449" s="230" t="n"/>
      <c r="G449" s="230" t="n"/>
      <c r="H449" s="257" t="n">
        <v>57500</v>
      </c>
      <c r="I449" s="258" t="n">
        <v>57500</v>
      </c>
      <c r="J449" s="258" t="n"/>
      <c r="K449" s="233" t="n"/>
      <c r="L449" s="233" t="n">
        <v>18000</v>
      </c>
      <c r="M449" s="156" t="n"/>
    </row>
    <row r="450" ht="15.75" customHeight="1" s="153">
      <c r="A450" s="227" t="n"/>
      <c r="B450" s="228" t="inlineStr">
        <is>
          <t>FRANCIA 2047</t>
        </is>
      </c>
      <c r="C450" s="229" t="n">
        <v>1</v>
      </c>
      <c r="D450" s="229" t="n"/>
      <c r="E450" s="229" t="n"/>
      <c r="F450" s="230" t="n"/>
      <c r="G450" s="230" t="n"/>
      <c r="H450" s="257" t="n">
        <v>26000</v>
      </c>
      <c r="I450" s="258" t="n"/>
      <c r="J450" s="258" t="n">
        <v>26000</v>
      </c>
      <c r="K450" s="233" t="n"/>
      <c r="L450" s="233" t="n">
        <v>10200</v>
      </c>
      <c r="M450" s="156" t="n"/>
    </row>
    <row r="451" ht="15.75" customHeight="1" s="153">
      <c r="A451" s="227" t="n"/>
      <c r="B451" s="228" t="inlineStr">
        <is>
          <t>RIVADAVIA 7288</t>
        </is>
      </c>
      <c r="C451" s="229" t="n">
        <v>1</v>
      </c>
      <c r="D451" s="229" t="n"/>
      <c r="E451" s="229" t="n"/>
      <c r="F451" s="230" t="n"/>
      <c r="G451" s="230" t="n"/>
      <c r="H451" s="257" t="n">
        <v>24500</v>
      </c>
      <c r="I451" s="258" t="n"/>
      <c r="J451" s="258" t="n">
        <v>24500</v>
      </c>
      <c r="K451" s="233" t="n"/>
      <c r="L451" s="233" t="n">
        <v>8700</v>
      </c>
      <c r="M451" s="156" t="n"/>
    </row>
    <row r="452" ht="15.75" customHeight="1" s="153">
      <c r="A452" s="227" t="n"/>
      <c r="B452" s="228" t="inlineStr">
        <is>
          <t>HUERGO 3961</t>
        </is>
      </c>
      <c r="C452" s="229" t="n"/>
      <c r="D452" s="229" t="n"/>
      <c r="E452" s="229" t="n">
        <v>2</v>
      </c>
      <c r="F452" s="230" t="n"/>
      <c r="G452" s="230" t="n"/>
      <c r="H452" s="257" t="n">
        <v>170000</v>
      </c>
      <c r="I452" s="258" t="n">
        <v>170000</v>
      </c>
      <c r="J452" s="258" t="n"/>
      <c r="K452" s="233" t="n"/>
      <c r="L452" s="233" t="n">
        <v>46000</v>
      </c>
      <c r="M452" s="156" t="n"/>
    </row>
    <row r="453" ht="15.75" customHeight="1" s="153">
      <c r="A453" s="227" t="n"/>
      <c r="B453" s="228" t="inlineStr">
        <is>
          <t>MARCE DUSO</t>
        </is>
      </c>
      <c r="C453" s="229" t="n"/>
      <c r="D453" s="229" t="n">
        <v>1</v>
      </c>
      <c r="E453" s="229" t="n">
        <v>1</v>
      </c>
      <c r="F453" s="230" t="n"/>
      <c r="G453" s="230" t="n"/>
      <c r="H453" s="257" t="n">
        <v>117000</v>
      </c>
      <c r="I453" s="258" t="n"/>
      <c r="J453" s="258" t="n">
        <v>117000</v>
      </c>
      <c r="K453" s="233" t="n"/>
      <c r="L453" s="233" t="n">
        <v>31300</v>
      </c>
      <c r="M453" s="156" t="n"/>
    </row>
    <row r="454" ht="15.75" customHeight="1" s="153">
      <c r="A454" s="227" t="n"/>
      <c r="B454" s="228" t="inlineStr">
        <is>
          <t>SALTA 3047</t>
        </is>
      </c>
      <c r="C454" s="229" t="n">
        <v>1</v>
      </c>
      <c r="D454" s="229" t="n"/>
      <c r="E454" s="229" t="n"/>
      <c r="F454" s="230" t="n"/>
      <c r="G454" s="230" t="n"/>
      <c r="H454" s="257" t="n">
        <v>26000</v>
      </c>
      <c r="I454" s="258" t="n">
        <v>26000</v>
      </c>
      <c r="J454" s="258" t="n"/>
      <c r="K454" s="233" t="n"/>
      <c r="L454" s="233" t="n">
        <v>10200</v>
      </c>
      <c r="M454" s="156" t="n"/>
    </row>
    <row r="455" ht="15.75" customHeight="1" s="153">
      <c r="A455" s="227" t="n"/>
      <c r="B455" s="228" t="inlineStr">
        <is>
          <t>SALTA 2865</t>
        </is>
      </c>
      <c r="C455" s="229" t="n">
        <v>1</v>
      </c>
      <c r="D455" s="229" t="n"/>
      <c r="E455" s="229" t="n"/>
      <c r="F455" s="230" t="n"/>
      <c r="G455" s="230" t="n"/>
      <c r="H455" s="257" t="n">
        <v>26000</v>
      </c>
      <c r="I455" s="258" t="n">
        <v>26000</v>
      </c>
      <c r="J455" s="258" t="n"/>
      <c r="K455" s="233" t="n"/>
      <c r="L455" s="233" t="n">
        <v>10200</v>
      </c>
      <c r="M455" s="156" t="n"/>
    </row>
    <row r="456" ht="15.75" customHeight="1" s="153">
      <c r="A456" s="227" t="n"/>
      <c r="B456" s="228" t="inlineStr">
        <is>
          <t>LUCHO</t>
        </is>
      </c>
      <c r="C456" s="229" t="n"/>
      <c r="D456" s="229" t="n">
        <v>1</v>
      </c>
      <c r="E456" s="229" t="n"/>
      <c r="F456" s="230" t="n"/>
      <c r="G456" s="230" t="n"/>
      <c r="H456" s="257" t="n">
        <v>31500</v>
      </c>
      <c r="I456" s="258" t="n">
        <v>31500</v>
      </c>
      <c r="J456" s="258" t="n"/>
      <c r="K456" s="233" t="n"/>
      <c r="L456" s="233" t="n">
        <v>7800</v>
      </c>
      <c r="M456" s="156" t="n"/>
    </row>
    <row r="457" ht="15.75" customHeight="1" s="153">
      <c r="A457" s="227" t="n">
        <v>46165</v>
      </c>
      <c r="B457" s="228" t="inlineStr">
        <is>
          <t>COSTA ESTE 1980</t>
        </is>
      </c>
      <c r="C457" s="229" t="n">
        <v>3</v>
      </c>
      <c r="D457" s="229" t="n"/>
      <c r="E457" s="229" t="n"/>
      <c r="F457" s="230" t="n"/>
      <c r="G457" s="230" t="n"/>
      <c r="H457" s="257" t="n">
        <v>84000</v>
      </c>
      <c r="I457" s="258" t="n">
        <v>84000</v>
      </c>
      <c r="J457" s="258" t="n"/>
      <c r="K457" s="233" t="n"/>
      <c r="L457" s="233" t="n">
        <v>36600</v>
      </c>
      <c r="M457" s="156" t="n"/>
    </row>
    <row r="458" ht="15.75" customHeight="1" s="153">
      <c r="A458" s="227" t="n"/>
      <c r="B458" s="228" t="inlineStr">
        <is>
          <t>ROTI ARISTÓBULO</t>
        </is>
      </c>
      <c r="C458" s="229" t="n">
        <v>1</v>
      </c>
      <c r="D458" s="229" t="n">
        <v>1</v>
      </c>
      <c r="E458" s="229" t="n"/>
      <c r="F458" s="230" t="n"/>
      <c r="G458" s="230" t="n"/>
      <c r="H458" s="257" t="n">
        <v>61000</v>
      </c>
      <c r="I458" s="258" t="n"/>
      <c r="J458" s="258" t="n">
        <v>61000</v>
      </c>
      <c r="K458" s="233" t="n"/>
      <c r="L458" s="233" t="n">
        <v>21500</v>
      </c>
      <c r="M458" s="156" t="n"/>
    </row>
    <row r="459" ht="15.75" customHeight="1" s="153">
      <c r="A459" s="227" t="n"/>
      <c r="B459" s="228" t="inlineStr">
        <is>
          <t>EUROPA 9369</t>
        </is>
      </c>
      <c r="C459" s="229" t="n"/>
      <c r="D459" s="229" t="n"/>
      <c r="E459" s="229" t="n">
        <v>1</v>
      </c>
      <c r="F459" s="230" t="n"/>
      <c r="G459" s="230" t="n"/>
      <c r="H459" s="257" t="n">
        <v>93000</v>
      </c>
      <c r="I459" s="258" t="n"/>
      <c r="J459" s="258" t="n">
        <v>93000</v>
      </c>
      <c r="K459" s="233" t="n"/>
      <c r="L459" s="233" t="n">
        <v>31000</v>
      </c>
      <c r="M459" s="156" t="n"/>
    </row>
    <row r="460" ht="15.75" customHeight="1" s="153">
      <c r="A460" s="227" t="n"/>
      <c r="B460" s="228" t="inlineStr">
        <is>
          <t>QUINTANA 2815</t>
        </is>
      </c>
      <c r="C460" s="229" t="n">
        <v>1</v>
      </c>
      <c r="D460" s="229" t="n"/>
      <c r="E460" s="229" t="n"/>
      <c r="F460" s="230" t="n"/>
      <c r="G460" s="230" t="n"/>
      <c r="H460" s="257" t="n">
        <v>26000</v>
      </c>
      <c r="I460" s="258" t="n">
        <v>26000</v>
      </c>
      <c r="J460" s="258" t="n"/>
      <c r="K460" s="233" t="n"/>
      <c r="L460" s="233" t="n">
        <v>10200</v>
      </c>
      <c r="M460" s="156" t="n"/>
    </row>
    <row r="461" ht="15.75" customHeight="1" s="153">
      <c r="A461" s="227" t="n"/>
      <c r="B461" s="228" t="inlineStr">
        <is>
          <t>PAVÓN 3435</t>
        </is>
      </c>
      <c r="C461" s="229" t="n"/>
      <c r="D461" s="229" t="n">
        <v>1</v>
      </c>
      <c r="E461" s="229" t="n"/>
      <c r="F461" s="230" t="n"/>
      <c r="G461" s="230" t="n"/>
      <c r="H461" s="257" t="n">
        <v>36000</v>
      </c>
      <c r="I461" s="258" t="n">
        <v>36000</v>
      </c>
      <c r="J461" s="258" t="n"/>
      <c r="K461" s="233" t="n"/>
      <c r="L461" s="233" t="n">
        <v>12300</v>
      </c>
      <c r="M461" s="156" t="n"/>
    </row>
    <row r="462" ht="15.75" customHeight="1" s="153">
      <c r="A462" s="227" t="n"/>
      <c r="B462" s="228" t="inlineStr">
        <is>
          <t>ARENALES 10625</t>
        </is>
      </c>
      <c r="C462" s="229" t="n">
        <v>2</v>
      </c>
      <c r="D462" s="229" t="n"/>
      <c r="E462" s="229" t="n"/>
      <c r="F462" s="230" t="n"/>
      <c r="G462" s="230" t="n"/>
      <c r="H462" s="257" t="n">
        <v>40000</v>
      </c>
      <c r="I462" s="258" t="n"/>
      <c r="J462" s="258" t="n">
        <v>40000</v>
      </c>
      <c r="K462" s="233" t="n"/>
      <c r="L462" s="233" t="n">
        <v>8400</v>
      </c>
      <c r="M462" s="156" t="n"/>
    </row>
    <row r="463" ht="15.75" customHeight="1" s="153">
      <c r="A463" s="227" t="n"/>
      <c r="B463" s="228" t="inlineStr">
        <is>
          <t>URQUIZA 5887</t>
        </is>
      </c>
      <c r="C463" s="229" t="n">
        <v>1</v>
      </c>
      <c r="D463" s="229" t="n"/>
      <c r="E463" s="229" t="n"/>
      <c r="F463" s="230" t="n"/>
      <c r="G463" s="230" t="n"/>
      <c r="H463" s="257" t="n">
        <v>26000</v>
      </c>
      <c r="I463" s="258" t="n">
        <v>26000</v>
      </c>
      <c r="J463" s="258" t="n"/>
      <c r="K463" s="233" t="n"/>
      <c r="L463" s="233" t="n">
        <v>10200</v>
      </c>
      <c r="M463" s="156" t="n"/>
    </row>
    <row r="464" ht="15.75" customHeight="1" s="153">
      <c r="A464" s="227" t="n"/>
      <c r="B464" s="228" t="inlineStr">
        <is>
          <t>AGUADO 6970</t>
        </is>
      </c>
      <c r="C464" s="229" t="n">
        <v>1</v>
      </c>
      <c r="D464" s="229" t="n"/>
      <c r="E464" s="229" t="n"/>
      <c r="F464" s="230" t="n"/>
      <c r="G464" s="230" t="n"/>
      <c r="H464" s="257" t="n">
        <v>26000</v>
      </c>
      <c r="I464" s="258" t="n">
        <v>26000</v>
      </c>
      <c r="J464" s="258" t="n"/>
      <c r="K464" s="233" t="n"/>
      <c r="L464" s="233" t="n">
        <v>10200</v>
      </c>
      <c r="M464" s="156" t="n"/>
    </row>
    <row r="465" ht="15.75" customHeight="1" s="153">
      <c r="A465" s="227" t="n"/>
      <c r="B465" s="228" t="inlineStr">
        <is>
          <t>PEDRONI 6521</t>
        </is>
      </c>
      <c r="C465" s="229" t="n">
        <v>2</v>
      </c>
      <c r="D465" s="229" t="n"/>
      <c r="E465" s="229" t="n"/>
      <c r="F465" s="230" t="n"/>
      <c r="G465" s="230" t="n"/>
      <c r="H465" s="257" t="n">
        <v>40000</v>
      </c>
      <c r="I465" s="258" t="n">
        <v>40000</v>
      </c>
      <c r="J465" s="258" t="n"/>
      <c r="K465" s="233" t="n"/>
      <c r="L465" s="233" t="n">
        <v>8400</v>
      </c>
      <c r="M465" s="156" t="n"/>
    </row>
    <row r="466" ht="15.75" customHeight="1" s="153">
      <c r="A466" s="227" t="n"/>
      <c r="B466" s="228" t="inlineStr">
        <is>
          <t>AZCUENAGA 6551</t>
        </is>
      </c>
      <c r="C466" s="229" t="n">
        <v>2</v>
      </c>
      <c r="D466" s="229" t="n"/>
      <c r="E466" s="229" t="n"/>
      <c r="F466" s="230" t="n"/>
      <c r="G466" s="230" t="n"/>
      <c r="H466" s="257" t="n">
        <v>40000</v>
      </c>
      <c r="I466" s="258" t="n">
        <v>40000</v>
      </c>
      <c r="J466" s="258" t="n"/>
      <c r="K466" s="233" t="n"/>
      <c r="L466" s="233" t="n">
        <v>8400</v>
      </c>
      <c r="M466" s="156" t="n"/>
    </row>
    <row r="467" ht="15.75" customHeight="1" s="153">
      <c r="A467" s="227" t="n"/>
      <c r="B467" s="228" t="inlineStr">
        <is>
          <t>LUCHO</t>
        </is>
      </c>
      <c r="C467" s="229" t="n">
        <v>5</v>
      </c>
      <c r="D467" s="229" t="n"/>
      <c r="E467" s="229" t="n"/>
      <c r="F467" s="230" t="n"/>
      <c r="G467" s="230" t="n"/>
      <c r="H467" s="257" t="n">
        <v>100000</v>
      </c>
      <c r="I467" s="258" t="n">
        <v>100000</v>
      </c>
      <c r="J467" s="258" t="n"/>
      <c r="K467" s="233" t="n"/>
      <c r="L467" s="233" t="n">
        <v>21000</v>
      </c>
      <c r="M467" s="156" t="n"/>
    </row>
    <row r="468" ht="15.75" customHeight="1" s="153">
      <c r="A468" s="227" t="n"/>
      <c r="B468" s="228" t="inlineStr">
        <is>
          <t>LOS PRIMOS</t>
        </is>
      </c>
      <c r="C468" s="229" t="n">
        <v>2</v>
      </c>
      <c r="D468" s="229" t="n"/>
      <c r="E468" s="229" t="n"/>
      <c r="F468" s="230" t="n"/>
      <c r="G468" s="230" t="n"/>
      <c r="H468" s="257" t="n">
        <v>54000</v>
      </c>
      <c r="I468" s="258" t="n">
        <v>54000</v>
      </c>
      <c r="J468" s="258" t="n"/>
      <c r="K468" s="233" t="n"/>
      <c r="L468" s="233" t="n">
        <v>22400</v>
      </c>
      <c r="M468" s="156" t="n"/>
    </row>
    <row r="469" ht="15.75" customHeight="1" s="153">
      <c r="A469" s="227" t="n"/>
      <c r="B469" s="228" t="inlineStr">
        <is>
          <t>PEÑALOZA 9757</t>
        </is>
      </c>
      <c r="C469" s="229" t="n">
        <v>1</v>
      </c>
      <c r="D469" s="229" t="n"/>
      <c r="E469" s="229" t="n"/>
      <c r="F469" s="230" t="n"/>
      <c r="G469" s="230" t="n"/>
      <c r="H469" s="257" t="n">
        <v>26000</v>
      </c>
      <c r="I469" s="258" t="n">
        <v>26000</v>
      </c>
      <c r="J469" s="258" t="n"/>
      <c r="K469" s="233" t="n"/>
      <c r="L469" s="233" t="n">
        <v>10200</v>
      </c>
      <c r="M469" s="156" t="n"/>
    </row>
    <row r="470" ht="15.75" customHeight="1" s="153">
      <c r="A470" s="227" t="n"/>
      <c r="B470" s="228" t="inlineStr">
        <is>
          <t>ZAPATA GOLLAN 8107</t>
        </is>
      </c>
      <c r="C470" s="229" t="n">
        <v>1</v>
      </c>
      <c r="D470" s="229" t="n"/>
      <c r="E470" s="229" t="n"/>
      <c r="F470" s="230" t="n"/>
      <c r="G470" s="230" t="n"/>
      <c r="H470" s="257" t="n">
        <v>26000</v>
      </c>
      <c r="I470" s="258" t="n"/>
      <c r="J470" s="258" t="n">
        <v>26000</v>
      </c>
      <c r="K470" s="233" t="n"/>
      <c r="L470" s="233" t="n">
        <v>10200</v>
      </c>
      <c r="M470" s="156" t="n"/>
    </row>
    <row r="471" ht="15.75" customHeight="1" s="153">
      <c r="A471" s="227" t="n"/>
      <c r="B471" s="228" t="inlineStr">
        <is>
          <t>PORTON</t>
        </is>
      </c>
      <c r="C471" s="229" t="n">
        <v>1</v>
      </c>
      <c r="D471" s="229" t="n"/>
      <c r="E471" s="229" t="n"/>
      <c r="F471" s="230" t="n"/>
      <c r="G471" s="230" t="n"/>
      <c r="H471" s="257" t="n">
        <v>23000</v>
      </c>
      <c r="I471" s="258" t="n">
        <v>23000</v>
      </c>
      <c r="J471" s="258" t="n"/>
      <c r="K471" s="233" t="n"/>
      <c r="L471" s="233" t="n">
        <v>7200</v>
      </c>
      <c r="M471" s="156" t="n"/>
    </row>
    <row r="472" ht="15.75" customHeight="1" s="153">
      <c r="A472" s="227" t="n"/>
      <c r="B472" s="228" t="inlineStr">
        <is>
          <t>DOMINGO SILVA 4217</t>
        </is>
      </c>
      <c r="C472" s="229" t="n">
        <v>2</v>
      </c>
      <c r="D472" s="229" t="n"/>
      <c r="E472" s="229" t="n"/>
      <c r="F472" s="230" t="n"/>
      <c r="G472" s="230" t="n"/>
      <c r="H472" s="257" t="n">
        <v>40000</v>
      </c>
      <c r="I472" s="258" t="n">
        <v>40000</v>
      </c>
      <c r="J472" s="258" t="n"/>
      <c r="K472" s="233" t="n"/>
      <c r="L472" s="233" t="n">
        <v>8400</v>
      </c>
      <c r="M472" s="156" t="n"/>
    </row>
    <row r="473" ht="15.75" customHeight="1" s="153">
      <c r="A473" s="227" t="n"/>
      <c r="B473" s="228" t="inlineStr">
        <is>
          <t>EUROPA 10419</t>
        </is>
      </c>
      <c r="C473" s="229" t="n">
        <v>2</v>
      </c>
      <c r="D473" s="229" t="n"/>
      <c r="E473" s="229" t="n"/>
      <c r="F473" s="230" t="n"/>
      <c r="G473" s="230" t="n"/>
      <c r="H473" s="257" t="n">
        <v>52000</v>
      </c>
      <c r="I473" s="258" t="n"/>
      <c r="J473" s="258" t="n">
        <v>52000</v>
      </c>
      <c r="K473" s="233" t="n"/>
      <c r="L473" s="233" t="n">
        <v>20400</v>
      </c>
      <c r="M473" s="156" t="n"/>
    </row>
    <row r="474" ht="15.75" customHeight="1" s="153">
      <c r="A474" s="227" t="n"/>
      <c r="B474" s="228" t="inlineStr">
        <is>
          <t>TROPPO</t>
        </is>
      </c>
      <c r="C474" s="229" t="n">
        <v>5</v>
      </c>
      <c r="D474" s="229" t="n"/>
      <c r="E474" s="229" t="n"/>
      <c r="F474" s="230" t="n"/>
      <c r="G474" s="230" t="n"/>
      <c r="H474" s="257" t="n">
        <v>135000</v>
      </c>
      <c r="I474" s="258" t="n">
        <v>135000</v>
      </c>
      <c r="J474" s="258" t="n"/>
      <c r="K474" s="233" t="n"/>
      <c r="L474" s="233" t="n">
        <v>56000</v>
      </c>
      <c r="M474" s="156" t="n"/>
    </row>
    <row r="475" ht="15.75" customHeight="1" s="153">
      <c r="A475" s="227" t="n"/>
      <c r="B475" s="228" t="inlineStr">
        <is>
          <t>SANTA BAR 1 MAYO 1959</t>
        </is>
      </c>
      <c r="C475" s="229" t="n"/>
      <c r="D475" s="229" t="n"/>
      <c r="E475" s="229" t="n">
        <v>1</v>
      </c>
      <c r="F475" s="230" t="n"/>
      <c r="G475" s="230" t="n"/>
      <c r="H475" s="257" t="n">
        <v>88000</v>
      </c>
      <c r="I475" s="258" t="n"/>
      <c r="J475" s="258" t="n">
        <v>88000</v>
      </c>
      <c r="K475" s="233" t="n"/>
      <c r="L475" s="233" t="n">
        <v>26000</v>
      </c>
      <c r="M475" s="156" t="n"/>
    </row>
    <row r="476" ht="15.75" customHeight="1" s="153">
      <c r="A476" s="227" t="n"/>
      <c r="B476" s="228" t="inlineStr">
        <is>
          <t>GOLD BURGER</t>
        </is>
      </c>
      <c r="C476" s="229" t="n">
        <v>5</v>
      </c>
      <c r="D476" s="229" t="n"/>
      <c r="E476" s="229" t="n"/>
      <c r="F476" s="230" t="n"/>
      <c r="G476" s="230" t="n"/>
      <c r="H476" s="257" t="n">
        <v>135000</v>
      </c>
      <c r="I476" s="258" t="n">
        <v>135000</v>
      </c>
      <c r="J476" s="258" t="n"/>
      <c r="K476" s="233" t="n"/>
      <c r="L476" s="233" t="n">
        <v>56000</v>
      </c>
      <c r="M476" s="156" t="n"/>
    </row>
    <row r="477" ht="15.75" customHeight="1" s="153">
      <c r="A477" s="227" t="n"/>
      <c r="B477" s="228" t="inlineStr">
        <is>
          <t>IRALA 2865</t>
        </is>
      </c>
      <c r="C477" s="229" t="n">
        <v>1</v>
      </c>
      <c r="D477" s="229" t="n"/>
      <c r="E477" s="229" t="n"/>
      <c r="F477" s="230" t="n"/>
      <c r="G477" s="230" t="n"/>
      <c r="H477" s="257" t="n">
        <v>26000</v>
      </c>
      <c r="I477" s="258" t="n"/>
      <c r="J477" s="258" t="n">
        <v>26000</v>
      </c>
      <c r="K477" s="233" t="n"/>
      <c r="L477" s="233" t="n">
        <v>10200</v>
      </c>
      <c r="M477" s="156" t="n"/>
    </row>
    <row r="478" ht="15.75" customHeight="1" s="153">
      <c r="A478" s="227" t="n"/>
      <c r="B478" s="228" t="inlineStr">
        <is>
          <t>PANADERO DAVID</t>
        </is>
      </c>
      <c r="C478" s="229" t="n">
        <v>1</v>
      </c>
      <c r="D478" s="229" t="n"/>
      <c r="E478" s="229" t="n"/>
      <c r="F478" s="230" t="n"/>
      <c r="G478" s="230" t="n"/>
      <c r="H478" s="257" t="n">
        <v>23000</v>
      </c>
      <c r="I478" s="258" t="n">
        <v>23000</v>
      </c>
      <c r="J478" s="258" t="n"/>
      <c r="K478" s="233" t="n"/>
      <c r="L478" s="233" t="n">
        <v>7200</v>
      </c>
      <c r="M478" s="156" t="n"/>
    </row>
    <row r="479" ht="15.75" customHeight="1" s="153">
      <c r="A479" s="227" t="n"/>
      <c r="B479" s="228" t="inlineStr">
        <is>
          <t>BELGRANO 6248</t>
        </is>
      </c>
      <c r="C479" s="229" t="n">
        <v>1</v>
      </c>
      <c r="D479" s="229" t="n"/>
      <c r="E479" s="229" t="n"/>
      <c r="F479" s="230" t="n"/>
      <c r="G479" s="230" t="n"/>
      <c r="H479" s="257" t="n">
        <v>26000</v>
      </c>
      <c r="I479" s="258" t="n"/>
      <c r="J479" s="258" t="n">
        <v>26000</v>
      </c>
      <c r="K479" s="233" t="n"/>
      <c r="L479" s="233" t="n">
        <v>10200</v>
      </c>
      <c r="M479" s="156" t="n"/>
    </row>
    <row r="480" ht="15.75" customHeight="1" s="153">
      <c r="A480" s="227" t="n"/>
      <c r="B480" s="228" t="inlineStr">
        <is>
          <t>SAVEDRA 2799</t>
        </is>
      </c>
      <c r="C480" s="229" t="n">
        <v>1</v>
      </c>
      <c r="D480" s="229" t="n"/>
      <c r="E480" s="229" t="n"/>
      <c r="F480" s="230" t="n"/>
      <c r="G480" s="230" t="n"/>
      <c r="H480" s="257" t="n">
        <v>27500</v>
      </c>
      <c r="I480" s="258" t="n">
        <v>27500</v>
      </c>
      <c r="J480" s="258" t="n"/>
      <c r="K480" s="233" t="n"/>
      <c r="L480" s="233" t="n">
        <v>11700</v>
      </c>
      <c r="M480" s="156" t="n"/>
    </row>
    <row r="481" ht="15.75" customHeight="1" s="153">
      <c r="A481" s="227" t="n"/>
      <c r="B481" s="228" t="inlineStr">
        <is>
          <t>BERNARDO IRIGOYEN 6534</t>
        </is>
      </c>
      <c r="C481" s="229" t="n">
        <v>1</v>
      </c>
      <c r="D481" s="229" t="n"/>
      <c r="E481" s="229" t="n"/>
      <c r="F481" s="230" t="n"/>
      <c r="G481" s="230" t="n"/>
      <c r="H481" s="257" t="n">
        <v>26000</v>
      </c>
      <c r="I481" s="258" t="n">
        <v>26000</v>
      </c>
      <c r="J481" s="258" t="n"/>
      <c r="K481" s="233" t="n"/>
      <c r="L481" s="233" t="n">
        <v>10200</v>
      </c>
      <c r="M481" s="156" t="n"/>
    </row>
    <row r="482" ht="15.75" customHeight="1" s="153">
      <c r="A482" s="227" t="n"/>
      <c r="B482" s="228" t="inlineStr">
        <is>
          <t>SANDRA</t>
        </is>
      </c>
      <c r="C482" s="229" t="n">
        <v>1</v>
      </c>
      <c r="D482" s="229" t="n"/>
      <c r="E482" s="229" t="n"/>
      <c r="F482" s="230" t="n"/>
      <c r="G482" s="230" t="n"/>
      <c r="H482" s="257" t="n">
        <v>19500</v>
      </c>
      <c r="I482" s="258" t="n">
        <v>19500</v>
      </c>
      <c r="J482" s="258" t="n"/>
      <c r="K482" s="233" t="n"/>
      <c r="L482" s="233" t="n">
        <v>3700</v>
      </c>
      <c r="M482" s="156" t="n"/>
    </row>
    <row r="483" ht="15.75" customHeight="1" s="153">
      <c r="A483" s="227" t="n"/>
      <c r="B483" s="228" t="inlineStr">
        <is>
          <t>PANA VIEYTES 4500</t>
        </is>
      </c>
      <c r="C483" s="229" t="n"/>
      <c r="D483" s="229" t="n"/>
      <c r="E483" s="229" t="n">
        <v>1</v>
      </c>
      <c r="F483" s="230" t="n"/>
      <c r="G483" s="230" t="n"/>
      <c r="H483" s="257" t="n">
        <v>81000</v>
      </c>
      <c r="I483" s="258" t="n"/>
      <c r="J483" s="258" t="n">
        <v>81000</v>
      </c>
      <c r="K483" s="233" t="n"/>
      <c r="L483" s="233" t="n">
        <v>19000</v>
      </c>
      <c r="M483" s="156" t="n"/>
    </row>
    <row r="484" ht="15.75" customHeight="1" s="153">
      <c r="A484" s="227" t="n"/>
      <c r="B484" s="228" t="inlineStr">
        <is>
          <t>ARGENTA</t>
        </is>
      </c>
      <c r="C484" s="229" t="n">
        <v>1</v>
      </c>
      <c r="D484" s="229" t="n"/>
      <c r="E484" s="229" t="n"/>
      <c r="F484" s="230" t="n"/>
      <c r="G484" s="230" t="n"/>
      <c r="H484" s="257" t="n">
        <v>27000</v>
      </c>
      <c r="I484" s="258" t="n"/>
      <c r="J484" s="258" t="n">
        <v>27000</v>
      </c>
      <c r="K484" s="233" t="n"/>
      <c r="L484" s="233" t="n">
        <v>11200</v>
      </c>
      <c r="M484" s="156" t="n"/>
    </row>
    <row r="485" ht="15.75" customHeight="1" s="153">
      <c r="A485" s="227" t="n"/>
      <c r="B485" s="228" t="inlineStr">
        <is>
          <t>LA MADRID 7500</t>
        </is>
      </c>
      <c r="C485" s="229" t="n">
        <v>1</v>
      </c>
      <c r="D485" s="229" t="n"/>
      <c r="E485" s="229" t="n"/>
      <c r="F485" s="230" t="n"/>
      <c r="G485" s="230" t="n"/>
      <c r="H485" s="257" t="n">
        <v>26000</v>
      </c>
      <c r="I485" s="258" t="n"/>
      <c r="J485" s="258" t="n">
        <v>26000</v>
      </c>
      <c r="K485" s="233" t="n"/>
      <c r="L485" s="233" t="n">
        <v>10200</v>
      </c>
      <c r="M485" s="156" t="n"/>
    </row>
    <row r="486" ht="15.75" customHeight="1" s="153">
      <c r="A486" s="227" t="n"/>
      <c r="B486" s="228" t="inlineStr">
        <is>
          <t>LA CUEVA</t>
        </is>
      </c>
      <c r="C486" s="229" t="n"/>
      <c r="D486" s="229" t="n">
        <v>1</v>
      </c>
      <c r="E486" s="229" t="n"/>
      <c r="F486" s="230" t="n"/>
      <c r="G486" s="230" t="n"/>
      <c r="H486" s="257" t="n">
        <v>34000</v>
      </c>
      <c r="I486" s="258" t="n"/>
      <c r="J486" s="258" t="n">
        <v>34000</v>
      </c>
      <c r="K486" s="233" t="n"/>
      <c r="L486" s="233" t="n">
        <v>10300</v>
      </c>
      <c r="M486" s="156" t="n"/>
    </row>
    <row r="487" ht="15.75" customHeight="1" s="153">
      <c r="A487" s="227" t="n"/>
      <c r="B487" s="228" t="inlineStr">
        <is>
          <t>CASANELLO 3463</t>
        </is>
      </c>
      <c r="C487" s="229" t="n">
        <v>1</v>
      </c>
      <c r="D487" s="229" t="n"/>
      <c r="E487" s="229" t="n"/>
      <c r="F487" s="230" t="n"/>
      <c r="G487" s="230" t="n"/>
      <c r="H487" s="257" t="n">
        <v>26000</v>
      </c>
      <c r="I487" s="258" t="n"/>
      <c r="J487" s="258" t="n">
        <v>26000</v>
      </c>
      <c r="K487" s="233" t="n"/>
      <c r="L487" s="233" t="n">
        <v>10200</v>
      </c>
      <c r="M487" s="156" t="n"/>
    </row>
    <row r="488" ht="15.75" customHeight="1" s="153">
      <c r="A488" s="227" t="n"/>
      <c r="B488" s="228" t="inlineStr">
        <is>
          <t>PARAISOS 3491</t>
        </is>
      </c>
      <c r="C488" s="229" t="n"/>
      <c r="D488" s="229" t="n"/>
      <c r="E488" s="229" t="n">
        <v>1</v>
      </c>
      <c r="F488" s="230" t="n"/>
      <c r="G488" s="230" t="n"/>
      <c r="H488" s="257" t="n">
        <v>91000</v>
      </c>
      <c r="I488" s="258" t="n"/>
      <c r="J488" s="258" t="n">
        <v>91000</v>
      </c>
      <c r="K488" s="233" t="n"/>
      <c r="L488" s="233" t="n">
        <v>29000</v>
      </c>
      <c r="M488" s="156" t="n"/>
    </row>
    <row r="489" ht="15.75" customHeight="1" s="153">
      <c r="A489" s="227" t="n"/>
      <c r="B489" s="228" t="inlineStr">
        <is>
          <t>EUROPA 6856</t>
        </is>
      </c>
      <c r="C489" s="229" t="n">
        <v>1</v>
      </c>
      <c r="D489" s="229" t="n"/>
      <c r="E489" s="229" t="n"/>
      <c r="F489" s="230" t="n"/>
      <c r="G489" s="230" t="n"/>
      <c r="H489" s="257" t="n">
        <v>26000</v>
      </c>
      <c r="I489" s="258" t="n">
        <v>26000</v>
      </c>
      <c r="J489" s="258" t="n"/>
      <c r="K489" s="233" t="n"/>
      <c r="L489" s="233" t="n">
        <v>10200</v>
      </c>
      <c r="M489" s="156" t="n"/>
    </row>
    <row r="490" ht="15.75" customHeight="1" s="153">
      <c r="A490" s="227" t="n"/>
      <c r="B490" s="228" t="inlineStr">
        <is>
          <t>ROTI VIEYTES</t>
        </is>
      </c>
      <c r="C490" s="229" t="n"/>
      <c r="D490" s="229" t="n">
        <v>1</v>
      </c>
      <c r="E490" s="229" t="n"/>
      <c r="F490" s="230" t="n"/>
      <c r="G490" s="230" t="n"/>
      <c r="H490" s="257" t="n">
        <v>32000</v>
      </c>
      <c r="I490" s="258" t="n"/>
      <c r="J490" s="258" t="n">
        <v>32000</v>
      </c>
      <c r="K490" s="233" t="n"/>
      <c r="L490" s="233" t="n">
        <v>8300</v>
      </c>
      <c r="M490" s="156" t="n"/>
    </row>
    <row r="491" ht="15.75" customHeight="1" s="153">
      <c r="A491" s="227" t="n"/>
      <c r="B491" s="228" t="inlineStr">
        <is>
          <t>DANA</t>
        </is>
      </c>
      <c r="C491" s="229" t="n">
        <v>4</v>
      </c>
      <c r="D491" s="229" t="n">
        <v>1</v>
      </c>
      <c r="E491" s="229" t="n"/>
      <c r="F491" s="230" t="n"/>
      <c r="G491" s="230" t="n"/>
      <c r="H491" s="257" t="n">
        <v>111000</v>
      </c>
      <c r="I491" s="258" t="n"/>
      <c r="J491" s="258" t="n">
        <v>111000</v>
      </c>
      <c r="K491" s="233" t="n"/>
      <c r="L491" s="233" t="n">
        <v>24100</v>
      </c>
      <c r="M491" s="156" t="n"/>
    </row>
    <row r="492" ht="15.75" customHeight="1" s="153">
      <c r="A492" s="227" t="n">
        <v>46166</v>
      </c>
      <c r="B492" s="228" t="inlineStr">
        <is>
          <t>FILOMENA</t>
        </is>
      </c>
      <c r="C492" s="229" t="n">
        <v>2</v>
      </c>
      <c r="D492" s="229" t="n"/>
      <c r="E492" s="229" t="n"/>
      <c r="F492" s="230" t="n"/>
      <c r="G492" s="230" t="n"/>
      <c r="H492" s="257" t="n">
        <v>49000</v>
      </c>
      <c r="I492" s="258" t="n"/>
      <c r="J492" s="258" t="n">
        <v>49000</v>
      </c>
      <c r="K492" s="233" t="n"/>
      <c r="L492" s="233" t="n">
        <v>17400</v>
      </c>
      <c r="M492" s="156" t="n"/>
    </row>
    <row r="493" ht="15.75" customHeight="1" s="153">
      <c r="A493" s="227" t="n"/>
      <c r="B493" s="228" t="inlineStr">
        <is>
          <t>ROTI SAN JUAN 6363</t>
        </is>
      </c>
      <c r="C493" s="229" t="n"/>
      <c r="D493" s="229" t="n">
        <v>1</v>
      </c>
      <c r="E493" s="229" t="n"/>
      <c r="F493" s="230" t="n"/>
      <c r="G493" s="230" t="n"/>
      <c r="H493" s="257" t="n">
        <v>34000</v>
      </c>
      <c r="I493" s="258" t="n"/>
      <c r="J493" s="258" t="n">
        <v>34000</v>
      </c>
      <c r="K493" s="233" t="n"/>
      <c r="L493" s="233" t="n">
        <v>10300</v>
      </c>
      <c r="M493" s="156" t="n"/>
    </row>
    <row r="494" ht="15.75" customHeight="1" s="153">
      <c r="A494" s="227" t="n"/>
      <c r="B494" s="228" t="inlineStr">
        <is>
          <t>ALBERDI 4262</t>
        </is>
      </c>
      <c r="C494" s="229" t="n">
        <v>1</v>
      </c>
      <c r="D494" s="229" t="n"/>
      <c r="E494" s="229" t="n"/>
      <c r="F494" s="230" t="n"/>
      <c r="G494" s="230" t="n"/>
      <c r="H494" s="257" t="n">
        <v>27000</v>
      </c>
      <c r="I494" s="258" t="n">
        <v>27000</v>
      </c>
      <c r="J494" s="258" t="n"/>
      <c r="K494" s="233" t="n"/>
      <c r="L494" s="233" t="n">
        <v>11200</v>
      </c>
      <c r="M494" s="156" t="n"/>
    </row>
    <row r="495" ht="15.75" customHeight="1" s="153">
      <c r="A495" s="227" t="n"/>
      <c r="B495" s="228" t="inlineStr">
        <is>
          <t>PORKIS</t>
        </is>
      </c>
      <c r="C495" s="229" t="n">
        <v>1</v>
      </c>
      <c r="D495" s="229" t="n"/>
      <c r="E495" s="229" t="n"/>
      <c r="F495" s="230" t="n"/>
      <c r="G495" s="230" t="n"/>
      <c r="H495" s="257" t="n">
        <v>24000</v>
      </c>
      <c r="I495" s="258" t="n"/>
      <c r="J495" s="258" t="n">
        <v>24000</v>
      </c>
      <c r="K495" s="233" t="n"/>
      <c r="L495" s="233" t="n">
        <v>8200</v>
      </c>
      <c r="M495" s="156" t="n"/>
    </row>
    <row r="496" ht="15.75" customHeight="1" s="153">
      <c r="A496" s="227" t="n"/>
      <c r="B496" s="228" t="inlineStr">
        <is>
          <t>MISIONES 2146</t>
        </is>
      </c>
      <c r="C496" s="229" t="n"/>
      <c r="D496" s="229" t="n"/>
      <c r="E496" s="229" t="n">
        <v>1</v>
      </c>
      <c r="F496" s="230" t="n"/>
      <c r="G496" s="230" t="n"/>
      <c r="H496" s="257" t="n">
        <v>91000</v>
      </c>
      <c r="I496" s="258" t="n">
        <v>91000</v>
      </c>
      <c r="J496" s="258" t="n"/>
      <c r="K496" s="233" t="n"/>
      <c r="L496" s="233" t="n">
        <v>29000</v>
      </c>
      <c r="M496" s="156" t="n"/>
    </row>
    <row r="497" ht="15.75" customHeight="1" s="153">
      <c r="A497" s="227" t="n"/>
      <c r="B497" s="228" t="inlineStr">
        <is>
          <t>CALLEJON AGUIRRE 1974</t>
        </is>
      </c>
      <c r="C497" s="229" t="n"/>
      <c r="D497" s="229" t="n"/>
      <c r="E497" s="229" t="n">
        <v>1</v>
      </c>
      <c r="F497" s="230" t="n"/>
      <c r="G497" s="230" t="n"/>
      <c r="H497" s="257" t="n">
        <v>91000</v>
      </c>
      <c r="I497" s="258" t="n"/>
      <c r="J497" s="258" t="n">
        <v>91000</v>
      </c>
      <c r="K497" s="233" t="n"/>
      <c r="L497" s="233" t="n">
        <v>29000</v>
      </c>
      <c r="M497" s="156" t="n"/>
    </row>
    <row r="498" ht="15.75" customHeight="1" s="153">
      <c r="A498" s="227" t="n"/>
      <c r="B498" s="228" t="inlineStr">
        <is>
          <t>GISE PANA</t>
        </is>
      </c>
      <c r="C498" s="229" t="n">
        <v>1</v>
      </c>
      <c r="D498" s="229" t="n"/>
      <c r="E498" s="229" t="n"/>
      <c r="F498" s="230" t="n">
        <v>2</v>
      </c>
      <c r="G498" s="230" t="n"/>
      <c r="H498" s="257" t="n">
        <v>31500</v>
      </c>
      <c r="I498" s="258" t="n"/>
      <c r="J498" s="258" t="n">
        <v>31500</v>
      </c>
      <c r="K498" s="233" t="n"/>
      <c r="L498" s="233" t="n">
        <v>11100</v>
      </c>
      <c r="M498" s="156" t="n"/>
    </row>
    <row r="499" ht="15.75" customHeight="1" s="153">
      <c r="A499" s="227" t="n"/>
      <c r="B499" s="228" t="inlineStr">
        <is>
          <t>PANA GENESIO</t>
        </is>
      </c>
      <c r="C499" s="229" t="n"/>
      <c r="D499" s="229" t="n"/>
      <c r="E499" s="229" t="n">
        <v>1</v>
      </c>
      <c r="F499" s="230" t="n"/>
      <c r="G499" s="230" t="n"/>
      <c r="H499" s="257" t="n">
        <v>79000</v>
      </c>
      <c r="I499" s="258" t="n">
        <v>79000</v>
      </c>
      <c r="J499" s="258" t="n"/>
      <c r="K499" s="233" t="n"/>
      <c r="L499" s="233" t="n">
        <v>17000</v>
      </c>
      <c r="M499" s="156" t="n"/>
    </row>
    <row r="500" ht="15.75" customHeight="1" s="153">
      <c r="A500" s="227" t="n"/>
      <c r="B500" s="228" t="inlineStr">
        <is>
          <t>PAVON 2946</t>
        </is>
      </c>
      <c r="C500" s="229" t="n">
        <v>1</v>
      </c>
      <c r="D500" s="229" t="n"/>
      <c r="E500" s="229" t="n"/>
      <c r="F500" s="230" t="n"/>
      <c r="G500" s="230" t="n"/>
      <c r="H500" s="257" t="n">
        <v>26000</v>
      </c>
      <c r="I500" s="258" t="n"/>
      <c r="J500" s="258" t="n">
        <v>26000</v>
      </c>
      <c r="K500" s="233" t="n"/>
      <c r="L500" s="233" t="n">
        <v>10200</v>
      </c>
      <c r="M500" s="156" t="n"/>
    </row>
    <row r="501" ht="21.75" customHeight="1" s="153">
      <c r="A501" s="227" t="n"/>
      <c r="B501" s="228" t="inlineStr">
        <is>
          <t>TROPPO</t>
        </is>
      </c>
      <c r="C501" s="229" t="n">
        <v>5</v>
      </c>
      <c r="D501" s="229" t="n"/>
      <c r="E501" s="229" t="n"/>
      <c r="F501" s="230" t="n"/>
      <c r="G501" s="230" t="n"/>
      <c r="H501" s="257" t="n">
        <v>135000</v>
      </c>
      <c r="I501" s="258" t="n">
        <v>135000</v>
      </c>
      <c r="J501" s="258" t="n"/>
      <c r="K501" s="233" t="n"/>
      <c r="L501" s="233" t="n">
        <v>56000</v>
      </c>
      <c r="M501" s="156" t="n"/>
    </row>
    <row r="502" ht="15" customHeight="1" s="153">
      <c r="A502" s="227" t="n"/>
      <c r="B502" s="228" t="inlineStr">
        <is>
          <t>ENTRE RÍOS 3350</t>
        </is>
      </c>
      <c r="C502" s="229" t="n">
        <v>1</v>
      </c>
      <c r="D502" s="229" t="n"/>
      <c r="E502" s="229" t="n"/>
      <c r="F502" s="230" t="n"/>
      <c r="G502" s="230" t="n"/>
      <c r="H502" s="257" t="n">
        <v>26000</v>
      </c>
      <c r="I502" s="258" t="n">
        <v>26000</v>
      </c>
      <c r="J502" s="258" t="n"/>
      <c r="K502" s="233" t="n"/>
      <c r="L502" s="233" t="n">
        <v>10200</v>
      </c>
      <c r="M502" s="156" t="n"/>
    </row>
    <row r="503" ht="15" customHeight="1" s="153">
      <c r="A503" s="227" t="n"/>
      <c r="B503" s="228" t="inlineStr">
        <is>
          <t>TUYA ABUELA</t>
        </is>
      </c>
      <c r="C503" s="229" t="n">
        <v>1</v>
      </c>
      <c r="D503" s="229" t="n">
        <v>1</v>
      </c>
      <c r="E503" s="229" t="n"/>
      <c r="F503" s="230" t="n"/>
      <c r="G503" s="230" t="n"/>
      <c r="H503" s="257" t="n">
        <v>69000</v>
      </c>
      <c r="I503" s="258" t="n">
        <v>69000</v>
      </c>
      <c r="J503" s="258" t="n"/>
      <c r="K503" s="233" t="n"/>
      <c r="L503" s="233" t="n">
        <v>29500</v>
      </c>
      <c r="M503" s="156" t="n"/>
    </row>
    <row r="504" ht="15" customHeight="1" s="153">
      <c r="A504" s="227" t="n"/>
      <c r="B504" s="228" t="inlineStr">
        <is>
          <t>PARAGUAY 10318</t>
        </is>
      </c>
      <c r="C504" s="229" t="n">
        <v>1</v>
      </c>
      <c r="D504" s="229" t="n"/>
      <c r="E504" s="229" t="n"/>
      <c r="F504" s="230" t="n"/>
      <c r="G504" s="230" t="n"/>
      <c r="H504" s="257" t="n">
        <v>26000</v>
      </c>
      <c r="I504" s="258" t="n"/>
      <c r="J504" s="258" t="n">
        <v>26000</v>
      </c>
      <c r="K504" s="233" t="n"/>
      <c r="L504" s="233" t="n">
        <v>10200</v>
      </c>
      <c r="M504" s="156" t="n"/>
    </row>
    <row r="505" ht="15" customHeight="1" s="153">
      <c r="A505" s="227" t="n"/>
      <c r="B505" s="228" t="inlineStr">
        <is>
          <t>LUCHO</t>
        </is>
      </c>
      <c r="C505" s="229" t="n">
        <v>1</v>
      </c>
      <c r="D505" s="229" t="n">
        <v>1</v>
      </c>
      <c r="E505" s="229" t="n"/>
      <c r="F505" s="230" t="n"/>
      <c r="G505" s="230" t="n"/>
      <c r="H505" s="257" t="n">
        <v>51500</v>
      </c>
      <c r="I505" s="258" t="n">
        <v>51500</v>
      </c>
      <c r="J505" s="258" t="n"/>
      <c r="K505" s="233" t="n"/>
      <c r="L505" s="233" t="n">
        <v>12000</v>
      </c>
      <c r="M505" s="156" t="n"/>
    </row>
    <row r="506" ht="15" customHeight="1" s="153">
      <c r="A506" s="227" t="n"/>
      <c r="B506" s="228" t="inlineStr">
        <is>
          <t>BERNARDO IRIGOYEN 8381</t>
        </is>
      </c>
      <c r="C506" s="229" t="n"/>
      <c r="D506" s="229" t="n"/>
      <c r="E506" s="229" t="n">
        <v>1</v>
      </c>
      <c r="F506" s="230" t="n"/>
      <c r="G506" s="230" t="n"/>
      <c r="H506" s="257" t="n">
        <v>91000</v>
      </c>
      <c r="I506" s="258" t="n">
        <v>91000</v>
      </c>
      <c r="J506" s="258" t="n"/>
      <c r="K506" s="233" t="n"/>
      <c r="L506" s="233" t="n">
        <v>29000</v>
      </c>
      <c r="M506" s="156" t="n"/>
    </row>
    <row r="507" ht="15" customHeight="1" s="153">
      <c r="A507" s="227" t="n"/>
      <c r="B507" s="228" t="inlineStr">
        <is>
          <t>BAR DEL SUR</t>
        </is>
      </c>
      <c r="C507" s="229" t="n">
        <v>1</v>
      </c>
      <c r="D507" s="229" t="n"/>
      <c r="E507" s="229" t="n"/>
      <c r="F507" s="230" t="n"/>
      <c r="G507" s="230" t="n"/>
      <c r="H507" s="257" t="n">
        <v>27000</v>
      </c>
      <c r="I507" s="258" t="n">
        <v>27000</v>
      </c>
      <c r="J507" s="258" t="n"/>
      <c r="K507" s="233" t="n"/>
      <c r="L507" s="233" t="n">
        <v>11200</v>
      </c>
      <c r="M507" s="156" t="n"/>
    </row>
    <row r="508" ht="15" customHeight="1" s="153">
      <c r="A508" s="227" t="n"/>
      <c r="B508" s="228" t="inlineStr">
        <is>
          <t>BRASERIA</t>
        </is>
      </c>
      <c r="C508" s="229" t="n"/>
      <c r="D508" s="229" t="n"/>
      <c r="E508" s="229" t="n">
        <v>1</v>
      </c>
      <c r="F508" s="230" t="n"/>
      <c r="G508" s="230" t="n"/>
      <c r="H508" s="257" t="n">
        <v>86000</v>
      </c>
      <c r="I508" s="258" t="n"/>
      <c r="J508" s="258" t="n">
        <v>86000</v>
      </c>
      <c r="K508" s="233" t="n"/>
      <c r="L508" s="233" t="n">
        <v>24000</v>
      </c>
      <c r="M508" s="156" t="n"/>
    </row>
    <row r="509" ht="15" customHeight="1" s="153">
      <c r="A509" s="227" t="n"/>
      <c r="B509" s="228" t="inlineStr">
        <is>
          <t>PADILLA 1747</t>
        </is>
      </c>
      <c r="C509" s="229" t="n">
        <v>1</v>
      </c>
      <c r="D509" s="229" t="n"/>
      <c r="E509" s="229" t="n"/>
      <c r="F509" s="230" t="n"/>
      <c r="G509" s="230" t="n"/>
      <c r="H509" s="257" t="n">
        <v>26500</v>
      </c>
      <c r="I509" s="258" t="n"/>
      <c r="J509" s="258" t="n">
        <v>26500</v>
      </c>
      <c r="K509" s="233" t="n"/>
      <c r="L509" s="233" t="n">
        <v>10700</v>
      </c>
      <c r="M509" s="156" t="n"/>
    </row>
    <row r="510" ht="15" customHeight="1" s="153">
      <c r="A510" s="227" t="n"/>
      <c r="B510" s="228" t="inlineStr">
        <is>
          <t>LA MADRID 4736</t>
        </is>
      </c>
      <c r="C510" s="229" t="n">
        <v>1</v>
      </c>
      <c r="D510" s="229" t="n"/>
      <c r="E510" s="229" t="n"/>
      <c r="F510" s="230" t="n"/>
      <c r="G510" s="230" t="n"/>
      <c r="H510" s="257" t="n">
        <v>26000</v>
      </c>
      <c r="I510" s="258" t="n">
        <v>26000</v>
      </c>
      <c r="J510" s="258" t="n"/>
      <c r="K510" s="233" t="n"/>
      <c r="L510" s="233" t="n">
        <v>10200</v>
      </c>
      <c r="M510" s="156" t="n"/>
    </row>
    <row r="511" ht="15" customHeight="1" s="153">
      <c r="A511" s="227" t="n"/>
      <c r="B511" s="228" t="inlineStr">
        <is>
          <t>1980 LEMON</t>
        </is>
      </c>
      <c r="C511" s="229" t="n">
        <v>4</v>
      </c>
      <c r="D511" s="229" t="n"/>
      <c r="E511" s="229" t="n"/>
      <c r="F511" s="230" t="n"/>
      <c r="G511" s="230" t="n"/>
      <c r="H511" s="257" t="n">
        <v>112000</v>
      </c>
      <c r="I511" s="258" t="n"/>
      <c r="J511" s="258" t="n">
        <v>112000</v>
      </c>
      <c r="K511" s="233" t="n"/>
      <c r="L511" s="233" t="n">
        <v>48800</v>
      </c>
      <c r="M511" s="156" t="n"/>
    </row>
    <row r="512" ht="15" customHeight="1" s="153">
      <c r="A512" s="227" t="n"/>
      <c r="B512" s="228" t="inlineStr">
        <is>
          <t>SANDRA</t>
        </is>
      </c>
      <c r="C512" s="229" t="n">
        <v>2</v>
      </c>
      <c r="D512" s="229" t="n"/>
      <c r="E512" s="229" t="n"/>
      <c r="F512" s="230" t="n"/>
      <c r="G512" s="230" t="n"/>
      <c r="H512" s="257" t="n">
        <v>39000</v>
      </c>
      <c r="I512" s="258" t="n">
        <v>39000</v>
      </c>
      <c r="J512" s="258" t="n"/>
      <c r="K512" s="233" t="n"/>
      <c r="L512" s="233" t="n">
        <v>7400</v>
      </c>
      <c r="M512" s="156" t="n"/>
    </row>
    <row r="513" ht="15" customHeight="1" s="153">
      <c r="A513" s="227" t="n"/>
      <c r="B513" s="228" t="inlineStr">
        <is>
          <t>ALBERTI 5298</t>
        </is>
      </c>
      <c r="C513" s="229" t="n">
        <v>2</v>
      </c>
      <c r="D513" s="229" t="n"/>
      <c r="E513" s="229" t="n"/>
      <c r="F513" s="230" t="n"/>
      <c r="G513" s="230" t="n"/>
      <c r="H513" s="257" t="n">
        <v>46000</v>
      </c>
      <c r="I513" s="258" t="n"/>
      <c r="J513" s="258" t="n">
        <v>46000</v>
      </c>
      <c r="K513" s="233" t="n"/>
      <c r="L513" s="233" t="n">
        <v>14400</v>
      </c>
      <c r="M513" s="156" t="n"/>
    </row>
    <row r="514" ht="15" customHeight="1" s="153">
      <c r="A514" s="227" t="n"/>
      <c r="B514" s="228" t="inlineStr">
        <is>
          <t>LA CUEVA</t>
        </is>
      </c>
      <c r="C514" s="229" t="n">
        <v>1</v>
      </c>
      <c r="D514" s="229" t="n"/>
      <c r="E514" s="229" t="n"/>
      <c r="F514" s="230" t="n"/>
      <c r="G514" s="230" t="n"/>
      <c r="H514" s="257" t="n">
        <v>23500</v>
      </c>
      <c r="I514" s="258" t="n">
        <v>23500</v>
      </c>
      <c r="J514" s="258" t="n"/>
      <c r="K514" s="233" t="n"/>
      <c r="L514" s="233" t="n">
        <v>7700</v>
      </c>
      <c r="M514" s="156" t="n"/>
    </row>
    <row r="515" ht="15" customHeight="1" s="153">
      <c r="A515" s="227" t="n">
        <v>46167</v>
      </c>
      <c r="B515" s="228" t="inlineStr">
        <is>
          <t>DOMINGO SILVA 4217</t>
        </is>
      </c>
      <c r="C515" s="229" t="n">
        <v>2</v>
      </c>
      <c r="D515" s="229" t="n">
        <v>1</v>
      </c>
      <c r="E515" s="229" t="n"/>
      <c r="F515" s="230" t="n"/>
      <c r="G515" s="230" t="n"/>
      <c r="H515" s="257" t="n">
        <v>71000</v>
      </c>
      <c r="I515" s="258" t="n">
        <v>71000</v>
      </c>
      <c r="J515" s="258" t="n"/>
      <c r="K515" s="233" t="n"/>
      <c r="L515" s="233" t="n">
        <v>15700</v>
      </c>
      <c r="M515" s="156" t="n"/>
    </row>
    <row r="516" ht="15" customHeight="1" s="153">
      <c r="A516" s="227" t="n"/>
      <c r="B516" s="228" t="inlineStr">
        <is>
          <t>9 DE JULIO 1144</t>
        </is>
      </c>
      <c r="C516" s="229" t="n"/>
      <c r="D516" s="229" t="n"/>
      <c r="E516" s="229" t="n">
        <v>2</v>
      </c>
      <c r="F516" s="230" t="n"/>
      <c r="G516" s="230" t="n"/>
      <c r="H516" s="257" t="n">
        <v>178000</v>
      </c>
      <c r="I516" s="258" t="n"/>
      <c r="J516" s="258" t="n">
        <v>178000</v>
      </c>
      <c r="K516" s="233" t="n"/>
      <c r="L516" s="233" t="n">
        <v>54000</v>
      </c>
      <c r="M516" s="156" t="n"/>
    </row>
    <row r="517" ht="15" customHeight="1" s="153">
      <c r="A517" s="227" t="n"/>
      <c r="B517" s="228" t="inlineStr">
        <is>
          <t>GENEIRO 8249</t>
        </is>
      </c>
      <c r="C517" s="229" t="n">
        <v>1</v>
      </c>
      <c r="D517" s="229" t="n"/>
      <c r="E517" s="229" t="n"/>
      <c r="F517" s="230" t="n"/>
      <c r="G517" s="230" t="n"/>
      <c r="H517" s="257" t="n">
        <v>26000</v>
      </c>
      <c r="I517" s="258" t="n"/>
      <c r="J517" s="258" t="n">
        <v>26000</v>
      </c>
      <c r="K517" s="233" t="n"/>
      <c r="L517" s="233" t="n">
        <v>10200</v>
      </c>
      <c r="M517" s="156" t="n"/>
    </row>
    <row r="518" ht="15" customHeight="1" s="153">
      <c r="A518" s="227" t="n"/>
      <c r="B518" s="228" t="inlineStr">
        <is>
          <t>CARRASCO 9330</t>
        </is>
      </c>
      <c r="C518" s="229" t="n">
        <v>1</v>
      </c>
      <c r="D518" s="229" t="n"/>
      <c r="E518" s="229" t="n"/>
      <c r="F518" s="230" t="n"/>
      <c r="G518" s="230" t="n"/>
      <c r="H518" s="257" t="n">
        <v>26000</v>
      </c>
      <c r="I518" s="258" t="n"/>
      <c r="J518" s="258" t="n">
        <v>26000</v>
      </c>
      <c r="K518" s="233" t="n"/>
      <c r="L518" s="233" t="n">
        <v>10200</v>
      </c>
      <c r="M518" s="156" t="n"/>
    </row>
    <row r="519" ht="15" customHeight="1" s="153">
      <c r="A519" s="227" t="n"/>
      <c r="B519" s="228" t="inlineStr">
        <is>
          <t>OTNIEL</t>
        </is>
      </c>
      <c r="C519" s="229" t="n"/>
      <c r="D519" s="229" t="n">
        <v>2</v>
      </c>
      <c r="E519" s="229" t="n"/>
      <c r="F519" s="230" t="n"/>
      <c r="G519" s="230" t="n"/>
      <c r="H519" s="257" t="n">
        <v>70000</v>
      </c>
      <c r="I519" s="258" t="n"/>
      <c r="J519" s="258" t="n">
        <v>70000</v>
      </c>
      <c r="K519" s="233" t="n"/>
      <c r="L519" s="233" t="n">
        <v>22600</v>
      </c>
      <c r="M519" s="156" t="n"/>
    </row>
    <row r="520" ht="15" customHeight="1" s="153">
      <c r="A520" s="227" t="n"/>
      <c r="B520" s="228" t="inlineStr">
        <is>
          <t>ROTI VIEYTES</t>
        </is>
      </c>
      <c r="C520" s="229" t="n"/>
      <c r="D520" s="229" t="n">
        <v>2</v>
      </c>
      <c r="E520" s="229" t="n"/>
      <c r="F520" s="230" t="n"/>
      <c r="G520" s="230" t="n"/>
      <c r="H520" s="257" t="n">
        <v>64000</v>
      </c>
      <c r="I520" s="258" t="n"/>
      <c r="J520" s="258" t="n">
        <v>64000</v>
      </c>
      <c r="K520" s="233" t="n"/>
      <c r="L520" s="233" t="n">
        <v>16600</v>
      </c>
      <c r="M520" s="156" t="n"/>
    </row>
    <row r="521" ht="15" customHeight="1" s="153">
      <c r="A521" s="227" t="n"/>
      <c r="B521" s="228" t="inlineStr">
        <is>
          <t>LEUMAN 5045</t>
        </is>
      </c>
      <c r="C521" s="229" t="n"/>
      <c r="D521" s="229" t="n">
        <v>1</v>
      </c>
      <c r="E521" s="229" t="n"/>
      <c r="F521" s="230" t="n"/>
      <c r="G521" s="230" t="n"/>
      <c r="H521" s="257" t="n">
        <v>41000</v>
      </c>
      <c r="I521" s="258" t="n"/>
      <c r="J521" s="258" t="n">
        <v>41000</v>
      </c>
      <c r="K521" s="233" t="n"/>
      <c r="L521" s="233" t="n">
        <v>17300</v>
      </c>
      <c r="M521" s="156" t="n"/>
    </row>
    <row r="522" ht="15" customHeight="1" s="153">
      <c r="A522" s="227" t="n"/>
      <c r="B522" s="228" t="inlineStr">
        <is>
          <t>LA PAMPA 5745</t>
        </is>
      </c>
      <c r="C522" s="229" t="n"/>
      <c r="D522" s="229" t="n">
        <v>1</v>
      </c>
      <c r="E522" s="229" t="n"/>
      <c r="F522" s="230" t="n"/>
      <c r="G522" s="230" t="n"/>
      <c r="H522" s="257" t="n">
        <v>41000</v>
      </c>
      <c r="I522" s="258" t="n">
        <v>41000</v>
      </c>
      <c r="J522" s="258" t="n"/>
      <c r="K522" s="233" t="n"/>
      <c r="L522" s="233" t="n">
        <v>17300</v>
      </c>
      <c r="M522" s="156" t="n"/>
    </row>
    <row r="523" ht="15" customHeight="1" s="153">
      <c r="A523" s="227" t="n"/>
      <c r="B523" s="228" t="inlineStr">
        <is>
          <t>PANA GORRITI 4600</t>
        </is>
      </c>
      <c r="C523" s="229" t="n"/>
      <c r="D523" s="229" t="n"/>
      <c r="E523" s="229" t="n">
        <v>1</v>
      </c>
      <c r="F523" s="230" t="n"/>
      <c r="G523" s="230" t="n"/>
      <c r="H523" s="257" t="n">
        <v>84000</v>
      </c>
      <c r="I523" s="258" t="n">
        <v>84000</v>
      </c>
      <c r="J523" s="258" t="n"/>
      <c r="K523" s="233" t="n"/>
      <c r="L523" s="233" t="n">
        <v>22000</v>
      </c>
      <c r="M523" s="156" t="n"/>
    </row>
    <row r="524" ht="15" customHeight="1" s="153">
      <c r="A524" s="227" t="n"/>
      <c r="B524" s="228" t="inlineStr">
        <is>
          <t>LOS PRIMOS</t>
        </is>
      </c>
      <c r="C524" s="229" t="n">
        <v>3</v>
      </c>
      <c r="D524" s="229" t="n"/>
      <c r="E524" s="229" t="n"/>
      <c r="F524" s="230" t="n"/>
      <c r="G524" s="230" t="n"/>
      <c r="H524" s="257" t="n">
        <v>81000</v>
      </c>
      <c r="I524" s="258" t="n">
        <v>81000</v>
      </c>
      <c r="J524" s="258" t="n"/>
      <c r="K524" s="233" t="n"/>
      <c r="L524" s="233" t="n">
        <v>33600</v>
      </c>
      <c r="M524" s="156" t="n"/>
    </row>
    <row r="525" ht="15" customHeight="1" s="153">
      <c r="A525" s="227" t="n"/>
      <c r="B525" s="228" t="inlineStr">
        <is>
          <t>RICARDO ALDAO 3459</t>
        </is>
      </c>
      <c r="C525" s="229" t="n">
        <v>1</v>
      </c>
      <c r="D525" s="229" t="n"/>
      <c r="E525" s="229" t="n"/>
      <c r="F525" s="230" t="n"/>
      <c r="G525" s="230" t="n"/>
      <c r="H525" s="257" t="n">
        <v>26000</v>
      </c>
      <c r="I525" s="258" t="n">
        <v>26000</v>
      </c>
      <c r="J525" s="258" t="n"/>
      <c r="K525" s="233" t="n"/>
      <c r="L525" s="233" t="n">
        <v>10200</v>
      </c>
      <c r="M525" s="156" t="n"/>
    </row>
    <row r="526" ht="15" customHeight="1" s="153">
      <c r="A526" s="227" t="n"/>
      <c r="B526" s="228" t="inlineStr">
        <is>
          <t>FLORENCIO FERNÁNDEZ 6196</t>
        </is>
      </c>
      <c r="C526" s="229" t="n">
        <v>6</v>
      </c>
      <c r="D526" s="229" t="n"/>
      <c r="E526" s="229" t="n"/>
      <c r="F526" s="230" t="n"/>
      <c r="G526" s="230" t="n"/>
      <c r="H526" s="257" t="n">
        <v>120000</v>
      </c>
      <c r="I526" s="258" t="n">
        <v>120000</v>
      </c>
      <c r="J526" s="258" t="n"/>
      <c r="K526" s="233" t="n"/>
      <c r="L526" s="233" t="n">
        <v>25200</v>
      </c>
      <c r="M526" s="156" t="n"/>
    </row>
    <row r="527" ht="15" customHeight="1" s="153">
      <c r="A527" s="227" t="n"/>
      <c r="B527" s="228" t="inlineStr">
        <is>
          <t>LUCHO</t>
        </is>
      </c>
      <c r="C527" s="229" t="n">
        <v>1</v>
      </c>
      <c r="D527" s="229" t="n"/>
      <c r="E527" s="229" t="n"/>
      <c r="F527" s="230" t="n"/>
      <c r="G527" s="230" t="n"/>
      <c r="H527" s="257" t="n">
        <v>20000</v>
      </c>
      <c r="I527" s="258" t="n"/>
      <c r="J527" s="258" t="n">
        <v>20000</v>
      </c>
      <c r="K527" s="233" t="n"/>
      <c r="L527" s="233" t="n">
        <v>4200</v>
      </c>
      <c r="M527" s="156" t="n"/>
    </row>
    <row r="528" ht="15" customHeight="1" s="153">
      <c r="A528" s="227" t="n"/>
      <c r="B528" s="228" t="inlineStr">
        <is>
          <t>LARREA 3164</t>
        </is>
      </c>
      <c r="C528" s="229" t="n">
        <v>1</v>
      </c>
      <c r="D528" s="229" t="n"/>
      <c r="E528" s="229" t="n"/>
      <c r="F528" s="230" t="n"/>
      <c r="G528" s="230" t="n"/>
      <c r="H528" s="257" t="n">
        <v>26000</v>
      </c>
      <c r="I528" s="258" t="n">
        <v>26000</v>
      </c>
      <c r="J528" s="258" t="n"/>
      <c r="K528" s="233" t="n"/>
      <c r="L528" s="233" t="n">
        <v>10200</v>
      </c>
      <c r="M528" s="156" t="n"/>
    </row>
    <row r="529" ht="15" customHeight="1" s="153">
      <c r="A529" s="227" t="n"/>
      <c r="B529" s="228" t="inlineStr">
        <is>
          <t>MADAME CHEESE</t>
        </is>
      </c>
      <c r="C529" s="229" t="n">
        <v>1</v>
      </c>
      <c r="D529" s="229" t="n"/>
      <c r="E529" s="229" t="n"/>
      <c r="F529" s="230" t="n"/>
      <c r="G529" s="230" t="n"/>
      <c r="H529" s="257" t="n">
        <v>25000</v>
      </c>
      <c r="I529" s="258" t="n"/>
      <c r="J529" s="258" t="n">
        <v>25000</v>
      </c>
      <c r="K529" s="233" t="n"/>
      <c r="L529" s="233" t="n">
        <v>9200</v>
      </c>
      <c r="M529" s="156" t="n"/>
    </row>
    <row r="530" ht="15" customHeight="1" s="153">
      <c r="A530" s="264" t="n"/>
      <c r="B530" s="228" t="inlineStr">
        <is>
          <t>SANDRA</t>
        </is>
      </c>
      <c r="C530" s="265" t="n">
        <v>1</v>
      </c>
      <c r="D530" s="265" t="n"/>
      <c r="E530" s="265" t="n"/>
      <c r="F530" s="266" t="n"/>
      <c r="G530" s="266" t="n"/>
      <c r="H530" s="267" t="n">
        <v>19500</v>
      </c>
      <c r="I530" s="268" t="n">
        <v>19500</v>
      </c>
      <c r="J530" s="268" t="n"/>
      <c r="K530" s="267" t="n"/>
      <c r="L530" s="233" t="n">
        <v>3700</v>
      </c>
      <c r="M530" s="156" t="n"/>
    </row>
    <row r="531" ht="15" customHeight="1" s="153">
      <c r="A531" s="227" t="n">
        <v>46168</v>
      </c>
      <c r="B531" s="228" t="inlineStr">
        <is>
          <t>SAN LORENZO 2846</t>
        </is>
      </c>
      <c r="C531" s="229" t="n">
        <v>1</v>
      </c>
      <c r="D531" s="229" t="n"/>
      <c r="E531" s="229" t="n"/>
      <c r="F531" s="230" t="n"/>
      <c r="G531" s="230" t="n"/>
      <c r="H531" s="257" t="n">
        <v>26000</v>
      </c>
      <c r="I531" s="258" t="n"/>
      <c r="J531" s="258" t="n">
        <v>26000</v>
      </c>
      <c r="K531" s="233" t="n"/>
      <c r="L531" s="233" t="n">
        <v>10200</v>
      </c>
      <c r="M531" s="156" t="n"/>
    </row>
    <row r="532" ht="15" customHeight="1" s="153">
      <c r="A532" s="227" t="n"/>
      <c r="B532" s="228" t="inlineStr">
        <is>
          <t>HERNANDARIAS 3445</t>
        </is>
      </c>
      <c r="C532" s="229" t="n">
        <v>1</v>
      </c>
      <c r="D532" s="229" t="n"/>
      <c r="E532" s="229" t="n"/>
      <c r="F532" s="230" t="n"/>
      <c r="G532" s="230" t="n"/>
      <c r="H532" s="257" t="n">
        <v>26000</v>
      </c>
      <c r="I532" s="258" t="n">
        <v>26000</v>
      </c>
      <c r="J532" s="258" t="n"/>
      <c r="K532" s="233" t="n"/>
      <c r="L532" s="233" t="n">
        <v>10200</v>
      </c>
      <c r="M532" s="156" t="n"/>
    </row>
    <row r="533" ht="15" customHeight="1" s="153">
      <c r="A533" s="227" t="n"/>
      <c r="B533" s="228" t="inlineStr">
        <is>
          <t>VIANDAS JORGE</t>
        </is>
      </c>
      <c r="C533" s="229" t="n">
        <v>1</v>
      </c>
      <c r="D533" s="229" t="n"/>
      <c r="E533" s="229" t="n"/>
      <c r="F533" s="230" t="n"/>
      <c r="G533" s="230" t="n"/>
      <c r="H533" s="257" t="n">
        <v>23000</v>
      </c>
      <c r="I533" s="258" t="n">
        <v>23000</v>
      </c>
      <c r="J533" s="258" t="n"/>
      <c r="K533" s="233" t="n"/>
      <c r="L533" s="233" t="n">
        <v>7200</v>
      </c>
      <c r="M533" s="156" t="n"/>
    </row>
    <row r="534" ht="15" customHeight="1" s="153">
      <c r="A534" s="227" t="n"/>
      <c r="B534" s="228" t="inlineStr">
        <is>
          <t>AZCUENAGA 2180</t>
        </is>
      </c>
      <c r="C534" s="229" t="n">
        <v>1</v>
      </c>
      <c r="D534" s="229" t="n"/>
      <c r="E534" s="229" t="n"/>
      <c r="F534" s="230" t="n"/>
      <c r="G534" s="230" t="n"/>
      <c r="H534" s="257" t="n">
        <v>27000</v>
      </c>
      <c r="I534" s="258" t="n">
        <v>27000</v>
      </c>
      <c r="J534" s="258" t="n"/>
      <c r="K534" s="233" t="n"/>
      <c r="L534" s="233" t="n">
        <v>11200</v>
      </c>
      <c r="M534" s="156" t="n"/>
    </row>
    <row r="535" ht="15" customHeight="1" s="153">
      <c r="A535" s="227" t="n"/>
      <c r="B535" s="228" t="inlineStr">
        <is>
          <t>PAVON 3941</t>
        </is>
      </c>
      <c r="C535" s="229" t="n">
        <v>1</v>
      </c>
      <c r="D535" s="229" t="n"/>
      <c r="E535" s="229" t="n"/>
      <c r="F535" s="230" t="n"/>
      <c r="G535" s="230" t="n"/>
      <c r="H535" s="257" t="n">
        <v>26000</v>
      </c>
      <c r="I535" s="258" t="n">
        <v>26000</v>
      </c>
      <c r="J535" s="258" t="n"/>
      <c r="K535" s="233" t="n"/>
      <c r="L535" s="233" t="n">
        <v>10200</v>
      </c>
      <c r="M535" s="156" t="n"/>
    </row>
    <row r="536" ht="15" customHeight="1" s="153">
      <c r="A536" s="227" t="n"/>
      <c r="B536" s="228" t="inlineStr">
        <is>
          <t>LA RIOJA 3730</t>
        </is>
      </c>
      <c r="C536" s="229" t="n">
        <v>1</v>
      </c>
      <c r="D536" s="229" t="n"/>
      <c r="E536" s="229" t="n"/>
      <c r="F536" s="230" t="n"/>
      <c r="G536" s="230" t="n"/>
      <c r="H536" s="257" t="n">
        <v>27000</v>
      </c>
      <c r="I536" s="258" t="n">
        <v>27000</v>
      </c>
      <c r="J536" s="258" t="n"/>
      <c r="K536" s="233" t="n"/>
      <c r="L536" s="233" t="n">
        <v>11200</v>
      </c>
      <c r="M536" s="156" t="n"/>
    </row>
    <row r="537" ht="15" customHeight="1" s="153">
      <c r="A537" s="227" t="n"/>
      <c r="B537" s="228" t="inlineStr">
        <is>
          <t>FACUNDO ZUVIRIA 4176</t>
        </is>
      </c>
      <c r="C537" s="229" t="n"/>
      <c r="D537" s="229" t="n"/>
      <c r="E537" s="229" t="n">
        <v>1</v>
      </c>
      <c r="F537" s="230" t="n"/>
      <c r="G537" s="230" t="n"/>
      <c r="H537" s="257" t="n">
        <v>87000</v>
      </c>
      <c r="I537" s="258" t="n"/>
      <c r="J537" s="258" t="n">
        <v>87000</v>
      </c>
      <c r="K537" s="233" t="n"/>
      <c r="L537" s="233" t="n">
        <v>25000</v>
      </c>
      <c r="M537" s="156" t="n"/>
    </row>
    <row r="538" ht="15" customHeight="1" s="153">
      <c r="A538" s="227" t="n"/>
      <c r="B538" s="228" t="inlineStr">
        <is>
          <t>12 DE INFANTERÍA 4278</t>
        </is>
      </c>
      <c r="C538" s="229" t="n">
        <v>1</v>
      </c>
      <c r="D538" s="229" t="n"/>
      <c r="E538" s="229" t="n"/>
      <c r="F538" s="230" t="n"/>
      <c r="G538" s="230" t="n"/>
      <c r="H538" s="257" t="n">
        <v>26000</v>
      </c>
      <c r="I538" s="258" t="n">
        <v>26000</v>
      </c>
      <c r="J538" s="258" t="n"/>
      <c r="K538" s="233" t="n"/>
      <c r="L538" s="233" t="n">
        <v>10200</v>
      </c>
      <c r="M538" s="156" t="n"/>
    </row>
    <row r="539" ht="15" customHeight="1" s="153">
      <c r="A539" s="227" t="n"/>
      <c r="B539" s="228" t="inlineStr">
        <is>
          <t>PEÑALOZA 5565</t>
        </is>
      </c>
      <c r="C539" s="229" t="n">
        <v>1</v>
      </c>
      <c r="D539" s="229" t="n"/>
      <c r="E539" s="229" t="n"/>
      <c r="F539" s="230" t="n"/>
      <c r="G539" s="230" t="n"/>
      <c r="H539" s="257" t="n">
        <v>26000</v>
      </c>
      <c r="I539" s="258" t="n">
        <v>26000</v>
      </c>
      <c r="J539" s="258" t="n"/>
      <c r="K539" s="233" t="n"/>
      <c r="L539" s="233" t="n">
        <v>10200</v>
      </c>
      <c r="M539" s="156" t="n"/>
    </row>
    <row r="540" ht="15" customHeight="1" s="153">
      <c r="A540" s="227" t="n"/>
      <c r="B540" s="228" t="inlineStr">
        <is>
          <t>ALBERTO PARROQUIA SAN ROQUE</t>
        </is>
      </c>
      <c r="C540" s="229" t="n">
        <v>1</v>
      </c>
      <c r="D540" s="229" t="n"/>
      <c r="E540" s="229" t="n"/>
      <c r="F540" s="230" t="n"/>
      <c r="G540" s="230" t="n"/>
      <c r="H540" s="257" t="n">
        <v>27000</v>
      </c>
      <c r="I540" s="258" t="n">
        <v>27000</v>
      </c>
      <c r="J540" s="258" t="n"/>
      <c r="K540" s="233" t="n"/>
      <c r="L540" s="233" t="n">
        <v>11200</v>
      </c>
      <c r="M540" s="156" t="n"/>
    </row>
    <row r="541" ht="15" customHeight="1" s="153">
      <c r="A541" s="227" t="n"/>
      <c r="B541" s="228" t="inlineStr">
        <is>
          <t>REPÚBLICA DE SIRIA 3961</t>
        </is>
      </c>
      <c r="C541" s="229" t="n">
        <v>1</v>
      </c>
      <c r="D541" s="229" t="n"/>
      <c r="E541" s="229" t="n"/>
      <c r="F541" s="230" t="n"/>
      <c r="G541" s="230" t="n"/>
      <c r="H541" s="257" t="n">
        <v>26000</v>
      </c>
      <c r="I541" s="258" t="n"/>
      <c r="J541" s="258" t="n">
        <v>26000</v>
      </c>
      <c r="K541" s="233" t="n"/>
      <c r="L541" s="233" t="n">
        <v>10200</v>
      </c>
      <c r="M541" s="156" t="n"/>
    </row>
    <row r="542" ht="15" customHeight="1" s="153">
      <c r="A542" s="227" t="n"/>
      <c r="B542" s="228" t="inlineStr">
        <is>
          <t>GABOTO 7227</t>
        </is>
      </c>
      <c r="C542" s="229" t="n"/>
      <c r="D542" s="229" t="n">
        <v>1</v>
      </c>
      <c r="E542" s="229" t="n"/>
      <c r="F542" s="230" t="n"/>
      <c r="G542" s="230" t="n"/>
      <c r="H542" s="257" t="n">
        <v>39500</v>
      </c>
      <c r="I542" s="258" t="n"/>
      <c r="J542" s="258" t="n">
        <v>39500</v>
      </c>
      <c r="K542" s="233" t="n"/>
      <c r="L542" s="233" t="n">
        <v>15800</v>
      </c>
      <c r="M542" s="156" t="n"/>
    </row>
    <row r="543" ht="15" customHeight="1" s="153">
      <c r="A543" s="227" t="n"/>
      <c r="B543" s="228" t="inlineStr">
        <is>
          <t>FILOMENA</t>
        </is>
      </c>
      <c r="C543" s="229" t="n">
        <v>2</v>
      </c>
      <c r="D543" s="229" t="n"/>
      <c r="E543" s="229" t="n"/>
      <c r="F543" s="230" t="n"/>
      <c r="G543" s="230" t="n"/>
      <c r="H543" s="257" t="n">
        <v>49000</v>
      </c>
      <c r="I543" s="258" t="n"/>
      <c r="J543" s="258" t="n">
        <v>49000</v>
      </c>
      <c r="K543" s="233" t="n"/>
      <c r="L543" s="233" t="n">
        <v>17400</v>
      </c>
      <c r="M543" s="156" t="n"/>
    </row>
    <row r="544" ht="15" customHeight="1" s="153">
      <c r="A544" s="227" t="n"/>
      <c r="B544" s="228" t="inlineStr">
        <is>
          <t>M ZAPATA 2101</t>
        </is>
      </c>
      <c r="C544" s="229" t="n">
        <v>2</v>
      </c>
      <c r="D544" s="229" t="n"/>
      <c r="E544" s="229" t="n"/>
      <c r="F544" s="230" t="n"/>
      <c r="G544" s="230" t="n"/>
      <c r="H544" s="257" t="n">
        <v>42000</v>
      </c>
      <c r="I544" s="258" t="n"/>
      <c r="J544" s="258" t="n">
        <v>42000</v>
      </c>
      <c r="K544" s="233" t="n"/>
      <c r="L544" s="233" t="n">
        <v>10400</v>
      </c>
      <c r="M544" s="156" t="n"/>
    </row>
    <row r="545" ht="15" customHeight="1" s="153">
      <c r="A545" s="227" t="n"/>
      <c r="B545" s="228" t="inlineStr">
        <is>
          <t>PEDRO DE VEGA 1428</t>
        </is>
      </c>
      <c r="C545" s="229" t="n">
        <v>1</v>
      </c>
      <c r="D545" s="229" t="n"/>
      <c r="E545" s="229" t="n"/>
      <c r="F545" s="230" t="n"/>
      <c r="G545" s="230" t="n"/>
      <c r="H545" s="257" t="n">
        <v>26500</v>
      </c>
      <c r="I545" s="258" t="n"/>
      <c r="J545" s="258" t="n">
        <v>26500</v>
      </c>
      <c r="K545" s="233" t="n"/>
      <c r="L545" s="233" t="n">
        <v>10700</v>
      </c>
      <c r="M545" s="156" t="n"/>
    </row>
    <row r="546" ht="15" customHeight="1" s="153">
      <c r="A546" s="227" t="n"/>
      <c r="B546" s="228" t="inlineStr">
        <is>
          <t>GRANDOLI 7655</t>
        </is>
      </c>
      <c r="C546" s="229" t="n"/>
      <c r="D546" s="229" t="n">
        <v>3</v>
      </c>
      <c r="E546" s="229" t="n"/>
      <c r="F546" s="230" t="n"/>
      <c r="G546" s="230" t="n"/>
      <c r="H546" s="257" t="n">
        <v>120000</v>
      </c>
      <c r="I546" s="258" t="n"/>
      <c r="J546" s="258" t="n">
        <v>120000</v>
      </c>
      <c r="K546" s="233" t="n"/>
      <c r="L546" s="233" t="n">
        <v>48900</v>
      </c>
      <c r="M546" s="156" t="n"/>
    </row>
    <row r="547" ht="15" customHeight="1" s="153">
      <c r="A547" s="227" t="n"/>
      <c r="B547" s="228" t="inlineStr">
        <is>
          <t>TROPPO</t>
        </is>
      </c>
      <c r="C547" s="229" t="n">
        <v>2</v>
      </c>
      <c r="D547" s="229" t="n"/>
      <c r="E547" s="229" t="n"/>
      <c r="F547" s="230" t="n"/>
      <c r="G547" s="230" t="n"/>
      <c r="H547" s="257" t="n">
        <v>56000</v>
      </c>
      <c r="I547" s="258" t="n">
        <v>56000</v>
      </c>
      <c r="J547" s="258" t="n"/>
      <c r="K547" s="233" t="n"/>
      <c r="L547" s="233" t="n">
        <v>24400</v>
      </c>
      <c r="M547" s="156" t="n"/>
    </row>
    <row r="548" ht="15" customHeight="1" s="153">
      <c r="A548" s="227" t="n"/>
      <c r="B548" s="228" t="inlineStr">
        <is>
          <t>RICARDO ALDAO 3750</t>
        </is>
      </c>
      <c r="C548" s="229" t="n"/>
      <c r="D548" s="229" t="n"/>
      <c r="E548" s="229" t="n">
        <v>1</v>
      </c>
      <c r="F548" s="230" t="n"/>
      <c r="G548" s="230" t="n"/>
      <c r="H548" s="257" t="n">
        <v>91000</v>
      </c>
      <c r="I548" s="258" t="n">
        <v>91000</v>
      </c>
      <c r="J548" s="258" t="n"/>
      <c r="K548" s="233" t="n"/>
      <c r="L548" s="233" t="n">
        <v>29000</v>
      </c>
      <c r="M548" s="156" t="n"/>
    </row>
    <row r="549" ht="15" customHeight="1" s="153">
      <c r="A549" s="227" t="n"/>
      <c r="B549" s="228" t="inlineStr">
        <is>
          <t>ARENALES 7850</t>
        </is>
      </c>
      <c r="C549" s="229" t="n">
        <v>2</v>
      </c>
      <c r="D549" s="229" t="n"/>
      <c r="E549" s="229" t="n"/>
      <c r="F549" s="230" t="n"/>
      <c r="G549" s="230" t="n"/>
      <c r="H549" s="257" t="n">
        <v>52000</v>
      </c>
      <c r="I549" s="258" t="n">
        <v>52000</v>
      </c>
      <c r="J549" s="258" t="n"/>
      <c r="K549" s="233" t="n"/>
      <c r="L549" s="233" t="n">
        <v>20400</v>
      </c>
      <c r="M549" s="156" t="n"/>
    </row>
    <row r="550" ht="15" customHeight="1" s="153">
      <c r="A550" s="227" t="n">
        <v>46169</v>
      </c>
      <c r="B550" s="228" t="inlineStr">
        <is>
          <t>GRACIELA DALBUSO</t>
        </is>
      </c>
      <c r="C550" s="229" t="n"/>
      <c r="D550" s="229" t="n"/>
      <c r="E550" s="229" t="n">
        <v>1</v>
      </c>
      <c r="F550" s="230" t="n"/>
      <c r="G550" s="230" t="n"/>
      <c r="H550" s="257" t="n">
        <v>88000</v>
      </c>
      <c r="I550" s="258" t="n"/>
      <c r="J550" s="258" t="n">
        <v>88000</v>
      </c>
      <c r="K550" s="233" t="n"/>
      <c r="L550" s="233" t="n">
        <v>26000</v>
      </c>
      <c r="M550" s="156" t="n"/>
    </row>
    <row r="551" ht="15" customHeight="1" s="153">
      <c r="A551" s="227" t="n"/>
      <c r="B551" s="228" t="inlineStr">
        <is>
          <t>EX COMBATIENTES 5583</t>
        </is>
      </c>
      <c r="C551" s="229" t="n">
        <v>1</v>
      </c>
      <c r="D551" s="229" t="n"/>
      <c r="E551" s="229" t="n"/>
      <c r="F551" s="230" t="n"/>
      <c r="G551" s="230" t="n"/>
      <c r="H551" s="257" t="n">
        <v>26500</v>
      </c>
      <c r="I551" s="258" t="n">
        <v>26500</v>
      </c>
      <c r="J551" s="258" t="n"/>
      <c r="K551" s="233" t="n"/>
      <c r="L551" s="233" t="n">
        <v>10700</v>
      </c>
      <c r="M551" s="156" t="n"/>
    </row>
    <row r="552" ht="15" customHeight="1" s="153">
      <c r="A552" s="227" t="n"/>
      <c r="B552" s="228" t="inlineStr">
        <is>
          <t>MARTINEZ 3221</t>
        </is>
      </c>
      <c r="C552" s="229" t="n"/>
      <c r="D552" s="229" t="n"/>
      <c r="E552" s="229" t="n">
        <v>1</v>
      </c>
      <c r="F552" s="230" t="n"/>
      <c r="G552" s="230" t="n"/>
      <c r="H552" s="257" t="n">
        <v>95000</v>
      </c>
      <c r="I552" s="258" t="n"/>
      <c r="J552" s="258" t="n">
        <v>95000</v>
      </c>
      <c r="K552" s="233" t="n"/>
      <c r="L552" s="233" t="n">
        <v>33000</v>
      </c>
      <c r="M552" s="156" t="n"/>
    </row>
    <row r="553" ht="15" customHeight="1" s="153">
      <c r="A553" s="227" t="n"/>
      <c r="B553" s="228" t="inlineStr">
        <is>
          <t>F1 M5 DTO 34</t>
        </is>
      </c>
      <c r="C553" s="229" t="n">
        <v>1</v>
      </c>
      <c r="D553" s="229" t="n"/>
      <c r="E553" s="229" t="n"/>
      <c r="F553" s="230" t="n"/>
      <c r="G553" s="230" t="n"/>
      <c r="H553" s="257" t="n">
        <v>26000</v>
      </c>
      <c r="I553" s="258" t="n">
        <v>26000</v>
      </c>
      <c r="J553" s="258" t="n"/>
      <c r="K553" s="233" t="n"/>
      <c r="L553" s="233" t="n">
        <v>10200</v>
      </c>
      <c r="M553" s="156" t="n"/>
    </row>
    <row r="554" ht="15" customHeight="1" s="153">
      <c r="A554" s="227" t="n"/>
      <c r="B554" s="228" t="inlineStr">
        <is>
          <t>MADAME CHEESE</t>
        </is>
      </c>
      <c r="C554" s="229" t="n"/>
      <c r="D554" s="229" t="n">
        <v>1</v>
      </c>
      <c r="E554" s="229" t="n"/>
      <c r="F554" s="230" t="n"/>
      <c r="G554" s="230" t="n"/>
      <c r="H554" s="257" t="n">
        <v>36000</v>
      </c>
      <c r="I554" s="258" t="n"/>
      <c r="J554" s="258" t="n">
        <v>36000</v>
      </c>
      <c r="K554" s="233" t="n"/>
      <c r="L554" s="233" t="n">
        <v>12300</v>
      </c>
      <c r="M554" s="156" t="n"/>
    </row>
    <row r="555" ht="15" customHeight="1" s="153">
      <c r="A555" s="227" t="n"/>
      <c r="B555" s="228" t="inlineStr">
        <is>
          <t>OTNIEL</t>
        </is>
      </c>
      <c r="C555" s="229" t="n"/>
      <c r="D555" s="229" t="n"/>
      <c r="E555" s="229" t="n"/>
      <c r="F555" s="230" t="n"/>
      <c r="G555" s="230" t="n">
        <v>2</v>
      </c>
      <c r="H555" s="257" t="n">
        <v>13000</v>
      </c>
      <c r="I555" s="258" t="n"/>
      <c r="J555" s="258" t="n">
        <v>13000</v>
      </c>
      <c r="K555" s="233" t="n"/>
      <c r="L555" s="233" t="n">
        <v>11160</v>
      </c>
      <c r="M555" s="156" t="n"/>
    </row>
    <row r="556" ht="15" customHeight="1" s="153">
      <c r="A556" s="227" t="n"/>
      <c r="B556" s="228" t="inlineStr">
        <is>
          <t>LASAGA 7051</t>
        </is>
      </c>
      <c r="C556" s="229" t="n">
        <v>1</v>
      </c>
      <c r="D556" s="229" t="n"/>
      <c r="E556" s="229" t="n"/>
      <c r="F556" s="230" t="n"/>
      <c r="G556" s="230" t="n"/>
      <c r="H556" s="257" t="n">
        <v>26500</v>
      </c>
      <c r="I556" s="258" t="n">
        <v>26500</v>
      </c>
      <c r="J556" s="258" t="n"/>
      <c r="K556" s="233" t="n"/>
      <c r="L556" s="233" t="n">
        <v>10700</v>
      </c>
      <c r="M556" s="156" t="n"/>
    </row>
    <row r="557" ht="15" customHeight="1" s="153">
      <c r="A557" s="227" t="n"/>
      <c r="B557" s="228" t="inlineStr">
        <is>
          <t>SANDRA</t>
        </is>
      </c>
      <c r="C557" s="229" t="n">
        <v>3</v>
      </c>
      <c r="D557" s="229" t="n"/>
      <c r="E557" s="229" t="n"/>
      <c r="F557" s="230" t="n"/>
      <c r="G557" s="230" t="n"/>
      <c r="H557" s="257" t="n">
        <v>58500</v>
      </c>
      <c r="I557" s="258" t="n">
        <v>58500</v>
      </c>
      <c r="J557" s="258" t="n"/>
      <c r="K557" s="233" t="n"/>
      <c r="L557" s="233" t="n">
        <v>11100</v>
      </c>
      <c r="M557" s="156" t="n"/>
    </row>
    <row r="558" ht="15" customHeight="1" s="153">
      <c r="A558" s="227" t="n"/>
      <c r="B558" s="228" t="inlineStr">
        <is>
          <t>BLAS PARERA 5655</t>
        </is>
      </c>
      <c r="C558" s="229" t="n">
        <v>1</v>
      </c>
      <c r="D558" s="229" t="n"/>
      <c r="E558" s="229" t="n"/>
      <c r="F558" s="230" t="n"/>
      <c r="G558" s="230" t="n"/>
      <c r="H558" s="257" t="n">
        <v>26000</v>
      </c>
      <c r="I558" s="258" t="n">
        <v>26000</v>
      </c>
      <c r="J558" s="258" t="n"/>
      <c r="K558" s="233" t="n"/>
      <c r="L558" s="233" t="n">
        <v>10200</v>
      </c>
      <c r="M558" s="156" t="n"/>
    </row>
    <row r="559" ht="15" customHeight="1" s="153">
      <c r="A559" s="227" t="n"/>
      <c r="B559" s="228" t="inlineStr">
        <is>
          <t>TROPPO (2 reguladores)</t>
        </is>
      </c>
      <c r="C559" s="229" t="n"/>
      <c r="D559" s="229" t="n"/>
      <c r="E559" s="229" t="n"/>
      <c r="F559" s="230" t="n"/>
      <c r="G559" s="230" t="n"/>
      <c r="H559" s="257" t="n">
        <v>50000</v>
      </c>
      <c r="I559" s="258" t="n"/>
      <c r="J559" s="258" t="n">
        <v>50000</v>
      </c>
      <c r="K559" s="233" t="n">
        <v>26000</v>
      </c>
      <c r="L559" s="233" t="n">
        <v>26000</v>
      </c>
      <c r="M559" s="156" t="n"/>
    </row>
    <row r="560" ht="15" customHeight="1" s="153">
      <c r="A560" s="227" t="n"/>
      <c r="B560" s="228" t="inlineStr">
        <is>
          <t>PUBLICO 3893</t>
        </is>
      </c>
      <c r="C560" s="229" t="n"/>
      <c r="D560" s="229" t="n">
        <v>1</v>
      </c>
      <c r="E560" s="229" t="n"/>
      <c r="F560" s="230" t="n"/>
      <c r="G560" s="230" t="n"/>
      <c r="H560" s="257" t="n">
        <v>38500</v>
      </c>
      <c r="I560" s="258" t="n"/>
      <c r="J560" s="258" t="n">
        <v>38500</v>
      </c>
      <c r="K560" s="233" t="n"/>
      <c r="L560" s="233" t="n">
        <v>14800</v>
      </c>
      <c r="M560" s="156" t="n"/>
    </row>
    <row r="561" ht="15" customHeight="1" s="153">
      <c r="A561" s="227" t="n"/>
      <c r="B561" s="228" t="inlineStr">
        <is>
          <t>PANA GENESIO</t>
        </is>
      </c>
      <c r="C561" s="229" t="n"/>
      <c r="D561" s="229" t="n"/>
      <c r="E561" s="229" t="n">
        <v>1</v>
      </c>
      <c r="F561" s="230" t="n"/>
      <c r="G561" s="230" t="n"/>
      <c r="H561" s="257" t="n">
        <v>79000</v>
      </c>
      <c r="I561" s="258" t="n">
        <v>79000</v>
      </c>
      <c r="J561" s="258" t="n"/>
      <c r="K561" s="233" t="n"/>
      <c r="L561" s="233" t="n">
        <v>17000</v>
      </c>
      <c r="M561" s="156" t="n"/>
    </row>
    <row r="562" ht="15" customHeight="1" s="153">
      <c r="A562" s="227" t="n"/>
      <c r="B562" s="228" t="inlineStr">
        <is>
          <t>BLAS PARERA 9129</t>
        </is>
      </c>
      <c r="C562" s="229" t="n">
        <v>1</v>
      </c>
      <c r="D562" s="229" t="n"/>
      <c r="E562" s="229" t="n"/>
      <c r="F562" s="230" t="n"/>
      <c r="G562" s="230" t="n"/>
      <c r="H562" s="257" t="n">
        <v>26000</v>
      </c>
      <c r="I562" s="258" t="n">
        <v>26000</v>
      </c>
      <c r="J562" s="258" t="n"/>
      <c r="K562" s="233" t="n"/>
      <c r="L562" s="233" t="n">
        <v>10200</v>
      </c>
      <c r="M562" s="156" t="n"/>
    </row>
    <row r="563" ht="15" customHeight="1" s="153">
      <c r="A563" s="227" t="n"/>
      <c r="B563" s="228" t="inlineStr">
        <is>
          <t>ARISTÓBULO 5137</t>
        </is>
      </c>
      <c r="C563" s="229" t="n">
        <v>1</v>
      </c>
      <c r="D563" s="229" t="n"/>
      <c r="E563" s="229" t="n"/>
      <c r="F563" s="230" t="n"/>
      <c r="G563" s="230" t="n"/>
      <c r="H563" s="257" t="n">
        <v>26500</v>
      </c>
      <c r="I563" s="258" t="n"/>
      <c r="J563" s="258" t="n">
        <v>26500</v>
      </c>
      <c r="K563" s="233" t="n"/>
      <c r="L563" s="233" t="n">
        <v>10700</v>
      </c>
      <c r="M563" s="156" t="n"/>
    </row>
    <row r="564" ht="15" customHeight="1" s="153">
      <c r="A564" s="227" t="n"/>
      <c r="B564" s="228" t="inlineStr">
        <is>
          <t>LARGUIA 6924</t>
        </is>
      </c>
      <c r="C564" s="229" t="n">
        <v>1</v>
      </c>
      <c r="D564" s="229" t="n"/>
      <c r="E564" s="229" t="n"/>
      <c r="F564" s="230" t="n"/>
      <c r="G564" s="230" t="n"/>
      <c r="H564" s="257" t="n">
        <v>26000</v>
      </c>
      <c r="I564" s="258" t="n">
        <v>26000</v>
      </c>
      <c r="J564" s="258" t="n"/>
      <c r="K564" s="233" t="n"/>
      <c r="L564" s="233" t="n">
        <v>10200</v>
      </c>
      <c r="M564" s="156" t="n"/>
    </row>
    <row r="565" ht="15" customHeight="1" s="153">
      <c r="A565" s="227" t="n"/>
      <c r="B565" s="228" t="inlineStr">
        <is>
          <t>LOPES Y PLANES 4585</t>
        </is>
      </c>
      <c r="C565" s="229" t="n">
        <v>1</v>
      </c>
      <c r="D565" s="229" t="n"/>
      <c r="E565" s="229" t="n"/>
      <c r="F565" s="230" t="n"/>
      <c r="G565" s="230" t="n"/>
      <c r="H565" s="257" t="n">
        <v>26000</v>
      </c>
      <c r="I565" s="258" t="n"/>
      <c r="J565" s="258" t="n">
        <v>26000</v>
      </c>
      <c r="K565" s="233" t="n"/>
      <c r="L565" s="233" t="n">
        <v>10200</v>
      </c>
      <c r="M565" s="156" t="n"/>
    </row>
    <row r="566" ht="15" customHeight="1" s="153">
      <c r="A566" s="227" t="n"/>
      <c r="B566" s="228" t="inlineStr">
        <is>
          <t>PANA BERUTI</t>
        </is>
      </c>
      <c r="C566" s="229" t="n"/>
      <c r="D566" s="229" t="n"/>
      <c r="E566" s="229" t="n">
        <v>1</v>
      </c>
      <c r="F566" s="230" t="n"/>
      <c r="G566" s="230" t="n"/>
      <c r="H566" s="257" t="n">
        <v>79000</v>
      </c>
      <c r="I566" s="258" t="n"/>
      <c r="J566" s="258" t="n">
        <v>79000</v>
      </c>
      <c r="K566" s="233" t="n"/>
      <c r="L566" s="233" t="n">
        <v>17000</v>
      </c>
      <c r="M566" s="156" t="n"/>
    </row>
    <row r="567" ht="15" customHeight="1" s="153">
      <c r="A567" s="227" t="n"/>
      <c r="B567" s="228" t="inlineStr">
        <is>
          <t>CAREN</t>
        </is>
      </c>
      <c r="C567" s="229" t="n"/>
      <c r="D567" s="229" t="n"/>
      <c r="E567" s="229" t="n">
        <v>1</v>
      </c>
      <c r="F567" s="230" t="n"/>
      <c r="G567" s="230" t="n"/>
      <c r="H567" s="257" t="n">
        <v>85000</v>
      </c>
      <c r="I567" s="258" t="n"/>
      <c r="J567" s="258" t="n">
        <v>85000</v>
      </c>
      <c r="K567" s="233" t="n"/>
      <c r="L567" s="233" t="n">
        <v>23000</v>
      </c>
      <c r="M567" s="156" t="n"/>
    </row>
    <row r="568" ht="15" customHeight="1" s="153">
      <c r="A568" s="227" t="n"/>
      <c r="B568" s="228" t="inlineStr">
        <is>
          <t>EXE</t>
        </is>
      </c>
      <c r="C568" s="229" t="n"/>
      <c r="D568" s="229" t="n"/>
      <c r="E568" s="229" t="n">
        <v>2</v>
      </c>
      <c r="F568" s="230" t="n"/>
      <c r="G568" s="230" t="n"/>
      <c r="H568" s="257" t="n">
        <v>170000</v>
      </c>
      <c r="I568" s="258" t="n"/>
      <c r="J568" s="258" t="n">
        <v>170000</v>
      </c>
      <c r="K568" s="233" t="n"/>
      <c r="L568" s="233" t="n">
        <v>46000</v>
      </c>
      <c r="M568" s="156" t="n"/>
    </row>
    <row r="569" ht="15" customHeight="1" s="153">
      <c r="A569" s="227" t="n"/>
      <c r="B569" s="228" t="inlineStr">
        <is>
          <t>SABOREAR</t>
        </is>
      </c>
      <c r="C569" s="229" t="n">
        <v>1</v>
      </c>
      <c r="D569" s="229" t="n"/>
      <c r="E569" s="229" t="n"/>
      <c r="F569" s="230" t="n"/>
      <c r="G569" s="230" t="n"/>
      <c r="H569" s="257" t="n">
        <v>23500</v>
      </c>
      <c r="I569" s="258" t="n"/>
      <c r="J569" s="258" t="n">
        <v>23500</v>
      </c>
      <c r="K569" s="233" t="n"/>
      <c r="L569" s="233" t="n">
        <v>7700</v>
      </c>
      <c r="M569" s="156" t="n"/>
    </row>
    <row r="570" ht="15" customHeight="1" s="153">
      <c r="A570" s="227" t="n"/>
      <c r="B570" s="228" t="inlineStr">
        <is>
          <t>LOLI</t>
        </is>
      </c>
      <c r="C570" s="229" t="n">
        <v>1</v>
      </c>
      <c r="D570" s="229" t="n"/>
      <c r="E570" s="229" t="n"/>
      <c r="F570" s="230" t="n">
        <v>6</v>
      </c>
      <c r="G570" s="230" t="n"/>
      <c r="H570" s="257" t="n">
        <v>47000</v>
      </c>
      <c r="I570" s="258" t="n">
        <v>47000</v>
      </c>
      <c r="J570" s="258" t="n"/>
      <c r="K570" s="233" t="n"/>
      <c r="L570" s="233" t="n">
        <v>17400</v>
      </c>
      <c r="M570" s="156" t="n"/>
    </row>
    <row r="571" ht="15" customHeight="1" s="153">
      <c r="A571" s="227" t="n"/>
      <c r="B571" s="228" t="inlineStr">
        <is>
          <t>LAVAISE 3786</t>
        </is>
      </c>
      <c r="C571" s="229" t="n">
        <v>1</v>
      </c>
      <c r="D571" s="229" t="n"/>
      <c r="E571" s="229" t="n"/>
      <c r="F571" s="230" t="n"/>
      <c r="G571" s="230" t="n"/>
      <c r="H571" s="257" t="n">
        <v>26000</v>
      </c>
      <c r="I571" s="258" t="n"/>
      <c r="J571" s="258" t="n">
        <v>26000</v>
      </c>
      <c r="K571" s="233" t="n"/>
      <c r="L571" s="233" t="n">
        <v>10200</v>
      </c>
      <c r="M571" s="156" t="n"/>
    </row>
    <row r="572" ht="15" customHeight="1" s="153">
      <c r="A572" s="227" t="n"/>
      <c r="B572" s="228" t="inlineStr">
        <is>
          <t>1 DE MAYO 8361</t>
        </is>
      </c>
      <c r="C572" s="229" t="n">
        <v>1</v>
      </c>
      <c r="D572" s="229" t="n"/>
      <c r="E572" s="229" t="n"/>
      <c r="F572" s="230" t="n"/>
      <c r="G572" s="230" t="n"/>
      <c r="H572" s="257" t="n">
        <v>26000</v>
      </c>
      <c r="I572" s="258" t="n">
        <v>26000</v>
      </c>
      <c r="J572" s="258" t="n"/>
      <c r="K572" s="233" t="n"/>
      <c r="L572" s="233" t="n">
        <v>10200</v>
      </c>
      <c r="M572" s="156" t="n"/>
    </row>
    <row r="573" ht="15" customHeight="1" s="153">
      <c r="A573" s="227" t="n">
        <v>46170</v>
      </c>
      <c r="B573" s="228" t="inlineStr">
        <is>
          <t>9 DE JULIO 3666</t>
        </is>
      </c>
      <c r="C573" s="229" t="n">
        <v>1</v>
      </c>
      <c r="D573" s="229" t="n"/>
      <c r="E573" s="229" t="n"/>
      <c r="F573" s="230" t="n"/>
      <c r="G573" s="230" t="n"/>
      <c r="H573" s="257" t="n">
        <v>26000</v>
      </c>
      <c r="I573" s="258" t="n">
        <v>26000</v>
      </c>
      <c r="J573" s="258" t="n"/>
      <c r="K573" s="233" t="n"/>
      <c r="L573" s="233" t="n">
        <v>10200</v>
      </c>
      <c r="M573" s="156" t="n"/>
    </row>
    <row r="574" ht="15" customHeight="1" s="153">
      <c r="A574" s="227" t="n"/>
      <c r="B574" s="228" t="inlineStr">
        <is>
          <t>OTNIEL</t>
        </is>
      </c>
      <c r="C574" s="229" t="n"/>
      <c r="D574" s="229" t="n"/>
      <c r="E574" s="229" t="n">
        <v>2</v>
      </c>
      <c r="F574" s="230" t="n"/>
      <c r="G574" s="230" t="n"/>
      <c r="H574" s="257" t="n">
        <v>168000</v>
      </c>
      <c r="I574" s="258" t="n">
        <v>168000</v>
      </c>
      <c r="J574" s="258" t="n"/>
      <c r="K574" s="233" t="n"/>
      <c r="L574" s="233" t="n">
        <v>44000</v>
      </c>
      <c r="M574" s="156" t="n"/>
    </row>
    <row r="575" ht="15" customHeight="1" s="153">
      <c r="A575" s="227" t="n"/>
      <c r="B575" s="228" t="inlineStr">
        <is>
          <t>PANA VIEYTES GISELA</t>
        </is>
      </c>
      <c r="C575" s="229" t="n">
        <v>1</v>
      </c>
      <c r="D575" s="229" t="n"/>
      <c r="E575" s="229" t="n"/>
      <c r="F575" s="230" t="n"/>
      <c r="G575" s="230" t="n"/>
      <c r="H575" s="257" t="n">
        <v>24000</v>
      </c>
      <c r="I575" s="258" t="n"/>
      <c r="J575" s="258" t="n">
        <v>24000</v>
      </c>
      <c r="K575" s="233" t="n"/>
      <c r="L575" s="233" t="n">
        <v>8200</v>
      </c>
      <c r="M575" s="156" t="n"/>
    </row>
    <row r="576" ht="15" customHeight="1" s="153">
      <c r="A576" s="227" t="n"/>
      <c r="B576" s="228" t="inlineStr">
        <is>
          <t>LUCHO</t>
        </is>
      </c>
      <c r="C576" s="229" t="n">
        <v>3</v>
      </c>
      <c r="D576" s="229" t="n"/>
      <c r="E576" s="229" t="n"/>
      <c r="F576" s="230" t="n"/>
      <c r="G576" s="230" t="n"/>
      <c r="H576" s="257" t="n">
        <v>60000</v>
      </c>
      <c r="I576" s="258" t="n">
        <v>60000</v>
      </c>
      <c r="J576" s="258" t="n"/>
      <c r="K576" s="233" t="n"/>
      <c r="L576" s="233" t="n">
        <v>12600</v>
      </c>
      <c r="M576" s="156" t="n"/>
    </row>
    <row r="577" ht="15" customHeight="1" s="153">
      <c r="A577" s="227" t="n"/>
      <c r="B577" s="228" t="inlineStr">
        <is>
          <t>IRMA</t>
        </is>
      </c>
      <c r="C577" s="229" t="n">
        <v>1</v>
      </c>
      <c r="D577" s="229" t="n"/>
      <c r="E577" s="229" t="n"/>
      <c r="F577" s="230" t="n"/>
      <c r="G577" s="230" t="n"/>
      <c r="H577" s="257" t="n">
        <v>27000</v>
      </c>
      <c r="I577" s="258" t="n">
        <v>27000</v>
      </c>
      <c r="J577" s="258" t="n"/>
      <c r="K577" s="233" t="n"/>
      <c r="L577" s="233" t="n">
        <v>11200</v>
      </c>
      <c r="M577" s="156" t="n"/>
    </row>
    <row r="578" ht="15" customHeight="1" s="153">
      <c r="A578" s="227" t="n"/>
      <c r="B578" s="228" t="inlineStr">
        <is>
          <t>VIANDAS JORGE</t>
        </is>
      </c>
      <c r="C578" s="229" t="n">
        <v>1</v>
      </c>
      <c r="D578" s="229" t="n"/>
      <c r="E578" s="229" t="n"/>
      <c r="F578" s="230" t="n"/>
      <c r="G578" s="230" t="n"/>
      <c r="H578" s="257" t="n">
        <v>23000</v>
      </c>
      <c r="I578" s="258" t="n">
        <v>23000</v>
      </c>
      <c r="J578" s="258" t="n"/>
      <c r="K578" s="233" t="n"/>
      <c r="L578" s="233" t="n">
        <v>7200</v>
      </c>
      <c r="M578" s="156" t="n"/>
    </row>
    <row r="579" ht="15" customHeight="1" s="153">
      <c r="A579" s="227" t="n"/>
      <c r="B579" s="228" t="inlineStr">
        <is>
          <t>PANA ALBERTI</t>
        </is>
      </c>
      <c r="C579" s="229" t="n"/>
      <c r="D579" s="229" t="n"/>
      <c r="E579" s="229" t="n">
        <v>1</v>
      </c>
      <c r="F579" s="230" t="n"/>
      <c r="G579" s="230" t="n"/>
      <c r="H579" s="257" t="n">
        <v>85000</v>
      </c>
      <c r="I579" s="258" t="n">
        <v>85000</v>
      </c>
      <c r="J579" s="258" t="n"/>
      <c r="K579" s="233" t="n"/>
      <c r="L579" s="233" t="n">
        <v>23000</v>
      </c>
      <c r="M579" s="156" t="n"/>
    </row>
    <row r="580" ht="15" customHeight="1" s="153">
      <c r="A580" s="227" t="n"/>
      <c r="B580" s="228" t="inlineStr">
        <is>
          <t>CHICLANA 7325</t>
        </is>
      </c>
      <c r="C580" s="229" t="n">
        <v>1</v>
      </c>
      <c r="D580" s="229" t="n"/>
      <c r="E580" s="229" t="n"/>
      <c r="F580" s="230" t="n"/>
      <c r="G580" s="230" t="n"/>
      <c r="H580" s="257" t="n">
        <v>20000</v>
      </c>
      <c r="I580" s="258" t="n"/>
      <c r="J580" s="258" t="n">
        <v>20000</v>
      </c>
      <c r="K580" s="233" t="n"/>
      <c r="L580" s="233" t="n">
        <v>4200</v>
      </c>
      <c r="M580" s="156" t="n"/>
    </row>
    <row r="581" ht="15" customHeight="1" s="153">
      <c r="A581" s="227" t="n"/>
      <c r="B581" s="228" t="inlineStr">
        <is>
          <t>PABLO FIGUEROA</t>
        </is>
      </c>
      <c r="C581" s="229" t="n">
        <v>1</v>
      </c>
      <c r="D581" s="229" t="n"/>
      <c r="E581" s="229" t="n"/>
      <c r="F581" s="230" t="n"/>
      <c r="G581" s="230" t="n"/>
      <c r="H581" s="257" t="n">
        <v>27000</v>
      </c>
      <c r="I581" s="258" t="n"/>
      <c r="J581" s="258" t="n">
        <v>27000</v>
      </c>
      <c r="K581" s="233" t="n"/>
      <c r="L581" s="233" t="n">
        <v>11200</v>
      </c>
      <c r="M581" s="156" t="n"/>
    </row>
    <row r="582" ht="15" customHeight="1" s="153">
      <c r="A582" s="227" t="n"/>
      <c r="B582" s="228" t="inlineStr">
        <is>
          <t>VIEYTES 4361</t>
        </is>
      </c>
      <c r="C582" s="229" t="n">
        <v>1</v>
      </c>
      <c r="D582" s="229" t="n"/>
      <c r="E582" s="229" t="n"/>
      <c r="F582" s="230" t="n"/>
      <c r="G582" s="230" t="n"/>
      <c r="H582" s="257" t="n">
        <v>26000</v>
      </c>
      <c r="I582" s="258" t="n">
        <v>26000</v>
      </c>
      <c r="J582" s="258" t="n"/>
      <c r="K582" s="233" t="n"/>
      <c r="L582" s="233" t="n">
        <v>10200</v>
      </c>
      <c r="M582" s="156" t="n"/>
    </row>
    <row r="583" ht="15" customHeight="1" s="153">
      <c r="A583" s="227" t="n"/>
      <c r="B583" s="228" t="inlineStr">
        <is>
          <t>LO DE NICO</t>
        </is>
      </c>
      <c r="C583" s="229" t="n">
        <v>4</v>
      </c>
      <c r="D583" s="229" t="n"/>
      <c r="E583" s="229" t="n"/>
      <c r="F583" s="230" t="n"/>
      <c r="G583" s="230" t="n"/>
      <c r="H583" s="257" t="n">
        <v>82000</v>
      </c>
      <c r="I583" s="258" t="n"/>
      <c r="J583" s="258" t="n">
        <v>82000</v>
      </c>
      <c r="K583" s="233" t="n"/>
      <c r="L583" s="233" t="n">
        <v>18800</v>
      </c>
      <c r="M583" s="156" t="n"/>
    </row>
    <row r="584" ht="15" customHeight="1" s="153">
      <c r="A584" s="227" t="n"/>
      <c r="B584" s="228" t="inlineStr">
        <is>
          <t>SERBANDO BAYO 6782</t>
        </is>
      </c>
      <c r="C584" s="229" t="n"/>
      <c r="D584" s="229" t="n"/>
      <c r="E584" s="229" t="n">
        <v>1</v>
      </c>
      <c r="F584" s="230" t="n"/>
      <c r="G584" s="230" t="n"/>
      <c r="H584" s="257" t="n">
        <v>91000</v>
      </c>
      <c r="I584" s="258" t="n">
        <v>91000</v>
      </c>
      <c r="J584" s="258" t="n"/>
      <c r="K584" s="233" t="n"/>
      <c r="L584" s="233" t="n">
        <v>29000</v>
      </c>
      <c r="M584" s="156" t="n"/>
    </row>
    <row r="585" ht="15" customHeight="1" s="153">
      <c r="A585" s="227" t="n"/>
      <c r="B585" s="228" t="inlineStr">
        <is>
          <t>DANA</t>
        </is>
      </c>
      <c r="C585" s="229" t="n">
        <v>2</v>
      </c>
      <c r="D585" s="229" t="n"/>
      <c r="E585" s="229" t="n"/>
      <c r="F585" s="230" t="n"/>
      <c r="G585" s="230" t="n"/>
      <c r="H585" s="257" t="n">
        <v>40000</v>
      </c>
      <c r="I585" s="258" t="n"/>
      <c r="J585" s="258" t="n">
        <v>40000</v>
      </c>
      <c r="K585" s="233" t="n"/>
      <c r="L585" s="233" t="n">
        <v>8400</v>
      </c>
      <c r="M585" s="156" t="n"/>
    </row>
    <row r="586" ht="15" customHeight="1" s="153">
      <c r="A586" s="227" t="n"/>
      <c r="B586" s="228" t="inlineStr">
        <is>
          <t>ITURRASPE 962</t>
        </is>
      </c>
      <c r="C586" s="229" t="n">
        <v>1</v>
      </c>
      <c r="D586" s="229" t="n"/>
      <c r="E586" s="229" t="n"/>
      <c r="F586" s="230" t="n"/>
      <c r="G586" s="230" t="n"/>
      <c r="H586" s="257" t="n">
        <v>26000</v>
      </c>
      <c r="I586" s="258" t="n">
        <v>26000</v>
      </c>
      <c r="J586" s="258" t="n"/>
      <c r="K586" s="233" t="n"/>
      <c r="L586" s="233" t="n">
        <v>10200</v>
      </c>
      <c r="M586" s="156" t="n"/>
    </row>
    <row r="587" ht="15" customHeight="1" s="153">
      <c r="A587" s="227" t="n"/>
      <c r="B587" s="228" t="inlineStr">
        <is>
          <t>JJ VALLE 5521</t>
        </is>
      </c>
      <c r="C587" s="229" t="n"/>
      <c r="D587" s="229" t="n">
        <v>1</v>
      </c>
      <c r="E587" s="229" t="n"/>
      <c r="F587" s="230" t="n"/>
      <c r="G587" s="230" t="n"/>
      <c r="H587" s="257" t="n">
        <v>34500</v>
      </c>
      <c r="I587" s="258" t="n"/>
      <c r="J587" s="258" t="n">
        <v>34500</v>
      </c>
      <c r="K587" s="233" t="n"/>
      <c r="L587" s="233" t="n">
        <v>10800</v>
      </c>
      <c r="M587" s="156" t="n"/>
    </row>
    <row r="588" ht="15" customHeight="1" s="153">
      <c r="A588" s="227" t="n"/>
      <c r="B588" s="228" t="inlineStr">
        <is>
          <t>CASTELLI 2312</t>
        </is>
      </c>
      <c r="C588" s="229" t="n"/>
      <c r="D588" s="229" t="n">
        <v>1</v>
      </c>
      <c r="E588" s="229" t="n"/>
      <c r="F588" s="230" t="n"/>
      <c r="G588" s="230" t="n"/>
      <c r="H588" s="257" t="n">
        <v>38500</v>
      </c>
      <c r="I588" s="258" t="n">
        <v>38500</v>
      </c>
      <c r="J588" s="258" t="n"/>
      <c r="K588" s="233" t="n"/>
      <c r="L588" s="233" t="n">
        <v>14800</v>
      </c>
      <c r="M588" s="156" t="n"/>
    </row>
    <row r="589" ht="15" customHeight="1" s="153">
      <c r="A589" s="227" t="n"/>
      <c r="B589" s="228" t="inlineStr">
        <is>
          <t>ALBERTI 5251</t>
        </is>
      </c>
      <c r="C589" s="229" t="n">
        <v>2</v>
      </c>
      <c r="D589" s="229" t="n"/>
      <c r="E589" s="229" t="n"/>
      <c r="F589" s="230" t="n"/>
      <c r="G589" s="230" t="n"/>
      <c r="H589" s="257" t="n">
        <v>50000</v>
      </c>
      <c r="I589" s="258" t="n">
        <v>50000</v>
      </c>
      <c r="J589" s="258" t="n"/>
      <c r="K589" s="233" t="n"/>
      <c r="L589" s="233" t="n">
        <v>18400</v>
      </c>
      <c r="M589" s="156" t="n"/>
    </row>
    <row r="590" ht="15" customHeight="1" s="153">
      <c r="A590" s="227" t="n"/>
      <c r="B590" s="228" t="inlineStr">
        <is>
          <t>FILOMENA</t>
        </is>
      </c>
      <c r="C590" s="229" t="n">
        <v>2</v>
      </c>
      <c r="D590" s="229" t="n"/>
      <c r="E590" s="229" t="n"/>
      <c r="F590" s="230" t="n"/>
      <c r="G590" s="230" t="n"/>
      <c r="H590" s="257" t="n">
        <v>49000</v>
      </c>
      <c r="I590" s="258" t="n"/>
      <c r="J590" s="258" t="n">
        <v>49000</v>
      </c>
      <c r="K590" s="233" t="n"/>
      <c r="L590" s="233" t="n">
        <v>17400</v>
      </c>
      <c r="M590" s="156" t="n"/>
    </row>
    <row r="591" ht="15" customHeight="1" s="153">
      <c r="A591" s="227" t="n"/>
      <c r="B591" s="228" t="inlineStr">
        <is>
          <t>PANA VIEYTES 4500</t>
        </is>
      </c>
      <c r="C591" s="229" t="n"/>
      <c r="D591" s="229" t="n"/>
      <c r="E591" s="229" t="n">
        <v>1</v>
      </c>
      <c r="F591" s="230" t="n"/>
      <c r="G591" s="230" t="n"/>
      <c r="H591" s="257" t="n">
        <v>81000</v>
      </c>
      <c r="I591" s="258" t="n"/>
      <c r="J591" s="258" t="n">
        <v>81000</v>
      </c>
      <c r="K591" s="233" t="n"/>
      <c r="L591" s="233" t="n">
        <v>19000</v>
      </c>
      <c r="M591" s="156" t="n"/>
    </row>
    <row r="592" ht="15" customHeight="1" s="153">
      <c r="A592" s="227" t="n"/>
      <c r="B592" s="228" t="inlineStr">
        <is>
          <t>PUBLICO 2527</t>
        </is>
      </c>
      <c r="C592" s="229" t="n">
        <v>1</v>
      </c>
      <c r="D592" s="229" t="n">
        <v>1</v>
      </c>
      <c r="E592" s="229" t="n"/>
      <c r="F592" s="230" t="n"/>
      <c r="G592" s="230" t="n"/>
      <c r="H592" s="257" t="n">
        <v>68000</v>
      </c>
      <c r="I592" s="258" t="n"/>
      <c r="J592" s="258" t="n">
        <v>68000</v>
      </c>
      <c r="K592" s="233" t="n"/>
      <c r="L592" s="233" t="n">
        <v>28500</v>
      </c>
      <c r="M592" s="156" t="n"/>
    </row>
    <row r="593" ht="15" customHeight="1" s="153">
      <c r="A593" s="227" t="n"/>
      <c r="B593" s="228" t="inlineStr">
        <is>
          <t>GABOTO 8168</t>
        </is>
      </c>
      <c r="C593" s="229" t="n"/>
      <c r="D593" s="229" t="n"/>
      <c r="E593" s="229" t="n">
        <v>1</v>
      </c>
      <c r="F593" s="230" t="n"/>
      <c r="G593" s="230" t="n"/>
      <c r="H593" s="257" t="n">
        <v>92000</v>
      </c>
      <c r="I593" s="258" t="n"/>
      <c r="J593" s="258" t="n">
        <v>92000</v>
      </c>
      <c r="K593" s="233" t="n"/>
      <c r="L593" s="233" t="n">
        <v>30000</v>
      </c>
      <c r="M593" s="156" t="n"/>
    </row>
    <row r="594" ht="15" customHeight="1" s="153">
      <c r="A594" s="227" t="n"/>
      <c r="B594" s="228" t="inlineStr">
        <is>
          <t>ROTI AGUADO</t>
        </is>
      </c>
      <c r="C594" s="229" t="n">
        <v>1</v>
      </c>
      <c r="D594" s="229" t="n">
        <v>1</v>
      </c>
      <c r="E594" s="229" t="n"/>
      <c r="F594" s="230" t="n"/>
      <c r="G594" s="230" t="n"/>
      <c r="H594" s="257" t="n">
        <v>61000</v>
      </c>
      <c r="I594" s="258" t="n"/>
      <c r="J594" s="258" t="n">
        <v>61000</v>
      </c>
      <c r="K594" s="233" t="n"/>
      <c r="L594" s="233" t="n">
        <v>21500</v>
      </c>
      <c r="M594" s="156" t="n"/>
    </row>
    <row r="595" ht="15" customHeight="1" s="153">
      <c r="A595" s="227" t="n">
        <v>46171</v>
      </c>
      <c r="B595" s="228" t="inlineStr">
        <is>
          <t>LUCHO</t>
        </is>
      </c>
      <c r="C595" s="229" t="n">
        <v>2</v>
      </c>
      <c r="D595" s="229" t="n"/>
      <c r="E595" s="229" t="n"/>
      <c r="F595" s="230" t="n"/>
      <c r="G595" s="230" t="n"/>
      <c r="H595" s="257" t="n">
        <v>40000</v>
      </c>
      <c r="I595" s="258" t="n">
        <v>40000</v>
      </c>
      <c r="J595" s="258" t="n"/>
      <c r="K595" s="233" t="n"/>
      <c r="L595" s="233" t="n">
        <v>8400</v>
      </c>
      <c r="M595" s="156" t="n"/>
    </row>
    <row r="596" ht="15" customHeight="1" s="153">
      <c r="A596" s="227" t="n"/>
      <c r="B596" s="228" t="inlineStr">
        <is>
          <t>ASCUÉNAGA 5023</t>
        </is>
      </c>
      <c r="C596" s="229" t="n">
        <v>4</v>
      </c>
      <c r="D596" s="229" t="n">
        <v>2</v>
      </c>
      <c r="E596" s="229" t="n"/>
      <c r="F596" s="230" t="n"/>
      <c r="G596" s="230" t="n"/>
      <c r="H596" s="257" t="n">
        <v>143000</v>
      </c>
      <c r="I596" s="258" t="n"/>
      <c r="J596" s="258" t="n">
        <v>143000</v>
      </c>
      <c r="K596" s="233" t="n"/>
      <c r="L596" s="233" t="n">
        <v>32400</v>
      </c>
      <c r="M596" s="156" t="n"/>
    </row>
    <row r="597" ht="15" customHeight="1" s="153">
      <c r="A597" s="227" t="n"/>
      <c r="B597" s="228" t="inlineStr">
        <is>
          <t>LOBOS</t>
        </is>
      </c>
      <c r="C597" s="229" t="n">
        <v>4</v>
      </c>
      <c r="D597" s="229" t="n">
        <v>2</v>
      </c>
      <c r="E597" s="229" t="n"/>
      <c r="F597" s="230" t="n"/>
      <c r="G597" s="230" t="n"/>
      <c r="H597" s="257" t="n">
        <v>173000</v>
      </c>
      <c r="I597" s="258" t="n">
        <v>173000</v>
      </c>
      <c r="J597" s="258" t="n"/>
      <c r="K597" s="233" t="n"/>
      <c r="L597" s="233" t="n">
        <v>62400</v>
      </c>
      <c r="M597" s="156" t="n"/>
    </row>
    <row r="598" ht="15" customHeight="1" s="153">
      <c r="A598" s="227" t="n"/>
      <c r="B598" s="228" t="inlineStr">
        <is>
          <t>DANI PAPÁ DE BRUNO</t>
        </is>
      </c>
      <c r="C598" s="229" t="n"/>
      <c r="D598" s="229" t="n">
        <v>1</v>
      </c>
      <c r="E598" s="229" t="n"/>
      <c r="F598" s="230" t="n"/>
      <c r="G598" s="230" t="n"/>
      <c r="H598" s="257" t="n">
        <v>37500</v>
      </c>
      <c r="I598" s="258" t="n"/>
      <c r="J598" s="258" t="n">
        <v>37500</v>
      </c>
      <c r="K598" s="233" t="n"/>
      <c r="L598" s="233" t="n">
        <v>13800</v>
      </c>
      <c r="M598" s="156" t="n"/>
    </row>
    <row r="599" ht="15" customHeight="1" s="153">
      <c r="A599" s="227" t="n"/>
      <c r="B599" s="228" t="inlineStr">
        <is>
          <t>9 DE JULIO 6933</t>
        </is>
      </c>
      <c r="C599" s="229" t="n">
        <v>1</v>
      </c>
      <c r="D599" s="229" t="n"/>
      <c r="E599" s="229" t="n"/>
      <c r="F599" s="230" t="n"/>
      <c r="G599" s="230" t="n"/>
      <c r="H599" s="257" t="n">
        <v>26500</v>
      </c>
      <c r="I599" s="258" t="n"/>
      <c r="J599" s="258" t="n">
        <v>26500</v>
      </c>
      <c r="K599" s="233" t="n"/>
      <c r="L599" s="233" t="n">
        <v>10700</v>
      </c>
      <c r="M599" s="156" t="n"/>
    </row>
    <row r="600" ht="15" customHeight="1" s="153">
      <c r="A600" s="227" t="n"/>
      <c r="B600" s="228" t="inlineStr">
        <is>
          <t>M POLONIA 2819</t>
        </is>
      </c>
      <c r="C600" s="229" t="n">
        <v>1</v>
      </c>
      <c r="D600" s="229" t="n"/>
      <c r="E600" s="229" t="n"/>
      <c r="F600" s="230" t="n"/>
      <c r="G600" s="230" t="n"/>
      <c r="H600" s="257" t="n">
        <v>27000</v>
      </c>
      <c r="I600" s="258" t="n"/>
      <c r="J600" s="258" t="n">
        <v>27000</v>
      </c>
      <c r="K600" s="233" t="n"/>
      <c r="L600" s="233" t="n">
        <v>11200</v>
      </c>
      <c r="M600" s="156" t="n"/>
    </row>
    <row r="601" ht="15" customHeight="1" s="153">
      <c r="A601" s="227" t="n"/>
      <c r="B601" s="228" t="inlineStr">
        <is>
          <t>9 DE JULIO 2833</t>
        </is>
      </c>
      <c r="C601" s="229" t="n">
        <v>1</v>
      </c>
      <c r="D601" s="229" t="n"/>
      <c r="E601" s="229" t="n"/>
      <c r="F601" s="230" t="n"/>
      <c r="G601" s="230" t="n"/>
      <c r="H601" s="257" t="n">
        <v>125000</v>
      </c>
      <c r="I601" s="258" t="n"/>
      <c r="J601" s="258" t="n">
        <v>125000</v>
      </c>
      <c r="K601" s="233" t="n">
        <v>34000</v>
      </c>
      <c r="L601" s="233" t="n">
        <v>44200</v>
      </c>
      <c r="M601" s="156" t="n"/>
    </row>
    <row r="602" ht="15" customHeight="1" s="153">
      <c r="A602" s="227" t="n"/>
      <c r="B602" s="228" t="inlineStr">
        <is>
          <t>EMIR SIMÓN</t>
        </is>
      </c>
      <c r="C602" s="229" t="n"/>
      <c r="D602" s="229" t="n"/>
      <c r="E602" s="229" t="n">
        <v>1</v>
      </c>
      <c r="F602" s="230" t="n"/>
      <c r="G602" s="230" t="n"/>
      <c r="H602" s="257" t="n">
        <v>96000</v>
      </c>
      <c r="I602" s="258" t="n"/>
      <c r="J602" s="258" t="n">
        <v>96000</v>
      </c>
      <c r="K602" s="233" t="n"/>
      <c r="L602" s="233" t="n">
        <v>34000</v>
      </c>
      <c r="M602" s="156" t="n"/>
    </row>
    <row r="603" ht="15" customHeight="1" s="153">
      <c r="A603" s="227" t="n"/>
      <c r="B603" s="228" t="inlineStr">
        <is>
          <t>LARGUIA 7142</t>
        </is>
      </c>
      <c r="C603" s="229" t="n">
        <v>1</v>
      </c>
      <c r="D603" s="229" t="n"/>
      <c r="E603" s="229" t="n"/>
      <c r="F603" s="230" t="n"/>
      <c r="G603" s="230" t="n"/>
      <c r="H603" s="257" t="n">
        <v>27000</v>
      </c>
      <c r="I603" s="258" t="n"/>
      <c r="J603" s="258" t="n">
        <v>27000</v>
      </c>
      <c r="K603" s="233" t="n"/>
      <c r="L603" s="233" t="n">
        <v>11200</v>
      </c>
      <c r="M603" s="156" t="n"/>
    </row>
    <row r="604" ht="15" customHeight="1" s="153">
      <c r="A604" s="227" t="n"/>
      <c r="B604" s="228" t="inlineStr">
        <is>
          <t>PICHY</t>
        </is>
      </c>
      <c r="C604" s="229" t="n">
        <v>1</v>
      </c>
      <c r="D604" s="229" t="n"/>
      <c r="E604" s="229" t="n"/>
      <c r="F604" s="230" t="n"/>
      <c r="G604" s="230" t="n"/>
      <c r="H604" s="257" t="n">
        <v>25000</v>
      </c>
      <c r="I604" s="258" t="n"/>
      <c r="J604" s="258" t="n">
        <v>25000</v>
      </c>
      <c r="K604" s="233" t="n"/>
      <c r="L604" s="233" t="n">
        <v>9200</v>
      </c>
      <c r="M604" s="156" t="n"/>
    </row>
    <row r="605" ht="15" customHeight="1" s="153">
      <c r="A605" s="227" t="n"/>
      <c r="B605" s="228" t="inlineStr">
        <is>
          <t>PUBLICO 8150</t>
        </is>
      </c>
      <c r="C605" s="229" t="n"/>
      <c r="D605" s="229" t="n">
        <v>1</v>
      </c>
      <c r="E605" s="229" t="n"/>
      <c r="F605" s="230" t="n"/>
      <c r="G605" s="230" t="n"/>
      <c r="H605" s="257" t="n">
        <v>42500</v>
      </c>
      <c r="I605" s="258" t="n"/>
      <c r="J605" s="258" t="n">
        <v>42500</v>
      </c>
      <c r="K605" s="233" t="n"/>
      <c r="L605" s="233" t="n">
        <v>18800</v>
      </c>
      <c r="M605" s="156" t="n"/>
    </row>
    <row r="606" ht="15" customHeight="1" s="153">
      <c r="A606" s="227" t="n"/>
      <c r="B606" s="228" t="inlineStr">
        <is>
          <t>LA CUEVA</t>
        </is>
      </c>
      <c r="C606" s="229" t="n">
        <v>1</v>
      </c>
      <c r="D606" s="229" t="n"/>
      <c r="E606" s="229" t="n"/>
      <c r="F606" s="230" t="n"/>
      <c r="G606" s="230" t="n"/>
      <c r="H606" s="257" t="n">
        <v>23500</v>
      </c>
      <c r="I606" s="258" t="n">
        <v>23500</v>
      </c>
      <c r="J606" s="258" t="n"/>
      <c r="K606" s="233" t="n"/>
      <c r="L606" s="233" t="n">
        <v>7700</v>
      </c>
      <c r="M606" s="156" t="n"/>
    </row>
    <row r="607" ht="15" customHeight="1" s="153">
      <c r="A607" s="227" t="n"/>
      <c r="B607" s="228" t="inlineStr">
        <is>
          <t>SABOREAR</t>
        </is>
      </c>
      <c r="C607" s="229" t="n">
        <v>1</v>
      </c>
      <c r="D607" s="229" t="n"/>
      <c r="E607" s="229" t="n"/>
      <c r="F607" s="230" t="n"/>
      <c r="G607" s="230" t="n"/>
      <c r="H607" s="257" t="n">
        <v>23500</v>
      </c>
      <c r="I607" s="258" t="n"/>
      <c r="J607" s="258" t="n">
        <v>23500</v>
      </c>
      <c r="K607" s="233" t="n"/>
      <c r="L607" s="233" t="n">
        <v>7700</v>
      </c>
      <c r="M607" s="156" t="n"/>
    </row>
    <row r="608" ht="15" customHeight="1" s="153">
      <c r="A608" s="227" t="n"/>
      <c r="B608" s="228" t="inlineStr">
        <is>
          <t>BRASERIA</t>
        </is>
      </c>
      <c r="C608" s="229" t="n"/>
      <c r="D608" s="229" t="n"/>
      <c r="E608" s="229" t="n">
        <v>1</v>
      </c>
      <c r="F608" s="230" t="n"/>
      <c r="G608" s="230" t="n"/>
      <c r="H608" s="257" t="n">
        <v>94000</v>
      </c>
      <c r="I608" s="258" t="n"/>
      <c r="J608" s="258" t="n">
        <v>94000</v>
      </c>
      <c r="K608" s="233" t="n"/>
      <c r="L608" s="233" t="n">
        <v>32000</v>
      </c>
      <c r="M608" s="156" t="n"/>
    </row>
    <row r="609" ht="15" customHeight="1" s="153">
      <c r="A609" s="227" t="n"/>
      <c r="B609" s="228" t="inlineStr">
        <is>
          <t>BRANDON IRIGOYEN 6854</t>
        </is>
      </c>
      <c r="C609" s="229" t="n">
        <v>1</v>
      </c>
      <c r="D609" s="229" t="n"/>
      <c r="E609" s="229" t="n"/>
      <c r="F609" s="230" t="n"/>
      <c r="G609" s="230" t="n"/>
      <c r="H609" s="257" t="n">
        <v>26000</v>
      </c>
      <c r="I609" s="258" t="n">
        <v>26000</v>
      </c>
      <c r="J609" s="258" t="n"/>
      <c r="K609" s="233" t="n"/>
      <c r="L609" s="233" t="n">
        <v>10200</v>
      </c>
      <c r="M609" s="156" t="n"/>
    </row>
    <row r="610" ht="15" customHeight="1" s="153">
      <c r="A610" s="227" t="n">
        <v>46172</v>
      </c>
      <c r="B610" s="228" t="inlineStr">
        <is>
          <t>VIANDAS JORGE</t>
        </is>
      </c>
      <c r="C610" s="229" t="n">
        <v>1</v>
      </c>
      <c r="D610" s="229" t="n"/>
      <c r="E610" s="229" t="n"/>
      <c r="F610" s="230" t="n"/>
      <c r="G610" s="230" t="n"/>
      <c r="H610" s="257" t="n">
        <v>25000</v>
      </c>
      <c r="I610" s="258" t="n">
        <v>25000</v>
      </c>
      <c r="J610" s="258" t="n"/>
      <c r="K610" s="233" t="n"/>
      <c r="L610" s="233" t="n">
        <v>9200</v>
      </c>
      <c r="M610" s="156" t="n"/>
    </row>
    <row r="611" ht="15" customHeight="1" s="153">
      <c r="A611" s="227" t="n"/>
      <c r="B611" s="228" t="inlineStr">
        <is>
          <t>PEDRO DE VEGA 3755</t>
        </is>
      </c>
      <c r="C611" s="229" t="n">
        <v>1</v>
      </c>
      <c r="D611" s="229" t="n"/>
      <c r="E611" s="229" t="n"/>
      <c r="F611" s="230" t="n"/>
      <c r="G611" s="230" t="n"/>
      <c r="H611" s="257" t="n">
        <v>25000</v>
      </c>
      <c r="I611" s="258" t="n"/>
      <c r="J611" s="258" t="n">
        <v>25000</v>
      </c>
      <c r="K611" s="233" t="n"/>
      <c r="L611" s="233" t="n">
        <v>9200</v>
      </c>
      <c r="M611" s="156" t="n"/>
    </row>
    <row r="612" ht="15" customHeight="1" s="153">
      <c r="A612" s="227" t="n"/>
      <c r="B612" s="228" t="inlineStr">
        <is>
          <t>PEDRONI 6521</t>
        </is>
      </c>
      <c r="C612" s="229" t="n">
        <v>2</v>
      </c>
      <c r="D612" s="229" t="n"/>
      <c r="E612" s="229" t="n"/>
      <c r="F612" s="230" t="n"/>
      <c r="G612" s="230" t="n"/>
      <c r="H612" s="257" t="n">
        <v>40000</v>
      </c>
      <c r="I612" s="258" t="n">
        <v>40000</v>
      </c>
      <c r="J612" s="258" t="n"/>
      <c r="K612" s="233" t="n"/>
      <c r="L612" s="233" t="n">
        <v>8400</v>
      </c>
      <c r="M612" s="156" t="n"/>
    </row>
    <row r="613" ht="15" customHeight="1" s="153">
      <c r="A613" s="227" t="n"/>
      <c r="B613" s="228" t="inlineStr">
        <is>
          <t>PAULO</t>
        </is>
      </c>
      <c r="C613" s="229" t="n">
        <v>2</v>
      </c>
      <c r="D613" s="229" t="n"/>
      <c r="E613" s="229" t="n"/>
      <c r="F613" s="230" t="n"/>
      <c r="G613" s="230" t="n"/>
      <c r="H613" s="257" t="n">
        <v>40000</v>
      </c>
      <c r="I613" s="258" t="n">
        <v>40000</v>
      </c>
      <c r="J613" s="258" t="n"/>
      <c r="K613" s="233" t="n"/>
      <c r="L613" s="233" t="n">
        <v>8400</v>
      </c>
      <c r="M613" s="156" t="n"/>
    </row>
    <row r="614" ht="15" customHeight="1" s="153">
      <c r="A614" s="227" t="n"/>
      <c r="B614" s="228" t="inlineStr">
        <is>
          <t>VIEYTES 4333</t>
        </is>
      </c>
      <c r="C614" s="229" t="n">
        <v>2</v>
      </c>
      <c r="D614" s="229" t="n"/>
      <c r="E614" s="229" t="n"/>
      <c r="F614" s="230" t="n"/>
      <c r="G614" s="230" t="n"/>
      <c r="H614" s="257" t="n">
        <v>51000</v>
      </c>
      <c r="I614" s="258" t="n">
        <v>51000</v>
      </c>
      <c r="J614" s="258" t="n"/>
      <c r="K614" s="233" t="n"/>
      <c r="L614" s="233" t="n">
        <v>19400</v>
      </c>
      <c r="M614" s="156" t="n"/>
    </row>
    <row r="615" ht="15" customHeight="1" s="153">
      <c r="A615" s="227" t="n"/>
      <c r="B615" s="228" t="inlineStr">
        <is>
          <t>AZOPARDO Y PRIMER PASAJE</t>
        </is>
      </c>
      <c r="C615" s="229" t="n"/>
      <c r="D615" s="229" t="n">
        <v>1</v>
      </c>
      <c r="E615" s="229" t="n"/>
      <c r="F615" s="230" t="n"/>
      <c r="G615" s="230" t="n"/>
      <c r="H615" s="257" t="n">
        <v>41500</v>
      </c>
      <c r="I615" s="258" t="n"/>
      <c r="J615" s="258" t="n">
        <v>41500</v>
      </c>
      <c r="K615" s="233" t="n"/>
      <c r="L615" s="233" t="n">
        <v>17800</v>
      </c>
      <c r="M615" s="156" t="n"/>
    </row>
    <row r="616" ht="15" customHeight="1" s="153">
      <c r="A616" s="227" t="n"/>
      <c r="B616" s="228" t="inlineStr">
        <is>
          <t>SAN JOSÉ 8494</t>
        </is>
      </c>
      <c r="C616" s="229" t="n">
        <v>1</v>
      </c>
      <c r="D616" s="229" t="n"/>
      <c r="E616" s="229" t="n">
        <v>1</v>
      </c>
      <c r="F616" s="230" t="n"/>
      <c r="G616" s="230" t="n"/>
      <c r="H616" s="257" t="n">
        <v>126000</v>
      </c>
      <c r="I616" s="258" t="n">
        <v>126000</v>
      </c>
      <c r="J616" s="258" t="n"/>
      <c r="K616" s="233" t="n"/>
      <c r="L616" s="233" t="n">
        <v>48200</v>
      </c>
      <c r="M616" s="156" t="n"/>
    </row>
    <row r="617" ht="15" customHeight="1" s="153">
      <c r="A617" s="227" t="n"/>
      <c r="B617" s="228" t="inlineStr">
        <is>
          <t>ALSINA 9251</t>
        </is>
      </c>
      <c r="C617" s="229" t="n"/>
      <c r="D617" s="229" t="n"/>
      <c r="E617" s="229" t="n">
        <v>1</v>
      </c>
      <c r="F617" s="230" t="n"/>
      <c r="G617" s="230" t="n"/>
      <c r="H617" s="257" t="n">
        <v>98000</v>
      </c>
      <c r="I617" s="258" t="n">
        <v>98000</v>
      </c>
      <c r="J617" s="258" t="n"/>
      <c r="K617" s="233" t="n"/>
      <c r="L617" s="233" t="n">
        <v>36000</v>
      </c>
      <c r="M617" s="156" t="n"/>
    </row>
    <row r="618" ht="15" customHeight="1" s="153">
      <c r="A618" s="227" t="n"/>
      <c r="B618" s="228" t="inlineStr">
        <is>
          <t>SANDRA</t>
        </is>
      </c>
      <c r="C618" s="229" t="n"/>
      <c r="D618" s="229" t="n">
        <v>1</v>
      </c>
      <c r="E618" s="229" t="n"/>
      <c r="F618" s="230" t="n"/>
      <c r="G618" s="230" t="n"/>
      <c r="H618" s="257" t="n">
        <v>33000</v>
      </c>
      <c r="I618" s="258" t="n">
        <v>33000</v>
      </c>
      <c r="J618" s="258" t="n"/>
      <c r="K618" s="233" t="n"/>
      <c r="L618" s="233" t="n">
        <v>9300</v>
      </c>
      <c r="M618" s="156" t="n"/>
    </row>
    <row r="619" ht="15" customHeight="1" s="153">
      <c r="A619" s="227" t="n"/>
      <c r="B619" s="228" t="inlineStr">
        <is>
          <t>NAMUNCURA 4439</t>
        </is>
      </c>
      <c r="C619" s="229" t="n"/>
      <c r="D619" s="229" t="n">
        <v>2</v>
      </c>
      <c r="E619" s="229" t="n"/>
      <c r="F619" s="230" t="n"/>
      <c r="G619" s="230" t="n"/>
      <c r="H619" s="257" t="n">
        <v>85000</v>
      </c>
      <c r="I619" s="258" t="n"/>
      <c r="J619" s="258" t="n">
        <v>85000</v>
      </c>
      <c r="K619" s="233" t="n"/>
      <c r="L619" s="233" t="n">
        <v>37600</v>
      </c>
      <c r="M619" s="156" t="n"/>
    </row>
    <row r="620" ht="15" customHeight="1" s="153">
      <c r="A620" s="227" t="n"/>
      <c r="B620" s="228" t="inlineStr">
        <is>
          <t>FILOMENA</t>
        </is>
      </c>
      <c r="C620" s="229" t="n">
        <v>2</v>
      </c>
      <c r="D620" s="229" t="n"/>
      <c r="E620" s="229" t="n"/>
      <c r="F620" s="230" t="n"/>
      <c r="G620" s="230" t="n"/>
      <c r="H620" s="257" t="n">
        <v>53000</v>
      </c>
      <c r="I620" s="258" t="n"/>
      <c r="J620" s="258" t="n">
        <v>53000</v>
      </c>
      <c r="K620" s="233" t="n"/>
      <c r="L620" s="233" t="n">
        <v>21400</v>
      </c>
      <c r="M620" s="156" t="n"/>
    </row>
    <row r="621" ht="15" customHeight="1" s="153">
      <c r="A621" s="227" t="n"/>
      <c r="B621" s="228" t="inlineStr">
        <is>
          <t>CASTELLI 5249</t>
        </is>
      </c>
      <c r="C621" s="229" t="n">
        <v>1</v>
      </c>
      <c r="D621" s="229" t="n"/>
      <c r="E621" s="229" t="n"/>
      <c r="F621" s="230" t="n"/>
      <c r="G621" s="230" t="n"/>
      <c r="H621" s="257" t="n">
        <v>27500</v>
      </c>
      <c r="I621" s="258" t="n"/>
      <c r="J621" s="258" t="n">
        <v>27500</v>
      </c>
      <c r="K621" s="233" t="n"/>
      <c r="L621" s="233" t="n">
        <v>11700</v>
      </c>
      <c r="M621" s="156" t="n"/>
    </row>
    <row r="622" ht="15" customHeight="1" s="153">
      <c r="A622" s="227" t="n"/>
      <c r="B622" s="228" t="inlineStr">
        <is>
          <t>GORRITI 5378</t>
        </is>
      </c>
      <c r="C622" s="229" t="n">
        <v>1</v>
      </c>
      <c r="D622" s="229" t="n"/>
      <c r="E622" s="229" t="n"/>
      <c r="F622" s="230" t="n"/>
      <c r="G622" s="230" t="n"/>
      <c r="H622" s="257" t="n">
        <v>28000</v>
      </c>
      <c r="I622" s="258" t="n"/>
      <c r="J622" s="258" t="n">
        <v>28000</v>
      </c>
      <c r="K622" s="233" t="n"/>
      <c r="L622" s="233" t="n">
        <v>12200</v>
      </c>
      <c r="M622" s="156" t="n"/>
    </row>
    <row r="623" ht="15" customHeight="1" s="153">
      <c r="A623" s="227" t="n"/>
      <c r="B623" s="228" t="inlineStr">
        <is>
          <t>TROPPO</t>
        </is>
      </c>
      <c r="C623" s="229" t="n">
        <v>7</v>
      </c>
      <c r="D623" s="229" t="n"/>
      <c r="E623" s="229" t="n"/>
      <c r="F623" s="230" t="n"/>
      <c r="G623" s="230" t="n"/>
      <c r="H623" s="257" t="n">
        <v>196000</v>
      </c>
      <c r="I623" s="258" t="n"/>
      <c r="J623" s="258" t="n">
        <v>196000</v>
      </c>
      <c r="K623" s="233" t="n"/>
      <c r="L623" s="233" t="n">
        <v>85400</v>
      </c>
      <c r="M623" s="156" t="n"/>
    </row>
    <row r="624" ht="15" customHeight="1" s="153">
      <c r="A624" s="227" t="n"/>
      <c r="B624" s="228" t="inlineStr">
        <is>
          <t>SABOREAR</t>
        </is>
      </c>
      <c r="C624" s="229" t="n"/>
      <c r="D624" s="229" t="n"/>
      <c r="E624" s="229" t="n">
        <v>1</v>
      </c>
      <c r="F624" s="230" t="n"/>
      <c r="G624" s="230" t="n"/>
      <c r="H624" s="257" t="n">
        <v>89000</v>
      </c>
      <c r="I624" s="258" t="n"/>
      <c r="J624" s="258" t="n">
        <v>89000</v>
      </c>
      <c r="K624" s="233" t="n"/>
      <c r="L624" s="233" t="n">
        <v>27000</v>
      </c>
      <c r="M624" s="156" t="n"/>
    </row>
    <row r="625" ht="15" customHeight="1" s="153">
      <c r="A625" s="227" t="n"/>
      <c r="B625" s="228" t="inlineStr">
        <is>
          <t>MARIO</t>
        </is>
      </c>
      <c r="C625" s="229" t="n">
        <v>2</v>
      </c>
      <c r="D625" s="229" t="n">
        <v>1</v>
      </c>
      <c r="E625" s="229" t="n"/>
      <c r="F625" s="230" t="n"/>
      <c r="G625" s="230" t="n"/>
      <c r="H625" s="257" t="n">
        <v>77000</v>
      </c>
      <c r="I625" s="258" t="n"/>
      <c r="J625" s="258" t="n">
        <v>77000</v>
      </c>
      <c r="K625" s="233" t="n"/>
      <c r="L625" s="233" t="n">
        <v>21700</v>
      </c>
      <c r="M625" s="156" t="n"/>
    </row>
    <row r="626" ht="15" customHeight="1" s="153">
      <c r="A626" s="227" t="n"/>
      <c r="B626" s="228" t="inlineStr">
        <is>
          <t>CAREN</t>
        </is>
      </c>
      <c r="C626" s="229" t="n"/>
      <c r="D626" s="229" t="n"/>
      <c r="E626" s="229" t="n">
        <v>1</v>
      </c>
      <c r="F626" s="230" t="n"/>
      <c r="G626" s="230" t="n"/>
      <c r="H626" s="257" t="n">
        <v>93000</v>
      </c>
      <c r="I626" s="258" t="n"/>
      <c r="J626" s="258" t="n">
        <v>93000</v>
      </c>
      <c r="K626" s="233" t="n"/>
      <c r="L626" s="233" t="n">
        <v>31000</v>
      </c>
      <c r="M626" s="156" t="n"/>
    </row>
    <row r="627" ht="15" customHeight="1" s="153">
      <c r="A627" s="227" t="n"/>
      <c r="B627" s="228" t="inlineStr">
        <is>
          <t>ROTI VIEYTES</t>
        </is>
      </c>
      <c r="C627" s="229" t="n"/>
      <c r="D627" s="229" t="n">
        <v>2</v>
      </c>
      <c r="E627" s="229" t="n"/>
      <c r="F627" s="230" t="n"/>
      <c r="G627" s="230" t="n"/>
      <c r="H627" s="257" t="n">
        <v>69000</v>
      </c>
      <c r="I627" s="258" t="n"/>
      <c r="J627" s="258" t="n">
        <v>69000</v>
      </c>
      <c r="K627" s="233" t="n"/>
      <c r="L627" s="233" t="n">
        <v>21600</v>
      </c>
      <c r="M627" s="156" t="n"/>
    </row>
    <row r="628" ht="15" customHeight="1" s="153">
      <c r="A628" s="227" t="n">
        <v>46173</v>
      </c>
      <c r="B628" s="228" t="inlineStr">
        <is>
          <t>NOE SAROMÉ</t>
        </is>
      </c>
      <c r="C628" s="229" t="n"/>
      <c r="D628" s="229" t="n"/>
      <c r="E628" s="229" t="n">
        <v>1</v>
      </c>
      <c r="F628" s="230" t="n"/>
      <c r="G628" s="230" t="n"/>
      <c r="H628" s="257" t="n">
        <v>98000</v>
      </c>
      <c r="I628" s="258" t="n"/>
      <c r="J628" s="258" t="n">
        <v>98000</v>
      </c>
      <c r="K628" s="233" t="n"/>
      <c r="L628" s="233" t="n">
        <v>36000</v>
      </c>
      <c r="M628" s="156" t="n"/>
    </row>
    <row r="629" ht="15" customHeight="1" s="153">
      <c r="A629" s="227" t="n"/>
      <c r="B629" s="228" t="inlineStr">
        <is>
          <t>CAFERATA 8877</t>
        </is>
      </c>
      <c r="C629" s="229" t="n"/>
      <c r="D629" s="229" t="n"/>
      <c r="E629" s="229" t="n">
        <v>1</v>
      </c>
      <c r="F629" s="230" t="n"/>
      <c r="G629" s="230" t="n"/>
      <c r="H629" s="257" t="n">
        <v>89000</v>
      </c>
      <c r="I629" s="258" t="n"/>
      <c r="J629" s="258" t="n">
        <v>89000</v>
      </c>
      <c r="K629" s="233" t="n"/>
      <c r="L629" s="233" t="n">
        <v>27000</v>
      </c>
      <c r="M629" s="156" t="n"/>
    </row>
    <row r="630" ht="15" customHeight="1" s="153">
      <c r="A630" s="227" t="n"/>
      <c r="B630" s="228" t="inlineStr">
        <is>
          <t>PUBLICO 8252</t>
        </is>
      </c>
      <c r="C630" s="229" t="n"/>
      <c r="D630" s="229" t="n"/>
      <c r="E630" s="229" t="n">
        <v>1</v>
      </c>
      <c r="F630" s="230" t="n"/>
      <c r="G630" s="230" t="n"/>
      <c r="H630" s="257" t="n">
        <v>96000</v>
      </c>
      <c r="I630" s="258" t="n"/>
      <c r="J630" s="258" t="n">
        <v>96000</v>
      </c>
      <c r="K630" s="233" t="n"/>
      <c r="L630" s="233" t="n">
        <v>34000</v>
      </c>
      <c r="M630" s="156" t="n"/>
    </row>
    <row r="631" ht="15" customHeight="1" s="153">
      <c r="A631" s="227" t="n"/>
      <c r="B631" s="228" t="inlineStr">
        <is>
          <t>FELIX BARRETO 9127</t>
        </is>
      </c>
      <c r="C631" s="229" t="n"/>
      <c r="D631" s="229" t="n"/>
      <c r="E631" s="229" t="n">
        <v>1</v>
      </c>
      <c r="F631" s="230" t="n"/>
      <c r="G631" s="230" t="n"/>
      <c r="H631" s="257" t="n">
        <v>96000</v>
      </c>
      <c r="I631" s="258" t="n"/>
      <c r="J631" s="258" t="n">
        <v>96000</v>
      </c>
      <c r="K631" s="233" t="n"/>
      <c r="L631" s="233" t="n">
        <v>34000</v>
      </c>
      <c r="M631" s="156" t="n"/>
    </row>
    <row r="632" ht="15" customHeight="1" s="153">
      <c r="A632" s="227" t="n"/>
      <c r="B632" s="228" t="inlineStr">
        <is>
          <t>OTNIEL</t>
        </is>
      </c>
      <c r="C632" s="229" t="n"/>
      <c r="D632" s="229" t="n">
        <v>2</v>
      </c>
      <c r="E632" s="229" t="n"/>
      <c r="F632" s="230" t="n"/>
      <c r="G632" s="230" t="n"/>
      <c r="H632" s="257" t="n">
        <v>75000</v>
      </c>
      <c r="I632" s="258" t="n"/>
      <c r="J632" s="258" t="n">
        <v>75000</v>
      </c>
      <c r="K632" s="233" t="n"/>
      <c r="L632" s="233" t="n">
        <v>27600</v>
      </c>
      <c r="M632" s="156" t="n"/>
    </row>
    <row r="633" ht="15" customHeight="1" s="153">
      <c r="A633" s="227" t="n"/>
      <c r="B633" s="228" t="inlineStr">
        <is>
          <t>LOS PRIMOS</t>
        </is>
      </c>
      <c r="C633" s="229" t="n">
        <v>2</v>
      </c>
      <c r="D633" s="229" t="n"/>
      <c r="E633" s="229" t="n"/>
      <c r="F633" s="230" t="n"/>
      <c r="G633" s="230" t="n"/>
      <c r="H633" s="257" t="n">
        <v>58000</v>
      </c>
      <c r="I633" s="258" t="n">
        <v>58000</v>
      </c>
      <c r="J633" s="258" t="n"/>
      <c r="K633" s="233" t="n"/>
      <c r="L633" s="233" t="n">
        <v>26400</v>
      </c>
      <c r="M633" s="156" t="n"/>
    </row>
    <row r="634" ht="15" customHeight="1" s="153">
      <c r="A634" s="227" t="n"/>
      <c r="B634" s="228" t="inlineStr">
        <is>
          <t>PAVÓN 3435</t>
        </is>
      </c>
      <c r="C634" s="229" t="n"/>
      <c r="D634" s="229" t="n">
        <v>1</v>
      </c>
      <c r="E634" s="229" t="n"/>
      <c r="F634" s="230" t="n"/>
      <c r="G634" s="230" t="n"/>
      <c r="H634" s="257" t="n">
        <v>38500</v>
      </c>
      <c r="I634" s="258" t="n"/>
      <c r="J634" s="258" t="n">
        <v>38500</v>
      </c>
      <c r="K634" s="233" t="n"/>
      <c r="L634" s="233" t="n">
        <v>14800</v>
      </c>
      <c r="M634" s="156" t="n"/>
    </row>
    <row r="635" ht="15" customHeight="1" s="153">
      <c r="A635" s="227" t="n"/>
      <c r="B635" s="228" t="inlineStr">
        <is>
          <t>JP LOPEZ 2322</t>
        </is>
      </c>
      <c r="C635" s="229" t="n">
        <v>1</v>
      </c>
      <c r="D635" s="229" t="n"/>
      <c r="E635" s="229" t="n"/>
      <c r="F635" s="230" t="n"/>
      <c r="G635" s="230" t="n"/>
      <c r="H635" s="257" t="n">
        <v>28000</v>
      </c>
      <c r="I635" s="258" t="n">
        <v>28000</v>
      </c>
      <c r="J635" s="258" t="n"/>
      <c r="K635" s="233" t="n"/>
      <c r="L635" s="233" t="n">
        <v>12200</v>
      </c>
      <c r="M635" s="156" t="n"/>
    </row>
    <row r="636" ht="15" customHeight="1" s="153">
      <c r="A636" s="227" t="n"/>
      <c r="B636" s="228" t="inlineStr">
        <is>
          <t>ARISTÓBULO 5137</t>
        </is>
      </c>
      <c r="C636" s="229" t="n"/>
      <c r="D636" s="229" t="n">
        <v>1</v>
      </c>
      <c r="E636" s="229" t="n"/>
      <c r="F636" s="230" t="n"/>
      <c r="G636" s="230" t="n"/>
      <c r="H636" s="257" t="n">
        <v>41500</v>
      </c>
      <c r="I636" s="258" t="n"/>
      <c r="J636" s="258" t="n">
        <v>41500</v>
      </c>
      <c r="K636" s="233" t="n"/>
      <c r="L636" s="233" t="n">
        <v>17800</v>
      </c>
      <c r="M636" s="156" t="n"/>
    </row>
    <row r="637" ht="15" customHeight="1" s="153">
      <c r="A637" s="227" t="n"/>
      <c r="B637" s="228" t="inlineStr">
        <is>
          <t>SAN LORENZO 7481</t>
        </is>
      </c>
      <c r="C637" s="229" t="n"/>
      <c r="D637" s="229" t="n">
        <v>1</v>
      </c>
      <c r="E637" s="229" t="n"/>
      <c r="F637" s="230" t="n"/>
      <c r="G637" s="230" t="n"/>
      <c r="H637" s="257" t="n">
        <v>42500</v>
      </c>
      <c r="I637" s="258" t="n"/>
      <c r="J637" s="258" t="n">
        <v>42500</v>
      </c>
      <c r="K637" s="233" t="n"/>
      <c r="L637" s="233" t="n">
        <v>18800</v>
      </c>
      <c r="M637" s="156" t="n"/>
    </row>
    <row r="638" ht="15" customHeight="1" s="153">
      <c r="A638" s="227" t="n"/>
      <c r="B638" s="228" t="inlineStr">
        <is>
          <t>SAVEDRA 4064</t>
        </is>
      </c>
      <c r="C638" s="229" t="n"/>
      <c r="D638" s="229" t="n">
        <v>1</v>
      </c>
      <c r="E638" s="229" t="n"/>
      <c r="F638" s="230" t="n"/>
      <c r="G638" s="230" t="n"/>
      <c r="H638" s="257" t="n">
        <v>36000</v>
      </c>
      <c r="I638" s="258" t="n">
        <v>36000</v>
      </c>
      <c r="J638" s="258" t="n"/>
      <c r="K638" s="233" t="n"/>
      <c r="L638" s="233" t="n">
        <v>12300</v>
      </c>
      <c r="M638" s="156" t="n"/>
    </row>
    <row r="639" ht="15" customHeight="1" s="153">
      <c r="A639" s="227" t="n"/>
      <c r="B639" s="228" t="inlineStr">
        <is>
          <t>AGUADO 9067</t>
        </is>
      </c>
      <c r="C639" s="229" t="n">
        <v>1</v>
      </c>
      <c r="D639" s="229" t="n">
        <v>1</v>
      </c>
      <c r="E639" s="229" t="n"/>
      <c r="F639" s="230" t="n"/>
      <c r="G639" s="230" t="n"/>
      <c r="H639" s="257" t="n">
        <v>68000</v>
      </c>
      <c r="I639" s="258" t="n"/>
      <c r="J639" s="258" t="n">
        <v>68000</v>
      </c>
      <c r="K639" s="233" t="n"/>
      <c r="L639" s="233" t="n">
        <v>28500</v>
      </c>
      <c r="M639" s="1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JULIO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JULIO</t>
        </is>
      </c>
    </row>
    <row r="5" ht="21.75" customHeight="1" s="153">
      <c r="A5" s="227" t="n"/>
      <c r="B5" s="228" t="n"/>
      <c r="C5" s="229" t="n"/>
      <c r="D5" s="229" t="n"/>
      <c r="E5" s="229" t="n"/>
      <c r="F5" s="230" t="n"/>
      <c r="G5" s="230" t="n"/>
      <c r="H5" s="231" t="n"/>
      <c r="I5" s="232" t="n"/>
      <c r="J5" s="232" t="n"/>
      <c r="K5" s="233" t="n"/>
      <c r="L5" s="233">
        <f>IF(K5&lt;&gt;"",(IF(H5="","",H5-(C5*COSTOS!$C$6+D5*COSTOS!$C$7+E5*COSTOS!$C$8+F5*COSTOS!$C$9+G5*COSTOS!$C$10)))+K5,IF(H5="","",H5-(C5*COSTOS!$C$6+D5*COSTOS!$C$7+E5*COSTOS!$C$8+F5*COSTOS!$C$9+G5*COSTOS!$C$10)))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n"/>
      <c r="C6" s="239" t="n"/>
      <c r="D6" s="239" t="n"/>
      <c r="E6" s="239" t="n"/>
      <c r="F6" s="240" t="n"/>
      <c r="G6" s="240" t="n"/>
      <c r="H6" s="241" t="n"/>
      <c r="I6" s="242" t="n"/>
      <c r="J6" s="242" t="n"/>
      <c r="K6" s="233" t="n"/>
      <c r="L6" s="233">
        <f>IF(K6&lt;&gt;"",(IF(H6="","",H6-(C6*COSTOS!$C$6+D6*COSTOS!$C$7+E6*COSTOS!$C$8+F6*COSTOS!$C$9+G6*COSTOS!$C$10)))+K6,IF(H6="","",H6-(C6*COSTOS!$C$6+D6*COSTOS!$C$7+E6*COSTOS!$C$8+F6*COSTOS!$C$9+G6*COSTOS!$C$10)))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n"/>
      <c r="C7" s="229" t="n"/>
      <c r="D7" s="229" t="n"/>
      <c r="E7" s="229" t="n"/>
      <c r="F7" s="230" t="n"/>
      <c r="G7" s="230" t="n"/>
      <c r="H7" s="231" t="n"/>
      <c r="I7" s="232" t="n"/>
      <c r="J7" s="232" t="n"/>
      <c r="K7" s="233" t="n"/>
      <c r="L7" s="233">
        <f>IF(K7&lt;&gt;"",(IF(H7="","",H7-(C7*COSTOS!$C$6+D7*COSTOS!$C$7+E7*COSTOS!$C$8+F7*COSTOS!$C$9+G7*COSTOS!$C$10)))+K7,IF(H7="","",H7-(C7*COSTOS!$C$6+D7*COSTOS!$C$7+E7*COSTOS!$C$8+F7*COSTOS!$C$9+G7*COSTOS!$C$10)))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n"/>
      <c r="C8" s="239" t="n"/>
      <c r="D8" s="239" t="n"/>
      <c r="E8" s="239" t="n"/>
      <c r="F8" s="240" t="n"/>
      <c r="G8" s="240" t="n"/>
      <c r="H8" s="241" t="n"/>
      <c r="I8" s="242" t="n"/>
      <c r="J8" s="242" t="n"/>
      <c r="K8" s="233" t="n"/>
      <c r="L8" s="233">
        <f>IF(K8&lt;&gt;"",(IF(H8="","",H8-(C8*COSTOS!$C$6+D8*COSTOS!$C$7+E8*COSTOS!$C$8+F8*COSTOS!$C$9+G8*COSTOS!$C$10)))+K8,IF(H8="","",H8-(C8*COSTOS!$C$6+D8*COSTOS!$C$7+E8*COSTOS!$C$8+F8*COSTOS!$C$9+G8*COSTOS!$C$10)))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n"/>
      <c r="C9" s="229" t="n"/>
      <c r="D9" s="229" t="n"/>
      <c r="E9" s="229" t="n"/>
      <c r="F9" s="230" t="n"/>
      <c r="G9" s="230" t="n"/>
      <c r="H9" s="231" t="n"/>
      <c r="I9" s="232" t="n"/>
      <c r="J9" s="232" t="n"/>
      <c r="K9" s="233" t="n"/>
      <c r="L9" s="233">
        <f>IF(K9&lt;&gt;"",(IF(H9="","",H9-(C9*COSTOS!$C$6+D9*COSTOS!$C$7+E9*COSTOS!$C$8+F9*COSTOS!$C$9+G9*COSTOS!$C$10)))+K9,IF(H9="","",H9-(C9*COSTOS!$C$6+D9*COSTOS!$C$7+E9*COSTOS!$C$8+F9*COSTOS!$C$9+G9*COSTOS!$C$10)))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n"/>
      <c r="C10" s="239" t="n"/>
      <c r="D10" s="239" t="n"/>
      <c r="E10" s="239" t="n"/>
      <c r="F10" s="240" t="n"/>
      <c r="G10" s="240" t="n"/>
      <c r="H10" s="241" t="n"/>
      <c r="I10" s="242" t="n"/>
      <c r="J10" s="242" t="n"/>
      <c r="K10" s="233" t="n"/>
      <c r="L10" s="233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56" t="n"/>
      <c r="N10" s="243" t="n"/>
      <c r="O10" s="244" t="n"/>
    </row>
    <row r="11" ht="21.75" customHeight="1" s="153">
      <c r="A11" s="227" t="n"/>
      <c r="B11" s="228" t="n"/>
      <c r="C11" s="229" t="n"/>
      <c r="D11" s="229" t="n"/>
      <c r="E11" s="229" t="n"/>
      <c r="F11" s="230" t="n"/>
      <c r="G11" s="230" t="n"/>
      <c r="H11" s="231" t="n"/>
      <c r="I11" s="232" t="n"/>
      <c r="J11" s="232" t="n"/>
      <c r="K11" s="233" t="n"/>
      <c r="L11" s="233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n"/>
      <c r="C12" s="239" t="n"/>
      <c r="D12" s="239" t="n"/>
      <c r="E12" s="239" t="n"/>
      <c r="F12" s="240" t="n"/>
      <c r="G12" s="240" t="n"/>
      <c r="H12" s="241" t="n"/>
      <c r="I12" s="242" t="n"/>
      <c r="J12" s="242" t="n"/>
      <c r="K12" s="233" t="n"/>
      <c r="L12" s="233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n"/>
      <c r="C13" s="229" t="n"/>
      <c r="D13" s="229" t="n"/>
      <c r="E13" s="229" t="n"/>
      <c r="F13" s="230" t="n"/>
      <c r="G13" s="230" t="n"/>
      <c r="H13" s="231" t="n"/>
      <c r="I13" s="232" t="n"/>
      <c r="J13" s="232" t="n"/>
      <c r="K13" s="233" t="n"/>
      <c r="L13" s="233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n"/>
      <c r="C14" s="239" t="n"/>
      <c r="D14" s="239" t="n"/>
      <c r="E14" s="239" t="n"/>
      <c r="F14" s="240" t="n"/>
      <c r="G14" s="240" t="n"/>
      <c r="H14" s="241" t="n"/>
      <c r="I14" s="242" t="n"/>
      <c r="J14" s="242" t="n"/>
      <c r="K14" s="233" t="n"/>
      <c r="L14" s="233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56" t="n"/>
      <c r="N14" s="243" t="n"/>
      <c r="O14" s="244" t="n"/>
    </row>
    <row r="15" ht="21.75" customHeight="1" s="153">
      <c r="A15" s="227" t="n"/>
      <c r="B15" s="228" t="n"/>
      <c r="C15" s="229" t="n"/>
      <c r="D15" s="229" t="n"/>
      <c r="E15" s="229" t="n"/>
      <c r="F15" s="230" t="n"/>
      <c r="G15" s="230" t="n"/>
      <c r="H15" s="231" t="n"/>
      <c r="I15" s="232" t="n"/>
      <c r="J15" s="232" t="n"/>
      <c r="K15" s="233" t="n"/>
      <c r="L15" s="233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n"/>
      <c r="C16" s="239" t="n"/>
      <c r="D16" s="239" t="n"/>
      <c r="E16" s="239" t="n"/>
      <c r="F16" s="240" t="n"/>
      <c r="G16" s="240" t="n"/>
      <c r="H16" s="241" t="n"/>
      <c r="I16" s="242" t="n"/>
      <c r="J16" s="242" t="n"/>
      <c r="K16" s="233" t="n"/>
      <c r="L16" s="233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n"/>
      <c r="C17" s="229" t="n"/>
      <c r="D17" s="229" t="n"/>
      <c r="E17" s="229" t="n"/>
      <c r="F17" s="230" t="n"/>
      <c r="G17" s="230" t="n"/>
      <c r="H17" s="231" t="n"/>
      <c r="I17" s="232" t="n"/>
      <c r="J17" s="232" t="n"/>
      <c r="K17" s="233" t="n"/>
      <c r="L17" s="233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56" t="n"/>
      <c r="N17" s="243" t="n"/>
      <c r="O17" s="244" t="n"/>
    </row>
    <row r="18" ht="21.75" customHeight="1" s="153">
      <c r="A18" s="237" t="n"/>
      <c r="B18" s="238" t="n"/>
      <c r="C18" s="239" t="n"/>
      <c r="D18" s="239" t="n"/>
      <c r="E18" s="239" t="n"/>
      <c r="F18" s="240" t="n"/>
      <c r="G18" s="240" t="n"/>
      <c r="H18" s="241" t="n"/>
      <c r="I18" s="242" t="n"/>
      <c r="J18" s="242" t="n"/>
      <c r="K18" s="233" t="n"/>
      <c r="L18" s="233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n"/>
      <c r="C19" s="229" t="n"/>
      <c r="D19" s="229" t="n"/>
      <c r="E19" s="229" t="n"/>
      <c r="F19" s="230" t="n"/>
      <c r="G19" s="230" t="n"/>
      <c r="H19" s="231" t="n"/>
      <c r="I19" s="232" t="n"/>
      <c r="J19" s="232" t="n"/>
      <c r="K19" s="233" t="n"/>
      <c r="L19" s="233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56" t="n"/>
      <c r="N19" s="234" t="inlineStr">
        <is>
          <t>DÍAS DEL MES</t>
        </is>
      </c>
      <c r="O19" s="250" t="n">
        <v>31</v>
      </c>
    </row>
    <row r="20" ht="21.75" customHeight="1" s="153">
      <c r="A20" s="237" t="n"/>
      <c r="B20" s="238" t="n"/>
      <c r="C20" s="239" t="n"/>
      <c r="D20" s="239" t="n"/>
      <c r="E20" s="239" t="n"/>
      <c r="F20" s="240" t="n"/>
      <c r="G20" s="240" t="n"/>
      <c r="H20" s="241" t="n"/>
      <c r="I20" s="242" t="n"/>
      <c r="J20" s="242" t="n"/>
      <c r="K20" s="233" t="n"/>
      <c r="L20" s="233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56" t="n"/>
      <c r="N20" s="243" t="n"/>
      <c r="O20" s="244" t="n"/>
    </row>
    <row r="21" ht="21.75" customHeight="1" s="153">
      <c r="A21" s="227" t="n"/>
      <c r="B21" s="228" t="n"/>
      <c r="C21" s="229" t="n"/>
      <c r="D21" s="229" t="n"/>
      <c r="E21" s="229" t="n"/>
      <c r="F21" s="230" t="n"/>
      <c r="G21" s="230" t="n"/>
      <c r="H21" s="231" t="n"/>
      <c r="I21" s="232" t="n"/>
      <c r="J21" s="232" t="n"/>
      <c r="K21" s="233" t="n"/>
      <c r="L21" s="233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37" t="n"/>
      <c r="B22" s="238" t="n"/>
      <c r="C22" s="239" t="n"/>
      <c r="D22" s="239" t="n"/>
      <c r="E22" s="239" t="n"/>
      <c r="F22" s="240" t="n"/>
      <c r="G22" s="240" t="n"/>
      <c r="H22" s="241" t="n"/>
      <c r="I22" s="242" t="n"/>
      <c r="J22" s="242" t="n"/>
      <c r="K22" s="233" t="n"/>
      <c r="L22" s="233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27" t="n"/>
      <c r="B23" s="228" t="n"/>
      <c r="C23" s="229" t="n"/>
      <c r="D23" s="229" t="n"/>
      <c r="E23" s="229" t="n"/>
      <c r="F23" s="230" t="n"/>
      <c r="G23" s="230" t="n"/>
      <c r="H23" s="231" t="n"/>
      <c r="I23" s="232" t="n"/>
      <c r="J23" s="232" t="n"/>
      <c r="K23" s="233" t="n"/>
      <c r="L23" s="233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56" t="n"/>
      <c r="N23" s="156" t="n"/>
      <c r="O23" s="156" t="n"/>
    </row>
    <row r="24" ht="18.75" customHeight="1" s="153">
      <c r="A24" s="237" t="n"/>
      <c r="B24" s="238" t="n"/>
      <c r="C24" s="239" t="n"/>
      <c r="D24" s="239" t="n"/>
      <c r="E24" s="239" t="n"/>
      <c r="F24" s="240" t="n"/>
      <c r="G24" s="240" t="n"/>
      <c r="H24" s="241" t="n"/>
      <c r="I24" s="242" t="n"/>
      <c r="J24" s="242" t="n"/>
      <c r="K24" s="233" t="n"/>
      <c r="L24" s="233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56" t="n"/>
      <c r="N24" s="156" t="n"/>
      <c r="O24" s="156" t="n"/>
    </row>
    <row r="25" ht="18.75" customHeight="1" s="153">
      <c r="A25" s="227" t="n"/>
      <c r="B25" s="228" t="n"/>
      <c r="C25" s="229" t="n"/>
      <c r="D25" s="229" t="n"/>
      <c r="E25" s="229" t="n"/>
      <c r="F25" s="230" t="n"/>
      <c r="G25" s="230" t="n"/>
      <c r="H25" s="231" t="n"/>
      <c r="I25" s="232" t="n"/>
      <c r="J25" s="232" t="n"/>
      <c r="K25" s="233" t="n"/>
      <c r="L25" s="233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56" t="n"/>
      <c r="N25" s="156" t="n"/>
      <c r="O25" s="156" t="n"/>
    </row>
    <row r="26" ht="18.75" customHeight="1" s="153">
      <c r="A26" s="237" t="n"/>
      <c r="B26" s="238" t="n"/>
      <c r="C26" s="239" t="n"/>
      <c r="D26" s="239" t="n"/>
      <c r="E26" s="239" t="n"/>
      <c r="F26" s="240" t="n"/>
      <c r="G26" s="240" t="n"/>
      <c r="H26" s="241" t="n"/>
      <c r="I26" s="242" t="n"/>
      <c r="J26" s="242" t="n"/>
      <c r="K26" s="233" t="n"/>
      <c r="L26" s="233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56" t="n"/>
      <c r="N26" s="156" t="n"/>
      <c r="O26" s="156" t="n"/>
    </row>
    <row r="27" ht="18.75" customHeight="1" s="153">
      <c r="A27" s="227" t="n"/>
      <c r="B27" s="228" t="n"/>
      <c r="C27" s="229" t="n"/>
      <c r="D27" s="229" t="n"/>
      <c r="E27" s="229" t="n"/>
      <c r="F27" s="230" t="n"/>
      <c r="G27" s="230" t="n"/>
      <c r="H27" s="231" t="n"/>
      <c r="I27" s="232" t="n"/>
      <c r="J27" s="232" t="n"/>
      <c r="K27" s="233" t="n"/>
      <c r="L27" s="233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56" t="n"/>
      <c r="N27" s="156" t="n"/>
      <c r="O27" s="156" t="n"/>
    </row>
    <row r="28" ht="18.75" customHeight="1" s="153">
      <c r="A28" s="237" t="n"/>
      <c r="B28" s="238" t="n"/>
      <c r="C28" s="239" t="n"/>
      <c r="D28" s="239" t="n"/>
      <c r="E28" s="239" t="n"/>
      <c r="F28" s="240" t="n"/>
      <c r="G28" s="240" t="n"/>
      <c r="H28" s="241" t="n"/>
      <c r="I28" s="242" t="n"/>
      <c r="J28" s="242" t="n"/>
      <c r="K28" s="233" t="n"/>
      <c r="L28" s="233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56" t="n"/>
      <c r="N28" s="156" t="n"/>
      <c r="O28" s="156" t="n"/>
    </row>
    <row r="29" ht="18.75" customHeight="1" s="153">
      <c r="A29" s="227" t="n"/>
      <c r="B29" s="228" t="n"/>
      <c r="C29" s="229" t="n"/>
      <c r="D29" s="229" t="n"/>
      <c r="E29" s="229" t="n"/>
      <c r="F29" s="230" t="n"/>
      <c r="G29" s="230" t="n"/>
      <c r="H29" s="231" t="n"/>
      <c r="I29" s="232" t="n"/>
      <c r="J29" s="232" t="n"/>
      <c r="K29" s="233" t="n"/>
      <c r="L29" s="233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56" t="n"/>
      <c r="N29" s="156" t="n"/>
      <c r="O29" s="156">
        <f>IFERROR(SUM(L5:L700)/COUNTA(B5:B700),0)</f>
        <v/>
      </c>
    </row>
    <row r="30" ht="18.75" customHeight="1" s="153">
      <c r="A30" s="237" t="n"/>
      <c r="B30" s="238" t="n"/>
      <c r="C30" s="239" t="n"/>
      <c r="D30" s="239" t="n"/>
      <c r="E30" s="239" t="n"/>
      <c r="F30" s="240" t="n"/>
      <c r="G30" s="240" t="n"/>
      <c r="H30" s="241" t="n"/>
      <c r="I30" s="242" t="n"/>
      <c r="J30" s="242" t="n"/>
      <c r="K30" s="233" t="n"/>
      <c r="L30" s="233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56" t="n"/>
      <c r="N30" s="156" t="n"/>
      <c r="O30" s="156" t="n"/>
    </row>
    <row r="31" ht="18.75" customHeight="1" s="153">
      <c r="A31" s="227" t="n"/>
      <c r="B31" s="228" t="n"/>
      <c r="C31" s="229" t="n"/>
      <c r="D31" s="229" t="n"/>
      <c r="E31" s="229" t="n"/>
      <c r="F31" s="230" t="n"/>
      <c r="G31" s="230" t="n"/>
      <c r="H31" s="231" t="n"/>
      <c r="I31" s="232" t="n"/>
      <c r="J31" s="232" t="n"/>
      <c r="K31" s="233" t="n"/>
      <c r="L31" s="233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56" t="n"/>
      <c r="N31" s="156" t="n"/>
      <c r="O31" s="156" t="n"/>
    </row>
    <row r="32" ht="18.75" customHeight="1" s="153">
      <c r="A32" s="237" t="n"/>
      <c r="B32" s="238" t="n"/>
      <c r="C32" s="239" t="n"/>
      <c r="D32" s="239" t="n"/>
      <c r="E32" s="239" t="n"/>
      <c r="F32" s="240" t="n"/>
      <c r="G32" s="240" t="n"/>
      <c r="H32" s="241" t="n"/>
      <c r="I32" s="242" t="n"/>
      <c r="J32" s="242" t="n"/>
      <c r="K32" s="233" t="n"/>
      <c r="L32" s="233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56" t="n"/>
      <c r="N32" s="156" t="n"/>
      <c r="O32" s="156" t="n"/>
    </row>
    <row r="33" ht="18.75" customHeight="1" s="153">
      <c r="A33" s="227" t="n"/>
      <c r="B33" s="228" t="n"/>
      <c r="C33" s="229" t="n"/>
      <c r="D33" s="229" t="n"/>
      <c r="E33" s="229" t="n"/>
      <c r="F33" s="230" t="n"/>
      <c r="G33" s="230" t="n"/>
      <c r="H33" s="231" t="n"/>
      <c r="I33" s="232" t="n"/>
      <c r="J33" s="232" t="n"/>
      <c r="K33" s="233" t="n"/>
      <c r="L33" s="233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56" t="n"/>
      <c r="N33" s="156" t="n"/>
      <c r="O33" s="156" t="n"/>
    </row>
    <row r="34" ht="18.75" customHeight="1" s="153">
      <c r="A34" s="237" t="n"/>
      <c r="B34" s="238" t="n"/>
      <c r="C34" s="239" t="n"/>
      <c r="D34" s="239" t="n"/>
      <c r="E34" s="239" t="n"/>
      <c r="F34" s="240" t="n"/>
      <c r="G34" s="240" t="n"/>
      <c r="H34" s="241" t="n"/>
      <c r="I34" s="242" t="n"/>
      <c r="J34" s="242" t="n"/>
      <c r="K34" s="233" t="n"/>
      <c r="L34" s="233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56" t="n"/>
      <c r="N34" s="156" t="n"/>
      <c r="O34" s="156" t="n"/>
    </row>
    <row r="35" ht="18.75" customHeight="1" s="153">
      <c r="A35" s="227" t="n"/>
      <c r="B35" s="228" t="n"/>
      <c r="C35" s="229" t="n"/>
      <c r="D35" s="229" t="n"/>
      <c r="E35" s="229" t="n"/>
      <c r="F35" s="230" t="n"/>
      <c r="G35" s="230" t="n"/>
      <c r="H35" s="231" t="n"/>
      <c r="I35" s="232" t="n"/>
      <c r="J35" s="232" t="n"/>
      <c r="K35" s="233" t="n"/>
      <c r="L35" s="233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56" t="n"/>
      <c r="N35" s="156" t="n"/>
      <c r="O35" s="156" t="n"/>
    </row>
    <row r="36" ht="18.75" customHeight="1" s="153">
      <c r="A36" s="237" t="n"/>
      <c r="B36" s="238" t="n"/>
      <c r="C36" s="239" t="n"/>
      <c r="D36" s="239" t="n"/>
      <c r="E36" s="239" t="n"/>
      <c r="F36" s="240" t="n"/>
      <c r="G36" s="240" t="n"/>
      <c r="H36" s="241" t="n"/>
      <c r="I36" s="242" t="n"/>
      <c r="J36" s="242" t="n"/>
      <c r="K36" s="233" t="n"/>
      <c r="L36" s="233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56" t="n"/>
      <c r="N36" s="156" t="n"/>
      <c r="O36" s="156" t="n"/>
    </row>
    <row r="37" ht="18.75" customHeight="1" s="153">
      <c r="A37" s="227" t="n"/>
      <c r="B37" s="228" t="n"/>
      <c r="C37" s="229" t="n"/>
      <c r="D37" s="229" t="n"/>
      <c r="E37" s="229" t="n"/>
      <c r="F37" s="230" t="n"/>
      <c r="G37" s="230" t="n"/>
      <c r="H37" s="231" t="n"/>
      <c r="I37" s="232" t="n"/>
      <c r="J37" s="232" t="n"/>
      <c r="K37" s="233" t="n"/>
      <c r="L37" s="233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56" t="n"/>
      <c r="N37" s="156" t="n"/>
      <c r="O37" s="156" t="n"/>
    </row>
    <row r="38" ht="18.75" customHeight="1" s="153">
      <c r="A38" s="237" t="n"/>
      <c r="B38" s="238" t="n"/>
      <c r="C38" s="239" t="n"/>
      <c r="D38" s="239" t="n"/>
      <c r="E38" s="239" t="n"/>
      <c r="F38" s="240" t="n"/>
      <c r="G38" s="240" t="n"/>
      <c r="H38" s="241" t="n"/>
      <c r="I38" s="242" t="n"/>
      <c r="J38" s="242" t="n"/>
      <c r="K38" s="233" t="n"/>
      <c r="L38" s="233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56" t="n"/>
      <c r="N38" s="156" t="n"/>
      <c r="O38" s="156" t="n"/>
    </row>
    <row r="39" ht="18.75" customHeight="1" s="153">
      <c r="A39" s="227" t="n"/>
      <c r="B39" s="228" t="n"/>
      <c r="C39" s="229" t="n"/>
      <c r="D39" s="229" t="n"/>
      <c r="E39" s="229" t="n"/>
      <c r="F39" s="230" t="n"/>
      <c r="G39" s="230" t="n"/>
      <c r="H39" s="231" t="n"/>
      <c r="I39" s="232" t="n"/>
      <c r="J39" s="232" t="n"/>
      <c r="K39" s="233" t="n"/>
      <c r="L39" s="233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56" t="n"/>
      <c r="N39" s="156" t="n"/>
      <c r="O39" s="156" t="n"/>
    </row>
    <row r="40" ht="18.75" customHeight="1" s="153">
      <c r="A40" s="237" t="n"/>
      <c r="B40" s="238" t="n"/>
      <c r="C40" s="239" t="n"/>
      <c r="D40" s="239" t="n"/>
      <c r="E40" s="239" t="n"/>
      <c r="F40" s="240" t="n"/>
      <c r="G40" s="240" t="n"/>
      <c r="H40" s="241" t="n"/>
      <c r="I40" s="242" t="n"/>
      <c r="J40" s="242" t="n"/>
      <c r="K40" s="233" t="n"/>
      <c r="L40" s="233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56" t="n"/>
      <c r="N40" s="156" t="n"/>
      <c r="O40" s="156" t="n"/>
    </row>
    <row r="41" ht="18.75" customHeight="1" s="153">
      <c r="A41" s="227" t="n"/>
      <c r="B41" s="228" t="n"/>
      <c r="C41" s="229" t="n"/>
      <c r="D41" s="229" t="n"/>
      <c r="E41" s="229" t="n"/>
      <c r="F41" s="230" t="n"/>
      <c r="G41" s="230" t="n"/>
      <c r="H41" s="231" t="n"/>
      <c r="I41" s="232" t="n"/>
      <c r="J41" s="232" t="n"/>
      <c r="K41" s="233" t="n"/>
      <c r="L41" s="233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56" t="n"/>
      <c r="N41" s="156" t="n"/>
      <c r="O41" s="156" t="n"/>
    </row>
    <row r="42" ht="18.75" customHeight="1" s="153">
      <c r="A42" s="237" t="n"/>
      <c r="B42" s="238" t="n"/>
      <c r="C42" s="239" t="n"/>
      <c r="D42" s="239" t="n"/>
      <c r="E42" s="239" t="n"/>
      <c r="F42" s="240" t="n"/>
      <c r="G42" s="240" t="n"/>
      <c r="H42" s="241" t="n"/>
      <c r="I42" s="242" t="n"/>
      <c r="J42" s="242" t="n"/>
      <c r="K42" s="233" t="n"/>
      <c r="L42" s="233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56" t="n"/>
      <c r="N42" s="156" t="n"/>
      <c r="O42" s="156" t="n"/>
    </row>
    <row r="43" ht="18.75" customHeight="1" s="153">
      <c r="A43" s="227" t="n"/>
      <c r="B43" s="228" t="n"/>
      <c r="C43" s="229" t="n"/>
      <c r="D43" s="229" t="n"/>
      <c r="E43" s="229" t="n"/>
      <c r="F43" s="230" t="n"/>
      <c r="G43" s="230" t="n"/>
      <c r="H43" s="231" t="n"/>
      <c r="I43" s="232" t="n"/>
      <c r="J43" s="232" t="n"/>
      <c r="K43" s="233" t="n"/>
      <c r="L43" s="233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56" t="n"/>
      <c r="N43" s="156" t="n"/>
      <c r="O43" s="156" t="n"/>
    </row>
    <row r="44" ht="18.75" customHeight="1" s="153">
      <c r="A44" s="237" t="n"/>
      <c r="B44" s="238" t="n"/>
      <c r="C44" s="239" t="n"/>
      <c r="D44" s="239" t="n"/>
      <c r="E44" s="239" t="n"/>
      <c r="F44" s="240" t="n"/>
      <c r="G44" s="240" t="n"/>
      <c r="H44" s="241" t="n"/>
      <c r="I44" s="242" t="n"/>
      <c r="J44" s="242" t="n"/>
      <c r="K44" s="233" t="n"/>
      <c r="L44" s="233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56" t="n"/>
      <c r="N44" s="156" t="n"/>
      <c r="O44" s="156" t="n"/>
    </row>
    <row r="45" ht="18.75" customHeight="1" s="153">
      <c r="A45" s="227" t="n"/>
      <c r="B45" s="228" t="n"/>
      <c r="C45" s="229" t="n"/>
      <c r="D45" s="229" t="n"/>
      <c r="E45" s="229" t="n"/>
      <c r="F45" s="230" t="n"/>
      <c r="G45" s="230" t="n"/>
      <c r="H45" s="231" t="n"/>
      <c r="I45" s="232" t="n"/>
      <c r="J45" s="232" t="n"/>
      <c r="K45" s="233" t="n"/>
      <c r="L45" s="233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56" t="n"/>
      <c r="N45" s="156" t="n"/>
      <c r="O45" s="156" t="n"/>
    </row>
    <row r="46" ht="18.75" customHeight="1" s="153">
      <c r="A46" s="237" t="n"/>
      <c r="B46" s="238" t="n"/>
      <c r="C46" s="239" t="n"/>
      <c r="D46" s="239" t="n"/>
      <c r="E46" s="239" t="n"/>
      <c r="F46" s="240" t="n"/>
      <c r="G46" s="240" t="n"/>
      <c r="H46" s="241" t="n"/>
      <c r="I46" s="242" t="n"/>
      <c r="J46" s="242" t="n"/>
      <c r="K46" s="233" t="n"/>
      <c r="L46" s="233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56" t="n"/>
      <c r="N46" s="156" t="n"/>
      <c r="O46" s="156" t="n"/>
    </row>
    <row r="47" ht="18.75" customHeight="1" s="153">
      <c r="A47" s="227" t="n"/>
      <c r="B47" s="228" t="n"/>
      <c r="C47" s="229" t="n"/>
      <c r="D47" s="229" t="n"/>
      <c r="E47" s="229" t="n"/>
      <c r="F47" s="230" t="n"/>
      <c r="G47" s="230" t="n"/>
      <c r="H47" s="231" t="n"/>
      <c r="I47" s="232" t="n"/>
      <c r="J47" s="232" t="n"/>
      <c r="K47" s="233" t="n"/>
      <c r="L47" s="233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56" t="n"/>
      <c r="N47" s="156" t="n"/>
      <c r="O47" s="156" t="n"/>
    </row>
    <row r="48" ht="18.75" customHeight="1" s="153">
      <c r="A48" s="237" t="n"/>
      <c r="B48" s="238" t="n"/>
      <c r="C48" s="239" t="n"/>
      <c r="D48" s="239" t="n"/>
      <c r="E48" s="239" t="n"/>
      <c r="F48" s="240" t="n"/>
      <c r="G48" s="240" t="n"/>
      <c r="H48" s="241" t="n"/>
      <c r="I48" s="242" t="n"/>
      <c r="J48" s="242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n"/>
      <c r="C49" s="229" t="n"/>
      <c r="D49" s="229" t="n"/>
      <c r="E49" s="229" t="n"/>
      <c r="F49" s="230" t="n"/>
      <c r="G49" s="230" t="n"/>
      <c r="H49" s="231" t="n"/>
      <c r="I49" s="232" t="n"/>
      <c r="J49" s="232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37" t="n"/>
      <c r="B50" s="238" t="n"/>
      <c r="C50" s="239" t="n"/>
      <c r="D50" s="239" t="n"/>
      <c r="E50" s="239" t="n"/>
      <c r="F50" s="240" t="n"/>
      <c r="G50" s="240" t="n"/>
      <c r="H50" s="241" t="n"/>
      <c r="I50" s="242" t="n"/>
      <c r="J50" s="242" t="n"/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n"/>
      <c r="C51" s="229" t="n"/>
      <c r="D51" s="229" t="n"/>
      <c r="E51" s="229" t="n"/>
      <c r="F51" s="230" t="n"/>
      <c r="G51" s="230" t="n"/>
      <c r="H51" s="231" t="n"/>
      <c r="I51" s="232" t="n"/>
      <c r="J51" s="232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37" t="n"/>
      <c r="B52" s="238" t="n"/>
      <c r="C52" s="239" t="n"/>
      <c r="D52" s="239" t="n"/>
      <c r="E52" s="239" t="n"/>
      <c r="F52" s="240" t="n"/>
      <c r="G52" s="240" t="n"/>
      <c r="H52" s="241" t="n"/>
      <c r="I52" s="242" t="n"/>
      <c r="J52" s="242" t="n"/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n"/>
      <c r="C53" s="229" t="n"/>
      <c r="D53" s="229" t="n"/>
      <c r="E53" s="229" t="n"/>
      <c r="F53" s="230" t="n"/>
      <c r="G53" s="230" t="n"/>
      <c r="H53" s="231" t="n"/>
      <c r="I53" s="232" t="n"/>
      <c r="J53" s="232" t="n"/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37" t="n"/>
      <c r="B54" s="238" t="n"/>
      <c r="C54" s="239" t="n"/>
      <c r="D54" s="239" t="n"/>
      <c r="E54" s="239" t="n"/>
      <c r="F54" s="240" t="n"/>
      <c r="G54" s="240" t="n"/>
      <c r="H54" s="241" t="n"/>
      <c r="I54" s="242" t="n"/>
      <c r="J54" s="242" t="n"/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n"/>
      <c r="C55" s="229" t="n"/>
      <c r="D55" s="229" t="n"/>
      <c r="E55" s="229" t="n"/>
      <c r="F55" s="230" t="n"/>
      <c r="G55" s="230" t="n"/>
      <c r="H55" s="231" t="n"/>
      <c r="I55" s="232" t="n"/>
      <c r="J55" s="232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37" t="n"/>
      <c r="B56" s="238" t="n"/>
      <c r="C56" s="239" t="n"/>
      <c r="D56" s="239" t="n"/>
      <c r="E56" s="239" t="n"/>
      <c r="F56" s="240" t="n"/>
      <c r="G56" s="240" t="n"/>
      <c r="H56" s="241" t="n"/>
      <c r="I56" s="242" t="n"/>
      <c r="J56" s="242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n"/>
      <c r="C57" s="229" t="n"/>
      <c r="D57" s="229" t="n"/>
      <c r="E57" s="229" t="n"/>
      <c r="F57" s="230" t="n"/>
      <c r="G57" s="230" t="n"/>
      <c r="H57" s="231" t="n"/>
      <c r="I57" s="232" t="n"/>
      <c r="J57" s="232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37" t="n"/>
      <c r="B58" s="238" t="n"/>
      <c r="C58" s="239" t="n"/>
      <c r="D58" s="239" t="n"/>
      <c r="E58" s="239" t="n"/>
      <c r="F58" s="240" t="n"/>
      <c r="G58" s="240" t="n"/>
      <c r="H58" s="241" t="n"/>
      <c r="I58" s="242" t="n"/>
      <c r="J58" s="242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n"/>
      <c r="C59" s="229" t="n"/>
      <c r="D59" s="229" t="n"/>
      <c r="E59" s="229" t="n"/>
      <c r="F59" s="230" t="n"/>
      <c r="G59" s="230" t="n"/>
      <c r="H59" s="231" t="n"/>
      <c r="I59" s="232" t="n"/>
      <c r="J59" s="232" t="n"/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37" t="n"/>
      <c r="B60" s="238" t="n"/>
      <c r="C60" s="239" t="n"/>
      <c r="D60" s="239" t="n"/>
      <c r="E60" s="239" t="n"/>
      <c r="F60" s="240" t="n"/>
      <c r="G60" s="240" t="n"/>
      <c r="H60" s="241" t="n"/>
      <c r="I60" s="242" t="n"/>
      <c r="J60" s="242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n"/>
      <c r="C61" s="229" t="n"/>
      <c r="D61" s="229" t="n"/>
      <c r="E61" s="229" t="n"/>
      <c r="F61" s="230" t="n"/>
      <c r="G61" s="230" t="n"/>
      <c r="H61" s="231" t="n"/>
      <c r="I61" s="232" t="n"/>
      <c r="J61" s="232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37" t="n"/>
      <c r="B62" s="238" t="n"/>
      <c r="C62" s="239" t="n"/>
      <c r="D62" s="239" t="n"/>
      <c r="E62" s="239" t="n"/>
      <c r="F62" s="240" t="n"/>
      <c r="G62" s="240" t="n"/>
      <c r="H62" s="241" t="n"/>
      <c r="I62" s="242" t="n"/>
      <c r="J62" s="242" t="n"/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n"/>
      <c r="C63" s="229" t="n"/>
      <c r="D63" s="229" t="n"/>
      <c r="E63" s="229" t="n"/>
      <c r="F63" s="230" t="n"/>
      <c r="G63" s="230" t="n"/>
      <c r="H63" s="231" t="n"/>
      <c r="I63" s="232" t="n"/>
      <c r="J63" s="232" t="n"/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37" t="n"/>
      <c r="B64" s="238" t="n"/>
      <c r="C64" s="239" t="n"/>
      <c r="D64" s="239" t="n"/>
      <c r="E64" s="239" t="n"/>
      <c r="F64" s="240" t="n"/>
      <c r="G64" s="240" t="n"/>
      <c r="H64" s="241" t="n"/>
      <c r="I64" s="242" t="n"/>
      <c r="J64" s="242" t="n"/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n"/>
      <c r="C65" s="229" t="n"/>
      <c r="D65" s="229" t="n"/>
      <c r="E65" s="229" t="n"/>
      <c r="F65" s="230" t="n"/>
      <c r="G65" s="230" t="n"/>
      <c r="H65" s="231" t="n"/>
      <c r="I65" s="232" t="n"/>
      <c r="J65" s="232" t="n"/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37" t="n"/>
      <c r="B66" s="238" t="n"/>
      <c r="C66" s="239" t="n"/>
      <c r="D66" s="239" t="n"/>
      <c r="E66" s="239" t="n"/>
      <c r="F66" s="240" t="n"/>
      <c r="G66" s="240" t="n"/>
      <c r="H66" s="241" t="n"/>
      <c r="I66" s="242" t="n"/>
      <c r="J66" s="242" t="n"/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/>
      <c r="B67" s="228" t="n"/>
      <c r="C67" s="229" t="n"/>
      <c r="D67" s="229" t="n"/>
      <c r="E67" s="229" t="n"/>
      <c r="F67" s="230" t="n"/>
      <c r="G67" s="230" t="n"/>
      <c r="H67" s="231" t="n"/>
      <c r="I67" s="232" t="n"/>
      <c r="J67" s="232" t="n"/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37" t="n"/>
      <c r="B68" s="238" t="n"/>
      <c r="C68" s="239" t="n"/>
      <c r="D68" s="239" t="n"/>
      <c r="E68" s="239" t="n"/>
      <c r="F68" s="240" t="n"/>
      <c r="G68" s="240" t="n"/>
      <c r="H68" s="241" t="n"/>
      <c r="I68" s="242" t="n"/>
      <c r="J68" s="242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n"/>
      <c r="C69" s="229" t="n"/>
      <c r="D69" s="229" t="n"/>
      <c r="E69" s="229" t="n"/>
      <c r="F69" s="230" t="n"/>
      <c r="G69" s="230" t="n"/>
      <c r="H69" s="231" t="n"/>
      <c r="I69" s="232" t="n"/>
      <c r="J69" s="232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37" t="n"/>
      <c r="B70" s="238" t="n"/>
      <c r="C70" s="239" t="n"/>
      <c r="D70" s="239" t="n"/>
      <c r="E70" s="239" t="n"/>
      <c r="F70" s="240" t="n"/>
      <c r="G70" s="240" t="n"/>
      <c r="H70" s="241" t="n"/>
      <c r="I70" s="242" t="n"/>
      <c r="J70" s="242" t="n"/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n"/>
      <c r="C71" s="229" t="n"/>
      <c r="D71" s="229" t="n"/>
      <c r="E71" s="229" t="n"/>
      <c r="F71" s="230" t="n"/>
      <c r="G71" s="230" t="n"/>
      <c r="H71" s="231" t="n"/>
      <c r="I71" s="232" t="n"/>
      <c r="J71" s="232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37" t="n"/>
      <c r="B72" s="238" t="n"/>
      <c r="C72" s="239" t="n"/>
      <c r="D72" s="239" t="n"/>
      <c r="E72" s="239" t="n"/>
      <c r="F72" s="240" t="n"/>
      <c r="G72" s="240" t="n"/>
      <c r="H72" s="241" t="n"/>
      <c r="I72" s="242" t="n"/>
      <c r="J72" s="242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n"/>
      <c r="C73" s="229" t="n"/>
      <c r="D73" s="229" t="n"/>
      <c r="E73" s="229" t="n"/>
      <c r="F73" s="230" t="n"/>
      <c r="G73" s="230" t="n"/>
      <c r="H73" s="231" t="n"/>
      <c r="I73" s="232" t="n"/>
      <c r="J73" s="232" t="n"/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37" t="n"/>
      <c r="B74" s="238" t="n"/>
      <c r="C74" s="239" t="n"/>
      <c r="D74" s="239" t="n"/>
      <c r="E74" s="239" t="n"/>
      <c r="F74" s="240" t="n"/>
      <c r="G74" s="240" t="n"/>
      <c r="H74" s="241" t="n"/>
      <c r="I74" s="242" t="n"/>
      <c r="J74" s="242" t="n"/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n"/>
      <c r="C75" s="229" t="n"/>
      <c r="D75" s="229" t="n"/>
      <c r="E75" s="229" t="n"/>
      <c r="F75" s="230" t="n"/>
      <c r="G75" s="230" t="n"/>
      <c r="H75" s="231" t="n"/>
      <c r="I75" s="232" t="n"/>
      <c r="J75" s="232" t="n"/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37" t="n"/>
      <c r="B76" s="238" t="n"/>
      <c r="C76" s="239" t="n"/>
      <c r="D76" s="239" t="n"/>
      <c r="E76" s="239" t="n"/>
      <c r="F76" s="240" t="n"/>
      <c r="G76" s="240" t="n"/>
      <c r="H76" s="241" t="n"/>
      <c r="I76" s="242" t="n"/>
      <c r="J76" s="242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n"/>
      <c r="C77" s="229" t="n"/>
      <c r="D77" s="229" t="n"/>
      <c r="E77" s="229" t="n"/>
      <c r="F77" s="230" t="n"/>
      <c r="G77" s="230" t="n"/>
      <c r="H77" s="231" t="n"/>
      <c r="I77" s="232" t="n"/>
      <c r="J77" s="232" t="n"/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37" t="n"/>
      <c r="B78" s="238" t="n"/>
      <c r="C78" s="239" t="n"/>
      <c r="D78" s="239" t="n"/>
      <c r="E78" s="239" t="n"/>
      <c r="F78" s="240" t="n"/>
      <c r="G78" s="240" t="n"/>
      <c r="H78" s="241" t="n"/>
      <c r="I78" s="242" t="n"/>
      <c r="J78" s="242" t="n"/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n"/>
      <c r="C79" s="229" t="n"/>
      <c r="D79" s="229" t="n"/>
      <c r="E79" s="229" t="n"/>
      <c r="F79" s="230" t="n"/>
      <c r="G79" s="230" t="n"/>
      <c r="H79" s="231" t="n"/>
      <c r="I79" s="232" t="n"/>
      <c r="J79" s="232" t="n"/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37" t="n"/>
      <c r="B80" s="238" t="n"/>
      <c r="C80" s="239" t="n"/>
      <c r="D80" s="239" t="n"/>
      <c r="E80" s="239" t="n"/>
      <c r="F80" s="240" t="n"/>
      <c r="G80" s="240" t="n"/>
      <c r="H80" s="241" t="n"/>
      <c r="I80" s="242" t="n"/>
      <c r="J80" s="242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n"/>
      <c r="C81" s="229" t="n"/>
      <c r="D81" s="229" t="n"/>
      <c r="E81" s="229" t="n"/>
      <c r="F81" s="230" t="n"/>
      <c r="G81" s="230" t="n"/>
      <c r="H81" s="231" t="n"/>
      <c r="I81" s="232" t="n"/>
      <c r="J81" s="232" t="n"/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37" t="n"/>
      <c r="B82" s="238" t="n"/>
      <c r="C82" s="239" t="n"/>
      <c r="D82" s="239" t="n"/>
      <c r="E82" s="239" t="n"/>
      <c r="F82" s="240" t="n"/>
      <c r="G82" s="240" t="n"/>
      <c r="H82" s="241" t="n"/>
      <c r="I82" s="242" t="n"/>
      <c r="J82" s="242" t="n"/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n"/>
      <c r="C83" s="229" t="n"/>
      <c r="D83" s="229" t="n"/>
      <c r="E83" s="229" t="n"/>
      <c r="F83" s="230" t="n"/>
      <c r="G83" s="230" t="n"/>
      <c r="H83" s="231" t="n"/>
      <c r="I83" s="232" t="n"/>
      <c r="J83" s="232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37" t="n"/>
      <c r="B84" s="238" t="n"/>
      <c r="C84" s="239" t="n"/>
      <c r="D84" s="239" t="n"/>
      <c r="E84" s="239" t="n"/>
      <c r="F84" s="240" t="n"/>
      <c r="G84" s="240" t="n"/>
      <c r="H84" s="241" t="n"/>
      <c r="I84" s="242" t="n"/>
      <c r="J84" s="242" t="n"/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n"/>
      <c r="C85" s="229" t="n"/>
      <c r="D85" s="229" t="n"/>
      <c r="E85" s="229" t="n"/>
      <c r="F85" s="230" t="n"/>
      <c r="G85" s="230" t="n"/>
      <c r="H85" s="231" t="n"/>
      <c r="I85" s="232" t="n"/>
      <c r="J85" s="232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37" t="n"/>
      <c r="B86" s="238" t="n"/>
      <c r="C86" s="239" t="n"/>
      <c r="D86" s="239" t="n"/>
      <c r="E86" s="239" t="n"/>
      <c r="F86" s="240" t="n"/>
      <c r="G86" s="240" t="n"/>
      <c r="H86" s="241" t="n"/>
      <c r="I86" s="242" t="n"/>
      <c r="J86" s="242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/>
      <c r="B87" s="228" t="n"/>
      <c r="C87" s="229" t="n"/>
      <c r="D87" s="229" t="n"/>
      <c r="E87" s="229" t="n"/>
      <c r="F87" s="230" t="n"/>
      <c r="G87" s="230" t="n"/>
      <c r="H87" s="231" t="n"/>
      <c r="I87" s="232" t="n"/>
      <c r="J87" s="232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37" t="n"/>
      <c r="B88" s="238" t="n"/>
      <c r="C88" s="239" t="n"/>
      <c r="D88" s="239" t="n"/>
      <c r="E88" s="239" t="n"/>
      <c r="F88" s="240" t="n"/>
      <c r="G88" s="240" t="n"/>
      <c r="H88" s="241" t="n"/>
      <c r="I88" s="242" t="n"/>
      <c r="J88" s="242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n"/>
      <c r="C89" s="229" t="n"/>
      <c r="D89" s="229" t="n"/>
      <c r="E89" s="229" t="n"/>
      <c r="F89" s="230" t="n"/>
      <c r="G89" s="230" t="n"/>
      <c r="H89" s="231" t="n"/>
      <c r="I89" s="232" t="n"/>
      <c r="J89" s="232" t="n"/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37" t="n"/>
      <c r="B90" s="238" t="n"/>
      <c r="C90" s="239" t="n"/>
      <c r="D90" s="239" t="n"/>
      <c r="E90" s="239" t="n"/>
      <c r="F90" s="240" t="n"/>
      <c r="G90" s="240" t="n"/>
      <c r="H90" s="241" t="n"/>
      <c r="I90" s="242" t="n"/>
      <c r="J90" s="242" t="n"/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n"/>
      <c r="C91" s="229" t="n"/>
      <c r="D91" s="229" t="n"/>
      <c r="E91" s="229" t="n"/>
      <c r="F91" s="230" t="n"/>
      <c r="G91" s="230" t="n"/>
      <c r="H91" s="231" t="n"/>
      <c r="I91" s="232" t="n"/>
      <c r="J91" s="232" t="n"/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37" t="n"/>
      <c r="B92" s="238" t="n"/>
      <c r="C92" s="239" t="n"/>
      <c r="D92" s="239" t="n"/>
      <c r="E92" s="239" t="n"/>
      <c r="F92" s="240" t="n"/>
      <c r="G92" s="240" t="n"/>
      <c r="H92" s="241" t="n"/>
      <c r="I92" s="242" t="n"/>
      <c r="J92" s="242" t="n"/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n"/>
      <c r="C93" s="229" t="n"/>
      <c r="D93" s="229" t="n"/>
      <c r="E93" s="229" t="n"/>
      <c r="F93" s="230" t="n"/>
      <c r="G93" s="230" t="n"/>
      <c r="H93" s="231" t="n"/>
      <c r="I93" s="232" t="n"/>
      <c r="J93" s="232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37" t="n"/>
      <c r="B94" s="238" t="n"/>
      <c r="C94" s="239" t="n"/>
      <c r="D94" s="239" t="n"/>
      <c r="E94" s="239" t="n"/>
      <c r="F94" s="240" t="n"/>
      <c r="G94" s="240" t="n"/>
      <c r="H94" s="241" t="n"/>
      <c r="I94" s="242" t="n"/>
      <c r="J94" s="242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n"/>
      <c r="C95" s="229" t="n"/>
      <c r="D95" s="229" t="n"/>
      <c r="E95" s="229" t="n"/>
      <c r="F95" s="230" t="n"/>
      <c r="G95" s="230" t="n"/>
      <c r="H95" s="231" t="n"/>
      <c r="I95" s="232" t="n"/>
      <c r="J95" s="232" t="n"/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37" t="n"/>
      <c r="B96" s="238" t="n"/>
      <c r="C96" s="239" t="n"/>
      <c r="D96" s="239" t="n"/>
      <c r="E96" s="239" t="n"/>
      <c r="F96" s="240" t="n"/>
      <c r="G96" s="240" t="n"/>
      <c r="H96" s="241" t="n"/>
      <c r="I96" s="242" t="n"/>
      <c r="J96" s="242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n"/>
      <c r="C97" s="229" t="n"/>
      <c r="D97" s="229" t="n"/>
      <c r="E97" s="229" t="n"/>
      <c r="F97" s="230" t="n"/>
      <c r="G97" s="230" t="n"/>
      <c r="H97" s="231" t="n"/>
      <c r="I97" s="232" t="n"/>
      <c r="J97" s="232" t="n"/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37" t="n"/>
      <c r="B98" s="238" t="n"/>
      <c r="C98" s="239" t="n"/>
      <c r="D98" s="239" t="n"/>
      <c r="E98" s="239" t="n"/>
      <c r="F98" s="240" t="n"/>
      <c r="G98" s="240" t="n"/>
      <c r="H98" s="241" t="n"/>
      <c r="I98" s="242" t="n"/>
      <c r="J98" s="242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n"/>
      <c r="C99" s="229" t="n"/>
      <c r="D99" s="229" t="n"/>
      <c r="E99" s="229" t="n"/>
      <c r="F99" s="230" t="n"/>
      <c r="G99" s="230" t="n"/>
      <c r="H99" s="231" t="n"/>
      <c r="I99" s="232" t="n"/>
      <c r="J99" s="232" t="n"/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37" t="n"/>
      <c r="B100" s="238" t="n"/>
      <c r="C100" s="239" t="n"/>
      <c r="D100" s="239" t="n"/>
      <c r="E100" s="239" t="n"/>
      <c r="F100" s="240" t="n"/>
      <c r="G100" s="240" t="n"/>
      <c r="H100" s="241" t="n"/>
      <c r="I100" s="242" t="n"/>
      <c r="J100" s="242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n"/>
      <c r="C101" s="229" t="n"/>
      <c r="D101" s="229" t="n"/>
      <c r="E101" s="229" t="n"/>
      <c r="F101" s="230" t="n"/>
      <c r="G101" s="230" t="n"/>
      <c r="H101" s="231" t="n"/>
      <c r="I101" s="232" t="n"/>
      <c r="J101" s="232" t="n"/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37" t="n"/>
      <c r="B102" s="238" t="n"/>
      <c r="C102" s="239" t="n"/>
      <c r="D102" s="239" t="n"/>
      <c r="E102" s="239" t="n"/>
      <c r="F102" s="240" t="n"/>
      <c r="G102" s="240" t="n"/>
      <c r="H102" s="241" t="n"/>
      <c r="I102" s="242" t="n"/>
      <c r="J102" s="242" t="n"/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n"/>
      <c r="C103" s="229" t="n"/>
      <c r="D103" s="229" t="n"/>
      <c r="E103" s="229" t="n"/>
      <c r="F103" s="230" t="n"/>
      <c r="G103" s="230" t="n"/>
      <c r="H103" s="231" t="n"/>
      <c r="I103" s="232" t="n"/>
      <c r="J103" s="232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37" t="n"/>
      <c r="B104" s="238" t="n"/>
      <c r="C104" s="239" t="n"/>
      <c r="D104" s="239" t="n"/>
      <c r="E104" s="239" t="n"/>
      <c r="F104" s="240" t="n"/>
      <c r="G104" s="240" t="n"/>
      <c r="H104" s="241" t="n"/>
      <c r="I104" s="242" t="n"/>
      <c r="J104" s="242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n"/>
      <c r="C105" s="229" t="n"/>
      <c r="D105" s="229" t="n"/>
      <c r="E105" s="229" t="n"/>
      <c r="F105" s="230" t="n"/>
      <c r="G105" s="230" t="n"/>
      <c r="H105" s="231" t="n"/>
      <c r="I105" s="232" t="n"/>
      <c r="J105" s="232" t="n"/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37" t="n"/>
      <c r="B106" s="238" t="n"/>
      <c r="C106" s="239" t="n"/>
      <c r="D106" s="239" t="n"/>
      <c r="E106" s="239" t="n"/>
      <c r="F106" s="240" t="n"/>
      <c r="G106" s="240" t="n"/>
      <c r="H106" s="241" t="n"/>
      <c r="I106" s="242" t="n"/>
      <c r="J106" s="242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n"/>
      <c r="C107" s="229" t="n"/>
      <c r="D107" s="229" t="n"/>
      <c r="E107" s="229" t="n"/>
      <c r="F107" s="230" t="n"/>
      <c r="G107" s="230" t="n"/>
      <c r="H107" s="231" t="n"/>
      <c r="I107" s="232" t="n"/>
      <c r="J107" s="232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37" t="n"/>
      <c r="B108" s="238" t="n"/>
      <c r="C108" s="239" t="n"/>
      <c r="D108" s="239" t="n"/>
      <c r="E108" s="239" t="n"/>
      <c r="F108" s="240" t="n"/>
      <c r="G108" s="240" t="n"/>
      <c r="H108" s="241" t="n"/>
      <c r="I108" s="242" t="n"/>
      <c r="J108" s="242" t="n"/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n"/>
      <c r="C109" s="229" t="n"/>
      <c r="D109" s="229" t="n"/>
      <c r="E109" s="229" t="n"/>
      <c r="F109" s="230" t="n"/>
      <c r="G109" s="230" t="n"/>
      <c r="H109" s="231" t="n"/>
      <c r="I109" s="232" t="n"/>
      <c r="J109" s="232" t="n"/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37" t="n"/>
      <c r="B110" s="238" t="n"/>
      <c r="C110" s="239" t="n"/>
      <c r="D110" s="239" t="n"/>
      <c r="E110" s="239" t="n"/>
      <c r="F110" s="240" t="n"/>
      <c r="G110" s="240" t="n"/>
      <c r="H110" s="241" t="n"/>
      <c r="I110" s="242" t="n"/>
      <c r="J110" s="242" t="n"/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/>
      <c r="B111" s="228" t="n"/>
      <c r="C111" s="229" t="n"/>
      <c r="D111" s="229" t="n"/>
      <c r="E111" s="229" t="n"/>
      <c r="F111" s="230" t="n"/>
      <c r="G111" s="230" t="n"/>
      <c r="H111" s="231" t="n"/>
      <c r="I111" s="232" t="n"/>
      <c r="J111" s="232" t="n"/>
      <c r="K111" s="233" t="n"/>
      <c r="L111" s="233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56" t="n"/>
      <c r="N111" s="156" t="n"/>
      <c r="O111" s="156" t="n"/>
    </row>
    <row r="112" ht="18.75" customHeight="1" s="153">
      <c r="A112" s="237" t="n"/>
      <c r="B112" s="238" t="n"/>
      <c r="C112" s="239" t="n"/>
      <c r="D112" s="239" t="n"/>
      <c r="E112" s="239" t="n"/>
      <c r="F112" s="240" t="n"/>
      <c r="G112" s="240" t="n"/>
      <c r="H112" s="241" t="n"/>
      <c r="I112" s="242" t="n"/>
      <c r="J112" s="242" t="n"/>
      <c r="K112" s="233" t="n"/>
      <c r="L112" s="233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56" t="n"/>
      <c r="N112" s="156" t="n"/>
      <c r="O112" s="156" t="n"/>
    </row>
    <row r="113" ht="18.75" customHeight="1" s="153">
      <c r="A113" s="227" t="n"/>
      <c r="B113" s="228" t="n"/>
      <c r="C113" s="229" t="n"/>
      <c r="D113" s="229" t="n"/>
      <c r="E113" s="229" t="n"/>
      <c r="F113" s="230" t="n"/>
      <c r="G113" s="230" t="n"/>
      <c r="H113" s="231" t="n"/>
      <c r="I113" s="232" t="n"/>
      <c r="J113" s="232" t="n"/>
      <c r="K113" s="233" t="n"/>
      <c r="L113" s="233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56" t="n"/>
      <c r="N113" s="156" t="n"/>
      <c r="O113" s="156" t="n"/>
    </row>
    <row r="114" ht="18.75" customHeight="1" s="153">
      <c r="A114" s="237" t="n"/>
      <c r="B114" s="238" t="n"/>
      <c r="C114" s="239" t="n"/>
      <c r="D114" s="239" t="n"/>
      <c r="E114" s="239" t="n"/>
      <c r="F114" s="240" t="n"/>
      <c r="G114" s="240" t="n"/>
      <c r="H114" s="241" t="n"/>
      <c r="I114" s="242" t="n"/>
      <c r="J114" s="242" t="n"/>
      <c r="K114" s="233" t="n"/>
      <c r="L114" s="233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56" t="n"/>
      <c r="N114" s="156" t="n"/>
      <c r="O114" s="156" t="n"/>
    </row>
    <row r="115" ht="18.75" customHeight="1" s="153">
      <c r="A115" s="227" t="n"/>
      <c r="B115" s="228" t="n"/>
      <c r="C115" s="229" t="n"/>
      <c r="D115" s="229" t="n"/>
      <c r="E115" s="229" t="n"/>
      <c r="F115" s="230" t="n"/>
      <c r="G115" s="230" t="n"/>
      <c r="H115" s="231" t="n"/>
      <c r="I115" s="232" t="n"/>
      <c r="J115" s="232" t="n"/>
      <c r="K115" s="233" t="n"/>
      <c r="L115" s="233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56" t="n"/>
      <c r="N115" s="156" t="n"/>
      <c r="O115" s="156" t="n"/>
    </row>
    <row r="116" ht="18.75" customHeight="1" s="153">
      <c r="A116" s="237" t="n"/>
      <c r="B116" s="238" t="n"/>
      <c r="C116" s="239" t="n"/>
      <c r="D116" s="239" t="n"/>
      <c r="E116" s="239" t="n"/>
      <c r="F116" s="240" t="n"/>
      <c r="G116" s="240" t="n"/>
      <c r="H116" s="241" t="n"/>
      <c r="I116" s="242" t="n"/>
      <c r="J116" s="242" t="n"/>
      <c r="K116" s="233" t="n"/>
      <c r="L116" s="233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56" t="n"/>
      <c r="N116" s="156" t="n"/>
      <c r="O116" s="156" t="n"/>
    </row>
    <row r="117" ht="18.75" customHeight="1" s="153">
      <c r="A117" s="227" t="n"/>
      <c r="B117" s="228" t="n"/>
      <c r="C117" s="229" t="n"/>
      <c r="D117" s="229" t="n"/>
      <c r="E117" s="229" t="n"/>
      <c r="F117" s="230" t="n"/>
      <c r="G117" s="230" t="n"/>
      <c r="H117" s="231" t="n"/>
      <c r="I117" s="232" t="n"/>
      <c r="J117" s="232" t="n"/>
      <c r="K117" s="233" t="n"/>
      <c r="L117" s="233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56" t="n"/>
      <c r="N117" s="156" t="n"/>
      <c r="O117" s="156" t="n"/>
    </row>
    <row r="118" ht="18.75" customHeight="1" s="153">
      <c r="A118" s="237" t="n"/>
      <c r="B118" s="238" t="n"/>
      <c r="C118" s="239" t="n"/>
      <c r="D118" s="239" t="n"/>
      <c r="E118" s="239" t="n"/>
      <c r="F118" s="240" t="n"/>
      <c r="G118" s="240" t="n"/>
      <c r="H118" s="241" t="n"/>
      <c r="I118" s="242" t="n"/>
      <c r="J118" s="242" t="n"/>
      <c r="K118" s="233" t="n"/>
      <c r="L118" s="233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56" t="n"/>
      <c r="N118" s="156" t="n"/>
      <c r="O118" s="156" t="n"/>
    </row>
    <row r="119" ht="18.75" customHeight="1" s="153">
      <c r="A119" s="227" t="n"/>
      <c r="B119" s="228" t="n"/>
      <c r="C119" s="229" t="n"/>
      <c r="D119" s="229" t="n"/>
      <c r="E119" s="229" t="n"/>
      <c r="F119" s="230" t="n"/>
      <c r="G119" s="230" t="n"/>
      <c r="H119" s="231" t="n"/>
      <c r="I119" s="232" t="n"/>
      <c r="J119" s="232" t="n"/>
      <c r="K119" s="233" t="n"/>
      <c r="L119" s="233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56" t="n"/>
      <c r="N119" s="156" t="n"/>
      <c r="O119" s="156" t="n"/>
    </row>
    <row r="120" ht="18.75" customHeight="1" s="153">
      <c r="A120" s="237" t="n"/>
      <c r="B120" s="238" t="n"/>
      <c r="C120" s="239" t="n"/>
      <c r="D120" s="239" t="n"/>
      <c r="E120" s="239" t="n"/>
      <c r="F120" s="240" t="n"/>
      <c r="G120" s="240" t="n"/>
      <c r="H120" s="241" t="n"/>
      <c r="I120" s="242" t="n"/>
      <c r="J120" s="242" t="n"/>
      <c r="K120" s="233" t="n"/>
      <c r="L120" s="233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56" t="n"/>
      <c r="N120" s="156" t="n"/>
      <c r="O120" s="156" t="n"/>
    </row>
    <row r="121" ht="18.75" customHeight="1" s="153">
      <c r="A121" s="227" t="n"/>
      <c r="B121" s="228" t="n"/>
      <c r="C121" s="229" t="n"/>
      <c r="D121" s="229" t="n"/>
      <c r="E121" s="229" t="n"/>
      <c r="F121" s="230" t="n"/>
      <c r="G121" s="230" t="n"/>
      <c r="H121" s="231" t="n"/>
      <c r="I121" s="232" t="n"/>
      <c r="J121" s="232" t="n"/>
      <c r="K121" s="233" t="n"/>
      <c r="L121" s="233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56" t="n"/>
      <c r="N121" s="156" t="n"/>
      <c r="O121" s="156" t="n"/>
    </row>
    <row r="122" ht="18.75" customHeight="1" s="153">
      <c r="A122" s="237" t="n"/>
      <c r="B122" s="238" t="n"/>
      <c r="C122" s="239" t="n"/>
      <c r="D122" s="239" t="n"/>
      <c r="E122" s="239" t="n"/>
      <c r="F122" s="240" t="n"/>
      <c r="G122" s="240" t="n"/>
      <c r="H122" s="241" t="n"/>
      <c r="I122" s="242" t="n"/>
      <c r="J122" s="242" t="n"/>
      <c r="K122" s="233" t="n"/>
      <c r="L122" s="233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56" t="n"/>
      <c r="N122" s="156" t="n"/>
      <c r="O122" s="156" t="n"/>
    </row>
    <row r="123" ht="18.75" customHeight="1" s="153">
      <c r="A123" s="227" t="n"/>
      <c r="B123" s="228" t="n"/>
      <c r="C123" s="229" t="n"/>
      <c r="D123" s="229" t="n"/>
      <c r="E123" s="229" t="n"/>
      <c r="F123" s="230" t="n"/>
      <c r="G123" s="230" t="n"/>
      <c r="H123" s="231" t="n"/>
      <c r="I123" s="232" t="n"/>
      <c r="J123" s="232" t="n"/>
      <c r="K123" s="233" t="n"/>
      <c r="L123" s="233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56" t="n"/>
      <c r="N123" s="156" t="n"/>
      <c r="O123" s="156" t="n"/>
    </row>
    <row r="124" ht="18.75" customHeight="1" s="153">
      <c r="A124" s="237" t="n"/>
      <c r="B124" s="238" t="n"/>
      <c r="C124" s="239" t="n"/>
      <c r="D124" s="239" t="n"/>
      <c r="E124" s="239" t="n"/>
      <c r="F124" s="240" t="n"/>
      <c r="G124" s="240" t="n"/>
      <c r="H124" s="241" t="n"/>
      <c r="I124" s="242" t="n"/>
      <c r="J124" s="242" t="n"/>
      <c r="K124" s="233" t="n"/>
      <c r="L124" s="233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56" t="n"/>
      <c r="N124" s="156" t="n"/>
      <c r="O124" s="156" t="n"/>
    </row>
    <row r="125" ht="18.75" customHeight="1" s="153">
      <c r="A125" s="227" t="n"/>
      <c r="B125" s="228" t="n"/>
      <c r="C125" s="229" t="n"/>
      <c r="D125" s="229" t="n"/>
      <c r="E125" s="229" t="n"/>
      <c r="F125" s="230" t="n"/>
      <c r="G125" s="230" t="n"/>
      <c r="H125" s="231" t="n"/>
      <c r="I125" s="232" t="n"/>
      <c r="J125" s="232" t="n"/>
      <c r="K125" s="233" t="n"/>
      <c r="L125" s="233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56" t="n"/>
      <c r="N125" s="156" t="n"/>
      <c r="O125" s="156" t="n"/>
    </row>
    <row r="126" ht="18.75" customHeight="1" s="153">
      <c r="A126" s="237" t="n"/>
      <c r="B126" s="238" t="n"/>
      <c r="C126" s="239" t="n"/>
      <c r="D126" s="239" t="n"/>
      <c r="E126" s="239" t="n"/>
      <c r="F126" s="240" t="n"/>
      <c r="G126" s="240" t="n"/>
      <c r="H126" s="241" t="n"/>
      <c r="I126" s="242" t="n"/>
      <c r="J126" s="242" t="n"/>
      <c r="K126" s="233" t="n"/>
      <c r="L126" s="233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56" t="n"/>
      <c r="N126" s="156" t="n"/>
      <c r="O126" s="156" t="n"/>
    </row>
    <row r="127" ht="18.75" customHeight="1" s="153">
      <c r="A127" s="227" t="n"/>
      <c r="B127" s="228" t="n"/>
      <c r="C127" s="229" t="n"/>
      <c r="D127" s="229" t="n"/>
      <c r="E127" s="229" t="n"/>
      <c r="F127" s="230" t="n"/>
      <c r="G127" s="230" t="n"/>
      <c r="H127" s="231" t="n"/>
      <c r="I127" s="232" t="n"/>
      <c r="J127" s="232" t="n"/>
      <c r="K127" s="233" t="n"/>
      <c r="L127" s="233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56" t="n"/>
      <c r="N127" s="156" t="n"/>
      <c r="O127" s="156" t="n"/>
    </row>
    <row r="128" ht="18.75" customHeight="1" s="153">
      <c r="A128" s="237" t="n"/>
      <c r="B128" s="238" t="n"/>
      <c r="C128" s="239" t="n"/>
      <c r="D128" s="239" t="n"/>
      <c r="E128" s="239" t="n"/>
      <c r="F128" s="240" t="n"/>
      <c r="G128" s="240" t="n"/>
      <c r="H128" s="241" t="n"/>
      <c r="I128" s="242" t="n"/>
      <c r="J128" s="242" t="n"/>
      <c r="K128" s="233" t="n"/>
      <c r="L128" s="233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56" t="n"/>
      <c r="N128" s="156" t="n"/>
      <c r="O128" s="156" t="n"/>
    </row>
    <row r="129" ht="18.75" customHeight="1" s="153">
      <c r="A129" s="227" t="n"/>
      <c r="B129" s="228" t="n"/>
      <c r="C129" s="229" t="n"/>
      <c r="D129" s="229" t="n"/>
      <c r="E129" s="229" t="n"/>
      <c r="F129" s="230" t="n"/>
      <c r="G129" s="230" t="n"/>
      <c r="H129" s="231" t="n"/>
      <c r="I129" s="232" t="n"/>
      <c r="J129" s="232" t="n"/>
      <c r="K129" s="233" t="n"/>
      <c r="L129" s="233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56" t="n"/>
      <c r="N129" s="156" t="n"/>
      <c r="O129" s="156" t="n"/>
    </row>
    <row r="130" ht="18.75" customHeight="1" s="153">
      <c r="A130" s="237" t="n"/>
      <c r="B130" s="238" t="n"/>
      <c r="C130" s="239" t="n"/>
      <c r="D130" s="239" t="n"/>
      <c r="E130" s="239" t="n"/>
      <c r="F130" s="240" t="n"/>
      <c r="G130" s="240" t="n"/>
      <c r="H130" s="241" t="n"/>
      <c r="I130" s="242" t="n"/>
      <c r="J130" s="242" t="n"/>
      <c r="K130" s="233" t="n"/>
      <c r="L130" s="233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56" t="n"/>
      <c r="N130" s="156" t="n"/>
      <c r="O130" s="156" t="n"/>
    </row>
    <row r="131" ht="18.75" customHeight="1" s="153">
      <c r="A131" s="227" t="n"/>
      <c r="B131" s="228" t="n"/>
      <c r="C131" s="229" t="n"/>
      <c r="D131" s="229" t="n"/>
      <c r="E131" s="229" t="n"/>
      <c r="F131" s="230" t="n"/>
      <c r="G131" s="230" t="n"/>
      <c r="H131" s="231" t="n"/>
      <c r="I131" s="232" t="n"/>
      <c r="J131" s="232" t="n"/>
      <c r="K131" s="233" t="n"/>
      <c r="L131" s="233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56" t="n"/>
      <c r="N131" s="156" t="n"/>
      <c r="O131" s="156" t="n"/>
    </row>
    <row r="132" ht="18.75" customHeight="1" s="153">
      <c r="A132" s="237" t="n"/>
      <c r="B132" s="238" t="n"/>
      <c r="C132" s="239" t="n"/>
      <c r="D132" s="239" t="n"/>
      <c r="E132" s="239" t="n"/>
      <c r="F132" s="240" t="n"/>
      <c r="G132" s="240" t="n"/>
      <c r="H132" s="241" t="n"/>
      <c r="I132" s="242" t="n"/>
      <c r="J132" s="242" t="n"/>
      <c r="K132" s="233" t="n"/>
      <c r="L132" s="233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56" t="n"/>
      <c r="N132" s="156" t="n"/>
      <c r="O132" s="156" t="n"/>
    </row>
    <row r="133" ht="18.75" customHeight="1" s="153">
      <c r="A133" s="227" t="n"/>
      <c r="B133" s="228" t="n"/>
      <c r="C133" s="229" t="n"/>
      <c r="D133" s="229" t="n"/>
      <c r="E133" s="229" t="n"/>
      <c r="F133" s="230" t="n"/>
      <c r="G133" s="230" t="n"/>
      <c r="H133" s="231" t="n"/>
      <c r="I133" s="232" t="n"/>
      <c r="J133" s="232" t="n"/>
      <c r="K133" s="233" t="n"/>
      <c r="L133" s="233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56" t="n"/>
      <c r="N133" s="156" t="n"/>
      <c r="O133" s="156" t="n"/>
    </row>
    <row r="134" ht="18.75" customHeight="1" s="153">
      <c r="A134" s="237" t="n"/>
      <c r="B134" s="238" t="n"/>
      <c r="C134" s="239" t="n"/>
      <c r="D134" s="239" t="n"/>
      <c r="E134" s="239" t="n"/>
      <c r="F134" s="240" t="n"/>
      <c r="G134" s="240" t="n"/>
      <c r="H134" s="241" t="n"/>
      <c r="I134" s="242" t="n"/>
      <c r="J134" s="242" t="n"/>
      <c r="K134" s="233" t="n"/>
      <c r="L134" s="233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56" t="n"/>
      <c r="N134" s="156" t="n"/>
      <c r="O134" s="156" t="n"/>
    </row>
    <row r="135" ht="18.75" customHeight="1" s="153">
      <c r="A135" s="227" t="n"/>
      <c r="B135" s="228" t="n"/>
      <c r="C135" s="229" t="n"/>
      <c r="D135" s="229" t="n"/>
      <c r="E135" s="229" t="n"/>
      <c r="F135" s="230" t="n"/>
      <c r="G135" s="230" t="n"/>
      <c r="H135" s="231" t="n"/>
      <c r="I135" s="232" t="n"/>
      <c r="J135" s="232" t="n"/>
      <c r="K135" s="233" t="n"/>
      <c r="L135" s="233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56" t="n"/>
      <c r="N135" s="156" t="n"/>
      <c r="O135" s="156" t="n"/>
    </row>
    <row r="136" ht="18.75" customHeight="1" s="153">
      <c r="A136" s="237" t="n"/>
      <c r="B136" s="238" t="n"/>
      <c r="C136" s="239" t="n"/>
      <c r="D136" s="239" t="n"/>
      <c r="E136" s="239" t="n"/>
      <c r="F136" s="240" t="n"/>
      <c r="G136" s="240" t="n"/>
      <c r="H136" s="241" t="n"/>
      <c r="I136" s="242" t="n"/>
      <c r="J136" s="242" t="n"/>
      <c r="K136" s="233" t="n"/>
      <c r="L136" s="233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56" t="n"/>
      <c r="N136" s="156" t="n"/>
      <c r="O136" s="156" t="n"/>
    </row>
    <row r="137" ht="18.75" customHeight="1" s="153">
      <c r="A137" s="227" t="n"/>
      <c r="B137" s="228" t="n"/>
      <c r="C137" s="229" t="n"/>
      <c r="D137" s="229" t="n"/>
      <c r="E137" s="229" t="n"/>
      <c r="F137" s="230" t="n"/>
      <c r="G137" s="230" t="n"/>
      <c r="H137" s="231" t="n"/>
      <c r="I137" s="232" t="n"/>
      <c r="J137" s="232" t="n"/>
      <c r="K137" s="233" t="n"/>
      <c r="L137" s="233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56" t="n"/>
      <c r="N137" s="156" t="n"/>
      <c r="O137" s="156" t="n"/>
    </row>
    <row r="138" ht="18.75" customHeight="1" s="153">
      <c r="A138" s="237" t="n"/>
      <c r="B138" s="238" t="n"/>
      <c r="C138" s="239" t="n"/>
      <c r="D138" s="239" t="n"/>
      <c r="E138" s="239" t="n"/>
      <c r="F138" s="240" t="n"/>
      <c r="G138" s="240" t="n"/>
      <c r="H138" s="241" t="n"/>
      <c r="I138" s="242" t="n"/>
      <c r="J138" s="242" t="n"/>
      <c r="K138" s="233" t="n"/>
      <c r="L138" s="233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56" t="n"/>
      <c r="N138" s="156" t="n"/>
      <c r="O138" s="156" t="n"/>
    </row>
    <row r="139" ht="18.75" customHeight="1" s="153">
      <c r="A139" s="227" t="n"/>
      <c r="B139" s="228" t="n"/>
      <c r="C139" s="229" t="n"/>
      <c r="D139" s="229" t="n"/>
      <c r="E139" s="229" t="n"/>
      <c r="F139" s="230" t="n"/>
      <c r="G139" s="230" t="n"/>
      <c r="H139" s="231" t="n"/>
      <c r="I139" s="232" t="n"/>
      <c r="J139" s="232" t="n"/>
      <c r="K139" s="233" t="n"/>
      <c r="L139" s="233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56" t="n"/>
      <c r="N139" s="156" t="n"/>
      <c r="O139" s="156" t="n"/>
    </row>
    <row r="140" ht="18.75" customHeight="1" s="153">
      <c r="A140" s="237" t="n"/>
      <c r="B140" s="238" t="n"/>
      <c r="C140" s="239" t="n"/>
      <c r="D140" s="239" t="n"/>
      <c r="E140" s="239" t="n"/>
      <c r="F140" s="240" t="n"/>
      <c r="G140" s="240" t="n"/>
      <c r="H140" s="241" t="n"/>
      <c r="I140" s="242" t="n"/>
      <c r="J140" s="242" t="n"/>
      <c r="K140" s="233" t="n"/>
      <c r="L140" s="233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56" t="n"/>
      <c r="N140" s="156" t="n"/>
      <c r="O140" s="156" t="n"/>
    </row>
    <row r="141" ht="18.75" customHeight="1" s="153">
      <c r="A141" s="227" t="n"/>
      <c r="B141" s="228" t="n"/>
      <c r="C141" s="229" t="n"/>
      <c r="D141" s="229" t="n"/>
      <c r="E141" s="229" t="n"/>
      <c r="F141" s="230" t="n"/>
      <c r="G141" s="230" t="n"/>
      <c r="H141" s="231" t="n"/>
      <c r="I141" s="232" t="n"/>
      <c r="J141" s="232" t="n"/>
      <c r="K141" s="233" t="n"/>
      <c r="L141" s="233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56" t="n"/>
      <c r="N141" s="156" t="n"/>
      <c r="O141" s="156" t="n"/>
    </row>
    <row r="142" ht="18.75" customHeight="1" s="153">
      <c r="A142" s="237" t="n"/>
      <c r="B142" s="238" t="n"/>
      <c r="C142" s="239" t="n"/>
      <c r="D142" s="239" t="n"/>
      <c r="E142" s="239" t="n"/>
      <c r="F142" s="240" t="n"/>
      <c r="G142" s="240" t="n"/>
      <c r="H142" s="241" t="n"/>
      <c r="I142" s="242" t="n"/>
      <c r="J142" s="242" t="n"/>
      <c r="K142" s="233" t="n"/>
      <c r="L142" s="233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56" t="n"/>
      <c r="N142" s="156" t="n"/>
      <c r="O142" s="156" t="n"/>
    </row>
    <row r="143" ht="18.75" customHeight="1" s="153">
      <c r="A143" s="227" t="n"/>
      <c r="B143" s="228" t="n"/>
      <c r="C143" s="229" t="n"/>
      <c r="D143" s="229" t="n"/>
      <c r="E143" s="229" t="n"/>
      <c r="F143" s="230" t="n"/>
      <c r="G143" s="230" t="n"/>
      <c r="H143" s="231" t="n"/>
      <c r="I143" s="232" t="n"/>
      <c r="J143" s="232" t="n"/>
      <c r="K143" s="233" t="n"/>
      <c r="L143" s="233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56" t="n"/>
      <c r="N143" s="156" t="n"/>
      <c r="O143" s="156" t="n"/>
    </row>
    <row r="144" ht="18.75" customHeight="1" s="153">
      <c r="A144" s="237" t="n"/>
      <c r="B144" s="238" t="n"/>
      <c r="C144" s="239" t="n"/>
      <c r="D144" s="239" t="n"/>
      <c r="E144" s="239" t="n"/>
      <c r="F144" s="240" t="n"/>
      <c r="G144" s="240" t="n"/>
      <c r="H144" s="241" t="n"/>
      <c r="I144" s="242" t="n"/>
      <c r="J144" s="242" t="n"/>
      <c r="K144" s="233" t="n"/>
      <c r="L144" s="233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56" t="n"/>
      <c r="N144" s="156" t="n"/>
      <c r="O144" s="156" t="n"/>
    </row>
    <row r="145" ht="18.75" customHeight="1" s="153">
      <c r="A145" s="227" t="n"/>
      <c r="B145" s="228" t="n"/>
      <c r="C145" s="229" t="n"/>
      <c r="D145" s="229" t="n"/>
      <c r="E145" s="229" t="n"/>
      <c r="F145" s="230" t="n"/>
      <c r="G145" s="230" t="n"/>
      <c r="H145" s="231" t="n"/>
      <c r="I145" s="232" t="n"/>
      <c r="J145" s="232" t="n"/>
      <c r="K145" s="233" t="n"/>
      <c r="L145" s="233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56" t="n"/>
      <c r="N145" s="156" t="n"/>
      <c r="O145" s="156" t="n"/>
    </row>
    <row r="146" ht="18.75" customHeight="1" s="153">
      <c r="A146" s="237" t="n"/>
      <c r="B146" s="238" t="n"/>
      <c r="C146" s="239" t="n"/>
      <c r="D146" s="239" t="n"/>
      <c r="E146" s="239" t="n"/>
      <c r="F146" s="240" t="n"/>
      <c r="G146" s="240" t="n"/>
      <c r="H146" s="241" t="n"/>
      <c r="I146" s="242" t="n"/>
      <c r="J146" s="242" t="n"/>
      <c r="K146" s="233" t="n"/>
      <c r="L146" s="233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56" t="n"/>
      <c r="N146" s="156" t="n"/>
      <c r="O146" s="156" t="n"/>
    </row>
    <row r="147" ht="18.75" customHeight="1" s="153">
      <c r="A147" s="227" t="n"/>
      <c r="B147" s="228" t="n"/>
      <c r="C147" s="229" t="n"/>
      <c r="D147" s="229" t="n"/>
      <c r="E147" s="229" t="n"/>
      <c r="F147" s="230" t="n"/>
      <c r="G147" s="230" t="n"/>
      <c r="H147" s="231" t="n"/>
      <c r="I147" s="232" t="n"/>
      <c r="J147" s="232" t="n"/>
      <c r="K147" s="233" t="n"/>
      <c r="L147" s="233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56" t="n"/>
      <c r="N147" s="156" t="n"/>
      <c r="O147" s="156" t="n"/>
    </row>
    <row r="148" ht="18.75" customHeight="1" s="153">
      <c r="A148" s="237" t="n"/>
      <c r="B148" s="238" t="n"/>
      <c r="C148" s="239" t="n"/>
      <c r="D148" s="239" t="n"/>
      <c r="E148" s="239" t="n"/>
      <c r="F148" s="240" t="n"/>
      <c r="G148" s="240" t="n"/>
      <c r="H148" s="241" t="n"/>
      <c r="I148" s="242" t="n"/>
      <c r="J148" s="242" t="n"/>
      <c r="K148" s="233" t="n"/>
      <c r="L148" s="233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56" t="n"/>
      <c r="N148" s="156" t="n"/>
      <c r="O148" s="156" t="n"/>
    </row>
    <row r="149" ht="18.75" customHeight="1" s="153">
      <c r="A149" s="227" t="n"/>
      <c r="B149" s="228" t="n"/>
      <c r="C149" s="229" t="n"/>
      <c r="D149" s="229" t="n"/>
      <c r="E149" s="229" t="n"/>
      <c r="F149" s="230" t="n"/>
      <c r="G149" s="230" t="n"/>
      <c r="H149" s="231" t="n"/>
      <c r="I149" s="232" t="n"/>
      <c r="J149" s="232" t="n"/>
      <c r="K149" s="233" t="n"/>
      <c r="L149" s="233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56" t="n"/>
      <c r="N149" s="156" t="n"/>
      <c r="O149" s="156" t="n"/>
    </row>
    <row r="150" ht="18.75" customHeight="1" s="153">
      <c r="A150" s="237" t="n"/>
      <c r="B150" s="238" t="n"/>
      <c r="C150" s="239" t="n"/>
      <c r="D150" s="239" t="n"/>
      <c r="E150" s="239" t="n"/>
      <c r="F150" s="240" t="n"/>
      <c r="G150" s="240" t="n"/>
      <c r="H150" s="241" t="n"/>
      <c r="I150" s="242" t="n"/>
      <c r="J150" s="242" t="n"/>
      <c r="K150" s="233" t="n"/>
      <c r="L150" s="233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56" t="n"/>
      <c r="N150" s="156" t="n"/>
      <c r="O150" s="156" t="n"/>
    </row>
    <row r="151" ht="18.75" customHeight="1" s="153">
      <c r="A151" s="227" t="n"/>
      <c r="B151" s="228" t="n"/>
      <c r="C151" s="229" t="n"/>
      <c r="D151" s="229" t="n"/>
      <c r="E151" s="229" t="n"/>
      <c r="F151" s="230" t="n"/>
      <c r="G151" s="230" t="n"/>
      <c r="H151" s="231" t="n"/>
      <c r="I151" s="232" t="n"/>
      <c r="J151" s="232" t="n"/>
      <c r="K151" s="233" t="n"/>
      <c r="L151" s="233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56" t="n"/>
      <c r="N151" s="156" t="n"/>
      <c r="O151" s="156" t="n"/>
    </row>
    <row r="152" ht="18.75" customHeight="1" s="153">
      <c r="A152" s="237" t="n"/>
      <c r="B152" s="238" t="n"/>
      <c r="C152" s="239" t="n"/>
      <c r="D152" s="239" t="n"/>
      <c r="E152" s="239" t="n"/>
      <c r="F152" s="240" t="n"/>
      <c r="G152" s="240" t="n"/>
      <c r="H152" s="241" t="n"/>
      <c r="I152" s="242" t="n"/>
      <c r="J152" s="242" t="n"/>
      <c r="K152" s="233" t="n"/>
      <c r="L152" s="233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56" t="n"/>
      <c r="N152" s="156" t="n"/>
      <c r="O152" s="156" t="n"/>
    </row>
    <row r="153" ht="18.75" customHeight="1" s="153">
      <c r="A153" s="227" t="n"/>
      <c r="B153" s="228" t="n"/>
      <c r="C153" s="229" t="n"/>
      <c r="D153" s="229" t="n"/>
      <c r="E153" s="229" t="n"/>
      <c r="F153" s="230" t="n"/>
      <c r="G153" s="230" t="n"/>
      <c r="H153" s="231" t="n"/>
      <c r="I153" s="232" t="n"/>
      <c r="J153" s="232" t="n"/>
      <c r="K153" s="233" t="n"/>
      <c r="L153" s="233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56" t="n"/>
      <c r="N153" s="156" t="n"/>
      <c r="O153" s="156" t="n"/>
    </row>
    <row r="154" ht="18.75" customHeight="1" s="153">
      <c r="A154" s="237" t="n"/>
      <c r="B154" s="238" t="n"/>
      <c r="C154" s="239" t="n"/>
      <c r="D154" s="239" t="n"/>
      <c r="E154" s="239" t="n"/>
      <c r="F154" s="240" t="n"/>
      <c r="G154" s="240" t="n"/>
      <c r="H154" s="241" t="n"/>
      <c r="I154" s="242" t="n"/>
      <c r="J154" s="242" t="n"/>
      <c r="K154" s="233" t="n"/>
      <c r="L154" s="233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56" t="n"/>
      <c r="N154" s="156" t="n"/>
      <c r="O154" s="156" t="n"/>
    </row>
    <row r="155" ht="18.75" customHeight="1" s="153">
      <c r="A155" s="227" t="n"/>
      <c r="B155" s="228" t="n"/>
      <c r="C155" s="229" t="n"/>
      <c r="D155" s="229" t="n"/>
      <c r="E155" s="229" t="n"/>
      <c r="F155" s="230" t="n"/>
      <c r="G155" s="230" t="n"/>
      <c r="H155" s="231" t="n"/>
      <c r="I155" s="232" t="n"/>
      <c r="J155" s="232" t="n"/>
      <c r="K155" s="233" t="n"/>
      <c r="L155" s="233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56" t="n"/>
      <c r="N155" s="156" t="n"/>
      <c r="O155" s="156" t="n"/>
    </row>
    <row r="156" ht="18.75" customHeight="1" s="153">
      <c r="A156" s="237" t="n"/>
      <c r="B156" s="238" t="n"/>
      <c r="C156" s="239" t="n"/>
      <c r="D156" s="239" t="n"/>
      <c r="E156" s="239" t="n"/>
      <c r="F156" s="240" t="n"/>
      <c r="G156" s="240" t="n"/>
      <c r="H156" s="241" t="n"/>
      <c r="I156" s="242" t="n"/>
      <c r="J156" s="242" t="n"/>
      <c r="K156" s="233" t="n"/>
      <c r="L156" s="233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56" t="n"/>
      <c r="N156" s="156" t="n"/>
      <c r="O156" s="156" t="n"/>
    </row>
    <row r="157" ht="18.75" customHeight="1" s="153">
      <c r="A157" s="227" t="n"/>
      <c r="B157" s="228" t="n"/>
      <c r="C157" s="229" t="n"/>
      <c r="D157" s="229" t="n"/>
      <c r="E157" s="229" t="n"/>
      <c r="F157" s="230" t="n"/>
      <c r="G157" s="230" t="n"/>
      <c r="H157" s="231" t="n"/>
      <c r="I157" s="232" t="n"/>
      <c r="J157" s="232" t="n"/>
      <c r="K157" s="233" t="n"/>
      <c r="L157" s="233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56" t="n"/>
      <c r="N157" s="156" t="n"/>
      <c r="O157" s="156" t="n"/>
    </row>
    <row r="158" ht="18.75" customHeight="1" s="153">
      <c r="A158" s="237" t="n"/>
      <c r="B158" s="238" t="n"/>
      <c r="C158" s="239" t="n"/>
      <c r="D158" s="239" t="n"/>
      <c r="E158" s="239" t="n"/>
      <c r="F158" s="240" t="n"/>
      <c r="G158" s="240" t="n"/>
      <c r="H158" s="241" t="n"/>
      <c r="I158" s="242" t="n"/>
      <c r="J158" s="242" t="n"/>
      <c r="K158" s="233" t="n"/>
      <c r="L158" s="233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56" t="n"/>
      <c r="N158" s="156" t="n"/>
      <c r="O158" s="156" t="n"/>
    </row>
    <row r="159" ht="18.75" customHeight="1" s="153">
      <c r="A159" s="227" t="n"/>
      <c r="B159" s="228" t="n"/>
      <c r="C159" s="229" t="n"/>
      <c r="D159" s="229" t="n"/>
      <c r="E159" s="229" t="n"/>
      <c r="F159" s="230" t="n"/>
      <c r="G159" s="230" t="n"/>
      <c r="H159" s="231" t="n"/>
      <c r="I159" s="232" t="n"/>
      <c r="J159" s="232" t="n"/>
      <c r="K159" s="233" t="n"/>
      <c r="L159" s="233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56" t="n"/>
      <c r="N159" s="156" t="n"/>
      <c r="O159" s="156" t="n"/>
    </row>
    <row r="160" ht="18.75" customHeight="1" s="153">
      <c r="A160" s="237" t="n"/>
      <c r="B160" s="238" t="n"/>
      <c r="C160" s="239" t="n"/>
      <c r="D160" s="239" t="n"/>
      <c r="E160" s="239" t="n"/>
      <c r="F160" s="240" t="n"/>
      <c r="G160" s="240" t="n"/>
      <c r="H160" s="241" t="n"/>
      <c r="I160" s="242" t="n"/>
      <c r="J160" s="242" t="n"/>
      <c r="K160" s="233" t="n"/>
      <c r="L160" s="233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56" t="n"/>
      <c r="N160" s="156" t="n"/>
      <c r="O160" s="156" t="n"/>
    </row>
    <row r="161" ht="18.75" customHeight="1" s="153">
      <c r="A161" s="227" t="n"/>
      <c r="B161" s="228" t="n"/>
      <c r="C161" s="229" t="n"/>
      <c r="D161" s="229" t="n"/>
      <c r="E161" s="229" t="n"/>
      <c r="F161" s="230" t="n"/>
      <c r="G161" s="230" t="n"/>
      <c r="H161" s="231" t="n"/>
      <c r="I161" s="232" t="n"/>
      <c r="J161" s="232" t="n"/>
      <c r="K161" s="233" t="n"/>
      <c r="L161" s="233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56" t="n"/>
      <c r="N161" s="156" t="n"/>
      <c r="O161" s="156" t="n"/>
    </row>
    <row r="162" ht="18.75" customHeight="1" s="153">
      <c r="A162" s="237" t="n"/>
      <c r="B162" s="238" t="n"/>
      <c r="C162" s="239" t="n"/>
      <c r="D162" s="239" t="n"/>
      <c r="E162" s="239" t="n"/>
      <c r="F162" s="240" t="n"/>
      <c r="G162" s="240" t="n"/>
      <c r="H162" s="241" t="n"/>
      <c r="I162" s="242" t="n"/>
      <c r="J162" s="242" t="n"/>
      <c r="K162" s="233" t="n"/>
      <c r="L162" s="233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56" t="n"/>
      <c r="N162" s="156" t="n"/>
      <c r="O162" s="156" t="n"/>
    </row>
    <row r="163" ht="18.75" customHeight="1" s="153">
      <c r="A163" s="227" t="n"/>
      <c r="B163" s="228" t="n"/>
      <c r="C163" s="229" t="n"/>
      <c r="D163" s="229" t="n"/>
      <c r="E163" s="229" t="n"/>
      <c r="F163" s="230" t="n"/>
      <c r="G163" s="230" t="n"/>
      <c r="H163" s="231" t="n"/>
      <c r="I163" s="232" t="n"/>
      <c r="J163" s="232" t="n"/>
      <c r="K163" s="233" t="n"/>
      <c r="L163" s="233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56" t="n"/>
      <c r="N163" s="156" t="n"/>
      <c r="O163" s="156" t="n"/>
    </row>
    <row r="164" ht="18.75" customHeight="1" s="153">
      <c r="A164" s="237" t="n"/>
      <c r="B164" s="238" t="n"/>
      <c r="C164" s="239" t="n"/>
      <c r="D164" s="239" t="n"/>
      <c r="E164" s="239" t="n"/>
      <c r="F164" s="240" t="n"/>
      <c r="G164" s="240" t="n"/>
      <c r="H164" s="241" t="n"/>
      <c r="I164" s="242" t="n"/>
      <c r="J164" s="242" t="n"/>
      <c r="K164" s="233" t="n"/>
      <c r="L164" s="233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56" t="n"/>
      <c r="N164" s="156" t="n"/>
      <c r="O164" s="156" t="n"/>
    </row>
    <row r="165" ht="18.75" customHeight="1" s="153">
      <c r="A165" s="227" t="n"/>
      <c r="B165" s="228" t="n"/>
      <c r="C165" s="229" t="n"/>
      <c r="D165" s="229" t="n"/>
      <c r="E165" s="229" t="n"/>
      <c r="F165" s="230" t="n"/>
      <c r="G165" s="230" t="n"/>
      <c r="H165" s="231" t="n"/>
      <c r="I165" s="232" t="n"/>
      <c r="J165" s="232" t="n"/>
      <c r="K165" s="233" t="n"/>
      <c r="L165" s="233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56" t="n"/>
      <c r="N165" s="156" t="n"/>
      <c r="O165" s="156" t="n"/>
    </row>
    <row r="166" ht="18.75" customHeight="1" s="153">
      <c r="A166" s="237" t="n"/>
      <c r="B166" s="238" t="n"/>
      <c r="C166" s="239" t="n"/>
      <c r="D166" s="239" t="n"/>
      <c r="E166" s="239" t="n"/>
      <c r="F166" s="240" t="n"/>
      <c r="G166" s="240" t="n"/>
      <c r="H166" s="241" t="n"/>
      <c r="I166" s="242" t="n"/>
      <c r="J166" s="242" t="n"/>
      <c r="K166" s="233" t="n"/>
      <c r="L166" s="233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56" t="n"/>
      <c r="N166" s="156" t="n"/>
      <c r="O166" s="156" t="n"/>
    </row>
    <row r="167" ht="18.75" customHeight="1" s="153">
      <c r="A167" s="227" t="n"/>
      <c r="B167" s="228" t="n"/>
      <c r="C167" s="229" t="n"/>
      <c r="D167" s="229" t="n"/>
      <c r="E167" s="229" t="n"/>
      <c r="F167" s="230" t="n"/>
      <c r="G167" s="230" t="n"/>
      <c r="H167" s="231" t="n"/>
      <c r="I167" s="232" t="n"/>
      <c r="J167" s="232" t="n"/>
      <c r="K167" s="233" t="n"/>
      <c r="L167" s="233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56" t="n"/>
      <c r="N167" s="156" t="n"/>
      <c r="O167" s="156" t="n"/>
    </row>
    <row r="168" ht="18.75" customHeight="1" s="153">
      <c r="A168" s="237" t="n"/>
      <c r="B168" s="238" t="n"/>
      <c r="C168" s="239" t="n"/>
      <c r="D168" s="239" t="n"/>
      <c r="E168" s="239" t="n"/>
      <c r="F168" s="240" t="n"/>
      <c r="G168" s="240" t="n"/>
      <c r="H168" s="241" t="n"/>
      <c r="I168" s="242" t="n"/>
      <c r="J168" s="242" t="n"/>
      <c r="K168" s="233" t="n"/>
      <c r="L168" s="233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56" t="n"/>
      <c r="N168" s="156" t="n"/>
      <c r="O168" s="156" t="n"/>
    </row>
    <row r="169" ht="18.75" customHeight="1" s="153">
      <c r="A169" s="227" t="n"/>
      <c r="B169" s="228" t="n"/>
      <c r="C169" s="229" t="n"/>
      <c r="D169" s="229" t="n"/>
      <c r="E169" s="229" t="n"/>
      <c r="F169" s="230" t="n"/>
      <c r="G169" s="230" t="n"/>
      <c r="H169" s="231" t="n"/>
      <c r="I169" s="232" t="n"/>
      <c r="J169" s="232" t="n"/>
      <c r="K169" s="233" t="n"/>
      <c r="L169" s="233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56" t="n"/>
      <c r="N169" s="156" t="n"/>
      <c r="O169" s="156" t="n"/>
    </row>
    <row r="170" ht="18.75" customHeight="1" s="153">
      <c r="A170" s="237" t="n"/>
      <c r="B170" s="238" t="n"/>
      <c r="C170" s="239" t="n"/>
      <c r="D170" s="239" t="n"/>
      <c r="E170" s="239" t="n"/>
      <c r="F170" s="240" t="n"/>
      <c r="G170" s="240" t="n"/>
      <c r="H170" s="241" t="n"/>
      <c r="I170" s="242" t="n"/>
      <c r="J170" s="242" t="n"/>
      <c r="K170" s="233" t="n"/>
      <c r="L170" s="233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56" t="n"/>
      <c r="N170" s="156" t="n"/>
      <c r="O170" s="156" t="n"/>
    </row>
    <row r="171" ht="18.75" customHeight="1" s="153">
      <c r="A171" s="227" t="n"/>
      <c r="B171" s="228" t="n"/>
      <c r="C171" s="229" t="n"/>
      <c r="D171" s="229" t="n"/>
      <c r="E171" s="229" t="n"/>
      <c r="F171" s="230" t="n"/>
      <c r="G171" s="230" t="n"/>
      <c r="H171" s="231" t="n"/>
      <c r="I171" s="232" t="n"/>
      <c r="J171" s="232" t="n"/>
      <c r="K171" s="233" t="n"/>
      <c r="L171" s="233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56" t="n"/>
      <c r="N171" s="156" t="n"/>
      <c r="O171" s="156" t="n"/>
    </row>
    <row r="172" ht="18.75" customHeight="1" s="153">
      <c r="A172" s="237" t="n"/>
      <c r="B172" s="238" t="n"/>
      <c r="C172" s="239" t="n"/>
      <c r="D172" s="239" t="n"/>
      <c r="E172" s="239" t="n"/>
      <c r="F172" s="240" t="n"/>
      <c r="G172" s="240" t="n"/>
      <c r="H172" s="241" t="n"/>
      <c r="I172" s="242" t="n"/>
      <c r="J172" s="242" t="n"/>
      <c r="K172" s="233" t="n"/>
      <c r="L172" s="233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56" t="n"/>
      <c r="N172" s="156" t="n"/>
      <c r="O172" s="156" t="n"/>
    </row>
    <row r="173" ht="18.75" customHeight="1" s="153">
      <c r="A173" s="227" t="n"/>
      <c r="B173" s="228" t="n"/>
      <c r="C173" s="229" t="n"/>
      <c r="D173" s="229" t="n"/>
      <c r="E173" s="229" t="n"/>
      <c r="F173" s="230" t="n"/>
      <c r="G173" s="230" t="n"/>
      <c r="H173" s="231" t="n"/>
      <c r="I173" s="232" t="n"/>
      <c r="J173" s="232" t="n"/>
      <c r="K173" s="233" t="n"/>
      <c r="L173" s="233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56" t="n"/>
      <c r="N173" s="156" t="n"/>
      <c r="O173" s="156" t="n"/>
    </row>
    <row r="174" ht="18.75" customHeight="1" s="153">
      <c r="A174" s="237" t="n"/>
      <c r="B174" s="238" t="n"/>
      <c r="C174" s="239" t="n"/>
      <c r="D174" s="239" t="n"/>
      <c r="E174" s="239" t="n"/>
      <c r="F174" s="240" t="n"/>
      <c r="G174" s="240" t="n"/>
      <c r="H174" s="241" t="n"/>
      <c r="I174" s="242" t="n"/>
      <c r="J174" s="242" t="n"/>
      <c r="K174" s="233" t="n"/>
      <c r="L174" s="233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56" t="n"/>
      <c r="N174" s="156" t="n"/>
      <c r="O174" s="156" t="n"/>
    </row>
    <row r="175" ht="18.75" customHeight="1" s="153">
      <c r="A175" s="227" t="n"/>
      <c r="B175" s="228" t="n"/>
      <c r="C175" s="229" t="n"/>
      <c r="D175" s="229" t="n"/>
      <c r="E175" s="229" t="n"/>
      <c r="F175" s="230" t="n"/>
      <c r="G175" s="230" t="n"/>
      <c r="H175" s="231" t="n"/>
      <c r="I175" s="232" t="n"/>
      <c r="J175" s="232" t="n"/>
      <c r="K175" s="233" t="n"/>
      <c r="L175" s="233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56" t="n"/>
      <c r="N175" s="156" t="n"/>
      <c r="O175" s="156" t="n"/>
    </row>
    <row r="176" ht="18.75" customHeight="1" s="153">
      <c r="A176" s="237" t="n"/>
      <c r="B176" s="238" t="n"/>
      <c r="C176" s="239" t="n"/>
      <c r="D176" s="239" t="n"/>
      <c r="E176" s="239" t="n"/>
      <c r="F176" s="240" t="n"/>
      <c r="G176" s="240" t="n"/>
      <c r="H176" s="241" t="n"/>
      <c r="I176" s="242" t="n"/>
      <c r="J176" s="242" t="n"/>
      <c r="K176" s="233" t="n"/>
      <c r="L176" s="233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56" t="n"/>
      <c r="N176" s="156" t="n"/>
      <c r="O176" s="156" t="n"/>
    </row>
    <row r="177" ht="18.75" customHeight="1" s="153">
      <c r="A177" s="227" t="n"/>
      <c r="B177" s="228" t="n"/>
      <c r="C177" s="229" t="n"/>
      <c r="D177" s="229" t="n"/>
      <c r="E177" s="229" t="n"/>
      <c r="F177" s="230" t="n"/>
      <c r="G177" s="230" t="n"/>
      <c r="H177" s="231" t="n"/>
      <c r="I177" s="232" t="n"/>
      <c r="J177" s="232" t="n"/>
      <c r="K177" s="233" t="n"/>
      <c r="L177" s="233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56" t="n"/>
      <c r="N177" s="156" t="n"/>
      <c r="O177" s="156" t="n"/>
    </row>
    <row r="178" ht="18.75" customHeight="1" s="153">
      <c r="A178" s="237" t="n"/>
      <c r="B178" s="238" t="n"/>
      <c r="C178" s="239" t="n"/>
      <c r="D178" s="239" t="n"/>
      <c r="E178" s="239" t="n"/>
      <c r="F178" s="240" t="n"/>
      <c r="G178" s="240" t="n"/>
      <c r="H178" s="241" t="n"/>
      <c r="I178" s="242" t="n"/>
      <c r="J178" s="242" t="n"/>
      <c r="K178" s="233" t="n"/>
      <c r="L178" s="233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56" t="n"/>
      <c r="N178" s="156" t="n"/>
      <c r="O178" s="156" t="n"/>
    </row>
    <row r="179" ht="18.75" customHeight="1" s="153">
      <c r="A179" s="227" t="n"/>
      <c r="B179" s="228" t="n"/>
      <c r="C179" s="229" t="n"/>
      <c r="D179" s="229" t="n"/>
      <c r="E179" s="229" t="n"/>
      <c r="F179" s="230" t="n"/>
      <c r="G179" s="230" t="n"/>
      <c r="H179" s="231" t="n"/>
      <c r="I179" s="232" t="n"/>
      <c r="J179" s="232" t="n"/>
      <c r="K179" s="233" t="n"/>
      <c r="L179" s="233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56" t="n"/>
      <c r="N179" s="156" t="n"/>
      <c r="O179" s="156" t="n"/>
    </row>
    <row r="180" ht="18.75" customHeight="1" s="153">
      <c r="A180" s="237" t="n"/>
      <c r="B180" s="238" t="n"/>
      <c r="C180" s="239" t="n"/>
      <c r="D180" s="239" t="n"/>
      <c r="E180" s="239" t="n"/>
      <c r="F180" s="240" t="n"/>
      <c r="G180" s="240" t="n"/>
      <c r="H180" s="241" t="n"/>
      <c r="I180" s="242" t="n"/>
      <c r="J180" s="242" t="n"/>
      <c r="K180" s="233" t="n"/>
      <c r="L180" s="233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56" t="n"/>
      <c r="N180" s="156" t="n"/>
      <c r="O180" s="156" t="n"/>
    </row>
    <row r="181" ht="18.75" customHeight="1" s="153">
      <c r="A181" s="227" t="n"/>
      <c r="B181" s="228" t="n"/>
      <c r="C181" s="229" t="n"/>
      <c r="D181" s="229" t="n"/>
      <c r="E181" s="229" t="n"/>
      <c r="F181" s="230" t="n"/>
      <c r="G181" s="230" t="n"/>
      <c r="H181" s="231" t="n"/>
      <c r="I181" s="232" t="n"/>
      <c r="J181" s="232" t="n"/>
      <c r="K181" s="233" t="n"/>
      <c r="L181" s="233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56" t="n"/>
      <c r="N181" s="156" t="n"/>
      <c r="O181" s="156" t="n"/>
    </row>
    <row r="182" ht="18.75" customHeight="1" s="153">
      <c r="A182" s="237" t="n"/>
      <c r="B182" s="238" t="n"/>
      <c r="C182" s="239" t="n"/>
      <c r="D182" s="239" t="n"/>
      <c r="E182" s="239" t="n"/>
      <c r="F182" s="240" t="n"/>
      <c r="G182" s="240" t="n"/>
      <c r="H182" s="241" t="n"/>
      <c r="I182" s="242" t="n"/>
      <c r="J182" s="242" t="n"/>
      <c r="K182" s="233" t="n"/>
      <c r="L182" s="233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56" t="n"/>
      <c r="N182" s="156" t="n"/>
      <c r="O182" s="156" t="n"/>
    </row>
    <row r="183" ht="18.75" customHeight="1" s="153">
      <c r="A183" s="227" t="n"/>
      <c r="B183" s="228" t="n"/>
      <c r="C183" s="229" t="n"/>
      <c r="D183" s="229" t="n"/>
      <c r="E183" s="229" t="n"/>
      <c r="F183" s="230" t="n"/>
      <c r="G183" s="230" t="n"/>
      <c r="H183" s="231" t="n"/>
      <c r="I183" s="232" t="n"/>
      <c r="J183" s="232" t="n"/>
      <c r="K183" s="233" t="n"/>
      <c r="L183" s="233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56" t="n"/>
      <c r="N183" s="156" t="n"/>
      <c r="O183" s="156" t="n"/>
    </row>
    <row r="184" ht="18.75" customHeight="1" s="153">
      <c r="A184" s="237" t="n"/>
      <c r="B184" s="238" t="n"/>
      <c r="C184" s="239" t="n"/>
      <c r="D184" s="239" t="n"/>
      <c r="E184" s="239" t="n"/>
      <c r="F184" s="240" t="n"/>
      <c r="G184" s="240" t="n"/>
      <c r="H184" s="241" t="n"/>
      <c r="I184" s="242" t="n"/>
      <c r="J184" s="242" t="n"/>
      <c r="K184" s="233" t="n"/>
      <c r="L184" s="233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56" t="n"/>
      <c r="N184" s="156" t="n"/>
      <c r="O184" s="156" t="n"/>
    </row>
    <row r="185" ht="18.75" customHeight="1" s="153">
      <c r="A185" s="227" t="n"/>
      <c r="B185" s="228" t="n"/>
      <c r="C185" s="229" t="n"/>
      <c r="D185" s="229" t="n"/>
      <c r="E185" s="229" t="n"/>
      <c r="F185" s="230" t="n"/>
      <c r="G185" s="230" t="n"/>
      <c r="H185" s="231" t="n"/>
      <c r="I185" s="232" t="n"/>
      <c r="J185" s="232" t="n"/>
      <c r="K185" s="233" t="n"/>
      <c r="L185" s="233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56" t="n"/>
      <c r="N185" s="156" t="n"/>
      <c r="O185" s="156" t="n"/>
    </row>
    <row r="186" ht="18.75" customHeight="1" s="153">
      <c r="A186" s="237" t="n"/>
      <c r="B186" s="238" t="n"/>
      <c r="C186" s="239" t="n"/>
      <c r="D186" s="239" t="n"/>
      <c r="E186" s="239" t="n"/>
      <c r="F186" s="240" t="n"/>
      <c r="G186" s="240" t="n"/>
      <c r="H186" s="241" t="n"/>
      <c r="I186" s="242" t="n"/>
      <c r="J186" s="242" t="n"/>
      <c r="K186" s="233" t="n"/>
      <c r="L186" s="233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56" t="n"/>
      <c r="N186" s="156" t="n"/>
      <c r="O186" s="156" t="n"/>
    </row>
    <row r="187" ht="18.75" customHeight="1" s="153">
      <c r="A187" s="227" t="n"/>
      <c r="B187" s="228" t="n"/>
      <c r="C187" s="229" t="n"/>
      <c r="D187" s="229" t="n"/>
      <c r="E187" s="229" t="n"/>
      <c r="F187" s="230" t="n"/>
      <c r="G187" s="230" t="n"/>
      <c r="H187" s="231" t="n"/>
      <c r="I187" s="232" t="n"/>
      <c r="J187" s="232" t="n"/>
      <c r="K187" s="233" t="n"/>
      <c r="L187" s="233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56" t="n"/>
      <c r="N187" s="156" t="n"/>
      <c r="O187" s="156" t="n"/>
    </row>
    <row r="188" ht="18.75" customHeight="1" s="153">
      <c r="A188" s="237" t="n"/>
      <c r="B188" s="238" t="n"/>
      <c r="C188" s="239" t="n"/>
      <c r="D188" s="239" t="n"/>
      <c r="E188" s="239" t="n"/>
      <c r="F188" s="240" t="n"/>
      <c r="G188" s="240" t="n"/>
      <c r="H188" s="241" t="n"/>
      <c r="I188" s="242" t="n"/>
      <c r="J188" s="242" t="n"/>
      <c r="K188" s="233" t="n"/>
      <c r="L188" s="233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56" t="n"/>
      <c r="N188" s="156" t="n"/>
      <c r="O188" s="156" t="n"/>
    </row>
    <row r="189" ht="18.75" customHeight="1" s="153">
      <c r="A189" s="227" t="n"/>
      <c r="B189" s="228" t="n"/>
      <c r="C189" s="229" t="n"/>
      <c r="D189" s="229" t="n"/>
      <c r="E189" s="229" t="n"/>
      <c r="F189" s="230" t="n"/>
      <c r="G189" s="230" t="n"/>
      <c r="H189" s="231" t="n"/>
      <c r="I189" s="232" t="n"/>
      <c r="J189" s="232" t="n"/>
      <c r="K189" s="233" t="n"/>
      <c r="L189" s="233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56" t="n"/>
      <c r="N189" s="156" t="n"/>
      <c r="O189" s="156" t="n"/>
    </row>
    <row r="190" ht="18.75" customHeight="1" s="153">
      <c r="A190" s="237" t="n"/>
      <c r="B190" s="238" t="n"/>
      <c r="C190" s="239" t="n"/>
      <c r="D190" s="239" t="n"/>
      <c r="E190" s="239" t="n"/>
      <c r="F190" s="240" t="n"/>
      <c r="G190" s="240" t="n"/>
      <c r="H190" s="241" t="n"/>
      <c r="I190" s="242" t="n"/>
      <c r="J190" s="242" t="n"/>
      <c r="K190" s="233" t="n"/>
      <c r="L190" s="233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56" t="n"/>
      <c r="N190" s="156" t="n"/>
      <c r="O190" s="156" t="n"/>
    </row>
    <row r="191" ht="18.75" customHeight="1" s="153">
      <c r="A191" s="227" t="n"/>
      <c r="B191" s="228" t="n"/>
      <c r="C191" s="229" t="n"/>
      <c r="D191" s="229" t="n"/>
      <c r="E191" s="229" t="n"/>
      <c r="F191" s="230" t="n"/>
      <c r="G191" s="230" t="n"/>
      <c r="H191" s="231" t="n"/>
      <c r="I191" s="232" t="n"/>
      <c r="J191" s="232" t="n"/>
      <c r="K191" s="233" t="n"/>
      <c r="L191" s="233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56" t="n"/>
      <c r="N191" s="156" t="n"/>
      <c r="O191" s="156" t="n"/>
    </row>
    <row r="192" ht="18.75" customHeight="1" s="153">
      <c r="A192" s="237" t="n"/>
      <c r="B192" s="238" t="n"/>
      <c r="C192" s="239" t="n"/>
      <c r="D192" s="239" t="n"/>
      <c r="E192" s="239" t="n"/>
      <c r="F192" s="240" t="n"/>
      <c r="G192" s="240" t="n"/>
      <c r="H192" s="241" t="n"/>
      <c r="I192" s="242" t="n"/>
      <c r="J192" s="242" t="n"/>
      <c r="K192" s="233" t="n"/>
      <c r="L192" s="233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56" t="n"/>
      <c r="N192" s="156" t="n"/>
      <c r="O192" s="156" t="n"/>
    </row>
    <row r="193" ht="18.75" customHeight="1" s="153">
      <c r="A193" s="227" t="n"/>
      <c r="B193" s="228" t="n"/>
      <c r="C193" s="229" t="n"/>
      <c r="D193" s="229" t="n"/>
      <c r="E193" s="229" t="n"/>
      <c r="F193" s="230" t="n"/>
      <c r="G193" s="230" t="n"/>
      <c r="H193" s="231" t="n"/>
      <c r="I193" s="232" t="n"/>
      <c r="J193" s="232" t="n"/>
      <c r="K193" s="233" t="n"/>
      <c r="L193" s="233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56" t="n"/>
      <c r="N193" s="156" t="n"/>
      <c r="O193" s="156" t="n"/>
    </row>
    <row r="194" ht="18.75" customHeight="1" s="153">
      <c r="A194" s="237" t="n"/>
      <c r="B194" s="238" t="n"/>
      <c r="C194" s="239" t="n"/>
      <c r="D194" s="239" t="n"/>
      <c r="E194" s="239" t="n"/>
      <c r="F194" s="240" t="n"/>
      <c r="G194" s="240" t="n"/>
      <c r="H194" s="241" t="n"/>
      <c r="I194" s="242" t="n"/>
      <c r="J194" s="242" t="n"/>
      <c r="K194" s="233" t="n"/>
      <c r="L194" s="233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56" t="n"/>
      <c r="N194" s="156" t="n"/>
      <c r="O194" s="156" t="n"/>
    </row>
    <row r="195" ht="18.75" customHeight="1" s="153">
      <c r="A195" s="227" t="n"/>
      <c r="B195" s="228" t="n"/>
      <c r="C195" s="229" t="n"/>
      <c r="D195" s="229" t="n"/>
      <c r="E195" s="229" t="n"/>
      <c r="F195" s="230" t="n"/>
      <c r="G195" s="230" t="n"/>
      <c r="H195" s="231" t="n"/>
      <c r="I195" s="232" t="n"/>
      <c r="J195" s="232" t="n"/>
      <c r="K195" s="233" t="n"/>
      <c r="L195" s="233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56" t="n"/>
      <c r="N195" s="156" t="n"/>
      <c r="O195" s="156" t="n"/>
    </row>
    <row r="196" ht="18.75" customHeight="1" s="153">
      <c r="A196" s="237" t="n"/>
      <c r="B196" s="238" t="n"/>
      <c r="C196" s="239" t="n"/>
      <c r="D196" s="239" t="n"/>
      <c r="E196" s="239" t="n"/>
      <c r="F196" s="240" t="n"/>
      <c r="G196" s="240" t="n"/>
      <c r="H196" s="241" t="n"/>
      <c r="I196" s="242" t="n"/>
      <c r="J196" s="242" t="n"/>
      <c r="K196" s="233" t="n"/>
      <c r="L196" s="233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56" t="n"/>
      <c r="N196" s="156" t="n"/>
      <c r="O196" s="156" t="n"/>
    </row>
    <row r="197" ht="18.75" customHeight="1" s="153">
      <c r="A197" s="227" t="n"/>
      <c r="B197" s="228" t="n"/>
      <c r="C197" s="229" t="n"/>
      <c r="D197" s="229" t="n"/>
      <c r="E197" s="229" t="n"/>
      <c r="F197" s="230" t="n"/>
      <c r="G197" s="230" t="n"/>
      <c r="H197" s="231" t="n"/>
      <c r="I197" s="232" t="n"/>
      <c r="J197" s="232" t="n"/>
      <c r="K197" s="233" t="n"/>
      <c r="L197" s="233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56" t="n"/>
      <c r="N197" s="156" t="n"/>
      <c r="O197" s="156" t="n"/>
    </row>
    <row r="198" ht="18.75" customHeight="1" s="153">
      <c r="A198" s="237" t="n"/>
      <c r="B198" s="238" t="n"/>
      <c r="C198" s="239" t="n"/>
      <c r="D198" s="239" t="n"/>
      <c r="E198" s="239" t="n"/>
      <c r="F198" s="240" t="n"/>
      <c r="G198" s="240" t="n"/>
      <c r="H198" s="241" t="n"/>
      <c r="I198" s="242" t="n"/>
      <c r="J198" s="242" t="n"/>
      <c r="K198" s="233" t="n"/>
      <c r="L198" s="233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56" t="n"/>
      <c r="N198" s="156" t="n"/>
      <c r="O198" s="156" t="n"/>
    </row>
    <row r="199" ht="18.75" customHeight="1" s="153">
      <c r="A199" s="227" t="n"/>
      <c r="B199" s="228" t="n"/>
      <c r="C199" s="229" t="n"/>
      <c r="D199" s="229" t="n"/>
      <c r="E199" s="229" t="n"/>
      <c r="F199" s="230" t="n"/>
      <c r="G199" s="230" t="n"/>
      <c r="H199" s="231" t="n"/>
      <c r="I199" s="232" t="n"/>
      <c r="J199" s="232" t="n"/>
      <c r="K199" s="233" t="n"/>
      <c r="L199" s="233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56" t="n"/>
      <c r="N199" s="156" t="n"/>
      <c r="O199" s="156" t="n"/>
    </row>
    <row r="200" ht="18.75" customHeight="1" s="153">
      <c r="A200" s="237" t="n"/>
      <c r="B200" s="238" t="n"/>
      <c r="C200" s="239" t="n"/>
      <c r="D200" s="239" t="n"/>
      <c r="E200" s="239" t="n"/>
      <c r="F200" s="240" t="n"/>
      <c r="G200" s="240" t="n"/>
      <c r="H200" s="241" t="n"/>
      <c r="I200" s="242" t="n"/>
      <c r="J200" s="242" t="n"/>
      <c r="K200" s="233" t="n"/>
      <c r="L200" s="233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56" t="n"/>
      <c r="N200" s="156" t="n"/>
      <c r="O200" s="156" t="n"/>
    </row>
    <row r="201" ht="18.75" customHeight="1" s="153">
      <c r="A201" s="227" t="n"/>
      <c r="B201" s="228" t="n"/>
      <c r="C201" s="229" t="n"/>
      <c r="D201" s="229" t="n"/>
      <c r="E201" s="229" t="n"/>
      <c r="F201" s="230" t="n"/>
      <c r="G201" s="230" t="n"/>
      <c r="H201" s="231" t="n"/>
      <c r="I201" s="232" t="n"/>
      <c r="J201" s="232" t="n"/>
      <c r="K201" s="233" t="n"/>
      <c r="L201" s="233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56" t="n"/>
      <c r="N201" s="156" t="n"/>
      <c r="O201" s="156" t="n"/>
    </row>
    <row r="202" ht="18.75" customHeight="1" s="153">
      <c r="A202" s="237" t="n"/>
      <c r="B202" s="238" t="n"/>
      <c r="C202" s="239" t="n"/>
      <c r="D202" s="239" t="n"/>
      <c r="E202" s="239" t="n"/>
      <c r="F202" s="240" t="n"/>
      <c r="G202" s="240" t="n"/>
      <c r="H202" s="241" t="n"/>
      <c r="I202" s="242" t="n"/>
      <c r="J202" s="242" t="n"/>
      <c r="K202" s="233" t="n"/>
      <c r="L202" s="233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56" t="n"/>
      <c r="N202" s="156" t="n"/>
      <c r="O202" s="156" t="n"/>
    </row>
    <row r="203" ht="18.75" customHeight="1" s="153">
      <c r="A203" s="227" t="n"/>
      <c r="B203" s="228" t="n"/>
      <c r="C203" s="229" t="n"/>
      <c r="D203" s="229" t="n"/>
      <c r="E203" s="229" t="n"/>
      <c r="F203" s="230" t="n"/>
      <c r="G203" s="230" t="n"/>
      <c r="H203" s="231" t="n"/>
      <c r="I203" s="232" t="n"/>
      <c r="J203" s="232" t="n"/>
      <c r="K203" s="233" t="n"/>
      <c r="L203" s="233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56" t="n"/>
      <c r="N203" s="156" t="n"/>
      <c r="O203" s="156" t="n"/>
    </row>
    <row r="204" ht="18.75" customHeight="1" s="153">
      <c r="A204" s="237" t="n"/>
      <c r="B204" s="238" t="n"/>
      <c r="C204" s="239" t="n"/>
      <c r="D204" s="239" t="n"/>
      <c r="E204" s="239" t="n"/>
      <c r="F204" s="240" t="n"/>
      <c r="G204" s="240" t="n"/>
      <c r="H204" s="241" t="n"/>
      <c r="I204" s="242" t="n"/>
      <c r="J204" s="242" t="n"/>
      <c r="K204" s="233" t="n"/>
      <c r="L204" s="233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56" t="n"/>
      <c r="N204" s="156" t="n"/>
      <c r="O204" s="156" t="n"/>
    </row>
    <row r="205" ht="18.75" customHeight="1" s="153">
      <c r="A205" s="227" t="n"/>
      <c r="B205" s="228" t="n"/>
      <c r="C205" s="229" t="n"/>
      <c r="D205" s="229" t="n"/>
      <c r="E205" s="229" t="n"/>
      <c r="F205" s="230" t="n"/>
      <c r="G205" s="230" t="n"/>
      <c r="H205" s="231" t="n"/>
      <c r="I205" s="232" t="n"/>
      <c r="J205" s="232" t="n"/>
      <c r="K205" s="233" t="n"/>
      <c r="L205" s="233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56" t="n"/>
      <c r="N205" s="156" t="n"/>
      <c r="O205" s="156" t="n"/>
    </row>
    <row r="206" ht="18.75" customHeight="1" s="153">
      <c r="A206" s="237" t="n"/>
      <c r="B206" s="238" t="n"/>
      <c r="C206" s="239" t="n"/>
      <c r="D206" s="239" t="n"/>
      <c r="E206" s="239" t="n"/>
      <c r="F206" s="240" t="n"/>
      <c r="G206" s="240" t="n"/>
      <c r="H206" s="241" t="n"/>
      <c r="I206" s="242" t="n"/>
      <c r="J206" s="242" t="n"/>
      <c r="K206" s="233" t="n"/>
      <c r="L206" s="233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56" t="n"/>
      <c r="N206" s="156" t="n"/>
      <c r="O206" s="156" t="n"/>
    </row>
    <row r="207" ht="18.75" customHeight="1" s="153">
      <c r="A207" s="227" t="n"/>
      <c r="B207" s="228" t="n"/>
      <c r="C207" s="229" t="n"/>
      <c r="D207" s="229" t="n"/>
      <c r="E207" s="229" t="n"/>
      <c r="F207" s="230" t="n"/>
      <c r="G207" s="230" t="n"/>
      <c r="H207" s="231" t="n"/>
      <c r="I207" s="232" t="n"/>
      <c r="J207" s="232" t="n"/>
      <c r="K207" s="233" t="n"/>
      <c r="L207" s="233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56" t="n"/>
      <c r="N207" s="156" t="n"/>
      <c r="O207" s="156" t="n"/>
    </row>
    <row r="208" ht="18.75" customHeight="1" s="153">
      <c r="A208" s="237" t="n"/>
      <c r="B208" s="238" t="n"/>
      <c r="C208" s="239" t="n"/>
      <c r="D208" s="239" t="n"/>
      <c r="E208" s="239" t="n"/>
      <c r="F208" s="240" t="n"/>
      <c r="G208" s="240" t="n"/>
      <c r="H208" s="241" t="n"/>
      <c r="I208" s="242" t="n"/>
      <c r="J208" s="242" t="n"/>
      <c r="K208" s="233" t="n"/>
      <c r="L208" s="233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56" t="n"/>
      <c r="N208" s="156" t="n"/>
      <c r="O208" s="156" t="n"/>
    </row>
    <row r="209" ht="18.75" customHeight="1" s="153">
      <c r="A209" s="227" t="n"/>
      <c r="B209" s="228" t="n"/>
      <c r="C209" s="229" t="n"/>
      <c r="D209" s="229" t="n"/>
      <c r="E209" s="229" t="n"/>
      <c r="F209" s="230" t="n"/>
      <c r="G209" s="230" t="n"/>
      <c r="H209" s="231" t="n"/>
      <c r="I209" s="232" t="n"/>
      <c r="J209" s="232" t="n"/>
      <c r="K209" s="233" t="n"/>
      <c r="L209" s="233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56" t="n"/>
      <c r="N209" s="156" t="n"/>
      <c r="O209" s="156" t="n"/>
    </row>
    <row r="210" ht="18.75" customHeight="1" s="153">
      <c r="A210" s="237" t="n"/>
      <c r="B210" s="238" t="n"/>
      <c r="C210" s="239" t="n"/>
      <c r="D210" s="239" t="n"/>
      <c r="E210" s="239" t="n"/>
      <c r="F210" s="240" t="n"/>
      <c r="G210" s="240" t="n"/>
      <c r="H210" s="241" t="n"/>
      <c r="I210" s="242" t="n"/>
      <c r="J210" s="242" t="n"/>
      <c r="K210" s="233" t="n"/>
      <c r="L210" s="233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56" t="n"/>
      <c r="N210" s="156" t="n"/>
      <c r="O210" s="156" t="n"/>
    </row>
    <row r="211" ht="18.75" customHeight="1" s="153">
      <c r="A211" s="227" t="n"/>
      <c r="B211" s="228" t="n"/>
      <c r="C211" s="229" t="n"/>
      <c r="D211" s="229" t="n"/>
      <c r="E211" s="229" t="n"/>
      <c r="F211" s="230" t="n"/>
      <c r="G211" s="230" t="n"/>
      <c r="H211" s="231" t="n"/>
      <c r="I211" s="232" t="n"/>
      <c r="J211" s="232" t="n"/>
      <c r="K211" s="233" t="n"/>
      <c r="L211" s="233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56" t="n"/>
      <c r="N211" s="156" t="n"/>
      <c r="O211" s="156" t="n"/>
    </row>
    <row r="212" ht="18.75" customHeight="1" s="153">
      <c r="A212" s="237" t="n"/>
      <c r="B212" s="238" t="n"/>
      <c r="C212" s="239" t="n"/>
      <c r="D212" s="239" t="n"/>
      <c r="E212" s="239" t="n"/>
      <c r="F212" s="240" t="n"/>
      <c r="G212" s="240" t="n"/>
      <c r="H212" s="241" t="n"/>
      <c r="I212" s="242" t="n"/>
      <c r="J212" s="242" t="n"/>
      <c r="K212" s="233" t="n"/>
      <c r="L212" s="233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56" t="n"/>
      <c r="N212" s="156" t="n"/>
      <c r="O212" s="156" t="n"/>
    </row>
    <row r="213" ht="18.75" customHeight="1" s="153">
      <c r="A213" s="227" t="n"/>
      <c r="B213" s="228" t="n"/>
      <c r="C213" s="229" t="n"/>
      <c r="D213" s="229" t="n"/>
      <c r="E213" s="229" t="n"/>
      <c r="F213" s="230" t="n"/>
      <c r="G213" s="230" t="n"/>
      <c r="H213" s="231" t="n"/>
      <c r="I213" s="232" t="n"/>
      <c r="J213" s="232" t="n"/>
      <c r="K213" s="233" t="n"/>
      <c r="L213" s="233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56" t="n"/>
      <c r="N213" s="156" t="n"/>
      <c r="O213" s="156" t="n"/>
    </row>
    <row r="214" ht="18.75" customHeight="1" s="153">
      <c r="A214" s="237" t="n"/>
      <c r="B214" s="238" t="n"/>
      <c r="C214" s="239" t="n"/>
      <c r="D214" s="239" t="n"/>
      <c r="E214" s="239" t="n"/>
      <c r="F214" s="240" t="n"/>
      <c r="G214" s="240" t="n"/>
      <c r="H214" s="241" t="n"/>
      <c r="I214" s="242" t="n"/>
      <c r="J214" s="242" t="n"/>
      <c r="K214" s="233" t="n"/>
      <c r="L214" s="233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56" t="n"/>
      <c r="N214" s="156" t="n"/>
      <c r="O214" s="156" t="n"/>
    </row>
    <row r="215" ht="18.75" customHeight="1" s="153">
      <c r="A215" s="227" t="n"/>
      <c r="B215" s="228" t="n"/>
      <c r="C215" s="229" t="n"/>
      <c r="D215" s="229" t="n"/>
      <c r="E215" s="229" t="n"/>
      <c r="F215" s="230" t="n"/>
      <c r="G215" s="230" t="n"/>
      <c r="H215" s="231" t="n"/>
      <c r="I215" s="232" t="n"/>
      <c r="J215" s="232" t="n"/>
      <c r="K215" s="233" t="n"/>
      <c r="L215" s="233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56" t="n"/>
      <c r="N215" s="156" t="n"/>
      <c r="O215" s="156" t="n"/>
    </row>
    <row r="216" ht="18.75" customHeight="1" s="153">
      <c r="A216" s="237" t="n"/>
      <c r="B216" s="238" t="n"/>
      <c r="C216" s="239" t="n"/>
      <c r="D216" s="239" t="n"/>
      <c r="E216" s="239" t="n"/>
      <c r="F216" s="240" t="n"/>
      <c r="G216" s="240" t="n"/>
      <c r="H216" s="241" t="n"/>
      <c r="I216" s="242" t="n"/>
      <c r="J216" s="242" t="n"/>
      <c r="K216" s="233" t="n"/>
      <c r="L216" s="233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56" t="n"/>
      <c r="N216" s="156" t="n"/>
      <c r="O216" s="156" t="n"/>
    </row>
    <row r="217" ht="18.75" customHeight="1" s="153">
      <c r="A217" s="227" t="n"/>
      <c r="B217" s="228" t="n"/>
      <c r="C217" s="229" t="n"/>
      <c r="D217" s="229" t="n"/>
      <c r="E217" s="229" t="n"/>
      <c r="F217" s="230" t="n"/>
      <c r="G217" s="230" t="n"/>
      <c r="H217" s="231" t="n"/>
      <c r="I217" s="232" t="n"/>
      <c r="J217" s="232" t="n"/>
      <c r="K217" s="233" t="n"/>
      <c r="L217" s="233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56" t="n"/>
      <c r="N217" s="156" t="n"/>
      <c r="O217" s="156" t="n"/>
    </row>
    <row r="218" ht="18.75" customHeight="1" s="153">
      <c r="A218" s="237" t="n"/>
      <c r="B218" s="238" t="n"/>
      <c r="C218" s="239" t="n"/>
      <c r="D218" s="239" t="n"/>
      <c r="E218" s="239" t="n"/>
      <c r="F218" s="240" t="n"/>
      <c r="G218" s="240" t="n"/>
      <c r="H218" s="241" t="n"/>
      <c r="I218" s="242" t="n"/>
      <c r="J218" s="242" t="n"/>
      <c r="K218" s="233" t="n"/>
      <c r="L218" s="233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56" t="n"/>
      <c r="N218" s="156" t="n"/>
      <c r="O218" s="156" t="n"/>
    </row>
    <row r="219" ht="18.75" customHeight="1" s="153">
      <c r="A219" s="227" t="n"/>
      <c r="B219" s="228" t="n"/>
      <c r="C219" s="229" t="n"/>
      <c r="D219" s="229" t="n"/>
      <c r="E219" s="229" t="n"/>
      <c r="F219" s="230" t="n"/>
      <c r="G219" s="230" t="n"/>
      <c r="H219" s="231" t="n"/>
      <c r="I219" s="232" t="n"/>
      <c r="J219" s="232" t="n"/>
      <c r="K219" s="233" t="n"/>
      <c r="L219" s="233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56" t="n"/>
      <c r="N219" s="156" t="n"/>
      <c r="O219" s="156" t="n"/>
    </row>
    <row r="220" ht="18.75" customHeight="1" s="153">
      <c r="A220" s="237" t="n"/>
      <c r="B220" s="238" t="n"/>
      <c r="C220" s="239" t="n"/>
      <c r="D220" s="239" t="n"/>
      <c r="E220" s="239" t="n"/>
      <c r="F220" s="240" t="n"/>
      <c r="G220" s="240" t="n"/>
      <c r="H220" s="241" t="n"/>
      <c r="I220" s="242" t="n"/>
      <c r="J220" s="242" t="n"/>
      <c r="K220" s="233" t="n"/>
      <c r="L220" s="233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56" t="n"/>
      <c r="N220" s="156" t="n"/>
      <c r="O220" s="156" t="n"/>
    </row>
    <row r="221" ht="18.75" customHeight="1" s="153">
      <c r="A221" s="227" t="n"/>
      <c r="B221" s="228" t="n"/>
      <c r="C221" s="229" t="n"/>
      <c r="D221" s="229" t="n"/>
      <c r="E221" s="229" t="n"/>
      <c r="F221" s="230" t="n"/>
      <c r="G221" s="230" t="n"/>
      <c r="H221" s="231" t="n"/>
      <c r="I221" s="232" t="n"/>
      <c r="J221" s="232" t="n"/>
      <c r="K221" s="233" t="n"/>
      <c r="L221" s="233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56" t="n"/>
      <c r="N221" s="156" t="n"/>
      <c r="O221" s="156" t="n"/>
    </row>
    <row r="222" ht="18.75" customHeight="1" s="153">
      <c r="A222" s="237" t="n"/>
      <c r="B222" s="238" t="n"/>
      <c r="C222" s="239" t="n"/>
      <c r="D222" s="239" t="n"/>
      <c r="E222" s="239" t="n"/>
      <c r="F222" s="240" t="n"/>
      <c r="G222" s="240" t="n"/>
      <c r="H222" s="241" t="n"/>
      <c r="I222" s="242" t="n"/>
      <c r="J222" s="242" t="n"/>
      <c r="K222" s="233" t="n"/>
      <c r="L222" s="233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56" t="n"/>
      <c r="N222" s="156" t="n"/>
      <c r="O222" s="156" t="n"/>
    </row>
    <row r="223" ht="18.75" customHeight="1" s="153">
      <c r="A223" s="227" t="n"/>
      <c r="B223" s="228" t="n"/>
      <c r="C223" s="229" t="n"/>
      <c r="D223" s="229" t="n"/>
      <c r="E223" s="229" t="n"/>
      <c r="F223" s="230" t="n"/>
      <c r="G223" s="230" t="n"/>
      <c r="H223" s="231" t="n"/>
      <c r="I223" s="232" t="n"/>
      <c r="J223" s="232" t="n"/>
      <c r="K223" s="233" t="n"/>
      <c r="L223" s="233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56" t="n"/>
      <c r="N223" s="156" t="n"/>
      <c r="O223" s="156" t="n"/>
    </row>
    <row r="224" ht="18.75" customHeight="1" s="153">
      <c r="A224" s="237" t="n"/>
      <c r="B224" s="238" t="n"/>
      <c r="C224" s="239" t="n"/>
      <c r="D224" s="239" t="n"/>
      <c r="E224" s="239" t="n"/>
      <c r="F224" s="240" t="n"/>
      <c r="G224" s="240" t="n"/>
      <c r="H224" s="241" t="n"/>
      <c r="I224" s="242" t="n"/>
      <c r="J224" s="242" t="n"/>
      <c r="K224" s="233" t="n"/>
      <c r="L224" s="233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56" t="n"/>
      <c r="N224" s="156" t="n"/>
      <c r="O224" s="156" t="n"/>
    </row>
    <row r="225" ht="18.75" customHeight="1" s="153">
      <c r="A225" s="227" t="n"/>
      <c r="B225" s="228" t="n"/>
      <c r="C225" s="229" t="n"/>
      <c r="D225" s="229" t="n"/>
      <c r="E225" s="229" t="n"/>
      <c r="F225" s="230" t="n"/>
      <c r="G225" s="230" t="n"/>
      <c r="H225" s="231" t="n"/>
      <c r="I225" s="232" t="n"/>
      <c r="J225" s="232" t="n"/>
      <c r="K225" s="233" t="n"/>
      <c r="L225" s="233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56" t="n"/>
      <c r="N225" s="156" t="n"/>
      <c r="O225" s="156" t="n"/>
    </row>
    <row r="226" ht="18.75" customHeight="1" s="153">
      <c r="A226" s="237" t="n"/>
      <c r="B226" s="238" t="n"/>
      <c r="C226" s="239" t="n"/>
      <c r="D226" s="239" t="n"/>
      <c r="E226" s="239" t="n"/>
      <c r="F226" s="240" t="n"/>
      <c r="G226" s="240" t="n"/>
      <c r="H226" s="241" t="n"/>
      <c r="I226" s="242" t="n"/>
      <c r="J226" s="242" t="n"/>
      <c r="K226" s="233" t="n"/>
      <c r="L226" s="233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56" t="n"/>
      <c r="N226" s="156" t="n"/>
      <c r="O226" s="156" t="n"/>
    </row>
    <row r="227" ht="18.75" customHeight="1" s="153">
      <c r="A227" s="227" t="n"/>
      <c r="B227" s="228" t="n"/>
      <c r="C227" s="229" t="n"/>
      <c r="D227" s="229" t="n"/>
      <c r="E227" s="229" t="n"/>
      <c r="F227" s="230" t="n"/>
      <c r="G227" s="230" t="n"/>
      <c r="H227" s="231" t="n"/>
      <c r="I227" s="232" t="n"/>
      <c r="J227" s="232" t="n"/>
      <c r="K227" s="233" t="n"/>
      <c r="L227" s="233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56" t="n"/>
      <c r="N227" s="156" t="n"/>
      <c r="O227" s="156" t="n"/>
    </row>
    <row r="228" ht="18.75" customHeight="1" s="153">
      <c r="A228" s="237" t="n"/>
      <c r="B228" s="238" t="n"/>
      <c r="C228" s="239" t="n"/>
      <c r="D228" s="239" t="n"/>
      <c r="E228" s="239" t="n"/>
      <c r="F228" s="240" t="n"/>
      <c r="G228" s="240" t="n"/>
      <c r="H228" s="241" t="n"/>
      <c r="I228" s="242" t="n"/>
      <c r="J228" s="242" t="n"/>
      <c r="K228" s="233" t="n"/>
      <c r="L228" s="233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56" t="n"/>
      <c r="N228" s="156" t="n"/>
      <c r="O228" s="156" t="n"/>
    </row>
    <row r="229" ht="18.75" customHeight="1" s="153">
      <c r="A229" s="227" t="n"/>
      <c r="B229" s="228" t="n"/>
      <c r="C229" s="229" t="n"/>
      <c r="D229" s="229" t="n"/>
      <c r="E229" s="229" t="n"/>
      <c r="F229" s="230" t="n"/>
      <c r="G229" s="230" t="n"/>
      <c r="H229" s="231" t="n"/>
      <c r="I229" s="232" t="n"/>
      <c r="J229" s="232" t="n"/>
      <c r="K229" s="233" t="n"/>
      <c r="L229" s="233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56" t="n"/>
      <c r="N229" s="156" t="n"/>
      <c r="O229" s="156" t="n"/>
    </row>
    <row r="230" ht="18.75" customHeight="1" s="153">
      <c r="A230" s="237" t="n"/>
      <c r="B230" s="238" t="n"/>
      <c r="C230" s="239" t="n"/>
      <c r="D230" s="239" t="n"/>
      <c r="E230" s="239" t="n"/>
      <c r="F230" s="240" t="n"/>
      <c r="G230" s="240" t="n"/>
      <c r="H230" s="241" t="n"/>
      <c r="I230" s="242" t="n"/>
      <c r="J230" s="242" t="n"/>
      <c r="K230" s="233" t="n"/>
      <c r="L230" s="233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56" t="n"/>
      <c r="N230" s="156" t="n"/>
      <c r="O230" s="156" t="n"/>
    </row>
    <row r="231" ht="18.75" customHeight="1" s="153">
      <c r="A231" s="227" t="n"/>
      <c r="B231" s="228" t="n"/>
      <c r="C231" s="229" t="n"/>
      <c r="D231" s="229" t="n"/>
      <c r="E231" s="229" t="n"/>
      <c r="F231" s="230" t="n"/>
      <c r="G231" s="230" t="n"/>
      <c r="H231" s="231" t="n"/>
      <c r="I231" s="232" t="n"/>
      <c r="J231" s="232" t="n"/>
      <c r="K231" s="233" t="n"/>
      <c r="L231" s="233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56" t="n"/>
      <c r="N231" s="156" t="n"/>
      <c r="O231" s="156" t="n"/>
    </row>
    <row r="232" ht="18.75" customHeight="1" s="153">
      <c r="A232" s="237" t="n"/>
      <c r="B232" s="238" t="n"/>
      <c r="C232" s="239" t="n"/>
      <c r="D232" s="239" t="n"/>
      <c r="E232" s="239" t="n"/>
      <c r="F232" s="240" t="n"/>
      <c r="G232" s="240" t="n"/>
      <c r="H232" s="241" t="n"/>
      <c r="I232" s="242" t="n"/>
      <c r="J232" s="242" t="n"/>
      <c r="K232" s="233" t="n"/>
      <c r="L232" s="233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56" t="n"/>
      <c r="N232" s="156" t="n"/>
      <c r="O232" s="156" t="n"/>
    </row>
    <row r="233" ht="18.75" customHeight="1" s="153">
      <c r="A233" s="227" t="n"/>
      <c r="B233" s="228" t="n"/>
      <c r="C233" s="229" t="n"/>
      <c r="D233" s="229" t="n"/>
      <c r="E233" s="229" t="n"/>
      <c r="F233" s="230" t="n"/>
      <c r="G233" s="230" t="n"/>
      <c r="H233" s="231" t="n"/>
      <c r="I233" s="232" t="n"/>
      <c r="J233" s="232" t="n"/>
      <c r="K233" s="233" t="n"/>
      <c r="L233" s="233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56" t="n"/>
      <c r="N233" s="156" t="n"/>
      <c r="O233" s="156" t="n"/>
    </row>
    <row r="234" ht="18.75" customHeight="1" s="153">
      <c r="A234" s="237" t="n"/>
      <c r="B234" s="238" t="n"/>
      <c r="C234" s="239" t="n"/>
      <c r="D234" s="239" t="n"/>
      <c r="E234" s="239" t="n"/>
      <c r="F234" s="240" t="n"/>
      <c r="G234" s="240" t="n"/>
      <c r="H234" s="241" t="n"/>
      <c r="I234" s="242" t="n"/>
      <c r="J234" s="242" t="n"/>
      <c r="K234" s="233" t="n"/>
      <c r="L234" s="233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56" t="n"/>
      <c r="N234" s="156" t="n"/>
      <c r="O234" s="156" t="n"/>
    </row>
    <row r="235" ht="18.75" customHeight="1" s="153">
      <c r="A235" s="227" t="n"/>
      <c r="B235" s="228" t="n"/>
      <c r="C235" s="229" t="n"/>
      <c r="D235" s="229" t="n"/>
      <c r="E235" s="229" t="n"/>
      <c r="F235" s="230" t="n"/>
      <c r="G235" s="230" t="n"/>
      <c r="H235" s="231" t="n"/>
      <c r="I235" s="232" t="n"/>
      <c r="J235" s="232" t="n"/>
      <c r="K235" s="233" t="n"/>
      <c r="L235" s="233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56" t="n"/>
      <c r="N235" s="156" t="n"/>
      <c r="O235" s="156" t="n"/>
    </row>
    <row r="236" ht="18.75" customHeight="1" s="153">
      <c r="A236" s="237" t="n"/>
      <c r="B236" s="238" t="n"/>
      <c r="C236" s="239" t="n"/>
      <c r="D236" s="239" t="n"/>
      <c r="E236" s="239" t="n"/>
      <c r="F236" s="240" t="n"/>
      <c r="G236" s="240" t="n"/>
      <c r="H236" s="241" t="n"/>
      <c r="I236" s="242" t="n"/>
      <c r="J236" s="242" t="n"/>
      <c r="K236" s="233" t="n"/>
      <c r="L236" s="233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56" t="n"/>
      <c r="N236" s="156" t="n"/>
      <c r="O236" s="156" t="n"/>
    </row>
    <row r="237" ht="18.75" customHeight="1" s="153">
      <c r="A237" s="227" t="n"/>
      <c r="B237" s="228" t="n"/>
      <c r="C237" s="229" t="n"/>
      <c r="D237" s="229" t="n"/>
      <c r="E237" s="229" t="n"/>
      <c r="F237" s="230" t="n"/>
      <c r="G237" s="230" t="n"/>
      <c r="H237" s="231" t="n"/>
      <c r="I237" s="232" t="n"/>
      <c r="J237" s="232" t="n"/>
      <c r="K237" s="233" t="n"/>
      <c r="L237" s="233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56" t="n"/>
      <c r="N237" s="156" t="n"/>
      <c r="O237" s="156" t="n"/>
    </row>
    <row r="238" ht="18.75" customHeight="1" s="153">
      <c r="A238" s="237" t="n"/>
      <c r="B238" s="238" t="n"/>
      <c r="C238" s="239" t="n"/>
      <c r="D238" s="239" t="n"/>
      <c r="E238" s="239" t="n"/>
      <c r="F238" s="240" t="n"/>
      <c r="G238" s="240" t="n"/>
      <c r="H238" s="241" t="n"/>
      <c r="I238" s="242" t="n"/>
      <c r="J238" s="242" t="n"/>
      <c r="K238" s="233" t="n"/>
      <c r="L238" s="233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56" t="n"/>
      <c r="N238" s="156" t="n"/>
      <c r="O238" s="156" t="n"/>
    </row>
    <row r="239" ht="18.75" customHeight="1" s="153">
      <c r="A239" s="227" t="n"/>
      <c r="B239" s="228" t="n"/>
      <c r="C239" s="229" t="n"/>
      <c r="D239" s="229" t="n"/>
      <c r="E239" s="229" t="n"/>
      <c r="F239" s="230" t="n"/>
      <c r="G239" s="230" t="n"/>
      <c r="H239" s="231" t="n"/>
      <c r="I239" s="232" t="n"/>
      <c r="J239" s="232" t="n"/>
      <c r="K239" s="233" t="n"/>
      <c r="L239" s="233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56" t="n"/>
      <c r="N239" s="156" t="n"/>
      <c r="O239" s="156" t="n"/>
    </row>
    <row r="240" ht="18.75" customHeight="1" s="153">
      <c r="A240" s="237" t="n"/>
      <c r="B240" s="238" t="n"/>
      <c r="C240" s="239" t="n"/>
      <c r="D240" s="239" t="n"/>
      <c r="E240" s="239" t="n"/>
      <c r="F240" s="240" t="n"/>
      <c r="G240" s="240" t="n"/>
      <c r="H240" s="241" t="n"/>
      <c r="I240" s="242" t="n"/>
      <c r="J240" s="242" t="n"/>
      <c r="K240" s="233" t="n"/>
      <c r="L240" s="233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56" t="n"/>
      <c r="N240" s="156" t="n"/>
      <c r="O240" s="156" t="n"/>
    </row>
    <row r="241" ht="18.75" customHeight="1" s="153">
      <c r="A241" s="227" t="n"/>
      <c r="B241" s="228" t="n"/>
      <c r="C241" s="229" t="n"/>
      <c r="D241" s="229" t="n"/>
      <c r="E241" s="229" t="n"/>
      <c r="F241" s="230" t="n"/>
      <c r="G241" s="230" t="n"/>
      <c r="H241" s="231" t="n"/>
      <c r="I241" s="232" t="n"/>
      <c r="J241" s="232" t="n"/>
      <c r="K241" s="233" t="n"/>
      <c r="L241" s="233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56" t="n"/>
      <c r="N241" s="156" t="n"/>
      <c r="O241" s="156" t="n"/>
    </row>
    <row r="242" ht="18.75" customHeight="1" s="153">
      <c r="A242" s="237" t="n"/>
      <c r="B242" s="238" t="n"/>
      <c r="C242" s="239" t="n"/>
      <c r="D242" s="239" t="n"/>
      <c r="E242" s="239" t="n"/>
      <c r="F242" s="240" t="n"/>
      <c r="G242" s="240" t="n"/>
      <c r="H242" s="241" t="n"/>
      <c r="I242" s="242" t="n"/>
      <c r="J242" s="242" t="n"/>
      <c r="K242" s="233" t="n"/>
      <c r="L242" s="233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56" t="n"/>
      <c r="N242" s="156" t="n"/>
      <c r="O242" s="156" t="n"/>
    </row>
    <row r="243" ht="18.75" customHeight="1" s="153">
      <c r="A243" s="227" t="n"/>
      <c r="B243" s="228" t="n"/>
      <c r="C243" s="229" t="n"/>
      <c r="D243" s="229" t="n"/>
      <c r="E243" s="229" t="n"/>
      <c r="F243" s="230" t="n"/>
      <c r="G243" s="230" t="n"/>
      <c r="H243" s="231" t="n"/>
      <c r="I243" s="232" t="n"/>
      <c r="J243" s="232" t="n"/>
      <c r="K243" s="233" t="n"/>
      <c r="L243" s="233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56" t="n"/>
      <c r="N243" s="156" t="n"/>
      <c r="O243" s="156" t="n"/>
    </row>
    <row r="244" ht="18.75" customHeight="1" s="153">
      <c r="A244" s="237" t="n"/>
      <c r="B244" s="238" t="n"/>
      <c r="C244" s="239" t="n"/>
      <c r="D244" s="239" t="n"/>
      <c r="E244" s="239" t="n"/>
      <c r="F244" s="240" t="n"/>
      <c r="G244" s="240" t="n"/>
      <c r="H244" s="241" t="n"/>
      <c r="I244" s="242" t="n"/>
      <c r="J244" s="242" t="n"/>
      <c r="K244" s="233" t="n"/>
      <c r="L244" s="233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56" t="n"/>
      <c r="N244" s="156" t="n"/>
      <c r="O244" s="156" t="n"/>
    </row>
    <row r="245" ht="18.75" customHeight="1" s="153">
      <c r="A245" s="227" t="n"/>
      <c r="B245" s="228" t="n"/>
      <c r="C245" s="229" t="n"/>
      <c r="D245" s="229" t="n"/>
      <c r="E245" s="229" t="n"/>
      <c r="F245" s="230" t="n"/>
      <c r="G245" s="230" t="n"/>
      <c r="H245" s="231" t="n"/>
      <c r="I245" s="232" t="n"/>
      <c r="J245" s="232" t="n"/>
      <c r="K245" s="233" t="n"/>
      <c r="L245" s="233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56" t="n"/>
      <c r="N245" s="156" t="n"/>
      <c r="O245" s="156" t="n"/>
    </row>
    <row r="246" ht="18.75" customHeight="1" s="153">
      <c r="A246" s="237" t="n"/>
      <c r="B246" s="238" t="n"/>
      <c r="C246" s="239" t="n"/>
      <c r="D246" s="239" t="n"/>
      <c r="E246" s="239" t="n"/>
      <c r="F246" s="240" t="n"/>
      <c r="G246" s="240" t="n"/>
      <c r="H246" s="241" t="n"/>
      <c r="I246" s="242" t="n"/>
      <c r="J246" s="242" t="n"/>
      <c r="K246" s="233" t="n"/>
      <c r="L246" s="233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56" t="n"/>
      <c r="N246" s="156" t="n"/>
      <c r="O246" s="156" t="n"/>
    </row>
    <row r="247" ht="18.75" customHeight="1" s="153">
      <c r="A247" s="227" t="n"/>
      <c r="B247" s="228" t="n"/>
      <c r="C247" s="229" t="n"/>
      <c r="D247" s="229" t="n"/>
      <c r="E247" s="229" t="n"/>
      <c r="F247" s="230" t="n"/>
      <c r="G247" s="230" t="n"/>
      <c r="H247" s="231" t="n"/>
      <c r="I247" s="232" t="n"/>
      <c r="J247" s="232" t="n"/>
      <c r="K247" s="233" t="n"/>
      <c r="L247" s="233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56" t="n"/>
      <c r="N247" s="156" t="n"/>
      <c r="O247" s="156" t="n"/>
    </row>
    <row r="248" ht="18.75" customHeight="1" s="153">
      <c r="A248" s="237" t="n"/>
      <c r="B248" s="238" t="n"/>
      <c r="C248" s="239" t="n"/>
      <c r="D248" s="239" t="n"/>
      <c r="E248" s="239" t="n"/>
      <c r="F248" s="240" t="n"/>
      <c r="G248" s="240" t="n"/>
      <c r="H248" s="241" t="n"/>
      <c r="I248" s="242" t="n"/>
      <c r="J248" s="242" t="n"/>
      <c r="K248" s="233" t="n"/>
      <c r="L248" s="233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56" t="n"/>
      <c r="N248" s="156" t="n"/>
      <c r="O248" s="156" t="n"/>
    </row>
    <row r="249" ht="18.75" customHeight="1" s="153">
      <c r="A249" s="227" t="n"/>
      <c r="B249" s="228" t="n"/>
      <c r="C249" s="229" t="n"/>
      <c r="D249" s="229" t="n"/>
      <c r="E249" s="229" t="n"/>
      <c r="F249" s="230" t="n"/>
      <c r="G249" s="230" t="n"/>
      <c r="H249" s="231" t="n"/>
      <c r="I249" s="232" t="n"/>
      <c r="J249" s="232" t="n"/>
      <c r="K249" s="233" t="n"/>
      <c r="L249" s="233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56" t="n"/>
      <c r="N249" s="156" t="n"/>
      <c r="O249" s="156" t="n"/>
    </row>
    <row r="250" ht="18.75" customHeight="1" s="153">
      <c r="A250" s="237" t="n"/>
      <c r="B250" s="238" t="n"/>
      <c r="C250" s="239" t="n"/>
      <c r="D250" s="239" t="n"/>
      <c r="E250" s="239" t="n"/>
      <c r="F250" s="240" t="n"/>
      <c r="G250" s="240" t="n"/>
      <c r="H250" s="241" t="n"/>
      <c r="I250" s="242" t="n"/>
      <c r="J250" s="242" t="n"/>
      <c r="K250" s="233" t="n"/>
      <c r="L250" s="233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56" t="n"/>
      <c r="N250" s="156" t="n"/>
      <c r="O250" s="156" t="n"/>
    </row>
    <row r="251" ht="18.75" customHeight="1" s="153">
      <c r="A251" s="227" t="n"/>
      <c r="B251" s="228" t="n"/>
      <c r="C251" s="229" t="n"/>
      <c r="D251" s="229" t="n"/>
      <c r="E251" s="229" t="n"/>
      <c r="F251" s="230" t="n"/>
      <c r="G251" s="230" t="n"/>
      <c r="H251" s="231" t="n"/>
      <c r="I251" s="232" t="n"/>
      <c r="J251" s="232" t="n"/>
      <c r="K251" s="233" t="n"/>
      <c r="L251" s="233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56" t="n"/>
      <c r="N251" s="156" t="n"/>
      <c r="O251" s="156" t="n"/>
    </row>
    <row r="252" ht="18.75" customHeight="1" s="153">
      <c r="A252" s="237" t="n"/>
      <c r="B252" s="238" t="n"/>
      <c r="C252" s="239" t="n"/>
      <c r="D252" s="239" t="n"/>
      <c r="E252" s="239" t="n"/>
      <c r="F252" s="240" t="n"/>
      <c r="G252" s="240" t="n"/>
      <c r="H252" s="241" t="n"/>
      <c r="I252" s="242" t="n"/>
      <c r="J252" s="242" t="n"/>
      <c r="K252" s="233" t="n"/>
      <c r="L252" s="233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56" t="n"/>
      <c r="N252" s="156" t="n"/>
      <c r="O252" s="156" t="n"/>
    </row>
    <row r="253" ht="18.75" customHeight="1" s="153">
      <c r="A253" s="227" t="n"/>
      <c r="B253" s="228" t="n"/>
      <c r="C253" s="229" t="n"/>
      <c r="D253" s="229" t="n"/>
      <c r="E253" s="229" t="n"/>
      <c r="F253" s="230" t="n"/>
      <c r="G253" s="230" t="n"/>
      <c r="H253" s="231" t="n"/>
      <c r="I253" s="232" t="n"/>
      <c r="J253" s="232" t="n"/>
      <c r="K253" s="233" t="n"/>
      <c r="L253" s="233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56" t="n"/>
      <c r="N253" s="156" t="n"/>
      <c r="O253" s="156" t="n"/>
    </row>
    <row r="254" ht="18.75" customHeight="1" s="153">
      <c r="A254" s="237" t="n"/>
      <c r="B254" s="238" t="n"/>
      <c r="C254" s="239" t="n"/>
      <c r="D254" s="239" t="n"/>
      <c r="E254" s="239" t="n"/>
      <c r="F254" s="240" t="n"/>
      <c r="G254" s="240" t="n"/>
      <c r="H254" s="241" t="n"/>
      <c r="I254" s="242" t="n"/>
      <c r="J254" s="242" t="n"/>
      <c r="K254" s="233" t="n"/>
      <c r="L254" s="233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56" t="n"/>
      <c r="N254" s="156" t="n"/>
      <c r="O254" s="156" t="n"/>
    </row>
    <row r="255" ht="18.75" customHeight="1" s="153">
      <c r="A255" s="227" t="n"/>
      <c r="B255" s="228" t="n"/>
      <c r="C255" s="229" t="n"/>
      <c r="D255" s="229" t="n"/>
      <c r="E255" s="229" t="n"/>
      <c r="F255" s="230" t="n"/>
      <c r="G255" s="230" t="n"/>
      <c r="H255" s="231" t="n"/>
      <c r="I255" s="232" t="n"/>
      <c r="J255" s="232" t="n"/>
      <c r="K255" s="233" t="n"/>
      <c r="L255" s="233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56" t="n"/>
      <c r="N255" s="156" t="n"/>
      <c r="O255" s="156" t="n"/>
    </row>
    <row r="256" ht="18.75" customHeight="1" s="153">
      <c r="A256" s="237" t="n"/>
      <c r="B256" s="238" t="n"/>
      <c r="C256" s="239" t="n"/>
      <c r="D256" s="239" t="n"/>
      <c r="E256" s="239" t="n"/>
      <c r="F256" s="240" t="n"/>
      <c r="G256" s="240" t="n"/>
      <c r="H256" s="241" t="n"/>
      <c r="I256" s="242" t="n"/>
      <c r="J256" s="242" t="n"/>
      <c r="K256" s="233" t="n"/>
      <c r="L256" s="233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56" t="n"/>
      <c r="N256" s="156" t="n"/>
      <c r="O256" s="156" t="n"/>
    </row>
    <row r="257" ht="18.75" customHeight="1" s="153">
      <c r="A257" s="227" t="n"/>
      <c r="B257" s="228" t="n"/>
      <c r="C257" s="229" t="n"/>
      <c r="D257" s="229" t="n"/>
      <c r="E257" s="229" t="n"/>
      <c r="F257" s="230" t="n"/>
      <c r="G257" s="230" t="n"/>
      <c r="H257" s="231" t="n"/>
      <c r="I257" s="232" t="n"/>
      <c r="J257" s="232" t="n"/>
      <c r="K257" s="233" t="n"/>
      <c r="L257" s="233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56" t="n"/>
      <c r="N257" s="156" t="n"/>
      <c r="O257" s="156" t="n"/>
    </row>
    <row r="258" ht="18.75" customHeight="1" s="153">
      <c r="A258" s="237" t="n"/>
      <c r="B258" s="238" t="n"/>
      <c r="C258" s="239" t="n"/>
      <c r="D258" s="239" t="n"/>
      <c r="E258" s="239" t="n"/>
      <c r="F258" s="240" t="n"/>
      <c r="G258" s="240" t="n"/>
      <c r="H258" s="241" t="n"/>
      <c r="I258" s="242" t="n"/>
      <c r="J258" s="242" t="n"/>
      <c r="K258" s="233" t="n"/>
      <c r="L258" s="233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56" t="n"/>
      <c r="N258" s="156" t="n"/>
      <c r="O258" s="156" t="n"/>
    </row>
    <row r="259" ht="18.75" customHeight="1" s="153">
      <c r="A259" s="227" t="n"/>
      <c r="B259" s="228" t="n"/>
      <c r="C259" s="229" t="n"/>
      <c r="D259" s="229" t="n"/>
      <c r="E259" s="229" t="n"/>
      <c r="F259" s="230" t="n"/>
      <c r="G259" s="230" t="n"/>
      <c r="H259" s="231" t="n"/>
      <c r="I259" s="232" t="n"/>
      <c r="J259" s="232" t="n"/>
      <c r="K259" s="233" t="n"/>
      <c r="L259" s="233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56" t="n"/>
      <c r="N259" s="156" t="n"/>
      <c r="O259" s="156" t="n"/>
    </row>
    <row r="260" ht="18.75" customHeight="1" s="153">
      <c r="A260" s="237" t="n"/>
      <c r="B260" s="238" t="n"/>
      <c r="C260" s="239" t="n"/>
      <c r="D260" s="239" t="n"/>
      <c r="E260" s="239" t="n"/>
      <c r="F260" s="240" t="n"/>
      <c r="G260" s="240" t="n"/>
      <c r="H260" s="241" t="n"/>
      <c r="I260" s="242" t="n"/>
      <c r="J260" s="242" t="n"/>
      <c r="K260" s="233" t="n"/>
      <c r="L260" s="233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56" t="n"/>
      <c r="N260" s="156" t="n"/>
      <c r="O260" s="156" t="n"/>
    </row>
    <row r="261" ht="18.75" customHeight="1" s="153">
      <c r="A261" s="227" t="n"/>
      <c r="B261" s="228" t="n"/>
      <c r="C261" s="229" t="n"/>
      <c r="D261" s="229" t="n"/>
      <c r="E261" s="229" t="n"/>
      <c r="F261" s="230" t="n"/>
      <c r="G261" s="230" t="n"/>
      <c r="H261" s="231" t="n"/>
      <c r="I261" s="232" t="n"/>
      <c r="J261" s="232" t="n"/>
      <c r="K261" s="233" t="n"/>
      <c r="L261" s="233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56" t="n"/>
      <c r="N261" s="156" t="n"/>
      <c r="O261" s="156" t="n"/>
    </row>
    <row r="262" ht="18.75" customHeight="1" s="153">
      <c r="A262" s="237" t="n"/>
      <c r="B262" s="238" t="n"/>
      <c r="C262" s="239" t="n"/>
      <c r="D262" s="239" t="n"/>
      <c r="E262" s="239" t="n"/>
      <c r="F262" s="240" t="n"/>
      <c r="G262" s="240" t="n"/>
      <c r="H262" s="241" t="n"/>
      <c r="I262" s="242" t="n"/>
      <c r="J262" s="242" t="n"/>
      <c r="K262" s="233" t="n"/>
      <c r="L262" s="233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56" t="n"/>
      <c r="N262" s="156" t="n"/>
      <c r="O262" s="156" t="n"/>
    </row>
    <row r="263" ht="18.75" customHeight="1" s="153">
      <c r="A263" s="227" t="n"/>
      <c r="B263" s="228" t="n"/>
      <c r="C263" s="229" t="n"/>
      <c r="D263" s="229" t="n"/>
      <c r="E263" s="229" t="n"/>
      <c r="F263" s="230" t="n"/>
      <c r="G263" s="230" t="n"/>
      <c r="H263" s="231" t="n"/>
      <c r="I263" s="232" t="n"/>
      <c r="J263" s="232" t="n"/>
      <c r="K263" s="233" t="n"/>
      <c r="L263" s="233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56" t="n"/>
      <c r="N263" s="156" t="n"/>
      <c r="O263" s="156" t="n"/>
    </row>
    <row r="264" ht="18.75" customHeight="1" s="153">
      <c r="A264" s="237" t="n"/>
      <c r="B264" s="238" t="n"/>
      <c r="C264" s="239" t="n"/>
      <c r="D264" s="239" t="n"/>
      <c r="E264" s="239" t="n"/>
      <c r="F264" s="240" t="n"/>
      <c r="G264" s="240" t="n"/>
      <c r="H264" s="241" t="n"/>
      <c r="I264" s="242" t="n"/>
      <c r="J264" s="242" t="n"/>
      <c r="K264" s="233" t="n"/>
      <c r="L264" s="233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56" t="n"/>
      <c r="N264" s="156" t="n"/>
      <c r="O264" s="156" t="n"/>
    </row>
    <row r="265" ht="18.75" customHeight="1" s="153">
      <c r="A265" s="227" t="n"/>
      <c r="B265" s="228" t="n"/>
      <c r="C265" s="229" t="n"/>
      <c r="D265" s="229" t="n"/>
      <c r="E265" s="229" t="n"/>
      <c r="F265" s="230" t="n"/>
      <c r="G265" s="230" t="n"/>
      <c r="H265" s="231" t="n"/>
      <c r="I265" s="232" t="n"/>
      <c r="J265" s="232" t="n"/>
      <c r="K265" s="233" t="n"/>
      <c r="L265" s="233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56" t="n"/>
      <c r="N265" s="156" t="n"/>
      <c r="O265" s="156" t="n"/>
    </row>
    <row r="266" ht="18.75" customHeight="1" s="153">
      <c r="A266" s="237" t="n"/>
      <c r="B266" s="238" t="n"/>
      <c r="C266" s="239" t="n"/>
      <c r="D266" s="239" t="n"/>
      <c r="E266" s="239" t="n"/>
      <c r="F266" s="240" t="n"/>
      <c r="G266" s="240" t="n"/>
      <c r="H266" s="241" t="n"/>
      <c r="I266" s="242" t="n"/>
      <c r="J266" s="242" t="n"/>
      <c r="K266" s="233" t="n"/>
      <c r="L266" s="233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56" t="n"/>
      <c r="N266" s="156" t="n"/>
      <c r="O266" s="156" t="n"/>
    </row>
    <row r="267" ht="18.75" customHeight="1" s="153">
      <c r="A267" s="227" t="n"/>
      <c r="B267" s="228" t="n"/>
      <c r="C267" s="229" t="n"/>
      <c r="D267" s="229" t="n"/>
      <c r="E267" s="229" t="n"/>
      <c r="F267" s="230" t="n"/>
      <c r="G267" s="230" t="n"/>
      <c r="H267" s="231" t="n"/>
      <c r="I267" s="232" t="n"/>
      <c r="J267" s="232" t="n"/>
      <c r="K267" s="233" t="n"/>
      <c r="L267" s="233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56" t="n"/>
      <c r="N267" s="156" t="n"/>
      <c r="O267" s="156" t="n"/>
    </row>
    <row r="268" ht="18.75" customHeight="1" s="153">
      <c r="A268" s="237" t="n"/>
      <c r="B268" s="238" t="n"/>
      <c r="C268" s="239" t="n"/>
      <c r="D268" s="239" t="n"/>
      <c r="E268" s="239" t="n"/>
      <c r="F268" s="240" t="n"/>
      <c r="G268" s="240" t="n"/>
      <c r="H268" s="241" t="n"/>
      <c r="I268" s="242" t="n"/>
      <c r="J268" s="242" t="n"/>
      <c r="K268" s="233" t="n"/>
      <c r="L268" s="233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56" t="n"/>
      <c r="N268" s="156" t="n"/>
      <c r="O268" s="156" t="n"/>
    </row>
    <row r="269" ht="18.75" customHeight="1" s="153">
      <c r="A269" s="227" t="n"/>
      <c r="B269" s="228" t="n"/>
      <c r="C269" s="229" t="n"/>
      <c r="D269" s="229" t="n"/>
      <c r="E269" s="229" t="n"/>
      <c r="F269" s="230" t="n"/>
      <c r="G269" s="230" t="n"/>
      <c r="H269" s="231" t="n"/>
      <c r="I269" s="232" t="n"/>
      <c r="J269" s="232" t="n"/>
      <c r="K269" s="233" t="n"/>
      <c r="L269" s="233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56" t="n"/>
      <c r="N269" s="156" t="n"/>
      <c r="O269" s="156" t="n"/>
    </row>
    <row r="270" ht="18.75" customHeight="1" s="153">
      <c r="A270" s="237" t="n"/>
      <c r="B270" s="238" t="n"/>
      <c r="C270" s="239" t="n"/>
      <c r="D270" s="239" t="n"/>
      <c r="E270" s="239" t="n"/>
      <c r="F270" s="240" t="n"/>
      <c r="G270" s="240" t="n"/>
      <c r="H270" s="241" t="n"/>
      <c r="I270" s="242" t="n"/>
      <c r="J270" s="242" t="n"/>
      <c r="K270" s="233" t="n"/>
      <c r="L270" s="233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56" t="n"/>
      <c r="N270" s="156" t="n"/>
      <c r="O270" s="156" t="n"/>
    </row>
    <row r="271" ht="18.75" customHeight="1" s="153">
      <c r="A271" s="227" t="n"/>
      <c r="B271" s="228" t="n"/>
      <c r="C271" s="229" t="n"/>
      <c r="D271" s="229" t="n"/>
      <c r="E271" s="229" t="n"/>
      <c r="F271" s="230" t="n"/>
      <c r="G271" s="230" t="n"/>
      <c r="H271" s="231" t="n"/>
      <c r="I271" s="232" t="n"/>
      <c r="J271" s="232" t="n"/>
      <c r="K271" s="233" t="n"/>
      <c r="L271" s="233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56" t="n"/>
      <c r="N271" s="156" t="n"/>
      <c r="O271" s="156" t="n"/>
    </row>
    <row r="272" ht="18.75" customHeight="1" s="153">
      <c r="A272" s="237" t="n"/>
      <c r="B272" s="238" t="n"/>
      <c r="C272" s="239" t="n"/>
      <c r="D272" s="239" t="n"/>
      <c r="E272" s="239" t="n"/>
      <c r="F272" s="240" t="n"/>
      <c r="G272" s="240" t="n"/>
      <c r="H272" s="241" t="n"/>
      <c r="I272" s="242" t="n"/>
      <c r="J272" s="242" t="n"/>
      <c r="K272" s="233" t="n"/>
      <c r="L272" s="233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56" t="n"/>
      <c r="N272" s="156" t="n"/>
      <c r="O272" s="156" t="n"/>
    </row>
    <row r="273" ht="18.75" customHeight="1" s="153">
      <c r="A273" s="227" t="n"/>
      <c r="B273" s="228" t="n"/>
      <c r="C273" s="229" t="n"/>
      <c r="D273" s="229" t="n"/>
      <c r="E273" s="229" t="n"/>
      <c r="F273" s="230" t="n"/>
      <c r="G273" s="230" t="n"/>
      <c r="H273" s="231" t="n"/>
      <c r="I273" s="232" t="n"/>
      <c r="J273" s="232" t="n"/>
      <c r="K273" s="233" t="n"/>
      <c r="L273" s="233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56" t="n"/>
      <c r="N273" s="156" t="n"/>
      <c r="O273" s="156" t="n"/>
    </row>
    <row r="274" ht="18.75" customHeight="1" s="153">
      <c r="A274" s="237" t="n"/>
      <c r="B274" s="238" t="n"/>
      <c r="C274" s="239" t="n"/>
      <c r="D274" s="239" t="n"/>
      <c r="E274" s="239" t="n"/>
      <c r="F274" s="240" t="n"/>
      <c r="G274" s="240" t="n"/>
      <c r="H274" s="241" t="n"/>
      <c r="I274" s="242" t="n"/>
      <c r="J274" s="242" t="n"/>
      <c r="K274" s="233" t="n"/>
      <c r="L274" s="233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56" t="n"/>
      <c r="N274" s="156" t="n"/>
      <c r="O274" s="156" t="n"/>
    </row>
    <row r="275" ht="18.75" customHeight="1" s="153">
      <c r="A275" s="227" t="n"/>
      <c r="B275" s="228" t="n"/>
      <c r="C275" s="229" t="n"/>
      <c r="D275" s="229" t="n"/>
      <c r="E275" s="229" t="n"/>
      <c r="F275" s="230" t="n"/>
      <c r="G275" s="230" t="n"/>
      <c r="H275" s="231" t="n"/>
      <c r="I275" s="232" t="n"/>
      <c r="J275" s="232" t="n"/>
      <c r="K275" s="233" t="n"/>
      <c r="L275" s="233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>
        <f>IFERROR(SUM(C5:C500),0)</f>
        <v/>
      </c>
      <c r="D501" s="255">
        <f>IFERROR(SUM(D5:D500),0)</f>
        <v/>
      </c>
      <c r="E501" s="255">
        <f>IFERROR(SUM(E5:E500),0)</f>
        <v/>
      </c>
      <c r="F501" s="255">
        <f>IFERROR(SUM(F5:F500),0)</f>
        <v/>
      </c>
      <c r="G501" s="255">
        <f>IFERROR(SUM(G5:G500),0)</f>
        <v/>
      </c>
      <c r="H501" s="256" t="n"/>
      <c r="I501" s="256" t="n"/>
      <c r="J501" s="256" t="n"/>
      <c r="K501" s="2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AGOSTO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AGOSTO</t>
        </is>
      </c>
    </row>
    <row r="5" ht="21.75" customHeight="1" s="153">
      <c r="A5" s="227" t="n"/>
      <c r="B5" s="228" t="n"/>
      <c r="C5" s="229" t="n"/>
      <c r="D5" s="229" t="n"/>
      <c r="E5" s="229" t="n"/>
      <c r="F5" s="230" t="n"/>
      <c r="G5" s="230" t="n"/>
      <c r="H5" s="231" t="n"/>
      <c r="I5" s="232" t="n"/>
      <c r="J5" s="232" t="n"/>
      <c r="K5" s="233" t="n"/>
      <c r="L5" s="233">
        <f>IF(K5&lt;&gt;"",(IF(H5="","",H5-(C5*COSTOS!$C$6+D5*COSTOS!$C$7+E5*COSTOS!$C$8+F5*COSTOS!$C$9+G5*COSTOS!$C$10)))+K5,IF(H5="","",H5-(C5*COSTOS!$C$6+D5*COSTOS!$C$7+E5*COSTOS!$C$8+F5*COSTOS!$C$9+G5*COSTOS!$C$10)))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n"/>
      <c r="C6" s="239" t="n"/>
      <c r="D6" s="239" t="n"/>
      <c r="E6" s="239" t="n"/>
      <c r="F6" s="240" t="n"/>
      <c r="G6" s="240" t="n"/>
      <c r="H6" s="241" t="n"/>
      <c r="I6" s="242" t="n"/>
      <c r="J6" s="242" t="n"/>
      <c r="K6" s="233" t="n"/>
      <c r="L6" s="233">
        <f>IF(K6&lt;&gt;"",(IF(H6="","",H6-(C6*COSTOS!$C$6+D6*COSTOS!$C$7+E6*COSTOS!$C$8+F6*COSTOS!$C$9+G6*COSTOS!$C$10)))+K6,IF(H6="","",H6-(C6*COSTOS!$C$6+D6*COSTOS!$C$7+E6*COSTOS!$C$8+F6*COSTOS!$C$9+G6*COSTOS!$C$10)))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n"/>
      <c r="C7" s="229" t="n"/>
      <c r="D7" s="229" t="n"/>
      <c r="E7" s="229" t="n"/>
      <c r="F7" s="230" t="n"/>
      <c r="G7" s="230" t="n"/>
      <c r="H7" s="231" t="n"/>
      <c r="I7" s="232" t="n"/>
      <c r="J7" s="232" t="n"/>
      <c r="K7" s="233" t="n"/>
      <c r="L7" s="233">
        <f>IF(K7&lt;&gt;"",(IF(H7="","",H7-(C7*COSTOS!$C$6+D7*COSTOS!$C$7+E7*COSTOS!$C$8+F7*COSTOS!$C$9+G7*COSTOS!$C$10)))+K7,IF(H7="","",H7-(C7*COSTOS!$C$6+D7*COSTOS!$C$7+E7*COSTOS!$C$8+F7*COSTOS!$C$9+G7*COSTOS!$C$10)))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n"/>
      <c r="C8" s="239" t="n"/>
      <c r="D8" s="239" t="n"/>
      <c r="E8" s="239" t="n"/>
      <c r="F8" s="240" t="n"/>
      <c r="G8" s="240" t="n"/>
      <c r="H8" s="241" t="n"/>
      <c r="I8" s="242" t="n"/>
      <c r="J8" s="242" t="n"/>
      <c r="K8" s="233" t="n"/>
      <c r="L8" s="233">
        <f>IF(K8&lt;&gt;"",(IF(H8="","",H8-(C8*COSTOS!$C$6+D8*COSTOS!$C$7+E8*COSTOS!$C$8+F8*COSTOS!$C$9+G8*COSTOS!$C$10)))+K8,IF(H8="","",H8-(C8*COSTOS!$C$6+D8*COSTOS!$C$7+E8*COSTOS!$C$8+F8*COSTOS!$C$9+G8*COSTOS!$C$10)))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n"/>
      <c r="C9" s="229" t="n"/>
      <c r="D9" s="229" t="n"/>
      <c r="E9" s="229" t="n"/>
      <c r="F9" s="230" t="n"/>
      <c r="G9" s="230" t="n"/>
      <c r="H9" s="231" t="n"/>
      <c r="I9" s="232" t="n"/>
      <c r="J9" s="232" t="n"/>
      <c r="K9" s="233" t="n"/>
      <c r="L9" s="233">
        <f>IF(K9&lt;&gt;"",(IF(H9="","",H9-(C9*COSTOS!$C$6+D9*COSTOS!$C$7+E9*COSTOS!$C$8+F9*COSTOS!$C$9+G9*COSTOS!$C$10)))+K9,IF(H9="","",H9-(C9*COSTOS!$C$6+D9*COSTOS!$C$7+E9*COSTOS!$C$8+F9*COSTOS!$C$9+G9*COSTOS!$C$10)))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n"/>
      <c r="C10" s="239" t="n"/>
      <c r="D10" s="239" t="n"/>
      <c r="E10" s="239" t="n"/>
      <c r="F10" s="240" t="n"/>
      <c r="G10" s="240" t="n"/>
      <c r="H10" s="241" t="n"/>
      <c r="I10" s="242" t="n"/>
      <c r="J10" s="242" t="n"/>
      <c r="K10" s="233" t="n"/>
      <c r="L10" s="233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56" t="n"/>
      <c r="N10" s="243" t="n"/>
      <c r="O10" s="244" t="n"/>
    </row>
    <row r="11" ht="21.75" customHeight="1" s="153">
      <c r="A11" s="227" t="n"/>
      <c r="B11" s="228" t="n"/>
      <c r="C11" s="229" t="n"/>
      <c r="D11" s="229" t="n"/>
      <c r="E11" s="229" t="n"/>
      <c r="F11" s="230" t="n"/>
      <c r="G11" s="230" t="n"/>
      <c r="H11" s="231" t="n"/>
      <c r="I11" s="232" t="n"/>
      <c r="J11" s="232" t="n"/>
      <c r="K11" s="233" t="n"/>
      <c r="L11" s="233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n"/>
      <c r="C12" s="239" t="n"/>
      <c r="D12" s="239" t="n"/>
      <c r="E12" s="239" t="n"/>
      <c r="F12" s="240" t="n"/>
      <c r="G12" s="240" t="n"/>
      <c r="H12" s="241" t="n"/>
      <c r="I12" s="242" t="n"/>
      <c r="J12" s="242" t="n"/>
      <c r="K12" s="233" t="n"/>
      <c r="L12" s="233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n"/>
      <c r="C13" s="229" t="n"/>
      <c r="D13" s="229" t="n"/>
      <c r="E13" s="229" t="n"/>
      <c r="F13" s="230" t="n"/>
      <c r="G13" s="230" t="n"/>
      <c r="H13" s="231" t="n"/>
      <c r="I13" s="232" t="n"/>
      <c r="J13" s="232" t="n"/>
      <c r="K13" s="233" t="n"/>
      <c r="L13" s="233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n"/>
      <c r="C14" s="239" t="n"/>
      <c r="D14" s="239" t="n"/>
      <c r="E14" s="239" t="n"/>
      <c r="F14" s="240" t="n"/>
      <c r="G14" s="240" t="n"/>
      <c r="H14" s="241" t="n"/>
      <c r="I14" s="242" t="n"/>
      <c r="J14" s="242" t="n"/>
      <c r="K14" s="233" t="n"/>
      <c r="L14" s="233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56" t="n"/>
      <c r="N14" s="243" t="n"/>
      <c r="O14" s="244" t="n"/>
    </row>
    <row r="15" ht="21.75" customHeight="1" s="153">
      <c r="A15" s="227" t="n"/>
      <c r="B15" s="228" t="n"/>
      <c r="C15" s="229" t="n"/>
      <c r="D15" s="229" t="n"/>
      <c r="E15" s="229" t="n"/>
      <c r="F15" s="230" t="n"/>
      <c r="G15" s="230" t="n"/>
      <c r="H15" s="231" t="n"/>
      <c r="I15" s="232" t="n"/>
      <c r="J15" s="232" t="n"/>
      <c r="K15" s="233" t="n"/>
      <c r="L15" s="233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n"/>
      <c r="C16" s="239" t="n"/>
      <c r="D16" s="239" t="n"/>
      <c r="E16" s="239" t="n"/>
      <c r="F16" s="240" t="n"/>
      <c r="G16" s="240" t="n"/>
      <c r="H16" s="241" t="n"/>
      <c r="I16" s="242" t="n"/>
      <c r="J16" s="242" t="n"/>
      <c r="K16" s="233" t="n"/>
      <c r="L16" s="233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n"/>
      <c r="C17" s="229" t="n"/>
      <c r="D17" s="229" t="n"/>
      <c r="E17" s="229" t="n"/>
      <c r="F17" s="230" t="n"/>
      <c r="G17" s="230" t="n"/>
      <c r="H17" s="231" t="n"/>
      <c r="I17" s="232" t="n"/>
      <c r="J17" s="232" t="n"/>
      <c r="K17" s="233" t="n"/>
      <c r="L17" s="233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56" t="n"/>
      <c r="N17" s="243" t="n"/>
      <c r="O17" s="244" t="n"/>
    </row>
    <row r="18" ht="21.75" customHeight="1" s="153">
      <c r="A18" s="237" t="n"/>
      <c r="B18" s="238" t="n"/>
      <c r="C18" s="239" t="n"/>
      <c r="D18" s="239" t="n"/>
      <c r="E18" s="239" t="n"/>
      <c r="F18" s="240" t="n"/>
      <c r="G18" s="240" t="n"/>
      <c r="H18" s="241" t="n"/>
      <c r="I18" s="242" t="n"/>
      <c r="J18" s="242" t="n"/>
      <c r="K18" s="233" t="n"/>
      <c r="L18" s="233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n"/>
      <c r="C19" s="229" t="n"/>
      <c r="D19" s="229" t="n"/>
      <c r="E19" s="229" t="n"/>
      <c r="F19" s="230" t="n"/>
      <c r="G19" s="230" t="n"/>
      <c r="H19" s="231" t="n"/>
      <c r="I19" s="232" t="n"/>
      <c r="J19" s="232" t="n"/>
      <c r="K19" s="233" t="n"/>
      <c r="L19" s="233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56" t="n"/>
      <c r="N19" s="234" t="inlineStr">
        <is>
          <t>DÍAS DEL MES</t>
        </is>
      </c>
      <c r="O19" s="250" t="n">
        <v>31</v>
      </c>
    </row>
    <row r="20" ht="21.75" customHeight="1" s="153">
      <c r="A20" s="237" t="n"/>
      <c r="B20" s="238" t="n"/>
      <c r="C20" s="239" t="n"/>
      <c r="D20" s="239" t="n"/>
      <c r="E20" s="239" t="n"/>
      <c r="F20" s="240" t="n"/>
      <c r="G20" s="240" t="n"/>
      <c r="H20" s="241" t="n"/>
      <c r="I20" s="242" t="n"/>
      <c r="J20" s="242" t="n"/>
      <c r="K20" s="233" t="n"/>
      <c r="L20" s="233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56" t="n"/>
      <c r="N20" s="243" t="n"/>
      <c r="O20" s="244" t="n"/>
    </row>
    <row r="21" ht="21.75" customHeight="1" s="153">
      <c r="A21" s="227" t="n"/>
      <c r="B21" s="228" t="n"/>
      <c r="C21" s="229" t="n"/>
      <c r="D21" s="229" t="n"/>
      <c r="E21" s="229" t="n"/>
      <c r="F21" s="230" t="n"/>
      <c r="G21" s="230" t="n"/>
      <c r="H21" s="231" t="n"/>
      <c r="I21" s="232" t="n"/>
      <c r="J21" s="232" t="n"/>
      <c r="K21" s="233" t="n"/>
      <c r="L21" s="233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37" t="n"/>
      <c r="B22" s="238" t="n"/>
      <c r="C22" s="239" t="n"/>
      <c r="D22" s="239" t="n"/>
      <c r="E22" s="239" t="n"/>
      <c r="F22" s="240" t="n"/>
      <c r="G22" s="240" t="n"/>
      <c r="H22" s="241" t="n"/>
      <c r="I22" s="242" t="n"/>
      <c r="J22" s="242" t="n"/>
      <c r="K22" s="233" t="n"/>
      <c r="L22" s="233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27" t="n"/>
      <c r="B23" s="228" t="n"/>
      <c r="C23" s="229" t="n"/>
      <c r="D23" s="229" t="n"/>
      <c r="E23" s="229" t="n"/>
      <c r="F23" s="230" t="n"/>
      <c r="G23" s="230" t="n"/>
      <c r="H23" s="231" t="n"/>
      <c r="I23" s="232" t="n"/>
      <c r="J23" s="232" t="n"/>
      <c r="K23" s="233" t="n"/>
      <c r="L23" s="233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56" t="n"/>
      <c r="N23" s="156" t="n"/>
      <c r="O23" s="156" t="n"/>
    </row>
    <row r="24" ht="18.75" customHeight="1" s="153">
      <c r="A24" s="237" t="n"/>
      <c r="B24" s="238" t="n"/>
      <c r="C24" s="239" t="n"/>
      <c r="D24" s="239" t="n"/>
      <c r="E24" s="239" t="n"/>
      <c r="F24" s="240" t="n"/>
      <c r="G24" s="240" t="n"/>
      <c r="H24" s="241" t="n"/>
      <c r="I24" s="242" t="n"/>
      <c r="J24" s="242" t="n"/>
      <c r="K24" s="233" t="n"/>
      <c r="L24" s="233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56" t="n"/>
      <c r="N24" s="156" t="n"/>
      <c r="O24" s="156" t="n"/>
    </row>
    <row r="25" ht="18.75" customHeight="1" s="153">
      <c r="A25" s="227" t="n"/>
      <c r="B25" s="228" t="n"/>
      <c r="C25" s="229" t="n"/>
      <c r="D25" s="229" t="n"/>
      <c r="E25" s="229" t="n"/>
      <c r="F25" s="230" t="n"/>
      <c r="G25" s="230" t="n"/>
      <c r="H25" s="231" t="n"/>
      <c r="I25" s="232" t="n"/>
      <c r="J25" s="232" t="n"/>
      <c r="K25" s="233" t="n"/>
      <c r="L25" s="233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56" t="n"/>
      <c r="N25" s="156" t="n"/>
      <c r="O25" s="156" t="n"/>
    </row>
    <row r="26" ht="18.75" customHeight="1" s="153">
      <c r="A26" s="237" t="n"/>
      <c r="B26" s="238" t="n"/>
      <c r="C26" s="239" t="n"/>
      <c r="D26" s="239" t="n"/>
      <c r="E26" s="239" t="n"/>
      <c r="F26" s="240" t="n"/>
      <c r="G26" s="240" t="n"/>
      <c r="H26" s="241" t="n"/>
      <c r="I26" s="242" t="n"/>
      <c r="J26" s="242" t="n"/>
      <c r="K26" s="233" t="n"/>
      <c r="L26" s="233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56" t="n"/>
      <c r="N26" s="156" t="n"/>
      <c r="O26" s="156" t="n"/>
    </row>
    <row r="27" ht="18.75" customHeight="1" s="153">
      <c r="A27" s="227" t="n"/>
      <c r="B27" s="228" t="n"/>
      <c r="C27" s="229" t="n"/>
      <c r="D27" s="229" t="n"/>
      <c r="E27" s="229" t="n"/>
      <c r="F27" s="230" t="n"/>
      <c r="G27" s="230" t="n"/>
      <c r="H27" s="231" t="n"/>
      <c r="I27" s="232" t="n"/>
      <c r="J27" s="232" t="n"/>
      <c r="K27" s="233" t="n"/>
      <c r="L27" s="233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56" t="n"/>
      <c r="N27" s="156" t="n"/>
      <c r="O27" s="156" t="n"/>
    </row>
    <row r="28" ht="18.75" customHeight="1" s="153">
      <c r="A28" s="237" t="n"/>
      <c r="B28" s="238" t="n"/>
      <c r="C28" s="239" t="n"/>
      <c r="D28" s="239" t="n"/>
      <c r="E28" s="239" t="n"/>
      <c r="F28" s="240" t="n"/>
      <c r="G28" s="240" t="n"/>
      <c r="H28" s="241" t="n"/>
      <c r="I28" s="242" t="n"/>
      <c r="J28" s="242" t="n"/>
      <c r="K28" s="233" t="n"/>
      <c r="L28" s="233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56" t="n"/>
      <c r="N28" s="156" t="n"/>
      <c r="O28" s="156" t="n"/>
    </row>
    <row r="29" ht="18.75" customHeight="1" s="153">
      <c r="A29" s="227" t="n"/>
      <c r="B29" s="228" t="n"/>
      <c r="C29" s="229" t="n"/>
      <c r="D29" s="229" t="n"/>
      <c r="E29" s="229" t="n"/>
      <c r="F29" s="230" t="n"/>
      <c r="G29" s="230" t="n"/>
      <c r="H29" s="231" t="n"/>
      <c r="I29" s="232" t="n"/>
      <c r="J29" s="232" t="n"/>
      <c r="K29" s="233" t="n"/>
      <c r="L29" s="233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56" t="n"/>
      <c r="N29" s="156" t="n"/>
      <c r="O29" s="156">
        <f>IFERROR(SUM(L5:L700)/COUNTA(B5:B700),0)</f>
        <v/>
      </c>
    </row>
    <row r="30" ht="18.75" customHeight="1" s="153">
      <c r="A30" s="237" t="n"/>
      <c r="B30" s="238" t="n"/>
      <c r="C30" s="239" t="n"/>
      <c r="D30" s="239" t="n"/>
      <c r="E30" s="239" t="n"/>
      <c r="F30" s="240" t="n"/>
      <c r="G30" s="240" t="n"/>
      <c r="H30" s="241" t="n"/>
      <c r="I30" s="242" t="n"/>
      <c r="J30" s="242" t="n"/>
      <c r="K30" s="233" t="n"/>
      <c r="L30" s="233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56" t="n"/>
      <c r="N30" s="156" t="n"/>
      <c r="O30" s="156" t="n"/>
    </row>
    <row r="31" ht="18.75" customHeight="1" s="153">
      <c r="A31" s="227" t="n"/>
      <c r="B31" s="228" t="n"/>
      <c r="C31" s="229" t="n"/>
      <c r="D31" s="229" t="n"/>
      <c r="E31" s="229" t="n"/>
      <c r="F31" s="230" t="n"/>
      <c r="G31" s="230" t="n"/>
      <c r="H31" s="231" t="n"/>
      <c r="I31" s="232" t="n"/>
      <c r="J31" s="232" t="n"/>
      <c r="K31" s="233" t="n"/>
      <c r="L31" s="233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56" t="n"/>
      <c r="N31" s="156" t="n"/>
      <c r="O31" s="156" t="n"/>
    </row>
    <row r="32" ht="18.75" customHeight="1" s="153">
      <c r="A32" s="237" t="n"/>
      <c r="B32" s="238" t="n"/>
      <c r="C32" s="239" t="n"/>
      <c r="D32" s="239" t="n"/>
      <c r="E32" s="239" t="n"/>
      <c r="F32" s="240" t="n"/>
      <c r="G32" s="240" t="n"/>
      <c r="H32" s="241" t="n"/>
      <c r="I32" s="242" t="n"/>
      <c r="J32" s="242" t="n"/>
      <c r="K32" s="233" t="n"/>
      <c r="L32" s="233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56" t="n"/>
      <c r="N32" s="156" t="n"/>
      <c r="O32" s="156" t="n"/>
    </row>
    <row r="33" ht="18.75" customHeight="1" s="153">
      <c r="A33" s="227" t="n"/>
      <c r="B33" s="228" t="n"/>
      <c r="C33" s="229" t="n"/>
      <c r="D33" s="229" t="n"/>
      <c r="E33" s="229" t="n"/>
      <c r="F33" s="230" t="n"/>
      <c r="G33" s="230" t="n"/>
      <c r="H33" s="231" t="n"/>
      <c r="I33" s="232" t="n"/>
      <c r="J33" s="232" t="n"/>
      <c r="K33" s="233" t="n"/>
      <c r="L33" s="233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56" t="n"/>
      <c r="N33" s="156" t="n"/>
      <c r="O33" s="156" t="n"/>
    </row>
    <row r="34" ht="18.75" customHeight="1" s="153">
      <c r="A34" s="237" t="n"/>
      <c r="B34" s="238" t="n"/>
      <c r="C34" s="239" t="n"/>
      <c r="D34" s="239" t="n"/>
      <c r="E34" s="239" t="n"/>
      <c r="F34" s="240" t="n"/>
      <c r="G34" s="240" t="n"/>
      <c r="H34" s="241" t="n"/>
      <c r="I34" s="242" t="n"/>
      <c r="J34" s="242" t="n"/>
      <c r="K34" s="233" t="n"/>
      <c r="L34" s="233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56" t="n"/>
      <c r="N34" s="156" t="n"/>
      <c r="O34" s="156" t="n"/>
    </row>
    <row r="35" ht="18.75" customHeight="1" s="153">
      <c r="A35" s="227" t="n"/>
      <c r="B35" s="228" t="n"/>
      <c r="C35" s="229" t="n"/>
      <c r="D35" s="229" t="n"/>
      <c r="E35" s="229" t="n"/>
      <c r="F35" s="230" t="n"/>
      <c r="G35" s="230" t="n"/>
      <c r="H35" s="231" t="n"/>
      <c r="I35" s="232" t="n"/>
      <c r="J35" s="232" t="n"/>
      <c r="K35" s="233" t="n"/>
      <c r="L35" s="233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56" t="n"/>
      <c r="N35" s="156" t="n"/>
      <c r="O35" s="156" t="n"/>
    </row>
    <row r="36" ht="18.75" customHeight="1" s="153">
      <c r="A36" s="237" t="n"/>
      <c r="B36" s="238" t="n"/>
      <c r="C36" s="239" t="n"/>
      <c r="D36" s="239" t="n"/>
      <c r="E36" s="239" t="n"/>
      <c r="F36" s="240" t="n"/>
      <c r="G36" s="240" t="n"/>
      <c r="H36" s="241" t="n"/>
      <c r="I36" s="242" t="n"/>
      <c r="J36" s="242" t="n"/>
      <c r="K36" s="233" t="n"/>
      <c r="L36" s="233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56" t="n"/>
      <c r="N36" s="156" t="n"/>
      <c r="O36" s="156" t="n"/>
    </row>
    <row r="37" ht="18.75" customHeight="1" s="153">
      <c r="A37" s="227" t="n"/>
      <c r="B37" s="228" t="n"/>
      <c r="C37" s="229" t="n"/>
      <c r="D37" s="229" t="n"/>
      <c r="E37" s="229" t="n"/>
      <c r="F37" s="230" t="n"/>
      <c r="G37" s="230" t="n"/>
      <c r="H37" s="231" t="n"/>
      <c r="I37" s="232" t="n"/>
      <c r="J37" s="232" t="n"/>
      <c r="K37" s="233" t="n"/>
      <c r="L37" s="233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56" t="n"/>
      <c r="N37" s="156" t="n"/>
      <c r="O37" s="156" t="n"/>
    </row>
    <row r="38" ht="18.75" customHeight="1" s="153">
      <c r="A38" s="237" t="n"/>
      <c r="B38" s="238" t="n"/>
      <c r="C38" s="239" t="n"/>
      <c r="D38" s="239" t="n"/>
      <c r="E38" s="239" t="n"/>
      <c r="F38" s="240" t="n"/>
      <c r="G38" s="240" t="n"/>
      <c r="H38" s="241" t="n"/>
      <c r="I38" s="242" t="n"/>
      <c r="J38" s="242" t="n"/>
      <c r="K38" s="233" t="n"/>
      <c r="L38" s="233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56" t="n"/>
      <c r="N38" s="156" t="n"/>
      <c r="O38" s="156" t="n"/>
    </row>
    <row r="39" ht="18.75" customHeight="1" s="153">
      <c r="A39" s="227" t="n"/>
      <c r="B39" s="228" t="n"/>
      <c r="C39" s="229" t="n"/>
      <c r="D39" s="229" t="n"/>
      <c r="E39" s="229" t="n"/>
      <c r="F39" s="230" t="n"/>
      <c r="G39" s="230" t="n"/>
      <c r="H39" s="231" t="n"/>
      <c r="I39" s="232" t="n"/>
      <c r="J39" s="232" t="n"/>
      <c r="K39" s="233" t="n"/>
      <c r="L39" s="233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56" t="n"/>
      <c r="N39" s="156" t="n"/>
      <c r="O39" s="156" t="n"/>
    </row>
    <row r="40" ht="18.75" customHeight="1" s="153">
      <c r="A40" s="237" t="n"/>
      <c r="B40" s="238" t="n"/>
      <c r="C40" s="239" t="n"/>
      <c r="D40" s="239" t="n"/>
      <c r="E40" s="239" t="n"/>
      <c r="F40" s="240" t="n"/>
      <c r="G40" s="240" t="n"/>
      <c r="H40" s="241" t="n"/>
      <c r="I40" s="242" t="n"/>
      <c r="J40" s="242" t="n"/>
      <c r="K40" s="233" t="n"/>
      <c r="L40" s="233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56" t="n"/>
      <c r="N40" s="156" t="n"/>
      <c r="O40" s="156" t="n"/>
    </row>
    <row r="41" ht="18.75" customHeight="1" s="153">
      <c r="A41" s="227" t="n"/>
      <c r="B41" s="228" t="n"/>
      <c r="C41" s="229" t="n"/>
      <c r="D41" s="229" t="n"/>
      <c r="E41" s="229" t="n"/>
      <c r="F41" s="230" t="n"/>
      <c r="G41" s="230" t="n"/>
      <c r="H41" s="231" t="n"/>
      <c r="I41" s="232" t="n"/>
      <c r="J41" s="232" t="n"/>
      <c r="K41" s="233" t="n"/>
      <c r="L41" s="233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56" t="n"/>
      <c r="N41" s="156" t="n"/>
      <c r="O41" s="156" t="n"/>
    </row>
    <row r="42" ht="18.75" customHeight="1" s="153">
      <c r="A42" s="237" t="n"/>
      <c r="B42" s="238" t="n"/>
      <c r="C42" s="239" t="n"/>
      <c r="D42" s="239" t="n"/>
      <c r="E42" s="239" t="n"/>
      <c r="F42" s="240" t="n"/>
      <c r="G42" s="240" t="n"/>
      <c r="H42" s="241" t="n"/>
      <c r="I42" s="242" t="n"/>
      <c r="J42" s="242" t="n"/>
      <c r="K42" s="233" t="n"/>
      <c r="L42" s="233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56" t="n"/>
      <c r="N42" s="156" t="n"/>
      <c r="O42" s="156" t="n"/>
    </row>
    <row r="43" ht="18.75" customHeight="1" s="153">
      <c r="A43" s="227" t="n"/>
      <c r="B43" s="228" t="n"/>
      <c r="C43" s="229" t="n"/>
      <c r="D43" s="229" t="n"/>
      <c r="E43" s="229" t="n"/>
      <c r="F43" s="230" t="n"/>
      <c r="G43" s="230" t="n"/>
      <c r="H43" s="231" t="n"/>
      <c r="I43" s="232" t="n"/>
      <c r="J43" s="232" t="n"/>
      <c r="K43" s="233" t="n"/>
      <c r="L43" s="233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56" t="n"/>
      <c r="N43" s="156" t="n"/>
      <c r="O43" s="156" t="n"/>
    </row>
    <row r="44" ht="18.75" customHeight="1" s="153">
      <c r="A44" s="237" t="n"/>
      <c r="B44" s="238" t="n"/>
      <c r="C44" s="239" t="n"/>
      <c r="D44" s="239" t="n"/>
      <c r="E44" s="239" t="n"/>
      <c r="F44" s="240" t="n"/>
      <c r="G44" s="240" t="n"/>
      <c r="H44" s="241" t="n"/>
      <c r="I44" s="242" t="n"/>
      <c r="J44" s="242" t="n"/>
      <c r="K44" s="233" t="n"/>
      <c r="L44" s="233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56" t="n"/>
      <c r="N44" s="156" t="n"/>
      <c r="O44" s="156" t="n"/>
    </row>
    <row r="45" ht="18.75" customHeight="1" s="153">
      <c r="A45" s="227" t="n"/>
      <c r="B45" s="228" t="n"/>
      <c r="C45" s="229" t="n"/>
      <c r="D45" s="229" t="n"/>
      <c r="E45" s="229" t="n"/>
      <c r="F45" s="230" t="n"/>
      <c r="G45" s="230" t="n"/>
      <c r="H45" s="231" t="n"/>
      <c r="I45" s="232" t="n"/>
      <c r="J45" s="232" t="n"/>
      <c r="K45" s="233" t="n"/>
      <c r="L45" s="233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56" t="n"/>
      <c r="N45" s="156" t="n"/>
      <c r="O45" s="156" t="n"/>
    </row>
    <row r="46" ht="18.75" customHeight="1" s="153">
      <c r="A46" s="237" t="n"/>
      <c r="B46" s="238" t="n"/>
      <c r="C46" s="239" t="n"/>
      <c r="D46" s="239" t="n"/>
      <c r="E46" s="239" t="n"/>
      <c r="F46" s="240" t="n"/>
      <c r="G46" s="240" t="n"/>
      <c r="H46" s="241" t="n"/>
      <c r="I46" s="242" t="n"/>
      <c r="J46" s="242" t="n"/>
      <c r="K46" s="233" t="n"/>
      <c r="L46" s="233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56" t="n"/>
      <c r="N46" s="156" t="n"/>
      <c r="O46" s="156" t="n"/>
    </row>
    <row r="47" ht="18.75" customHeight="1" s="153">
      <c r="A47" s="227" t="n"/>
      <c r="B47" s="228" t="n"/>
      <c r="C47" s="229" t="n"/>
      <c r="D47" s="229" t="n"/>
      <c r="E47" s="229" t="n"/>
      <c r="F47" s="230" t="n"/>
      <c r="G47" s="230" t="n"/>
      <c r="H47" s="231" t="n"/>
      <c r="I47" s="232" t="n"/>
      <c r="J47" s="232" t="n"/>
      <c r="K47" s="233" t="n"/>
      <c r="L47" s="233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56" t="n"/>
      <c r="N47" s="156" t="n"/>
      <c r="O47" s="156" t="n"/>
    </row>
    <row r="48" ht="18.75" customHeight="1" s="153">
      <c r="A48" s="237" t="n"/>
      <c r="B48" s="238" t="n"/>
      <c r="C48" s="239" t="n"/>
      <c r="D48" s="239" t="n"/>
      <c r="E48" s="239" t="n"/>
      <c r="F48" s="240" t="n"/>
      <c r="G48" s="240" t="n"/>
      <c r="H48" s="241" t="n"/>
      <c r="I48" s="242" t="n"/>
      <c r="J48" s="242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n"/>
      <c r="C49" s="229" t="n"/>
      <c r="D49" s="229" t="n"/>
      <c r="E49" s="229" t="n"/>
      <c r="F49" s="230" t="n"/>
      <c r="G49" s="230" t="n"/>
      <c r="H49" s="231" t="n"/>
      <c r="I49" s="232" t="n"/>
      <c r="J49" s="232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37" t="n"/>
      <c r="B50" s="238" t="n"/>
      <c r="C50" s="239" t="n"/>
      <c r="D50" s="239" t="n"/>
      <c r="E50" s="239" t="n"/>
      <c r="F50" s="240" t="n"/>
      <c r="G50" s="240" t="n"/>
      <c r="H50" s="241" t="n"/>
      <c r="I50" s="242" t="n"/>
      <c r="J50" s="242" t="n"/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n"/>
      <c r="C51" s="229" t="n"/>
      <c r="D51" s="229" t="n"/>
      <c r="E51" s="229" t="n"/>
      <c r="F51" s="230" t="n"/>
      <c r="G51" s="230" t="n"/>
      <c r="H51" s="231" t="n"/>
      <c r="I51" s="232" t="n"/>
      <c r="J51" s="232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37" t="n"/>
      <c r="B52" s="238" t="n"/>
      <c r="C52" s="239" t="n"/>
      <c r="D52" s="239" t="n"/>
      <c r="E52" s="239" t="n"/>
      <c r="F52" s="240" t="n"/>
      <c r="G52" s="240" t="n"/>
      <c r="H52" s="241" t="n"/>
      <c r="I52" s="242" t="n"/>
      <c r="J52" s="242" t="n"/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n"/>
      <c r="C53" s="229" t="n"/>
      <c r="D53" s="229" t="n"/>
      <c r="E53" s="229" t="n"/>
      <c r="F53" s="230" t="n"/>
      <c r="G53" s="230" t="n"/>
      <c r="H53" s="231" t="n"/>
      <c r="I53" s="232" t="n"/>
      <c r="J53" s="232" t="n"/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37" t="n"/>
      <c r="B54" s="238" t="n"/>
      <c r="C54" s="239" t="n"/>
      <c r="D54" s="239" t="n"/>
      <c r="E54" s="239" t="n"/>
      <c r="F54" s="240" t="n"/>
      <c r="G54" s="240" t="n"/>
      <c r="H54" s="241" t="n"/>
      <c r="I54" s="242" t="n"/>
      <c r="J54" s="242" t="n"/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n"/>
      <c r="C55" s="229" t="n"/>
      <c r="D55" s="229" t="n"/>
      <c r="E55" s="229" t="n"/>
      <c r="F55" s="230" t="n"/>
      <c r="G55" s="230" t="n"/>
      <c r="H55" s="231" t="n"/>
      <c r="I55" s="232" t="n"/>
      <c r="J55" s="232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37" t="n"/>
      <c r="B56" s="238" t="n"/>
      <c r="C56" s="239" t="n"/>
      <c r="D56" s="239" t="n"/>
      <c r="E56" s="239" t="n"/>
      <c r="F56" s="240" t="n"/>
      <c r="G56" s="240" t="n"/>
      <c r="H56" s="241" t="n"/>
      <c r="I56" s="242" t="n"/>
      <c r="J56" s="242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n"/>
      <c r="C57" s="229" t="n"/>
      <c r="D57" s="229" t="n"/>
      <c r="E57" s="229" t="n"/>
      <c r="F57" s="230" t="n"/>
      <c r="G57" s="230" t="n"/>
      <c r="H57" s="231" t="n"/>
      <c r="I57" s="232" t="n"/>
      <c r="J57" s="232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37" t="n"/>
      <c r="B58" s="238" t="n"/>
      <c r="C58" s="239" t="n"/>
      <c r="D58" s="239" t="n"/>
      <c r="E58" s="239" t="n"/>
      <c r="F58" s="240" t="n"/>
      <c r="G58" s="240" t="n"/>
      <c r="H58" s="241" t="n"/>
      <c r="I58" s="242" t="n"/>
      <c r="J58" s="242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n"/>
      <c r="C59" s="229" t="n"/>
      <c r="D59" s="229" t="n"/>
      <c r="E59" s="229" t="n"/>
      <c r="F59" s="230" t="n"/>
      <c r="G59" s="230" t="n"/>
      <c r="H59" s="231" t="n"/>
      <c r="I59" s="232" t="n"/>
      <c r="J59" s="232" t="n"/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37" t="n"/>
      <c r="B60" s="238" t="n"/>
      <c r="C60" s="239" t="n"/>
      <c r="D60" s="239" t="n"/>
      <c r="E60" s="239" t="n"/>
      <c r="F60" s="240" t="n"/>
      <c r="G60" s="240" t="n"/>
      <c r="H60" s="241" t="n"/>
      <c r="I60" s="242" t="n"/>
      <c r="J60" s="242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n"/>
      <c r="C61" s="229" t="n"/>
      <c r="D61" s="229" t="n"/>
      <c r="E61" s="229" t="n"/>
      <c r="F61" s="230" t="n"/>
      <c r="G61" s="230" t="n"/>
      <c r="H61" s="231" t="n"/>
      <c r="I61" s="232" t="n"/>
      <c r="J61" s="232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37" t="n"/>
      <c r="B62" s="238" t="n"/>
      <c r="C62" s="239" t="n"/>
      <c r="D62" s="239" t="n"/>
      <c r="E62" s="239" t="n"/>
      <c r="F62" s="240" t="n"/>
      <c r="G62" s="240" t="n"/>
      <c r="H62" s="241" t="n"/>
      <c r="I62" s="242" t="n"/>
      <c r="J62" s="242" t="n"/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n"/>
      <c r="C63" s="229" t="n"/>
      <c r="D63" s="229" t="n"/>
      <c r="E63" s="229" t="n"/>
      <c r="F63" s="230" t="n"/>
      <c r="G63" s="230" t="n"/>
      <c r="H63" s="231" t="n"/>
      <c r="I63" s="232" t="n"/>
      <c r="J63" s="232" t="n"/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37" t="n"/>
      <c r="B64" s="238" t="n"/>
      <c r="C64" s="239" t="n"/>
      <c r="D64" s="239" t="n"/>
      <c r="E64" s="239" t="n"/>
      <c r="F64" s="240" t="n"/>
      <c r="G64" s="240" t="n"/>
      <c r="H64" s="241" t="n"/>
      <c r="I64" s="242" t="n"/>
      <c r="J64" s="242" t="n"/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n"/>
      <c r="C65" s="229" t="n"/>
      <c r="D65" s="229" t="n"/>
      <c r="E65" s="229" t="n"/>
      <c r="F65" s="230" t="n"/>
      <c r="G65" s="230" t="n"/>
      <c r="H65" s="231" t="n"/>
      <c r="I65" s="232" t="n"/>
      <c r="J65" s="232" t="n"/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37" t="n"/>
      <c r="B66" s="238" t="n"/>
      <c r="C66" s="239" t="n"/>
      <c r="D66" s="239" t="n"/>
      <c r="E66" s="239" t="n"/>
      <c r="F66" s="240" t="n"/>
      <c r="G66" s="240" t="n"/>
      <c r="H66" s="241" t="n"/>
      <c r="I66" s="242" t="n"/>
      <c r="J66" s="242" t="n"/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/>
      <c r="B67" s="228" t="n"/>
      <c r="C67" s="229" t="n"/>
      <c r="D67" s="229" t="n"/>
      <c r="E67" s="229" t="n"/>
      <c r="F67" s="230" t="n"/>
      <c r="G67" s="230" t="n"/>
      <c r="H67" s="231" t="n"/>
      <c r="I67" s="232" t="n"/>
      <c r="J67" s="232" t="n"/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37" t="n"/>
      <c r="B68" s="238" t="n"/>
      <c r="C68" s="239" t="n"/>
      <c r="D68" s="239" t="n"/>
      <c r="E68" s="239" t="n"/>
      <c r="F68" s="240" t="n"/>
      <c r="G68" s="240" t="n"/>
      <c r="H68" s="241" t="n"/>
      <c r="I68" s="242" t="n"/>
      <c r="J68" s="242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n"/>
      <c r="C69" s="229" t="n"/>
      <c r="D69" s="229" t="n"/>
      <c r="E69" s="229" t="n"/>
      <c r="F69" s="230" t="n"/>
      <c r="G69" s="230" t="n"/>
      <c r="H69" s="231" t="n"/>
      <c r="I69" s="232" t="n"/>
      <c r="J69" s="232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37" t="n"/>
      <c r="B70" s="238" t="n"/>
      <c r="C70" s="239" t="n"/>
      <c r="D70" s="239" t="n"/>
      <c r="E70" s="239" t="n"/>
      <c r="F70" s="240" t="n"/>
      <c r="G70" s="240" t="n"/>
      <c r="H70" s="241" t="n"/>
      <c r="I70" s="242" t="n"/>
      <c r="J70" s="242" t="n"/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n"/>
      <c r="C71" s="229" t="n"/>
      <c r="D71" s="229" t="n"/>
      <c r="E71" s="229" t="n"/>
      <c r="F71" s="230" t="n"/>
      <c r="G71" s="230" t="n"/>
      <c r="H71" s="231" t="n"/>
      <c r="I71" s="232" t="n"/>
      <c r="J71" s="232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37" t="n"/>
      <c r="B72" s="238" t="n"/>
      <c r="C72" s="239" t="n"/>
      <c r="D72" s="239" t="n"/>
      <c r="E72" s="239" t="n"/>
      <c r="F72" s="240" t="n"/>
      <c r="G72" s="240" t="n"/>
      <c r="H72" s="241" t="n"/>
      <c r="I72" s="242" t="n"/>
      <c r="J72" s="242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n"/>
      <c r="C73" s="229" t="n"/>
      <c r="D73" s="229" t="n"/>
      <c r="E73" s="229" t="n"/>
      <c r="F73" s="230" t="n"/>
      <c r="G73" s="230" t="n"/>
      <c r="H73" s="231" t="n"/>
      <c r="I73" s="232" t="n"/>
      <c r="J73" s="232" t="n"/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37" t="n"/>
      <c r="B74" s="238" t="n"/>
      <c r="C74" s="239" t="n"/>
      <c r="D74" s="239" t="n"/>
      <c r="E74" s="239" t="n"/>
      <c r="F74" s="240" t="n"/>
      <c r="G74" s="240" t="n"/>
      <c r="H74" s="241" t="n"/>
      <c r="I74" s="242" t="n"/>
      <c r="J74" s="242" t="n"/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n"/>
      <c r="C75" s="229" t="n"/>
      <c r="D75" s="229" t="n"/>
      <c r="E75" s="229" t="n"/>
      <c r="F75" s="230" t="n"/>
      <c r="G75" s="230" t="n"/>
      <c r="H75" s="231" t="n"/>
      <c r="I75" s="232" t="n"/>
      <c r="J75" s="232" t="n"/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37" t="n"/>
      <c r="B76" s="238" t="n"/>
      <c r="C76" s="239" t="n"/>
      <c r="D76" s="239" t="n"/>
      <c r="E76" s="239" t="n"/>
      <c r="F76" s="240" t="n"/>
      <c r="G76" s="240" t="n"/>
      <c r="H76" s="241" t="n"/>
      <c r="I76" s="242" t="n"/>
      <c r="J76" s="242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n"/>
      <c r="C77" s="229" t="n"/>
      <c r="D77" s="229" t="n"/>
      <c r="E77" s="229" t="n"/>
      <c r="F77" s="230" t="n"/>
      <c r="G77" s="230" t="n"/>
      <c r="H77" s="231" t="n"/>
      <c r="I77" s="232" t="n"/>
      <c r="J77" s="232" t="n"/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37" t="n"/>
      <c r="B78" s="238" t="n"/>
      <c r="C78" s="239" t="n"/>
      <c r="D78" s="239" t="n"/>
      <c r="E78" s="239" t="n"/>
      <c r="F78" s="240" t="n"/>
      <c r="G78" s="240" t="n"/>
      <c r="H78" s="241" t="n"/>
      <c r="I78" s="242" t="n"/>
      <c r="J78" s="242" t="n"/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n"/>
      <c r="C79" s="229" t="n"/>
      <c r="D79" s="229" t="n"/>
      <c r="E79" s="229" t="n"/>
      <c r="F79" s="230" t="n"/>
      <c r="G79" s="230" t="n"/>
      <c r="H79" s="231" t="n"/>
      <c r="I79" s="232" t="n"/>
      <c r="J79" s="232" t="n"/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37" t="n"/>
      <c r="B80" s="238" t="n"/>
      <c r="C80" s="239" t="n"/>
      <c r="D80" s="239" t="n"/>
      <c r="E80" s="239" t="n"/>
      <c r="F80" s="240" t="n"/>
      <c r="G80" s="240" t="n"/>
      <c r="H80" s="241" t="n"/>
      <c r="I80" s="242" t="n"/>
      <c r="J80" s="242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n"/>
      <c r="C81" s="229" t="n"/>
      <c r="D81" s="229" t="n"/>
      <c r="E81" s="229" t="n"/>
      <c r="F81" s="230" t="n"/>
      <c r="G81" s="230" t="n"/>
      <c r="H81" s="231" t="n"/>
      <c r="I81" s="232" t="n"/>
      <c r="J81" s="232" t="n"/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37" t="n"/>
      <c r="B82" s="238" t="n"/>
      <c r="C82" s="239" t="n"/>
      <c r="D82" s="239" t="n"/>
      <c r="E82" s="239" t="n"/>
      <c r="F82" s="240" t="n"/>
      <c r="G82" s="240" t="n"/>
      <c r="H82" s="241" t="n"/>
      <c r="I82" s="242" t="n"/>
      <c r="J82" s="242" t="n"/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n"/>
      <c r="C83" s="229" t="n"/>
      <c r="D83" s="229" t="n"/>
      <c r="E83" s="229" t="n"/>
      <c r="F83" s="230" t="n"/>
      <c r="G83" s="230" t="n"/>
      <c r="H83" s="231" t="n"/>
      <c r="I83" s="232" t="n"/>
      <c r="J83" s="232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37" t="n"/>
      <c r="B84" s="238" t="n"/>
      <c r="C84" s="239" t="n"/>
      <c r="D84" s="239" t="n"/>
      <c r="E84" s="239" t="n"/>
      <c r="F84" s="240" t="n"/>
      <c r="G84" s="240" t="n"/>
      <c r="H84" s="241" t="n"/>
      <c r="I84" s="242" t="n"/>
      <c r="J84" s="242" t="n"/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n"/>
      <c r="C85" s="229" t="n"/>
      <c r="D85" s="229" t="n"/>
      <c r="E85" s="229" t="n"/>
      <c r="F85" s="230" t="n"/>
      <c r="G85" s="230" t="n"/>
      <c r="H85" s="231" t="n"/>
      <c r="I85" s="232" t="n"/>
      <c r="J85" s="232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37" t="n"/>
      <c r="B86" s="238" t="n"/>
      <c r="C86" s="239" t="n"/>
      <c r="D86" s="239" t="n"/>
      <c r="E86" s="239" t="n"/>
      <c r="F86" s="240" t="n"/>
      <c r="G86" s="240" t="n"/>
      <c r="H86" s="241" t="n"/>
      <c r="I86" s="242" t="n"/>
      <c r="J86" s="242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/>
      <c r="B87" s="228" t="n"/>
      <c r="C87" s="229" t="n"/>
      <c r="D87" s="229" t="n"/>
      <c r="E87" s="229" t="n"/>
      <c r="F87" s="230" t="n"/>
      <c r="G87" s="230" t="n"/>
      <c r="H87" s="231" t="n"/>
      <c r="I87" s="232" t="n"/>
      <c r="J87" s="232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37" t="n"/>
      <c r="B88" s="238" t="n"/>
      <c r="C88" s="239" t="n"/>
      <c r="D88" s="239" t="n"/>
      <c r="E88" s="239" t="n"/>
      <c r="F88" s="240" t="n"/>
      <c r="G88" s="240" t="n"/>
      <c r="H88" s="241" t="n"/>
      <c r="I88" s="242" t="n"/>
      <c r="J88" s="242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n"/>
      <c r="C89" s="229" t="n"/>
      <c r="D89" s="229" t="n"/>
      <c r="E89" s="229" t="n"/>
      <c r="F89" s="230" t="n"/>
      <c r="G89" s="230" t="n"/>
      <c r="H89" s="231" t="n"/>
      <c r="I89" s="232" t="n"/>
      <c r="J89" s="232" t="n"/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37" t="n"/>
      <c r="B90" s="238" t="n"/>
      <c r="C90" s="239" t="n"/>
      <c r="D90" s="239" t="n"/>
      <c r="E90" s="239" t="n"/>
      <c r="F90" s="240" t="n"/>
      <c r="G90" s="240" t="n"/>
      <c r="H90" s="241" t="n"/>
      <c r="I90" s="242" t="n"/>
      <c r="J90" s="242" t="n"/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n"/>
      <c r="C91" s="229" t="n"/>
      <c r="D91" s="229" t="n"/>
      <c r="E91" s="229" t="n"/>
      <c r="F91" s="230" t="n"/>
      <c r="G91" s="230" t="n"/>
      <c r="H91" s="231" t="n"/>
      <c r="I91" s="232" t="n"/>
      <c r="J91" s="232" t="n"/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37" t="n"/>
      <c r="B92" s="238" t="n"/>
      <c r="C92" s="239" t="n"/>
      <c r="D92" s="239" t="n"/>
      <c r="E92" s="239" t="n"/>
      <c r="F92" s="240" t="n"/>
      <c r="G92" s="240" t="n"/>
      <c r="H92" s="241" t="n"/>
      <c r="I92" s="242" t="n"/>
      <c r="J92" s="242" t="n"/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n"/>
      <c r="C93" s="229" t="n"/>
      <c r="D93" s="229" t="n"/>
      <c r="E93" s="229" t="n"/>
      <c r="F93" s="230" t="n"/>
      <c r="G93" s="230" t="n"/>
      <c r="H93" s="231" t="n"/>
      <c r="I93" s="232" t="n"/>
      <c r="J93" s="232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37" t="n"/>
      <c r="B94" s="238" t="n"/>
      <c r="C94" s="239" t="n"/>
      <c r="D94" s="239" t="n"/>
      <c r="E94" s="239" t="n"/>
      <c r="F94" s="240" t="n"/>
      <c r="G94" s="240" t="n"/>
      <c r="H94" s="241" t="n"/>
      <c r="I94" s="242" t="n"/>
      <c r="J94" s="242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n"/>
      <c r="C95" s="229" t="n"/>
      <c r="D95" s="229" t="n"/>
      <c r="E95" s="229" t="n"/>
      <c r="F95" s="230" t="n"/>
      <c r="G95" s="230" t="n"/>
      <c r="H95" s="231" t="n"/>
      <c r="I95" s="232" t="n"/>
      <c r="J95" s="232" t="n"/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37" t="n"/>
      <c r="B96" s="238" t="n"/>
      <c r="C96" s="239" t="n"/>
      <c r="D96" s="239" t="n"/>
      <c r="E96" s="239" t="n"/>
      <c r="F96" s="240" t="n"/>
      <c r="G96" s="240" t="n"/>
      <c r="H96" s="241" t="n"/>
      <c r="I96" s="242" t="n"/>
      <c r="J96" s="242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n"/>
      <c r="C97" s="229" t="n"/>
      <c r="D97" s="229" t="n"/>
      <c r="E97" s="229" t="n"/>
      <c r="F97" s="230" t="n"/>
      <c r="G97" s="230" t="n"/>
      <c r="H97" s="231" t="n"/>
      <c r="I97" s="232" t="n"/>
      <c r="J97" s="232" t="n"/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37" t="n"/>
      <c r="B98" s="238" t="n"/>
      <c r="C98" s="239" t="n"/>
      <c r="D98" s="239" t="n"/>
      <c r="E98" s="239" t="n"/>
      <c r="F98" s="240" t="n"/>
      <c r="G98" s="240" t="n"/>
      <c r="H98" s="241" t="n"/>
      <c r="I98" s="242" t="n"/>
      <c r="J98" s="242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n"/>
      <c r="C99" s="229" t="n"/>
      <c r="D99" s="229" t="n"/>
      <c r="E99" s="229" t="n"/>
      <c r="F99" s="230" t="n"/>
      <c r="G99" s="230" t="n"/>
      <c r="H99" s="231" t="n"/>
      <c r="I99" s="232" t="n"/>
      <c r="J99" s="232" t="n"/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37" t="n"/>
      <c r="B100" s="238" t="n"/>
      <c r="C100" s="239" t="n"/>
      <c r="D100" s="239" t="n"/>
      <c r="E100" s="239" t="n"/>
      <c r="F100" s="240" t="n"/>
      <c r="G100" s="240" t="n"/>
      <c r="H100" s="241" t="n"/>
      <c r="I100" s="242" t="n"/>
      <c r="J100" s="242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n"/>
      <c r="C101" s="229" t="n"/>
      <c r="D101" s="229" t="n"/>
      <c r="E101" s="229" t="n"/>
      <c r="F101" s="230" t="n"/>
      <c r="G101" s="230" t="n"/>
      <c r="H101" s="231" t="n"/>
      <c r="I101" s="232" t="n"/>
      <c r="J101" s="232" t="n"/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37" t="n"/>
      <c r="B102" s="238" t="n"/>
      <c r="C102" s="239" t="n"/>
      <c r="D102" s="239" t="n"/>
      <c r="E102" s="239" t="n"/>
      <c r="F102" s="240" t="n"/>
      <c r="G102" s="240" t="n"/>
      <c r="H102" s="241" t="n"/>
      <c r="I102" s="242" t="n"/>
      <c r="J102" s="242" t="n"/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n"/>
      <c r="C103" s="229" t="n"/>
      <c r="D103" s="229" t="n"/>
      <c r="E103" s="229" t="n"/>
      <c r="F103" s="230" t="n"/>
      <c r="G103" s="230" t="n"/>
      <c r="H103" s="231" t="n"/>
      <c r="I103" s="232" t="n"/>
      <c r="J103" s="232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37" t="n"/>
      <c r="B104" s="238" t="n"/>
      <c r="C104" s="239" t="n"/>
      <c r="D104" s="239" t="n"/>
      <c r="E104" s="239" t="n"/>
      <c r="F104" s="240" t="n"/>
      <c r="G104" s="240" t="n"/>
      <c r="H104" s="241" t="n"/>
      <c r="I104" s="242" t="n"/>
      <c r="J104" s="242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n"/>
      <c r="C105" s="229" t="n"/>
      <c r="D105" s="229" t="n"/>
      <c r="E105" s="229" t="n"/>
      <c r="F105" s="230" t="n"/>
      <c r="G105" s="230" t="n"/>
      <c r="H105" s="231" t="n"/>
      <c r="I105" s="232" t="n"/>
      <c r="J105" s="232" t="n"/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37" t="n"/>
      <c r="B106" s="238" t="n"/>
      <c r="C106" s="239" t="n"/>
      <c r="D106" s="239" t="n"/>
      <c r="E106" s="239" t="n"/>
      <c r="F106" s="240" t="n"/>
      <c r="G106" s="240" t="n"/>
      <c r="H106" s="241" t="n"/>
      <c r="I106" s="242" t="n"/>
      <c r="J106" s="242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n"/>
      <c r="C107" s="229" t="n"/>
      <c r="D107" s="229" t="n"/>
      <c r="E107" s="229" t="n"/>
      <c r="F107" s="230" t="n"/>
      <c r="G107" s="230" t="n"/>
      <c r="H107" s="231" t="n"/>
      <c r="I107" s="232" t="n"/>
      <c r="J107" s="232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37" t="n"/>
      <c r="B108" s="238" t="n"/>
      <c r="C108" s="239" t="n"/>
      <c r="D108" s="239" t="n"/>
      <c r="E108" s="239" t="n"/>
      <c r="F108" s="240" t="n"/>
      <c r="G108" s="240" t="n"/>
      <c r="H108" s="241" t="n"/>
      <c r="I108" s="242" t="n"/>
      <c r="J108" s="242" t="n"/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n"/>
      <c r="C109" s="229" t="n"/>
      <c r="D109" s="229" t="n"/>
      <c r="E109" s="229" t="n"/>
      <c r="F109" s="230" t="n"/>
      <c r="G109" s="230" t="n"/>
      <c r="H109" s="231" t="n"/>
      <c r="I109" s="232" t="n"/>
      <c r="J109" s="232" t="n"/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37" t="n"/>
      <c r="B110" s="238" t="n"/>
      <c r="C110" s="239" t="n"/>
      <c r="D110" s="239" t="n"/>
      <c r="E110" s="239" t="n"/>
      <c r="F110" s="240" t="n"/>
      <c r="G110" s="240" t="n"/>
      <c r="H110" s="241" t="n"/>
      <c r="I110" s="242" t="n"/>
      <c r="J110" s="242" t="n"/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/>
      <c r="B111" s="228" t="n"/>
      <c r="C111" s="229" t="n"/>
      <c r="D111" s="229" t="n"/>
      <c r="E111" s="229" t="n"/>
      <c r="F111" s="230" t="n"/>
      <c r="G111" s="230" t="n"/>
      <c r="H111" s="231" t="n"/>
      <c r="I111" s="232" t="n"/>
      <c r="J111" s="232" t="n"/>
      <c r="K111" s="233" t="n"/>
      <c r="L111" s="233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56" t="n"/>
      <c r="N111" s="156" t="n"/>
      <c r="O111" s="156" t="n"/>
    </row>
    <row r="112" ht="18.75" customHeight="1" s="153">
      <c r="A112" s="237" t="n"/>
      <c r="B112" s="238" t="n"/>
      <c r="C112" s="239" t="n"/>
      <c r="D112" s="239" t="n"/>
      <c r="E112" s="239" t="n"/>
      <c r="F112" s="240" t="n"/>
      <c r="G112" s="240" t="n"/>
      <c r="H112" s="241" t="n"/>
      <c r="I112" s="242" t="n"/>
      <c r="J112" s="242" t="n"/>
      <c r="K112" s="233" t="n"/>
      <c r="L112" s="233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56" t="n"/>
      <c r="N112" s="156" t="n"/>
      <c r="O112" s="156" t="n"/>
    </row>
    <row r="113" ht="18.75" customHeight="1" s="153">
      <c r="A113" s="227" t="n"/>
      <c r="B113" s="228" t="n"/>
      <c r="C113" s="229" t="n"/>
      <c r="D113" s="229" t="n"/>
      <c r="E113" s="229" t="n"/>
      <c r="F113" s="230" t="n"/>
      <c r="G113" s="230" t="n"/>
      <c r="H113" s="231" t="n"/>
      <c r="I113" s="232" t="n"/>
      <c r="J113" s="232" t="n"/>
      <c r="K113" s="233" t="n"/>
      <c r="L113" s="233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56" t="n"/>
      <c r="N113" s="156" t="n"/>
      <c r="O113" s="156" t="n"/>
    </row>
    <row r="114" ht="18.75" customHeight="1" s="153">
      <c r="A114" s="237" t="n"/>
      <c r="B114" s="238" t="n"/>
      <c r="C114" s="239" t="n"/>
      <c r="D114" s="239" t="n"/>
      <c r="E114" s="239" t="n"/>
      <c r="F114" s="240" t="n"/>
      <c r="G114" s="240" t="n"/>
      <c r="H114" s="241" t="n"/>
      <c r="I114" s="242" t="n"/>
      <c r="J114" s="242" t="n"/>
      <c r="K114" s="233" t="n"/>
      <c r="L114" s="233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56" t="n"/>
      <c r="N114" s="156" t="n"/>
      <c r="O114" s="156" t="n"/>
    </row>
    <row r="115" ht="18.75" customHeight="1" s="153">
      <c r="A115" s="227" t="n"/>
      <c r="B115" s="228" t="n"/>
      <c r="C115" s="229" t="n"/>
      <c r="D115" s="229" t="n"/>
      <c r="E115" s="229" t="n"/>
      <c r="F115" s="230" t="n"/>
      <c r="G115" s="230" t="n"/>
      <c r="H115" s="231" t="n"/>
      <c r="I115" s="232" t="n"/>
      <c r="J115" s="232" t="n"/>
      <c r="K115" s="233" t="n"/>
      <c r="L115" s="233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56" t="n"/>
      <c r="N115" s="156" t="n"/>
      <c r="O115" s="156" t="n"/>
    </row>
    <row r="116" ht="18.75" customHeight="1" s="153">
      <c r="A116" s="237" t="n"/>
      <c r="B116" s="238" t="n"/>
      <c r="C116" s="239" t="n"/>
      <c r="D116" s="239" t="n"/>
      <c r="E116" s="239" t="n"/>
      <c r="F116" s="240" t="n"/>
      <c r="G116" s="240" t="n"/>
      <c r="H116" s="241" t="n"/>
      <c r="I116" s="242" t="n"/>
      <c r="J116" s="242" t="n"/>
      <c r="K116" s="233" t="n"/>
      <c r="L116" s="233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56" t="n"/>
      <c r="N116" s="156" t="n"/>
      <c r="O116" s="156" t="n"/>
    </row>
    <row r="117" ht="18.75" customHeight="1" s="153">
      <c r="A117" s="227" t="n"/>
      <c r="B117" s="228" t="n"/>
      <c r="C117" s="229" t="n"/>
      <c r="D117" s="229" t="n"/>
      <c r="E117" s="229" t="n"/>
      <c r="F117" s="230" t="n"/>
      <c r="G117" s="230" t="n"/>
      <c r="H117" s="231" t="n"/>
      <c r="I117" s="232" t="n"/>
      <c r="J117" s="232" t="n"/>
      <c r="K117" s="233" t="n"/>
      <c r="L117" s="233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56" t="n"/>
      <c r="N117" s="156" t="n"/>
      <c r="O117" s="156" t="n"/>
    </row>
    <row r="118" ht="18.75" customHeight="1" s="153">
      <c r="A118" s="237" t="n"/>
      <c r="B118" s="238" t="n"/>
      <c r="C118" s="239" t="n"/>
      <c r="D118" s="239" t="n"/>
      <c r="E118" s="239" t="n"/>
      <c r="F118" s="240" t="n"/>
      <c r="G118" s="240" t="n"/>
      <c r="H118" s="241" t="n"/>
      <c r="I118" s="242" t="n"/>
      <c r="J118" s="242" t="n"/>
      <c r="K118" s="233" t="n"/>
      <c r="L118" s="233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56" t="n"/>
      <c r="N118" s="156" t="n"/>
      <c r="O118" s="156" t="n"/>
    </row>
    <row r="119" ht="18.75" customHeight="1" s="153">
      <c r="A119" s="227" t="n"/>
      <c r="B119" s="228" t="n"/>
      <c r="C119" s="229" t="n"/>
      <c r="D119" s="229" t="n"/>
      <c r="E119" s="229" t="n"/>
      <c r="F119" s="230" t="n"/>
      <c r="G119" s="230" t="n"/>
      <c r="H119" s="231" t="n"/>
      <c r="I119" s="232" t="n"/>
      <c r="J119" s="232" t="n"/>
      <c r="K119" s="233" t="n"/>
      <c r="L119" s="233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56" t="n"/>
      <c r="N119" s="156" t="n"/>
      <c r="O119" s="156" t="n"/>
    </row>
    <row r="120" ht="18.75" customHeight="1" s="153">
      <c r="A120" s="237" t="n"/>
      <c r="B120" s="238" t="n"/>
      <c r="C120" s="239" t="n"/>
      <c r="D120" s="239" t="n"/>
      <c r="E120" s="239" t="n"/>
      <c r="F120" s="240" t="n"/>
      <c r="G120" s="240" t="n"/>
      <c r="H120" s="241" t="n"/>
      <c r="I120" s="242" t="n"/>
      <c r="J120" s="242" t="n"/>
      <c r="K120" s="233" t="n"/>
      <c r="L120" s="233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56" t="n"/>
      <c r="N120" s="156" t="n"/>
      <c r="O120" s="156" t="n"/>
    </row>
    <row r="121" ht="18.75" customHeight="1" s="153">
      <c r="A121" s="227" t="n"/>
      <c r="B121" s="228" t="n"/>
      <c r="C121" s="229" t="n"/>
      <c r="D121" s="229" t="n"/>
      <c r="E121" s="229" t="n"/>
      <c r="F121" s="230" t="n"/>
      <c r="G121" s="230" t="n"/>
      <c r="H121" s="231" t="n"/>
      <c r="I121" s="232" t="n"/>
      <c r="J121" s="232" t="n"/>
      <c r="K121" s="233" t="n"/>
      <c r="L121" s="233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56" t="n"/>
      <c r="N121" s="156" t="n"/>
      <c r="O121" s="156" t="n"/>
    </row>
    <row r="122" ht="18.75" customHeight="1" s="153">
      <c r="A122" s="237" t="n"/>
      <c r="B122" s="238" t="n"/>
      <c r="C122" s="239" t="n"/>
      <c r="D122" s="239" t="n"/>
      <c r="E122" s="239" t="n"/>
      <c r="F122" s="240" t="n"/>
      <c r="G122" s="240" t="n"/>
      <c r="H122" s="241" t="n"/>
      <c r="I122" s="242" t="n"/>
      <c r="J122" s="242" t="n"/>
      <c r="K122" s="233" t="n"/>
      <c r="L122" s="233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56" t="n"/>
      <c r="N122" s="156" t="n"/>
      <c r="O122" s="156" t="n"/>
    </row>
    <row r="123" ht="18.75" customHeight="1" s="153">
      <c r="A123" s="227" t="n"/>
      <c r="B123" s="228" t="n"/>
      <c r="C123" s="229" t="n"/>
      <c r="D123" s="229" t="n"/>
      <c r="E123" s="229" t="n"/>
      <c r="F123" s="230" t="n"/>
      <c r="G123" s="230" t="n"/>
      <c r="H123" s="231" t="n"/>
      <c r="I123" s="232" t="n"/>
      <c r="J123" s="232" t="n"/>
      <c r="K123" s="233" t="n"/>
      <c r="L123" s="233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56" t="n"/>
      <c r="N123" s="156" t="n"/>
      <c r="O123" s="156" t="n"/>
    </row>
    <row r="124" ht="18.75" customHeight="1" s="153">
      <c r="A124" s="237" t="n"/>
      <c r="B124" s="238" t="n"/>
      <c r="C124" s="239" t="n"/>
      <c r="D124" s="239" t="n"/>
      <c r="E124" s="239" t="n"/>
      <c r="F124" s="240" t="n"/>
      <c r="G124" s="240" t="n"/>
      <c r="H124" s="241" t="n"/>
      <c r="I124" s="242" t="n"/>
      <c r="J124" s="242" t="n"/>
      <c r="K124" s="233" t="n"/>
      <c r="L124" s="233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56" t="n"/>
      <c r="N124" s="156" t="n"/>
      <c r="O124" s="156" t="n"/>
    </row>
    <row r="125" ht="18.75" customHeight="1" s="153">
      <c r="A125" s="227" t="n"/>
      <c r="B125" s="228" t="n"/>
      <c r="C125" s="229" t="n"/>
      <c r="D125" s="229" t="n"/>
      <c r="E125" s="229" t="n"/>
      <c r="F125" s="230" t="n"/>
      <c r="G125" s="230" t="n"/>
      <c r="H125" s="231" t="n"/>
      <c r="I125" s="232" t="n"/>
      <c r="J125" s="232" t="n"/>
      <c r="K125" s="233" t="n"/>
      <c r="L125" s="233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56" t="n"/>
      <c r="N125" s="156" t="n"/>
      <c r="O125" s="156" t="n"/>
    </row>
    <row r="126" ht="18.75" customHeight="1" s="153">
      <c r="A126" s="237" t="n"/>
      <c r="B126" s="238" t="n"/>
      <c r="C126" s="239" t="n"/>
      <c r="D126" s="239" t="n"/>
      <c r="E126" s="239" t="n"/>
      <c r="F126" s="240" t="n"/>
      <c r="G126" s="240" t="n"/>
      <c r="H126" s="241" t="n"/>
      <c r="I126" s="242" t="n"/>
      <c r="J126" s="242" t="n"/>
      <c r="K126" s="233" t="n"/>
      <c r="L126" s="233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56" t="n"/>
      <c r="N126" s="156" t="n"/>
      <c r="O126" s="156" t="n"/>
    </row>
    <row r="127" ht="18.75" customHeight="1" s="153">
      <c r="A127" s="227" t="n"/>
      <c r="B127" s="228" t="n"/>
      <c r="C127" s="229" t="n"/>
      <c r="D127" s="229" t="n"/>
      <c r="E127" s="229" t="n"/>
      <c r="F127" s="230" t="n"/>
      <c r="G127" s="230" t="n"/>
      <c r="H127" s="231" t="n"/>
      <c r="I127" s="232" t="n"/>
      <c r="J127" s="232" t="n"/>
      <c r="K127" s="233" t="n"/>
      <c r="L127" s="233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56" t="n"/>
      <c r="N127" s="156" t="n"/>
      <c r="O127" s="156" t="n"/>
    </row>
    <row r="128" ht="18.75" customHeight="1" s="153">
      <c r="A128" s="237" t="n"/>
      <c r="B128" s="238" t="n"/>
      <c r="C128" s="239" t="n"/>
      <c r="D128" s="239" t="n"/>
      <c r="E128" s="239" t="n"/>
      <c r="F128" s="240" t="n"/>
      <c r="G128" s="240" t="n"/>
      <c r="H128" s="241" t="n"/>
      <c r="I128" s="242" t="n"/>
      <c r="J128" s="242" t="n"/>
      <c r="K128" s="233" t="n"/>
      <c r="L128" s="233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56" t="n"/>
      <c r="N128" s="156" t="n"/>
      <c r="O128" s="156" t="n"/>
    </row>
    <row r="129" ht="18.75" customHeight="1" s="153">
      <c r="A129" s="227" t="n"/>
      <c r="B129" s="228" t="n"/>
      <c r="C129" s="229" t="n"/>
      <c r="D129" s="229" t="n"/>
      <c r="E129" s="229" t="n"/>
      <c r="F129" s="230" t="n"/>
      <c r="G129" s="230" t="n"/>
      <c r="H129" s="231" t="n"/>
      <c r="I129" s="232" t="n"/>
      <c r="J129" s="232" t="n"/>
      <c r="K129" s="233" t="n"/>
      <c r="L129" s="233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56" t="n"/>
      <c r="N129" s="156" t="n"/>
      <c r="O129" s="156" t="n"/>
    </row>
    <row r="130" ht="18.75" customHeight="1" s="153">
      <c r="A130" s="237" t="n"/>
      <c r="B130" s="238" t="n"/>
      <c r="C130" s="239" t="n"/>
      <c r="D130" s="239" t="n"/>
      <c r="E130" s="239" t="n"/>
      <c r="F130" s="240" t="n"/>
      <c r="G130" s="240" t="n"/>
      <c r="H130" s="241" t="n"/>
      <c r="I130" s="242" t="n"/>
      <c r="J130" s="242" t="n"/>
      <c r="K130" s="233" t="n"/>
      <c r="L130" s="233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56" t="n"/>
      <c r="N130" s="156" t="n"/>
      <c r="O130" s="156" t="n"/>
    </row>
    <row r="131" ht="18.75" customHeight="1" s="153">
      <c r="A131" s="227" t="n"/>
      <c r="B131" s="228" t="n"/>
      <c r="C131" s="229" t="n"/>
      <c r="D131" s="229" t="n"/>
      <c r="E131" s="229" t="n"/>
      <c r="F131" s="230" t="n"/>
      <c r="G131" s="230" t="n"/>
      <c r="H131" s="231" t="n"/>
      <c r="I131" s="232" t="n"/>
      <c r="J131" s="232" t="n"/>
      <c r="K131" s="233" t="n"/>
      <c r="L131" s="233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56" t="n"/>
      <c r="N131" s="156" t="n"/>
      <c r="O131" s="156" t="n"/>
    </row>
    <row r="132" ht="18.75" customHeight="1" s="153">
      <c r="A132" s="237" t="n"/>
      <c r="B132" s="238" t="n"/>
      <c r="C132" s="239" t="n"/>
      <c r="D132" s="239" t="n"/>
      <c r="E132" s="239" t="n"/>
      <c r="F132" s="240" t="n"/>
      <c r="G132" s="240" t="n"/>
      <c r="H132" s="241" t="n"/>
      <c r="I132" s="242" t="n"/>
      <c r="J132" s="242" t="n"/>
      <c r="K132" s="233" t="n"/>
      <c r="L132" s="233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56" t="n"/>
      <c r="N132" s="156" t="n"/>
      <c r="O132" s="156" t="n"/>
    </row>
    <row r="133" ht="18.75" customHeight="1" s="153">
      <c r="A133" s="227" t="n"/>
      <c r="B133" s="228" t="n"/>
      <c r="C133" s="229" t="n"/>
      <c r="D133" s="229" t="n"/>
      <c r="E133" s="229" t="n"/>
      <c r="F133" s="230" t="n"/>
      <c r="G133" s="230" t="n"/>
      <c r="H133" s="231" t="n"/>
      <c r="I133" s="232" t="n"/>
      <c r="J133" s="232" t="n"/>
      <c r="K133" s="233" t="n"/>
      <c r="L133" s="233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56" t="n"/>
      <c r="N133" s="156" t="n"/>
      <c r="O133" s="156" t="n"/>
    </row>
    <row r="134" ht="18.75" customHeight="1" s="153">
      <c r="A134" s="237" t="n"/>
      <c r="B134" s="238" t="n"/>
      <c r="C134" s="239" t="n"/>
      <c r="D134" s="239" t="n"/>
      <c r="E134" s="239" t="n"/>
      <c r="F134" s="240" t="n"/>
      <c r="G134" s="240" t="n"/>
      <c r="H134" s="241" t="n"/>
      <c r="I134" s="242" t="n"/>
      <c r="J134" s="242" t="n"/>
      <c r="K134" s="233" t="n"/>
      <c r="L134" s="233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56" t="n"/>
      <c r="N134" s="156" t="n"/>
      <c r="O134" s="156" t="n"/>
    </row>
    <row r="135" ht="18.75" customHeight="1" s="153">
      <c r="A135" s="227" t="n"/>
      <c r="B135" s="228" t="n"/>
      <c r="C135" s="229" t="n"/>
      <c r="D135" s="229" t="n"/>
      <c r="E135" s="229" t="n"/>
      <c r="F135" s="230" t="n"/>
      <c r="G135" s="230" t="n"/>
      <c r="H135" s="231" t="n"/>
      <c r="I135" s="232" t="n"/>
      <c r="J135" s="232" t="n"/>
      <c r="K135" s="233" t="n"/>
      <c r="L135" s="233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56" t="n"/>
      <c r="N135" s="156" t="n"/>
      <c r="O135" s="156" t="n"/>
    </row>
    <row r="136" ht="18.75" customHeight="1" s="153">
      <c r="A136" s="237" t="n"/>
      <c r="B136" s="238" t="n"/>
      <c r="C136" s="239" t="n"/>
      <c r="D136" s="239" t="n"/>
      <c r="E136" s="239" t="n"/>
      <c r="F136" s="240" t="n"/>
      <c r="G136" s="240" t="n"/>
      <c r="H136" s="241" t="n"/>
      <c r="I136" s="242" t="n"/>
      <c r="J136" s="242" t="n"/>
      <c r="K136" s="233" t="n"/>
      <c r="L136" s="233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56" t="n"/>
      <c r="N136" s="156" t="n"/>
      <c r="O136" s="156" t="n"/>
    </row>
    <row r="137" ht="18.75" customHeight="1" s="153">
      <c r="A137" s="227" t="n"/>
      <c r="B137" s="228" t="n"/>
      <c r="C137" s="229" t="n"/>
      <c r="D137" s="229" t="n"/>
      <c r="E137" s="229" t="n"/>
      <c r="F137" s="230" t="n"/>
      <c r="G137" s="230" t="n"/>
      <c r="H137" s="231" t="n"/>
      <c r="I137" s="232" t="n"/>
      <c r="J137" s="232" t="n"/>
      <c r="K137" s="233" t="n"/>
      <c r="L137" s="233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56" t="n"/>
      <c r="N137" s="156" t="n"/>
      <c r="O137" s="156" t="n"/>
    </row>
    <row r="138" ht="18.75" customHeight="1" s="153">
      <c r="A138" s="237" t="n"/>
      <c r="B138" s="238" t="n"/>
      <c r="C138" s="239" t="n"/>
      <c r="D138" s="239" t="n"/>
      <c r="E138" s="239" t="n"/>
      <c r="F138" s="240" t="n"/>
      <c r="G138" s="240" t="n"/>
      <c r="H138" s="241" t="n"/>
      <c r="I138" s="242" t="n"/>
      <c r="J138" s="242" t="n"/>
      <c r="K138" s="233" t="n"/>
      <c r="L138" s="233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56" t="n"/>
      <c r="N138" s="156" t="n"/>
      <c r="O138" s="156" t="n"/>
    </row>
    <row r="139" ht="18.75" customHeight="1" s="153">
      <c r="A139" s="227" t="n"/>
      <c r="B139" s="228" t="n"/>
      <c r="C139" s="229" t="n"/>
      <c r="D139" s="229" t="n"/>
      <c r="E139" s="229" t="n"/>
      <c r="F139" s="230" t="n"/>
      <c r="G139" s="230" t="n"/>
      <c r="H139" s="231" t="n"/>
      <c r="I139" s="232" t="n"/>
      <c r="J139" s="232" t="n"/>
      <c r="K139" s="233" t="n"/>
      <c r="L139" s="233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56" t="n"/>
      <c r="N139" s="156" t="n"/>
      <c r="O139" s="156" t="n"/>
    </row>
    <row r="140" ht="18.75" customHeight="1" s="153">
      <c r="A140" s="237" t="n"/>
      <c r="B140" s="238" t="n"/>
      <c r="C140" s="239" t="n"/>
      <c r="D140" s="239" t="n"/>
      <c r="E140" s="239" t="n"/>
      <c r="F140" s="240" t="n"/>
      <c r="G140" s="240" t="n"/>
      <c r="H140" s="241" t="n"/>
      <c r="I140" s="242" t="n"/>
      <c r="J140" s="242" t="n"/>
      <c r="K140" s="233" t="n"/>
      <c r="L140" s="233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56" t="n"/>
      <c r="N140" s="156" t="n"/>
      <c r="O140" s="156" t="n"/>
    </row>
    <row r="141" ht="18.75" customHeight="1" s="153">
      <c r="A141" s="227" t="n"/>
      <c r="B141" s="228" t="n"/>
      <c r="C141" s="229" t="n"/>
      <c r="D141" s="229" t="n"/>
      <c r="E141" s="229" t="n"/>
      <c r="F141" s="230" t="n"/>
      <c r="G141" s="230" t="n"/>
      <c r="H141" s="231" t="n"/>
      <c r="I141" s="232" t="n"/>
      <c r="J141" s="232" t="n"/>
      <c r="K141" s="233" t="n"/>
      <c r="L141" s="233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56" t="n"/>
      <c r="N141" s="156" t="n"/>
      <c r="O141" s="156" t="n"/>
    </row>
    <row r="142" ht="18.75" customHeight="1" s="153">
      <c r="A142" s="237" t="n"/>
      <c r="B142" s="238" t="n"/>
      <c r="C142" s="239" t="n"/>
      <c r="D142" s="239" t="n"/>
      <c r="E142" s="239" t="n"/>
      <c r="F142" s="240" t="n"/>
      <c r="G142" s="240" t="n"/>
      <c r="H142" s="241" t="n"/>
      <c r="I142" s="242" t="n"/>
      <c r="J142" s="242" t="n"/>
      <c r="K142" s="233" t="n"/>
      <c r="L142" s="233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56" t="n"/>
      <c r="N142" s="156" t="n"/>
      <c r="O142" s="156" t="n"/>
    </row>
    <row r="143" ht="18.75" customHeight="1" s="153">
      <c r="A143" s="227" t="n"/>
      <c r="B143" s="228" t="n"/>
      <c r="C143" s="229" t="n"/>
      <c r="D143" s="229" t="n"/>
      <c r="E143" s="229" t="n"/>
      <c r="F143" s="230" t="n"/>
      <c r="G143" s="230" t="n"/>
      <c r="H143" s="231" t="n"/>
      <c r="I143" s="232" t="n"/>
      <c r="J143" s="232" t="n"/>
      <c r="K143" s="233" t="n"/>
      <c r="L143" s="233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56" t="n"/>
      <c r="N143" s="156" t="n"/>
      <c r="O143" s="156" t="n"/>
    </row>
    <row r="144" ht="18.75" customHeight="1" s="153">
      <c r="A144" s="237" t="n"/>
      <c r="B144" s="238" t="n"/>
      <c r="C144" s="239" t="n"/>
      <c r="D144" s="239" t="n"/>
      <c r="E144" s="239" t="n"/>
      <c r="F144" s="240" t="n"/>
      <c r="G144" s="240" t="n"/>
      <c r="H144" s="241" t="n"/>
      <c r="I144" s="242" t="n"/>
      <c r="J144" s="242" t="n"/>
      <c r="K144" s="233" t="n"/>
      <c r="L144" s="233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56" t="n"/>
      <c r="N144" s="156" t="n"/>
      <c r="O144" s="156" t="n"/>
    </row>
    <row r="145" ht="18.75" customHeight="1" s="153">
      <c r="A145" s="227" t="n"/>
      <c r="B145" s="228" t="n"/>
      <c r="C145" s="229" t="n"/>
      <c r="D145" s="229" t="n"/>
      <c r="E145" s="229" t="n"/>
      <c r="F145" s="230" t="n"/>
      <c r="G145" s="230" t="n"/>
      <c r="H145" s="231" t="n"/>
      <c r="I145" s="232" t="n"/>
      <c r="J145" s="232" t="n"/>
      <c r="K145" s="233" t="n"/>
      <c r="L145" s="233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56" t="n"/>
      <c r="N145" s="156" t="n"/>
      <c r="O145" s="156" t="n"/>
    </row>
    <row r="146" ht="18.75" customHeight="1" s="153">
      <c r="A146" s="237" t="n"/>
      <c r="B146" s="238" t="n"/>
      <c r="C146" s="239" t="n"/>
      <c r="D146" s="239" t="n"/>
      <c r="E146" s="239" t="n"/>
      <c r="F146" s="240" t="n"/>
      <c r="G146" s="240" t="n"/>
      <c r="H146" s="241" t="n"/>
      <c r="I146" s="242" t="n"/>
      <c r="J146" s="242" t="n"/>
      <c r="K146" s="233" t="n"/>
      <c r="L146" s="233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56" t="n"/>
      <c r="N146" s="156" t="n"/>
      <c r="O146" s="156" t="n"/>
    </row>
    <row r="147" ht="18.75" customHeight="1" s="153">
      <c r="A147" s="227" t="n"/>
      <c r="B147" s="228" t="n"/>
      <c r="C147" s="229" t="n"/>
      <c r="D147" s="229" t="n"/>
      <c r="E147" s="229" t="n"/>
      <c r="F147" s="230" t="n"/>
      <c r="G147" s="230" t="n"/>
      <c r="H147" s="231" t="n"/>
      <c r="I147" s="232" t="n"/>
      <c r="J147" s="232" t="n"/>
      <c r="K147" s="233" t="n"/>
      <c r="L147" s="233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56" t="n"/>
      <c r="N147" s="156" t="n"/>
      <c r="O147" s="156" t="n"/>
    </row>
    <row r="148" ht="18.75" customHeight="1" s="153">
      <c r="A148" s="237" t="n"/>
      <c r="B148" s="238" t="n"/>
      <c r="C148" s="239" t="n"/>
      <c r="D148" s="239" t="n"/>
      <c r="E148" s="239" t="n"/>
      <c r="F148" s="240" t="n"/>
      <c r="G148" s="240" t="n"/>
      <c r="H148" s="241" t="n"/>
      <c r="I148" s="242" t="n"/>
      <c r="J148" s="242" t="n"/>
      <c r="K148" s="233" t="n"/>
      <c r="L148" s="233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56" t="n"/>
      <c r="N148" s="156" t="n"/>
      <c r="O148" s="156" t="n"/>
    </row>
    <row r="149" ht="18.75" customHeight="1" s="153">
      <c r="A149" s="227" t="n"/>
      <c r="B149" s="228" t="n"/>
      <c r="C149" s="229" t="n"/>
      <c r="D149" s="229" t="n"/>
      <c r="E149" s="229" t="n"/>
      <c r="F149" s="230" t="n"/>
      <c r="G149" s="230" t="n"/>
      <c r="H149" s="231" t="n"/>
      <c r="I149" s="232" t="n"/>
      <c r="J149" s="232" t="n"/>
      <c r="K149" s="233" t="n"/>
      <c r="L149" s="233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56" t="n"/>
      <c r="N149" s="156" t="n"/>
      <c r="O149" s="156" t="n"/>
    </row>
    <row r="150" ht="18.75" customHeight="1" s="153">
      <c r="A150" s="237" t="n"/>
      <c r="B150" s="238" t="n"/>
      <c r="C150" s="239" t="n"/>
      <c r="D150" s="239" t="n"/>
      <c r="E150" s="239" t="n"/>
      <c r="F150" s="240" t="n"/>
      <c r="G150" s="240" t="n"/>
      <c r="H150" s="241" t="n"/>
      <c r="I150" s="242" t="n"/>
      <c r="J150" s="242" t="n"/>
      <c r="K150" s="233" t="n"/>
      <c r="L150" s="233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56" t="n"/>
      <c r="N150" s="156" t="n"/>
      <c r="O150" s="156" t="n"/>
    </row>
    <row r="151" ht="18.75" customHeight="1" s="153">
      <c r="A151" s="227" t="n"/>
      <c r="B151" s="228" t="n"/>
      <c r="C151" s="229" t="n"/>
      <c r="D151" s="229" t="n"/>
      <c r="E151" s="229" t="n"/>
      <c r="F151" s="230" t="n"/>
      <c r="G151" s="230" t="n"/>
      <c r="H151" s="231" t="n"/>
      <c r="I151" s="232" t="n"/>
      <c r="J151" s="232" t="n"/>
      <c r="K151" s="233" t="n"/>
      <c r="L151" s="233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56" t="n"/>
      <c r="N151" s="156" t="n"/>
      <c r="O151" s="156" t="n"/>
    </row>
    <row r="152" ht="18.75" customHeight="1" s="153">
      <c r="A152" s="237" t="n"/>
      <c r="B152" s="238" t="n"/>
      <c r="C152" s="239" t="n"/>
      <c r="D152" s="239" t="n"/>
      <c r="E152" s="239" t="n"/>
      <c r="F152" s="240" t="n"/>
      <c r="G152" s="240" t="n"/>
      <c r="H152" s="241" t="n"/>
      <c r="I152" s="242" t="n"/>
      <c r="J152" s="242" t="n"/>
      <c r="K152" s="233" t="n"/>
      <c r="L152" s="233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56" t="n"/>
      <c r="N152" s="156" t="n"/>
      <c r="O152" s="156" t="n"/>
    </row>
    <row r="153" ht="18.75" customHeight="1" s="153">
      <c r="A153" s="227" t="n"/>
      <c r="B153" s="228" t="n"/>
      <c r="C153" s="229" t="n"/>
      <c r="D153" s="229" t="n"/>
      <c r="E153" s="229" t="n"/>
      <c r="F153" s="230" t="n"/>
      <c r="G153" s="230" t="n"/>
      <c r="H153" s="231" t="n"/>
      <c r="I153" s="232" t="n"/>
      <c r="J153" s="232" t="n"/>
      <c r="K153" s="233" t="n"/>
      <c r="L153" s="233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56" t="n"/>
      <c r="N153" s="156" t="n"/>
      <c r="O153" s="156" t="n"/>
    </row>
    <row r="154" ht="18.75" customHeight="1" s="153">
      <c r="A154" s="237" t="n"/>
      <c r="B154" s="238" t="n"/>
      <c r="C154" s="239" t="n"/>
      <c r="D154" s="239" t="n"/>
      <c r="E154" s="239" t="n"/>
      <c r="F154" s="240" t="n"/>
      <c r="G154" s="240" t="n"/>
      <c r="H154" s="241" t="n"/>
      <c r="I154" s="242" t="n"/>
      <c r="J154" s="242" t="n"/>
      <c r="K154" s="233" t="n"/>
      <c r="L154" s="233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56" t="n"/>
      <c r="N154" s="156" t="n"/>
      <c r="O154" s="156" t="n"/>
    </row>
    <row r="155" ht="18.75" customHeight="1" s="153">
      <c r="A155" s="227" t="n"/>
      <c r="B155" s="228" t="n"/>
      <c r="C155" s="229" t="n"/>
      <c r="D155" s="229" t="n"/>
      <c r="E155" s="229" t="n"/>
      <c r="F155" s="230" t="n"/>
      <c r="G155" s="230" t="n"/>
      <c r="H155" s="231" t="n"/>
      <c r="I155" s="232" t="n"/>
      <c r="J155" s="232" t="n"/>
      <c r="K155" s="233" t="n"/>
      <c r="L155" s="233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56" t="n"/>
      <c r="N155" s="156" t="n"/>
      <c r="O155" s="156" t="n"/>
    </row>
    <row r="156" ht="18.75" customHeight="1" s="153">
      <c r="A156" s="237" t="n"/>
      <c r="B156" s="238" t="n"/>
      <c r="C156" s="239" t="n"/>
      <c r="D156" s="239" t="n"/>
      <c r="E156" s="239" t="n"/>
      <c r="F156" s="240" t="n"/>
      <c r="G156" s="240" t="n"/>
      <c r="H156" s="241" t="n"/>
      <c r="I156" s="242" t="n"/>
      <c r="J156" s="242" t="n"/>
      <c r="K156" s="233" t="n"/>
      <c r="L156" s="233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56" t="n"/>
      <c r="N156" s="156" t="n"/>
      <c r="O156" s="156" t="n"/>
    </row>
    <row r="157" ht="18.75" customHeight="1" s="153">
      <c r="A157" s="227" t="n"/>
      <c r="B157" s="228" t="n"/>
      <c r="C157" s="229" t="n"/>
      <c r="D157" s="229" t="n"/>
      <c r="E157" s="229" t="n"/>
      <c r="F157" s="230" t="n"/>
      <c r="G157" s="230" t="n"/>
      <c r="H157" s="231" t="n"/>
      <c r="I157" s="232" t="n"/>
      <c r="J157" s="232" t="n"/>
      <c r="K157" s="233" t="n"/>
      <c r="L157" s="233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56" t="n"/>
      <c r="N157" s="156" t="n"/>
      <c r="O157" s="156" t="n"/>
    </row>
    <row r="158" ht="18.75" customHeight="1" s="153">
      <c r="A158" s="237" t="n"/>
      <c r="B158" s="238" t="n"/>
      <c r="C158" s="239" t="n"/>
      <c r="D158" s="239" t="n"/>
      <c r="E158" s="239" t="n"/>
      <c r="F158" s="240" t="n"/>
      <c r="G158" s="240" t="n"/>
      <c r="H158" s="241" t="n"/>
      <c r="I158" s="242" t="n"/>
      <c r="J158" s="242" t="n"/>
      <c r="K158" s="233" t="n"/>
      <c r="L158" s="233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56" t="n"/>
      <c r="N158" s="156" t="n"/>
      <c r="O158" s="156" t="n"/>
    </row>
    <row r="159" ht="18.75" customHeight="1" s="153">
      <c r="A159" s="227" t="n"/>
      <c r="B159" s="228" t="n"/>
      <c r="C159" s="229" t="n"/>
      <c r="D159" s="229" t="n"/>
      <c r="E159" s="229" t="n"/>
      <c r="F159" s="230" t="n"/>
      <c r="G159" s="230" t="n"/>
      <c r="H159" s="231" t="n"/>
      <c r="I159" s="232" t="n"/>
      <c r="J159" s="232" t="n"/>
      <c r="K159" s="233" t="n"/>
      <c r="L159" s="233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56" t="n"/>
      <c r="N159" s="156" t="n"/>
      <c r="O159" s="156" t="n"/>
    </row>
    <row r="160" ht="18.75" customHeight="1" s="153">
      <c r="A160" s="237" t="n"/>
      <c r="B160" s="238" t="n"/>
      <c r="C160" s="239" t="n"/>
      <c r="D160" s="239" t="n"/>
      <c r="E160" s="239" t="n"/>
      <c r="F160" s="240" t="n"/>
      <c r="G160" s="240" t="n"/>
      <c r="H160" s="241" t="n"/>
      <c r="I160" s="242" t="n"/>
      <c r="J160" s="242" t="n"/>
      <c r="K160" s="233" t="n"/>
      <c r="L160" s="233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56" t="n"/>
      <c r="N160" s="156" t="n"/>
      <c r="O160" s="156" t="n"/>
    </row>
    <row r="161" ht="18.75" customHeight="1" s="153">
      <c r="A161" s="227" t="n"/>
      <c r="B161" s="228" t="n"/>
      <c r="C161" s="229" t="n"/>
      <c r="D161" s="229" t="n"/>
      <c r="E161" s="229" t="n"/>
      <c r="F161" s="230" t="n"/>
      <c r="G161" s="230" t="n"/>
      <c r="H161" s="231" t="n"/>
      <c r="I161" s="232" t="n"/>
      <c r="J161" s="232" t="n"/>
      <c r="K161" s="233" t="n"/>
      <c r="L161" s="233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56" t="n"/>
      <c r="N161" s="156" t="n"/>
      <c r="O161" s="156" t="n"/>
    </row>
    <row r="162" ht="18.75" customHeight="1" s="153">
      <c r="A162" s="237" t="n"/>
      <c r="B162" s="238" t="n"/>
      <c r="C162" s="239" t="n"/>
      <c r="D162" s="239" t="n"/>
      <c r="E162" s="239" t="n"/>
      <c r="F162" s="240" t="n"/>
      <c r="G162" s="240" t="n"/>
      <c r="H162" s="241" t="n"/>
      <c r="I162" s="242" t="n"/>
      <c r="J162" s="242" t="n"/>
      <c r="K162" s="233" t="n"/>
      <c r="L162" s="233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56" t="n"/>
      <c r="N162" s="156" t="n"/>
      <c r="O162" s="156" t="n"/>
    </row>
    <row r="163" ht="18.75" customHeight="1" s="153">
      <c r="A163" s="227" t="n"/>
      <c r="B163" s="228" t="n"/>
      <c r="C163" s="229" t="n"/>
      <c r="D163" s="229" t="n"/>
      <c r="E163" s="229" t="n"/>
      <c r="F163" s="230" t="n"/>
      <c r="G163" s="230" t="n"/>
      <c r="H163" s="231" t="n"/>
      <c r="I163" s="232" t="n"/>
      <c r="J163" s="232" t="n"/>
      <c r="K163" s="233" t="n"/>
      <c r="L163" s="233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56" t="n"/>
      <c r="N163" s="156" t="n"/>
      <c r="O163" s="156" t="n"/>
    </row>
    <row r="164" ht="18.75" customHeight="1" s="153">
      <c r="A164" s="237" t="n"/>
      <c r="B164" s="238" t="n"/>
      <c r="C164" s="239" t="n"/>
      <c r="D164" s="239" t="n"/>
      <c r="E164" s="239" t="n"/>
      <c r="F164" s="240" t="n"/>
      <c r="G164" s="240" t="n"/>
      <c r="H164" s="241" t="n"/>
      <c r="I164" s="242" t="n"/>
      <c r="J164" s="242" t="n"/>
      <c r="K164" s="233" t="n"/>
      <c r="L164" s="233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56" t="n"/>
      <c r="N164" s="156" t="n"/>
      <c r="O164" s="156" t="n"/>
    </row>
    <row r="165" ht="18.75" customHeight="1" s="153">
      <c r="A165" s="227" t="n"/>
      <c r="B165" s="228" t="n"/>
      <c r="C165" s="229" t="n"/>
      <c r="D165" s="229" t="n"/>
      <c r="E165" s="229" t="n"/>
      <c r="F165" s="230" t="n"/>
      <c r="G165" s="230" t="n"/>
      <c r="H165" s="231" t="n"/>
      <c r="I165" s="232" t="n"/>
      <c r="J165" s="232" t="n"/>
      <c r="K165" s="233" t="n"/>
      <c r="L165" s="233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56" t="n"/>
      <c r="N165" s="156" t="n"/>
      <c r="O165" s="156" t="n"/>
    </row>
    <row r="166" ht="18.75" customHeight="1" s="153">
      <c r="A166" s="237" t="n"/>
      <c r="B166" s="238" t="n"/>
      <c r="C166" s="239" t="n"/>
      <c r="D166" s="239" t="n"/>
      <c r="E166" s="239" t="n"/>
      <c r="F166" s="240" t="n"/>
      <c r="G166" s="240" t="n"/>
      <c r="H166" s="241" t="n"/>
      <c r="I166" s="242" t="n"/>
      <c r="J166" s="242" t="n"/>
      <c r="K166" s="233" t="n"/>
      <c r="L166" s="233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56" t="n"/>
      <c r="N166" s="156" t="n"/>
      <c r="O166" s="156" t="n"/>
    </row>
    <row r="167" ht="18.75" customHeight="1" s="153">
      <c r="A167" s="227" t="n"/>
      <c r="B167" s="228" t="n"/>
      <c r="C167" s="229" t="n"/>
      <c r="D167" s="229" t="n"/>
      <c r="E167" s="229" t="n"/>
      <c r="F167" s="230" t="n"/>
      <c r="G167" s="230" t="n"/>
      <c r="H167" s="231" t="n"/>
      <c r="I167" s="232" t="n"/>
      <c r="J167" s="232" t="n"/>
      <c r="K167" s="233" t="n"/>
      <c r="L167" s="233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56" t="n"/>
      <c r="N167" s="156" t="n"/>
      <c r="O167" s="156" t="n"/>
    </row>
    <row r="168" ht="18.75" customHeight="1" s="153">
      <c r="A168" s="237" t="n"/>
      <c r="B168" s="238" t="n"/>
      <c r="C168" s="239" t="n"/>
      <c r="D168" s="239" t="n"/>
      <c r="E168" s="239" t="n"/>
      <c r="F168" s="240" t="n"/>
      <c r="G168" s="240" t="n"/>
      <c r="H168" s="241" t="n"/>
      <c r="I168" s="242" t="n"/>
      <c r="J168" s="242" t="n"/>
      <c r="K168" s="233" t="n"/>
      <c r="L168" s="233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56" t="n"/>
      <c r="N168" s="156" t="n"/>
      <c r="O168" s="156" t="n"/>
    </row>
    <row r="169" ht="18.75" customHeight="1" s="153">
      <c r="A169" s="227" t="n"/>
      <c r="B169" s="228" t="n"/>
      <c r="C169" s="229" t="n"/>
      <c r="D169" s="229" t="n"/>
      <c r="E169" s="229" t="n"/>
      <c r="F169" s="230" t="n"/>
      <c r="G169" s="230" t="n"/>
      <c r="H169" s="231" t="n"/>
      <c r="I169" s="232" t="n"/>
      <c r="J169" s="232" t="n"/>
      <c r="K169" s="233" t="n"/>
      <c r="L169" s="233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56" t="n"/>
      <c r="N169" s="156" t="n"/>
      <c r="O169" s="156" t="n"/>
    </row>
    <row r="170" ht="18.75" customHeight="1" s="153">
      <c r="A170" s="237" t="n"/>
      <c r="B170" s="238" t="n"/>
      <c r="C170" s="239" t="n"/>
      <c r="D170" s="239" t="n"/>
      <c r="E170" s="239" t="n"/>
      <c r="F170" s="240" t="n"/>
      <c r="G170" s="240" t="n"/>
      <c r="H170" s="241" t="n"/>
      <c r="I170" s="242" t="n"/>
      <c r="J170" s="242" t="n"/>
      <c r="K170" s="233" t="n"/>
      <c r="L170" s="233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56" t="n"/>
      <c r="N170" s="156" t="n"/>
      <c r="O170" s="156" t="n"/>
    </row>
    <row r="171" ht="18.75" customHeight="1" s="153">
      <c r="A171" s="227" t="n"/>
      <c r="B171" s="228" t="n"/>
      <c r="C171" s="229" t="n"/>
      <c r="D171" s="229" t="n"/>
      <c r="E171" s="229" t="n"/>
      <c r="F171" s="230" t="n"/>
      <c r="G171" s="230" t="n"/>
      <c r="H171" s="231" t="n"/>
      <c r="I171" s="232" t="n"/>
      <c r="J171" s="232" t="n"/>
      <c r="K171" s="233" t="n"/>
      <c r="L171" s="233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56" t="n"/>
      <c r="N171" s="156" t="n"/>
      <c r="O171" s="156" t="n"/>
    </row>
    <row r="172" ht="18.75" customHeight="1" s="153">
      <c r="A172" s="237" t="n"/>
      <c r="B172" s="238" t="n"/>
      <c r="C172" s="239" t="n"/>
      <c r="D172" s="239" t="n"/>
      <c r="E172" s="239" t="n"/>
      <c r="F172" s="240" t="n"/>
      <c r="G172" s="240" t="n"/>
      <c r="H172" s="241" t="n"/>
      <c r="I172" s="242" t="n"/>
      <c r="J172" s="242" t="n"/>
      <c r="K172" s="233" t="n"/>
      <c r="L172" s="233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56" t="n"/>
      <c r="N172" s="156" t="n"/>
      <c r="O172" s="156" t="n"/>
    </row>
    <row r="173" ht="18.75" customHeight="1" s="153">
      <c r="A173" s="227" t="n"/>
      <c r="B173" s="228" t="n"/>
      <c r="C173" s="229" t="n"/>
      <c r="D173" s="229" t="n"/>
      <c r="E173" s="229" t="n"/>
      <c r="F173" s="230" t="n"/>
      <c r="G173" s="230" t="n"/>
      <c r="H173" s="231" t="n"/>
      <c r="I173" s="232" t="n"/>
      <c r="J173" s="232" t="n"/>
      <c r="K173" s="233" t="n"/>
      <c r="L173" s="233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56" t="n"/>
      <c r="N173" s="156" t="n"/>
      <c r="O173" s="156" t="n"/>
    </row>
    <row r="174" ht="18.75" customHeight="1" s="153">
      <c r="A174" s="237" t="n"/>
      <c r="B174" s="238" t="n"/>
      <c r="C174" s="239" t="n"/>
      <c r="D174" s="239" t="n"/>
      <c r="E174" s="239" t="n"/>
      <c r="F174" s="240" t="n"/>
      <c r="G174" s="240" t="n"/>
      <c r="H174" s="241" t="n"/>
      <c r="I174" s="242" t="n"/>
      <c r="J174" s="242" t="n"/>
      <c r="K174" s="233" t="n"/>
      <c r="L174" s="233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56" t="n"/>
      <c r="N174" s="156" t="n"/>
      <c r="O174" s="156" t="n"/>
    </row>
    <row r="175" ht="18.75" customHeight="1" s="153">
      <c r="A175" s="227" t="n"/>
      <c r="B175" s="228" t="n"/>
      <c r="C175" s="229" t="n"/>
      <c r="D175" s="229" t="n"/>
      <c r="E175" s="229" t="n"/>
      <c r="F175" s="230" t="n"/>
      <c r="G175" s="230" t="n"/>
      <c r="H175" s="231" t="n"/>
      <c r="I175" s="232" t="n"/>
      <c r="J175" s="232" t="n"/>
      <c r="K175" s="233" t="n"/>
      <c r="L175" s="233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56" t="n"/>
      <c r="N175" s="156" t="n"/>
      <c r="O175" s="156" t="n"/>
    </row>
    <row r="176" ht="18.75" customHeight="1" s="153">
      <c r="A176" s="237" t="n"/>
      <c r="B176" s="238" t="n"/>
      <c r="C176" s="239" t="n"/>
      <c r="D176" s="239" t="n"/>
      <c r="E176" s="239" t="n"/>
      <c r="F176" s="240" t="n"/>
      <c r="G176" s="240" t="n"/>
      <c r="H176" s="241" t="n"/>
      <c r="I176" s="242" t="n"/>
      <c r="J176" s="242" t="n"/>
      <c r="K176" s="233" t="n"/>
      <c r="L176" s="233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56" t="n"/>
      <c r="N176" s="156" t="n"/>
      <c r="O176" s="156" t="n"/>
    </row>
    <row r="177" ht="18.75" customHeight="1" s="153">
      <c r="A177" s="227" t="n"/>
      <c r="B177" s="228" t="n"/>
      <c r="C177" s="229" t="n"/>
      <c r="D177" s="229" t="n"/>
      <c r="E177" s="229" t="n"/>
      <c r="F177" s="230" t="n"/>
      <c r="G177" s="230" t="n"/>
      <c r="H177" s="231" t="n"/>
      <c r="I177" s="232" t="n"/>
      <c r="J177" s="232" t="n"/>
      <c r="K177" s="233" t="n"/>
      <c r="L177" s="233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56" t="n"/>
      <c r="N177" s="156" t="n"/>
      <c r="O177" s="156" t="n"/>
    </row>
    <row r="178" ht="18.75" customHeight="1" s="153">
      <c r="A178" s="237" t="n"/>
      <c r="B178" s="238" t="n"/>
      <c r="C178" s="239" t="n"/>
      <c r="D178" s="239" t="n"/>
      <c r="E178" s="239" t="n"/>
      <c r="F178" s="240" t="n"/>
      <c r="G178" s="240" t="n"/>
      <c r="H178" s="241" t="n"/>
      <c r="I178" s="242" t="n"/>
      <c r="J178" s="242" t="n"/>
      <c r="K178" s="233" t="n"/>
      <c r="L178" s="233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56" t="n"/>
      <c r="N178" s="156" t="n"/>
      <c r="O178" s="156" t="n"/>
    </row>
    <row r="179" ht="18.75" customHeight="1" s="153">
      <c r="A179" s="227" t="n"/>
      <c r="B179" s="228" t="n"/>
      <c r="C179" s="229" t="n"/>
      <c r="D179" s="229" t="n"/>
      <c r="E179" s="229" t="n"/>
      <c r="F179" s="230" t="n"/>
      <c r="G179" s="230" t="n"/>
      <c r="H179" s="231" t="n"/>
      <c r="I179" s="232" t="n"/>
      <c r="J179" s="232" t="n"/>
      <c r="K179" s="233" t="n"/>
      <c r="L179" s="233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56" t="n"/>
      <c r="N179" s="156" t="n"/>
      <c r="O179" s="156" t="n"/>
    </row>
    <row r="180" ht="18.75" customHeight="1" s="153">
      <c r="A180" s="237" t="n"/>
      <c r="B180" s="238" t="n"/>
      <c r="C180" s="239" t="n"/>
      <c r="D180" s="239" t="n"/>
      <c r="E180" s="239" t="n"/>
      <c r="F180" s="240" t="n"/>
      <c r="G180" s="240" t="n"/>
      <c r="H180" s="241" t="n"/>
      <c r="I180" s="242" t="n"/>
      <c r="J180" s="242" t="n"/>
      <c r="K180" s="233" t="n"/>
      <c r="L180" s="233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56" t="n"/>
      <c r="N180" s="156" t="n"/>
      <c r="O180" s="156" t="n"/>
    </row>
    <row r="181" ht="18.75" customHeight="1" s="153">
      <c r="A181" s="227" t="n"/>
      <c r="B181" s="228" t="n"/>
      <c r="C181" s="229" t="n"/>
      <c r="D181" s="229" t="n"/>
      <c r="E181" s="229" t="n"/>
      <c r="F181" s="230" t="n"/>
      <c r="G181" s="230" t="n"/>
      <c r="H181" s="231" t="n"/>
      <c r="I181" s="232" t="n"/>
      <c r="J181" s="232" t="n"/>
      <c r="K181" s="233" t="n"/>
      <c r="L181" s="233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56" t="n"/>
      <c r="N181" s="156" t="n"/>
      <c r="O181" s="156" t="n"/>
    </row>
    <row r="182" ht="18.75" customHeight="1" s="153">
      <c r="A182" s="237" t="n"/>
      <c r="B182" s="238" t="n"/>
      <c r="C182" s="239" t="n"/>
      <c r="D182" s="239" t="n"/>
      <c r="E182" s="239" t="n"/>
      <c r="F182" s="240" t="n"/>
      <c r="G182" s="240" t="n"/>
      <c r="H182" s="241" t="n"/>
      <c r="I182" s="242" t="n"/>
      <c r="J182" s="242" t="n"/>
      <c r="K182" s="233" t="n"/>
      <c r="L182" s="233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56" t="n"/>
      <c r="N182" s="156" t="n"/>
      <c r="O182" s="156" t="n"/>
    </row>
    <row r="183" ht="18.75" customHeight="1" s="153">
      <c r="A183" s="227" t="n"/>
      <c r="B183" s="228" t="n"/>
      <c r="C183" s="229" t="n"/>
      <c r="D183" s="229" t="n"/>
      <c r="E183" s="229" t="n"/>
      <c r="F183" s="230" t="n"/>
      <c r="G183" s="230" t="n"/>
      <c r="H183" s="231" t="n"/>
      <c r="I183" s="232" t="n"/>
      <c r="J183" s="232" t="n"/>
      <c r="K183" s="233" t="n"/>
      <c r="L183" s="233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56" t="n"/>
      <c r="N183" s="156" t="n"/>
      <c r="O183" s="156" t="n"/>
    </row>
    <row r="184" ht="18.75" customHeight="1" s="153">
      <c r="A184" s="237" t="n"/>
      <c r="B184" s="238" t="n"/>
      <c r="C184" s="239" t="n"/>
      <c r="D184" s="239" t="n"/>
      <c r="E184" s="239" t="n"/>
      <c r="F184" s="240" t="n"/>
      <c r="G184" s="240" t="n"/>
      <c r="H184" s="241" t="n"/>
      <c r="I184" s="242" t="n"/>
      <c r="J184" s="242" t="n"/>
      <c r="K184" s="233" t="n"/>
      <c r="L184" s="233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56" t="n"/>
      <c r="N184" s="156" t="n"/>
      <c r="O184" s="156" t="n"/>
    </row>
    <row r="185" ht="18.75" customHeight="1" s="153">
      <c r="A185" s="227" t="n"/>
      <c r="B185" s="228" t="n"/>
      <c r="C185" s="229" t="n"/>
      <c r="D185" s="229" t="n"/>
      <c r="E185" s="229" t="n"/>
      <c r="F185" s="230" t="n"/>
      <c r="G185" s="230" t="n"/>
      <c r="H185" s="231" t="n"/>
      <c r="I185" s="232" t="n"/>
      <c r="J185" s="232" t="n"/>
      <c r="K185" s="233" t="n"/>
      <c r="L185" s="233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56" t="n"/>
      <c r="N185" s="156" t="n"/>
      <c r="O185" s="156" t="n"/>
    </row>
    <row r="186" ht="18.75" customHeight="1" s="153">
      <c r="A186" s="237" t="n"/>
      <c r="B186" s="238" t="n"/>
      <c r="C186" s="239" t="n"/>
      <c r="D186" s="239" t="n"/>
      <c r="E186" s="239" t="n"/>
      <c r="F186" s="240" t="n"/>
      <c r="G186" s="240" t="n"/>
      <c r="H186" s="241" t="n"/>
      <c r="I186" s="242" t="n"/>
      <c r="J186" s="242" t="n"/>
      <c r="K186" s="233" t="n"/>
      <c r="L186" s="233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56" t="n"/>
      <c r="N186" s="156" t="n"/>
      <c r="O186" s="156" t="n"/>
    </row>
    <row r="187" ht="18.75" customHeight="1" s="153">
      <c r="A187" s="227" t="n"/>
      <c r="B187" s="228" t="n"/>
      <c r="C187" s="229" t="n"/>
      <c r="D187" s="229" t="n"/>
      <c r="E187" s="229" t="n"/>
      <c r="F187" s="230" t="n"/>
      <c r="G187" s="230" t="n"/>
      <c r="H187" s="231" t="n"/>
      <c r="I187" s="232" t="n"/>
      <c r="J187" s="232" t="n"/>
      <c r="K187" s="233" t="n"/>
      <c r="L187" s="233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56" t="n"/>
      <c r="N187" s="156" t="n"/>
      <c r="O187" s="156" t="n"/>
    </row>
    <row r="188" ht="18.75" customHeight="1" s="153">
      <c r="A188" s="237" t="n"/>
      <c r="B188" s="238" t="n"/>
      <c r="C188" s="239" t="n"/>
      <c r="D188" s="239" t="n"/>
      <c r="E188" s="239" t="n"/>
      <c r="F188" s="240" t="n"/>
      <c r="G188" s="240" t="n"/>
      <c r="H188" s="241" t="n"/>
      <c r="I188" s="242" t="n"/>
      <c r="J188" s="242" t="n"/>
      <c r="K188" s="233" t="n"/>
      <c r="L188" s="233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56" t="n"/>
      <c r="N188" s="156" t="n"/>
      <c r="O188" s="156" t="n"/>
    </row>
    <row r="189" ht="18.75" customHeight="1" s="153">
      <c r="A189" s="227" t="n"/>
      <c r="B189" s="228" t="n"/>
      <c r="C189" s="229" t="n"/>
      <c r="D189" s="229" t="n"/>
      <c r="E189" s="229" t="n"/>
      <c r="F189" s="230" t="n"/>
      <c r="G189" s="230" t="n"/>
      <c r="H189" s="231" t="n"/>
      <c r="I189" s="232" t="n"/>
      <c r="J189" s="232" t="n"/>
      <c r="K189" s="233" t="n"/>
      <c r="L189" s="233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56" t="n"/>
      <c r="N189" s="156" t="n"/>
      <c r="O189" s="156" t="n"/>
    </row>
    <row r="190" ht="18.75" customHeight="1" s="153">
      <c r="A190" s="237" t="n"/>
      <c r="B190" s="238" t="n"/>
      <c r="C190" s="239" t="n"/>
      <c r="D190" s="239" t="n"/>
      <c r="E190" s="239" t="n"/>
      <c r="F190" s="240" t="n"/>
      <c r="G190" s="240" t="n"/>
      <c r="H190" s="241" t="n"/>
      <c r="I190" s="242" t="n"/>
      <c r="J190" s="242" t="n"/>
      <c r="K190" s="233" t="n"/>
      <c r="L190" s="233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56" t="n"/>
      <c r="N190" s="156" t="n"/>
      <c r="O190" s="156" t="n"/>
    </row>
    <row r="191" ht="18.75" customHeight="1" s="153">
      <c r="A191" s="227" t="n"/>
      <c r="B191" s="228" t="n"/>
      <c r="C191" s="229" t="n"/>
      <c r="D191" s="229" t="n"/>
      <c r="E191" s="229" t="n"/>
      <c r="F191" s="230" t="n"/>
      <c r="G191" s="230" t="n"/>
      <c r="H191" s="231" t="n"/>
      <c r="I191" s="232" t="n"/>
      <c r="J191" s="232" t="n"/>
      <c r="K191" s="233" t="n"/>
      <c r="L191" s="233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56" t="n"/>
      <c r="N191" s="156" t="n"/>
      <c r="O191" s="156" t="n"/>
    </row>
    <row r="192" ht="18.75" customHeight="1" s="153">
      <c r="A192" s="237" t="n"/>
      <c r="B192" s="238" t="n"/>
      <c r="C192" s="239" t="n"/>
      <c r="D192" s="239" t="n"/>
      <c r="E192" s="239" t="n"/>
      <c r="F192" s="240" t="n"/>
      <c r="G192" s="240" t="n"/>
      <c r="H192" s="241" t="n"/>
      <c r="I192" s="242" t="n"/>
      <c r="J192" s="242" t="n"/>
      <c r="K192" s="233" t="n"/>
      <c r="L192" s="233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56" t="n"/>
      <c r="N192" s="156" t="n"/>
      <c r="O192" s="156" t="n"/>
    </row>
    <row r="193" ht="18.75" customHeight="1" s="153">
      <c r="A193" s="227" t="n"/>
      <c r="B193" s="228" t="n"/>
      <c r="C193" s="229" t="n"/>
      <c r="D193" s="229" t="n"/>
      <c r="E193" s="229" t="n"/>
      <c r="F193" s="230" t="n"/>
      <c r="G193" s="230" t="n"/>
      <c r="H193" s="231" t="n"/>
      <c r="I193" s="232" t="n"/>
      <c r="J193" s="232" t="n"/>
      <c r="K193" s="233" t="n"/>
      <c r="L193" s="233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56" t="n"/>
      <c r="N193" s="156" t="n"/>
      <c r="O193" s="156" t="n"/>
    </row>
    <row r="194" ht="18.75" customHeight="1" s="153">
      <c r="A194" s="237" t="n"/>
      <c r="B194" s="238" t="n"/>
      <c r="C194" s="239" t="n"/>
      <c r="D194" s="239" t="n"/>
      <c r="E194" s="239" t="n"/>
      <c r="F194" s="240" t="n"/>
      <c r="G194" s="240" t="n"/>
      <c r="H194" s="241" t="n"/>
      <c r="I194" s="242" t="n"/>
      <c r="J194" s="242" t="n"/>
      <c r="K194" s="233" t="n"/>
      <c r="L194" s="233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56" t="n"/>
      <c r="N194" s="156" t="n"/>
      <c r="O194" s="156" t="n"/>
    </row>
    <row r="195" ht="18.75" customHeight="1" s="153">
      <c r="A195" s="227" t="n"/>
      <c r="B195" s="228" t="n"/>
      <c r="C195" s="229" t="n"/>
      <c r="D195" s="229" t="n"/>
      <c r="E195" s="229" t="n"/>
      <c r="F195" s="230" t="n"/>
      <c r="G195" s="230" t="n"/>
      <c r="H195" s="231" t="n"/>
      <c r="I195" s="232" t="n"/>
      <c r="J195" s="232" t="n"/>
      <c r="K195" s="233" t="n"/>
      <c r="L195" s="233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56" t="n"/>
      <c r="N195" s="156" t="n"/>
      <c r="O195" s="156" t="n"/>
    </row>
    <row r="196" ht="18.75" customHeight="1" s="153">
      <c r="A196" s="237" t="n"/>
      <c r="B196" s="238" t="n"/>
      <c r="C196" s="239" t="n"/>
      <c r="D196" s="239" t="n"/>
      <c r="E196" s="239" t="n"/>
      <c r="F196" s="240" t="n"/>
      <c r="G196" s="240" t="n"/>
      <c r="H196" s="241" t="n"/>
      <c r="I196" s="242" t="n"/>
      <c r="J196" s="242" t="n"/>
      <c r="K196" s="233" t="n"/>
      <c r="L196" s="233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56" t="n"/>
      <c r="N196" s="156" t="n"/>
      <c r="O196" s="156" t="n"/>
    </row>
    <row r="197" ht="18.75" customHeight="1" s="153">
      <c r="A197" s="227" t="n"/>
      <c r="B197" s="228" t="n"/>
      <c r="C197" s="229" t="n"/>
      <c r="D197" s="229" t="n"/>
      <c r="E197" s="229" t="n"/>
      <c r="F197" s="230" t="n"/>
      <c r="G197" s="230" t="n"/>
      <c r="H197" s="231" t="n"/>
      <c r="I197" s="232" t="n"/>
      <c r="J197" s="232" t="n"/>
      <c r="K197" s="233" t="n"/>
      <c r="L197" s="233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56" t="n"/>
      <c r="N197" s="156" t="n"/>
      <c r="O197" s="156" t="n"/>
    </row>
    <row r="198" ht="18.75" customHeight="1" s="153">
      <c r="A198" s="237" t="n"/>
      <c r="B198" s="238" t="n"/>
      <c r="C198" s="239" t="n"/>
      <c r="D198" s="239" t="n"/>
      <c r="E198" s="239" t="n"/>
      <c r="F198" s="240" t="n"/>
      <c r="G198" s="240" t="n"/>
      <c r="H198" s="241" t="n"/>
      <c r="I198" s="242" t="n"/>
      <c r="J198" s="242" t="n"/>
      <c r="K198" s="233" t="n"/>
      <c r="L198" s="233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56" t="n"/>
      <c r="N198" s="156" t="n"/>
      <c r="O198" s="156" t="n"/>
    </row>
    <row r="199" ht="18.75" customHeight="1" s="153">
      <c r="A199" s="227" t="n"/>
      <c r="B199" s="228" t="n"/>
      <c r="C199" s="229" t="n"/>
      <c r="D199" s="229" t="n"/>
      <c r="E199" s="229" t="n"/>
      <c r="F199" s="230" t="n"/>
      <c r="G199" s="230" t="n"/>
      <c r="H199" s="231" t="n"/>
      <c r="I199" s="232" t="n"/>
      <c r="J199" s="232" t="n"/>
      <c r="K199" s="233" t="n"/>
      <c r="L199" s="233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56" t="n"/>
      <c r="N199" s="156" t="n"/>
      <c r="O199" s="156" t="n"/>
    </row>
    <row r="200" ht="18.75" customHeight="1" s="153">
      <c r="A200" s="237" t="n"/>
      <c r="B200" s="238" t="n"/>
      <c r="C200" s="239" t="n"/>
      <c r="D200" s="239" t="n"/>
      <c r="E200" s="239" t="n"/>
      <c r="F200" s="240" t="n"/>
      <c r="G200" s="240" t="n"/>
      <c r="H200" s="241" t="n"/>
      <c r="I200" s="242" t="n"/>
      <c r="J200" s="242" t="n"/>
      <c r="K200" s="233" t="n"/>
      <c r="L200" s="233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56" t="n"/>
      <c r="N200" s="156" t="n"/>
      <c r="O200" s="156" t="n"/>
    </row>
    <row r="201" ht="18.75" customHeight="1" s="153">
      <c r="A201" s="227" t="n"/>
      <c r="B201" s="228" t="n"/>
      <c r="C201" s="229" t="n"/>
      <c r="D201" s="229" t="n"/>
      <c r="E201" s="229" t="n"/>
      <c r="F201" s="230" t="n"/>
      <c r="G201" s="230" t="n"/>
      <c r="H201" s="231" t="n"/>
      <c r="I201" s="232" t="n"/>
      <c r="J201" s="232" t="n"/>
      <c r="K201" s="233" t="n"/>
      <c r="L201" s="233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56" t="n"/>
      <c r="N201" s="156" t="n"/>
      <c r="O201" s="156" t="n"/>
    </row>
    <row r="202" ht="18.75" customHeight="1" s="153">
      <c r="A202" s="237" t="n"/>
      <c r="B202" s="238" t="n"/>
      <c r="C202" s="239" t="n"/>
      <c r="D202" s="239" t="n"/>
      <c r="E202" s="239" t="n"/>
      <c r="F202" s="240" t="n"/>
      <c r="G202" s="240" t="n"/>
      <c r="H202" s="241" t="n"/>
      <c r="I202" s="242" t="n"/>
      <c r="J202" s="242" t="n"/>
      <c r="K202" s="233" t="n"/>
      <c r="L202" s="233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56" t="n"/>
      <c r="N202" s="156" t="n"/>
      <c r="O202" s="156" t="n"/>
    </row>
    <row r="203" ht="18.75" customHeight="1" s="153">
      <c r="A203" s="227" t="n"/>
      <c r="B203" s="228" t="n"/>
      <c r="C203" s="229" t="n"/>
      <c r="D203" s="229" t="n"/>
      <c r="E203" s="229" t="n"/>
      <c r="F203" s="230" t="n"/>
      <c r="G203" s="230" t="n"/>
      <c r="H203" s="231" t="n"/>
      <c r="I203" s="232" t="n"/>
      <c r="J203" s="232" t="n"/>
      <c r="K203" s="233" t="n"/>
      <c r="L203" s="233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56" t="n"/>
      <c r="N203" s="156" t="n"/>
      <c r="O203" s="156" t="n"/>
    </row>
    <row r="204" ht="18.75" customHeight="1" s="153">
      <c r="A204" s="237" t="n"/>
      <c r="B204" s="238" t="n"/>
      <c r="C204" s="239" t="n"/>
      <c r="D204" s="239" t="n"/>
      <c r="E204" s="239" t="n"/>
      <c r="F204" s="240" t="n"/>
      <c r="G204" s="240" t="n"/>
      <c r="H204" s="241" t="n"/>
      <c r="I204" s="242" t="n"/>
      <c r="J204" s="242" t="n"/>
      <c r="K204" s="233" t="n"/>
      <c r="L204" s="233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56" t="n"/>
      <c r="N204" s="156" t="n"/>
      <c r="O204" s="156" t="n"/>
    </row>
    <row r="205" ht="18.75" customHeight="1" s="153">
      <c r="A205" s="227" t="n"/>
      <c r="B205" s="228" t="n"/>
      <c r="C205" s="229" t="n"/>
      <c r="D205" s="229" t="n"/>
      <c r="E205" s="229" t="n"/>
      <c r="F205" s="230" t="n"/>
      <c r="G205" s="230" t="n"/>
      <c r="H205" s="231" t="n"/>
      <c r="I205" s="232" t="n"/>
      <c r="J205" s="232" t="n"/>
      <c r="K205" s="233" t="n"/>
      <c r="L205" s="233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56" t="n"/>
      <c r="N205" s="156" t="n"/>
      <c r="O205" s="156" t="n"/>
    </row>
    <row r="206" ht="18.75" customHeight="1" s="153">
      <c r="A206" s="237" t="n"/>
      <c r="B206" s="238" t="n"/>
      <c r="C206" s="239" t="n"/>
      <c r="D206" s="239" t="n"/>
      <c r="E206" s="239" t="n"/>
      <c r="F206" s="240" t="n"/>
      <c r="G206" s="240" t="n"/>
      <c r="H206" s="241" t="n"/>
      <c r="I206" s="242" t="n"/>
      <c r="J206" s="242" t="n"/>
      <c r="K206" s="233" t="n"/>
      <c r="L206" s="233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56" t="n"/>
      <c r="N206" s="156" t="n"/>
      <c r="O206" s="156" t="n"/>
    </row>
    <row r="207" ht="18.75" customHeight="1" s="153">
      <c r="A207" s="227" t="n"/>
      <c r="B207" s="228" t="n"/>
      <c r="C207" s="229" t="n"/>
      <c r="D207" s="229" t="n"/>
      <c r="E207" s="229" t="n"/>
      <c r="F207" s="230" t="n"/>
      <c r="G207" s="230" t="n"/>
      <c r="H207" s="231" t="n"/>
      <c r="I207" s="232" t="n"/>
      <c r="J207" s="232" t="n"/>
      <c r="K207" s="233" t="n"/>
      <c r="L207" s="233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56" t="n"/>
      <c r="N207" s="156" t="n"/>
      <c r="O207" s="156" t="n"/>
    </row>
    <row r="208" ht="18.75" customHeight="1" s="153">
      <c r="A208" s="237" t="n"/>
      <c r="B208" s="238" t="n"/>
      <c r="C208" s="239" t="n"/>
      <c r="D208" s="239" t="n"/>
      <c r="E208" s="239" t="n"/>
      <c r="F208" s="240" t="n"/>
      <c r="G208" s="240" t="n"/>
      <c r="H208" s="241" t="n"/>
      <c r="I208" s="242" t="n"/>
      <c r="J208" s="242" t="n"/>
      <c r="K208" s="233" t="n"/>
      <c r="L208" s="233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56" t="n"/>
      <c r="N208" s="156" t="n"/>
      <c r="O208" s="156" t="n"/>
    </row>
    <row r="209" ht="18.75" customHeight="1" s="153">
      <c r="A209" s="227" t="n"/>
      <c r="B209" s="228" t="n"/>
      <c r="C209" s="229" t="n"/>
      <c r="D209" s="229" t="n"/>
      <c r="E209" s="229" t="n"/>
      <c r="F209" s="230" t="n"/>
      <c r="G209" s="230" t="n"/>
      <c r="H209" s="231" t="n"/>
      <c r="I209" s="232" t="n"/>
      <c r="J209" s="232" t="n"/>
      <c r="K209" s="233" t="n"/>
      <c r="L209" s="233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56" t="n"/>
      <c r="N209" s="156" t="n"/>
      <c r="O209" s="156" t="n"/>
    </row>
    <row r="210" ht="18.75" customHeight="1" s="153">
      <c r="A210" s="237" t="n"/>
      <c r="B210" s="238" t="n"/>
      <c r="C210" s="239" t="n"/>
      <c r="D210" s="239" t="n"/>
      <c r="E210" s="239" t="n"/>
      <c r="F210" s="240" t="n"/>
      <c r="G210" s="240" t="n"/>
      <c r="H210" s="241" t="n"/>
      <c r="I210" s="242" t="n"/>
      <c r="J210" s="242" t="n"/>
      <c r="K210" s="233" t="n"/>
      <c r="L210" s="233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56" t="n"/>
      <c r="N210" s="156" t="n"/>
      <c r="O210" s="156" t="n"/>
    </row>
    <row r="211" ht="18.75" customHeight="1" s="153">
      <c r="A211" s="227" t="n"/>
      <c r="B211" s="228" t="n"/>
      <c r="C211" s="229" t="n"/>
      <c r="D211" s="229" t="n"/>
      <c r="E211" s="229" t="n"/>
      <c r="F211" s="230" t="n"/>
      <c r="G211" s="230" t="n"/>
      <c r="H211" s="231" t="n"/>
      <c r="I211" s="232" t="n"/>
      <c r="J211" s="232" t="n"/>
      <c r="K211" s="233" t="n"/>
      <c r="L211" s="233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56" t="n"/>
      <c r="N211" s="156" t="n"/>
      <c r="O211" s="156" t="n"/>
    </row>
    <row r="212" ht="18.75" customHeight="1" s="153">
      <c r="A212" s="237" t="n"/>
      <c r="B212" s="238" t="n"/>
      <c r="C212" s="239" t="n"/>
      <c r="D212" s="239" t="n"/>
      <c r="E212" s="239" t="n"/>
      <c r="F212" s="240" t="n"/>
      <c r="G212" s="240" t="n"/>
      <c r="H212" s="241" t="n"/>
      <c r="I212" s="242" t="n"/>
      <c r="J212" s="242" t="n"/>
      <c r="K212" s="233" t="n"/>
      <c r="L212" s="233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56" t="n"/>
      <c r="N212" s="156" t="n"/>
      <c r="O212" s="156" t="n"/>
    </row>
    <row r="213" ht="18.75" customHeight="1" s="153">
      <c r="A213" s="227" t="n"/>
      <c r="B213" s="228" t="n"/>
      <c r="C213" s="229" t="n"/>
      <c r="D213" s="229" t="n"/>
      <c r="E213" s="229" t="n"/>
      <c r="F213" s="230" t="n"/>
      <c r="G213" s="230" t="n"/>
      <c r="H213" s="231" t="n"/>
      <c r="I213" s="232" t="n"/>
      <c r="J213" s="232" t="n"/>
      <c r="K213" s="233" t="n"/>
      <c r="L213" s="233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56" t="n"/>
      <c r="N213" s="156" t="n"/>
      <c r="O213" s="156" t="n"/>
    </row>
    <row r="214" ht="18.75" customHeight="1" s="153">
      <c r="A214" s="237" t="n"/>
      <c r="B214" s="238" t="n"/>
      <c r="C214" s="239" t="n"/>
      <c r="D214" s="239" t="n"/>
      <c r="E214" s="239" t="n"/>
      <c r="F214" s="240" t="n"/>
      <c r="G214" s="240" t="n"/>
      <c r="H214" s="241" t="n"/>
      <c r="I214" s="242" t="n"/>
      <c r="J214" s="242" t="n"/>
      <c r="K214" s="233" t="n"/>
      <c r="L214" s="233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56" t="n"/>
      <c r="N214" s="156" t="n"/>
      <c r="O214" s="156" t="n"/>
    </row>
    <row r="215" ht="18.75" customHeight="1" s="153">
      <c r="A215" s="227" t="n"/>
      <c r="B215" s="228" t="n"/>
      <c r="C215" s="229" t="n"/>
      <c r="D215" s="229" t="n"/>
      <c r="E215" s="229" t="n"/>
      <c r="F215" s="230" t="n"/>
      <c r="G215" s="230" t="n"/>
      <c r="H215" s="231" t="n"/>
      <c r="I215" s="232" t="n"/>
      <c r="J215" s="232" t="n"/>
      <c r="K215" s="233" t="n"/>
      <c r="L215" s="233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56" t="n"/>
      <c r="N215" s="156" t="n"/>
      <c r="O215" s="156" t="n"/>
    </row>
    <row r="216" ht="18.75" customHeight="1" s="153">
      <c r="A216" s="237" t="n"/>
      <c r="B216" s="238" t="n"/>
      <c r="C216" s="239" t="n"/>
      <c r="D216" s="239" t="n"/>
      <c r="E216" s="239" t="n"/>
      <c r="F216" s="240" t="n"/>
      <c r="G216" s="240" t="n"/>
      <c r="H216" s="241" t="n"/>
      <c r="I216" s="242" t="n"/>
      <c r="J216" s="242" t="n"/>
      <c r="K216" s="233" t="n"/>
      <c r="L216" s="233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56" t="n"/>
      <c r="N216" s="156" t="n"/>
      <c r="O216" s="156" t="n"/>
    </row>
    <row r="217" ht="18.75" customHeight="1" s="153">
      <c r="A217" s="227" t="n"/>
      <c r="B217" s="228" t="n"/>
      <c r="C217" s="229" t="n"/>
      <c r="D217" s="229" t="n"/>
      <c r="E217" s="229" t="n"/>
      <c r="F217" s="230" t="n"/>
      <c r="G217" s="230" t="n"/>
      <c r="H217" s="231" t="n"/>
      <c r="I217" s="232" t="n"/>
      <c r="J217" s="232" t="n"/>
      <c r="K217" s="233" t="n"/>
      <c r="L217" s="233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56" t="n"/>
      <c r="N217" s="156" t="n"/>
      <c r="O217" s="156" t="n"/>
    </row>
    <row r="218" ht="18.75" customHeight="1" s="153">
      <c r="A218" s="237" t="n"/>
      <c r="B218" s="238" t="n"/>
      <c r="C218" s="239" t="n"/>
      <c r="D218" s="239" t="n"/>
      <c r="E218" s="239" t="n"/>
      <c r="F218" s="240" t="n"/>
      <c r="G218" s="240" t="n"/>
      <c r="H218" s="241" t="n"/>
      <c r="I218" s="242" t="n"/>
      <c r="J218" s="242" t="n"/>
      <c r="K218" s="233" t="n"/>
      <c r="L218" s="233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56" t="n"/>
      <c r="N218" s="156" t="n"/>
      <c r="O218" s="156" t="n"/>
    </row>
    <row r="219" ht="18.75" customHeight="1" s="153">
      <c r="A219" s="227" t="n"/>
      <c r="B219" s="228" t="n"/>
      <c r="C219" s="229" t="n"/>
      <c r="D219" s="229" t="n"/>
      <c r="E219" s="229" t="n"/>
      <c r="F219" s="230" t="n"/>
      <c r="G219" s="230" t="n"/>
      <c r="H219" s="231" t="n"/>
      <c r="I219" s="232" t="n"/>
      <c r="J219" s="232" t="n"/>
      <c r="K219" s="233" t="n"/>
      <c r="L219" s="233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56" t="n"/>
      <c r="N219" s="156" t="n"/>
      <c r="O219" s="156" t="n"/>
    </row>
    <row r="220" ht="18.75" customHeight="1" s="153">
      <c r="A220" s="237" t="n"/>
      <c r="B220" s="238" t="n"/>
      <c r="C220" s="239" t="n"/>
      <c r="D220" s="239" t="n"/>
      <c r="E220" s="239" t="n"/>
      <c r="F220" s="240" t="n"/>
      <c r="G220" s="240" t="n"/>
      <c r="H220" s="241" t="n"/>
      <c r="I220" s="242" t="n"/>
      <c r="J220" s="242" t="n"/>
      <c r="K220" s="233" t="n"/>
      <c r="L220" s="233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56" t="n"/>
      <c r="N220" s="156" t="n"/>
      <c r="O220" s="156" t="n"/>
    </row>
    <row r="221" ht="18.75" customHeight="1" s="153">
      <c r="A221" s="227" t="n"/>
      <c r="B221" s="228" t="n"/>
      <c r="C221" s="229" t="n"/>
      <c r="D221" s="229" t="n"/>
      <c r="E221" s="229" t="n"/>
      <c r="F221" s="230" t="n"/>
      <c r="G221" s="230" t="n"/>
      <c r="H221" s="231" t="n"/>
      <c r="I221" s="232" t="n"/>
      <c r="J221" s="232" t="n"/>
      <c r="K221" s="233" t="n"/>
      <c r="L221" s="233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56" t="n"/>
      <c r="N221" s="156" t="n"/>
      <c r="O221" s="156" t="n"/>
    </row>
    <row r="222" ht="18.75" customHeight="1" s="153">
      <c r="A222" s="237" t="n"/>
      <c r="B222" s="238" t="n"/>
      <c r="C222" s="239" t="n"/>
      <c r="D222" s="239" t="n"/>
      <c r="E222" s="239" t="n"/>
      <c r="F222" s="240" t="n"/>
      <c r="G222" s="240" t="n"/>
      <c r="H222" s="241" t="n"/>
      <c r="I222" s="242" t="n"/>
      <c r="J222" s="242" t="n"/>
      <c r="K222" s="233" t="n"/>
      <c r="L222" s="233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56" t="n"/>
      <c r="N222" s="156" t="n"/>
      <c r="O222" s="156" t="n"/>
    </row>
    <row r="223" ht="18.75" customHeight="1" s="153">
      <c r="A223" s="227" t="n"/>
      <c r="B223" s="228" t="n"/>
      <c r="C223" s="229" t="n"/>
      <c r="D223" s="229" t="n"/>
      <c r="E223" s="229" t="n"/>
      <c r="F223" s="230" t="n"/>
      <c r="G223" s="230" t="n"/>
      <c r="H223" s="231" t="n"/>
      <c r="I223" s="232" t="n"/>
      <c r="J223" s="232" t="n"/>
      <c r="K223" s="233" t="n"/>
      <c r="L223" s="233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56" t="n"/>
      <c r="N223" s="156" t="n"/>
      <c r="O223" s="156" t="n"/>
    </row>
    <row r="224" ht="18.75" customHeight="1" s="153">
      <c r="A224" s="237" t="n"/>
      <c r="B224" s="238" t="n"/>
      <c r="C224" s="239" t="n"/>
      <c r="D224" s="239" t="n"/>
      <c r="E224" s="239" t="n"/>
      <c r="F224" s="240" t="n"/>
      <c r="G224" s="240" t="n"/>
      <c r="H224" s="241" t="n"/>
      <c r="I224" s="242" t="n"/>
      <c r="J224" s="242" t="n"/>
      <c r="K224" s="233" t="n"/>
      <c r="L224" s="233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56" t="n"/>
      <c r="N224" s="156" t="n"/>
      <c r="O224" s="156" t="n"/>
    </row>
    <row r="225" ht="18.75" customHeight="1" s="153">
      <c r="A225" s="227" t="n"/>
      <c r="B225" s="228" t="n"/>
      <c r="C225" s="229" t="n"/>
      <c r="D225" s="229" t="n"/>
      <c r="E225" s="229" t="n"/>
      <c r="F225" s="230" t="n"/>
      <c r="G225" s="230" t="n"/>
      <c r="H225" s="231" t="n"/>
      <c r="I225" s="232" t="n"/>
      <c r="J225" s="232" t="n"/>
      <c r="K225" s="233" t="n"/>
      <c r="L225" s="233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56" t="n"/>
      <c r="N225" s="156" t="n"/>
      <c r="O225" s="156" t="n"/>
    </row>
    <row r="226" ht="18.75" customHeight="1" s="153">
      <c r="A226" s="237" t="n"/>
      <c r="B226" s="238" t="n"/>
      <c r="C226" s="239" t="n"/>
      <c r="D226" s="239" t="n"/>
      <c r="E226" s="239" t="n"/>
      <c r="F226" s="240" t="n"/>
      <c r="G226" s="240" t="n"/>
      <c r="H226" s="241" t="n"/>
      <c r="I226" s="242" t="n"/>
      <c r="J226" s="242" t="n"/>
      <c r="K226" s="233" t="n"/>
      <c r="L226" s="233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56" t="n"/>
      <c r="N226" s="156" t="n"/>
      <c r="O226" s="156" t="n"/>
    </row>
    <row r="227" ht="18.75" customHeight="1" s="153">
      <c r="A227" s="227" t="n"/>
      <c r="B227" s="228" t="n"/>
      <c r="C227" s="229" t="n"/>
      <c r="D227" s="229" t="n"/>
      <c r="E227" s="229" t="n"/>
      <c r="F227" s="230" t="n"/>
      <c r="G227" s="230" t="n"/>
      <c r="H227" s="231" t="n"/>
      <c r="I227" s="232" t="n"/>
      <c r="J227" s="232" t="n"/>
      <c r="K227" s="233" t="n"/>
      <c r="L227" s="233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56" t="n"/>
      <c r="N227" s="156" t="n"/>
      <c r="O227" s="156" t="n"/>
    </row>
    <row r="228" ht="18.75" customHeight="1" s="153">
      <c r="A228" s="237" t="n"/>
      <c r="B228" s="238" t="n"/>
      <c r="C228" s="239" t="n"/>
      <c r="D228" s="239" t="n"/>
      <c r="E228" s="239" t="n"/>
      <c r="F228" s="240" t="n"/>
      <c r="G228" s="240" t="n"/>
      <c r="H228" s="241" t="n"/>
      <c r="I228" s="242" t="n"/>
      <c r="J228" s="242" t="n"/>
      <c r="K228" s="233" t="n"/>
      <c r="L228" s="233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56" t="n"/>
      <c r="N228" s="156" t="n"/>
      <c r="O228" s="156" t="n"/>
    </row>
    <row r="229" ht="18.75" customHeight="1" s="153">
      <c r="A229" s="227" t="n"/>
      <c r="B229" s="228" t="n"/>
      <c r="C229" s="229" t="n"/>
      <c r="D229" s="229" t="n"/>
      <c r="E229" s="229" t="n"/>
      <c r="F229" s="230" t="n"/>
      <c r="G229" s="230" t="n"/>
      <c r="H229" s="231" t="n"/>
      <c r="I229" s="232" t="n"/>
      <c r="J229" s="232" t="n"/>
      <c r="K229" s="233" t="n"/>
      <c r="L229" s="233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56" t="n"/>
      <c r="N229" s="156" t="n"/>
      <c r="O229" s="156" t="n"/>
    </row>
    <row r="230" ht="18.75" customHeight="1" s="153">
      <c r="A230" s="237" t="n"/>
      <c r="B230" s="238" t="n"/>
      <c r="C230" s="239" t="n"/>
      <c r="D230" s="239" t="n"/>
      <c r="E230" s="239" t="n"/>
      <c r="F230" s="240" t="n"/>
      <c r="G230" s="240" t="n"/>
      <c r="H230" s="241" t="n"/>
      <c r="I230" s="242" t="n"/>
      <c r="J230" s="242" t="n"/>
      <c r="K230" s="233" t="n"/>
      <c r="L230" s="233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56" t="n"/>
      <c r="N230" s="156" t="n"/>
      <c r="O230" s="156" t="n"/>
    </row>
    <row r="231" ht="18.75" customHeight="1" s="153">
      <c r="A231" s="227" t="n"/>
      <c r="B231" s="228" t="n"/>
      <c r="C231" s="229" t="n"/>
      <c r="D231" s="229" t="n"/>
      <c r="E231" s="229" t="n"/>
      <c r="F231" s="230" t="n"/>
      <c r="G231" s="230" t="n"/>
      <c r="H231" s="231" t="n"/>
      <c r="I231" s="232" t="n"/>
      <c r="J231" s="232" t="n"/>
      <c r="K231" s="233" t="n"/>
      <c r="L231" s="233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56" t="n"/>
      <c r="N231" s="156" t="n"/>
      <c r="O231" s="156" t="n"/>
    </row>
    <row r="232" ht="18.75" customHeight="1" s="153">
      <c r="A232" s="237" t="n"/>
      <c r="B232" s="238" t="n"/>
      <c r="C232" s="239" t="n"/>
      <c r="D232" s="239" t="n"/>
      <c r="E232" s="239" t="n"/>
      <c r="F232" s="240" t="n"/>
      <c r="G232" s="240" t="n"/>
      <c r="H232" s="241" t="n"/>
      <c r="I232" s="242" t="n"/>
      <c r="J232" s="242" t="n"/>
      <c r="K232" s="233" t="n"/>
      <c r="L232" s="233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56" t="n"/>
      <c r="N232" s="156" t="n"/>
      <c r="O232" s="156" t="n"/>
    </row>
    <row r="233" ht="18.75" customHeight="1" s="153">
      <c r="A233" s="227" t="n"/>
      <c r="B233" s="228" t="n"/>
      <c r="C233" s="229" t="n"/>
      <c r="D233" s="229" t="n"/>
      <c r="E233" s="229" t="n"/>
      <c r="F233" s="230" t="n"/>
      <c r="G233" s="230" t="n"/>
      <c r="H233" s="231" t="n"/>
      <c r="I233" s="232" t="n"/>
      <c r="J233" s="232" t="n"/>
      <c r="K233" s="233" t="n"/>
      <c r="L233" s="233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56" t="n"/>
      <c r="N233" s="156" t="n"/>
      <c r="O233" s="156" t="n"/>
    </row>
    <row r="234" ht="18.75" customHeight="1" s="153">
      <c r="A234" s="237" t="n"/>
      <c r="B234" s="238" t="n"/>
      <c r="C234" s="239" t="n"/>
      <c r="D234" s="239" t="n"/>
      <c r="E234" s="239" t="n"/>
      <c r="F234" s="240" t="n"/>
      <c r="G234" s="240" t="n"/>
      <c r="H234" s="241" t="n"/>
      <c r="I234" s="242" t="n"/>
      <c r="J234" s="242" t="n"/>
      <c r="K234" s="233" t="n"/>
      <c r="L234" s="233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56" t="n"/>
      <c r="N234" s="156" t="n"/>
      <c r="O234" s="156" t="n"/>
    </row>
    <row r="235" ht="18.75" customHeight="1" s="153">
      <c r="A235" s="227" t="n"/>
      <c r="B235" s="228" t="n"/>
      <c r="C235" s="229" t="n"/>
      <c r="D235" s="229" t="n"/>
      <c r="E235" s="229" t="n"/>
      <c r="F235" s="230" t="n"/>
      <c r="G235" s="230" t="n"/>
      <c r="H235" s="231" t="n"/>
      <c r="I235" s="232" t="n"/>
      <c r="J235" s="232" t="n"/>
      <c r="K235" s="233" t="n"/>
      <c r="L235" s="233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56" t="n"/>
      <c r="N235" s="156" t="n"/>
      <c r="O235" s="156" t="n"/>
    </row>
    <row r="236" ht="18.75" customHeight="1" s="153">
      <c r="A236" s="237" t="n"/>
      <c r="B236" s="238" t="n"/>
      <c r="C236" s="239" t="n"/>
      <c r="D236" s="239" t="n"/>
      <c r="E236" s="239" t="n"/>
      <c r="F236" s="240" t="n"/>
      <c r="G236" s="240" t="n"/>
      <c r="H236" s="241" t="n"/>
      <c r="I236" s="242" t="n"/>
      <c r="J236" s="242" t="n"/>
      <c r="K236" s="233" t="n"/>
      <c r="L236" s="233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56" t="n"/>
      <c r="N236" s="156" t="n"/>
      <c r="O236" s="156" t="n"/>
    </row>
    <row r="237" ht="18.75" customHeight="1" s="153">
      <c r="A237" s="227" t="n"/>
      <c r="B237" s="228" t="n"/>
      <c r="C237" s="229" t="n"/>
      <c r="D237" s="229" t="n"/>
      <c r="E237" s="229" t="n"/>
      <c r="F237" s="230" t="n"/>
      <c r="G237" s="230" t="n"/>
      <c r="H237" s="231" t="n"/>
      <c r="I237" s="232" t="n"/>
      <c r="J237" s="232" t="n"/>
      <c r="K237" s="233" t="n"/>
      <c r="L237" s="233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56" t="n"/>
      <c r="N237" s="156" t="n"/>
      <c r="O237" s="156" t="n"/>
    </row>
    <row r="238" ht="18.75" customHeight="1" s="153">
      <c r="A238" s="237" t="n"/>
      <c r="B238" s="238" t="n"/>
      <c r="C238" s="239" t="n"/>
      <c r="D238" s="239" t="n"/>
      <c r="E238" s="239" t="n"/>
      <c r="F238" s="240" t="n"/>
      <c r="G238" s="240" t="n"/>
      <c r="H238" s="241" t="n"/>
      <c r="I238" s="242" t="n"/>
      <c r="J238" s="242" t="n"/>
      <c r="K238" s="233" t="n"/>
      <c r="L238" s="233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56" t="n"/>
      <c r="N238" s="156" t="n"/>
      <c r="O238" s="156" t="n"/>
    </row>
    <row r="239" ht="18.75" customHeight="1" s="153">
      <c r="A239" s="227" t="n"/>
      <c r="B239" s="228" t="n"/>
      <c r="C239" s="229" t="n"/>
      <c r="D239" s="229" t="n"/>
      <c r="E239" s="229" t="n"/>
      <c r="F239" s="230" t="n"/>
      <c r="G239" s="230" t="n"/>
      <c r="H239" s="231" t="n"/>
      <c r="I239" s="232" t="n"/>
      <c r="J239" s="232" t="n"/>
      <c r="K239" s="233" t="n"/>
      <c r="L239" s="233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56" t="n"/>
      <c r="N239" s="156" t="n"/>
      <c r="O239" s="156" t="n"/>
    </row>
    <row r="240" ht="18.75" customHeight="1" s="153">
      <c r="A240" s="237" t="n"/>
      <c r="B240" s="238" t="n"/>
      <c r="C240" s="239" t="n"/>
      <c r="D240" s="239" t="n"/>
      <c r="E240" s="239" t="n"/>
      <c r="F240" s="240" t="n"/>
      <c r="G240" s="240" t="n"/>
      <c r="H240" s="241" t="n"/>
      <c r="I240" s="242" t="n"/>
      <c r="J240" s="242" t="n"/>
      <c r="K240" s="233" t="n"/>
      <c r="L240" s="233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56" t="n"/>
      <c r="N240" s="156" t="n"/>
      <c r="O240" s="156" t="n"/>
    </row>
    <row r="241" ht="18.75" customHeight="1" s="153">
      <c r="A241" s="227" t="n"/>
      <c r="B241" s="228" t="n"/>
      <c r="C241" s="229" t="n"/>
      <c r="D241" s="229" t="n"/>
      <c r="E241" s="229" t="n"/>
      <c r="F241" s="230" t="n"/>
      <c r="G241" s="230" t="n"/>
      <c r="H241" s="231" t="n"/>
      <c r="I241" s="232" t="n"/>
      <c r="J241" s="232" t="n"/>
      <c r="K241" s="233" t="n"/>
      <c r="L241" s="233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56" t="n"/>
      <c r="N241" s="156" t="n"/>
      <c r="O241" s="156" t="n"/>
    </row>
    <row r="242" ht="18.75" customHeight="1" s="153">
      <c r="A242" s="237" t="n"/>
      <c r="B242" s="238" t="n"/>
      <c r="C242" s="239" t="n"/>
      <c r="D242" s="239" t="n"/>
      <c r="E242" s="239" t="n"/>
      <c r="F242" s="240" t="n"/>
      <c r="G242" s="240" t="n"/>
      <c r="H242" s="241" t="n"/>
      <c r="I242" s="242" t="n"/>
      <c r="J242" s="242" t="n"/>
      <c r="K242" s="233" t="n"/>
      <c r="L242" s="233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56" t="n"/>
      <c r="N242" s="156" t="n"/>
      <c r="O242" s="156" t="n"/>
    </row>
    <row r="243" ht="18.75" customHeight="1" s="153">
      <c r="A243" s="227" t="n"/>
      <c r="B243" s="228" t="n"/>
      <c r="C243" s="229" t="n"/>
      <c r="D243" s="229" t="n"/>
      <c r="E243" s="229" t="n"/>
      <c r="F243" s="230" t="n"/>
      <c r="G243" s="230" t="n"/>
      <c r="H243" s="231" t="n"/>
      <c r="I243" s="232" t="n"/>
      <c r="J243" s="232" t="n"/>
      <c r="K243" s="233" t="n"/>
      <c r="L243" s="233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56" t="n"/>
      <c r="N243" s="156" t="n"/>
      <c r="O243" s="156" t="n"/>
    </row>
    <row r="244" ht="18.75" customHeight="1" s="153">
      <c r="A244" s="237" t="n"/>
      <c r="B244" s="238" t="n"/>
      <c r="C244" s="239" t="n"/>
      <c r="D244" s="239" t="n"/>
      <c r="E244" s="239" t="n"/>
      <c r="F244" s="240" t="n"/>
      <c r="G244" s="240" t="n"/>
      <c r="H244" s="241" t="n"/>
      <c r="I244" s="242" t="n"/>
      <c r="J244" s="242" t="n"/>
      <c r="K244" s="233" t="n"/>
      <c r="L244" s="233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56" t="n"/>
      <c r="N244" s="156" t="n"/>
      <c r="O244" s="156" t="n"/>
    </row>
    <row r="245" ht="18.75" customHeight="1" s="153">
      <c r="A245" s="227" t="n"/>
      <c r="B245" s="228" t="n"/>
      <c r="C245" s="229" t="n"/>
      <c r="D245" s="229" t="n"/>
      <c r="E245" s="229" t="n"/>
      <c r="F245" s="230" t="n"/>
      <c r="G245" s="230" t="n"/>
      <c r="H245" s="231" t="n"/>
      <c r="I245" s="232" t="n"/>
      <c r="J245" s="232" t="n"/>
      <c r="K245" s="233" t="n"/>
      <c r="L245" s="233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56" t="n"/>
      <c r="N245" s="156" t="n"/>
      <c r="O245" s="156" t="n"/>
    </row>
    <row r="246" ht="18.75" customHeight="1" s="153">
      <c r="A246" s="237" t="n"/>
      <c r="B246" s="238" t="n"/>
      <c r="C246" s="239" t="n"/>
      <c r="D246" s="239" t="n"/>
      <c r="E246" s="239" t="n"/>
      <c r="F246" s="240" t="n"/>
      <c r="G246" s="240" t="n"/>
      <c r="H246" s="241" t="n"/>
      <c r="I246" s="242" t="n"/>
      <c r="J246" s="242" t="n"/>
      <c r="K246" s="233" t="n"/>
      <c r="L246" s="233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56" t="n"/>
      <c r="N246" s="156" t="n"/>
      <c r="O246" s="156" t="n"/>
    </row>
    <row r="247" ht="18.75" customHeight="1" s="153">
      <c r="A247" s="227" t="n"/>
      <c r="B247" s="228" t="n"/>
      <c r="C247" s="229" t="n"/>
      <c r="D247" s="229" t="n"/>
      <c r="E247" s="229" t="n"/>
      <c r="F247" s="230" t="n"/>
      <c r="G247" s="230" t="n"/>
      <c r="H247" s="231" t="n"/>
      <c r="I247" s="232" t="n"/>
      <c r="J247" s="232" t="n"/>
      <c r="K247" s="233" t="n"/>
      <c r="L247" s="233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56" t="n"/>
      <c r="N247" s="156" t="n"/>
      <c r="O247" s="156" t="n"/>
    </row>
    <row r="248" ht="18.75" customHeight="1" s="153">
      <c r="A248" s="237" t="n"/>
      <c r="B248" s="238" t="n"/>
      <c r="C248" s="239" t="n"/>
      <c r="D248" s="239" t="n"/>
      <c r="E248" s="239" t="n"/>
      <c r="F248" s="240" t="n"/>
      <c r="G248" s="240" t="n"/>
      <c r="H248" s="241" t="n"/>
      <c r="I248" s="242" t="n"/>
      <c r="J248" s="242" t="n"/>
      <c r="K248" s="233" t="n"/>
      <c r="L248" s="233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56" t="n"/>
      <c r="N248" s="156" t="n"/>
      <c r="O248" s="156" t="n"/>
    </row>
    <row r="249" ht="18.75" customHeight="1" s="153">
      <c r="A249" s="227" t="n"/>
      <c r="B249" s="228" t="n"/>
      <c r="C249" s="229" t="n"/>
      <c r="D249" s="229" t="n"/>
      <c r="E249" s="229" t="n"/>
      <c r="F249" s="230" t="n"/>
      <c r="G249" s="230" t="n"/>
      <c r="H249" s="231" t="n"/>
      <c r="I249" s="232" t="n"/>
      <c r="J249" s="232" t="n"/>
      <c r="K249" s="233" t="n"/>
      <c r="L249" s="233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56" t="n"/>
      <c r="N249" s="156" t="n"/>
      <c r="O249" s="156" t="n"/>
    </row>
    <row r="250" ht="18.75" customHeight="1" s="153">
      <c r="A250" s="237" t="n"/>
      <c r="B250" s="238" t="n"/>
      <c r="C250" s="239" t="n"/>
      <c r="D250" s="239" t="n"/>
      <c r="E250" s="239" t="n"/>
      <c r="F250" s="240" t="n"/>
      <c r="G250" s="240" t="n"/>
      <c r="H250" s="241" t="n"/>
      <c r="I250" s="242" t="n"/>
      <c r="J250" s="242" t="n"/>
      <c r="K250" s="233" t="n"/>
      <c r="L250" s="233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56" t="n"/>
      <c r="N250" s="156" t="n"/>
      <c r="O250" s="156" t="n"/>
    </row>
    <row r="251" ht="18.75" customHeight="1" s="153">
      <c r="A251" s="227" t="n"/>
      <c r="B251" s="228" t="n"/>
      <c r="C251" s="229" t="n"/>
      <c r="D251" s="229" t="n"/>
      <c r="E251" s="229" t="n"/>
      <c r="F251" s="230" t="n"/>
      <c r="G251" s="230" t="n"/>
      <c r="H251" s="231" t="n"/>
      <c r="I251" s="232" t="n"/>
      <c r="J251" s="232" t="n"/>
      <c r="K251" s="233" t="n"/>
      <c r="L251" s="233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56" t="n"/>
      <c r="N251" s="156" t="n"/>
      <c r="O251" s="156" t="n"/>
    </row>
    <row r="252" ht="18.75" customHeight="1" s="153">
      <c r="A252" s="237" t="n"/>
      <c r="B252" s="238" t="n"/>
      <c r="C252" s="239" t="n"/>
      <c r="D252" s="239" t="n"/>
      <c r="E252" s="239" t="n"/>
      <c r="F252" s="240" t="n"/>
      <c r="G252" s="240" t="n"/>
      <c r="H252" s="241" t="n"/>
      <c r="I252" s="242" t="n"/>
      <c r="J252" s="242" t="n"/>
      <c r="K252" s="233" t="n"/>
      <c r="L252" s="233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56" t="n"/>
      <c r="N252" s="156" t="n"/>
      <c r="O252" s="156" t="n"/>
    </row>
    <row r="253" ht="18.75" customHeight="1" s="153">
      <c r="A253" s="227" t="n"/>
      <c r="B253" s="228" t="n"/>
      <c r="C253" s="229" t="n"/>
      <c r="D253" s="229" t="n"/>
      <c r="E253" s="229" t="n"/>
      <c r="F253" s="230" t="n"/>
      <c r="G253" s="230" t="n"/>
      <c r="H253" s="231" t="n"/>
      <c r="I253" s="232" t="n"/>
      <c r="J253" s="232" t="n"/>
      <c r="K253" s="233" t="n"/>
      <c r="L253" s="233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56" t="n"/>
      <c r="N253" s="156" t="n"/>
      <c r="O253" s="156" t="n"/>
    </row>
    <row r="254" ht="18.75" customHeight="1" s="153">
      <c r="A254" s="237" t="n"/>
      <c r="B254" s="238" t="n"/>
      <c r="C254" s="239" t="n"/>
      <c r="D254" s="239" t="n"/>
      <c r="E254" s="239" t="n"/>
      <c r="F254" s="240" t="n"/>
      <c r="G254" s="240" t="n"/>
      <c r="H254" s="241" t="n"/>
      <c r="I254" s="242" t="n"/>
      <c r="J254" s="242" t="n"/>
      <c r="K254" s="233" t="n"/>
      <c r="L254" s="233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56" t="n"/>
      <c r="N254" s="156" t="n"/>
      <c r="O254" s="156" t="n"/>
    </row>
    <row r="255" ht="18.75" customHeight="1" s="153">
      <c r="A255" s="227" t="n"/>
      <c r="B255" s="228" t="n"/>
      <c r="C255" s="229" t="n"/>
      <c r="D255" s="229" t="n"/>
      <c r="E255" s="229" t="n"/>
      <c r="F255" s="230" t="n"/>
      <c r="G255" s="230" t="n"/>
      <c r="H255" s="231" t="n"/>
      <c r="I255" s="232" t="n"/>
      <c r="J255" s="232" t="n"/>
      <c r="K255" s="233" t="n"/>
      <c r="L255" s="233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56" t="n"/>
      <c r="N255" s="156" t="n"/>
      <c r="O255" s="156" t="n"/>
    </row>
    <row r="256" ht="18.75" customHeight="1" s="153">
      <c r="A256" s="237" t="n"/>
      <c r="B256" s="238" t="n"/>
      <c r="C256" s="239" t="n"/>
      <c r="D256" s="239" t="n"/>
      <c r="E256" s="239" t="n"/>
      <c r="F256" s="240" t="n"/>
      <c r="G256" s="240" t="n"/>
      <c r="H256" s="241" t="n"/>
      <c r="I256" s="242" t="n"/>
      <c r="J256" s="242" t="n"/>
      <c r="K256" s="233" t="n"/>
      <c r="L256" s="233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56" t="n"/>
      <c r="N256" s="156" t="n"/>
      <c r="O256" s="156" t="n"/>
    </row>
    <row r="257" ht="18.75" customHeight="1" s="153">
      <c r="A257" s="227" t="n"/>
      <c r="B257" s="228" t="n"/>
      <c r="C257" s="229" t="n"/>
      <c r="D257" s="229" t="n"/>
      <c r="E257" s="229" t="n"/>
      <c r="F257" s="230" t="n"/>
      <c r="G257" s="230" t="n"/>
      <c r="H257" s="231" t="n"/>
      <c r="I257" s="232" t="n"/>
      <c r="J257" s="232" t="n"/>
      <c r="K257" s="233" t="n"/>
      <c r="L257" s="233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56" t="n"/>
      <c r="N257" s="156" t="n"/>
      <c r="O257" s="156" t="n"/>
    </row>
    <row r="258" ht="18.75" customHeight="1" s="153">
      <c r="A258" s="237" t="n"/>
      <c r="B258" s="238" t="n"/>
      <c r="C258" s="239" t="n"/>
      <c r="D258" s="239" t="n"/>
      <c r="E258" s="239" t="n"/>
      <c r="F258" s="240" t="n"/>
      <c r="G258" s="240" t="n"/>
      <c r="H258" s="241" t="n"/>
      <c r="I258" s="242" t="n"/>
      <c r="J258" s="242" t="n"/>
      <c r="K258" s="233" t="n"/>
      <c r="L258" s="233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56" t="n"/>
      <c r="N258" s="156" t="n"/>
      <c r="O258" s="156" t="n"/>
    </row>
    <row r="259" ht="18.75" customHeight="1" s="153">
      <c r="A259" s="227" t="n"/>
      <c r="B259" s="228" t="n"/>
      <c r="C259" s="229" t="n"/>
      <c r="D259" s="229" t="n"/>
      <c r="E259" s="229" t="n"/>
      <c r="F259" s="230" t="n"/>
      <c r="G259" s="230" t="n"/>
      <c r="H259" s="231" t="n"/>
      <c r="I259" s="232" t="n"/>
      <c r="J259" s="232" t="n"/>
      <c r="K259" s="233" t="n"/>
      <c r="L259" s="233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56" t="n"/>
      <c r="N259" s="156" t="n"/>
      <c r="O259" s="156" t="n"/>
    </row>
    <row r="260" ht="18.75" customHeight="1" s="153">
      <c r="A260" s="237" t="n"/>
      <c r="B260" s="238" t="n"/>
      <c r="C260" s="239" t="n"/>
      <c r="D260" s="239" t="n"/>
      <c r="E260" s="239" t="n"/>
      <c r="F260" s="240" t="n"/>
      <c r="G260" s="240" t="n"/>
      <c r="H260" s="241" t="n"/>
      <c r="I260" s="242" t="n"/>
      <c r="J260" s="242" t="n"/>
      <c r="K260" s="233" t="n"/>
      <c r="L260" s="233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56" t="n"/>
      <c r="N260" s="156" t="n"/>
      <c r="O260" s="156" t="n"/>
    </row>
    <row r="261" ht="18.75" customHeight="1" s="153">
      <c r="A261" s="227" t="n"/>
      <c r="B261" s="228" t="n"/>
      <c r="C261" s="229" t="n"/>
      <c r="D261" s="229" t="n"/>
      <c r="E261" s="229" t="n"/>
      <c r="F261" s="230" t="n"/>
      <c r="G261" s="230" t="n"/>
      <c r="H261" s="231" t="n"/>
      <c r="I261" s="232" t="n"/>
      <c r="J261" s="232" t="n"/>
      <c r="K261" s="233" t="n"/>
      <c r="L261" s="233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56" t="n"/>
      <c r="N261" s="156" t="n"/>
      <c r="O261" s="156" t="n"/>
    </row>
    <row r="262" ht="18.75" customHeight="1" s="153">
      <c r="A262" s="237" t="n"/>
      <c r="B262" s="238" t="n"/>
      <c r="C262" s="239" t="n"/>
      <c r="D262" s="239" t="n"/>
      <c r="E262" s="239" t="n"/>
      <c r="F262" s="240" t="n"/>
      <c r="G262" s="240" t="n"/>
      <c r="H262" s="241" t="n"/>
      <c r="I262" s="242" t="n"/>
      <c r="J262" s="242" t="n"/>
      <c r="K262" s="233" t="n"/>
      <c r="L262" s="233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56" t="n"/>
      <c r="N262" s="156" t="n"/>
      <c r="O262" s="156" t="n"/>
    </row>
    <row r="263" ht="18.75" customHeight="1" s="153">
      <c r="A263" s="227" t="n"/>
      <c r="B263" s="228" t="n"/>
      <c r="C263" s="229" t="n"/>
      <c r="D263" s="229" t="n"/>
      <c r="E263" s="229" t="n"/>
      <c r="F263" s="230" t="n"/>
      <c r="G263" s="230" t="n"/>
      <c r="H263" s="231" t="n"/>
      <c r="I263" s="232" t="n"/>
      <c r="J263" s="232" t="n"/>
      <c r="K263" s="233" t="n"/>
      <c r="L263" s="233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56" t="n"/>
      <c r="N263" s="156" t="n"/>
      <c r="O263" s="156" t="n"/>
    </row>
    <row r="264" ht="18.75" customHeight="1" s="153">
      <c r="A264" s="237" t="n"/>
      <c r="B264" s="238" t="n"/>
      <c r="C264" s="239" t="n"/>
      <c r="D264" s="239" t="n"/>
      <c r="E264" s="239" t="n"/>
      <c r="F264" s="240" t="n"/>
      <c r="G264" s="240" t="n"/>
      <c r="H264" s="241" t="n"/>
      <c r="I264" s="242" t="n"/>
      <c r="J264" s="242" t="n"/>
      <c r="K264" s="233" t="n"/>
      <c r="L264" s="233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56" t="n"/>
      <c r="N264" s="156" t="n"/>
      <c r="O264" s="156" t="n"/>
    </row>
    <row r="265" ht="18.75" customHeight="1" s="153">
      <c r="A265" s="227" t="n"/>
      <c r="B265" s="228" t="n"/>
      <c r="C265" s="229" t="n"/>
      <c r="D265" s="229" t="n"/>
      <c r="E265" s="229" t="n"/>
      <c r="F265" s="230" t="n"/>
      <c r="G265" s="230" t="n"/>
      <c r="H265" s="231" t="n"/>
      <c r="I265" s="232" t="n"/>
      <c r="J265" s="232" t="n"/>
      <c r="K265" s="233" t="n"/>
      <c r="L265" s="233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56" t="n"/>
      <c r="N265" s="156" t="n"/>
      <c r="O265" s="156" t="n"/>
    </row>
    <row r="266" ht="18.75" customHeight="1" s="153">
      <c r="A266" s="237" t="n"/>
      <c r="B266" s="238" t="n"/>
      <c r="C266" s="239" t="n"/>
      <c r="D266" s="239" t="n"/>
      <c r="E266" s="239" t="n"/>
      <c r="F266" s="240" t="n"/>
      <c r="G266" s="240" t="n"/>
      <c r="H266" s="241" t="n"/>
      <c r="I266" s="242" t="n"/>
      <c r="J266" s="242" t="n"/>
      <c r="K266" s="233" t="n"/>
      <c r="L266" s="233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56" t="n"/>
      <c r="N266" s="156" t="n"/>
      <c r="O266" s="156" t="n"/>
    </row>
    <row r="267" ht="18.75" customHeight="1" s="153">
      <c r="A267" s="227" t="n"/>
      <c r="B267" s="228" t="n"/>
      <c r="C267" s="229" t="n"/>
      <c r="D267" s="229" t="n"/>
      <c r="E267" s="229" t="n"/>
      <c r="F267" s="230" t="n"/>
      <c r="G267" s="230" t="n"/>
      <c r="H267" s="231" t="n"/>
      <c r="I267" s="232" t="n"/>
      <c r="J267" s="232" t="n"/>
      <c r="K267" s="233" t="n"/>
      <c r="L267" s="233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56" t="n"/>
      <c r="N267" s="156" t="n"/>
      <c r="O267" s="156" t="n"/>
    </row>
    <row r="268" ht="18.75" customHeight="1" s="153">
      <c r="A268" s="237" t="n"/>
      <c r="B268" s="238" t="n"/>
      <c r="C268" s="239" t="n"/>
      <c r="D268" s="239" t="n"/>
      <c r="E268" s="239" t="n"/>
      <c r="F268" s="240" t="n"/>
      <c r="G268" s="240" t="n"/>
      <c r="H268" s="241" t="n"/>
      <c r="I268" s="242" t="n"/>
      <c r="J268" s="242" t="n"/>
      <c r="K268" s="233" t="n"/>
      <c r="L268" s="233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56" t="n"/>
      <c r="N268" s="156" t="n"/>
      <c r="O268" s="156" t="n"/>
    </row>
    <row r="269" ht="18.75" customHeight="1" s="153">
      <c r="A269" s="227" t="n"/>
      <c r="B269" s="228" t="n"/>
      <c r="C269" s="229" t="n"/>
      <c r="D269" s="229" t="n"/>
      <c r="E269" s="229" t="n"/>
      <c r="F269" s="230" t="n"/>
      <c r="G269" s="230" t="n"/>
      <c r="H269" s="231" t="n"/>
      <c r="I269" s="232" t="n"/>
      <c r="J269" s="232" t="n"/>
      <c r="K269" s="233" t="n"/>
      <c r="L269" s="233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56" t="n"/>
      <c r="N269" s="156" t="n"/>
      <c r="O269" s="156" t="n"/>
    </row>
    <row r="270" ht="18.75" customHeight="1" s="153">
      <c r="A270" s="237" t="n"/>
      <c r="B270" s="238" t="n"/>
      <c r="C270" s="239" t="n"/>
      <c r="D270" s="239" t="n"/>
      <c r="E270" s="239" t="n"/>
      <c r="F270" s="240" t="n"/>
      <c r="G270" s="240" t="n"/>
      <c r="H270" s="241" t="n"/>
      <c r="I270" s="242" t="n"/>
      <c r="J270" s="242" t="n"/>
      <c r="K270" s="233" t="n"/>
      <c r="L270" s="233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56" t="n"/>
      <c r="N270" s="156" t="n"/>
      <c r="O270" s="156" t="n"/>
    </row>
    <row r="271" ht="18.75" customHeight="1" s="153">
      <c r="A271" s="227" t="n"/>
      <c r="B271" s="228" t="n"/>
      <c r="C271" s="229" t="n"/>
      <c r="D271" s="229" t="n"/>
      <c r="E271" s="229" t="n"/>
      <c r="F271" s="230" t="n"/>
      <c r="G271" s="230" t="n"/>
      <c r="H271" s="231" t="n"/>
      <c r="I271" s="232" t="n"/>
      <c r="J271" s="232" t="n"/>
      <c r="K271" s="233" t="n"/>
      <c r="L271" s="233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56" t="n"/>
      <c r="N271" s="156" t="n"/>
      <c r="O271" s="156" t="n"/>
    </row>
    <row r="272" ht="18.75" customHeight="1" s="153">
      <c r="A272" s="237" t="n"/>
      <c r="B272" s="238" t="n"/>
      <c r="C272" s="239" t="n"/>
      <c r="D272" s="239" t="n"/>
      <c r="E272" s="239" t="n"/>
      <c r="F272" s="240" t="n"/>
      <c r="G272" s="240" t="n"/>
      <c r="H272" s="241" t="n"/>
      <c r="I272" s="242" t="n"/>
      <c r="J272" s="242" t="n"/>
      <c r="K272" s="233" t="n"/>
      <c r="L272" s="233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56" t="n"/>
      <c r="N272" s="156" t="n"/>
      <c r="O272" s="156" t="n"/>
    </row>
    <row r="273" ht="18.75" customHeight="1" s="153">
      <c r="A273" s="227" t="n"/>
      <c r="B273" s="228" t="n"/>
      <c r="C273" s="229" t="n"/>
      <c r="D273" s="229" t="n"/>
      <c r="E273" s="229" t="n"/>
      <c r="F273" s="230" t="n"/>
      <c r="G273" s="230" t="n"/>
      <c r="H273" s="231" t="n"/>
      <c r="I273" s="232" t="n"/>
      <c r="J273" s="232" t="n"/>
      <c r="K273" s="233" t="n"/>
      <c r="L273" s="233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56" t="n"/>
      <c r="N273" s="156" t="n"/>
      <c r="O273" s="156" t="n"/>
    </row>
    <row r="274" ht="18.75" customHeight="1" s="153">
      <c r="A274" s="237" t="n"/>
      <c r="B274" s="238" t="n"/>
      <c r="C274" s="239" t="n"/>
      <c r="D274" s="239" t="n"/>
      <c r="E274" s="239" t="n"/>
      <c r="F274" s="240" t="n"/>
      <c r="G274" s="240" t="n"/>
      <c r="H274" s="241" t="n"/>
      <c r="I274" s="242" t="n"/>
      <c r="J274" s="242" t="n"/>
      <c r="K274" s="233" t="n"/>
      <c r="L274" s="233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56" t="n"/>
      <c r="N274" s="156" t="n"/>
      <c r="O274" s="156" t="n"/>
    </row>
    <row r="275" ht="18.75" customHeight="1" s="153">
      <c r="A275" s="227" t="n"/>
      <c r="B275" s="228" t="n"/>
      <c r="C275" s="229" t="n"/>
      <c r="D275" s="229" t="n"/>
      <c r="E275" s="229" t="n"/>
      <c r="F275" s="230" t="n"/>
      <c r="G275" s="230" t="n"/>
      <c r="H275" s="231" t="n"/>
      <c r="I275" s="232" t="n"/>
      <c r="J275" s="232" t="n"/>
      <c r="K275" s="233" t="n"/>
      <c r="L275" s="233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>
        <f>IFERROR(SUM(C5:C500),0)</f>
        <v/>
      </c>
      <c r="D501" s="255">
        <f>IFERROR(SUM(D5:D500),0)</f>
        <v/>
      </c>
      <c r="E501" s="255">
        <f>IFERROR(SUM(E5:E500),0)</f>
        <v/>
      </c>
      <c r="F501" s="255">
        <f>IFERROR(SUM(F5:F500),0)</f>
        <v/>
      </c>
      <c r="G501" s="255">
        <f>IFERROR(SUM(G5:G500),0)</f>
        <v/>
      </c>
      <c r="H501" s="256" t="n"/>
      <c r="I501" s="256" t="n"/>
      <c r="J501" s="256" t="n"/>
      <c r="K501" s="2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SEPTIEMBRE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SEPTIEMBRE</t>
        </is>
      </c>
    </row>
    <row r="5" ht="21.75" customHeight="1" s="153">
      <c r="A5" s="227" t="n"/>
      <c r="B5" s="228" t="n"/>
      <c r="C5" s="229" t="n"/>
      <c r="D5" s="229" t="n"/>
      <c r="E5" s="229" t="n"/>
      <c r="F5" s="230" t="n"/>
      <c r="G5" s="230" t="n"/>
      <c r="H5" s="231" t="n"/>
      <c r="I5" s="232" t="n"/>
      <c r="J5" s="232" t="n"/>
      <c r="K5" s="233" t="n"/>
      <c r="L5" s="233">
        <f>IF(K5&lt;&gt;"",(IF(H5="","",H5-(C5*COSTOS!$C$6+D5*COSTOS!$C$7+E5*COSTOS!$C$8+F5*COSTOS!$C$9+G5*COSTOS!$C$10)))+K5,IF(H5="","",H5-(C5*COSTOS!$C$6+D5*COSTOS!$C$7+E5*COSTOS!$C$8+F5*COSTOS!$C$9+G5*COSTOS!$C$10)))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n"/>
      <c r="C6" s="239" t="n"/>
      <c r="D6" s="239" t="n"/>
      <c r="E6" s="239" t="n"/>
      <c r="F6" s="240" t="n"/>
      <c r="G6" s="240" t="n"/>
      <c r="H6" s="241" t="n"/>
      <c r="I6" s="242" t="n"/>
      <c r="J6" s="242" t="n"/>
      <c r="K6" s="233" t="n"/>
      <c r="L6" s="233">
        <f>IF(K6&lt;&gt;"",(IF(H6="","",H6-(C6*COSTOS!$C$6+D6*COSTOS!$C$7+E6*COSTOS!$C$8+F6*COSTOS!$C$9+G6*COSTOS!$C$10)))+K6,IF(H6="","",H6-(C6*COSTOS!$C$6+D6*COSTOS!$C$7+E6*COSTOS!$C$8+F6*COSTOS!$C$9+G6*COSTOS!$C$10)))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n"/>
      <c r="C7" s="229" t="n"/>
      <c r="D7" s="229" t="n"/>
      <c r="E7" s="229" t="n"/>
      <c r="F7" s="230" t="n"/>
      <c r="G7" s="230" t="n"/>
      <c r="H7" s="231" t="n"/>
      <c r="I7" s="232" t="n"/>
      <c r="J7" s="232" t="n"/>
      <c r="K7" s="233" t="n"/>
      <c r="L7" s="233">
        <f>IF(K7&lt;&gt;"",(IF(H7="","",H7-(C7*COSTOS!$C$6+D7*COSTOS!$C$7+E7*COSTOS!$C$8+F7*COSTOS!$C$9+G7*COSTOS!$C$10)))+K7,IF(H7="","",H7-(C7*COSTOS!$C$6+D7*COSTOS!$C$7+E7*COSTOS!$C$8+F7*COSTOS!$C$9+G7*COSTOS!$C$10)))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n"/>
      <c r="C8" s="239" t="n"/>
      <c r="D8" s="239" t="n"/>
      <c r="E8" s="239" t="n"/>
      <c r="F8" s="240" t="n"/>
      <c r="G8" s="240" t="n"/>
      <c r="H8" s="241" t="n"/>
      <c r="I8" s="242" t="n"/>
      <c r="J8" s="242" t="n"/>
      <c r="K8" s="233" t="n"/>
      <c r="L8" s="233">
        <f>IF(K8&lt;&gt;"",(IF(H8="","",H8-(C8*COSTOS!$C$6+D8*COSTOS!$C$7+E8*COSTOS!$C$8+F8*COSTOS!$C$9+G8*COSTOS!$C$10)))+K8,IF(H8="","",H8-(C8*COSTOS!$C$6+D8*COSTOS!$C$7+E8*COSTOS!$C$8+F8*COSTOS!$C$9+G8*COSTOS!$C$10)))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n"/>
      <c r="C9" s="229" t="n"/>
      <c r="D9" s="229" t="n"/>
      <c r="E9" s="229" t="n"/>
      <c r="F9" s="230" t="n"/>
      <c r="G9" s="230" t="n"/>
      <c r="H9" s="231" t="n"/>
      <c r="I9" s="232" t="n"/>
      <c r="J9" s="232" t="n"/>
      <c r="K9" s="233" t="n"/>
      <c r="L9" s="233">
        <f>IF(K9&lt;&gt;"",(IF(H9="","",H9-(C9*COSTOS!$C$6+D9*COSTOS!$C$7+E9*COSTOS!$C$8+F9*COSTOS!$C$9+G9*COSTOS!$C$10)))+K9,IF(H9="","",H9-(C9*COSTOS!$C$6+D9*COSTOS!$C$7+E9*COSTOS!$C$8+F9*COSTOS!$C$9+G9*COSTOS!$C$10)))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n"/>
      <c r="C10" s="239" t="n"/>
      <c r="D10" s="239" t="n"/>
      <c r="E10" s="239" t="n"/>
      <c r="F10" s="240" t="n"/>
      <c r="G10" s="240" t="n"/>
      <c r="H10" s="241" t="n"/>
      <c r="I10" s="242" t="n"/>
      <c r="J10" s="242" t="n"/>
      <c r="K10" s="233" t="n"/>
      <c r="L10" s="233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56" t="n"/>
      <c r="N10" s="243" t="n"/>
      <c r="O10" s="244" t="n"/>
    </row>
    <row r="11" ht="21.75" customHeight="1" s="153">
      <c r="A11" s="227" t="n"/>
      <c r="B11" s="228" t="n"/>
      <c r="C11" s="229" t="n"/>
      <c r="D11" s="229" t="n"/>
      <c r="E11" s="229" t="n"/>
      <c r="F11" s="230" t="n"/>
      <c r="G11" s="230" t="n"/>
      <c r="H11" s="231" t="n"/>
      <c r="I11" s="232" t="n"/>
      <c r="J11" s="232" t="n"/>
      <c r="K11" s="233" t="n"/>
      <c r="L11" s="233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n"/>
      <c r="C12" s="239" t="n"/>
      <c r="D12" s="239" t="n"/>
      <c r="E12" s="239" t="n"/>
      <c r="F12" s="240" t="n"/>
      <c r="G12" s="240" t="n"/>
      <c r="H12" s="241" t="n"/>
      <c r="I12" s="242" t="n"/>
      <c r="J12" s="242" t="n"/>
      <c r="K12" s="233" t="n"/>
      <c r="L12" s="233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n"/>
      <c r="C13" s="229" t="n"/>
      <c r="D13" s="229" t="n"/>
      <c r="E13" s="229" t="n"/>
      <c r="F13" s="230" t="n"/>
      <c r="G13" s="230" t="n"/>
      <c r="H13" s="231" t="n"/>
      <c r="I13" s="232" t="n"/>
      <c r="J13" s="232" t="n"/>
      <c r="K13" s="233" t="n"/>
      <c r="L13" s="233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n"/>
      <c r="C14" s="239" t="n"/>
      <c r="D14" s="239" t="n"/>
      <c r="E14" s="239" t="n"/>
      <c r="F14" s="240" t="n"/>
      <c r="G14" s="240" t="n"/>
      <c r="H14" s="241" t="n"/>
      <c r="I14" s="242" t="n"/>
      <c r="J14" s="242" t="n"/>
      <c r="K14" s="233" t="n"/>
      <c r="L14" s="233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56" t="n"/>
      <c r="N14" s="243" t="n"/>
      <c r="O14" s="244" t="n"/>
    </row>
    <row r="15" ht="21.75" customHeight="1" s="153">
      <c r="A15" s="227" t="n"/>
      <c r="B15" s="228" t="n"/>
      <c r="C15" s="229" t="n"/>
      <c r="D15" s="229" t="n"/>
      <c r="E15" s="229" t="n"/>
      <c r="F15" s="230" t="n"/>
      <c r="G15" s="230" t="n"/>
      <c r="H15" s="231" t="n"/>
      <c r="I15" s="232" t="n"/>
      <c r="J15" s="232" t="n"/>
      <c r="K15" s="233" t="n"/>
      <c r="L15" s="233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n"/>
      <c r="C16" s="239" t="n"/>
      <c r="D16" s="239" t="n"/>
      <c r="E16" s="239" t="n"/>
      <c r="F16" s="240" t="n"/>
      <c r="G16" s="240" t="n"/>
      <c r="H16" s="241" t="n"/>
      <c r="I16" s="242" t="n"/>
      <c r="J16" s="242" t="n"/>
      <c r="K16" s="233" t="n"/>
      <c r="L16" s="233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n"/>
      <c r="C17" s="229" t="n"/>
      <c r="D17" s="229" t="n"/>
      <c r="E17" s="229" t="n"/>
      <c r="F17" s="230" t="n"/>
      <c r="G17" s="230" t="n"/>
      <c r="H17" s="231" t="n"/>
      <c r="I17" s="232" t="n"/>
      <c r="J17" s="232" t="n"/>
      <c r="K17" s="233" t="n"/>
      <c r="L17" s="233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56" t="n"/>
      <c r="N17" s="243" t="n"/>
      <c r="O17" s="244" t="n"/>
    </row>
    <row r="18" ht="21.75" customHeight="1" s="153">
      <c r="A18" s="237" t="n"/>
      <c r="B18" s="238" t="n"/>
      <c r="C18" s="239" t="n"/>
      <c r="D18" s="239" t="n"/>
      <c r="E18" s="239" t="n"/>
      <c r="F18" s="240" t="n"/>
      <c r="G18" s="240" t="n"/>
      <c r="H18" s="241" t="n"/>
      <c r="I18" s="242" t="n"/>
      <c r="J18" s="242" t="n"/>
      <c r="K18" s="233" t="n"/>
      <c r="L18" s="233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n"/>
      <c r="C19" s="229" t="n"/>
      <c r="D19" s="229" t="n"/>
      <c r="E19" s="229" t="n"/>
      <c r="F19" s="230" t="n"/>
      <c r="G19" s="230" t="n"/>
      <c r="H19" s="231" t="n"/>
      <c r="I19" s="232" t="n"/>
      <c r="J19" s="232" t="n"/>
      <c r="K19" s="233" t="n"/>
      <c r="L19" s="233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56" t="n"/>
      <c r="N19" s="234" t="inlineStr">
        <is>
          <t>DÍAS DEL MES</t>
        </is>
      </c>
      <c r="O19" s="250" t="n">
        <v>30</v>
      </c>
    </row>
    <row r="20" ht="21.75" customHeight="1" s="153">
      <c r="A20" s="237" t="n"/>
      <c r="B20" s="238" t="n"/>
      <c r="C20" s="239" t="n"/>
      <c r="D20" s="239" t="n"/>
      <c r="E20" s="239" t="n"/>
      <c r="F20" s="240" t="n"/>
      <c r="G20" s="240" t="n"/>
      <c r="H20" s="241" t="n"/>
      <c r="I20" s="242" t="n"/>
      <c r="J20" s="242" t="n"/>
      <c r="K20" s="233" t="n"/>
      <c r="L20" s="233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56" t="n"/>
      <c r="N20" s="243" t="n"/>
      <c r="O20" s="244" t="n"/>
    </row>
    <row r="21" ht="21.75" customHeight="1" s="153">
      <c r="A21" s="227" t="n"/>
      <c r="B21" s="228" t="n"/>
      <c r="C21" s="229" t="n"/>
      <c r="D21" s="229" t="n"/>
      <c r="E21" s="229" t="n"/>
      <c r="F21" s="230" t="n"/>
      <c r="G21" s="230" t="n"/>
      <c r="H21" s="231" t="n"/>
      <c r="I21" s="232" t="n"/>
      <c r="J21" s="232" t="n"/>
      <c r="K21" s="233" t="n"/>
      <c r="L21" s="233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37" t="n"/>
      <c r="B22" s="238" t="n"/>
      <c r="C22" s="239" t="n"/>
      <c r="D22" s="239" t="n"/>
      <c r="E22" s="239" t="n"/>
      <c r="F22" s="240" t="n"/>
      <c r="G22" s="240" t="n"/>
      <c r="H22" s="241" t="n"/>
      <c r="I22" s="242" t="n"/>
      <c r="J22" s="242" t="n"/>
      <c r="K22" s="233" t="n"/>
      <c r="L22" s="233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27" t="n"/>
      <c r="B23" s="228" t="n"/>
      <c r="C23" s="229" t="n"/>
      <c r="D23" s="229" t="n"/>
      <c r="E23" s="229" t="n"/>
      <c r="F23" s="230" t="n"/>
      <c r="G23" s="230" t="n"/>
      <c r="H23" s="231" t="n"/>
      <c r="I23" s="232" t="n"/>
      <c r="J23" s="232" t="n"/>
      <c r="K23" s="233" t="n"/>
      <c r="L23" s="233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56" t="n"/>
      <c r="N23" s="156" t="n"/>
      <c r="O23" s="156" t="n"/>
    </row>
    <row r="24" ht="18.75" customHeight="1" s="153">
      <c r="A24" s="237" t="n"/>
      <c r="B24" s="238" t="n"/>
      <c r="C24" s="239" t="n"/>
      <c r="D24" s="239" t="n"/>
      <c r="E24" s="239" t="n"/>
      <c r="F24" s="240" t="n"/>
      <c r="G24" s="240" t="n"/>
      <c r="H24" s="241" t="n"/>
      <c r="I24" s="242" t="n"/>
      <c r="J24" s="242" t="n"/>
      <c r="K24" s="233" t="n"/>
      <c r="L24" s="233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56" t="n"/>
      <c r="N24" s="156" t="n"/>
      <c r="O24" s="156" t="n"/>
    </row>
    <row r="25" ht="18.75" customHeight="1" s="153">
      <c r="A25" s="227" t="n"/>
      <c r="B25" s="228" t="n"/>
      <c r="C25" s="229" t="n"/>
      <c r="D25" s="229" t="n"/>
      <c r="E25" s="229" t="n"/>
      <c r="F25" s="230" t="n"/>
      <c r="G25" s="230" t="n"/>
      <c r="H25" s="231" t="n"/>
      <c r="I25" s="232" t="n"/>
      <c r="J25" s="232" t="n"/>
      <c r="K25" s="233" t="n"/>
      <c r="L25" s="233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56" t="n"/>
      <c r="N25" s="156" t="n"/>
      <c r="O25" s="156" t="n"/>
    </row>
    <row r="26" ht="18.75" customHeight="1" s="153">
      <c r="A26" s="237" t="n"/>
      <c r="B26" s="238" t="n"/>
      <c r="C26" s="239" t="n"/>
      <c r="D26" s="239" t="n"/>
      <c r="E26" s="239" t="n"/>
      <c r="F26" s="240" t="n"/>
      <c r="G26" s="240" t="n"/>
      <c r="H26" s="241" t="n"/>
      <c r="I26" s="242" t="n"/>
      <c r="J26" s="242" t="n"/>
      <c r="K26" s="233" t="n"/>
      <c r="L26" s="233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56" t="n"/>
      <c r="N26" s="156" t="n"/>
      <c r="O26" s="156" t="n"/>
    </row>
    <row r="27" ht="18.75" customHeight="1" s="153">
      <c r="A27" s="227" t="n"/>
      <c r="B27" s="228" t="n"/>
      <c r="C27" s="229" t="n"/>
      <c r="D27" s="229" t="n"/>
      <c r="E27" s="229" t="n"/>
      <c r="F27" s="230" t="n"/>
      <c r="G27" s="230" t="n"/>
      <c r="H27" s="231" t="n"/>
      <c r="I27" s="232" t="n"/>
      <c r="J27" s="232" t="n"/>
      <c r="K27" s="233" t="n"/>
      <c r="L27" s="233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56" t="n"/>
      <c r="N27" s="156" t="n"/>
      <c r="O27" s="156" t="n"/>
    </row>
    <row r="28" ht="18.75" customHeight="1" s="153">
      <c r="A28" s="237" t="n"/>
      <c r="B28" s="238" t="n"/>
      <c r="C28" s="239" t="n"/>
      <c r="D28" s="239" t="n"/>
      <c r="E28" s="239" t="n"/>
      <c r="F28" s="240" t="n"/>
      <c r="G28" s="240" t="n"/>
      <c r="H28" s="241" t="n"/>
      <c r="I28" s="242" t="n"/>
      <c r="J28" s="242" t="n"/>
      <c r="K28" s="233" t="n"/>
      <c r="L28" s="233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56" t="n"/>
      <c r="N28" s="156" t="n"/>
      <c r="O28" s="156" t="n"/>
    </row>
    <row r="29" ht="18.75" customHeight="1" s="153">
      <c r="A29" s="227" t="n"/>
      <c r="B29" s="228" t="n"/>
      <c r="C29" s="229" t="n"/>
      <c r="D29" s="229" t="n"/>
      <c r="E29" s="229" t="n"/>
      <c r="F29" s="230" t="n"/>
      <c r="G29" s="230" t="n"/>
      <c r="H29" s="231" t="n"/>
      <c r="I29" s="232" t="n"/>
      <c r="J29" s="232" t="n"/>
      <c r="K29" s="233" t="n"/>
      <c r="L29" s="233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56" t="n"/>
      <c r="N29" s="156" t="n"/>
      <c r="O29" s="156">
        <f>IFERROR(SUM(L5:L700)/COUNTA(B5:B700),0)</f>
        <v/>
      </c>
    </row>
    <row r="30" ht="18.75" customHeight="1" s="153">
      <c r="A30" s="237" t="n"/>
      <c r="B30" s="238" t="n"/>
      <c r="C30" s="239" t="n"/>
      <c r="D30" s="239" t="n"/>
      <c r="E30" s="239" t="n"/>
      <c r="F30" s="240" t="n"/>
      <c r="G30" s="240" t="n"/>
      <c r="H30" s="241" t="n"/>
      <c r="I30" s="242" t="n"/>
      <c r="J30" s="242" t="n"/>
      <c r="K30" s="233" t="n"/>
      <c r="L30" s="233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56" t="n"/>
      <c r="N30" s="156" t="n"/>
      <c r="O30" s="156" t="n"/>
    </row>
    <row r="31" ht="18.75" customHeight="1" s="153">
      <c r="A31" s="227" t="n"/>
      <c r="B31" s="228" t="n"/>
      <c r="C31" s="229" t="n"/>
      <c r="D31" s="229" t="n"/>
      <c r="E31" s="229" t="n"/>
      <c r="F31" s="230" t="n"/>
      <c r="G31" s="230" t="n"/>
      <c r="H31" s="231" t="n"/>
      <c r="I31" s="232" t="n"/>
      <c r="J31" s="232" t="n"/>
      <c r="K31" s="233" t="n"/>
      <c r="L31" s="233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56" t="n"/>
      <c r="N31" s="156" t="n"/>
      <c r="O31" s="156" t="n"/>
    </row>
    <row r="32" ht="18.75" customHeight="1" s="153">
      <c r="A32" s="237" t="n"/>
      <c r="B32" s="238" t="n"/>
      <c r="C32" s="239" t="n"/>
      <c r="D32" s="239" t="n"/>
      <c r="E32" s="239" t="n"/>
      <c r="F32" s="240" t="n"/>
      <c r="G32" s="240" t="n"/>
      <c r="H32" s="241" t="n"/>
      <c r="I32" s="242" t="n"/>
      <c r="J32" s="242" t="n"/>
      <c r="K32" s="233" t="n"/>
      <c r="L32" s="233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56" t="n"/>
      <c r="N32" s="156" t="n"/>
      <c r="O32" s="156" t="n"/>
    </row>
    <row r="33" ht="18.75" customHeight="1" s="153">
      <c r="A33" s="227" t="n"/>
      <c r="B33" s="228" t="n"/>
      <c r="C33" s="229" t="n"/>
      <c r="D33" s="229" t="n"/>
      <c r="E33" s="229" t="n"/>
      <c r="F33" s="230" t="n"/>
      <c r="G33" s="230" t="n"/>
      <c r="H33" s="231" t="n"/>
      <c r="I33" s="232" t="n"/>
      <c r="J33" s="232" t="n"/>
      <c r="K33" s="233" t="n"/>
      <c r="L33" s="233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56" t="n"/>
      <c r="N33" s="156" t="n"/>
      <c r="O33" s="156" t="n"/>
    </row>
    <row r="34" ht="18.75" customHeight="1" s="153">
      <c r="A34" s="237" t="n"/>
      <c r="B34" s="238" t="n"/>
      <c r="C34" s="239" t="n"/>
      <c r="D34" s="239" t="n"/>
      <c r="E34" s="239" t="n"/>
      <c r="F34" s="240" t="n"/>
      <c r="G34" s="240" t="n"/>
      <c r="H34" s="241" t="n"/>
      <c r="I34" s="242" t="n"/>
      <c r="J34" s="242" t="n"/>
      <c r="K34" s="233" t="n"/>
      <c r="L34" s="233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56" t="n"/>
      <c r="N34" s="156" t="n"/>
      <c r="O34" s="156" t="n"/>
    </row>
    <row r="35" ht="18.75" customHeight="1" s="153">
      <c r="A35" s="227" t="n"/>
      <c r="B35" s="228" t="n"/>
      <c r="C35" s="229" t="n"/>
      <c r="D35" s="229" t="n"/>
      <c r="E35" s="229" t="n"/>
      <c r="F35" s="230" t="n"/>
      <c r="G35" s="230" t="n"/>
      <c r="H35" s="231" t="n"/>
      <c r="I35" s="232" t="n"/>
      <c r="J35" s="232" t="n"/>
      <c r="K35" s="233" t="n"/>
      <c r="L35" s="233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56" t="n"/>
      <c r="N35" s="156" t="n"/>
      <c r="O35" s="156" t="n"/>
    </row>
    <row r="36" ht="18.75" customHeight="1" s="153">
      <c r="A36" s="237" t="n"/>
      <c r="B36" s="238" t="n"/>
      <c r="C36" s="239" t="n"/>
      <c r="D36" s="239" t="n"/>
      <c r="E36" s="239" t="n"/>
      <c r="F36" s="240" t="n"/>
      <c r="G36" s="240" t="n"/>
      <c r="H36" s="241" t="n"/>
      <c r="I36" s="242" t="n"/>
      <c r="J36" s="242" t="n"/>
      <c r="K36" s="233" t="n"/>
      <c r="L36" s="233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56" t="n"/>
      <c r="N36" s="156" t="n"/>
      <c r="O36" s="156" t="n"/>
    </row>
    <row r="37" ht="18.75" customHeight="1" s="153">
      <c r="A37" s="227" t="n"/>
      <c r="B37" s="228" t="n"/>
      <c r="C37" s="229" t="n"/>
      <c r="D37" s="229" t="n"/>
      <c r="E37" s="229" t="n"/>
      <c r="F37" s="230" t="n"/>
      <c r="G37" s="230" t="n"/>
      <c r="H37" s="231" t="n"/>
      <c r="I37" s="232" t="n"/>
      <c r="J37" s="232" t="n"/>
      <c r="K37" s="233" t="n"/>
      <c r="L37" s="233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56" t="n"/>
      <c r="N37" s="156" t="n"/>
      <c r="O37" s="156" t="n"/>
    </row>
    <row r="38" ht="18.75" customHeight="1" s="153">
      <c r="A38" s="237" t="n"/>
      <c r="B38" s="238" t="n"/>
      <c r="C38" s="239" t="n"/>
      <c r="D38" s="239" t="n"/>
      <c r="E38" s="239" t="n"/>
      <c r="F38" s="240" t="n"/>
      <c r="G38" s="240" t="n"/>
      <c r="H38" s="241" t="n"/>
      <c r="I38" s="242" t="n"/>
      <c r="J38" s="242" t="n"/>
      <c r="K38" s="233" t="n"/>
      <c r="L38" s="233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56" t="n"/>
      <c r="N38" s="156" t="n"/>
      <c r="O38" s="156" t="n"/>
    </row>
    <row r="39" ht="18.75" customHeight="1" s="153">
      <c r="A39" s="227" t="n"/>
      <c r="B39" s="228" t="n"/>
      <c r="C39" s="229" t="n"/>
      <c r="D39" s="229" t="n"/>
      <c r="E39" s="229" t="n"/>
      <c r="F39" s="230" t="n"/>
      <c r="G39" s="230" t="n"/>
      <c r="H39" s="231" t="n"/>
      <c r="I39" s="232" t="n"/>
      <c r="J39" s="232" t="n"/>
      <c r="K39" s="233" t="n"/>
      <c r="L39" s="233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56" t="n"/>
      <c r="N39" s="156" t="n"/>
      <c r="O39" s="156" t="n"/>
    </row>
    <row r="40" ht="18.75" customHeight="1" s="153">
      <c r="A40" s="237" t="n"/>
      <c r="B40" s="238" t="n"/>
      <c r="C40" s="239" t="n"/>
      <c r="D40" s="239" t="n"/>
      <c r="E40" s="239" t="n"/>
      <c r="F40" s="240" t="n"/>
      <c r="G40" s="240" t="n"/>
      <c r="H40" s="241" t="n"/>
      <c r="I40" s="242" t="n"/>
      <c r="J40" s="242" t="n"/>
      <c r="K40" s="233" t="n"/>
      <c r="L40" s="233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56" t="n"/>
      <c r="N40" s="156" t="n"/>
      <c r="O40" s="156" t="n"/>
    </row>
    <row r="41" ht="18.75" customHeight="1" s="153">
      <c r="A41" s="227" t="n"/>
      <c r="B41" s="228" t="n"/>
      <c r="C41" s="229" t="n"/>
      <c r="D41" s="229" t="n"/>
      <c r="E41" s="229" t="n"/>
      <c r="F41" s="230" t="n"/>
      <c r="G41" s="230" t="n"/>
      <c r="H41" s="231" t="n"/>
      <c r="I41" s="232" t="n"/>
      <c r="J41" s="232" t="n"/>
      <c r="K41" s="233" t="n"/>
      <c r="L41" s="233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56" t="n"/>
      <c r="N41" s="156" t="n"/>
      <c r="O41" s="156" t="n"/>
    </row>
    <row r="42" ht="18.75" customHeight="1" s="153">
      <c r="A42" s="237" t="n"/>
      <c r="B42" s="238" t="n"/>
      <c r="C42" s="239" t="n"/>
      <c r="D42" s="239" t="n"/>
      <c r="E42" s="239" t="n"/>
      <c r="F42" s="240" t="n"/>
      <c r="G42" s="240" t="n"/>
      <c r="H42" s="241" t="n"/>
      <c r="I42" s="242" t="n"/>
      <c r="J42" s="242" t="n"/>
      <c r="K42" s="233" t="n"/>
      <c r="L42" s="233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56" t="n"/>
      <c r="N42" s="156" t="n"/>
      <c r="O42" s="156" t="n"/>
    </row>
    <row r="43" ht="18.75" customHeight="1" s="153">
      <c r="A43" s="227" t="n"/>
      <c r="B43" s="228" t="n"/>
      <c r="C43" s="229" t="n"/>
      <c r="D43" s="229" t="n"/>
      <c r="E43" s="229" t="n"/>
      <c r="F43" s="230" t="n"/>
      <c r="G43" s="230" t="n"/>
      <c r="H43" s="231" t="n"/>
      <c r="I43" s="232" t="n"/>
      <c r="J43" s="232" t="n"/>
      <c r="K43" s="233" t="n"/>
      <c r="L43" s="233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56" t="n"/>
      <c r="N43" s="156" t="n"/>
      <c r="O43" s="156" t="n"/>
    </row>
    <row r="44" ht="18.75" customHeight="1" s="153">
      <c r="A44" s="237" t="n"/>
      <c r="B44" s="238" t="n"/>
      <c r="C44" s="239" t="n"/>
      <c r="D44" s="239" t="n"/>
      <c r="E44" s="239" t="n"/>
      <c r="F44" s="240" t="n"/>
      <c r="G44" s="240" t="n"/>
      <c r="H44" s="241" t="n"/>
      <c r="I44" s="242" t="n"/>
      <c r="J44" s="242" t="n"/>
      <c r="K44" s="233" t="n"/>
      <c r="L44" s="233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56" t="n"/>
      <c r="N44" s="156" t="n"/>
      <c r="O44" s="156" t="n"/>
    </row>
    <row r="45" ht="18.75" customHeight="1" s="153">
      <c r="A45" s="227" t="n"/>
      <c r="B45" s="228" t="n"/>
      <c r="C45" s="229" t="n"/>
      <c r="D45" s="229" t="n"/>
      <c r="E45" s="229" t="n"/>
      <c r="F45" s="230" t="n"/>
      <c r="G45" s="230" t="n"/>
      <c r="H45" s="231" t="n"/>
      <c r="I45" s="232" t="n"/>
      <c r="J45" s="232" t="n"/>
      <c r="K45" s="233" t="n"/>
      <c r="L45" s="233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56" t="n"/>
      <c r="N45" s="156" t="n"/>
      <c r="O45" s="156" t="n"/>
    </row>
    <row r="46" ht="18.75" customHeight="1" s="153">
      <c r="A46" s="237" t="n"/>
      <c r="B46" s="238" t="n"/>
      <c r="C46" s="239" t="n"/>
      <c r="D46" s="239" t="n"/>
      <c r="E46" s="239" t="n"/>
      <c r="F46" s="240" t="n"/>
      <c r="G46" s="240" t="n"/>
      <c r="H46" s="241" t="n"/>
      <c r="I46" s="242" t="n"/>
      <c r="J46" s="242" t="n"/>
      <c r="K46" s="233" t="n"/>
      <c r="L46" s="233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56" t="n"/>
      <c r="N46" s="156" t="n"/>
      <c r="O46" s="156" t="n"/>
    </row>
    <row r="47" ht="18.75" customHeight="1" s="153">
      <c r="A47" s="227" t="n"/>
      <c r="B47" s="228" t="n"/>
      <c r="C47" s="229" t="n"/>
      <c r="D47" s="229" t="n"/>
      <c r="E47" s="229" t="n"/>
      <c r="F47" s="230" t="n"/>
      <c r="G47" s="230" t="n"/>
      <c r="H47" s="231" t="n"/>
      <c r="I47" s="232" t="n"/>
      <c r="J47" s="232" t="n"/>
      <c r="K47" s="233" t="n"/>
      <c r="L47" s="233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56" t="n"/>
      <c r="N47" s="156" t="n"/>
      <c r="O47" s="156" t="n"/>
    </row>
    <row r="48" ht="18.75" customHeight="1" s="153">
      <c r="A48" s="237" t="n"/>
      <c r="B48" s="238" t="n"/>
      <c r="C48" s="239" t="n"/>
      <c r="D48" s="239" t="n"/>
      <c r="E48" s="239" t="n"/>
      <c r="F48" s="240" t="n"/>
      <c r="G48" s="240" t="n"/>
      <c r="H48" s="241" t="n"/>
      <c r="I48" s="242" t="n"/>
      <c r="J48" s="242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n"/>
      <c r="C49" s="229" t="n"/>
      <c r="D49" s="229" t="n"/>
      <c r="E49" s="229" t="n"/>
      <c r="F49" s="230" t="n"/>
      <c r="G49" s="230" t="n"/>
      <c r="H49" s="231" t="n"/>
      <c r="I49" s="232" t="n"/>
      <c r="J49" s="232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37" t="n"/>
      <c r="B50" s="238" t="n"/>
      <c r="C50" s="239" t="n"/>
      <c r="D50" s="239" t="n"/>
      <c r="E50" s="239" t="n"/>
      <c r="F50" s="240" t="n"/>
      <c r="G50" s="240" t="n"/>
      <c r="H50" s="241" t="n"/>
      <c r="I50" s="242" t="n"/>
      <c r="J50" s="242" t="n"/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n"/>
      <c r="C51" s="229" t="n"/>
      <c r="D51" s="229" t="n"/>
      <c r="E51" s="229" t="n"/>
      <c r="F51" s="230" t="n"/>
      <c r="G51" s="230" t="n"/>
      <c r="H51" s="231" t="n"/>
      <c r="I51" s="232" t="n"/>
      <c r="J51" s="232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37" t="n"/>
      <c r="B52" s="238" t="n"/>
      <c r="C52" s="239" t="n"/>
      <c r="D52" s="239" t="n"/>
      <c r="E52" s="239" t="n"/>
      <c r="F52" s="240" t="n"/>
      <c r="G52" s="240" t="n"/>
      <c r="H52" s="241" t="n"/>
      <c r="I52" s="242" t="n"/>
      <c r="J52" s="242" t="n"/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n"/>
      <c r="C53" s="229" t="n"/>
      <c r="D53" s="229" t="n"/>
      <c r="E53" s="229" t="n"/>
      <c r="F53" s="230" t="n"/>
      <c r="G53" s="230" t="n"/>
      <c r="H53" s="231" t="n"/>
      <c r="I53" s="232" t="n"/>
      <c r="J53" s="232" t="n"/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37" t="n"/>
      <c r="B54" s="238" t="n"/>
      <c r="C54" s="239" t="n"/>
      <c r="D54" s="239" t="n"/>
      <c r="E54" s="239" t="n"/>
      <c r="F54" s="240" t="n"/>
      <c r="G54" s="240" t="n"/>
      <c r="H54" s="241" t="n"/>
      <c r="I54" s="242" t="n"/>
      <c r="J54" s="242" t="n"/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n"/>
      <c r="C55" s="229" t="n"/>
      <c r="D55" s="229" t="n"/>
      <c r="E55" s="229" t="n"/>
      <c r="F55" s="230" t="n"/>
      <c r="G55" s="230" t="n"/>
      <c r="H55" s="231" t="n"/>
      <c r="I55" s="232" t="n"/>
      <c r="J55" s="232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37" t="n"/>
      <c r="B56" s="238" t="n"/>
      <c r="C56" s="239" t="n"/>
      <c r="D56" s="239" t="n"/>
      <c r="E56" s="239" t="n"/>
      <c r="F56" s="240" t="n"/>
      <c r="G56" s="240" t="n"/>
      <c r="H56" s="241" t="n"/>
      <c r="I56" s="242" t="n"/>
      <c r="J56" s="242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n"/>
      <c r="C57" s="229" t="n"/>
      <c r="D57" s="229" t="n"/>
      <c r="E57" s="229" t="n"/>
      <c r="F57" s="230" t="n"/>
      <c r="G57" s="230" t="n"/>
      <c r="H57" s="231" t="n"/>
      <c r="I57" s="232" t="n"/>
      <c r="J57" s="232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37" t="n"/>
      <c r="B58" s="238" t="n"/>
      <c r="C58" s="239" t="n"/>
      <c r="D58" s="239" t="n"/>
      <c r="E58" s="239" t="n"/>
      <c r="F58" s="240" t="n"/>
      <c r="G58" s="240" t="n"/>
      <c r="H58" s="241" t="n"/>
      <c r="I58" s="242" t="n"/>
      <c r="J58" s="242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n"/>
      <c r="C59" s="229" t="n"/>
      <c r="D59" s="229" t="n"/>
      <c r="E59" s="229" t="n"/>
      <c r="F59" s="230" t="n"/>
      <c r="G59" s="230" t="n"/>
      <c r="H59" s="231" t="n"/>
      <c r="I59" s="232" t="n"/>
      <c r="J59" s="232" t="n"/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37" t="n"/>
      <c r="B60" s="238" t="n"/>
      <c r="C60" s="239" t="n"/>
      <c r="D60" s="239" t="n"/>
      <c r="E60" s="239" t="n"/>
      <c r="F60" s="240" t="n"/>
      <c r="G60" s="240" t="n"/>
      <c r="H60" s="241" t="n"/>
      <c r="I60" s="242" t="n"/>
      <c r="J60" s="242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n"/>
      <c r="C61" s="229" t="n"/>
      <c r="D61" s="229" t="n"/>
      <c r="E61" s="229" t="n"/>
      <c r="F61" s="230" t="n"/>
      <c r="G61" s="230" t="n"/>
      <c r="H61" s="231" t="n"/>
      <c r="I61" s="232" t="n"/>
      <c r="J61" s="232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37" t="n"/>
      <c r="B62" s="238" t="n"/>
      <c r="C62" s="239" t="n"/>
      <c r="D62" s="239" t="n"/>
      <c r="E62" s="239" t="n"/>
      <c r="F62" s="240" t="n"/>
      <c r="G62" s="240" t="n"/>
      <c r="H62" s="241" t="n"/>
      <c r="I62" s="242" t="n"/>
      <c r="J62" s="242" t="n"/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n"/>
      <c r="C63" s="229" t="n"/>
      <c r="D63" s="229" t="n"/>
      <c r="E63" s="229" t="n"/>
      <c r="F63" s="230" t="n"/>
      <c r="G63" s="230" t="n"/>
      <c r="H63" s="231" t="n"/>
      <c r="I63" s="232" t="n"/>
      <c r="J63" s="232" t="n"/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37" t="n"/>
      <c r="B64" s="238" t="n"/>
      <c r="C64" s="239" t="n"/>
      <c r="D64" s="239" t="n"/>
      <c r="E64" s="239" t="n"/>
      <c r="F64" s="240" t="n"/>
      <c r="G64" s="240" t="n"/>
      <c r="H64" s="241" t="n"/>
      <c r="I64" s="242" t="n"/>
      <c r="J64" s="242" t="n"/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n"/>
      <c r="C65" s="229" t="n"/>
      <c r="D65" s="229" t="n"/>
      <c r="E65" s="229" t="n"/>
      <c r="F65" s="230" t="n"/>
      <c r="G65" s="230" t="n"/>
      <c r="H65" s="231" t="n"/>
      <c r="I65" s="232" t="n"/>
      <c r="J65" s="232" t="n"/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37" t="n"/>
      <c r="B66" s="238" t="n"/>
      <c r="C66" s="239" t="n"/>
      <c r="D66" s="239" t="n"/>
      <c r="E66" s="239" t="n"/>
      <c r="F66" s="240" t="n"/>
      <c r="G66" s="240" t="n"/>
      <c r="H66" s="241" t="n"/>
      <c r="I66" s="242" t="n"/>
      <c r="J66" s="242" t="n"/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/>
      <c r="B67" s="228" t="n"/>
      <c r="C67" s="229" t="n"/>
      <c r="D67" s="229" t="n"/>
      <c r="E67" s="229" t="n"/>
      <c r="F67" s="230" t="n"/>
      <c r="G67" s="230" t="n"/>
      <c r="H67" s="231" t="n"/>
      <c r="I67" s="232" t="n"/>
      <c r="J67" s="232" t="n"/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37" t="n"/>
      <c r="B68" s="238" t="n"/>
      <c r="C68" s="239" t="n"/>
      <c r="D68" s="239" t="n"/>
      <c r="E68" s="239" t="n"/>
      <c r="F68" s="240" t="n"/>
      <c r="G68" s="240" t="n"/>
      <c r="H68" s="241" t="n"/>
      <c r="I68" s="242" t="n"/>
      <c r="J68" s="242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n"/>
      <c r="C69" s="229" t="n"/>
      <c r="D69" s="229" t="n"/>
      <c r="E69" s="229" t="n"/>
      <c r="F69" s="230" t="n"/>
      <c r="G69" s="230" t="n"/>
      <c r="H69" s="231" t="n"/>
      <c r="I69" s="232" t="n"/>
      <c r="J69" s="232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37" t="n"/>
      <c r="B70" s="238" t="n"/>
      <c r="C70" s="239" t="n"/>
      <c r="D70" s="239" t="n"/>
      <c r="E70" s="239" t="n"/>
      <c r="F70" s="240" t="n"/>
      <c r="G70" s="240" t="n"/>
      <c r="H70" s="241" t="n"/>
      <c r="I70" s="242" t="n"/>
      <c r="J70" s="242" t="n"/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n"/>
      <c r="C71" s="229" t="n"/>
      <c r="D71" s="229" t="n"/>
      <c r="E71" s="229" t="n"/>
      <c r="F71" s="230" t="n"/>
      <c r="G71" s="230" t="n"/>
      <c r="H71" s="231" t="n"/>
      <c r="I71" s="232" t="n"/>
      <c r="J71" s="232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37" t="n"/>
      <c r="B72" s="238" t="n"/>
      <c r="C72" s="239" t="n"/>
      <c r="D72" s="239" t="n"/>
      <c r="E72" s="239" t="n"/>
      <c r="F72" s="240" t="n"/>
      <c r="G72" s="240" t="n"/>
      <c r="H72" s="241" t="n"/>
      <c r="I72" s="242" t="n"/>
      <c r="J72" s="242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n"/>
      <c r="C73" s="229" t="n"/>
      <c r="D73" s="229" t="n"/>
      <c r="E73" s="229" t="n"/>
      <c r="F73" s="230" t="n"/>
      <c r="G73" s="230" t="n"/>
      <c r="H73" s="231" t="n"/>
      <c r="I73" s="232" t="n"/>
      <c r="J73" s="232" t="n"/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37" t="n"/>
      <c r="B74" s="238" t="n"/>
      <c r="C74" s="239" t="n"/>
      <c r="D74" s="239" t="n"/>
      <c r="E74" s="239" t="n"/>
      <c r="F74" s="240" t="n"/>
      <c r="G74" s="240" t="n"/>
      <c r="H74" s="241" t="n"/>
      <c r="I74" s="242" t="n"/>
      <c r="J74" s="242" t="n"/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n"/>
      <c r="C75" s="229" t="n"/>
      <c r="D75" s="229" t="n"/>
      <c r="E75" s="229" t="n"/>
      <c r="F75" s="230" t="n"/>
      <c r="G75" s="230" t="n"/>
      <c r="H75" s="231" t="n"/>
      <c r="I75" s="232" t="n"/>
      <c r="J75" s="232" t="n"/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37" t="n"/>
      <c r="B76" s="238" t="n"/>
      <c r="C76" s="239" t="n"/>
      <c r="D76" s="239" t="n"/>
      <c r="E76" s="239" t="n"/>
      <c r="F76" s="240" t="n"/>
      <c r="G76" s="240" t="n"/>
      <c r="H76" s="241" t="n"/>
      <c r="I76" s="242" t="n"/>
      <c r="J76" s="242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n"/>
      <c r="C77" s="229" t="n"/>
      <c r="D77" s="229" t="n"/>
      <c r="E77" s="229" t="n"/>
      <c r="F77" s="230" t="n"/>
      <c r="G77" s="230" t="n"/>
      <c r="H77" s="231" t="n"/>
      <c r="I77" s="232" t="n"/>
      <c r="J77" s="232" t="n"/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37" t="n"/>
      <c r="B78" s="238" t="n"/>
      <c r="C78" s="239" t="n"/>
      <c r="D78" s="239" t="n"/>
      <c r="E78" s="239" t="n"/>
      <c r="F78" s="240" t="n"/>
      <c r="G78" s="240" t="n"/>
      <c r="H78" s="241" t="n"/>
      <c r="I78" s="242" t="n"/>
      <c r="J78" s="242" t="n"/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n"/>
      <c r="C79" s="229" t="n"/>
      <c r="D79" s="229" t="n"/>
      <c r="E79" s="229" t="n"/>
      <c r="F79" s="230" t="n"/>
      <c r="G79" s="230" t="n"/>
      <c r="H79" s="231" t="n"/>
      <c r="I79" s="232" t="n"/>
      <c r="J79" s="232" t="n"/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37" t="n"/>
      <c r="B80" s="238" t="n"/>
      <c r="C80" s="239" t="n"/>
      <c r="D80" s="239" t="n"/>
      <c r="E80" s="239" t="n"/>
      <c r="F80" s="240" t="n"/>
      <c r="G80" s="240" t="n"/>
      <c r="H80" s="241" t="n"/>
      <c r="I80" s="242" t="n"/>
      <c r="J80" s="242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n"/>
      <c r="C81" s="229" t="n"/>
      <c r="D81" s="229" t="n"/>
      <c r="E81" s="229" t="n"/>
      <c r="F81" s="230" t="n"/>
      <c r="G81" s="230" t="n"/>
      <c r="H81" s="231" t="n"/>
      <c r="I81" s="232" t="n"/>
      <c r="J81" s="232" t="n"/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37" t="n"/>
      <c r="B82" s="238" t="n"/>
      <c r="C82" s="239" t="n"/>
      <c r="D82" s="239" t="n"/>
      <c r="E82" s="239" t="n"/>
      <c r="F82" s="240" t="n"/>
      <c r="G82" s="240" t="n"/>
      <c r="H82" s="241" t="n"/>
      <c r="I82" s="242" t="n"/>
      <c r="J82" s="242" t="n"/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n"/>
      <c r="C83" s="229" t="n"/>
      <c r="D83" s="229" t="n"/>
      <c r="E83" s="229" t="n"/>
      <c r="F83" s="230" t="n"/>
      <c r="G83" s="230" t="n"/>
      <c r="H83" s="231" t="n"/>
      <c r="I83" s="232" t="n"/>
      <c r="J83" s="232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37" t="n"/>
      <c r="B84" s="238" t="n"/>
      <c r="C84" s="239" t="n"/>
      <c r="D84" s="239" t="n"/>
      <c r="E84" s="239" t="n"/>
      <c r="F84" s="240" t="n"/>
      <c r="G84" s="240" t="n"/>
      <c r="H84" s="241" t="n"/>
      <c r="I84" s="242" t="n"/>
      <c r="J84" s="242" t="n"/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n"/>
      <c r="C85" s="229" t="n"/>
      <c r="D85" s="229" t="n"/>
      <c r="E85" s="229" t="n"/>
      <c r="F85" s="230" t="n"/>
      <c r="G85" s="230" t="n"/>
      <c r="H85" s="231" t="n"/>
      <c r="I85" s="232" t="n"/>
      <c r="J85" s="232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37" t="n"/>
      <c r="B86" s="238" t="n"/>
      <c r="C86" s="239" t="n"/>
      <c r="D86" s="239" t="n"/>
      <c r="E86" s="239" t="n"/>
      <c r="F86" s="240" t="n"/>
      <c r="G86" s="240" t="n"/>
      <c r="H86" s="241" t="n"/>
      <c r="I86" s="242" t="n"/>
      <c r="J86" s="242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/>
      <c r="B87" s="228" t="n"/>
      <c r="C87" s="229" t="n"/>
      <c r="D87" s="229" t="n"/>
      <c r="E87" s="229" t="n"/>
      <c r="F87" s="230" t="n"/>
      <c r="G87" s="230" t="n"/>
      <c r="H87" s="231" t="n"/>
      <c r="I87" s="232" t="n"/>
      <c r="J87" s="232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37" t="n"/>
      <c r="B88" s="238" t="n"/>
      <c r="C88" s="239" t="n"/>
      <c r="D88" s="239" t="n"/>
      <c r="E88" s="239" t="n"/>
      <c r="F88" s="240" t="n"/>
      <c r="G88" s="240" t="n"/>
      <c r="H88" s="241" t="n"/>
      <c r="I88" s="242" t="n"/>
      <c r="J88" s="242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n"/>
      <c r="C89" s="229" t="n"/>
      <c r="D89" s="229" t="n"/>
      <c r="E89" s="229" t="n"/>
      <c r="F89" s="230" t="n"/>
      <c r="G89" s="230" t="n"/>
      <c r="H89" s="231" t="n"/>
      <c r="I89" s="232" t="n"/>
      <c r="J89" s="232" t="n"/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37" t="n"/>
      <c r="B90" s="238" t="n"/>
      <c r="C90" s="239" t="n"/>
      <c r="D90" s="239" t="n"/>
      <c r="E90" s="239" t="n"/>
      <c r="F90" s="240" t="n"/>
      <c r="G90" s="240" t="n"/>
      <c r="H90" s="241" t="n"/>
      <c r="I90" s="242" t="n"/>
      <c r="J90" s="242" t="n"/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n"/>
      <c r="C91" s="229" t="n"/>
      <c r="D91" s="229" t="n"/>
      <c r="E91" s="229" t="n"/>
      <c r="F91" s="230" t="n"/>
      <c r="G91" s="230" t="n"/>
      <c r="H91" s="231" t="n"/>
      <c r="I91" s="232" t="n"/>
      <c r="J91" s="232" t="n"/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37" t="n"/>
      <c r="B92" s="238" t="n"/>
      <c r="C92" s="239" t="n"/>
      <c r="D92" s="239" t="n"/>
      <c r="E92" s="239" t="n"/>
      <c r="F92" s="240" t="n"/>
      <c r="G92" s="240" t="n"/>
      <c r="H92" s="241" t="n"/>
      <c r="I92" s="242" t="n"/>
      <c r="J92" s="242" t="n"/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n"/>
      <c r="C93" s="229" t="n"/>
      <c r="D93" s="229" t="n"/>
      <c r="E93" s="229" t="n"/>
      <c r="F93" s="230" t="n"/>
      <c r="G93" s="230" t="n"/>
      <c r="H93" s="231" t="n"/>
      <c r="I93" s="232" t="n"/>
      <c r="J93" s="232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37" t="n"/>
      <c r="B94" s="238" t="n"/>
      <c r="C94" s="239" t="n"/>
      <c r="D94" s="239" t="n"/>
      <c r="E94" s="239" t="n"/>
      <c r="F94" s="240" t="n"/>
      <c r="G94" s="240" t="n"/>
      <c r="H94" s="241" t="n"/>
      <c r="I94" s="242" t="n"/>
      <c r="J94" s="242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n"/>
      <c r="C95" s="229" t="n"/>
      <c r="D95" s="229" t="n"/>
      <c r="E95" s="229" t="n"/>
      <c r="F95" s="230" t="n"/>
      <c r="G95" s="230" t="n"/>
      <c r="H95" s="231" t="n"/>
      <c r="I95" s="232" t="n"/>
      <c r="J95" s="232" t="n"/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37" t="n"/>
      <c r="B96" s="238" t="n"/>
      <c r="C96" s="239" t="n"/>
      <c r="D96" s="239" t="n"/>
      <c r="E96" s="239" t="n"/>
      <c r="F96" s="240" t="n"/>
      <c r="G96" s="240" t="n"/>
      <c r="H96" s="241" t="n"/>
      <c r="I96" s="242" t="n"/>
      <c r="J96" s="242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n"/>
      <c r="C97" s="229" t="n"/>
      <c r="D97" s="229" t="n"/>
      <c r="E97" s="229" t="n"/>
      <c r="F97" s="230" t="n"/>
      <c r="G97" s="230" t="n"/>
      <c r="H97" s="231" t="n"/>
      <c r="I97" s="232" t="n"/>
      <c r="J97" s="232" t="n"/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37" t="n"/>
      <c r="B98" s="238" t="n"/>
      <c r="C98" s="239" t="n"/>
      <c r="D98" s="239" t="n"/>
      <c r="E98" s="239" t="n"/>
      <c r="F98" s="240" t="n"/>
      <c r="G98" s="240" t="n"/>
      <c r="H98" s="241" t="n"/>
      <c r="I98" s="242" t="n"/>
      <c r="J98" s="242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n"/>
      <c r="C99" s="229" t="n"/>
      <c r="D99" s="229" t="n"/>
      <c r="E99" s="229" t="n"/>
      <c r="F99" s="230" t="n"/>
      <c r="G99" s="230" t="n"/>
      <c r="H99" s="231" t="n"/>
      <c r="I99" s="232" t="n"/>
      <c r="J99" s="232" t="n"/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37" t="n"/>
      <c r="B100" s="238" t="n"/>
      <c r="C100" s="239" t="n"/>
      <c r="D100" s="239" t="n"/>
      <c r="E100" s="239" t="n"/>
      <c r="F100" s="240" t="n"/>
      <c r="G100" s="240" t="n"/>
      <c r="H100" s="241" t="n"/>
      <c r="I100" s="242" t="n"/>
      <c r="J100" s="242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n"/>
      <c r="C101" s="229" t="n"/>
      <c r="D101" s="229" t="n"/>
      <c r="E101" s="229" t="n"/>
      <c r="F101" s="230" t="n"/>
      <c r="G101" s="230" t="n"/>
      <c r="H101" s="231" t="n"/>
      <c r="I101" s="232" t="n"/>
      <c r="J101" s="232" t="n"/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37" t="n"/>
      <c r="B102" s="238" t="n"/>
      <c r="C102" s="239" t="n"/>
      <c r="D102" s="239" t="n"/>
      <c r="E102" s="239" t="n"/>
      <c r="F102" s="240" t="n"/>
      <c r="G102" s="240" t="n"/>
      <c r="H102" s="241" t="n"/>
      <c r="I102" s="242" t="n"/>
      <c r="J102" s="242" t="n"/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n"/>
      <c r="C103" s="229" t="n"/>
      <c r="D103" s="229" t="n"/>
      <c r="E103" s="229" t="n"/>
      <c r="F103" s="230" t="n"/>
      <c r="G103" s="230" t="n"/>
      <c r="H103" s="231" t="n"/>
      <c r="I103" s="232" t="n"/>
      <c r="J103" s="232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37" t="n"/>
      <c r="B104" s="238" t="n"/>
      <c r="C104" s="239" t="n"/>
      <c r="D104" s="239" t="n"/>
      <c r="E104" s="239" t="n"/>
      <c r="F104" s="240" t="n"/>
      <c r="G104" s="240" t="n"/>
      <c r="H104" s="241" t="n"/>
      <c r="I104" s="242" t="n"/>
      <c r="J104" s="242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n"/>
      <c r="C105" s="229" t="n"/>
      <c r="D105" s="229" t="n"/>
      <c r="E105" s="229" t="n"/>
      <c r="F105" s="230" t="n"/>
      <c r="G105" s="230" t="n"/>
      <c r="H105" s="231" t="n"/>
      <c r="I105" s="232" t="n"/>
      <c r="J105" s="232" t="n"/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37" t="n"/>
      <c r="B106" s="238" t="n"/>
      <c r="C106" s="239" t="n"/>
      <c r="D106" s="239" t="n"/>
      <c r="E106" s="239" t="n"/>
      <c r="F106" s="240" t="n"/>
      <c r="G106" s="240" t="n"/>
      <c r="H106" s="241" t="n"/>
      <c r="I106" s="242" t="n"/>
      <c r="J106" s="242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n"/>
      <c r="C107" s="229" t="n"/>
      <c r="D107" s="229" t="n"/>
      <c r="E107" s="229" t="n"/>
      <c r="F107" s="230" t="n"/>
      <c r="G107" s="230" t="n"/>
      <c r="H107" s="231" t="n"/>
      <c r="I107" s="232" t="n"/>
      <c r="J107" s="232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37" t="n"/>
      <c r="B108" s="238" t="n"/>
      <c r="C108" s="239" t="n"/>
      <c r="D108" s="239" t="n"/>
      <c r="E108" s="239" t="n"/>
      <c r="F108" s="240" t="n"/>
      <c r="G108" s="240" t="n"/>
      <c r="H108" s="241" t="n"/>
      <c r="I108" s="242" t="n"/>
      <c r="J108" s="242" t="n"/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n"/>
      <c r="C109" s="229" t="n"/>
      <c r="D109" s="229" t="n"/>
      <c r="E109" s="229" t="n"/>
      <c r="F109" s="230" t="n"/>
      <c r="G109" s="230" t="n"/>
      <c r="H109" s="231" t="n"/>
      <c r="I109" s="232" t="n"/>
      <c r="J109" s="232" t="n"/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37" t="n"/>
      <c r="B110" s="238" t="n"/>
      <c r="C110" s="239" t="n"/>
      <c r="D110" s="239" t="n"/>
      <c r="E110" s="239" t="n"/>
      <c r="F110" s="240" t="n"/>
      <c r="G110" s="240" t="n"/>
      <c r="H110" s="241" t="n"/>
      <c r="I110" s="242" t="n"/>
      <c r="J110" s="242" t="n"/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/>
      <c r="B111" s="228" t="n"/>
      <c r="C111" s="229" t="n"/>
      <c r="D111" s="229" t="n"/>
      <c r="E111" s="229" t="n"/>
      <c r="F111" s="230" t="n"/>
      <c r="G111" s="230" t="n"/>
      <c r="H111" s="231" t="n"/>
      <c r="I111" s="232" t="n"/>
      <c r="J111" s="232" t="n"/>
      <c r="K111" s="233" t="n"/>
      <c r="L111" s="233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56" t="n"/>
      <c r="N111" s="156" t="n"/>
      <c r="O111" s="156" t="n"/>
    </row>
    <row r="112" ht="18.75" customHeight="1" s="153">
      <c r="A112" s="237" t="n"/>
      <c r="B112" s="238" t="n"/>
      <c r="C112" s="239" t="n"/>
      <c r="D112" s="239" t="n"/>
      <c r="E112" s="239" t="n"/>
      <c r="F112" s="240" t="n"/>
      <c r="G112" s="240" t="n"/>
      <c r="H112" s="241" t="n"/>
      <c r="I112" s="242" t="n"/>
      <c r="J112" s="242" t="n"/>
      <c r="K112" s="233" t="n"/>
      <c r="L112" s="233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56" t="n"/>
      <c r="N112" s="156" t="n"/>
      <c r="O112" s="156" t="n"/>
    </row>
    <row r="113" ht="18.75" customHeight="1" s="153">
      <c r="A113" s="227" t="n"/>
      <c r="B113" s="228" t="n"/>
      <c r="C113" s="229" t="n"/>
      <c r="D113" s="229" t="n"/>
      <c r="E113" s="229" t="n"/>
      <c r="F113" s="230" t="n"/>
      <c r="G113" s="230" t="n"/>
      <c r="H113" s="231" t="n"/>
      <c r="I113" s="232" t="n"/>
      <c r="J113" s="232" t="n"/>
      <c r="K113" s="233" t="n"/>
      <c r="L113" s="233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56" t="n"/>
      <c r="N113" s="156" t="n"/>
      <c r="O113" s="156" t="n"/>
    </row>
    <row r="114" ht="18.75" customHeight="1" s="153">
      <c r="A114" s="237" t="n"/>
      <c r="B114" s="238" t="n"/>
      <c r="C114" s="239" t="n"/>
      <c r="D114" s="239" t="n"/>
      <c r="E114" s="239" t="n"/>
      <c r="F114" s="240" t="n"/>
      <c r="G114" s="240" t="n"/>
      <c r="H114" s="241" t="n"/>
      <c r="I114" s="242" t="n"/>
      <c r="J114" s="242" t="n"/>
      <c r="K114" s="233" t="n"/>
      <c r="L114" s="233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56" t="n"/>
      <c r="N114" s="156" t="n"/>
      <c r="O114" s="156" t="n"/>
    </row>
    <row r="115" ht="18.75" customHeight="1" s="153">
      <c r="A115" s="227" t="n"/>
      <c r="B115" s="228" t="n"/>
      <c r="C115" s="229" t="n"/>
      <c r="D115" s="229" t="n"/>
      <c r="E115" s="229" t="n"/>
      <c r="F115" s="230" t="n"/>
      <c r="G115" s="230" t="n"/>
      <c r="H115" s="231" t="n"/>
      <c r="I115" s="232" t="n"/>
      <c r="J115" s="232" t="n"/>
      <c r="K115" s="233" t="n"/>
      <c r="L115" s="233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56" t="n"/>
      <c r="N115" s="156" t="n"/>
      <c r="O115" s="156" t="n"/>
    </row>
    <row r="116" ht="18.75" customHeight="1" s="153">
      <c r="A116" s="237" t="n"/>
      <c r="B116" s="238" t="n"/>
      <c r="C116" s="239" t="n"/>
      <c r="D116" s="239" t="n"/>
      <c r="E116" s="239" t="n"/>
      <c r="F116" s="240" t="n"/>
      <c r="G116" s="240" t="n"/>
      <c r="H116" s="241" t="n"/>
      <c r="I116" s="242" t="n"/>
      <c r="J116" s="242" t="n"/>
      <c r="K116" s="233" t="n"/>
      <c r="L116" s="233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56" t="n"/>
      <c r="N116" s="156" t="n"/>
      <c r="O116" s="156" t="n"/>
    </row>
    <row r="117" ht="18.75" customHeight="1" s="153">
      <c r="A117" s="227" t="n"/>
      <c r="B117" s="228" t="n"/>
      <c r="C117" s="229" t="n"/>
      <c r="D117" s="229" t="n"/>
      <c r="E117" s="229" t="n"/>
      <c r="F117" s="230" t="n"/>
      <c r="G117" s="230" t="n"/>
      <c r="H117" s="231" t="n"/>
      <c r="I117" s="232" t="n"/>
      <c r="J117" s="232" t="n"/>
      <c r="K117" s="233" t="n"/>
      <c r="L117" s="233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56" t="n"/>
      <c r="N117" s="156" t="n"/>
      <c r="O117" s="156" t="n"/>
    </row>
    <row r="118" ht="18.75" customHeight="1" s="153">
      <c r="A118" s="237" t="n"/>
      <c r="B118" s="238" t="n"/>
      <c r="C118" s="239" t="n"/>
      <c r="D118" s="239" t="n"/>
      <c r="E118" s="239" t="n"/>
      <c r="F118" s="240" t="n"/>
      <c r="G118" s="240" t="n"/>
      <c r="H118" s="241" t="n"/>
      <c r="I118" s="242" t="n"/>
      <c r="J118" s="242" t="n"/>
      <c r="K118" s="233" t="n"/>
      <c r="L118" s="233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56" t="n"/>
      <c r="N118" s="156" t="n"/>
      <c r="O118" s="156" t="n"/>
    </row>
    <row r="119" ht="18.75" customHeight="1" s="153">
      <c r="A119" s="227" t="n"/>
      <c r="B119" s="228" t="n"/>
      <c r="C119" s="229" t="n"/>
      <c r="D119" s="229" t="n"/>
      <c r="E119" s="229" t="n"/>
      <c r="F119" s="230" t="n"/>
      <c r="G119" s="230" t="n"/>
      <c r="H119" s="231" t="n"/>
      <c r="I119" s="232" t="n"/>
      <c r="J119" s="232" t="n"/>
      <c r="K119" s="233" t="n"/>
      <c r="L119" s="233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56" t="n"/>
      <c r="N119" s="156" t="n"/>
      <c r="O119" s="156" t="n"/>
    </row>
    <row r="120" ht="18.75" customHeight="1" s="153">
      <c r="A120" s="237" t="n"/>
      <c r="B120" s="238" t="n"/>
      <c r="C120" s="239" t="n"/>
      <c r="D120" s="239" t="n"/>
      <c r="E120" s="239" t="n"/>
      <c r="F120" s="240" t="n"/>
      <c r="G120" s="240" t="n"/>
      <c r="H120" s="241" t="n"/>
      <c r="I120" s="242" t="n"/>
      <c r="J120" s="242" t="n"/>
      <c r="K120" s="233" t="n"/>
      <c r="L120" s="233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56" t="n"/>
      <c r="N120" s="156" t="n"/>
      <c r="O120" s="156" t="n"/>
    </row>
    <row r="121" ht="18.75" customHeight="1" s="153">
      <c r="A121" s="227" t="n"/>
      <c r="B121" s="228" t="n"/>
      <c r="C121" s="229" t="n"/>
      <c r="D121" s="229" t="n"/>
      <c r="E121" s="229" t="n"/>
      <c r="F121" s="230" t="n"/>
      <c r="G121" s="230" t="n"/>
      <c r="H121" s="231" t="n"/>
      <c r="I121" s="232" t="n"/>
      <c r="J121" s="232" t="n"/>
      <c r="K121" s="233" t="n"/>
      <c r="L121" s="233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56" t="n"/>
      <c r="N121" s="156" t="n"/>
      <c r="O121" s="156" t="n"/>
    </row>
    <row r="122" ht="18.75" customHeight="1" s="153">
      <c r="A122" s="237" t="n"/>
      <c r="B122" s="238" t="n"/>
      <c r="C122" s="239" t="n"/>
      <c r="D122" s="239" t="n"/>
      <c r="E122" s="239" t="n"/>
      <c r="F122" s="240" t="n"/>
      <c r="G122" s="240" t="n"/>
      <c r="H122" s="241" t="n"/>
      <c r="I122" s="242" t="n"/>
      <c r="J122" s="242" t="n"/>
      <c r="K122" s="233" t="n"/>
      <c r="L122" s="233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56" t="n"/>
      <c r="N122" s="156" t="n"/>
      <c r="O122" s="156" t="n"/>
    </row>
    <row r="123" ht="18.75" customHeight="1" s="153">
      <c r="A123" s="227" t="n"/>
      <c r="B123" s="228" t="n"/>
      <c r="C123" s="229" t="n"/>
      <c r="D123" s="229" t="n"/>
      <c r="E123" s="229" t="n"/>
      <c r="F123" s="230" t="n"/>
      <c r="G123" s="230" t="n"/>
      <c r="H123" s="231" t="n"/>
      <c r="I123" s="232" t="n"/>
      <c r="J123" s="232" t="n"/>
      <c r="K123" s="233" t="n"/>
      <c r="L123" s="233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56" t="n"/>
      <c r="N123" s="156" t="n"/>
      <c r="O123" s="156" t="n"/>
    </row>
    <row r="124" ht="18.75" customHeight="1" s="153">
      <c r="A124" s="237" t="n"/>
      <c r="B124" s="238" t="n"/>
      <c r="C124" s="239" t="n"/>
      <c r="D124" s="239" t="n"/>
      <c r="E124" s="239" t="n"/>
      <c r="F124" s="240" t="n"/>
      <c r="G124" s="240" t="n"/>
      <c r="H124" s="241" t="n"/>
      <c r="I124" s="242" t="n"/>
      <c r="J124" s="242" t="n"/>
      <c r="K124" s="233" t="n"/>
      <c r="L124" s="233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56" t="n"/>
      <c r="N124" s="156" t="n"/>
      <c r="O124" s="156" t="n"/>
    </row>
    <row r="125" ht="18.75" customHeight="1" s="153">
      <c r="A125" s="227" t="n"/>
      <c r="B125" s="228" t="n"/>
      <c r="C125" s="229" t="n"/>
      <c r="D125" s="229" t="n"/>
      <c r="E125" s="229" t="n"/>
      <c r="F125" s="230" t="n"/>
      <c r="G125" s="230" t="n"/>
      <c r="H125" s="231" t="n"/>
      <c r="I125" s="232" t="n"/>
      <c r="J125" s="232" t="n"/>
      <c r="K125" s="233" t="n"/>
      <c r="L125" s="233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56" t="n"/>
      <c r="N125" s="156" t="n"/>
      <c r="O125" s="156" t="n"/>
    </row>
    <row r="126" ht="18.75" customHeight="1" s="153">
      <c r="A126" s="237" t="n"/>
      <c r="B126" s="238" t="n"/>
      <c r="C126" s="239" t="n"/>
      <c r="D126" s="239" t="n"/>
      <c r="E126" s="239" t="n"/>
      <c r="F126" s="240" t="n"/>
      <c r="G126" s="240" t="n"/>
      <c r="H126" s="241" t="n"/>
      <c r="I126" s="242" t="n"/>
      <c r="J126" s="242" t="n"/>
      <c r="K126" s="233" t="n"/>
      <c r="L126" s="233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56" t="n"/>
      <c r="N126" s="156" t="n"/>
      <c r="O126" s="156" t="n"/>
    </row>
    <row r="127" ht="18.75" customHeight="1" s="153">
      <c r="A127" s="227" t="n"/>
      <c r="B127" s="228" t="n"/>
      <c r="C127" s="229" t="n"/>
      <c r="D127" s="229" t="n"/>
      <c r="E127" s="229" t="n"/>
      <c r="F127" s="230" t="n"/>
      <c r="G127" s="230" t="n"/>
      <c r="H127" s="231" t="n"/>
      <c r="I127" s="232" t="n"/>
      <c r="J127" s="232" t="n"/>
      <c r="K127" s="233" t="n"/>
      <c r="L127" s="233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56" t="n"/>
      <c r="N127" s="156" t="n"/>
      <c r="O127" s="156" t="n"/>
    </row>
    <row r="128" ht="18.75" customHeight="1" s="153">
      <c r="A128" s="237" t="n"/>
      <c r="B128" s="238" t="n"/>
      <c r="C128" s="239" t="n"/>
      <c r="D128" s="239" t="n"/>
      <c r="E128" s="239" t="n"/>
      <c r="F128" s="240" t="n"/>
      <c r="G128" s="240" t="n"/>
      <c r="H128" s="241" t="n"/>
      <c r="I128" s="242" t="n"/>
      <c r="J128" s="242" t="n"/>
      <c r="K128" s="233" t="n"/>
      <c r="L128" s="233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56" t="n"/>
      <c r="N128" s="156" t="n"/>
      <c r="O128" s="156" t="n"/>
    </row>
    <row r="129" ht="18.75" customHeight="1" s="153">
      <c r="A129" s="227" t="n"/>
      <c r="B129" s="228" t="n"/>
      <c r="C129" s="229" t="n"/>
      <c r="D129" s="229" t="n"/>
      <c r="E129" s="229" t="n"/>
      <c r="F129" s="230" t="n"/>
      <c r="G129" s="230" t="n"/>
      <c r="H129" s="231" t="n"/>
      <c r="I129" s="232" t="n"/>
      <c r="J129" s="232" t="n"/>
      <c r="K129" s="233" t="n"/>
      <c r="L129" s="233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56" t="n"/>
      <c r="N129" s="156" t="n"/>
      <c r="O129" s="156" t="n"/>
    </row>
    <row r="130" ht="18.75" customHeight="1" s="153">
      <c r="A130" s="237" t="n"/>
      <c r="B130" s="238" t="n"/>
      <c r="C130" s="239" t="n"/>
      <c r="D130" s="239" t="n"/>
      <c r="E130" s="239" t="n"/>
      <c r="F130" s="240" t="n"/>
      <c r="G130" s="240" t="n"/>
      <c r="H130" s="241" t="n"/>
      <c r="I130" s="242" t="n"/>
      <c r="J130" s="242" t="n"/>
      <c r="K130" s="233" t="n"/>
      <c r="L130" s="233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56" t="n"/>
      <c r="N130" s="156" t="n"/>
      <c r="O130" s="156" t="n"/>
    </row>
    <row r="131" ht="18.75" customHeight="1" s="153">
      <c r="A131" s="227" t="n"/>
      <c r="B131" s="228" t="n"/>
      <c r="C131" s="229" t="n"/>
      <c r="D131" s="229" t="n"/>
      <c r="E131" s="229" t="n"/>
      <c r="F131" s="230" t="n"/>
      <c r="G131" s="230" t="n"/>
      <c r="H131" s="231" t="n"/>
      <c r="I131" s="232" t="n"/>
      <c r="J131" s="232" t="n"/>
      <c r="K131" s="233" t="n"/>
      <c r="L131" s="233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56" t="n"/>
      <c r="N131" s="156" t="n"/>
      <c r="O131" s="156" t="n"/>
    </row>
    <row r="132" ht="18.75" customHeight="1" s="153">
      <c r="A132" s="237" t="n"/>
      <c r="B132" s="238" t="n"/>
      <c r="C132" s="239" t="n"/>
      <c r="D132" s="239" t="n"/>
      <c r="E132" s="239" t="n"/>
      <c r="F132" s="240" t="n"/>
      <c r="G132" s="240" t="n"/>
      <c r="H132" s="241" t="n"/>
      <c r="I132" s="242" t="n"/>
      <c r="J132" s="242" t="n"/>
      <c r="K132" s="233" t="n"/>
      <c r="L132" s="233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56" t="n"/>
      <c r="N132" s="156" t="n"/>
      <c r="O132" s="156" t="n"/>
    </row>
    <row r="133" ht="18.75" customHeight="1" s="153">
      <c r="A133" s="227" t="n"/>
      <c r="B133" s="228" t="n"/>
      <c r="C133" s="229" t="n"/>
      <c r="D133" s="229" t="n"/>
      <c r="E133" s="229" t="n"/>
      <c r="F133" s="230" t="n"/>
      <c r="G133" s="230" t="n"/>
      <c r="H133" s="231" t="n"/>
      <c r="I133" s="232" t="n"/>
      <c r="J133" s="232" t="n"/>
      <c r="K133" s="233" t="n"/>
      <c r="L133" s="233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56" t="n"/>
      <c r="N133" s="156" t="n"/>
      <c r="O133" s="156" t="n"/>
    </row>
    <row r="134" ht="18.75" customHeight="1" s="153">
      <c r="A134" s="237" t="n"/>
      <c r="B134" s="238" t="n"/>
      <c r="C134" s="239" t="n"/>
      <c r="D134" s="239" t="n"/>
      <c r="E134" s="239" t="n"/>
      <c r="F134" s="240" t="n"/>
      <c r="G134" s="240" t="n"/>
      <c r="H134" s="241" t="n"/>
      <c r="I134" s="242" t="n"/>
      <c r="J134" s="242" t="n"/>
      <c r="K134" s="233" t="n"/>
      <c r="L134" s="233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56" t="n"/>
      <c r="N134" s="156" t="n"/>
      <c r="O134" s="156" t="n"/>
    </row>
    <row r="135" ht="18.75" customHeight="1" s="153">
      <c r="A135" s="227" t="n"/>
      <c r="B135" s="228" t="n"/>
      <c r="C135" s="229" t="n"/>
      <c r="D135" s="229" t="n"/>
      <c r="E135" s="229" t="n"/>
      <c r="F135" s="230" t="n"/>
      <c r="G135" s="230" t="n"/>
      <c r="H135" s="231" t="n"/>
      <c r="I135" s="232" t="n"/>
      <c r="J135" s="232" t="n"/>
      <c r="K135" s="233" t="n"/>
      <c r="L135" s="233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56" t="n"/>
      <c r="N135" s="156" t="n"/>
      <c r="O135" s="156" t="n"/>
    </row>
    <row r="136" ht="18.75" customHeight="1" s="153">
      <c r="A136" s="237" t="n"/>
      <c r="B136" s="238" t="n"/>
      <c r="C136" s="239" t="n"/>
      <c r="D136" s="239" t="n"/>
      <c r="E136" s="239" t="n"/>
      <c r="F136" s="240" t="n"/>
      <c r="G136" s="240" t="n"/>
      <c r="H136" s="241" t="n"/>
      <c r="I136" s="242" t="n"/>
      <c r="J136" s="242" t="n"/>
      <c r="K136" s="233" t="n"/>
      <c r="L136" s="233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56" t="n"/>
      <c r="N136" s="156" t="n"/>
      <c r="O136" s="156" t="n"/>
    </row>
    <row r="137" ht="18.75" customHeight="1" s="153">
      <c r="A137" s="227" t="n"/>
      <c r="B137" s="228" t="n"/>
      <c r="C137" s="229" t="n"/>
      <c r="D137" s="229" t="n"/>
      <c r="E137" s="229" t="n"/>
      <c r="F137" s="230" t="n"/>
      <c r="G137" s="230" t="n"/>
      <c r="H137" s="231" t="n"/>
      <c r="I137" s="232" t="n"/>
      <c r="J137" s="232" t="n"/>
      <c r="K137" s="233" t="n"/>
      <c r="L137" s="233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56" t="n"/>
      <c r="N137" s="156" t="n"/>
      <c r="O137" s="156" t="n"/>
    </row>
    <row r="138" ht="18.75" customHeight="1" s="153">
      <c r="A138" s="237" t="n"/>
      <c r="B138" s="238" t="n"/>
      <c r="C138" s="239" t="n"/>
      <c r="D138" s="239" t="n"/>
      <c r="E138" s="239" t="n"/>
      <c r="F138" s="240" t="n"/>
      <c r="G138" s="240" t="n"/>
      <c r="H138" s="241" t="n"/>
      <c r="I138" s="242" t="n"/>
      <c r="J138" s="242" t="n"/>
      <c r="K138" s="233" t="n"/>
      <c r="L138" s="233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56" t="n"/>
      <c r="N138" s="156" t="n"/>
      <c r="O138" s="156" t="n"/>
    </row>
    <row r="139" ht="18.75" customHeight="1" s="153">
      <c r="A139" s="227" t="n"/>
      <c r="B139" s="228" t="n"/>
      <c r="C139" s="229" t="n"/>
      <c r="D139" s="229" t="n"/>
      <c r="E139" s="229" t="n"/>
      <c r="F139" s="230" t="n"/>
      <c r="G139" s="230" t="n"/>
      <c r="H139" s="231" t="n"/>
      <c r="I139" s="232" t="n"/>
      <c r="J139" s="232" t="n"/>
      <c r="K139" s="233" t="n"/>
      <c r="L139" s="233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56" t="n"/>
      <c r="N139" s="156" t="n"/>
      <c r="O139" s="156" t="n"/>
    </row>
    <row r="140" ht="18.75" customHeight="1" s="153">
      <c r="A140" s="237" t="n"/>
      <c r="B140" s="238" t="n"/>
      <c r="C140" s="239" t="n"/>
      <c r="D140" s="239" t="n"/>
      <c r="E140" s="239" t="n"/>
      <c r="F140" s="240" t="n"/>
      <c r="G140" s="240" t="n"/>
      <c r="H140" s="241" t="n"/>
      <c r="I140" s="242" t="n"/>
      <c r="J140" s="242" t="n"/>
      <c r="K140" s="233" t="n"/>
      <c r="L140" s="233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56" t="n"/>
      <c r="N140" s="156" t="n"/>
      <c r="O140" s="156" t="n"/>
    </row>
    <row r="141" ht="18.75" customHeight="1" s="153">
      <c r="A141" s="227" t="n"/>
      <c r="B141" s="228" t="n"/>
      <c r="C141" s="229" t="n"/>
      <c r="D141" s="229" t="n"/>
      <c r="E141" s="229" t="n"/>
      <c r="F141" s="230" t="n"/>
      <c r="G141" s="230" t="n"/>
      <c r="H141" s="231" t="n"/>
      <c r="I141" s="232" t="n"/>
      <c r="J141" s="232" t="n"/>
      <c r="K141" s="233" t="n"/>
      <c r="L141" s="233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56" t="n"/>
      <c r="N141" s="156" t="n"/>
      <c r="O141" s="156" t="n"/>
    </row>
    <row r="142" ht="18.75" customHeight="1" s="153">
      <c r="A142" s="237" t="n"/>
      <c r="B142" s="238" t="n"/>
      <c r="C142" s="239" t="n"/>
      <c r="D142" s="239" t="n"/>
      <c r="E142" s="239" t="n"/>
      <c r="F142" s="240" t="n"/>
      <c r="G142" s="240" t="n"/>
      <c r="H142" s="241" t="n"/>
      <c r="I142" s="242" t="n"/>
      <c r="J142" s="242" t="n"/>
      <c r="K142" s="233" t="n"/>
      <c r="L142" s="233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56" t="n"/>
      <c r="N142" s="156" t="n"/>
      <c r="O142" s="156" t="n"/>
    </row>
    <row r="143" ht="18.75" customHeight="1" s="153">
      <c r="A143" s="227" t="n"/>
      <c r="B143" s="228" t="n"/>
      <c r="C143" s="229" t="n"/>
      <c r="D143" s="229" t="n"/>
      <c r="E143" s="229" t="n"/>
      <c r="F143" s="230" t="n"/>
      <c r="G143" s="230" t="n"/>
      <c r="H143" s="231" t="n"/>
      <c r="I143" s="232" t="n"/>
      <c r="J143" s="232" t="n"/>
      <c r="K143" s="233" t="n"/>
      <c r="L143" s="233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56" t="n"/>
      <c r="N143" s="156" t="n"/>
      <c r="O143" s="156" t="n"/>
    </row>
    <row r="144" ht="18.75" customHeight="1" s="153">
      <c r="A144" s="237" t="n"/>
      <c r="B144" s="238" t="n"/>
      <c r="C144" s="239" t="n"/>
      <c r="D144" s="239" t="n"/>
      <c r="E144" s="239" t="n"/>
      <c r="F144" s="240" t="n"/>
      <c r="G144" s="240" t="n"/>
      <c r="H144" s="241" t="n"/>
      <c r="I144" s="242" t="n"/>
      <c r="J144" s="242" t="n"/>
      <c r="K144" s="233" t="n"/>
      <c r="L144" s="233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56" t="n"/>
      <c r="N144" s="156" t="n"/>
      <c r="O144" s="156" t="n"/>
    </row>
    <row r="145" ht="18.75" customHeight="1" s="153">
      <c r="A145" s="227" t="n"/>
      <c r="B145" s="228" t="n"/>
      <c r="C145" s="229" t="n"/>
      <c r="D145" s="229" t="n"/>
      <c r="E145" s="229" t="n"/>
      <c r="F145" s="230" t="n"/>
      <c r="G145" s="230" t="n"/>
      <c r="H145" s="231" t="n"/>
      <c r="I145" s="232" t="n"/>
      <c r="J145" s="232" t="n"/>
      <c r="K145" s="233" t="n"/>
      <c r="L145" s="233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56" t="n"/>
      <c r="N145" s="156" t="n"/>
      <c r="O145" s="156" t="n"/>
    </row>
    <row r="146" ht="18.75" customHeight="1" s="153">
      <c r="A146" s="237" t="n"/>
      <c r="B146" s="238" t="n"/>
      <c r="C146" s="239" t="n"/>
      <c r="D146" s="239" t="n"/>
      <c r="E146" s="239" t="n"/>
      <c r="F146" s="240" t="n"/>
      <c r="G146" s="240" t="n"/>
      <c r="H146" s="241" t="n"/>
      <c r="I146" s="242" t="n"/>
      <c r="J146" s="242" t="n"/>
      <c r="K146" s="233" t="n"/>
      <c r="L146" s="233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56" t="n"/>
      <c r="N146" s="156" t="n"/>
      <c r="O146" s="156" t="n"/>
    </row>
    <row r="147" ht="18.75" customHeight="1" s="153">
      <c r="A147" s="227" t="n"/>
      <c r="B147" s="228" t="n"/>
      <c r="C147" s="229" t="n"/>
      <c r="D147" s="229" t="n"/>
      <c r="E147" s="229" t="n"/>
      <c r="F147" s="230" t="n"/>
      <c r="G147" s="230" t="n"/>
      <c r="H147" s="231" t="n"/>
      <c r="I147" s="232" t="n"/>
      <c r="J147" s="232" t="n"/>
      <c r="K147" s="233" t="n"/>
      <c r="L147" s="233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56" t="n"/>
      <c r="N147" s="156" t="n"/>
      <c r="O147" s="156" t="n"/>
    </row>
    <row r="148" ht="18.75" customHeight="1" s="153">
      <c r="A148" s="237" t="n"/>
      <c r="B148" s="238" t="n"/>
      <c r="C148" s="239" t="n"/>
      <c r="D148" s="239" t="n"/>
      <c r="E148" s="239" t="n"/>
      <c r="F148" s="240" t="n"/>
      <c r="G148" s="240" t="n"/>
      <c r="H148" s="241" t="n"/>
      <c r="I148" s="242" t="n"/>
      <c r="J148" s="242" t="n"/>
      <c r="K148" s="233" t="n"/>
      <c r="L148" s="233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56" t="n"/>
      <c r="N148" s="156" t="n"/>
      <c r="O148" s="156" t="n"/>
    </row>
    <row r="149" ht="18.75" customHeight="1" s="153">
      <c r="A149" s="227" t="n"/>
      <c r="B149" s="228" t="n"/>
      <c r="C149" s="229" t="n"/>
      <c r="D149" s="229" t="n"/>
      <c r="E149" s="229" t="n"/>
      <c r="F149" s="230" t="n"/>
      <c r="G149" s="230" t="n"/>
      <c r="H149" s="231" t="n"/>
      <c r="I149" s="232" t="n"/>
      <c r="J149" s="232" t="n"/>
      <c r="K149" s="233" t="n"/>
      <c r="L149" s="233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56" t="n"/>
      <c r="N149" s="156" t="n"/>
      <c r="O149" s="156" t="n"/>
    </row>
    <row r="150" ht="18.75" customHeight="1" s="153">
      <c r="A150" s="237" t="n"/>
      <c r="B150" s="238" t="n"/>
      <c r="C150" s="239" t="n"/>
      <c r="D150" s="239" t="n"/>
      <c r="E150" s="239" t="n"/>
      <c r="F150" s="240" t="n"/>
      <c r="G150" s="240" t="n"/>
      <c r="H150" s="241" t="n"/>
      <c r="I150" s="242" t="n"/>
      <c r="J150" s="242" t="n"/>
      <c r="K150" s="233" t="n"/>
      <c r="L150" s="233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56" t="n"/>
      <c r="N150" s="156" t="n"/>
      <c r="O150" s="156" t="n"/>
    </row>
    <row r="151" ht="18.75" customHeight="1" s="153">
      <c r="A151" s="227" t="n"/>
      <c r="B151" s="228" t="n"/>
      <c r="C151" s="229" t="n"/>
      <c r="D151" s="229" t="n"/>
      <c r="E151" s="229" t="n"/>
      <c r="F151" s="230" t="n"/>
      <c r="G151" s="230" t="n"/>
      <c r="H151" s="231" t="n"/>
      <c r="I151" s="232" t="n"/>
      <c r="J151" s="232" t="n"/>
      <c r="K151" s="233" t="n"/>
      <c r="L151" s="233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56" t="n"/>
      <c r="N151" s="156" t="n"/>
      <c r="O151" s="156" t="n"/>
    </row>
    <row r="152" ht="18.75" customHeight="1" s="153">
      <c r="A152" s="237" t="n"/>
      <c r="B152" s="238" t="n"/>
      <c r="C152" s="239" t="n"/>
      <c r="D152" s="239" t="n"/>
      <c r="E152" s="239" t="n"/>
      <c r="F152" s="240" t="n"/>
      <c r="G152" s="240" t="n"/>
      <c r="H152" s="241" t="n"/>
      <c r="I152" s="242" t="n"/>
      <c r="J152" s="242" t="n"/>
      <c r="K152" s="233" t="n"/>
      <c r="L152" s="233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56" t="n"/>
      <c r="N152" s="156" t="n"/>
      <c r="O152" s="156" t="n"/>
    </row>
    <row r="153" ht="18.75" customHeight="1" s="153">
      <c r="A153" s="227" t="n"/>
      <c r="B153" s="228" t="n"/>
      <c r="C153" s="229" t="n"/>
      <c r="D153" s="229" t="n"/>
      <c r="E153" s="229" t="n"/>
      <c r="F153" s="230" t="n"/>
      <c r="G153" s="230" t="n"/>
      <c r="H153" s="231" t="n"/>
      <c r="I153" s="232" t="n"/>
      <c r="J153" s="232" t="n"/>
      <c r="K153" s="233" t="n"/>
      <c r="L153" s="233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56" t="n"/>
      <c r="N153" s="156" t="n"/>
      <c r="O153" s="156" t="n"/>
    </row>
    <row r="154" ht="18.75" customHeight="1" s="153">
      <c r="A154" s="237" t="n"/>
      <c r="B154" s="238" t="n"/>
      <c r="C154" s="239" t="n"/>
      <c r="D154" s="239" t="n"/>
      <c r="E154" s="239" t="n"/>
      <c r="F154" s="240" t="n"/>
      <c r="G154" s="240" t="n"/>
      <c r="H154" s="241" t="n"/>
      <c r="I154" s="242" t="n"/>
      <c r="J154" s="242" t="n"/>
      <c r="K154" s="233" t="n"/>
      <c r="L154" s="233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56" t="n"/>
      <c r="N154" s="156" t="n"/>
      <c r="O154" s="156" t="n"/>
    </row>
    <row r="155" ht="18.75" customHeight="1" s="153">
      <c r="A155" s="227" t="n"/>
      <c r="B155" s="228" t="n"/>
      <c r="C155" s="229" t="n"/>
      <c r="D155" s="229" t="n"/>
      <c r="E155" s="229" t="n"/>
      <c r="F155" s="230" t="n"/>
      <c r="G155" s="230" t="n"/>
      <c r="H155" s="231" t="n"/>
      <c r="I155" s="232" t="n"/>
      <c r="J155" s="232" t="n"/>
      <c r="K155" s="233" t="n"/>
      <c r="L155" s="233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56" t="n"/>
      <c r="N155" s="156" t="n"/>
      <c r="O155" s="156" t="n"/>
    </row>
    <row r="156" ht="18.75" customHeight="1" s="153">
      <c r="A156" s="237" t="n"/>
      <c r="B156" s="238" t="n"/>
      <c r="C156" s="239" t="n"/>
      <c r="D156" s="239" t="n"/>
      <c r="E156" s="239" t="n"/>
      <c r="F156" s="240" t="n"/>
      <c r="G156" s="240" t="n"/>
      <c r="H156" s="241" t="n"/>
      <c r="I156" s="242" t="n"/>
      <c r="J156" s="242" t="n"/>
      <c r="K156" s="233" t="n"/>
      <c r="L156" s="233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56" t="n"/>
      <c r="N156" s="156" t="n"/>
      <c r="O156" s="156" t="n"/>
    </row>
    <row r="157" ht="18.75" customHeight="1" s="153">
      <c r="A157" s="227" t="n"/>
      <c r="B157" s="228" t="n"/>
      <c r="C157" s="229" t="n"/>
      <c r="D157" s="229" t="n"/>
      <c r="E157" s="229" t="n"/>
      <c r="F157" s="230" t="n"/>
      <c r="G157" s="230" t="n"/>
      <c r="H157" s="231" t="n"/>
      <c r="I157" s="232" t="n"/>
      <c r="J157" s="232" t="n"/>
      <c r="K157" s="233" t="n"/>
      <c r="L157" s="233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56" t="n"/>
      <c r="N157" s="156" t="n"/>
      <c r="O157" s="156" t="n"/>
    </row>
    <row r="158" ht="18.75" customHeight="1" s="153">
      <c r="A158" s="237" t="n"/>
      <c r="B158" s="238" t="n"/>
      <c r="C158" s="239" t="n"/>
      <c r="D158" s="239" t="n"/>
      <c r="E158" s="239" t="n"/>
      <c r="F158" s="240" t="n"/>
      <c r="G158" s="240" t="n"/>
      <c r="H158" s="241" t="n"/>
      <c r="I158" s="242" t="n"/>
      <c r="J158" s="242" t="n"/>
      <c r="K158" s="233" t="n"/>
      <c r="L158" s="233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56" t="n"/>
      <c r="N158" s="156" t="n"/>
      <c r="O158" s="156" t="n"/>
    </row>
    <row r="159" ht="18.75" customHeight="1" s="153">
      <c r="A159" s="227" t="n"/>
      <c r="B159" s="228" t="n"/>
      <c r="C159" s="229" t="n"/>
      <c r="D159" s="229" t="n"/>
      <c r="E159" s="229" t="n"/>
      <c r="F159" s="230" t="n"/>
      <c r="G159" s="230" t="n"/>
      <c r="H159" s="231" t="n"/>
      <c r="I159" s="232" t="n"/>
      <c r="J159" s="232" t="n"/>
      <c r="K159" s="233" t="n"/>
      <c r="L159" s="233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56" t="n"/>
      <c r="N159" s="156" t="n"/>
      <c r="O159" s="156" t="n"/>
    </row>
    <row r="160" ht="18.75" customHeight="1" s="153">
      <c r="A160" s="237" t="n"/>
      <c r="B160" s="238" t="n"/>
      <c r="C160" s="239" t="n"/>
      <c r="D160" s="239" t="n"/>
      <c r="E160" s="239" t="n"/>
      <c r="F160" s="240" t="n"/>
      <c r="G160" s="240" t="n"/>
      <c r="H160" s="241" t="n"/>
      <c r="I160" s="242" t="n"/>
      <c r="J160" s="242" t="n"/>
      <c r="K160" s="233" t="n"/>
      <c r="L160" s="233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56" t="n"/>
      <c r="N160" s="156" t="n"/>
      <c r="O160" s="156" t="n"/>
    </row>
    <row r="161" ht="18.75" customHeight="1" s="153">
      <c r="A161" s="227" t="n"/>
      <c r="B161" s="228" t="n"/>
      <c r="C161" s="229" t="n"/>
      <c r="D161" s="229" t="n"/>
      <c r="E161" s="229" t="n"/>
      <c r="F161" s="230" t="n"/>
      <c r="G161" s="230" t="n"/>
      <c r="H161" s="231" t="n"/>
      <c r="I161" s="232" t="n"/>
      <c r="J161" s="232" t="n"/>
      <c r="K161" s="233" t="n"/>
      <c r="L161" s="233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56" t="n"/>
      <c r="N161" s="156" t="n"/>
      <c r="O161" s="156" t="n"/>
    </row>
    <row r="162" ht="18.75" customHeight="1" s="153">
      <c r="A162" s="237" t="n"/>
      <c r="B162" s="238" t="n"/>
      <c r="C162" s="239" t="n"/>
      <c r="D162" s="239" t="n"/>
      <c r="E162" s="239" t="n"/>
      <c r="F162" s="240" t="n"/>
      <c r="G162" s="240" t="n"/>
      <c r="H162" s="241" t="n"/>
      <c r="I162" s="242" t="n"/>
      <c r="J162" s="242" t="n"/>
      <c r="K162" s="233" t="n"/>
      <c r="L162" s="233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56" t="n"/>
      <c r="N162" s="156" t="n"/>
      <c r="O162" s="156" t="n"/>
    </row>
    <row r="163" ht="18.75" customHeight="1" s="153">
      <c r="A163" s="227" t="n"/>
      <c r="B163" s="228" t="n"/>
      <c r="C163" s="229" t="n"/>
      <c r="D163" s="229" t="n"/>
      <c r="E163" s="229" t="n"/>
      <c r="F163" s="230" t="n"/>
      <c r="G163" s="230" t="n"/>
      <c r="H163" s="231" t="n"/>
      <c r="I163" s="232" t="n"/>
      <c r="J163" s="232" t="n"/>
      <c r="K163" s="233" t="n"/>
      <c r="L163" s="233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56" t="n"/>
      <c r="N163" s="156" t="n"/>
      <c r="O163" s="156" t="n"/>
    </row>
    <row r="164" ht="18.75" customHeight="1" s="153">
      <c r="A164" s="237" t="n"/>
      <c r="B164" s="238" t="n"/>
      <c r="C164" s="239" t="n"/>
      <c r="D164" s="239" t="n"/>
      <c r="E164" s="239" t="n"/>
      <c r="F164" s="240" t="n"/>
      <c r="G164" s="240" t="n"/>
      <c r="H164" s="241" t="n"/>
      <c r="I164" s="242" t="n"/>
      <c r="J164" s="242" t="n"/>
      <c r="K164" s="233" t="n"/>
      <c r="L164" s="233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56" t="n"/>
      <c r="N164" s="156" t="n"/>
      <c r="O164" s="156" t="n"/>
    </row>
    <row r="165" ht="18.75" customHeight="1" s="153">
      <c r="A165" s="227" t="n"/>
      <c r="B165" s="228" t="n"/>
      <c r="C165" s="229" t="n"/>
      <c r="D165" s="229" t="n"/>
      <c r="E165" s="229" t="n"/>
      <c r="F165" s="230" t="n"/>
      <c r="G165" s="230" t="n"/>
      <c r="H165" s="231" t="n"/>
      <c r="I165" s="232" t="n"/>
      <c r="J165" s="232" t="n"/>
      <c r="K165" s="233" t="n"/>
      <c r="L165" s="233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56" t="n"/>
      <c r="N165" s="156" t="n"/>
      <c r="O165" s="156" t="n"/>
    </row>
    <row r="166" ht="18.75" customHeight="1" s="153">
      <c r="A166" s="237" t="n"/>
      <c r="B166" s="238" t="n"/>
      <c r="C166" s="239" t="n"/>
      <c r="D166" s="239" t="n"/>
      <c r="E166" s="239" t="n"/>
      <c r="F166" s="240" t="n"/>
      <c r="G166" s="240" t="n"/>
      <c r="H166" s="241" t="n"/>
      <c r="I166" s="242" t="n"/>
      <c r="J166" s="242" t="n"/>
      <c r="K166" s="233" t="n"/>
      <c r="L166" s="233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56" t="n"/>
      <c r="N166" s="156" t="n"/>
      <c r="O166" s="156" t="n"/>
    </row>
    <row r="167" ht="18.75" customHeight="1" s="153">
      <c r="A167" s="227" t="n"/>
      <c r="B167" s="228" t="n"/>
      <c r="C167" s="229" t="n"/>
      <c r="D167" s="229" t="n"/>
      <c r="E167" s="229" t="n"/>
      <c r="F167" s="230" t="n"/>
      <c r="G167" s="230" t="n"/>
      <c r="H167" s="231" t="n"/>
      <c r="I167" s="232" t="n"/>
      <c r="J167" s="232" t="n"/>
      <c r="K167" s="233" t="n"/>
      <c r="L167" s="233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56" t="n"/>
      <c r="N167" s="156" t="n"/>
      <c r="O167" s="156" t="n"/>
    </row>
    <row r="168" ht="18.75" customHeight="1" s="153">
      <c r="A168" s="237" t="n"/>
      <c r="B168" s="238" t="n"/>
      <c r="C168" s="239" t="n"/>
      <c r="D168" s="239" t="n"/>
      <c r="E168" s="239" t="n"/>
      <c r="F168" s="240" t="n"/>
      <c r="G168" s="240" t="n"/>
      <c r="H168" s="241" t="n"/>
      <c r="I168" s="242" t="n"/>
      <c r="J168" s="242" t="n"/>
      <c r="K168" s="233" t="n"/>
      <c r="L168" s="233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56" t="n"/>
      <c r="N168" s="156" t="n"/>
      <c r="O168" s="156" t="n"/>
    </row>
    <row r="169" ht="18.75" customHeight="1" s="153">
      <c r="A169" s="227" t="n"/>
      <c r="B169" s="228" t="n"/>
      <c r="C169" s="229" t="n"/>
      <c r="D169" s="229" t="n"/>
      <c r="E169" s="229" t="n"/>
      <c r="F169" s="230" t="n"/>
      <c r="G169" s="230" t="n"/>
      <c r="H169" s="231" t="n"/>
      <c r="I169" s="232" t="n"/>
      <c r="J169" s="232" t="n"/>
      <c r="K169" s="233" t="n"/>
      <c r="L169" s="233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56" t="n"/>
      <c r="N169" s="156" t="n"/>
      <c r="O169" s="156" t="n"/>
    </row>
    <row r="170" ht="18.75" customHeight="1" s="153">
      <c r="A170" s="237" t="n"/>
      <c r="B170" s="238" t="n"/>
      <c r="C170" s="239" t="n"/>
      <c r="D170" s="239" t="n"/>
      <c r="E170" s="239" t="n"/>
      <c r="F170" s="240" t="n"/>
      <c r="G170" s="240" t="n"/>
      <c r="H170" s="241" t="n"/>
      <c r="I170" s="242" t="n"/>
      <c r="J170" s="242" t="n"/>
      <c r="K170" s="233" t="n"/>
      <c r="L170" s="233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56" t="n"/>
      <c r="N170" s="156" t="n"/>
      <c r="O170" s="156" t="n"/>
    </row>
    <row r="171" ht="18.75" customHeight="1" s="153">
      <c r="A171" s="227" t="n"/>
      <c r="B171" s="228" t="n"/>
      <c r="C171" s="229" t="n"/>
      <c r="D171" s="229" t="n"/>
      <c r="E171" s="229" t="n"/>
      <c r="F171" s="230" t="n"/>
      <c r="G171" s="230" t="n"/>
      <c r="H171" s="231" t="n"/>
      <c r="I171" s="232" t="n"/>
      <c r="J171" s="232" t="n"/>
      <c r="K171" s="233" t="n"/>
      <c r="L171" s="233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56" t="n"/>
      <c r="N171" s="156" t="n"/>
      <c r="O171" s="156" t="n"/>
    </row>
    <row r="172" ht="18.75" customHeight="1" s="153">
      <c r="A172" s="237" t="n"/>
      <c r="B172" s="238" t="n"/>
      <c r="C172" s="239" t="n"/>
      <c r="D172" s="239" t="n"/>
      <c r="E172" s="239" t="n"/>
      <c r="F172" s="240" t="n"/>
      <c r="G172" s="240" t="n"/>
      <c r="H172" s="241" t="n"/>
      <c r="I172" s="242" t="n"/>
      <c r="J172" s="242" t="n"/>
      <c r="K172" s="233" t="n"/>
      <c r="L172" s="233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56" t="n"/>
      <c r="N172" s="156" t="n"/>
      <c r="O172" s="156" t="n"/>
    </row>
    <row r="173" ht="18.75" customHeight="1" s="153">
      <c r="A173" s="227" t="n"/>
      <c r="B173" s="228" t="n"/>
      <c r="C173" s="229" t="n"/>
      <c r="D173" s="229" t="n"/>
      <c r="E173" s="229" t="n"/>
      <c r="F173" s="230" t="n"/>
      <c r="G173" s="230" t="n"/>
      <c r="H173" s="231" t="n"/>
      <c r="I173" s="232" t="n"/>
      <c r="J173" s="232" t="n"/>
      <c r="K173" s="233" t="n"/>
      <c r="L173" s="233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56" t="n"/>
      <c r="N173" s="156" t="n"/>
      <c r="O173" s="156" t="n"/>
    </row>
    <row r="174" ht="18.75" customHeight="1" s="153">
      <c r="A174" s="237" t="n"/>
      <c r="B174" s="238" t="n"/>
      <c r="C174" s="239" t="n"/>
      <c r="D174" s="239" t="n"/>
      <c r="E174" s="239" t="n"/>
      <c r="F174" s="240" t="n"/>
      <c r="G174" s="240" t="n"/>
      <c r="H174" s="241" t="n"/>
      <c r="I174" s="242" t="n"/>
      <c r="J174" s="242" t="n"/>
      <c r="K174" s="233" t="n"/>
      <c r="L174" s="233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56" t="n"/>
      <c r="N174" s="156" t="n"/>
      <c r="O174" s="156" t="n"/>
    </row>
    <row r="175" ht="18.75" customHeight="1" s="153">
      <c r="A175" s="227" t="n"/>
      <c r="B175" s="228" t="n"/>
      <c r="C175" s="229" t="n"/>
      <c r="D175" s="229" t="n"/>
      <c r="E175" s="229" t="n"/>
      <c r="F175" s="230" t="n"/>
      <c r="G175" s="230" t="n"/>
      <c r="H175" s="231" t="n"/>
      <c r="I175" s="232" t="n"/>
      <c r="J175" s="232" t="n"/>
      <c r="K175" s="233" t="n"/>
      <c r="L175" s="233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56" t="n"/>
      <c r="N175" s="156" t="n"/>
      <c r="O175" s="156" t="n"/>
    </row>
    <row r="176" ht="18.75" customHeight="1" s="153">
      <c r="A176" s="237" t="n"/>
      <c r="B176" s="238" t="n"/>
      <c r="C176" s="239" t="n"/>
      <c r="D176" s="239" t="n"/>
      <c r="E176" s="239" t="n"/>
      <c r="F176" s="240" t="n"/>
      <c r="G176" s="240" t="n"/>
      <c r="H176" s="241" t="n"/>
      <c r="I176" s="242" t="n"/>
      <c r="J176" s="242" t="n"/>
      <c r="K176" s="233" t="n"/>
      <c r="L176" s="233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56" t="n"/>
      <c r="N176" s="156" t="n"/>
      <c r="O176" s="156" t="n"/>
    </row>
    <row r="177" ht="18.75" customHeight="1" s="153">
      <c r="A177" s="227" t="n"/>
      <c r="B177" s="228" t="n"/>
      <c r="C177" s="229" t="n"/>
      <c r="D177" s="229" t="n"/>
      <c r="E177" s="229" t="n"/>
      <c r="F177" s="230" t="n"/>
      <c r="G177" s="230" t="n"/>
      <c r="H177" s="231" t="n"/>
      <c r="I177" s="232" t="n"/>
      <c r="J177" s="232" t="n"/>
      <c r="K177" s="233" t="n"/>
      <c r="L177" s="233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56" t="n"/>
      <c r="N177" s="156" t="n"/>
      <c r="O177" s="156" t="n"/>
    </row>
    <row r="178" ht="18.75" customHeight="1" s="153">
      <c r="A178" s="237" t="n"/>
      <c r="B178" s="238" t="n"/>
      <c r="C178" s="239" t="n"/>
      <c r="D178" s="239" t="n"/>
      <c r="E178" s="239" t="n"/>
      <c r="F178" s="240" t="n"/>
      <c r="G178" s="240" t="n"/>
      <c r="H178" s="241" t="n"/>
      <c r="I178" s="242" t="n"/>
      <c r="J178" s="242" t="n"/>
      <c r="K178" s="233" t="n"/>
      <c r="L178" s="233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56" t="n"/>
      <c r="N178" s="156" t="n"/>
      <c r="O178" s="156" t="n"/>
    </row>
    <row r="179" ht="18.75" customHeight="1" s="153">
      <c r="A179" s="227" t="n"/>
      <c r="B179" s="228" t="n"/>
      <c r="C179" s="229" t="n"/>
      <c r="D179" s="229" t="n"/>
      <c r="E179" s="229" t="n"/>
      <c r="F179" s="230" t="n"/>
      <c r="G179" s="230" t="n"/>
      <c r="H179" s="231" t="n"/>
      <c r="I179" s="232" t="n"/>
      <c r="J179" s="232" t="n"/>
      <c r="K179" s="233" t="n"/>
      <c r="L179" s="233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56" t="n"/>
      <c r="N179" s="156" t="n"/>
      <c r="O179" s="156" t="n"/>
    </row>
    <row r="180" ht="18.75" customHeight="1" s="153">
      <c r="A180" s="237" t="n"/>
      <c r="B180" s="238" t="n"/>
      <c r="C180" s="239" t="n"/>
      <c r="D180" s="239" t="n"/>
      <c r="E180" s="239" t="n"/>
      <c r="F180" s="240" t="n"/>
      <c r="G180" s="240" t="n"/>
      <c r="H180" s="241" t="n"/>
      <c r="I180" s="242" t="n"/>
      <c r="J180" s="242" t="n"/>
      <c r="K180" s="233" t="n"/>
      <c r="L180" s="233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56" t="n"/>
      <c r="N180" s="156" t="n"/>
      <c r="O180" s="156" t="n"/>
    </row>
    <row r="181" ht="18.75" customHeight="1" s="153">
      <c r="A181" s="227" t="n"/>
      <c r="B181" s="228" t="n"/>
      <c r="C181" s="229" t="n"/>
      <c r="D181" s="229" t="n"/>
      <c r="E181" s="229" t="n"/>
      <c r="F181" s="230" t="n"/>
      <c r="G181" s="230" t="n"/>
      <c r="H181" s="231" t="n"/>
      <c r="I181" s="232" t="n"/>
      <c r="J181" s="232" t="n"/>
      <c r="K181" s="233" t="n"/>
      <c r="L181" s="233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56" t="n"/>
      <c r="N181" s="156" t="n"/>
      <c r="O181" s="156" t="n"/>
    </row>
    <row r="182" ht="18.75" customHeight="1" s="153">
      <c r="A182" s="237" t="n"/>
      <c r="B182" s="238" t="n"/>
      <c r="C182" s="239" t="n"/>
      <c r="D182" s="239" t="n"/>
      <c r="E182" s="239" t="n"/>
      <c r="F182" s="240" t="n"/>
      <c r="G182" s="240" t="n"/>
      <c r="H182" s="241" t="n"/>
      <c r="I182" s="242" t="n"/>
      <c r="J182" s="242" t="n"/>
      <c r="K182" s="233" t="n"/>
      <c r="L182" s="233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56" t="n"/>
      <c r="N182" s="156" t="n"/>
      <c r="O182" s="156" t="n"/>
    </row>
    <row r="183" ht="18.75" customHeight="1" s="153">
      <c r="A183" s="227" t="n"/>
      <c r="B183" s="228" t="n"/>
      <c r="C183" s="229" t="n"/>
      <c r="D183" s="229" t="n"/>
      <c r="E183" s="229" t="n"/>
      <c r="F183" s="230" t="n"/>
      <c r="G183" s="230" t="n"/>
      <c r="H183" s="231" t="n"/>
      <c r="I183" s="232" t="n"/>
      <c r="J183" s="232" t="n"/>
      <c r="K183" s="233" t="n"/>
      <c r="L183" s="233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56" t="n"/>
      <c r="N183" s="156" t="n"/>
      <c r="O183" s="156" t="n"/>
    </row>
    <row r="184" ht="18.75" customHeight="1" s="153">
      <c r="A184" s="237" t="n"/>
      <c r="B184" s="238" t="n"/>
      <c r="C184" s="239" t="n"/>
      <c r="D184" s="239" t="n"/>
      <c r="E184" s="239" t="n"/>
      <c r="F184" s="240" t="n"/>
      <c r="G184" s="240" t="n"/>
      <c r="H184" s="241" t="n"/>
      <c r="I184" s="242" t="n"/>
      <c r="J184" s="242" t="n"/>
      <c r="K184" s="233" t="n"/>
      <c r="L184" s="233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56" t="n"/>
      <c r="N184" s="156" t="n"/>
      <c r="O184" s="156" t="n"/>
    </row>
    <row r="185" ht="18.75" customHeight="1" s="153">
      <c r="A185" s="227" t="n"/>
      <c r="B185" s="228" t="n"/>
      <c r="C185" s="229" t="n"/>
      <c r="D185" s="229" t="n"/>
      <c r="E185" s="229" t="n"/>
      <c r="F185" s="230" t="n"/>
      <c r="G185" s="230" t="n"/>
      <c r="H185" s="231" t="n"/>
      <c r="I185" s="232" t="n"/>
      <c r="J185" s="232" t="n"/>
      <c r="K185" s="233" t="n"/>
      <c r="L185" s="233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56" t="n"/>
      <c r="N185" s="156" t="n"/>
      <c r="O185" s="156" t="n"/>
    </row>
    <row r="186" ht="18.75" customHeight="1" s="153">
      <c r="A186" s="237" t="n"/>
      <c r="B186" s="238" t="n"/>
      <c r="C186" s="239" t="n"/>
      <c r="D186" s="239" t="n"/>
      <c r="E186" s="239" t="n"/>
      <c r="F186" s="240" t="n"/>
      <c r="G186" s="240" t="n"/>
      <c r="H186" s="241" t="n"/>
      <c r="I186" s="242" t="n"/>
      <c r="J186" s="242" t="n"/>
      <c r="K186" s="233" t="n"/>
      <c r="L186" s="233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56" t="n"/>
      <c r="N186" s="156" t="n"/>
      <c r="O186" s="156" t="n"/>
    </row>
    <row r="187" ht="18.75" customHeight="1" s="153">
      <c r="A187" s="227" t="n"/>
      <c r="B187" s="228" t="n"/>
      <c r="C187" s="229" t="n"/>
      <c r="D187" s="229" t="n"/>
      <c r="E187" s="229" t="n"/>
      <c r="F187" s="230" t="n"/>
      <c r="G187" s="230" t="n"/>
      <c r="H187" s="231" t="n"/>
      <c r="I187" s="232" t="n"/>
      <c r="J187" s="232" t="n"/>
      <c r="K187" s="233" t="n"/>
      <c r="L187" s="233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56" t="n"/>
      <c r="N187" s="156" t="n"/>
      <c r="O187" s="156" t="n"/>
    </row>
    <row r="188" ht="18.75" customHeight="1" s="153">
      <c r="A188" s="237" t="n"/>
      <c r="B188" s="238" t="n"/>
      <c r="C188" s="239" t="n"/>
      <c r="D188" s="239" t="n"/>
      <c r="E188" s="239" t="n"/>
      <c r="F188" s="240" t="n"/>
      <c r="G188" s="240" t="n"/>
      <c r="H188" s="241" t="n"/>
      <c r="I188" s="242" t="n"/>
      <c r="J188" s="242" t="n"/>
      <c r="K188" s="233" t="n"/>
      <c r="L188" s="233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56" t="n"/>
      <c r="N188" s="156" t="n"/>
      <c r="O188" s="156" t="n"/>
    </row>
    <row r="189" ht="18.75" customHeight="1" s="153">
      <c r="A189" s="227" t="n"/>
      <c r="B189" s="228" t="n"/>
      <c r="C189" s="229" t="n"/>
      <c r="D189" s="229" t="n"/>
      <c r="E189" s="229" t="n"/>
      <c r="F189" s="230" t="n"/>
      <c r="G189" s="230" t="n"/>
      <c r="H189" s="231" t="n"/>
      <c r="I189" s="232" t="n"/>
      <c r="J189" s="232" t="n"/>
      <c r="K189" s="233" t="n"/>
      <c r="L189" s="233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56" t="n"/>
      <c r="N189" s="156" t="n"/>
      <c r="O189" s="156" t="n"/>
    </row>
    <row r="190" ht="18.75" customHeight="1" s="153">
      <c r="A190" s="237" t="n"/>
      <c r="B190" s="238" t="n"/>
      <c r="C190" s="239" t="n"/>
      <c r="D190" s="239" t="n"/>
      <c r="E190" s="239" t="n"/>
      <c r="F190" s="240" t="n"/>
      <c r="G190" s="240" t="n"/>
      <c r="H190" s="241" t="n"/>
      <c r="I190" s="242" t="n"/>
      <c r="J190" s="242" t="n"/>
      <c r="K190" s="233" t="n"/>
      <c r="L190" s="233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56" t="n"/>
      <c r="N190" s="156" t="n"/>
      <c r="O190" s="156" t="n"/>
    </row>
    <row r="191" ht="18.75" customHeight="1" s="153">
      <c r="A191" s="227" t="n"/>
      <c r="B191" s="228" t="n"/>
      <c r="C191" s="229" t="n"/>
      <c r="D191" s="229" t="n"/>
      <c r="E191" s="229" t="n"/>
      <c r="F191" s="230" t="n"/>
      <c r="G191" s="230" t="n"/>
      <c r="H191" s="231" t="n"/>
      <c r="I191" s="232" t="n"/>
      <c r="J191" s="232" t="n"/>
      <c r="K191" s="233" t="n"/>
      <c r="L191" s="233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56" t="n"/>
      <c r="N191" s="156" t="n"/>
      <c r="O191" s="156" t="n"/>
    </row>
    <row r="192" ht="18.75" customHeight="1" s="153">
      <c r="A192" s="237" t="n"/>
      <c r="B192" s="238" t="n"/>
      <c r="C192" s="239" t="n"/>
      <c r="D192" s="239" t="n"/>
      <c r="E192" s="239" t="n"/>
      <c r="F192" s="240" t="n"/>
      <c r="G192" s="240" t="n"/>
      <c r="H192" s="241" t="n"/>
      <c r="I192" s="242" t="n"/>
      <c r="J192" s="242" t="n"/>
      <c r="K192" s="233" t="n"/>
      <c r="L192" s="233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56" t="n"/>
      <c r="N192" s="156" t="n"/>
      <c r="O192" s="156" t="n"/>
    </row>
    <row r="193" ht="18.75" customHeight="1" s="153">
      <c r="A193" s="227" t="n"/>
      <c r="B193" s="228" t="n"/>
      <c r="C193" s="229" t="n"/>
      <c r="D193" s="229" t="n"/>
      <c r="E193" s="229" t="n"/>
      <c r="F193" s="230" t="n"/>
      <c r="G193" s="230" t="n"/>
      <c r="H193" s="231" t="n"/>
      <c r="I193" s="232" t="n"/>
      <c r="J193" s="232" t="n"/>
      <c r="K193" s="233" t="n"/>
      <c r="L193" s="233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56" t="n"/>
      <c r="N193" s="156" t="n"/>
      <c r="O193" s="156" t="n"/>
    </row>
    <row r="194" ht="18.75" customHeight="1" s="153">
      <c r="A194" s="237" t="n"/>
      <c r="B194" s="238" t="n"/>
      <c r="C194" s="239" t="n"/>
      <c r="D194" s="239" t="n"/>
      <c r="E194" s="239" t="n"/>
      <c r="F194" s="240" t="n"/>
      <c r="G194" s="240" t="n"/>
      <c r="H194" s="241" t="n"/>
      <c r="I194" s="242" t="n"/>
      <c r="J194" s="242" t="n"/>
      <c r="K194" s="233" t="n"/>
      <c r="L194" s="233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56" t="n"/>
      <c r="N194" s="156" t="n"/>
      <c r="O194" s="156" t="n"/>
    </row>
    <row r="195" ht="18.75" customHeight="1" s="153">
      <c r="A195" s="227" t="n"/>
      <c r="B195" s="228" t="n"/>
      <c r="C195" s="229" t="n"/>
      <c r="D195" s="229" t="n"/>
      <c r="E195" s="229" t="n"/>
      <c r="F195" s="230" t="n"/>
      <c r="G195" s="230" t="n"/>
      <c r="H195" s="231" t="n"/>
      <c r="I195" s="232" t="n"/>
      <c r="J195" s="232" t="n"/>
      <c r="K195" s="233" t="n"/>
      <c r="L195" s="233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56" t="n"/>
      <c r="N195" s="156" t="n"/>
      <c r="O195" s="156" t="n"/>
    </row>
    <row r="196" ht="18.75" customHeight="1" s="153">
      <c r="A196" s="237" t="n"/>
      <c r="B196" s="238" t="n"/>
      <c r="C196" s="239" t="n"/>
      <c r="D196" s="239" t="n"/>
      <c r="E196" s="239" t="n"/>
      <c r="F196" s="240" t="n"/>
      <c r="G196" s="240" t="n"/>
      <c r="H196" s="241" t="n"/>
      <c r="I196" s="242" t="n"/>
      <c r="J196" s="242" t="n"/>
      <c r="K196" s="233" t="n"/>
      <c r="L196" s="233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56" t="n"/>
      <c r="N196" s="156" t="n"/>
      <c r="O196" s="156" t="n"/>
    </row>
    <row r="197" ht="18.75" customHeight="1" s="153">
      <c r="A197" s="227" t="n"/>
      <c r="B197" s="228" t="n"/>
      <c r="C197" s="229" t="n"/>
      <c r="D197" s="229" t="n"/>
      <c r="E197" s="229" t="n"/>
      <c r="F197" s="230" t="n"/>
      <c r="G197" s="230" t="n"/>
      <c r="H197" s="231" t="n"/>
      <c r="I197" s="232" t="n"/>
      <c r="J197" s="232" t="n"/>
      <c r="K197" s="233" t="n"/>
      <c r="L197" s="233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56" t="n"/>
      <c r="N197" s="156" t="n"/>
      <c r="O197" s="156" t="n"/>
    </row>
    <row r="198" ht="18.75" customHeight="1" s="153">
      <c r="A198" s="237" t="n"/>
      <c r="B198" s="238" t="n"/>
      <c r="C198" s="239" t="n"/>
      <c r="D198" s="239" t="n"/>
      <c r="E198" s="239" t="n"/>
      <c r="F198" s="240" t="n"/>
      <c r="G198" s="240" t="n"/>
      <c r="H198" s="241" t="n"/>
      <c r="I198" s="242" t="n"/>
      <c r="J198" s="242" t="n"/>
      <c r="K198" s="233" t="n"/>
      <c r="L198" s="233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56" t="n"/>
      <c r="N198" s="156" t="n"/>
      <c r="O198" s="156" t="n"/>
    </row>
    <row r="199" ht="18.75" customHeight="1" s="153">
      <c r="A199" s="227" t="n"/>
      <c r="B199" s="228" t="n"/>
      <c r="C199" s="229" t="n"/>
      <c r="D199" s="229" t="n"/>
      <c r="E199" s="229" t="n"/>
      <c r="F199" s="230" t="n"/>
      <c r="G199" s="230" t="n"/>
      <c r="H199" s="231" t="n"/>
      <c r="I199" s="232" t="n"/>
      <c r="J199" s="232" t="n"/>
      <c r="K199" s="233" t="n"/>
      <c r="L199" s="233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56" t="n"/>
      <c r="N199" s="156" t="n"/>
      <c r="O199" s="156" t="n"/>
    </row>
    <row r="200" ht="18.75" customHeight="1" s="153">
      <c r="A200" s="237" t="n"/>
      <c r="B200" s="238" t="n"/>
      <c r="C200" s="239" t="n"/>
      <c r="D200" s="239" t="n"/>
      <c r="E200" s="239" t="n"/>
      <c r="F200" s="240" t="n"/>
      <c r="G200" s="240" t="n"/>
      <c r="H200" s="241" t="n"/>
      <c r="I200" s="242" t="n"/>
      <c r="J200" s="242" t="n"/>
      <c r="K200" s="233" t="n"/>
      <c r="L200" s="233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56" t="n"/>
      <c r="N200" s="156" t="n"/>
      <c r="O200" s="156" t="n"/>
    </row>
    <row r="201" ht="18.75" customHeight="1" s="153">
      <c r="A201" s="227" t="n"/>
      <c r="B201" s="228" t="n"/>
      <c r="C201" s="229" t="n"/>
      <c r="D201" s="229" t="n"/>
      <c r="E201" s="229" t="n"/>
      <c r="F201" s="230" t="n"/>
      <c r="G201" s="230" t="n"/>
      <c r="H201" s="231" t="n"/>
      <c r="I201" s="232" t="n"/>
      <c r="J201" s="232" t="n"/>
      <c r="K201" s="233" t="n"/>
      <c r="L201" s="233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56" t="n"/>
      <c r="N201" s="156" t="n"/>
      <c r="O201" s="156" t="n"/>
    </row>
    <row r="202" ht="18.75" customHeight="1" s="153">
      <c r="A202" s="237" t="n"/>
      <c r="B202" s="238" t="n"/>
      <c r="C202" s="239" t="n"/>
      <c r="D202" s="239" t="n"/>
      <c r="E202" s="239" t="n"/>
      <c r="F202" s="240" t="n"/>
      <c r="G202" s="240" t="n"/>
      <c r="H202" s="241" t="n"/>
      <c r="I202" s="242" t="n"/>
      <c r="J202" s="242" t="n"/>
      <c r="K202" s="233" t="n"/>
      <c r="L202" s="233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56" t="n"/>
      <c r="N202" s="156" t="n"/>
      <c r="O202" s="156" t="n"/>
    </row>
    <row r="203" ht="18.75" customHeight="1" s="153">
      <c r="A203" s="227" t="n"/>
      <c r="B203" s="228" t="n"/>
      <c r="C203" s="229" t="n"/>
      <c r="D203" s="229" t="n"/>
      <c r="E203" s="229" t="n"/>
      <c r="F203" s="230" t="n"/>
      <c r="G203" s="230" t="n"/>
      <c r="H203" s="231" t="n"/>
      <c r="I203" s="232" t="n"/>
      <c r="J203" s="232" t="n"/>
      <c r="K203" s="233" t="n"/>
      <c r="L203" s="233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56" t="n"/>
      <c r="N203" s="156" t="n"/>
      <c r="O203" s="156" t="n"/>
    </row>
    <row r="204" ht="18.75" customHeight="1" s="153">
      <c r="A204" s="237" t="n"/>
      <c r="B204" s="238" t="n"/>
      <c r="C204" s="239" t="n"/>
      <c r="D204" s="239" t="n"/>
      <c r="E204" s="239" t="n"/>
      <c r="F204" s="240" t="n"/>
      <c r="G204" s="240" t="n"/>
      <c r="H204" s="241" t="n"/>
      <c r="I204" s="242" t="n"/>
      <c r="J204" s="242" t="n"/>
      <c r="K204" s="233" t="n"/>
      <c r="L204" s="233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56" t="n"/>
      <c r="N204" s="156" t="n"/>
      <c r="O204" s="156" t="n"/>
    </row>
    <row r="205" ht="18.75" customHeight="1" s="153">
      <c r="A205" s="227" t="n"/>
      <c r="B205" s="228" t="n"/>
      <c r="C205" s="229" t="n"/>
      <c r="D205" s="229" t="n"/>
      <c r="E205" s="229" t="n"/>
      <c r="F205" s="230" t="n"/>
      <c r="G205" s="230" t="n"/>
      <c r="H205" s="231" t="n"/>
      <c r="I205" s="232" t="n"/>
      <c r="J205" s="232" t="n"/>
      <c r="K205" s="233" t="n"/>
      <c r="L205" s="233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56" t="n"/>
      <c r="N205" s="156" t="n"/>
      <c r="O205" s="156" t="n"/>
    </row>
    <row r="206" ht="18.75" customHeight="1" s="153">
      <c r="A206" s="237" t="n"/>
      <c r="B206" s="238" t="n"/>
      <c r="C206" s="239" t="n"/>
      <c r="D206" s="239" t="n"/>
      <c r="E206" s="239" t="n"/>
      <c r="F206" s="240" t="n"/>
      <c r="G206" s="240" t="n"/>
      <c r="H206" s="241" t="n"/>
      <c r="I206" s="242" t="n"/>
      <c r="J206" s="242" t="n"/>
      <c r="K206" s="233" t="n"/>
      <c r="L206" s="233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56" t="n"/>
      <c r="N206" s="156" t="n"/>
      <c r="O206" s="156" t="n"/>
    </row>
    <row r="207" ht="18.75" customHeight="1" s="153">
      <c r="A207" s="227" t="n"/>
      <c r="B207" s="228" t="n"/>
      <c r="C207" s="229" t="n"/>
      <c r="D207" s="229" t="n"/>
      <c r="E207" s="229" t="n"/>
      <c r="F207" s="230" t="n"/>
      <c r="G207" s="230" t="n"/>
      <c r="H207" s="231" t="n"/>
      <c r="I207" s="232" t="n"/>
      <c r="J207" s="232" t="n"/>
      <c r="K207" s="233" t="n"/>
      <c r="L207" s="233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56" t="n"/>
      <c r="N207" s="156" t="n"/>
      <c r="O207" s="156" t="n"/>
    </row>
    <row r="208" ht="18.75" customHeight="1" s="153">
      <c r="A208" s="237" t="n"/>
      <c r="B208" s="238" t="n"/>
      <c r="C208" s="239" t="n"/>
      <c r="D208" s="239" t="n"/>
      <c r="E208" s="239" t="n"/>
      <c r="F208" s="240" t="n"/>
      <c r="G208" s="240" t="n"/>
      <c r="H208" s="241" t="n"/>
      <c r="I208" s="242" t="n"/>
      <c r="J208" s="242" t="n"/>
      <c r="K208" s="233" t="n"/>
      <c r="L208" s="233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56" t="n"/>
      <c r="N208" s="156" t="n"/>
      <c r="O208" s="156" t="n"/>
    </row>
    <row r="209" ht="18.75" customHeight="1" s="153">
      <c r="A209" s="227" t="n"/>
      <c r="B209" s="228" t="n"/>
      <c r="C209" s="229" t="n"/>
      <c r="D209" s="229" t="n"/>
      <c r="E209" s="229" t="n"/>
      <c r="F209" s="230" t="n"/>
      <c r="G209" s="230" t="n"/>
      <c r="H209" s="231" t="n"/>
      <c r="I209" s="232" t="n"/>
      <c r="J209" s="232" t="n"/>
      <c r="K209" s="233" t="n"/>
      <c r="L209" s="233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56" t="n"/>
      <c r="N209" s="156" t="n"/>
      <c r="O209" s="156" t="n"/>
    </row>
    <row r="210" ht="18.75" customHeight="1" s="153">
      <c r="A210" s="237" t="n"/>
      <c r="B210" s="238" t="n"/>
      <c r="C210" s="239" t="n"/>
      <c r="D210" s="239" t="n"/>
      <c r="E210" s="239" t="n"/>
      <c r="F210" s="240" t="n"/>
      <c r="G210" s="240" t="n"/>
      <c r="H210" s="241" t="n"/>
      <c r="I210" s="242" t="n"/>
      <c r="J210" s="242" t="n"/>
      <c r="K210" s="233" t="n"/>
      <c r="L210" s="233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56" t="n"/>
      <c r="N210" s="156" t="n"/>
      <c r="O210" s="156" t="n"/>
    </row>
    <row r="211" ht="18.75" customHeight="1" s="153">
      <c r="A211" s="227" t="n"/>
      <c r="B211" s="228" t="n"/>
      <c r="C211" s="229" t="n"/>
      <c r="D211" s="229" t="n"/>
      <c r="E211" s="229" t="n"/>
      <c r="F211" s="230" t="n"/>
      <c r="G211" s="230" t="n"/>
      <c r="H211" s="231" t="n"/>
      <c r="I211" s="232" t="n"/>
      <c r="J211" s="232" t="n"/>
      <c r="K211" s="233" t="n"/>
      <c r="L211" s="233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56" t="n"/>
      <c r="N211" s="156" t="n"/>
      <c r="O211" s="156" t="n"/>
    </row>
    <row r="212" ht="18.75" customHeight="1" s="153">
      <c r="A212" s="237" t="n"/>
      <c r="B212" s="238" t="n"/>
      <c r="C212" s="239" t="n"/>
      <c r="D212" s="239" t="n"/>
      <c r="E212" s="239" t="n"/>
      <c r="F212" s="240" t="n"/>
      <c r="G212" s="240" t="n"/>
      <c r="H212" s="241" t="n"/>
      <c r="I212" s="242" t="n"/>
      <c r="J212" s="242" t="n"/>
      <c r="K212" s="233" t="n"/>
      <c r="L212" s="233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56" t="n"/>
      <c r="N212" s="156" t="n"/>
      <c r="O212" s="156" t="n"/>
    </row>
    <row r="213" ht="18.75" customHeight="1" s="153">
      <c r="A213" s="227" t="n"/>
      <c r="B213" s="228" t="n"/>
      <c r="C213" s="229" t="n"/>
      <c r="D213" s="229" t="n"/>
      <c r="E213" s="229" t="n"/>
      <c r="F213" s="230" t="n"/>
      <c r="G213" s="230" t="n"/>
      <c r="H213" s="231" t="n"/>
      <c r="I213" s="232" t="n"/>
      <c r="J213" s="232" t="n"/>
      <c r="K213" s="233" t="n"/>
      <c r="L213" s="233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56" t="n"/>
      <c r="N213" s="156" t="n"/>
      <c r="O213" s="156" t="n"/>
    </row>
    <row r="214" ht="18.75" customHeight="1" s="153">
      <c r="A214" s="237" t="n"/>
      <c r="B214" s="238" t="n"/>
      <c r="C214" s="239" t="n"/>
      <c r="D214" s="239" t="n"/>
      <c r="E214" s="239" t="n"/>
      <c r="F214" s="240" t="n"/>
      <c r="G214" s="240" t="n"/>
      <c r="H214" s="241" t="n"/>
      <c r="I214" s="242" t="n"/>
      <c r="J214" s="242" t="n"/>
      <c r="K214" s="233" t="n"/>
      <c r="L214" s="233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56" t="n"/>
      <c r="N214" s="156" t="n"/>
      <c r="O214" s="156" t="n"/>
    </row>
    <row r="215" ht="18.75" customHeight="1" s="153">
      <c r="A215" s="227" t="n"/>
      <c r="B215" s="228" t="n"/>
      <c r="C215" s="229" t="n"/>
      <c r="D215" s="229" t="n"/>
      <c r="E215" s="229" t="n"/>
      <c r="F215" s="230" t="n"/>
      <c r="G215" s="230" t="n"/>
      <c r="H215" s="231" t="n"/>
      <c r="I215" s="232" t="n"/>
      <c r="J215" s="232" t="n"/>
      <c r="K215" s="233" t="n"/>
      <c r="L215" s="233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56" t="n"/>
      <c r="N215" s="156" t="n"/>
      <c r="O215" s="156" t="n"/>
    </row>
    <row r="216" ht="18.75" customHeight="1" s="153">
      <c r="A216" s="237" t="n"/>
      <c r="B216" s="238" t="n"/>
      <c r="C216" s="239" t="n"/>
      <c r="D216" s="239" t="n"/>
      <c r="E216" s="239" t="n"/>
      <c r="F216" s="240" t="n"/>
      <c r="G216" s="240" t="n"/>
      <c r="H216" s="241" t="n"/>
      <c r="I216" s="242" t="n"/>
      <c r="J216" s="242" t="n"/>
      <c r="K216" s="233" t="n"/>
      <c r="L216" s="233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56" t="n"/>
      <c r="N216" s="156" t="n"/>
      <c r="O216" s="156" t="n"/>
    </row>
    <row r="217" ht="18.75" customHeight="1" s="153">
      <c r="A217" s="227" t="n"/>
      <c r="B217" s="228" t="n"/>
      <c r="C217" s="229" t="n"/>
      <c r="D217" s="229" t="n"/>
      <c r="E217" s="229" t="n"/>
      <c r="F217" s="230" t="n"/>
      <c r="G217" s="230" t="n"/>
      <c r="H217" s="231" t="n"/>
      <c r="I217" s="232" t="n"/>
      <c r="J217" s="232" t="n"/>
      <c r="K217" s="233" t="n"/>
      <c r="L217" s="233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56" t="n"/>
      <c r="N217" s="156" t="n"/>
      <c r="O217" s="156" t="n"/>
    </row>
    <row r="218" ht="18.75" customHeight="1" s="153">
      <c r="A218" s="237" t="n"/>
      <c r="B218" s="238" t="n"/>
      <c r="C218" s="239" t="n"/>
      <c r="D218" s="239" t="n"/>
      <c r="E218" s="239" t="n"/>
      <c r="F218" s="240" t="n"/>
      <c r="G218" s="240" t="n"/>
      <c r="H218" s="241" t="n"/>
      <c r="I218" s="242" t="n"/>
      <c r="J218" s="242" t="n"/>
      <c r="K218" s="233" t="n"/>
      <c r="L218" s="233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56" t="n"/>
      <c r="N218" s="156" t="n"/>
      <c r="O218" s="156" t="n"/>
    </row>
    <row r="219" ht="18.75" customHeight="1" s="153">
      <c r="A219" s="227" t="n"/>
      <c r="B219" s="228" t="n"/>
      <c r="C219" s="229" t="n"/>
      <c r="D219" s="229" t="n"/>
      <c r="E219" s="229" t="n"/>
      <c r="F219" s="230" t="n"/>
      <c r="G219" s="230" t="n"/>
      <c r="H219" s="231" t="n"/>
      <c r="I219" s="232" t="n"/>
      <c r="J219" s="232" t="n"/>
      <c r="K219" s="233" t="n"/>
      <c r="L219" s="233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56" t="n"/>
      <c r="N219" s="156" t="n"/>
      <c r="O219" s="156" t="n"/>
    </row>
    <row r="220" ht="18.75" customHeight="1" s="153">
      <c r="A220" s="237" t="n"/>
      <c r="B220" s="238" t="n"/>
      <c r="C220" s="239" t="n"/>
      <c r="D220" s="239" t="n"/>
      <c r="E220" s="239" t="n"/>
      <c r="F220" s="240" t="n"/>
      <c r="G220" s="240" t="n"/>
      <c r="H220" s="241" t="n"/>
      <c r="I220" s="242" t="n"/>
      <c r="J220" s="242" t="n"/>
      <c r="K220" s="233" t="n"/>
      <c r="L220" s="233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56" t="n"/>
      <c r="N220" s="156" t="n"/>
      <c r="O220" s="156" t="n"/>
    </row>
    <row r="221" ht="18.75" customHeight="1" s="153">
      <c r="A221" s="227" t="n"/>
      <c r="B221" s="228" t="n"/>
      <c r="C221" s="229" t="n"/>
      <c r="D221" s="229" t="n"/>
      <c r="E221" s="229" t="n"/>
      <c r="F221" s="230" t="n"/>
      <c r="G221" s="230" t="n"/>
      <c r="H221" s="231" t="n"/>
      <c r="I221" s="232" t="n"/>
      <c r="J221" s="232" t="n"/>
      <c r="K221" s="233" t="n"/>
      <c r="L221" s="233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56" t="n"/>
      <c r="N221" s="156" t="n"/>
      <c r="O221" s="156" t="n"/>
    </row>
    <row r="222" ht="18.75" customHeight="1" s="153">
      <c r="A222" s="237" t="n"/>
      <c r="B222" s="238" t="n"/>
      <c r="C222" s="239" t="n"/>
      <c r="D222" s="239" t="n"/>
      <c r="E222" s="239" t="n"/>
      <c r="F222" s="240" t="n"/>
      <c r="G222" s="240" t="n"/>
      <c r="H222" s="241" t="n"/>
      <c r="I222" s="242" t="n"/>
      <c r="J222" s="242" t="n"/>
      <c r="K222" s="233" t="n"/>
      <c r="L222" s="233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56" t="n"/>
      <c r="N222" s="156" t="n"/>
      <c r="O222" s="156" t="n"/>
    </row>
    <row r="223" ht="18.75" customHeight="1" s="153">
      <c r="A223" s="227" t="n"/>
      <c r="B223" s="228" t="n"/>
      <c r="C223" s="229" t="n"/>
      <c r="D223" s="229" t="n"/>
      <c r="E223" s="229" t="n"/>
      <c r="F223" s="230" t="n"/>
      <c r="G223" s="230" t="n"/>
      <c r="H223" s="231" t="n"/>
      <c r="I223" s="232" t="n"/>
      <c r="J223" s="232" t="n"/>
      <c r="K223" s="233" t="n"/>
      <c r="L223" s="233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56" t="n"/>
      <c r="N223" s="156" t="n"/>
      <c r="O223" s="156" t="n"/>
    </row>
    <row r="224" ht="18.75" customHeight="1" s="153">
      <c r="A224" s="237" t="n"/>
      <c r="B224" s="238" t="n"/>
      <c r="C224" s="239" t="n"/>
      <c r="D224" s="239" t="n"/>
      <c r="E224" s="239" t="n"/>
      <c r="F224" s="240" t="n"/>
      <c r="G224" s="240" t="n"/>
      <c r="H224" s="241" t="n"/>
      <c r="I224" s="242" t="n"/>
      <c r="J224" s="242" t="n"/>
      <c r="K224" s="233" t="n"/>
      <c r="L224" s="233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56" t="n"/>
      <c r="N224" s="156" t="n"/>
      <c r="O224" s="156" t="n"/>
    </row>
    <row r="225" ht="18.75" customHeight="1" s="153">
      <c r="A225" s="227" t="n"/>
      <c r="B225" s="228" t="n"/>
      <c r="C225" s="229" t="n"/>
      <c r="D225" s="229" t="n"/>
      <c r="E225" s="229" t="n"/>
      <c r="F225" s="230" t="n"/>
      <c r="G225" s="230" t="n"/>
      <c r="H225" s="231" t="n"/>
      <c r="I225" s="232" t="n"/>
      <c r="J225" s="232" t="n"/>
      <c r="K225" s="233" t="n"/>
      <c r="L225" s="233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56" t="n"/>
      <c r="N225" s="156" t="n"/>
      <c r="O225" s="156" t="n"/>
    </row>
    <row r="226" ht="18.75" customHeight="1" s="153">
      <c r="A226" s="237" t="n"/>
      <c r="B226" s="238" t="n"/>
      <c r="C226" s="239" t="n"/>
      <c r="D226" s="239" t="n"/>
      <c r="E226" s="239" t="n"/>
      <c r="F226" s="240" t="n"/>
      <c r="G226" s="240" t="n"/>
      <c r="H226" s="241" t="n"/>
      <c r="I226" s="242" t="n"/>
      <c r="J226" s="242" t="n"/>
      <c r="K226" s="233" t="n"/>
      <c r="L226" s="233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56" t="n"/>
      <c r="N226" s="156" t="n"/>
      <c r="O226" s="156" t="n"/>
    </row>
    <row r="227" ht="18.75" customHeight="1" s="153">
      <c r="A227" s="227" t="n"/>
      <c r="B227" s="228" t="n"/>
      <c r="C227" s="229" t="n"/>
      <c r="D227" s="229" t="n"/>
      <c r="E227" s="229" t="n"/>
      <c r="F227" s="230" t="n"/>
      <c r="G227" s="230" t="n"/>
      <c r="H227" s="231" t="n"/>
      <c r="I227" s="232" t="n"/>
      <c r="J227" s="232" t="n"/>
      <c r="K227" s="233" t="n"/>
      <c r="L227" s="233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56" t="n"/>
      <c r="N227" s="156" t="n"/>
      <c r="O227" s="156" t="n"/>
    </row>
    <row r="228" ht="18.75" customHeight="1" s="153">
      <c r="A228" s="237" t="n"/>
      <c r="B228" s="238" t="n"/>
      <c r="C228" s="239" t="n"/>
      <c r="D228" s="239" t="n"/>
      <c r="E228" s="239" t="n"/>
      <c r="F228" s="240" t="n"/>
      <c r="G228" s="240" t="n"/>
      <c r="H228" s="241" t="n"/>
      <c r="I228" s="242" t="n"/>
      <c r="J228" s="242" t="n"/>
      <c r="K228" s="233" t="n"/>
      <c r="L228" s="233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56" t="n"/>
      <c r="N228" s="156" t="n"/>
      <c r="O228" s="156" t="n"/>
    </row>
    <row r="229" ht="18.75" customHeight="1" s="153">
      <c r="A229" s="227" t="n"/>
      <c r="B229" s="228" t="n"/>
      <c r="C229" s="229" t="n"/>
      <c r="D229" s="229" t="n"/>
      <c r="E229" s="229" t="n"/>
      <c r="F229" s="230" t="n"/>
      <c r="G229" s="230" t="n"/>
      <c r="H229" s="231" t="n"/>
      <c r="I229" s="232" t="n"/>
      <c r="J229" s="232" t="n"/>
      <c r="K229" s="233" t="n"/>
      <c r="L229" s="233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56" t="n"/>
      <c r="N229" s="156" t="n"/>
      <c r="O229" s="156" t="n"/>
    </row>
    <row r="230" ht="18.75" customHeight="1" s="153">
      <c r="A230" s="237" t="n"/>
      <c r="B230" s="238" t="n"/>
      <c r="C230" s="239" t="n"/>
      <c r="D230" s="239" t="n"/>
      <c r="E230" s="239" t="n"/>
      <c r="F230" s="240" t="n"/>
      <c r="G230" s="240" t="n"/>
      <c r="H230" s="241" t="n"/>
      <c r="I230" s="242" t="n"/>
      <c r="J230" s="242" t="n"/>
      <c r="K230" s="233" t="n"/>
      <c r="L230" s="233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56" t="n"/>
      <c r="N230" s="156" t="n"/>
      <c r="O230" s="156" t="n"/>
    </row>
    <row r="231" ht="18.75" customHeight="1" s="153">
      <c r="A231" s="227" t="n"/>
      <c r="B231" s="228" t="n"/>
      <c r="C231" s="229" t="n"/>
      <c r="D231" s="229" t="n"/>
      <c r="E231" s="229" t="n"/>
      <c r="F231" s="230" t="n"/>
      <c r="G231" s="230" t="n"/>
      <c r="H231" s="231" t="n"/>
      <c r="I231" s="232" t="n"/>
      <c r="J231" s="232" t="n"/>
      <c r="K231" s="233" t="n"/>
      <c r="L231" s="233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56" t="n"/>
      <c r="N231" s="156" t="n"/>
      <c r="O231" s="156" t="n"/>
    </row>
    <row r="232" ht="18.75" customHeight="1" s="153">
      <c r="A232" s="237" t="n"/>
      <c r="B232" s="238" t="n"/>
      <c r="C232" s="239" t="n"/>
      <c r="D232" s="239" t="n"/>
      <c r="E232" s="239" t="n"/>
      <c r="F232" s="240" t="n"/>
      <c r="G232" s="240" t="n"/>
      <c r="H232" s="241" t="n"/>
      <c r="I232" s="242" t="n"/>
      <c r="J232" s="242" t="n"/>
      <c r="K232" s="233" t="n"/>
      <c r="L232" s="233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56" t="n"/>
      <c r="N232" s="156" t="n"/>
      <c r="O232" s="156" t="n"/>
    </row>
    <row r="233" ht="18.75" customHeight="1" s="153">
      <c r="A233" s="227" t="n"/>
      <c r="B233" s="228" t="n"/>
      <c r="C233" s="229" t="n"/>
      <c r="D233" s="229" t="n"/>
      <c r="E233" s="229" t="n"/>
      <c r="F233" s="230" t="n"/>
      <c r="G233" s="230" t="n"/>
      <c r="H233" s="231" t="n"/>
      <c r="I233" s="232" t="n"/>
      <c r="J233" s="232" t="n"/>
      <c r="K233" s="233" t="n"/>
      <c r="L233" s="233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56" t="n"/>
      <c r="N233" s="156" t="n"/>
      <c r="O233" s="156" t="n"/>
    </row>
    <row r="234" ht="18.75" customHeight="1" s="153">
      <c r="A234" s="237" t="n"/>
      <c r="B234" s="238" t="n"/>
      <c r="C234" s="239" t="n"/>
      <c r="D234" s="239" t="n"/>
      <c r="E234" s="239" t="n"/>
      <c r="F234" s="240" t="n"/>
      <c r="G234" s="240" t="n"/>
      <c r="H234" s="241" t="n"/>
      <c r="I234" s="242" t="n"/>
      <c r="J234" s="242" t="n"/>
      <c r="K234" s="233" t="n"/>
      <c r="L234" s="233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56" t="n"/>
      <c r="N234" s="156" t="n"/>
      <c r="O234" s="156" t="n"/>
    </row>
    <row r="235" ht="18.75" customHeight="1" s="153">
      <c r="A235" s="227" t="n"/>
      <c r="B235" s="228" t="n"/>
      <c r="C235" s="229" t="n"/>
      <c r="D235" s="229" t="n"/>
      <c r="E235" s="229" t="n"/>
      <c r="F235" s="230" t="n"/>
      <c r="G235" s="230" t="n"/>
      <c r="H235" s="231" t="n"/>
      <c r="I235" s="232" t="n"/>
      <c r="J235" s="232" t="n"/>
      <c r="K235" s="233" t="n"/>
      <c r="L235" s="233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56" t="n"/>
      <c r="N235" s="156" t="n"/>
      <c r="O235" s="156" t="n"/>
    </row>
    <row r="236" ht="18.75" customHeight="1" s="153">
      <c r="A236" s="237" t="n"/>
      <c r="B236" s="238" t="n"/>
      <c r="C236" s="239" t="n"/>
      <c r="D236" s="239" t="n"/>
      <c r="E236" s="239" t="n"/>
      <c r="F236" s="240" t="n"/>
      <c r="G236" s="240" t="n"/>
      <c r="H236" s="241" t="n"/>
      <c r="I236" s="242" t="n"/>
      <c r="J236" s="242" t="n"/>
      <c r="K236" s="233" t="n"/>
      <c r="L236" s="233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56" t="n"/>
      <c r="N236" s="156" t="n"/>
      <c r="O236" s="156" t="n"/>
    </row>
    <row r="237" ht="18.75" customHeight="1" s="153">
      <c r="A237" s="227" t="n"/>
      <c r="B237" s="228" t="n"/>
      <c r="C237" s="229" t="n"/>
      <c r="D237" s="229" t="n"/>
      <c r="E237" s="229" t="n"/>
      <c r="F237" s="230" t="n"/>
      <c r="G237" s="230" t="n"/>
      <c r="H237" s="231" t="n"/>
      <c r="I237" s="232" t="n"/>
      <c r="J237" s="232" t="n"/>
      <c r="K237" s="233" t="n"/>
      <c r="L237" s="233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56" t="n"/>
      <c r="N237" s="156" t="n"/>
      <c r="O237" s="156" t="n"/>
    </row>
    <row r="238" ht="18.75" customHeight="1" s="153">
      <c r="A238" s="237" t="n"/>
      <c r="B238" s="238" t="n"/>
      <c r="C238" s="239" t="n"/>
      <c r="D238" s="239" t="n"/>
      <c r="E238" s="239" t="n"/>
      <c r="F238" s="240" t="n"/>
      <c r="G238" s="240" t="n"/>
      <c r="H238" s="241" t="n"/>
      <c r="I238" s="242" t="n"/>
      <c r="J238" s="242" t="n"/>
      <c r="K238" s="233" t="n"/>
      <c r="L238" s="233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56" t="n"/>
      <c r="N238" s="156" t="n"/>
      <c r="O238" s="156" t="n"/>
    </row>
    <row r="239" ht="18.75" customHeight="1" s="153">
      <c r="A239" s="227" t="n"/>
      <c r="B239" s="228" t="n"/>
      <c r="C239" s="229" t="n"/>
      <c r="D239" s="229" t="n"/>
      <c r="E239" s="229" t="n"/>
      <c r="F239" s="230" t="n"/>
      <c r="G239" s="230" t="n"/>
      <c r="H239" s="231" t="n"/>
      <c r="I239" s="232" t="n"/>
      <c r="J239" s="232" t="n"/>
      <c r="K239" s="233" t="n"/>
      <c r="L239" s="233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56" t="n"/>
      <c r="N239" s="156" t="n"/>
      <c r="O239" s="156" t="n"/>
    </row>
    <row r="240" ht="18.75" customHeight="1" s="153">
      <c r="A240" s="237" t="n"/>
      <c r="B240" s="238" t="n"/>
      <c r="C240" s="239" t="n"/>
      <c r="D240" s="239" t="n"/>
      <c r="E240" s="239" t="n"/>
      <c r="F240" s="240" t="n"/>
      <c r="G240" s="240" t="n"/>
      <c r="H240" s="241" t="n"/>
      <c r="I240" s="242" t="n"/>
      <c r="J240" s="242" t="n"/>
      <c r="K240" s="233" t="n"/>
      <c r="L240" s="233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56" t="n"/>
      <c r="N240" s="156" t="n"/>
      <c r="O240" s="156" t="n"/>
    </row>
    <row r="241" ht="18.75" customHeight="1" s="153">
      <c r="A241" s="227" t="n"/>
      <c r="B241" s="228" t="n"/>
      <c r="C241" s="229" t="n"/>
      <c r="D241" s="229" t="n"/>
      <c r="E241" s="229" t="n"/>
      <c r="F241" s="230" t="n"/>
      <c r="G241" s="230" t="n"/>
      <c r="H241" s="231" t="n"/>
      <c r="I241" s="232" t="n"/>
      <c r="J241" s="232" t="n"/>
      <c r="K241" s="233" t="n"/>
      <c r="L241" s="233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56" t="n"/>
      <c r="N241" s="156" t="n"/>
      <c r="O241" s="156" t="n"/>
    </row>
    <row r="242" ht="18.75" customHeight="1" s="153">
      <c r="A242" s="237" t="n"/>
      <c r="B242" s="238" t="n"/>
      <c r="C242" s="239" t="n"/>
      <c r="D242" s="239" t="n"/>
      <c r="E242" s="239" t="n"/>
      <c r="F242" s="240" t="n"/>
      <c r="G242" s="240" t="n"/>
      <c r="H242" s="241" t="n"/>
      <c r="I242" s="242" t="n"/>
      <c r="J242" s="242" t="n"/>
      <c r="K242" s="233" t="n"/>
      <c r="L242" s="233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56" t="n"/>
      <c r="N242" s="156" t="n"/>
      <c r="O242" s="156" t="n"/>
    </row>
    <row r="243" ht="18.75" customHeight="1" s="153">
      <c r="A243" s="227" t="n"/>
      <c r="B243" s="228" t="n"/>
      <c r="C243" s="229" t="n"/>
      <c r="D243" s="229" t="n"/>
      <c r="E243" s="229" t="n"/>
      <c r="F243" s="230" t="n"/>
      <c r="G243" s="230" t="n"/>
      <c r="H243" s="231" t="n"/>
      <c r="I243" s="232" t="n"/>
      <c r="J243" s="232" t="n"/>
      <c r="K243" s="233" t="n"/>
      <c r="L243" s="233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56" t="n"/>
      <c r="N243" s="156" t="n"/>
      <c r="O243" s="156" t="n"/>
    </row>
    <row r="244" ht="18.75" customHeight="1" s="153">
      <c r="A244" s="237" t="n"/>
      <c r="B244" s="238" t="n"/>
      <c r="C244" s="239" t="n"/>
      <c r="D244" s="239" t="n"/>
      <c r="E244" s="239" t="n"/>
      <c r="F244" s="240" t="n"/>
      <c r="G244" s="240" t="n"/>
      <c r="H244" s="241" t="n"/>
      <c r="I244" s="242" t="n"/>
      <c r="J244" s="242" t="n"/>
      <c r="K244" s="233" t="n"/>
      <c r="L244" s="233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56" t="n"/>
      <c r="N244" s="156" t="n"/>
      <c r="O244" s="156" t="n"/>
    </row>
    <row r="245" ht="18.75" customHeight="1" s="153">
      <c r="A245" s="227" t="n"/>
      <c r="B245" s="228" t="n"/>
      <c r="C245" s="229" t="n"/>
      <c r="D245" s="229" t="n"/>
      <c r="E245" s="229" t="n"/>
      <c r="F245" s="230" t="n"/>
      <c r="G245" s="230" t="n"/>
      <c r="H245" s="231" t="n"/>
      <c r="I245" s="232" t="n"/>
      <c r="J245" s="232" t="n"/>
      <c r="K245" s="233" t="n"/>
      <c r="L245" s="233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56" t="n"/>
      <c r="N245" s="156" t="n"/>
      <c r="O245" s="156" t="n"/>
    </row>
    <row r="246" ht="18.75" customHeight="1" s="153">
      <c r="A246" s="237" t="n"/>
      <c r="B246" s="238" t="n"/>
      <c r="C246" s="239" t="n"/>
      <c r="D246" s="239" t="n"/>
      <c r="E246" s="239" t="n"/>
      <c r="F246" s="240" t="n"/>
      <c r="G246" s="240" t="n"/>
      <c r="H246" s="241" t="n"/>
      <c r="I246" s="242" t="n"/>
      <c r="J246" s="242" t="n"/>
      <c r="K246" s="233" t="n"/>
      <c r="L246" s="233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56" t="n"/>
      <c r="N246" s="156" t="n"/>
      <c r="O246" s="156" t="n"/>
    </row>
    <row r="247" ht="18.75" customHeight="1" s="153">
      <c r="A247" s="227" t="n"/>
      <c r="B247" s="228" t="n"/>
      <c r="C247" s="229" t="n"/>
      <c r="D247" s="229" t="n"/>
      <c r="E247" s="229" t="n"/>
      <c r="F247" s="230" t="n"/>
      <c r="G247" s="230" t="n"/>
      <c r="H247" s="231" t="n"/>
      <c r="I247" s="232" t="n"/>
      <c r="J247" s="232" t="n"/>
      <c r="K247" s="233" t="n"/>
      <c r="L247" s="233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56" t="n"/>
      <c r="N247" s="156" t="n"/>
      <c r="O247" s="156" t="n"/>
    </row>
    <row r="248" ht="18.75" customHeight="1" s="153">
      <c r="A248" s="237" t="n"/>
      <c r="B248" s="238" t="n"/>
      <c r="C248" s="239" t="n"/>
      <c r="D248" s="239" t="n"/>
      <c r="E248" s="239" t="n"/>
      <c r="F248" s="240" t="n"/>
      <c r="G248" s="240" t="n"/>
      <c r="H248" s="241" t="n"/>
      <c r="I248" s="242" t="n"/>
      <c r="J248" s="242" t="n"/>
      <c r="K248" s="233" t="n"/>
      <c r="L248" s="233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56" t="n"/>
      <c r="N248" s="156" t="n"/>
      <c r="O248" s="156" t="n"/>
    </row>
    <row r="249" ht="18.75" customHeight="1" s="153">
      <c r="A249" s="227" t="n"/>
      <c r="B249" s="228" t="n"/>
      <c r="C249" s="229" t="n"/>
      <c r="D249" s="229" t="n"/>
      <c r="E249" s="229" t="n"/>
      <c r="F249" s="230" t="n"/>
      <c r="G249" s="230" t="n"/>
      <c r="H249" s="231" t="n"/>
      <c r="I249" s="232" t="n"/>
      <c r="J249" s="232" t="n"/>
      <c r="K249" s="233" t="n"/>
      <c r="L249" s="233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56" t="n"/>
      <c r="N249" s="156" t="n"/>
      <c r="O249" s="156" t="n"/>
    </row>
    <row r="250" ht="18.75" customHeight="1" s="153">
      <c r="A250" s="237" t="n"/>
      <c r="B250" s="238" t="n"/>
      <c r="C250" s="239" t="n"/>
      <c r="D250" s="239" t="n"/>
      <c r="E250" s="239" t="n"/>
      <c r="F250" s="240" t="n"/>
      <c r="G250" s="240" t="n"/>
      <c r="H250" s="241" t="n"/>
      <c r="I250" s="242" t="n"/>
      <c r="J250" s="242" t="n"/>
      <c r="K250" s="233" t="n"/>
      <c r="L250" s="233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56" t="n"/>
      <c r="N250" s="156" t="n"/>
      <c r="O250" s="156" t="n"/>
    </row>
    <row r="251" ht="18.75" customHeight="1" s="153">
      <c r="A251" s="227" t="n"/>
      <c r="B251" s="228" t="n"/>
      <c r="C251" s="229" t="n"/>
      <c r="D251" s="229" t="n"/>
      <c r="E251" s="229" t="n"/>
      <c r="F251" s="230" t="n"/>
      <c r="G251" s="230" t="n"/>
      <c r="H251" s="231" t="n"/>
      <c r="I251" s="232" t="n"/>
      <c r="J251" s="232" t="n"/>
      <c r="K251" s="233" t="n"/>
      <c r="L251" s="233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56" t="n"/>
      <c r="N251" s="156" t="n"/>
      <c r="O251" s="156" t="n"/>
    </row>
    <row r="252" ht="18.75" customHeight="1" s="153">
      <c r="A252" s="237" t="n"/>
      <c r="B252" s="238" t="n"/>
      <c r="C252" s="239" t="n"/>
      <c r="D252" s="239" t="n"/>
      <c r="E252" s="239" t="n"/>
      <c r="F252" s="240" t="n"/>
      <c r="G252" s="240" t="n"/>
      <c r="H252" s="241" t="n"/>
      <c r="I252" s="242" t="n"/>
      <c r="J252" s="242" t="n"/>
      <c r="K252" s="233" t="n"/>
      <c r="L252" s="233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56" t="n"/>
      <c r="N252" s="156" t="n"/>
      <c r="O252" s="156" t="n"/>
    </row>
    <row r="253" ht="18.75" customHeight="1" s="153">
      <c r="A253" s="227" t="n"/>
      <c r="B253" s="228" t="n"/>
      <c r="C253" s="229" t="n"/>
      <c r="D253" s="229" t="n"/>
      <c r="E253" s="229" t="n"/>
      <c r="F253" s="230" t="n"/>
      <c r="G253" s="230" t="n"/>
      <c r="H253" s="231" t="n"/>
      <c r="I253" s="232" t="n"/>
      <c r="J253" s="232" t="n"/>
      <c r="K253" s="233" t="n"/>
      <c r="L253" s="233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56" t="n"/>
      <c r="N253" s="156" t="n"/>
      <c r="O253" s="156" t="n"/>
    </row>
    <row r="254" ht="18.75" customHeight="1" s="153">
      <c r="A254" s="237" t="n"/>
      <c r="B254" s="238" t="n"/>
      <c r="C254" s="239" t="n"/>
      <c r="D254" s="239" t="n"/>
      <c r="E254" s="239" t="n"/>
      <c r="F254" s="240" t="n"/>
      <c r="G254" s="240" t="n"/>
      <c r="H254" s="241" t="n"/>
      <c r="I254" s="242" t="n"/>
      <c r="J254" s="242" t="n"/>
      <c r="K254" s="233" t="n"/>
      <c r="L254" s="233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56" t="n"/>
      <c r="N254" s="156" t="n"/>
      <c r="O254" s="156" t="n"/>
    </row>
    <row r="255" ht="18.75" customHeight="1" s="153">
      <c r="A255" s="227" t="n"/>
      <c r="B255" s="228" t="n"/>
      <c r="C255" s="229" t="n"/>
      <c r="D255" s="229" t="n"/>
      <c r="E255" s="229" t="n"/>
      <c r="F255" s="230" t="n"/>
      <c r="G255" s="230" t="n"/>
      <c r="H255" s="231" t="n"/>
      <c r="I255" s="232" t="n"/>
      <c r="J255" s="232" t="n"/>
      <c r="K255" s="233" t="n"/>
      <c r="L255" s="233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56" t="n"/>
      <c r="N255" s="156" t="n"/>
      <c r="O255" s="156" t="n"/>
    </row>
    <row r="256" ht="18.75" customHeight="1" s="153">
      <c r="A256" s="237" t="n"/>
      <c r="B256" s="238" t="n"/>
      <c r="C256" s="239" t="n"/>
      <c r="D256" s="239" t="n"/>
      <c r="E256" s="239" t="n"/>
      <c r="F256" s="240" t="n"/>
      <c r="G256" s="240" t="n"/>
      <c r="H256" s="241" t="n"/>
      <c r="I256" s="242" t="n"/>
      <c r="J256" s="242" t="n"/>
      <c r="K256" s="233" t="n"/>
      <c r="L256" s="233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56" t="n"/>
      <c r="N256" s="156" t="n"/>
      <c r="O256" s="156" t="n"/>
    </row>
    <row r="257" ht="18.75" customHeight="1" s="153">
      <c r="A257" s="227" t="n"/>
      <c r="B257" s="228" t="n"/>
      <c r="C257" s="229" t="n"/>
      <c r="D257" s="229" t="n"/>
      <c r="E257" s="229" t="n"/>
      <c r="F257" s="230" t="n"/>
      <c r="G257" s="230" t="n"/>
      <c r="H257" s="231" t="n"/>
      <c r="I257" s="232" t="n"/>
      <c r="J257" s="232" t="n"/>
      <c r="K257" s="233" t="n"/>
      <c r="L257" s="233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56" t="n"/>
      <c r="N257" s="156" t="n"/>
      <c r="O257" s="156" t="n"/>
    </row>
    <row r="258" ht="18.75" customHeight="1" s="153">
      <c r="A258" s="237" t="n"/>
      <c r="B258" s="238" t="n"/>
      <c r="C258" s="239" t="n"/>
      <c r="D258" s="239" t="n"/>
      <c r="E258" s="239" t="n"/>
      <c r="F258" s="240" t="n"/>
      <c r="G258" s="240" t="n"/>
      <c r="H258" s="241" t="n"/>
      <c r="I258" s="242" t="n"/>
      <c r="J258" s="242" t="n"/>
      <c r="K258" s="233" t="n"/>
      <c r="L258" s="233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56" t="n"/>
      <c r="N258" s="156" t="n"/>
      <c r="O258" s="156" t="n"/>
    </row>
    <row r="259" ht="18.75" customHeight="1" s="153">
      <c r="A259" s="227" t="n"/>
      <c r="B259" s="228" t="n"/>
      <c r="C259" s="229" t="n"/>
      <c r="D259" s="229" t="n"/>
      <c r="E259" s="229" t="n"/>
      <c r="F259" s="230" t="n"/>
      <c r="G259" s="230" t="n"/>
      <c r="H259" s="231" t="n"/>
      <c r="I259" s="232" t="n"/>
      <c r="J259" s="232" t="n"/>
      <c r="K259" s="233" t="n"/>
      <c r="L259" s="233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56" t="n"/>
      <c r="N259" s="156" t="n"/>
      <c r="O259" s="156" t="n"/>
    </row>
    <row r="260" ht="18.75" customHeight="1" s="153">
      <c r="A260" s="237" t="n"/>
      <c r="B260" s="238" t="n"/>
      <c r="C260" s="239" t="n"/>
      <c r="D260" s="239" t="n"/>
      <c r="E260" s="239" t="n"/>
      <c r="F260" s="240" t="n"/>
      <c r="G260" s="240" t="n"/>
      <c r="H260" s="241" t="n"/>
      <c r="I260" s="242" t="n"/>
      <c r="J260" s="242" t="n"/>
      <c r="K260" s="233" t="n"/>
      <c r="L260" s="233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56" t="n"/>
      <c r="N260" s="156" t="n"/>
      <c r="O260" s="156" t="n"/>
    </row>
    <row r="261" ht="18.75" customHeight="1" s="153">
      <c r="A261" s="227" t="n"/>
      <c r="B261" s="228" t="n"/>
      <c r="C261" s="229" t="n"/>
      <c r="D261" s="229" t="n"/>
      <c r="E261" s="229" t="n"/>
      <c r="F261" s="230" t="n"/>
      <c r="G261" s="230" t="n"/>
      <c r="H261" s="231" t="n"/>
      <c r="I261" s="232" t="n"/>
      <c r="J261" s="232" t="n"/>
      <c r="K261" s="233" t="n"/>
      <c r="L261" s="233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56" t="n"/>
      <c r="N261" s="156" t="n"/>
      <c r="O261" s="156" t="n"/>
    </row>
    <row r="262" ht="18.75" customHeight="1" s="153">
      <c r="A262" s="237" t="n"/>
      <c r="B262" s="238" t="n"/>
      <c r="C262" s="239" t="n"/>
      <c r="D262" s="239" t="n"/>
      <c r="E262" s="239" t="n"/>
      <c r="F262" s="240" t="n"/>
      <c r="G262" s="240" t="n"/>
      <c r="H262" s="241" t="n"/>
      <c r="I262" s="242" t="n"/>
      <c r="J262" s="242" t="n"/>
      <c r="K262" s="233" t="n"/>
      <c r="L262" s="233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56" t="n"/>
      <c r="N262" s="156" t="n"/>
      <c r="O262" s="156" t="n"/>
    </row>
    <row r="263" ht="18.75" customHeight="1" s="153">
      <c r="A263" s="227" t="n"/>
      <c r="B263" s="228" t="n"/>
      <c r="C263" s="229" t="n"/>
      <c r="D263" s="229" t="n"/>
      <c r="E263" s="229" t="n"/>
      <c r="F263" s="230" t="n"/>
      <c r="G263" s="230" t="n"/>
      <c r="H263" s="231" t="n"/>
      <c r="I263" s="232" t="n"/>
      <c r="J263" s="232" t="n"/>
      <c r="K263" s="233" t="n"/>
      <c r="L263" s="233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56" t="n"/>
      <c r="N263" s="156" t="n"/>
      <c r="O263" s="156" t="n"/>
    </row>
    <row r="264" ht="18.75" customHeight="1" s="153">
      <c r="A264" s="237" t="n"/>
      <c r="B264" s="238" t="n"/>
      <c r="C264" s="239" t="n"/>
      <c r="D264" s="239" t="n"/>
      <c r="E264" s="239" t="n"/>
      <c r="F264" s="240" t="n"/>
      <c r="G264" s="240" t="n"/>
      <c r="H264" s="241" t="n"/>
      <c r="I264" s="242" t="n"/>
      <c r="J264" s="242" t="n"/>
      <c r="K264" s="233" t="n"/>
      <c r="L264" s="233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56" t="n"/>
      <c r="N264" s="156" t="n"/>
      <c r="O264" s="156" t="n"/>
    </row>
    <row r="265" ht="18.75" customHeight="1" s="153">
      <c r="A265" s="227" t="n"/>
      <c r="B265" s="228" t="n"/>
      <c r="C265" s="229" t="n"/>
      <c r="D265" s="229" t="n"/>
      <c r="E265" s="229" t="n"/>
      <c r="F265" s="230" t="n"/>
      <c r="G265" s="230" t="n"/>
      <c r="H265" s="231" t="n"/>
      <c r="I265" s="232" t="n"/>
      <c r="J265" s="232" t="n"/>
      <c r="K265" s="233" t="n"/>
      <c r="L265" s="233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56" t="n"/>
      <c r="N265" s="156" t="n"/>
      <c r="O265" s="156" t="n"/>
    </row>
    <row r="266" ht="18.75" customHeight="1" s="153">
      <c r="A266" s="237" t="n"/>
      <c r="B266" s="238" t="n"/>
      <c r="C266" s="239" t="n"/>
      <c r="D266" s="239" t="n"/>
      <c r="E266" s="239" t="n"/>
      <c r="F266" s="240" t="n"/>
      <c r="G266" s="240" t="n"/>
      <c r="H266" s="241" t="n"/>
      <c r="I266" s="242" t="n"/>
      <c r="J266" s="242" t="n"/>
      <c r="K266" s="233" t="n"/>
      <c r="L266" s="233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56" t="n"/>
      <c r="N266" s="156" t="n"/>
      <c r="O266" s="156" t="n"/>
    </row>
    <row r="267" ht="18.75" customHeight="1" s="153">
      <c r="A267" s="227" t="n"/>
      <c r="B267" s="228" t="n"/>
      <c r="C267" s="229" t="n"/>
      <c r="D267" s="229" t="n"/>
      <c r="E267" s="229" t="n"/>
      <c r="F267" s="230" t="n"/>
      <c r="G267" s="230" t="n"/>
      <c r="H267" s="231" t="n"/>
      <c r="I267" s="232" t="n"/>
      <c r="J267" s="232" t="n"/>
      <c r="K267" s="233" t="n"/>
      <c r="L267" s="233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56" t="n"/>
      <c r="N267" s="156" t="n"/>
      <c r="O267" s="156" t="n"/>
    </row>
    <row r="268" ht="18.75" customHeight="1" s="153">
      <c r="A268" s="237" t="n"/>
      <c r="B268" s="238" t="n"/>
      <c r="C268" s="239" t="n"/>
      <c r="D268" s="239" t="n"/>
      <c r="E268" s="239" t="n"/>
      <c r="F268" s="240" t="n"/>
      <c r="G268" s="240" t="n"/>
      <c r="H268" s="241" t="n"/>
      <c r="I268" s="242" t="n"/>
      <c r="J268" s="242" t="n"/>
      <c r="K268" s="233" t="n"/>
      <c r="L268" s="233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56" t="n"/>
      <c r="N268" s="156" t="n"/>
      <c r="O268" s="156" t="n"/>
    </row>
    <row r="269" ht="18.75" customHeight="1" s="153">
      <c r="A269" s="227" t="n"/>
      <c r="B269" s="228" t="n"/>
      <c r="C269" s="229" t="n"/>
      <c r="D269" s="229" t="n"/>
      <c r="E269" s="229" t="n"/>
      <c r="F269" s="230" t="n"/>
      <c r="G269" s="230" t="n"/>
      <c r="H269" s="231" t="n"/>
      <c r="I269" s="232" t="n"/>
      <c r="J269" s="232" t="n"/>
      <c r="K269" s="233" t="n"/>
      <c r="L269" s="233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56" t="n"/>
      <c r="N269" s="156" t="n"/>
      <c r="O269" s="156" t="n"/>
    </row>
    <row r="270" ht="18.75" customHeight="1" s="153">
      <c r="A270" s="237" t="n"/>
      <c r="B270" s="238" t="n"/>
      <c r="C270" s="239" t="n"/>
      <c r="D270" s="239" t="n"/>
      <c r="E270" s="239" t="n"/>
      <c r="F270" s="240" t="n"/>
      <c r="G270" s="240" t="n"/>
      <c r="H270" s="241" t="n"/>
      <c r="I270" s="242" t="n"/>
      <c r="J270" s="242" t="n"/>
      <c r="K270" s="233" t="n"/>
      <c r="L270" s="233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56" t="n"/>
      <c r="N270" s="156" t="n"/>
      <c r="O270" s="156" t="n"/>
    </row>
    <row r="271" ht="18.75" customHeight="1" s="153">
      <c r="A271" s="227" t="n"/>
      <c r="B271" s="228" t="n"/>
      <c r="C271" s="229" t="n"/>
      <c r="D271" s="229" t="n"/>
      <c r="E271" s="229" t="n"/>
      <c r="F271" s="230" t="n"/>
      <c r="G271" s="230" t="n"/>
      <c r="H271" s="231" t="n"/>
      <c r="I271" s="232" t="n"/>
      <c r="J271" s="232" t="n"/>
      <c r="K271" s="233" t="n"/>
      <c r="L271" s="233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56" t="n"/>
      <c r="N271" s="156" t="n"/>
      <c r="O271" s="156" t="n"/>
    </row>
    <row r="272" ht="18.75" customHeight="1" s="153">
      <c r="A272" s="237" t="n"/>
      <c r="B272" s="238" t="n"/>
      <c r="C272" s="239" t="n"/>
      <c r="D272" s="239" t="n"/>
      <c r="E272" s="239" t="n"/>
      <c r="F272" s="240" t="n"/>
      <c r="G272" s="240" t="n"/>
      <c r="H272" s="241" t="n"/>
      <c r="I272" s="242" t="n"/>
      <c r="J272" s="242" t="n"/>
      <c r="K272" s="233" t="n"/>
      <c r="L272" s="233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56" t="n"/>
      <c r="N272" s="156" t="n"/>
      <c r="O272" s="156" t="n"/>
    </row>
    <row r="273" ht="18.75" customHeight="1" s="153">
      <c r="A273" s="227" t="n"/>
      <c r="B273" s="228" t="n"/>
      <c r="C273" s="229" t="n"/>
      <c r="D273" s="229" t="n"/>
      <c r="E273" s="229" t="n"/>
      <c r="F273" s="230" t="n"/>
      <c r="G273" s="230" t="n"/>
      <c r="H273" s="231" t="n"/>
      <c r="I273" s="232" t="n"/>
      <c r="J273" s="232" t="n"/>
      <c r="K273" s="233" t="n"/>
      <c r="L273" s="233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56" t="n"/>
      <c r="N273" s="156" t="n"/>
      <c r="O273" s="156" t="n"/>
    </row>
    <row r="274" ht="18.75" customHeight="1" s="153">
      <c r="A274" s="237" t="n"/>
      <c r="B274" s="238" t="n"/>
      <c r="C274" s="239" t="n"/>
      <c r="D274" s="239" t="n"/>
      <c r="E274" s="239" t="n"/>
      <c r="F274" s="240" t="n"/>
      <c r="G274" s="240" t="n"/>
      <c r="H274" s="241" t="n"/>
      <c r="I274" s="242" t="n"/>
      <c r="J274" s="242" t="n"/>
      <c r="K274" s="233" t="n"/>
      <c r="L274" s="233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56" t="n"/>
      <c r="N274" s="156" t="n"/>
      <c r="O274" s="156" t="n"/>
    </row>
    <row r="275" ht="18.75" customHeight="1" s="153">
      <c r="A275" s="227" t="n"/>
      <c r="B275" s="228" t="n"/>
      <c r="C275" s="229" t="n"/>
      <c r="D275" s="229" t="n"/>
      <c r="E275" s="229" t="n"/>
      <c r="F275" s="230" t="n"/>
      <c r="G275" s="230" t="n"/>
      <c r="H275" s="231" t="n"/>
      <c r="I275" s="232" t="n"/>
      <c r="J275" s="232" t="n"/>
      <c r="K275" s="233" t="n"/>
      <c r="L275" s="233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>
        <f>IFERROR(SUM(C5:C500),0)</f>
        <v/>
      </c>
      <c r="D501" s="255">
        <f>IFERROR(SUM(D5:D500),0)</f>
        <v/>
      </c>
      <c r="E501" s="255">
        <f>IFERROR(SUM(E5:E500),0)</f>
        <v/>
      </c>
      <c r="F501" s="255">
        <f>IFERROR(SUM(F5:F500),0)</f>
        <v/>
      </c>
      <c r="G501" s="255">
        <f>IFERROR(SUM(G5:G500),0)</f>
        <v/>
      </c>
      <c r="H501" s="256" t="n"/>
      <c r="I501" s="256" t="n"/>
      <c r="J501" s="256" t="n"/>
      <c r="K501" s="2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OCTUBRE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OCTUBRE</t>
        </is>
      </c>
    </row>
    <row r="5" ht="21.75" customHeight="1" s="153">
      <c r="A5" s="227" t="n"/>
      <c r="B5" s="228" t="n"/>
      <c r="C5" s="229" t="n"/>
      <c r="D5" s="229" t="n"/>
      <c r="E5" s="229" t="n"/>
      <c r="F5" s="230" t="n"/>
      <c r="G5" s="230" t="n"/>
      <c r="H5" s="231" t="n"/>
      <c r="I5" s="232" t="n"/>
      <c r="J5" s="232" t="n"/>
      <c r="K5" s="233" t="n"/>
      <c r="L5" s="233">
        <f>IF(K5&lt;&gt;"",(IF(H5="","",H5-(C5*COSTOS!$C$6+D5*COSTOS!$C$7+E5*COSTOS!$C$8+F5*COSTOS!$C$9+G5*COSTOS!$C$10)))+K5,IF(H5="","",H5-(C5*COSTOS!$C$6+D5*COSTOS!$C$7+E5*COSTOS!$C$8+F5*COSTOS!$C$9+G5*COSTOS!$C$10)))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n"/>
      <c r="C6" s="239" t="n"/>
      <c r="D6" s="239" t="n"/>
      <c r="E6" s="239" t="n"/>
      <c r="F6" s="240" t="n"/>
      <c r="G6" s="240" t="n"/>
      <c r="H6" s="241" t="n"/>
      <c r="I6" s="242" t="n"/>
      <c r="J6" s="242" t="n"/>
      <c r="K6" s="233" t="n"/>
      <c r="L6" s="233">
        <f>IF(K6&lt;&gt;"",(IF(H6="","",H6-(C6*COSTOS!$C$6+D6*COSTOS!$C$7+E6*COSTOS!$C$8+F6*COSTOS!$C$9+G6*COSTOS!$C$10)))+K6,IF(H6="","",H6-(C6*COSTOS!$C$6+D6*COSTOS!$C$7+E6*COSTOS!$C$8+F6*COSTOS!$C$9+G6*COSTOS!$C$10)))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n"/>
      <c r="C7" s="229" t="n"/>
      <c r="D7" s="229" t="n"/>
      <c r="E7" s="229" t="n"/>
      <c r="F7" s="230" t="n"/>
      <c r="G7" s="230" t="n"/>
      <c r="H7" s="231" t="n"/>
      <c r="I7" s="232" t="n"/>
      <c r="J7" s="232" t="n"/>
      <c r="K7" s="233" t="n"/>
      <c r="L7" s="233">
        <f>IF(K7&lt;&gt;"",(IF(H7="","",H7-(C7*COSTOS!$C$6+D7*COSTOS!$C$7+E7*COSTOS!$C$8+F7*COSTOS!$C$9+G7*COSTOS!$C$10)))+K7,IF(H7="","",H7-(C7*COSTOS!$C$6+D7*COSTOS!$C$7+E7*COSTOS!$C$8+F7*COSTOS!$C$9+G7*COSTOS!$C$10)))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n"/>
      <c r="C8" s="239" t="n"/>
      <c r="D8" s="239" t="n"/>
      <c r="E8" s="239" t="n"/>
      <c r="F8" s="240" t="n"/>
      <c r="G8" s="240" t="n"/>
      <c r="H8" s="241" t="n"/>
      <c r="I8" s="242" t="n"/>
      <c r="J8" s="242" t="n"/>
      <c r="K8" s="233" t="n"/>
      <c r="L8" s="233">
        <f>IF(K8&lt;&gt;"",(IF(H8="","",H8-(C8*COSTOS!$C$6+D8*COSTOS!$C$7+E8*COSTOS!$C$8+F8*COSTOS!$C$9+G8*COSTOS!$C$10)))+K8,IF(H8="","",H8-(C8*COSTOS!$C$6+D8*COSTOS!$C$7+E8*COSTOS!$C$8+F8*COSTOS!$C$9+G8*COSTOS!$C$10)))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n"/>
      <c r="C9" s="229" t="n"/>
      <c r="D9" s="229" t="n"/>
      <c r="E9" s="229" t="n"/>
      <c r="F9" s="230" t="n"/>
      <c r="G9" s="230" t="n"/>
      <c r="H9" s="231" t="n"/>
      <c r="I9" s="232" t="n"/>
      <c r="J9" s="232" t="n"/>
      <c r="K9" s="233" t="n"/>
      <c r="L9" s="233">
        <f>IF(K9&lt;&gt;"",(IF(H9="","",H9-(C9*COSTOS!$C$6+D9*COSTOS!$C$7+E9*COSTOS!$C$8+F9*COSTOS!$C$9+G9*COSTOS!$C$10)))+K9,IF(H9="","",H9-(C9*COSTOS!$C$6+D9*COSTOS!$C$7+E9*COSTOS!$C$8+F9*COSTOS!$C$9+G9*COSTOS!$C$10)))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n"/>
      <c r="C10" s="239" t="n"/>
      <c r="D10" s="239" t="n"/>
      <c r="E10" s="239" t="n"/>
      <c r="F10" s="240" t="n"/>
      <c r="G10" s="240" t="n"/>
      <c r="H10" s="241" t="n"/>
      <c r="I10" s="242" t="n"/>
      <c r="J10" s="242" t="n"/>
      <c r="K10" s="233" t="n"/>
      <c r="L10" s="233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56" t="n"/>
      <c r="N10" s="243" t="n"/>
      <c r="O10" s="244" t="n"/>
    </row>
    <row r="11" ht="21.75" customHeight="1" s="153">
      <c r="A11" s="227" t="n"/>
      <c r="B11" s="228" t="n"/>
      <c r="C11" s="229" t="n"/>
      <c r="D11" s="229" t="n"/>
      <c r="E11" s="229" t="n"/>
      <c r="F11" s="230" t="n"/>
      <c r="G11" s="230" t="n"/>
      <c r="H11" s="231" t="n"/>
      <c r="I11" s="232" t="n"/>
      <c r="J11" s="232" t="n"/>
      <c r="K11" s="233" t="n"/>
      <c r="L11" s="233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n"/>
      <c r="C12" s="239" t="n"/>
      <c r="D12" s="239" t="n"/>
      <c r="E12" s="239" t="n"/>
      <c r="F12" s="240" t="n"/>
      <c r="G12" s="240" t="n"/>
      <c r="H12" s="241" t="n"/>
      <c r="I12" s="242" t="n"/>
      <c r="J12" s="242" t="n"/>
      <c r="K12" s="233" t="n"/>
      <c r="L12" s="233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n"/>
      <c r="C13" s="229" t="n"/>
      <c r="D13" s="229" t="n"/>
      <c r="E13" s="229" t="n"/>
      <c r="F13" s="230" t="n"/>
      <c r="G13" s="230" t="n"/>
      <c r="H13" s="231" t="n"/>
      <c r="I13" s="232" t="n"/>
      <c r="J13" s="232" t="n"/>
      <c r="K13" s="233" t="n"/>
      <c r="L13" s="233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n"/>
      <c r="C14" s="239" t="n"/>
      <c r="D14" s="239" t="n"/>
      <c r="E14" s="239" t="n"/>
      <c r="F14" s="240" t="n"/>
      <c r="G14" s="240" t="n"/>
      <c r="H14" s="241" t="n"/>
      <c r="I14" s="242" t="n"/>
      <c r="J14" s="242" t="n"/>
      <c r="K14" s="233" t="n"/>
      <c r="L14" s="233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56" t="n"/>
      <c r="N14" s="243" t="n"/>
      <c r="O14" s="244" t="n"/>
    </row>
    <row r="15" ht="21.75" customHeight="1" s="153">
      <c r="A15" s="227" t="n"/>
      <c r="B15" s="228" t="n"/>
      <c r="C15" s="229" t="n"/>
      <c r="D15" s="229" t="n"/>
      <c r="E15" s="229" t="n"/>
      <c r="F15" s="230" t="n"/>
      <c r="G15" s="230" t="n"/>
      <c r="H15" s="231" t="n"/>
      <c r="I15" s="232" t="n"/>
      <c r="J15" s="232" t="n"/>
      <c r="K15" s="233" t="n"/>
      <c r="L15" s="233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n"/>
      <c r="C16" s="239" t="n"/>
      <c r="D16" s="239" t="n"/>
      <c r="E16" s="239" t="n"/>
      <c r="F16" s="240" t="n"/>
      <c r="G16" s="240" t="n"/>
      <c r="H16" s="241" t="n"/>
      <c r="I16" s="242" t="n"/>
      <c r="J16" s="242" t="n"/>
      <c r="K16" s="233" t="n"/>
      <c r="L16" s="233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n"/>
      <c r="C17" s="229" t="n"/>
      <c r="D17" s="229" t="n"/>
      <c r="E17" s="229" t="n"/>
      <c r="F17" s="230" t="n"/>
      <c r="G17" s="230" t="n"/>
      <c r="H17" s="231" t="n"/>
      <c r="I17" s="232" t="n"/>
      <c r="J17" s="232" t="n"/>
      <c r="K17" s="233" t="n"/>
      <c r="L17" s="233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56" t="n"/>
      <c r="N17" s="243" t="n"/>
      <c r="O17" s="244" t="n"/>
    </row>
    <row r="18" ht="21.75" customHeight="1" s="153">
      <c r="A18" s="237" t="n"/>
      <c r="B18" s="238" t="n"/>
      <c r="C18" s="239" t="n"/>
      <c r="D18" s="239" t="n"/>
      <c r="E18" s="239" t="n"/>
      <c r="F18" s="240" t="n"/>
      <c r="G18" s="240" t="n"/>
      <c r="H18" s="241" t="n"/>
      <c r="I18" s="242" t="n"/>
      <c r="J18" s="242" t="n"/>
      <c r="K18" s="233" t="n"/>
      <c r="L18" s="233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n"/>
      <c r="C19" s="229" t="n"/>
      <c r="D19" s="229" t="n"/>
      <c r="E19" s="229" t="n"/>
      <c r="F19" s="230" t="n"/>
      <c r="G19" s="230" t="n"/>
      <c r="H19" s="231" t="n"/>
      <c r="I19" s="232" t="n"/>
      <c r="J19" s="232" t="n"/>
      <c r="K19" s="233" t="n"/>
      <c r="L19" s="233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56" t="n"/>
      <c r="N19" s="234" t="inlineStr">
        <is>
          <t>DÍAS DEL MES</t>
        </is>
      </c>
      <c r="O19" s="250" t="n">
        <v>31</v>
      </c>
    </row>
    <row r="20" ht="21.75" customHeight="1" s="153">
      <c r="A20" s="237" t="n"/>
      <c r="B20" s="238" t="n"/>
      <c r="C20" s="239" t="n"/>
      <c r="D20" s="239" t="n"/>
      <c r="E20" s="239" t="n"/>
      <c r="F20" s="240" t="n"/>
      <c r="G20" s="240" t="n"/>
      <c r="H20" s="241" t="n"/>
      <c r="I20" s="242" t="n"/>
      <c r="J20" s="242" t="n"/>
      <c r="K20" s="233" t="n"/>
      <c r="L20" s="233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56" t="n"/>
      <c r="N20" s="243" t="n"/>
      <c r="O20" s="244" t="n"/>
    </row>
    <row r="21" ht="21.75" customHeight="1" s="153">
      <c r="A21" s="227" t="n"/>
      <c r="B21" s="228" t="n"/>
      <c r="C21" s="229" t="n"/>
      <c r="D21" s="229" t="n"/>
      <c r="E21" s="229" t="n"/>
      <c r="F21" s="230" t="n"/>
      <c r="G21" s="230" t="n"/>
      <c r="H21" s="231" t="n"/>
      <c r="I21" s="232" t="n"/>
      <c r="J21" s="232" t="n"/>
      <c r="K21" s="233" t="n"/>
      <c r="L21" s="233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37" t="n"/>
      <c r="B22" s="238" t="n"/>
      <c r="C22" s="239" t="n"/>
      <c r="D22" s="239" t="n"/>
      <c r="E22" s="239" t="n"/>
      <c r="F22" s="240" t="n"/>
      <c r="G22" s="240" t="n"/>
      <c r="H22" s="241" t="n"/>
      <c r="I22" s="242" t="n"/>
      <c r="J22" s="242" t="n"/>
      <c r="K22" s="233" t="n"/>
      <c r="L22" s="233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27" t="n"/>
      <c r="B23" s="228" t="n"/>
      <c r="C23" s="229" t="n"/>
      <c r="D23" s="229" t="n"/>
      <c r="E23" s="229" t="n"/>
      <c r="F23" s="230" t="n"/>
      <c r="G23" s="230" t="n"/>
      <c r="H23" s="231" t="n"/>
      <c r="I23" s="232" t="n"/>
      <c r="J23" s="232" t="n"/>
      <c r="K23" s="233" t="n"/>
      <c r="L23" s="233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56" t="n"/>
      <c r="N23" s="156" t="n"/>
      <c r="O23" s="156" t="n"/>
    </row>
    <row r="24" ht="18.75" customHeight="1" s="153">
      <c r="A24" s="237" t="n"/>
      <c r="B24" s="238" t="n"/>
      <c r="C24" s="239" t="n"/>
      <c r="D24" s="239" t="n"/>
      <c r="E24" s="239" t="n"/>
      <c r="F24" s="240" t="n"/>
      <c r="G24" s="240" t="n"/>
      <c r="H24" s="241" t="n"/>
      <c r="I24" s="242" t="n"/>
      <c r="J24" s="242" t="n"/>
      <c r="K24" s="233" t="n"/>
      <c r="L24" s="233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56" t="n"/>
      <c r="N24" s="156" t="n"/>
      <c r="O24" s="156" t="n"/>
    </row>
    <row r="25" ht="18.75" customHeight="1" s="153">
      <c r="A25" s="227" t="n"/>
      <c r="B25" s="228" t="n"/>
      <c r="C25" s="229" t="n"/>
      <c r="D25" s="229" t="n"/>
      <c r="E25" s="229" t="n"/>
      <c r="F25" s="230" t="n"/>
      <c r="G25" s="230" t="n"/>
      <c r="H25" s="231" t="n"/>
      <c r="I25" s="232" t="n"/>
      <c r="J25" s="232" t="n"/>
      <c r="K25" s="233" t="n"/>
      <c r="L25" s="233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56" t="n"/>
      <c r="N25" s="156" t="n"/>
      <c r="O25" s="156" t="n"/>
    </row>
    <row r="26" ht="18.75" customHeight="1" s="153">
      <c r="A26" s="237" t="n"/>
      <c r="B26" s="238" t="n"/>
      <c r="C26" s="239" t="n"/>
      <c r="D26" s="239" t="n"/>
      <c r="E26" s="239" t="n"/>
      <c r="F26" s="240" t="n"/>
      <c r="G26" s="240" t="n"/>
      <c r="H26" s="241" t="n"/>
      <c r="I26" s="242" t="n"/>
      <c r="J26" s="242" t="n"/>
      <c r="K26" s="233" t="n"/>
      <c r="L26" s="233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56" t="n"/>
      <c r="N26" s="156" t="n"/>
      <c r="O26" s="156" t="n"/>
    </row>
    <row r="27" ht="18.75" customHeight="1" s="153">
      <c r="A27" s="227" t="n"/>
      <c r="B27" s="228" t="n"/>
      <c r="C27" s="229" t="n"/>
      <c r="D27" s="229" t="n"/>
      <c r="E27" s="229" t="n"/>
      <c r="F27" s="230" t="n"/>
      <c r="G27" s="230" t="n"/>
      <c r="H27" s="231" t="n"/>
      <c r="I27" s="232" t="n"/>
      <c r="J27" s="232" t="n"/>
      <c r="K27" s="233" t="n"/>
      <c r="L27" s="233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56" t="n"/>
      <c r="N27" s="156" t="n"/>
      <c r="O27" s="156" t="n"/>
    </row>
    <row r="28" ht="18.75" customHeight="1" s="153">
      <c r="A28" s="237" t="n"/>
      <c r="B28" s="238" t="n"/>
      <c r="C28" s="239" t="n"/>
      <c r="D28" s="239" t="n"/>
      <c r="E28" s="239" t="n"/>
      <c r="F28" s="240" t="n"/>
      <c r="G28" s="240" t="n"/>
      <c r="H28" s="241" t="n"/>
      <c r="I28" s="242" t="n"/>
      <c r="J28" s="242" t="n"/>
      <c r="K28" s="233" t="n"/>
      <c r="L28" s="233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56" t="n"/>
      <c r="N28" s="156" t="n"/>
      <c r="O28" s="156" t="n"/>
    </row>
    <row r="29" ht="18.75" customHeight="1" s="153">
      <c r="A29" s="227" t="n"/>
      <c r="B29" s="228" t="n"/>
      <c r="C29" s="229" t="n"/>
      <c r="D29" s="229" t="n"/>
      <c r="E29" s="229" t="n"/>
      <c r="F29" s="230" t="n"/>
      <c r="G29" s="230" t="n"/>
      <c r="H29" s="231" t="n"/>
      <c r="I29" s="232" t="n"/>
      <c r="J29" s="232" t="n"/>
      <c r="K29" s="233" t="n"/>
      <c r="L29" s="233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56" t="n"/>
      <c r="N29" s="156" t="n"/>
      <c r="O29" s="156">
        <f>IFERROR(SUM(L5:L700)/COUNTA(B5:B700),0)</f>
        <v/>
      </c>
    </row>
    <row r="30" ht="18.75" customHeight="1" s="153">
      <c r="A30" s="237" t="n"/>
      <c r="B30" s="238" t="n"/>
      <c r="C30" s="239" t="n"/>
      <c r="D30" s="239" t="n"/>
      <c r="E30" s="239" t="n"/>
      <c r="F30" s="240" t="n"/>
      <c r="G30" s="240" t="n"/>
      <c r="H30" s="241" t="n"/>
      <c r="I30" s="242" t="n"/>
      <c r="J30" s="242" t="n"/>
      <c r="K30" s="233" t="n"/>
      <c r="L30" s="233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56" t="n"/>
      <c r="N30" s="156" t="n"/>
      <c r="O30" s="156" t="n"/>
    </row>
    <row r="31" ht="18.75" customHeight="1" s="153">
      <c r="A31" s="227" t="n"/>
      <c r="B31" s="228" t="n"/>
      <c r="C31" s="229" t="n"/>
      <c r="D31" s="229" t="n"/>
      <c r="E31" s="229" t="n"/>
      <c r="F31" s="230" t="n"/>
      <c r="G31" s="230" t="n"/>
      <c r="H31" s="231" t="n"/>
      <c r="I31" s="232" t="n"/>
      <c r="J31" s="232" t="n"/>
      <c r="K31" s="233" t="n"/>
      <c r="L31" s="233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56" t="n"/>
      <c r="N31" s="156" t="n"/>
      <c r="O31" s="156" t="n"/>
    </row>
    <row r="32" ht="18.75" customHeight="1" s="153">
      <c r="A32" s="237" t="n"/>
      <c r="B32" s="238" t="n"/>
      <c r="C32" s="239" t="n"/>
      <c r="D32" s="239" t="n"/>
      <c r="E32" s="239" t="n"/>
      <c r="F32" s="240" t="n"/>
      <c r="G32" s="240" t="n"/>
      <c r="H32" s="241" t="n"/>
      <c r="I32" s="242" t="n"/>
      <c r="J32" s="242" t="n"/>
      <c r="K32" s="233" t="n"/>
      <c r="L32" s="233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56" t="n"/>
      <c r="N32" s="156" t="n"/>
      <c r="O32" s="156" t="n"/>
    </row>
    <row r="33" ht="18.75" customHeight="1" s="153">
      <c r="A33" s="227" t="n"/>
      <c r="B33" s="228" t="n"/>
      <c r="C33" s="229" t="n"/>
      <c r="D33" s="229" t="n"/>
      <c r="E33" s="229" t="n"/>
      <c r="F33" s="230" t="n"/>
      <c r="G33" s="230" t="n"/>
      <c r="H33" s="231" t="n"/>
      <c r="I33" s="232" t="n"/>
      <c r="J33" s="232" t="n"/>
      <c r="K33" s="233" t="n"/>
      <c r="L33" s="233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56" t="n"/>
      <c r="N33" s="156" t="n"/>
      <c r="O33" s="156" t="n"/>
    </row>
    <row r="34" ht="18.75" customHeight="1" s="153">
      <c r="A34" s="237" t="n"/>
      <c r="B34" s="238" t="n"/>
      <c r="C34" s="239" t="n"/>
      <c r="D34" s="239" t="n"/>
      <c r="E34" s="239" t="n"/>
      <c r="F34" s="240" t="n"/>
      <c r="G34" s="240" t="n"/>
      <c r="H34" s="241" t="n"/>
      <c r="I34" s="242" t="n"/>
      <c r="J34" s="242" t="n"/>
      <c r="K34" s="233" t="n"/>
      <c r="L34" s="233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56" t="n"/>
      <c r="N34" s="156" t="n"/>
      <c r="O34" s="156" t="n"/>
    </row>
    <row r="35" ht="18.75" customHeight="1" s="153">
      <c r="A35" s="227" t="n"/>
      <c r="B35" s="228" t="n"/>
      <c r="C35" s="229" t="n"/>
      <c r="D35" s="229" t="n"/>
      <c r="E35" s="229" t="n"/>
      <c r="F35" s="230" t="n"/>
      <c r="G35" s="230" t="n"/>
      <c r="H35" s="231" t="n"/>
      <c r="I35" s="232" t="n"/>
      <c r="J35" s="232" t="n"/>
      <c r="K35" s="233" t="n"/>
      <c r="L35" s="233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56" t="n"/>
      <c r="N35" s="156" t="n"/>
      <c r="O35" s="156" t="n"/>
    </row>
    <row r="36" ht="18.75" customHeight="1" s="153">
      <c r="A36" s="237" t="n"/>
      <c r="B36" s="238" t="n"/>
      <c r="C36" s="239" t="n"/>
      <c r="D36" s="239" t="n"/>
      <c r="E36" s="239" t="n"/>
      <c r="F36" s="240" t="n"/>
      <c r="G36" s="240" t="n"/>
      <c r="H36" s="241" t="n"/>
      <c r="I36" s="242" t="n"/>
      <c r="J36" s="242" t="n"/>
      <c r="K36" s="233" t="n"/>
      <c r="L36" s="233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56" t="n"/>
      <c r="N36" s="156" t="n"/>
      <c r="O36" s="156" t="n"/>
    </row>
    <row r="37" ht="18.75" customHeight="1" s="153">
      <c r="A37" s="227" t="n"/>
      <c r="B37" s="228" t="n"/>
      <c r="C37" s="229" t="n"/>
      <c r="D37" s="229" t="n"/>
      <c r="E37" s="229" t="n"/>
      <c r="F37" s="230" t="n"/>
      <c r="G37" s="230" t="n"/>
      <c r="H37" s="231" t="n"/>
      <c r="I37" s="232" t="n"/>
      <c r="J37" s="232" t="n"/>
      <c r="K37" s="233" t="n"/>
      <c r="L37" s="233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56" t="n"/>
      <c r="N37" s="156" t="n"/>
      <c r="O37" s="156" t="n"/>
    </row>
    <row r="38" ht="18.75" customHeight="1" s="153">
      <c r="A38" s="237" t="n"/>
      <c r="B38" s="238" t="n"/>
      <c r="C38" s="239" t="n"/>
      <c r="D38" s="239" t="n"/>
      <c r="E38" s="239" t="n"/>
      <c r="F38" s="240" t="n"/>
      <c r="G38" s="240" t="n"/>
      <c r="H38" s="241" t="n"/>
      <c r="I38" s="242" t="n"/>
      <c r="J38" s="242" t="n"/>
      <c r="K38" s="233" t="n"/>
      <c r="L38" s="233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56" t="n"/>
      <c r="N38" s="156" t="n"/>
      <c r="O38" s="156" t="n"/>
    </row>
    <row r="39" ht="18.75" customHeight="1" s="153">
      <c r="A39" s="227" t="n"/>
      <c r="B39" s="228" t="n"/>
      <c r="C39" s="229" t="n"/>
      <c r="D39" s="229" t="n"/>
      <c r="E39" s="229" t="n"/>
      <c r="F39" s="230" t="n"/>
      <c r="G39" s="230" t="n"/>
      <c r="H39" s="231" t="n"/>
      <c r="I39" s="232" t="n"/>
      <c r="J39" s="232" t="n"/>
      <c r="K39" s="233" t="n"/>
      <c r="L39" s="233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56" t="n"/>
      <c r="N39" s="156" t="n"/>
      <c r="O39" s="156" t="n"/>
    </row>
    <row r="40" ht="18.75" customHeight="1" s="153">
      <c r="A40" s="237" t="n"/>
      <c r="B40" s="238" t="n"/>
      <c r="C40" s="239" t="n"/>
      <c r="D40" s="239" t="n"/>
      <c r="E40" s="239" t="n"/>
      <c r="F40" s="240" t="n"/>
      <c r="G40" s="240" t="n"/>
      <c r="H40" s="241" t="n"/>
      <c r="I40" s="242" t="n"/>
      <c r="J40" s="242" t="n"/>
      <c r="K40" s="233" t="n"/>
      <c r="L40" s="233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56" t="n"/>
      <c r="N40" s="156" t="n"/>
      <c r="O40" s="156" t="n"/>
    </row>
    <row r="41" ht="18.75" customHeight="1" s="153">
      <c r="A41" s="227" t="n"/>
      <c r="B41" s="228" t="n"/>
      <c r="C41" s="229" t="n"/>
      <c r="D41" s="229" t="n"/>
      <c r="E41" s="229" t="n"/>
      <c r="F41" s="230" t="n"/>
      <c r="G41" s="230" t="n"/>
      <c r="H41" s="231" t="n"/>
      <c r="I41" s="232" t="n"/>
      <c r="J41" s="232" t="n"/>
      <c r="K41" s="233" t="n"/>
      <c r="L41" s="233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56" t="n"/>
      <c r="N41" s="156" t="n"/>
      <c r="O41" s="156" t="n"/>
    </row>
    <row r="42" ht="18.75" customHeight="1" s="153">
      <c r="A42" s="237" t="n"/>
      <c r="B42" s="238" t="n"/>
      <c r="C42" s="239" t="n"/>
      <c r="D42" s="239" t="n"/>
      <c r="E42" s="239" t="n"/>
      <c r="F42" s="240" t="n"/>
      <c r="G42" s="240" t="n"/>
      <c r="H42" s="241" t="n"/>
      <c r="I42" s="242" t="n"/>
      <c r="J42" s="242" t="n"/>
      <c r="K42" s="233" t="n"/>
      <c r="L42" s="233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56" t="n"/>
      <c r="N42" s="156" t="n"/>
      <c r="O42" s="156" t="n"/>
    </row>
    <row r="43" ht="18.75" customHeight="1" s="153">
      <c r="A43" s="227" t="n"/>
      <c r="B43" s="228" t="n"/>
      <c r="C43" s="229" t="n"/>
      <c r="D43" s="229" t="n"/>
      <c r="E43" s="229" t="n"/>
      <c r="F43" s="230" t="n"/>
      <c r="G43" s="230" t="n"/>
      <c r="H43" s="231" t="n"/>
      <c r="I43" s="232" t="n"/>
      <c r="J43" s="232" t="n"/>
      <c r="K43" s="233" t="n"/>
      <c r="L43" s="233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56" t="n"/>
      <c r="N43" s="156" t="n"/>
      <c r="O43" s="156" t="n"/>
    </row>
    <row r="44" ht="18.75" customHeight="1" s="153">
      <c r="A44" s="237" t="n"/>
      <c r="B44" s="238" t="n"/>
      <c r="C44" s="239" t="n"/>
      <c r="D44" s="239" t="n"/>
      <c r="E44" s="239" t="n"/>
      <c r="F44" s="240" t="n"/>
      <c r="G44" s="240" t="n"/>
      <c r="H44" s="241" t="n"/>
      <c r="I44" s="242" t="n"/>
      <c r="J44" s="242" t="n"/>
      <c r="K44" s="233" t="n"/>
      <c r="L44" s="233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56" t="n"/>
      <c r="N44" s="156" t="n"/>
      <c r="O44" s="156" t="n"/>
    </row>
    <row r="45" ht="18.75" customHeight="1" s="153">
      <c r="A45" s="227" t="n"/>
      <c r="B45" s="228" t="n"/>
      <c r="C45" s="229" t="n"/>
      <c r="D45" s="229" t="n"/>
      <c r="E45" s="229" t="n"/>
      <c r="F45" s="230" t="n"/>
      <c r="G45" s="230" t="n"/>
      <c r="H45" s="231" t="n"/>
      <c r="I45" s="232" t="n"/>
      <c r="J45" s="232" t="n"/>
      <c r="K45" s="233" t="n"/>
      <c r="L45" s="233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56" t="n"/>
      <c r="N45" s="156" t="n"/>
      <c r="O45" s="156" t="n"/>
    </row>
    <row r="46" ht="18.75" customHeight="1" s="153">
      <c r="A46" s="237" t="n"/>
      <c r="B46" s="238" t="n"/>
      <c r="C46" s="239" t="n"/>
      <c r="D46" s="239" t="n"/>
      <c r="E46" s="239" t="n"/>
      <c r="F46" s="240" t="n"/>
      <c r="G46" s="240" t="n"/>
      <c r="H46" s="241" t="n"/>
      <c r="I46" s="242" t="n"/>
      <c r="J46" s="242" t="n"/>
      <c r="K46" s="233" t="n"/>
      <c r="L46" s="233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56" t="n"/>
      <c r="N46" s="156" t="n"/>
      <c r="O46" s="156" t="n"/>
    </row>
    <row r="47" ht="18.75" customHeight="1" s="153">
      <c r="A47" s="227" t="n"/>
      <c r="B47" s="228" t="n"/>
      <c r="C47" s="229" t="n"/>
      <c r="D47" s="229" t="n"/>
      <c r="E47" s="229" t="n"/>
      <c r="F47" s="230" t="n"/>
      <c r="G47" s="230" t="n"/>
      <c r="H47" s="231" t="n"/>
      <c r="I47" s="232" t="n"/>
      <c r="J47" s="232" t="n"/>
      <c r="K47" s="233" t="n"/>
      <c r="L47" s="233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56" t="n"/>
      <c r="N47" s="156" t="n"/>
      <c r="O47" s="156" t="n"/>
    </row>
    <row r="48" ht="18.75" customHeight="1" s="153">
      <c r="A48" s="237" t="n"/>
      <c r="B48" s="238" t="n"/>
      <c r="C48" s="239" t="n"/>
      <c r="D48" s="239" t="n"/>
      <c r="E48" s="239" t="n"/>
      <c r="F48" s="240" t="n"/>
      <c r="G48" s="240" t="n"/>
      <c r="H48" s="241" t="n"/>
      <c r="I48" s="242" t="n"/>
      <c r="J48" s="242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n"/>
      <c r="C49" s="229" t="n"/>
      <c r="D49" s="229" t="n"/>
      <c r="E49" s="229" t="n"/>
      <c r="F49" s="230" t="n"/>
      <c r="G49" s="230" t="n"/>
      <c r="H49" s="231" t="n"/>
      <c r="I49" s="232" t="n"/>
      <c r="J49" s="232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37" t="n"/>
      <c r="B50" s="238" t="n"/>
      <c r="C50" s="239" t="n"/>
      <c r="D50" s="239" t="n"/>
      <c r="E50" s="239" t="n"/>
      <c r="F50" s="240" t="n"/>
      <c r="G50" s="240" t="n"/>
      <c r="H50" s="241" t="n"/>
      <c r="I50" s="242" t="n"/>
      <c r="J50" s="242" t="n"/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n"/>
      <c r="C51" s="229" t="n"/>
      <c r="D51" s="229" t="n"/>
      <c r="E51" s="229" t="n"/>
      <c r="F51" s="230" t="n"/>
      <c r="G51" s="230" t="n"/>
      <c r="H51" s="231" t="n"/>
      <c r="I51" s="232" t="n"/>
      <c r="J51" s="232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37" t="n"/>
      <c r="B52" s="238" t="n"/>
      <c r="C52" s="239" t="n"/>
      <c r="D52" s="239" t="n"/>
      <c r="E52" s="239" t="n"/>
      <c r="F52" s="240" t="n"/>
      <c r="G52" s="240" t="n"/>
      <c r="H52" s="241" t="n"/>
      <c r="I52" s="242" t="n"/>
      <c r="J52" s="242" t="n"/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n"/>
      <c r="C53" s="229" t="n"/>
      <c r="D53" s="229" t="n"/>
      <c r="E53" s="229" t="n"/>
      <c r="F53" s="230" t="n"/>
      <c r="G53" s="230" t="n"/>
      <c r="H53" s="231" t="n"/>
      <c r="I53" s="232" t="n"/>
      <c r="J53" s="232" t="n"/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37" t="n"/>
      <c r="B54" s="238" t="n"/>
      <c r="C54" s="239" t="n"/>
      <c r="D54" s="239" t="n"/>
      <c r="E54" s="239" t="n"/>
      <c r="F54" s="240" t="n"/>
      <c r="G54" s="240" t="n"/>
      <c r="H54" s="241" t="n"/>
      <c r="I54" s="242" t="n"/>
      <c r="J54" s="242" t="n"/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n"/>
      <c r="C55" s="229" t="n"/>
      <c r="D55" s="229" t="n"/>
      <c r="E55" s="229" t="n"/>
      <c r="F55" s="230" t="n"/>
      <c r="G55" s="230" t="n"/>
      <c r="H55" s="231" t="n"/>
      <c r="I55" s="232" t="n"/>
      <c r="J55" s="232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37" t="n"/>
      <c r="B56" s="238" t="n"/>
      <c r="C56" s="239" t="n"/>
      <c r="D56" s="239" t="n"/>
      <c r="E56" s="239" t="n"/>
      <c r="F56" s="240" t="n"/>
      <c r="G56" s="240" t="n"/>
      <c r="H56" s="241" t="n"/>
      <c r="I56" s="242" t="n"/>
      <c r="J56" s="242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n"/>
      <c r="C57" s="229" t="n"/>
      <c r="D57" s="229" t="n"/>
      <c r="E57" s="229" t="n"/>
      <c r="F57" s="230" t="n"/>
      <c r="G57" s="230" t="n"/>
      <c r="H57" s="231" t="n"/>
      <c r="I57" s="232" t="n"/>
      <c r="J57" s="232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37" t="n"/>
      <c r="B58" s="238" t="n"/>
      <c r="C58" s="239" t="n"/>
      <c r="D58" s="239" t="n"/>
      <c r="E58" s="239" t="n"/>
      <c r="F58" s="240" t="n"/>
      <c r="G58" s="240" t="n"/>
      <c r="H58" s="241" t="n"/>
      <c r="I58" s="242" t="n"/>
      <c r="J58" s="242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n"/>
      <c r="C59" s="229" t="n"/>
      <c r="D59" s="229" t="n"/>
      <c r="E59" s="229" t="n"/>
      <c r="F59" s="230" t="n"/>
      <c r="G59" s="230" t="n"/>
      <c r="H59" s="231" t="n"/>
      <c r="I59" s="232" t="n"/>
      <c r="J59" s="232" t="n"/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37" t="n"/>
      <c r="B60" s="238" t="n"/>
      <c r="C60" s="239" t="n"/>
      <c r="D60" s="239" t="n"/>
      <c r="E60" s="239" t="n"/>
      <c r="F60" s="240" t="n"/>
      <c r="G60" s="240" t="n"/>
      <c r="H60" s="241" t="n"/>
      <c r="I60" s="242" t="n"/>
      <c r="J60" s="242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n"/>
      <c r="C61" s="229" t="n"/>
      <c r="D61" s="229" t="n"/>
      <c r="E61" s="229" t="n"/>
      <c r="F61" s="230" t="n"/>
      <c r="G61" s="230" t="n"/>
      <c r="H61" s="231" t="n"/>
      <c r="I61" s="232" t="n"/>
      <c r="J61" s="232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37" t="n"/>
      <c r="B62" s="238" t="n"/>
      <c r="C62" s="239" t="n"/>
      <c r="D62" s="239" t="n"/>
      <c r="E62" s="239" t="n"/>
      <c r="F62" s="240" t="n"/>
      <c r="G62" s="240" t="n"/>
      <c r="H62" s="241" t="n"/>
      <c r="I62" s="242" t="n"/>
      <c r="J62" s="242" t="n"/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n"/>
      <c r="C63" s="229" t="n"/>
      <c r="D63" s="229" t="n"/>
      <c r="E63" s="229" t="n"/>
      <c r="F63" s="230" t="n"/>
      <c r="G63" s="230" t="n"/>
      <c r="H63" s="231" t="n"/>
      <c r="I63" s="232" t="n"/>
      <c r="J63" s="232" t="n"/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37" t="n"/>
      <c r="B64" s="238" t="n"/>
      <c r="C64" s="239" t="n"/>
      <c r="D64" s="239" t="n"/>
      <c r="E64" s="239" t="n"/>
      <c r="F64" s="240" t="n"/>
      <c r="G64" s="240" t="n"/>
      <c r="H64" s="241" t="n"/>
      <c r="I64" s="242" t="n"/>
      <c r="J64" s="242" t="n"/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n"/>
      <c r="C65" s="229" t="n"/>
      <c r="D65" s="229" t="n"/>
      <c r="E65" s="229" t="n"/>
      <c r="F65" s="230" t="n"/>
      <c r="G65" s="230" t="n"/>
      <c r="H65" s="231" t="n"/>
      <c r="I65" s="232" t="n"/>
      <c r="J65" s="232" t="n"/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37" t="n"/>
      <c r="B66" s="238" t="n"/>
      <c r="C66" s="239" t="n"/>
      <c r="D66" s="239" t="n"/>
      <c r="E66" s="239" t="n"/>
      <c r="F66" s="240" t="n"/>
      <c r="G66" s="240" t="n"/>
      <c r="H66" s="241" t="n"/>
      <c r="I66" s="242" t="n"/>
      <c r="J66" s="242" t="n"/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/>
      <c r="B67" s="228" t="n"/>
      <c r="C67" s="229" t="n"/>
      <c r="D67" s="229" t="n"/>
      <c r="E67" s="229" t="n"/>
      <c r="F67" s="230" t="n"/>
      <c r="G67" s="230" t="n"/>
      <c r="H67" s="231" t="n"/>
      <c r="I67" s="232" t="n"/>
      <c r="J67" s="232" t="n"/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37" t="n"/>
      <c r="B68" s="238" t="n"/>
      <c r="C68" s="239" t="n"/>
      <c r="D68" s="239" t="n"/>
      <c r="E68" s="239" t="n"/>
      <c r="F68" s="240" t="n"/>
      <c r="G68" s="240" t="n"/>
      <c r="H68" s="241" t="n"/>
      <c r="I68" s="242" t="n"/>
      <c r="J68" s="242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n"/>
      <c r="C69" s="229" t="n"/>
      <c r="D69" s="229" t="n"/>
      <c r="E69" s="229" t="n"/>
      <c r="F69" s="230" t="n"/>
      <c r="G69" s="230" t="n"/>
      <c r="H69" s="231" t="n"/>
      <c r="I69" s="232" t="n"/>
      <c r="J69" s="232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37" t="n"/>
      <c r="B70" s="238" t="n"/>
      <c r="C70" s="239" t="n"/>
      <c r="D70" s="239" t="n"/>
      <c r="E70" s="239" t="n"/>
      <c r="F70" s="240" t="n"/>
      <c r="G70" s="240" t="n"/>
      <c r="H70" s="241" t="n"/>
      <c r="I70" s="242" t="n"/>
      <c r="J70" s="242" t="n"/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n"/>
      <c r="C71" s="229" t="n"/>
      <c r="D71" s="229" t="n"/>
      <c r="E71" s="229" t="n"/>
      <c r="F71" s="230" t="n"/>
      <c r="G71" s="230" t="n"/>
      <c r="H71" s="231" t="n"/>
      <c r="I71" s="232" t="n"/>
      <c r="J71" s="232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37" t="n"/>
      <c r="B72" s="238" t="n"/>
      <c r="C72" s="239" t="n"/>
      <c r="D72" s="239" t="n"/>
      <c r="E72" s="239" t="n"/>
      <c r="F72" s="240" t="n"/>
      <c r="G72" s="240" t="n"/>
      <c r="H72" s="241" t="n"/>
      <c r="I72" s="242" t="n"/>
      <c r="J72" s="242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n"/>
      <c r="C73" s="229" t="n"/>
      <c r="D73" s="229" t="n"/>
      <c r="E73" s="229" t="n"/>
      <c r="F73" s="230" t="n"/>
      <c r="G73" s="230" t="n"/>
      <c r="H73" s="231" t="n"/>
      <c r="I73" s="232" t="n"/>
      <c r="J73" s="232" t="n"/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37" t="n"/>
      <c r="B74" s="238" t="n"/>
      <c r="C74" s="239" t="n"/>
      <c r="D74" s="239" t="n"/>
      <c r="E74" s="239" t="n"/>
      <c r="F74" s="240" t="n"/>
      <c r="G74" s="240" t="n"/>
      <c r="H74" s="241" t="n"/>
      <c r="I74" s="242" t="n"/>
      <c r="J74" s="242" t="n"/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n"/>
      <c r="C75" s="229" t="n"/>
      <c r="D75" s="229" t="n"/>
      <c r="E75" s="229" t="n"/>
      <c r="F75" s="230" t="n"/>
      <c r="G75" s="230" t="n"/>
      <c r="H75" s="231" t="n"/>
      <c r="I75" s="232" t="n"/>
      <c r="J75" s="232" t="n"/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37" t="n"/>
      <c r="B76" s="238" t="n"/>
      <c r="C76" s="239" t="n"/>
      <c r="D76" s="239" t="n"/>
      <c r="E76" s="239" t="n"/>
      <c r="F76" s="240" t="n"/>
      <c r="G76" s="240" t="n"/>
      <c r="H76" s="241" t="n"/>
      <c r="I76" s="242" t="n"/>
      <c r="J76" s="242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n"/>
      <c r="C77" s="229" t="n"/>
      <c r="D77" s="229" t="n"/>
      <c r="E77" s="229" t="n"/>
      <c r="F77" s="230" t="n"/>
      <c r="G77" s="230" t="n"/>
      <c r="H77" s="231" t="n"/>
      <c r="I77" s="232" t="n"/>
      <c r="J77" s="232" t="n"/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37" t="n"/>
      <c r="B78" s="238" t="n"/>
      <c r="C78" s="239" t="n"/>
      <c r="D78" s="239" t="n"/>
      <c r="E78" s="239" t="n"/>
      <c r="F78" s="240" t="n"/>
      <c r="G78" s="240" t="n"/>
      <c r="H78" s="241" t="n"/>
      <c r="I78" s="242" t="n"/>
      <c r="J78" s="242" t="n"/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n"/>
      <c r="C79" s="229" t="n"/>
      <c r="D79" s="229" t="n"/>
      <c r="E79" s="229" t="n"/>
      <c r="F79" s="230" t="n"/>
      <c r="G79" s="230" t="n"/>
      <c r="H79" s="231" t="n"/>
      <c r="I79" s="232" t="n"/>
      <c r="J79" s="232" t="n"/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37" t="n"/>
      <c r="B80" s="238" t="n"/>
      <c r="C80" s="239" t="n"/>
      <c r="D80" s="239" t="n"/>
      <c r="E80" s="239" t="n"/>
      <c r="F80" s="240" t="n"/>
      <c r="G80" s="240" t="n"/>
      <c r="H80" s="241" t="n"/>
      <c r="I80" s="242" t="n"/>
      <c r="J80" s="242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n"/>
      <c r="C81" s="229" t="n"/>
      <c r="D81" s="229" t="n"/>
      <c r="E81" s="229" t="n"/>
      <c r="F81" s="230" t="n"/>
      <c r="G81" s="230" t="n"/>
      <c r="H81" s="231" t="n"/>
      <c r="I81" s="232" t="n"/>
      <c r="J81" s="232" t="n"/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37" t="n"/>
      <c r="B82" s="238" t="n"/>
      <c r="C82" s="239" t="n"/>
      <c r="D82" s="239" t="n"/>
      <c r="E82" s="239" t="n"/>
      <c r="F82" s="240" t="n"/>
      <c r="G82" s="240" t="n"/>
      <c r="H82" s="241" t="n"/>
      <c r="I82" s="242" t="n"/>
      <c r="J82" s="242" t="n"/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n"/>
      <c r="C83" s="229" t="n"/>
      <c r="D83" s="229" t="n"/>
      <c r="E83" s="229" t="n"/>
      <c r="F83" s="230" t="n"/>
      <c r="G83" s="230" t="n"/>
      <c r="H83" s="231" t="n"/>
      <c r="I83" s="232" t="n"/>
      <c r="J83" s="232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37" t="n"/>
      <c r="B84" s="238" t="n"/>
      <c r="C84" s="239" t="n"/>
      <c r="D84" s="239" t="n"/>
      <c r="E84" s="239" t="n"/>
      <c r="F84" s="240" t="n"/>
      <c r="G84" s="240" t="n"/>
      <c r="H84" s="241" t="n"/>
      <c r="I84" s="242" t="n"/>
      <c r="J84" s="242" t="n"/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n"/>
      <c r="C85" s="229" t="n"/>
      <c r="D85" s="229" t="n"/>
      <c r="E85" s="229" t="n"/>
      <c r="F85" s="230" t="n"/>
      <c r="G85" s="230" t="n"/>
      <c r="H85" s="231" t="n"/>
      <c r="I85" s="232" t="n"/>
      <c r="J85" s="232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37" t="n"/>
      <c r="B86" s="238" t="n"/>
      <c r="C86" s="239" t="n"/>
      <c r="D86" s="239" t="n"/>
      <c r="E86" s="239" t="n"/>
      <c r="F86" s="240" t="n"/>
      <c r="G86" s="240" t="n"/>
      <c r="H86" s="241" t="n"/>
      <c r="I86" s="242" t="n"/>
      <c r="J86" s="242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/>
      <c r="B87" s="228" t="n"/>
      <c r="C87" s="229" t="n"/>
      <c r="D87" s="229" t="n"/>
      <c r="E87" s="229" t="n"/>
      <c r="F87" s="230" t="n"/>
      <c r="G87" s="230" t="n"/>
      <c r="H87" s="231" t="n"/>
      <c r="I87" s="232" t="n"/>
      <c r="J87" s="232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37" t="n"/>
      <c r="B88" s="238" t="n"/>
      <c r="C88" s="239" t="n"/>
      <c r="D88" s="239" t="n"/>
      <c r="E88" s="239" t="n"/>
      <c r="F88" s="240" t="n"/>
      <c r="G88" s="240" t="n"/>
      <c r="H88" s="241" t="n"/>
      <c r="I88" s="242" t="n"/>
      <c r="J88" s="242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n"/>
      <c r="C89" s="229" t="n"/>
      <c r="D89" s="229" t="n"/>
      <c r="E89" s="229" t="n"/>
      <c r="F89" s="230" t="n"/>
      <c r="G89" s="230" t="n"/>
      <c r="H89" s="231" t="n"/>
      <c r="I89" s="232" t="n"/>
      <c r="J89" s="232" t="n"/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37" t="n"/>
      <c r="B90" s="238" t="n"/>
      <c r="C90" s="239" t="n"/>
      <c r="D90" s="239" t="n"/>
      <c r="E90" s="239" t="n"/>
      <c r="F90" s="240" t="n"/>
      <c r="G90" s="240" t="n"/>
      <c r="H90" s="241" t="n"/>
      <c r="I90" s="242" t="n"/>
      <c r="J90" s="242" t="n"/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n"/>
      <c r="C91" s="229" t="n"/>
      <c r="D91" s="229" t="n"/>
      <c r="E91" s="229" t="n"/>
      <c r="F91" s="230" t="n"/>
      <c r="G91" s="230" t="n"/>
      <c r="H91" s="231" t="n"/>
      <c r="I91" s="232" t="n"/>
      <c r="J91" s="232" t="n"/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37" t="n"/>
      <c r="B92" s="238" t="n"/>
      <c r="C92" s="239" t="n"/>
      <c r="D92" s="239" t="n"/>
      <c r="E92" s="239" t="n"/>
      <c r="F92" s="240" t="n"/>
      <c r="G92" s="240" t="n"/>
      <c r="H92" s="241" t="n"/>
      <c r="I92" s="242" t="n"/>
      <c r="J92" s="242" t="n"/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n"/>
      <c r="C93" s="229" t="n"/>
      <c r="D93" s="229" t="n"/>
      <c r="E93" s="229" t="n"/>
      <c r="F93" s="230" t="n"/>
      <c r="G93" s="230" t="n"/>
      <c r="H93" s="231" t="n"/>
      <c r="I93" s="232" t="n"/>
      <c r="J93" s="232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37" t="n"/>
      <c r="B94" s="238" t="n"/>
      <c r="C94" s="239" t="n"/>
      <c r="D94" s="239" t="n"/>
      <c r="E94" s="239" t="n"/>
      <c r="F94" s="240" t="n"/>
      <c r="G94" s="240" t="n"/>
      <c r="H94" s="241" t="n"/>
      <c r="I94" s="242" t="n"/>
      <c r="J94" s="242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n"/>
      <c r="C95" s="229" t="n"/>
      <c r="D95" s="229" t="n"/>
      <c r="E95" s="229" t="n"/>
      <c r="F95" s="230" t="n"/>
      <c r="G95" s="230" t="n"/>
      <c r="H95" s="231" t="n"/>
      <c r="I95" s="232" t="n"/>
      <c r="J95" s="232" t="n"/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37" t="n"/>
      <c r="B96" s="238" t="n"/>
      <c r="C96" s="239" t="n"/>
      <c r="D96" s="239" t="n"/>
      <c r="E96" s="239" t="n"/>
      <c r="F96" s="240" t="n"/>
      <c r="G96" s="240" t="n"/>
      <c r="H96" s="241" t="n"/>
      <c r="I96" s="242" t="n"/>
      <c r="J96" s="242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n"/>
      <c r="C97" s="229" t="n"/>
      <c r="D97" s="229" t="n"/>
      <c r="E97" s="229" t="n"/>
      <c r="F97" s="230" t="n"/>
      <c r="G97" s="230" t="n"/>
      <c r="H97" s="231" t="n"/>
      <c r="I97" s="232" t="n"/>
      <c r="J97" s="232" t="n"/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37" t="n"/>
      <c r="B98" s="238" t="n"/>
      <c r="C98" s="239" t="n"/>
      <c r="D98" s="239" t="n"/>
      <c r="E98" s="239" t="n"/>
      <c r="F98" s="240" t="n"/>
      <c r="G98" s="240" t="n"/>
      <c r="H98" s="241" t="n"/>
      <c r="I98" s="242" t="n"/>
      <c r="J98" s="242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n"/>
      <c r="C99" s="229" t="n"/>
      <c r="D99" s="229" t="n"/>
      <c r="E99" s="229" t="n"/>
      <c r="F99" s="230" t="n"/>
      <c r="G99" s="230" t="n"/>
      <c r="H99" s="231" t="n"/>
      <c r="I99" s="232" t="n"/>
      <c r="J99" s="232" t="n"/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37" t="n"/>
      <c r="B100" s="238" t="n"/>
      <c r="C100" s="239" t="n"/>
      <c r="D100" s="239" t="n"/>
      <c r="E100" s="239" t="n"/>
      <c r="F100" s="240" t="n"/>
      <c r="G100" s="240" t="n"/>
      <c r="H100" s="241" t="n"/>
      <c r="I100" s="242" t="n"/>
      <c r="J100" s="242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n"/>
      <c r="C101" s="229" t="n"/>
      <c r="D101" s="229" t="n"/>
      <c r="E101" s="229" t="n"/>
      <c r="F101" s="230" t="n"/>
      <c r="G101" s="230" t="n"/>
      <c r="H101" s="231" t="n"/>
      <c r="I101" s="232" t="n"/>
      <c r="J101" s="232" t="n"/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37" t="n"/>
      <c r="B102" s="238" t="n"/>
      <c r="C102" s="239" t="n"/>
      <c r="D102" s="239" t="n"/>
      <c r="E102" s="239" t="n"/>
      <c r="F102" s="240" t="n"/>
      <c r="G102" s="240" t="n"/>
      <c r="H102" s="241" t="n"/>
      <c r="I102" s="242" t="n"/>
      <c r="J102" s="242" t="n"/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n"/>
      <c r="C103" s="229" t="n"/>
      <c r="D103" s="229" t="n"/>
      <c r="E103" s="229" t="n"/>
      <c r="F103" s="230" t="n"/>
      <c r="G103" s="230" t="n"/>
      <c r="H103" s="231" t="n"/>
      <c r="I103" s="232" t="n"/>
      <c r="J103" s="232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37" t="n"/>
      <c r="B104" s="238" t="n"/>
      <c r="C104" s="239" t="n"/>
      <c r="D104" s="239" t="n"/>
      <c r="E104" s="239" t="n"/>
      <c r="F104" s="240" t="n"/>
      <c r="G104" s="240" t="n"/>
      <c r="H104" s="241" t="n"/>
      <c r="I104" s="242" t="n"/>
      <c r="J104" s="242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n"/>
      <c r="C105" s="229" t="n"/>
      <c r="D105" s="229" t="n"/>
      <c r="E105" s="229" t="n"/>
      <c r="F105" s="230" t="n"/>
      <c r="G105" s="230" t="n"/>
      <c r="H105" s="231" t="n"/>
      <c r="I105" s="232" t="n"/>
      <c r="J105" s="232" t="n"/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37" t="n"/>
      <c r="B106" s="238" t="n"/>
      <c r="C106" s="239" t="n"/>
      <c r="D106" s="239" t="n"/>
      <c r="E106" s="239" t="n"/>
      <c r="F106" s="240" t="n"/>
      <c r="G106" s="240" t="n"/>
      <c r="H106" s="241" t="n"/>
      <c r="I106" s="242" t="n"/>
      <c r="J106" s="242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n"/>
      <c r="C107" s="229" t="n"/>
      <c r="D107" s="229" t="n"/>
      <c r="E107" s="229" t="n"/>
      <c r="F107" s="230" t="n"/>
      <c r="G107" s="230" t="n"/>
      <c r="H107" s="231" t="n"/>
      <c r="I107" s="232" t="n"/>
      <c r="J107" s="232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37" t="n"/>
      <c r="B108" s="238" t="n"/>
      <c r="C108" s="239" t="n"/>
      <c r="D108" s="239" t="n"/>
      <c r="E108" s="239" t="n"/>
      <c r="F108" s="240" t="n"/>
      <c r="G108" s="240" t="n"/>
      <c r="H108" s="241" t="n"/>
      <c r="I108" s="242" t="n"/>
      <c r="J108" s="242" t="n"/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n"/>
      <c r="C109" s="229" t="n"/>
      <c r="D109" s="229" t="n"/>
      <c r="E109" s="229" t="n"/>
      <c r="F109" s="230" t="n"/>
      <c r="G109" s="230" t="n"/>
      <c r="H109" s="231" t="n"/>
      <c r="I109" s="232" t="n"/>
      <c r="J109" s="232" t="n"/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37" t="n"/>
      <c r="B110" s="238" t="n"/>
      <c r="C110" s="239" t="n"/>
      <c r="D110" s="239" t="n"/>
      <c r="E110" s="239" t="n"/>
      <c r="F110" s="240" t="n"/>
      <c r="G110" s="240" t="n"/>
      <c r="H110" s="241" t="n"/>
      <c r="I110" s="242" t="n"/>
      <c r="J110" s="242" t="n"/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/>
      <c r="B111" s="228" t="n"/>
      <c r="C111" s="229" t="n"/>
      <c r="D111" s="229" t="n"/>
      <c r="E111" s="229" t="n"/>
      <c r="F111" s="230" t="n"/>
      <c r="G111" s="230" t="n"/>
      <c r="H111" s="231" t="n"/>
      <c r="I111" s="232" t="n"/>
      <c r="J111" s="232" t="n"/>
      <c r="K111" s="233" t="n"/>
      <c r="L111" s="233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56" t="n"/>
      <c r="N111" s="156" t="n"/>
      <c r="O111" s="156" t="n"/>
    </row>
    <row r="112" ht="18.75" customHeight="1" s="153">
      <c r="A112" s="237" t="n"/>
      <c r="B112" s="238" t="n"/>
      <c r="C112" s="239" t="n"/>
      <c r="D112" s="239" t="n"/>
      <c r="E112" s="239" t="n"/>
      <c r="F112" s="240" t="n"/>
      <c r="G112" s="240" t="n"/>
      <c r="H112" s="241" t="n"/>
      <c r="I112" s="242" t="n"/>
      <c r="J112" s="242" t="n"/>
      <c r="K112" s="233" t="n"/>
      <c r="L112" s="233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56" t="n"/>
      <c r="N112" s="156" t="n"/>
      <c r="O112" s="156" t="n"/>
    </row>
    <row r="113" ht="18.75" customHeight="1" s="153">
      <c r="A113" s="227" t="n"/>
      <c r="B113" s="228" t="n"/>
      <c r="C113" s="229" t="n"/>
      <c r="D113" s="229" t="n"/>
      <c r="E113" s="229" t="n"/>
      <c r="F113" s="230" t="n"/>
      <c r="G113" s="230" t="n"/>
      <c r="H113" s="231" t="n"/>
      <c r="I113" s="232" t="n"/>
      <c r="J113" s="232" t="n"/>
      <c r="K113" s="233" t="n"/>
      <c r="L113" s="233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56" t="n"/>
      <c r="N113" s="156" t="n"/>
      <c r="O113" s="156" t="n"/>
    </row>
    <row r="114" ht="18.75" customHeight="1" s="153">
      <c r="A114" s="237" t="n"/>
      <c r="B114" s="238" t="n"/>
      <c r="C114" s="239" t="n"/>
      <c r="D114" s="239" t="n"/>
      <c r="E114" s="239" t="n"/>
      <c r="F114" s="240" t="n"/>
      <c r="G114" s="240" t="n"/>
      <c r="H114" s="241" t="n"/>
      <c r="I114" s="242" t="n"/>
      <c r="J114" s="242" t="n"/>
      <c r="K114" s="233" t="n"/>
      <c r="L114" s="233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56" t="n"/>
      <c r="N114" s="156" t="n"/>
      <c r="O114" s="156" t="n"/>
    </row>
    <row r="115" ht="18.75" customHeight="1" s="153">
      <c r="A115" s="227" t="n"/>
      <c r="B115" s="228" t="n"/>
      <c r="C115" s="229" t="n"/>
      <c r="D115" s="229" t="n"/>
      <c r="E115" s="229" t="n"/>
      <c r="F115" s="230" t="n"/>
      <c r="G115" s="230" t="n"/>
      <c r="H115" s="231" t="n"/>
      <c r="I115" s="232" t="n"/>
      <c r="J115" s="232" t="n"/>
      <c r="K115" s="233" t="n"/>
      <c r="L115" s="233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56" t="n"/>
      <c r="N115" s="156" t="n"/>
      <c r="O115" s="156" t="n"/>
    </row>
    <row r="116" ht="18.75" customHeight="1" s="153">
      <c r="A116" s="237" t="n"/>
      <c r="B116" s="238" t="n"/>
      <c r="C116" s="239" t="n"/>
      <c r="D116" s="239" t="n"/>
      <c r="E116" s="239" t="n"/>
      <c r="F116" s="240" t="n"/>
      <c r="G116" s="240" t="n"/>
      <c r="H116" s="241" t="n"/>
      <c r="I116" s="242" t="n"/>
      <c r="J116" s="242" t="n"/>
      <c r="K116" s="233" t="n"/>
      <c r="L116" s="233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56" t="n"/>
      <c r="N116" s="156" t="n"/>
      <c r="O116" s="156" t="n"/>
    </row>
    <row r="117" ht="18.75" customHeight="1" s="153">
      <c r="A117" s="227" t="n"/>
      <c r="B117" s="228" t="n"/>
      <c r="C117" s="229" t="n"/>
      <c r="D117" s="229" t="n"/>
      <c r="E117" s="229" t="n"/>
      <c r="F117" s="230" t="n"/>
      <c r="G117" s="230" t="n"/>
      <c r="H117" s="231" t="n"/>
      <c r="I117" s="232" t="n"/>
      <c r="J117" s="232" t="n"/>
      <c r="K117" s="233" t="n"/>
      <c r="L117" s="233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56" t="n"/>
      <c r="N117" s="156" t="n"/>
      <c r="O117" s="156" t="n"/>
    </row>
    <row r="118" ht="18.75" customHeight="1" s="153">
      <c r="A118" s="237" t="n"/>
      <c r="B118" s="238" t="n"/>
      <c r="C118" s="239" t="n"/>
      <c r="D118" s="239" t="n"/>
      <c r="E118" s="239" t="n"/>
      <c r="F118" s="240" t="n"/>
      <c r="G118" s="240" t="n"/>
      <c r="H118" s="241" t="n"/>
      <c r="I118" s="242" t="n"/>
      <c r="J118" s="242" t="n"/>
      <c r="K118" s="233" t="n"/>
      <c r="L118" s="233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56" t="n"/>
      <c r="N118" s="156" t="n"/>
      <c r="O118" s="156" t="n"/>
    </row>
    <row r="119" ht="18.75" customHeight="1" s="153">
      <c r="A119" s="227" t="n"/>
      <c r="B119" s="228" t="n"/>
      <c r="C119" s="229" t="n"/>
      <c r="D119" s="229" t="n"/>
      <c r="E119" s="229" t="n"/>
      <c r="F119" s="230" t="n"/>
      <c r="G119" s="230" t="n"/>
      <c r="H119" s="231" t="n"/>
      <c r="I119" s="232" t="n"/>
      <c r="J119" s="232" t="n"/>
      <c r="K119" s="233" t="n"/>
      <c r="L119" s="233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56" t="n"/>
      <c r="N119" s="156" t="n"/>
      <c r="O119" s="156" t="n"/>
    </row>
    <row r="120" ht="18.75" customHeight="1" s="153">
      <c r="A120" s="237" t="n"/>
      <c r="B120" s="238" t="n"/>
      <c r="C120" s="239" t="n"/>
      <c r="D120" s="239" t="n"/>
      <c r="E120" s="239" t="n"/>
      <c r="F120" s="240" t="n"/>
      <c r="G120" s="240" t="n"/>
      <c r="H120" s="241" t="n"/>
      <c r="I120" s="242" t="n"/>
      <c r="J120" s="242" t="n"/>
      <c r="K120" s="233" t="n"/>
      <c r="L120" s="233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56" t="n"/>
      <c r="N120" s="156" t="n"/>
      <c r="O120" s="156" t="n"/>
    </row>
    <row r="121" ht="18.75" customHeight="1" s="153">
      <c r="A121" s="227" t="n"/>
      <c r="B121" s="228" t="n"/>
      <c r="C121" s="229" t="n"/>
      <c r="D121" s="229" t="n"/>
      <c r="E121" s="229" t="n"/>
      <c r="F121" s="230" t="n"/>
      <c r="G121" s="230" t="n"/>
      <c r="H121" s="231" t="n"/>
      <c r="I121" s="232" t="n"/>
      <c r="J121" s="232" t="n"/>
      <c r="K121" s="233" t="n"/>
      <c r="L121" s="233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56" t="n"/>
      <c r="N121" s="156" t="n"/>
      <c r="O121" s="156" t="n"/>
    </row>
    <row r="122" ht="18.75" customHeight="1" s="153">
      <c r="A122" s="237" t="n"/>
      <c r="B122" s="238" t="n"/>
      <c r="C122" s="239" t="n"/>
      <c r="D122" s="239" t="n"/>
      <c r="E122" s="239" t="n"/>
      <c r="F122" s="240" t="n"/>
      <c r="G122" s="240" t="n"/>
      <c r="H122" s="241" t="n"/>
      <c r="I122" s="242" t="n"/>
      <c r="J122" s="242" t="n"/>
      <c r="K122" s="233" t="n"/>
      <c r="L122" s="233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56" t="n"/>
      <c r="N122" s="156" t="n"/>
      <c r="O122" s="156" t="n"/>
    </row>
    <row r="123" ht="18.75" customHeight="1" s="153">
      <c r="A123" s="227" t="n"/>
      <c r="B123" s="228" t="n"/>
      <c r="C123" s="229" t="n"/>
      <c r="D123" s="229" t="n"/>
      <c r="E123" s="229" t="n"/>
      <c r="F123" s="230" t="n"/>
      <c r="G123" s="230" t="n"/>
      <c r="H123" s="231" t="n"/>
      <c r="I123" s="232" t="n"/>
      <c r="J123" s="232" t="n"/>
      <c r="K123" s="233" t="n"/>
      <c r="L123" s="233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56" t="n"/>
      <c r="N123" s="156" t="n"/>
      <c r="O123" s="156" t="n"/>
    </row>
    <row r="124" ht="18.75" customHeight="1" s="153">
      <c r="A124" s="237" t="n"/>
      <c r="B124" s="238" t="n"/>
      <c r="C124" s="239" t="n"/>
      <c r="D124" s="239" t="n"/>
      <c r="E124" s="239" t="n"/>
      <c r="F124" s="240" t="n"/>
      <c r="G124" s="240" t="n"/>
      <c r="H124" s="241" t="n"/>
      <c r="I124" s="242" t="n"/>
      <c r="J124" s="242" t="n"/>
      <c r="K124" s="233" t="n"/>
      <c r="L124" s="233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56" t="n"/>
      <c r="N124" s="156" t="n"/>
      <c r="O124" s="156" t="n"/>
    </row>
    <row r="125" ht="18.75" customHeight="1" s="153">
      <c r="A125" s="227" t="n"/>
      <c r="B125" s="228" t="n"/>
      <c r="C125" s="229" t="n"/>
      <c r="D125" s="229" t="n"/>
      <c r="E125" s="229" t="n"/>
      <c r="F125" s="230" t="n"/>
      <c r="G125" s="230" t="n"/>
      <c r="H125" s="231" t="n"/>
      <c r="I125" s="232" t="n"/>
      <c r="J125" s="232" t="n"/>
      <c r="K125" s="233" t="n"/>
      <c r="L125" s="233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56" t="n"/>
      <c r="N125" s="156" t="n"/>
      <c r="O125" s="156" t="n"/>
    </row>
    <row r="126" ht="18.75" customHeight="1" s="153">
      <c r="A126" s="237" t="n"/>
      <c r="B126" s="238" t="n"/>
      <c r="C126" s="239" t="n"/>
      <c r="D126" s="239" t="n"/>
      <c r="E126" s="239" t="n"/>
      <c r="F126" s="240" t="n"/>
      <c r="G126" s="240" t="n"/>
      <c r="H126" s="241" t="n"/>
      <c r="I126" s="242" t="n"/>
      <c r="J126" s="242" t="n"/>
      <c r="K126" s="233" t="n"/>
      <c r="L126" s="233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56" t="n"/>
      <c r="N126" s="156" t="n"/>
      <c r="O126" s="156" t="n"/>
    </row>
    <row r="127" ht="18.75" customHeight="1" s="153">
      <c r="A127" s="227" t="n"/>
      <c r="B127" s="228" t="n"/>
      <c r="C127" s="229" t="n"/>
      <c r="D127" s="229" t="n"/>
      <c r="E127" s="229" t="n"/>
      <c r="F127" s="230" t="n"/>
      <c r="G127" s="230" t="n"/>
      <c r="H127" s="231" t="n"/>
      <c r="I127" s="232" t="n"/>
      <c r="J127" s="232" t="n"/>
      <c r="K127" s="233" t="n"/>
      <c r="L127" s="233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56" t="n"/>
      <c r="N127" s="156" t="n"/>
      <c r="O127" s="156" t="n"/>
    </row>
    <row r="128" ht="18.75" customHeight="1" s="153">
      <c r="A128" s="237" t="n"/>
      <c r="B128" s="238" t="n"/>
      <c r="C128" s="239" t="n"/>
      <c r="D128" s="239" t="n"/>
      <c r="E128" s="239" t="n"/>
      <c r="F128" s="240" t="n"/>
      <c r="G128" s="240" t="n"/>
      <c r="H128" s="241" t="n"/>
      <c r="I128" s="242" t="n"/>
      <c r="J128" s="242" t="n"/>
      <c r="K128" s="233" t="n"/>
      <c r="L128" s="233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56" t="n"/>
      <c r="N128" s="156" t="n"/>
      <c r="O128" s="156" t="n"/>
    </row>
    <row r="129" ht="18.75" customHeight="1" s="153">
      <c r="A129" s="227" t="n"/>
      <c r="B129" s="228" t="n"/>
      <c r="C129" s="229" t="n"/>
      <c r="D129" s="229" t="n"/>
      <c r="E129" s="229" t="n"/>
      <c r="F129" s="230" t="n"/>
      <c r="G129" s="230" t="n"/>
      <c r="H129" s="231" t="n"/>
      <c r="I129" s="232" t="n"/>
      <c r="J129" s="232" t="n"/>
      <c r="K129" s="233" t="n"/>
      <c r="L129" s="233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56" t="n"/>
      <c r="N129" s="156" t="n"/>
      <c r="O129" s="156" t="n"/>
    </row>
    <row r="130" ht="18.75" customHeight="1" s="153">
      <c r="A130" s="237" t="n"/>
      <c r="B130" s="238" t="n"/>
      <c r="C130" s="239" t="n"/>
      <c r="D130" s="239" t="n"/>
      <c r="E130" s="239" t="n"/>
      <c r="F130" s="240" t="n"/>
      <c r="G130" s="240" t="n"/>
      <c r="H130" s="241" t="n"/>
      <c r="I130" s="242" t="n"/>
      <c r="J130" s="242" t="n"/>
      <c r="K130" s="233" t="n"/>
      <c r="L130" s="233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56" t="n"/>
      <c r="N130" s="156" t="n"/>
      <c r="O130" s="156" t="n"/>
    </row>
    <row r="131" ht="18.75" customHeight="1" s="153">
      <c r="A131" s="227" t="n"/>
      <c r="B131" s="228" t="n"/>
      <c r="C131" s="229" t="n"/>
      <c r="D131" s="229" t="n"/>
      <c r="E131" s="229" t="n"/>
      <c r="F131" s="230" t="n"/>
      <c r="G131" s="230" t="n"/>
      <c r="H131" s="231" t="n"/>
      <c r="I131" s="232" t="n"/>
      <c r="J131" s="232" t="n"/>
      <c r="K131" s="233" t="n"/>
      <c r="L131" s="233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56" t="n"/>
      <c r="N131" s="156" t="n"/>
      <c r="O131" s="156" t="n"/>
    </row>
    <row r="132" ht="18.75" customHeight="1" s="153">
      <c r="A132" s="237" t="n"/>
      <c r="B132" s="238" t="n"/>
      <c r="C132" s="239" t="n"/>
      <c r="D132" s="239" t="n"/>
      <c r="E132" s="239" t="n"/>
      <c r="F132" s="240" t="n"/>
      <c r="G132" s="240" t="n"/>
      <c r="H132" s="241" t="n"/>
      <c r="I132" s="242" t="n"/>
      <c r="J132" s="242" t="n"/>
      <c r="K132" s="233" t="n"/>
      <c r="L132" s="233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56" t="n"/>
      <c r="N132" s="156" t="n"/>
      <c r="O132" s="156" t="n"/>
    </row>
    <row r="133" ht="18.75" customHeight="1" s="153">
      <c r="A133" s="227" t="n"/>
      <c r="B133" s="228" t="n"/>
      <c r="C133" s="229" t="n"/>
      <c r="D133" s="229" t="n"/>
      <c r="E133" s="229" t="n"/>
      <c r="F133" s="230" t="n"/>
      <c r="G133" s="230" t="n"/>
      <c r="H133" s="231" t="n"/>
      <c r="I133" s="232" t="n"/>
      <c r="J133" s="232" t="n"/>
      <c r="K133" s="233" t="n"/>
      <c r="L133" s="233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56" t="n"/>
      <c r="N133" s="156" t="n"/>
      <c r="O133" s="156" t="n"/>
    </row>
    <row r="134" ht="18.75" customHeight="1" s="153">
      <c r="A134" s="237" t="n"/>
      <c r="B134" s="238" t="n"/>
      <c r="C134" s="239" t="n"/>
      <c r="D134" s="239" t="n"/>
      <c r="E134" s="239" t="n"/>
      <c r="F134" s="240" t="n"/>
      <c r="G134" s="240" t="n"/>
      <c r="H134" s="241" t="n"/>
      <c r="I134" s="242" t="n"/>
      <c r="J134" s="242" t="n"/>
      <c r="K134" s="233" t="n"/>
      <c r="L134" s="233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56" t="n"/>
      <c r="N134" s="156" t="n"/>
      <c r="O134" s="156" t="n"/>
    </row>
    <row r="135" ht="18.75" customHeight="1" s="153">
      <c r="A135" s="227" t="n"/>
      <c r="B135" s="228" t="n"/>
      <c r="C135" s="229" t="n"/>
      <c r="D135" s="229" t="n"/>
      <c r="E135" s="229" t="n"/>
      <c r="F135" s="230" t="n"/>
      <c r="G135" s="230" t="n"/>
      <c r="H135" s="231" t="n"/>
      <c r="I135" s="232" t="n"/>
      <c r="J135" s="232" t="n"/>
      <c r="K135" s="233" t="n"/>
      <c r="L135" s="233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56" t="n"/>
      <c r="N135" s="156" t="n"/>
      <c r="O135" s="156" t="n"/>
    </row>
    <row r="136" ht="18.75" customHeight="1" s="153">
      <c r="A136" s="237" t="n"/>
      <c r="B136" s="238" t="n"/>
      <c r="C136" s="239" t="n"/>
      <c r="D136" s="239" t="n"/>
      <c r="E136" s="239" t="n"/>
      <c r="F136" s="240" t="n"/>
      <c r="G136" s="240" t="n"/>
      <c r="H136" s="241" t="n"/>
      <c r="I136" s="242" t="n"/>
      <c r="J136" s="242" t="n"/>
      <c r="K136" s="233" t="n"/>
      <c r="L136" s="233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56" t="n"/>
      <c r="N136" s="156" t="n"/>
      <c r="O136" s="156" t="n"/>
    </row>
    <row r="137" ht="18.75" customHeight="1" s="153">
      <c r="A137" s="227" t="n"/>
      <c r="B137" s="228" t="n"/>
      <c r="C137" s="229" t="n"/>
      <c r="D137" s="229" t="n"/>
      <c r="E137" s="229" t="n"/>
      <c r="F137" s="230" t="n"/>
      <c r="G137" s="230" t="n"/>
      <c r="H137" s="231" t="n"/>
      <c r="I137" s="232" t="n"/>
      <c r="J137" s="232" t="n"/>
      <c r="K137" s="233" t="n"/>
      <c r="L137" s="233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56" t="n"/>
      <c r="N137" s="156" t="n"/>
      <c r="O137" s="156" t="n"/>
    </row>
    <row r="138" ht="18.75" customHeight="1" s="153">
      <c r="A138" s="237" t="n"/>
      <c r="B138" s="238" t="n"/>
      <c r="C138" s="239" t="n"/>
      <c r="D138" s="239" t="n"/>
      <c r="E138" s="239" t="n"/>
      <c r="F138" s="240" t="n"/>
      <c r="G138" s="240" t="n"/>
      <c r="H138" s="241" t="n"/>
      <c r="I138" s="242" t="n"/>
      <c r="J138" s="242" t="n"/>
      <c r="K138" s="233" t="n"/>
      <c r="L138" s="233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56" t="n"/>
      <c r="N138" s="156" t="n"/>
      <c r="O138" s="156" t="n"/>
    </row>
    <row r="139" ht="18.75" customHeight="1" s="153">
      <c r="A139" s="227" t="n"/>
      <c r="B139" s="228" t="n"/>
      <c r="C139" s="229" t="n"/>
      <c r="D139" s="229" t="n"/>
      <c r="E139" s="229" t="n"/>
      <c r="F139" s="230" t="n"/>
      <c r="G139" s="230" t="n"/>
      <c r="H139" s="231" t="n"/>
      <c r="I139" s="232" t="n"/>
      <c r="J139" s="232" t="n"/>
      <c r="K139" s="233" t="n"/>
      <c r="L139" s="233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56" t="n"/>
      <c r="N139" s="156" t="n"/>
      <c r="O139" s="156" t="n"/>
    </row>
    <row r="140" ht="18.75" customHeight="1" s="153">
      <c r="A140" s="237" t="n"/>
      <c r="B140" s="238" t="n"/>
      <c r="C140" s="239" t="n"/>
      <c r="D140" s="239" t="n"/>
      <c r="E140" s="239" t="n"/>
      <c r="F140" s="240" t="n"/>
      <c r="G140" s="240" t="n"/>
      <c r="H140" s="241" t="n"/>
      <c r="I140" s="242" t="n"/>
      <c r="J140" s="242" t="n"/>
      <c r="K140" s="233" t="n"/>
      <c r="L140" s="233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56" t="n"/>
      <c r="N140" s="156" t="n"/>
      <c r="O140" s="156" t="n"/>
    </row>
    <row r="141" ht="18.75" customHeight="1" s="153">
      <c r="A141" s="227" t="n"/>
      <c r="B141" s="228" t="n"/>
      <c r="C141" s="229" t="n"/>
      <c r="D141" s="229" t="n"/>
      <c r="E141" s="229" t="n"/>
      <c r="F141" s="230" t="n"/>
      <c r="G141" s="230" t="n"/>
      <c r="H141" s="231" t="n"/>
      <c r="I141" s="232" t="n"/>
      <c r="J141" s="232" t="n"/>
      <c r="K141" s="233" t="n"/>
      <c r="L141" s="233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56" t="n"/>
      <c r="N141" s="156" t="n"/>
      <c r="O141" s="156" t="n"/>
    </row>
    <row r="142" ht="18.75" customHeight="1" s="153">
      <c r="A142" s="237" t="n"/>
      <c r="B142" s="238" t="n"/>
      <c r="C142" s="239" t="n"/>
      <c r="D142" s="239" t="n"/>
      <c r="E142" s="239" t="n"/>
      <c r="F142" s="240" t="n"/>
      <c r="G142" s="240" t="n"/>
      <c r="H142" s="241" t="n"/>
      <c r="I142" s="242" t="n"/>
      <c r="J142" s="242" t="n"/>
      <c r="K142" s="233" t="n"/>
      <c r="L142" s="233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56" t="n"/>
      <c r="N142" s="156" t="n"/>
      <c r="O142" s="156" t="n"/>
    </row>
    <row r="143" ht="18.75" customHeight="1" s="153">
      <c r="A143" s="227" t="n"/>
      <c r="B143" s="228" t="n"/>
      <c r="C143" s="229" t="n"/>
      <c r="D143" s="229" t="n"/>
      <c r="E143" s="229" t="n"/>
      <c r="F143" s="230" t="n"/>
      <c r="G143" s="230" t="n"/>
      <c r="H143" s="231" t="n"/>
      <c r="I143" s="232" t="n"/>
      <c r="J143" s="232" t="n"/>
      <c r="K143" s="233" t="n"/>
      <c r="L143" s="233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56" t="n"/>
      <c r="N143" s="156" t="n"/>
      <c r="O143" s="156" t="n"/>
    </row>
    <row r="144" ht="18.75" customHeight="1" s="153">
      <c r="A144" s="237" t="n"/>
      <c r="B144" s="238" t="n"/>
      <c r="C144" s="239" t="n"/>
      <c r="D144" s="239" t="n"/>
      <c r="E144" s="239" t="n"/>
      <c r="F144" s="240" t="n"/>
      <c r="G144" s="240" t="n"/>
      <c r="H144" s="241" t="n"/>
      <c r="I144" s="242" t="n"/>
      <c r="J144" s="242" t="n"/>
      <c r="K144" s="233" t="n"/>
      <c r="L144" s="233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56" t="n"/>
      <c r="N144" s="156" t="n"/>
      <c r="O144" s="156" t="n"/>
    </row>
    <row r="145" ht="18.75" customHeight="1" s="153">
      <c r="A145" s="227" t="n"/>
      <c r="B145" s="228" t="n"/>
      <c r="C145" s="229" t="n"/>
      <c r="D145" s="229" t="n"/>
      <c r="E145" s="229" t="n"/>
      <c r="F145" s="230" t="n"/>
      <c r="G145" s="230" t="n"/>
      <c r="H145" s="231" t="n"/>
      <c r="I145" s="232" t="n"/>
      <c r="J145" s="232" t="n"/>
      <c r="K145" s="233" t="n"/>
      <c r="L145" s="233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56" t="n"/>
      <c r="N145" s="156" t="n"/>
      <c r="O145" s="156" t="n"/>
    </row>
    <row r="146" ht="18.75" customHeight="1" s="153">
      <c r="A146" s="237" t="n"/>
      <c r="B146" s="238" t="n"/>
      <c r="C146" s="239" t="n"/>
      <c r="D146" s="239" t="n"/>
      <c r="E146" s="239" t="n"/>
      <c r="F146" s="240" t="n"/>
      <c r="G146" s="240" t="n"/>
      <c r="H146" s="241" t="n"/>
      <c r="I146" s="242" t="n"/>
      <c r="J146" s="242" t="n"/>
      <c r="K146" s="233" t="n"/>
      <c r="L146" s="233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56" t="n"/>
      <c r="N146" s="156" t="n"/>
      <c r="O146" s="156" t="n"/>
    </row>
    <row r="147" ht="18.75" customHeight="1" s="153">
      <c r="A147" s="227" t="n"/>
      <c r="B147" s="228" t="n"/>
      <c r="C147" s="229" t="n"/>
      <c r="D147" s="229" t="n"/>
      <c r="E147" s="229" t="n"/>
      <c r="F147" s="230" t="n"/>
      <c r="G147" s="230" t="n"/>
      <c r="H147" s="231" t="n"/>
      <c r="I147" s="232" t="n"/>
      <c r="J147" s="232" t="n"/>
      <c r="K147" s="233" t="n"/>
      <c r="L147" s="233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56" t="n"/>
      <c r="N147" s="156" t="n"/>
      <c r="O147" s="156" t="n"/>
    </row>
    <row r="148" ht="18.75" customHeight="1" s="153">
      <c r="A148" s="237" t="n"/>
      <c r="B148" s="238" t="n"/>
      <c r="C148" s="239" t="n"/>
      <c r="D148" s="239" t="n"/>
      <c r="E148" s="239" t="n"/>
      <c r="F148" s="240" t="n"/>
      <c r="G148" s="240" t="n"/>
      <c r="H148" s="241" t="n"/>
      <c r="I148" s="242" t="n"/>
      <c r="J148" s="242" t="n"/>
      <c r="K148" s="233" t="n"/>
      <c r="L148" s="233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56" t="n"/>
      <c r="N148" s="156" t="n"/>
      <c r="O148" s="156" t="n"/>
    </row>
    <row r="149" ht="18.75" customHeight="1" s="153">
      <c r="A149" s="227" t="n"/>
      <c r="B149" s="228" t="n"/>
      <c r="C149" s="229" t="n"/>
      <c r="D149" s="229" t="n"/>
      <c r="E149" s="229" t="n"/>
      <c r="F149" s="230" t="n"/>
      <c r="G149" s="230" t="n"/>
      <c r="H149" s="231" t="n"/>
      <c r="I149" s="232" t="n"/>
      <c r="J149" s="232" t="n"/>
      <c r="K149" s="233" t="n"/>
      <c r="L149" s="233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56" t="n"/>
      <c r="N149" s="156" t="n"/>
      <c r="O149" s="156" t="n"/>
    </row>
    <row r="150" ht="18.75" customHeight="1" s="153">
      <c r="A150" s="237" t="n"/>
      <c r="B150" s="238" t="n"/>
      <c r="C150" s="239" t="n"/>
      <c r="D150" s="239" t="n"/>
      <c r="E150" s="239" t="n"/>
      <c r="F150" s="240" t="n"/>
      <c r="G150" s="240" t="n"/>
      <c r="H150" s="241" t="n"/>
      <c r="I150" s="242" t="n"/>
      <c r="J150" s="242" t="n"/>
      <c r="K150" s="233" t="n"/>
      <c r="L150" s="233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56" t="n"/>
      <c r="N150" s="156" t="n"/>
      <c r="O150" s="156" t="n"/>
    </row>
    <row r="151" ht="18.75" customHeight="1" s="153">
      <c r="A151" s="227" t="n"/>
      <c r="B151" s="228" t="n"/>
      <c r="C151" s="229" t="n"/>
      <c r="D151" s="229" t="n"/>
      <c r="E151" s="229" t="n"/>
      <c r="F151" s="230" t="n"/>
      <c r="G151" s="230" t="n"/>
      <c r="H151" s="231" t="n"/>
      <c r="I151" s="232" t="n"/>
      <c r="J151" s="232" t="n"/>
      <c r="K151" s="233" t="n"/>
      <c r="L151" s="233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56" t="n"/>
      <c r="N151" s="156" t="n"/>
      <c r="O151" s="156" t="n"/>
    </row>
    <row r="152" ht="18.75" customHeight="1" s="153">
      <c r="A152" s="237" t="n"/>
      <c r="B152" s="238" t="n"/>
      <c r="C152" s="239" t="n"/>
      <c r="D152" s="239" t="n"/>
      <c r="E152" s="239" t="n"/>
      <c r="F152" s="240" t="n"/>
      <c r="G152" s="240" t="n"/>
      <c r="H152" s="241" t="n"/>
      <c r="I152" s="242" t="n"/>
      <c r="J152" s="242" t="n"/>
      <c r="K152" s="233" t="n"/>
      <c r="L152" s="233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56" t="n"/>
      <c r="N152" s="156" t="n"/>
      <c r="O152" s="156" t="n"/>
    </row>
    <row r="153" ht="18.75" customHeight="1" s="153">
      <c r="A153" s="227" t="n"/>
      <c r="B153" s="228" t="n"/>
      <c r="C153" s="229" t="n"/>
      <c r="D153" s="229" t="n"/>
      <c r="E153" s="229" t="n"/>
      <c r="F153" s="230" t="n"/>
      <c r="G153" s="230" t="n"/>
      <c r="H153" s="231" t="n"/>
      <c r="I153" s="232" t="n"/>
      <c r="J153" s="232" t="n"/>
      <c r="K153" s="233" t="n"/>
      <c r="L153" s="233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56" t="n"/>
      <c r="N153" s="156" t="n"/>
      <c r="O153" s="156" t="n"/>
    </row>
    <row r="154" ht="18.75" customHeight="1" s="153">
      <c r="A154" s="237" t="n"/>
      <c r="B154" s="238" t="n"/>
      <c r="C154" s="239" t="n"/>
      <c r="D154" s="239" t="n"/>
      <c r="E154" s="239" t="n"/>
      <c r="F154" s="240" t="n"/>
      <c r="G154" s="240" t="n"/>
      <c r="H154" s="241" t="n"/>
      <c r="I154" s="242" t="n"/>
      <c r="J154" s="242" t="n"/>
      <c r="K154" s="233" t="n"/>
      <c r="L154" s="233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56" t="n"/>
      <c r="N154" s="156" t="n"/>
      <c r="O154" s="156" t="n"/>
    </row>
    <row r="155" ht="18.75" customHeight="1" s="153">
      <c r="A155" s="227" t="n"/>
      <c r="B155" s="228" t="n"/>
      <c r="C155" s="229" t="n"/>
      <c r="D155" s="229" t="n"/>
      <c r="E155" s="229" t="n"/>
      <c r="F155" s="230" t="n"/>
      <c r="G155" s="230" t="n"/>
      <c r="H155" s="231" t="n"/>
      <c r="I155" s="232" t="n"/>
      <c r="J155" s="232" t="n"/>
      <c r="K155" s="233" t="n"/>
      <c r="L155" s="233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56" t="n"/>
      <c r="N155" s="156" t="n"/>
      <c r="O155" s="156" t="n"/>
    </row>
    <row r="156" ht="18.75" customHeight="1" s="153">
      <c r="A156" s="237" t="n"/>
      <c r="B156" s="238" t="n"/>
      <c r="C156" s="239" t="n"/>
      <c r="D156" s="239" t="n"/>
      <c r="E156" s="239" t="n"/>
      <c r="F156" s="240" t="n"/>
      <c r="G156" s="240" t="n"/>
      <c r="H156" s="241" t="n"/>
      <c r="I156" s="242" t="n"/>
      <c r="J156" s="242" t="n"/>
      <c r="K156" s="233" t="n"/>
      <c r="L156" s="233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56" t="n"/>
      <c r="N156" s="156" t="n"/>
      <c r="O156" s="156" t="n"/>
    </row>
    <row r="157" ht="18.75" customHeight="1" s="153">
      <c r="A157" s="227" t="n"/>
      <c r="B157" s="228" t="n"/>
      <c r="C157" s="229" t="n"/>
      <c r="D157" s="229" t="n"/>
      <c r="E157" s="229" t="n"/>
      <c r="F157" s="230" t="n"/>
      <c r="G157" s="230" t="n"/>
      <c r="H157" s="231" t="n"/>
      <c r="I157" s="232" t="n"/>
      <c r="J157" s="232" t="n"/>
      <c r="K157" s="233" t="n"/>
      <c r="L157" s="233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56" t="n"/>
      <c r="N157" s="156" t="n"/>
      <c r="O157" s="156" t="n"/>
    </row>
    <row r="158" ht="18.75" customHeight="1" s="153">
      <c r="A158" s="237" t="n"/>
      <c r="B158" s="238" t="n"/>
      <c r="C158" s="239" t="n"/>
      <c r="D158" s="239" t="n"/>
      <c r="E158" s="239" t="n"/>
      <c r="F158" s="240" t="n"/>
      <c r="G158" s="240" t="n"/>
      <c r="H158" s="241" t="n"/>
      <c r="I158" s="242" t="n"/>
      <c r="J158" s="242" t="n"/>
      <c r="K158" s="233" t="n"/>
      <c r="L158" s="233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56" t="n"/>
      <c r="N158" s="156" t="n"/>
      <c r="O158" s="156" t="n"/>
    </row>
    <row r="159" ht="18.75" customHeight="1" s="153">
      <c r="A159" s="227" t="n"/>
      <c r="B159" s="228" t="n"/>
      <c r="C159" s="229" t="n"/>
      <c r="D159" s="229" t="n"/>
      <c r="E159" s="229" t="n"/>
      <c r="F159" s="230" t="n"/>
      <c r="G159" s="230" t="n"/>
      <c r="H159" s="231" t="n"/>
      <c r="I159" s="232" t="n"/>
      <c r="J159" s="232" t="n"/>
      <c r="K159" s="233" t="n"/>
      <c r="L159" s="233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56" t="n"/>
      <c r="N159" s="156" t="n"/>
      <c r="O159" s="156" t="n"/>
    </row>
    <row r="160" ht="18.75" customHeight="1" s="153">
      <c r="A160" s="237" t="n"/>
      <c r="B160" s="238" t="n"/>
      <c r="C160" s="239" t="n"/>
      <c r="D160" s="239" t="n"/>
      <c r="E160" s="239" t="n"/>
      <c r="F160" s="240" t="n"/>
      <c r="G160" s="240" t="n"/>
      <c r="H160" s="241" t="n"/>
      <c r="I160" s="242" t="n"/>
      <c r="J160" s="242" t="n"/>
      <c r="K160" s="233" t="n"/>
      <c r="L160" s="233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56" t="n"/>
      <c r="N160" s="156" t="n"/>
      <c r="O160" s="156" t="n"/>
    </row>
    <row r="161" ht="18.75" customHeight="1" s="153">
      <c r="A161" s="227" t="n"/>
      <c r="B161" s="228" t="n"/>
      <c r="C161" s="229" t="n"/>
      <c r="D161" s="229" t="n"/>
      <c r="E161" s="229" t="n"/>
      <c r="F161" s="230" t="n"/>
      <c r="G161" s="230" t="n"/>
      <c r="H161" s="231" t="n"/>
      <c r="I161" s="232" t="n"/>
      <c r="J161" s="232" t="n"/>
      <c r="K161" s="233" t="n"/>
      <c r="L161" s="233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56" t="n"/>
      <c r="N161" s="156" t="n"/>
      <c r="O161" s="156" t="n"/>
    </row>
    <row r="162" ht="18.75" customHeight="1" s="153">
      <c r="A162" s="237" t="n"/>
      <c r="B162" s="238" t="n"/>
      <c r="C162" s="239" t="n"/>
      <c r="D162" s="239" t="n"/>
      <c r="E162" s="239" t="n"/>
      <c r="F162" s="240" t="n"/>
      <c r="G162" s="240" t="n"/>
      <c r="H162" s="241" t="n"/>
      <c r="I162" s="242" t="n"/>
      <c r="J162" s="242" t="n"/>
      <c r="K162" s="233" t="n"/>
      <c r="L162" s="233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56" t="n"/>
      <c r="N162" s="156" t="n"/>
      <c r="O162" s="156" t="n"/>
    </row>
    <row r="163" ht="18.75" customHeight="1" s="153">
      <c r="A163" s="227" t="n"/>
      <c r="B163" s="228" t="n"/>
      <c r="C163" s="229" t="n"/>
      <c r="D163" s="229" t="n"/>
      <c r="E163" s="229" t="n"/>
      <c r="F163" s="230" t="n"/>
      <c r="G163" s="230" t="n"/>
      <c r="H163" s="231" t="n"/>
      <c r="I163" s="232" t="n"/>
      <c r="J163" s="232" t="n"/>
      <c r="K163" s="233" t="n"/>
      <c r="L163" s="233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56" t="n"/>
      <c r="N163" s="156" t="n"/>
      <c r="O163" s="156" t="n"/>
    </row>
    <row r="164" ht="18.75" customHeight="1" s="153">
      <c r="A164" s="237" t="n"/>
      <c r="B164" s="238" t="n"/>
      <c r="C164" s="239" t="n"/>
      <c r="D164" s="239" t="n"/>
      <c r="E164" s="239" t="n"/>
      <c r="F164" s="240" t="n"/>
      <c r="G164" s="240" t="n"/>
      <c r="H164" s="241" t="n"/>
      <c r="I164" s="242" t="n"/>
      <c r="J164" s="242" t="n"/>
      <c r="K164" s="233" t="n"/>
      <c r="L164" s="233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56" t="n"/>
      <c r="N164" s="156" t="n"/>
      <c r="O164" s="156" t="n"/>
    </row>
    <row r="165" ht="18.75" customHeight="1" s="153">
      <c r="A165" s="227" t="n"/>
      <c r="B165" s="228" t="n"/>
      <c r="C165" s="229" t="n"/>
      <c r="D165" s="229" t="n"/>
      <c r="E165" s="229" t="n"/>
      <c r="F165" s="230" t="n"/>
      <c r="G165" s="230" t="n"/>
      <c r="H165" s="231" t="n"/>
      <c r="I165" s="232" t="n"/>
      <c r="J165" s="232" t="n"/>
      <c r="K165" s="233" t="n"/>
      <c r="L165" s="233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56" t="n"/>
      <c r="N165" s="156" t="n"/>
      <c r="O165" s="156" t="n"/>
    </row>
    <row r="166" ht="18.75" customHeight="1" s="153">
      <c r="A166" s="237" t="n"/>
      <c r="B166" s="238" t="n"/>
      <c r="C166" s="239" t="n"/>
      <c r="D166" s="239" t="n"/>
      <c r="E166" s="239" t="n"/>
      <c r="F166" s="240" t="n"/>
      <c r="G166" s="240" t="n"/>
      <c r="H166" s="241" t="n"/>
      <c r="I166" s="242" t="n"/>
      <c r="J166" s="242" t="n"/>
      <c r="K166" s="233" t="n"/>
      <c r="L166" s="233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56" t="n"/>
      <c r="N166" s="156" t="n"/>
      <c r="O166" s="156" t="n"/>
    </row>
    <row r="167" ht="18.75" customHeight="1" s="153">
      <c r="A167" s="227" t="n"/>
      <c r="B167" s="228" t="n"/>
      <c r="C167" s="229" t="n"/>
      <c r="D167" s="229" t="n"/>
      <c r="E167" s="229" t="n"/>
      <c r="F167" s="230" t="n"/>
      <c r="G167" s="230" t="n"/>
      <c r="H167" s="231" t="n"/>
      <c r="I167" s="232" t="n"/>
      <c r="J167" s="232" t="n"/>
      <c r="K167" s="233" t="n"/>
      <c r="L167" s="233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56" t="n"/>
      <c r="N167" s="156" t="n"/>
      <c r="O167" s="156" t="n"/>
    </row>
    <row r="168" ht="18.75" customHeight="1" s="153">
      <c r="A168" s="237" t="n"/>
      <c r="B168" s="238" t="n"/>
      <c r="C168" s="239" t="n"/>
      <c r="D168" s="239" t="n"/>
      <c r="E168" s="239" t="n"/>
      <c r="F168" s="240" t="n"/>
      <c r="G168" s="240" t="n"/>
      <c r="H168" s="241" t="n"/>
      <c r="I168" s="242" t="n"/>
      <c r="J168" s="242" t="n"/>
      <c r="K168" s="233" t="n"/>
      <c r="L168" s="233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56" t="n"/>
      <c r="N168" s="156" t="n"/>
      <c r="O168" s="156" t="n"/>
    </row>
    <row r="169" ht="18.75" customHeight="1" s="153">
      <c r="A169" s="227" t="n"/>
      <c r="B169" s="228" t="n"/>
      <c r="C169" s="229" t="n"/>
      <c r="D169" s="229" t="n"/>
      <c r="E169" s="229" t="n"/>
      <c r="F169" s="230" t="n"/>
      <c r="G169" s="230" t="n"/>
      <c r="H169" s="231" t="n"/>
      <c r="I169" s="232" t="n"/>
      <c r="J169" s="232" t="n"/>
      <c r="K169" s="233" t="n"/>
      <c r="L169" s="233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56" t="n"/>
      <c r="N169" s="156" t="n"/>
      <c r="O169" s="156" t="n"/>
    </row>
    <row r="170" ht="18.75" customHeight="1" s="153">
      <c r="A170" s="237" t="n"/>
      <c r="B170" s="238" t="n"/>
      <c r="C170" s="239" t="n"/>
      <c r="D170" s="239" t="n"/>
      <c r="E170" s="239" t="n"/>
      <c r="F170" s="240" t="n"/>
      <c r="G170" s="240" t="n"/>
      <c r="H170" s="241" t="n"/>
      <c r="I170" s="242" t="n"/>
      <c r="J170" s="242" t="n"/>
      <c r="K170" s="233" t="n"/>
      <c r="L170" s="233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56" t="n"/>
      <c r="N170" s="156" t="n"/>
      <c r="O170" s="156" t="n"/>
    </row>
    <row r="171" ht="18.75" customHeight="1" s="153">
      <c r="A171" s="227" t="n"/>
      <c r="B171" s="228" t="n"/>
      <c r="C171" s="229" t="n"/>
      <c r="D171" s="229" t="n"/>
      <c r="E171" s="229" t="n"/>
      <c r="F171" s="230" t="n"/>
      <c r="G171" s="230" t="n"/>
      <c r="H171" s="231" t="n"/>
      <c r="I171" s="232" t="n"/>
      <c r="J171" s="232" t="n"/>
      <c r="K171" s="233" t="n"/>
      <c r="L171" s="233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56" t="n"/>
      <c r="N171" s="156" t="n"/>
      <c r="O171" s="156" t="n"/>
    </row>
    <row r="172" ht="18.75" customHeight="1" s="153">
      <c r="A172" s="237" t="n"/>
      <c r="B172" s="238" t="n"/>
      <c r="C172" s="239" t="n"/>
      <c r="D172" s="239" t="n"/>
      <c r="E172" s="239" t="n"/>
      <c r="F172" s="240" t="n"/>
      <c r="G172" s="240" t="n"/>
      <c r="H172" s="241" t="n"/>
      <c r="I172" s="242" t="n"/>
      <c r="J172" s="242" t="n"/>
      <c r="K172" s="233" t="n"/>
      <c r="L172" s="233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56" t="n"/>
      <c r="N172" s="156" t="n"/>
      <c r="O172" s="156" t="n"/>
    </row>
    <row r="173" ht="18.75" customHeight="1" s="153">
      <c r="A173" s="227" t="n"/>
      <c r="B173" s="228" t="n"/>
      <c r="C173" s="229" t="n"/>
      <c r="D173" s="229" t="n"/>
      <c r="E173" s="229" t="n"/>
      <c r="F173" s="230" t="n"/>
      <c r="G173" s="230" t="n"/>
      <c r="H173" s="231" t="n"/>
      <c r="I173" s="232" t="n"/>
      <c r="J173" s="232" t="n"/>
      <c r="K173" s="233" t="n"/>
      <c r="L173" s="233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56" t="n"/>
      <c r="N173" s="156" t="n"/>
      <c r="O173" s="156" t="n"/>
    </row>
    <row r="174" ht="18.75" customHeight="1" s="153">
      <c r="A174" s="237" t="n"/>
      <c r="B174" s="238" t="n"/>
      <c r="C174" s="239" t="n"/>
      <c r="D174" s="239" t="n"/>
      <c r="E174" s="239" t="n"/>
      <c r="F174" s="240" t="n"/>
      <c r="G174" s="240" t="n"/>
      <c r="H174" s="241" t="n"/>
      <c r="I174" s="242" t="n"/>
      <c r="J174" s="242" t="n"/>
      <c r="K174" s="233" t="n"/>
      <c r="L174" s="233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56" t="n"/>
      <c r="N174" s="156" t="n"/>
      <c r="O174" s="156" t="n"/>
    </row>
    <row r="175" ht="18.75" customHeight="1" s="153">
      <c r="A175" s="227" t="n"/>
      <c r="B175" s="228" t="n"/>
      <c r="C175" s="229" t="n"/>
      <c r="D175" s="229" t="n"/>
      <c r="E175" s="229" t="n"/>
      <c r="F175" s="230" t="n"/>
      <c r="G175" s="230" t="n"/>
      <c r="H175" s="231" t="n"/>
      <c r="I175" s="232" t="n"/>
      <c r="J175" s="232" t="n"/>
      <c r="K175" s="233" t="n"/>
      <c r="L175" s="233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56" t="n"/>
      <c r="N175" s="156" t="n"/>
      <c r="O175" s="156" t="n"/>
    </row>
    <row r="176" ht="18.75" customHeight="1" s="153">
      <c r="A176" s="237" t="n"/>
      <c r="B176" s="238" t="n"/>
      <c r="C176" s="239" t="n"/>
      <c r="D176" s="239" t="n"/>
      <c r="E176" s="239" t="n"/>
      <c r="F176" s="240" t="n"/>
      <c r="G176" s="240" t="n"/>
      <c r="H176" s="241" t="n"/>
      <c r="I176" s="242" t="n"/>
      <c r="J176" s="242" t="n"/>
      <c r="K176" s="233" t="n"/>
      <c r="L176" s="233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56" t="n"/>
      <c r="N176" s="156" t="n"/>
      <c r="O176" s="156" t="n"/>
    </row>
    <row r="177" ht="18.75" customHeight="1" s="153">
      <c r="A177" s="227" t="n"/>
      <c r="B177" s="228" t="n"/>
      <c r="C177" s="229" t="n"/>
      <c r="D177" s="229" t="n"/>
      <c r="E177" s="229" t="n"/>
      <c r="F177" s="230" t="n"/>
      <c r="G177" s="230" t="n"/>
      <c r="H177" s="231" t="n"/>
      <c r="I177" s="232" t="n"/>
      <c r="J177" s="232" t="n"/>
      <c r="K177" s="233" t="n"/>
      <c r="L177" s="233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56" t="n"/>
      <c r="N177" s="156" t="n"/>
      <c r="O177" s="156" t="n"/>
    </row>
    <row r="178" ht="18.75" customHeight="1" s="153">
      <c r="A178" s="237" t="n"/>
      <c r="B178" s="238" t="n"/>
      <c r="C178" s="239" t="n"/>
      <c r="D178" s="239" t="n"/>
      <c r="E178" s="239" t="n"/>
      <c r="F178" s="240" t="n"/>
      <c r="G178" s="240" t="n"/>
      <c r="H178" s="241" t="n"/>
      <c r="I178" s="242" t="n"/>
      <c r="J178" s="242" t="n"/>
      <c r="K178" s="233" t="n"/>
      <c r="L178" s="233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56" t="n"/>
      <c r="N178" s="156" t="n"/>
      <c r="O178" s="156" t="n"/>
    </row>
    <row r="179" ht="18.75" customHeight="1" s="153">
      <c r="A179" s="227" t="n"/>
      <c r="B179" s="228" t="n"/>
      <c r="C179" s="229" t="n"/>
      <c r="D179" s="229" t="n"/>
      <c r="E179" s="229" t="n"/>
      <c r="F179" s="230" t="n"/>
      <c r="G179" s="230" t="n"/>
      <c r="H179" s="231" t="n"/>
      <c r="I179" s="232" t="n"/>
      <c r="J179" s="232" t="n"/>
      <c r="K179" s="233" t="n"/>
      <c r="L179" s="233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56" t="n"/>
      <c r="N179" s="156" t="n"/>
      <c r="O179" s="156" t="n"/>
    </row>
    <row r="180" ht="18.75" customHeight="1" s="153">
      <c r="A180" s="237" t="n"/>
      <c r="B180" s="238" t="n"/>
      <c r="C180" s="239" t="n"/>
      <c r="D180" s="239" t="n"/>
      <c r="E180" s="239" t="n"/>
      <c r="F180" s="240" t="n"/>
      <c r="G180" s="240" t="n"/>
      <c r="H180" s="241" t="n"/>
      <c r="I180" s="242" t="n"/>
      <c r="J180" s="242" t="n"/>
      <c r="K180" s="233" t="n"/>
      <c r="L180" s="233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56" t="n"/>
      <c r="N180" s="156" t="n"/>
      <c r="O180" s="156" t="n"/>
    </row>
    <row r="181" ht="18.75" customHeight="1" s="153">
      <c r="A181" s="227" t="n"/>
      <c r="B181" s="228" t="n"/>
      <c r="C181" s="229" t="n"/>
      <c r="D181" s="229" t="n"/>
      <c r="E181" s="229" t="n"/>
      <c r="F181" s="230" t="n"/>
      <c r="G181" s="230" t="n"/>
      <c r="H181" s="231" t="n"/>
      <c r="I181" s="232" t="n"/>
      <c r="J181" s="232" t="n"/>
      <c r="K181" s="233" t="n"/>
      <c r="L181" s="233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56" t="n"/>
      <c r="N181" s="156" t="n"/>
      <c r="O181" s="156" t="n"/>
    </row>
    <row r="182" ht="18.75" customHeight="1" s="153">
      <c r="A182" s="237" t="n"/>
      <c r="B182" s="238" t="n"/>
      <c r="C182" s="239" t="n"/>
      <c r="D182" s="239" t="n"/>
      <c r="E182" s="239" t="n"/>
      <c r="F182" s="240" t="n"/>
      <c r="G182" s="240" t="n"/>
      <c r="H182" s="241" t="n"/>
      <c r="I182" s="242" t="n"/>
      <c r="J182" s="242" t="n"/>
      <c r="K182" s="233" t="n"/>
      <c r="L182" s="233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56" t="n"/>
      <c r="N182" s="156" t="n"/>
      <c r="O182" s="156" t="n"/>
    </row>
    <row r="183" ht="18.75" customHeight="1" s="153">
      <c r="A183" s="227" t="n"/>
      <c r="B183" s="228" t="n"/>
      <c r="C183" s="229" t="n"/>
      <c r="D183" s="229" t="n"/>
      <c r="E183" s="229" t="n"/>
      <c r="F183" s="230" t="n"/>
      <c r="G183" s="230" t="n"/>
      <c r="H183" s="231" t="n"/>
      <c r="I183" s="232" t="n"/>
      <c r="J183" s="232" t="n"/>
      <c r="K183" s="233" t="n"/>
      <c r="L183" s="233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56" t="n"/>
      <c r="N183" s="156" t="n"/>
      <c r="O183" s="156" t="n"/>
    </row>
    <row r="184" ht="18.75" customHeight="1" s="153">
      <c r="A184" s="237" t="n"/>
      <c r="B184" s="238" t="n"/>
      <c r="C184" s="239" t="n"/>
      <c r="D184" s="239" t="n"/>
      <c r="E184" s="239" t="n"/>
      <c r="F184" s="240" t="n"/>
      <c r="G184" s="240" t="n"/>
      <c r="H184" s="241" t="n"/>
      <c r="I184" s="242" t="n"/>
      <c r="J184" s="242" t="n"/>
      <c r="K184" s="233" t="n"/>
      <c r="L184" s="233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56" t="n"/>
      <c r="N184" s="156" t="n"/>
      <c r="O184" s="156" t="n"/>
    </row>
    <row r="185" ht="18.75" customHeight="1" s="153">
      <c r="A185" s="227" t="n"/>
      <c r="B185" s="228" t="n"/>
      <c r="C185" s="229" t="n"/>
      <c r="D185" s="229" t="n"/>
      <c r="E185" s="229" t="n"/>
      <c r="F185" s="230" t="n"/>
      <c r="G185" s="230" t="n"/>
      <c r="H185" s="231" t="n"/>
      <c r="I185" s="232" t="n"/>
      <c r="J185" s="232" t="n"/>
      <c r="K185" s="233" t="n"/>
      <c r="L185" s="233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56" t="n"/>
      <c r="N185" s="156" t="n"/>
      <c r="O185" s="156" t="n"/>
    </row>
    <row r="186" ht="18.75" customHeight="1" s="153">
      <c r="A186" s="237" t="n"/>
      <c r="B186" s="238" t="n"/>
      <c r="C186" s="239" t="n"/>
      <c r="D186" s="239" t="n"/>
      <c r="E186" s="239" t="n"/>
      <c r="F186" s="240" t="n"/>
      <c r="G186" s="240" t="n"/>
      <c r="H186" s="241" t="n"/>
      <c r="I186" s="242" t="n"/>
      <c r="J186" s="242" t="n"/>
      <c r="K186" s="233" t="n"/>
      <c r="L186" s="233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56" t="n"/>
      <c r="N186" s="156" t="n"/>
      <c r="O186" s="156" t="n"/>
    </row>
    <row r="187" ht="18.75" customHeight="1" s="153">
      <c r="A187" s="227" t="n"/>
      <c r="B187" s="228" t="n"/>
      <c r="C187" s="229" t="n"/>
      <c r="D187" s="229" t="n"/>
      <c r="E187" s="229" t="n"/>
      <c r="F187" s="230" t="n"/>
      <c r="G187" s="230" t="n"/>
      <c r="H187" s="231" t="n"/>
      <c r="I187" s="232" t="n"/>
      <c r="J187" s="232" t="n"/>
      <c r="K187" s="233" t="n"/>
      <c r="L187" s="233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56" t="n"/>
      <c r="N187" s="156" t="n"/>
      <c r="O187" s="156" t="n"/>
    </row>
    <row r="188" ht="18.75" customHeight="1" s="153">
      <c r="A188" s="237" t="n"/>
      <c r="B188" s="238" t="n"/>
      <c r="C188" s="239" t="n"/>
      <c r="D188" s="239" t="n"/>
      <c r="E188" s="239" t="n"/>
      <c r="F188" s="240" t="n"/>
      <c r="G188" s="240" t="n"/>
      <c r="H188" s="241" t="n"/>
      <c r="I188" s="242" t="n"/>
      <c r="J188" s="242" t="n"/>
      <c r="K188" s="233" t="n"/>
      <c r="L188" s="233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56" t="n"/>
      <c r="N188" s="156" t="n"/>
      <c r="O188" s="156" t="n"/>
    </row>
    <row r="189" ht="18.75" customHeight="1" s="153">
      <c r="A189" s="227" t="n"/>
      <c r="B189" s="228" t="n"/>
      <c r="C189" s="229" t="n"/>
      <c r="D189" s="229" t="n"/>
      <c r="E189" s="229" t="n"/>
      <c r="F189" s="230" t="n"/>
      <c r="G189" s="230" t="n"/>
      <c r="H189" s="231" t="n"/>
      <c r="I189" s="232" t="n"/>
      <c r="J189" s="232" t="n"/>
      <c r="K189" s="233" t="n"/>
      <c r="L189" s="233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56" t="n"/>
      <c r="N189" s="156" t="n"/>
      <c r="O189" s="156" t="n"/>
    </row>
    <row r="190" ht="18.75" customHeight="1" s="153">
      <c r="A190" s="237" t="n"/>
      <c r="B190" s="238" t="n"/>
      <c r="C190" s="239" t="n"/>
      <c r="D190" s="239" t="n"/>
      <c r="E190" s="239" t="n"/>
      <c r="F190" s="240" t="n"/>
      <c r="G190" s="240" t="n"/>
      <c r="H190" s="241" t="n"/>
      <c r="I190" s="242" t="n"/>
      <c r="J190" s="242" t="n"/>
      <c r="K190" s="233" t="n"/>
      <c r="L190" s="233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56" t="n"/>
      <c r="N190" s="156" t="n"/>
      <c r="O190" s="156" t="n"/>
    </row>
    <row r="191" ht="18.75" customHeight="1" s="153">
      <c r="A191" s="227" t="n"/>
      <c r="B191" s="228" t="n"/>
      <c r="C191" s="229" t="n"/>
      <c r="D191" s="229" t="n"/>
      <c r="E191" s="229" t="n"/>
      <c r="F191" s="230" t="n"/>
      <c r="G191" s="230" t="n"/>
      <c r="H191" s="231" t="n"/>
      <c r="I191" s="232" t="n"/>
      <c r="J191" s="232" t="n"/>
      <c r="K191" s="233" t="n"/>
      <c r="L191" s="233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56" t="n"/>
      <c r="N191" s="156" t="n"/>
      <c r="O191" s="156" t="n"/>
    </row>
    <row r="192" ht="18.75" customHeight="1" s="153">
      <c r="A192" s="237" t="n"/>
      <c r="B192" s="238" t="n"/>
      <c r="C192" s="239" t="n"/>
      <c r="D192" s="239" t="n"/>
      <c r="E192" s="239" t="n"/>
      <c r="F192" s="240" t="n"/>
      <c r="G192" s="240" t="n"/>
      <c r="H192" s="241" t="n"/>
      <c r="I192" s="242" t="n"/>
      <c r="J192" s="242" t="n"/>
      <c r="K192" s="233" t="n"/>
      <c r="L192" s="233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56" t="n"/>
      <c r="N192" s="156" t="n"/>
      <c r="O192" s="156" t="n"/>
    </row>
    <row r="193" ht="18.75" customHeight="1" s="153">
      <c r="A193" s="227" t="n"/>
      <c r="B193" s="228" t="n"/>
      <c r="C193" s="229" t="n"/>
      <c r="D193" s="229" t="n"/>
      <c r="E193" s="229" t="n"/>
      <c r="F193" s="230" t="n"/>
      <c r="G193" s="230" t="n"/>
      <c r="H193" s="231" t="n"/>
      <c r="I193" s="232" t="n"/>
      <c r="J193" s="232" t="n"/>
      <c r="K193" s="233" t="n"/>
      <c r="L193" s="233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56" t="n"/>
      <c r="N193" s="156" t="n"/>
      <c r="O193" s="156" t="n"/>
    </row>
    <row r="194" ht="18.75" customHeight="1" s="153">
      <c r="A194" s="237" t="n"/>
      <c r="B194" s="238" t="n"/>
      <c r="C194" s="239" t="n"/>
      <c r="D194" s="239" t="n"/>
      <c r="E194" s="239" t="n"/>
      <c r="F194" s="240" t="n"/>
      <c r="G194" s="240" t="n"/>
      <c r="H194" s="241" t="n"/>
      <c r="I194" s="242" t="n"/>
      <c r="J194" s="242" t="n"/>
      <c r="K194" s="233" t="n"/>
      <c r="L194" s="233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56" t="n"/>
      <c r="N194" s="156" t="n"/>
      <c r="O194" s="156" t="n"/>
    </row>
    <row r="195" ht="18.75" customHeight="1" s="153">
      <c r="A195" s="227" t="n"/>
      <c r="B195" s="228" t="n"/>
      <c r="C195" s="229" t="n"/>
      <c r="D195" s="229" t="n"/>
      <c r="E195" s="229" t="n"/>
      <c r="F195" s="230" t="n"/>
      <c r="G195" s="230" t="n"/>
      <c r="H195" s="231" t="n"/>
      <c r="I195" s="232" t="n"/>
      <c r="J195" s="232" t="n"/>
      <c r="K195" s="233" t="n"/>
      <c r="L195" s="233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56" t="n"/>
      <c r="N195" s="156" t="n"/>
      <c r="O195" s="156" t="n"/>
    </row>
    <row r="196" ht="18.75" customHeight="1" s="153">
      <c r="A196" s="237" t="n"/>
      <c r="B196" s="238" t="n"/>
      <c r="C196" s="239" t="n"/>
      <c r="D196" s="239" t="n"/>
      <c r="E196" s="239" t="n"/>
      <c r="F196" s="240" t="n"/>
      <c r="G196" s="240" t="n"/>
      <c r="H196" s="241" t="n"/>
      <c r="I196" s="242" t="n"/>
      <c r="J196" s="242" t="n"/>
      <c r="K196" s="233" t="n"/>
      <c r="L196" s="233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56" t="n"/>
      <c r="N196" s="156" t="n"/>
      <c r="O196" s="156" t="n"/>
    </row>
    <row r="197" ht="18.75" customHeight="1" s="153">
      <c r="A197" s="227" t="n"/>
      <c r="B197" s="228" t="n"/>
      <c r="C197" s="229" t="n"/>
      <c r="D197" s="229" t="n"/>
      <c r="E197" s="229" t="n"/>
      <c r="F197" s="230" t="n"/>
      <c r="G197" s="230" t="n"/>
      <c r="H197" s="231" t="n"/>
      <c r="I197" s="232" t="n"/>
      <c r="J197" s="232" t="n"/>
      <c r="K197" s="233" t="n"/>
      <c r="L197" s="233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56" t="n"/>
      <c r="N197" s="156" t="n"/>
      <c r="O197" s="156" t="n"/>
    </row>
    <row r="198" ht="18.75" customHeight="1" s="153">
      <c r="A198" s="237" t="n"/>
      <c r="B198" s="238" t="n"/>
      <c r="C198" s="239" t="n"/>
      <c r="D198" s="239" t="n"/>
      <c r="E198" s="239" t="n"/>
      <c r="F198" s="240" t="n"/>
      <c r="G198" s="240" t="n"/>
      <c r="H198" s="241" t="n"/>
      <c r="I198" s="242" t="n"/>
      <c r="J198" s="242" t="n"/>
      <c r="K198" s="233" t="n"/>
      <c r="L198" s="233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56" t="n"/>
      <c r="N198" s="156" t="n"/>
      <c r="O198" s="156" t="n"/>
    </row>
    <row r="199" ht="18.75" customHeight="1" s="153">
      <c r="A199" s="227" t="n"/>
      <c r="B199" s="228" t="n"/>
      <c r="C199" s="229" t="n"/>
      <c r="D199" s="229" t="n"/>
      <c r="E199" s="229" t="n"/>
      <c r="F199" s="230" t="n"/>
      <c r="G199" s="230" t="n"/>
      <c r="H199" s="231" t="n"/>
      <c r="I199" s="232" t="n"/>
      <c r="J199" s="232" t="n"/>
      <c r="K199" s="233" t="n"/>
      <c r="L199" s="233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56" t="n"/>
      <c r="N199" s="156" t="n"/>
      <c r="O199" s="156" t="n"/>
    </row>
    <row r="200" ht="18.75" customHeight="1" s="153">
      <c r="A200" s="237" t="n"/>
      <c r="B200" s="238" t="n"/>
      <c r="C200" s="239" t="n"/>
      <c r="D200" s="239" t="n"/>
      <c r="E200" s="239" t="n"/>
      <c r="F200" s="240" t="n"/>
      <c r="G200" s="240" t="n"/>
      <c r="H200" s="241" t="n"/>
      <c r="I200" s="242" t="n"/>
      <c r="J200" s="242" t="n"/>
      <c r="K200" s="233" t="n"/>
      <c r="L200" s="233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56" t="n"/>
      <c r="N200" s="156" t="n"/>
      <c r="O200" s="156" t="n"/>
    </row>
    <row r="201" ht="18.75" customHeight="1" s="153">
      <c r="A201" s="227" t="n"/>
      <c r="B201" s="228" t="n"/>
      <c r="C201" s="229" t="n"/>
      <c r="D201" s="229" t="n"/>
      <c r="E201" s="229" t="n"/>
      <c r="F201" s="230" t="n"/>
      <c r="G201" s="230" t="n"/>
      <c r="H201" s="231" t="n"/>
      <c r="I201" s="232" t="n"/>
      <c r="J201" s="232" t="n"/>
      <c r="K201" s="233" t="n"/>
      <c r="L201" s="233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56" t="n"/>
      <c r="N201" s="156" t="n"/>
      <c r="O201" s="156" t="n"/>
    </row>
    <row r="202" ht="18.75" customHeight="1" s="153">
      <c r="A202" s="237" t="n"/>
      <c r="B202" s="238" t="n"/>
      <c r="C202" s="239" t="n"/>
      <c r="D202" s="239" t="n"/>
      <c r="E202" s="239" t="n"/>
      <c r="F202" s="240" t="n"/>
      <c r="G202" s="240" t="n"/>
      <c r="H202" s="241" t="n"/>
      <c r="I202" s="242" t="n"/>
      <c r="J202" s="242" t="n"/>
      <c r="K202" s="233" t="n"/>
      <c r="L202" s="233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56" t="n"/>
      <c r="N202" s="156" t="n"/>
      <c r="O202" s="156" t="n"/>
    </row>
    <row r="203" ht="18.75" customHeight="1" s="153">
      <c r="A203" s="227" t="n"/>
      <c r="B203" s="228" t="n"/>
      <c r="C203" s="229" t="n"/>
      <c r="D203" s="229" t="n"/>
      <c r="E203" s="229" t="n"/>
      <c r="F203" s="230" t="n"/>
      <c r="G203" s="230" t="n"/>
      <c r="H203" s="231" t="n"/>
      <c r="I203" s="232" t="n"/>
      <c r="J203" s="232" t="n"/>
      <c r="K203" s="233" t="n"/>
      <c r="L203" s="233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56" t="n"/>
      <c r="N203" s="156" t="n"/>
      <c r="O203" s="156" t="n"/>
    </row>
    <row r="204" ht="18.75" customHeight="1" s="153">
      <c r="A204" s="237" t="n"/>
      <c r="B204" s="238" t="n"/>
      <c r="C204" s="239" t="n"/>
      <c r="D204" s="239" t="n"/>
      <c r="E204" s="239" t="n"/>
      <c r="F204" s="240" t="n"/>
      <c r="G204" s="240" t="n"/>
      <c r="H204" s="241" t="n"/>
      <c r="I204" s="242" t="n"/>
      <c r="J204" s="242" t="n"/>
      <c r="K204" s="233" t="n"/>
      <c r="L204" s="233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56" t="n"/>
      <c r="N204" s="156" t="n"/>
      <c r="O204" s="156" t="n"/>
    </row>
    <row r="205" ht="18.75" customHeight="1" s="153">
      <c r="A205" s="227" t="n"/>
      <c r="B205" s="228" t="n"/>
      <c r="C205" s="229" t="n"/>
      <c r="D205" s="229" t="n"/>
      <c r="E205" s="229" t="n"/>
      <c r="F205" s="230" t="n"/>
      <c r="G205" s="230" t="n"/>
      <c r="H205" s="231" t="n"/>
      <c r="I205" s="232" t="n"/>
      <c r="J205" s="232" t="n"/>
      <c r="K205" s="233" t="n"/>
      <c r="L205" s="233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56" t="n"/>
      <c r="N205" s="156" t="n"/>
      <c r="O205" s="156" t="n"/>
    </row>
    <row r="206" ht="18.75" customHeight="1" s="153">
      <c r="A206" s="237" t="n"/>
      <c r="B206" s="238" t="n"/>
      <c r="C206" s="239" t="n"/>
      <c r="D206" s="239" t="n"/>
      <c r="E206" s="239" t="n"/>
      <c r="F206" s="240" t="n"/>
      <c r="G206" s="240" t="n"/>
      <c r="H206" s="241" t="n"/>
      <c r="I206" s="242" t="n"/>
      <c r="J206" s="242" t="n"/>
      <c r="K206" s="233" t="n"/>
      <c r="L206" s="233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56" t="n"/>
      <c r="N206" s="156" t="n"/>
      <c r="O206" s="156" t="n"/>
    </row>
    <row r="207" ht="18.75" customHeight="1" s="153">
      <c r="A207" s="227" t="n"/>
      <c r="B207" s="228" t="n"/>
      <c r="C207" s="229" t="n"/>
      <c r="D207" s="229" t="n"/>
      <c r="E207" s="229" t="n"/>
      <c r="F207" s="230" t="n"/>
      <c r="G207" s="230" t="n"/>
      <c r="H207" s="231" t="n"/>
      <c r="I207" s="232" t="n"/>
      <c r="J207" s="232" t="n"/>
      <c r="K207" s="233" t="n"/>
      <c r="L207" s="233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56" t="n"/>
      <c r="N207" s="156" t="n"/>
      <c r="O207" s="156" t="n"/>
    </row>
    <row r="208" ht="18.75" customHeight="1" s="153">
      <c r="A208" s="237" t="n"/>
      <c r="B208" s="238" t="n"/>
      <c r="C208" s="239" t="n"/>
      <c r="D208" s="239" t="n"/>
      <c r="E208" s="239" t="n"/>
      <c r="F208" s="240" t="n"/>
      <c r="G208" s="240" t="n"/>
      <c r="H208" s="241" t="n"/>
      <c r="I208" s="242" t="n"/>
      <c r="J208" s="242" t="n"/>
      <c r="K208" s="233" t="n"/>
      <c r="L208" s="233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56" t="n"/>
      <c r="N208" s="156" t="n"/>
      <c r="O208" s="156" t="n"/>
    </row>
    <row r="209" ht="18.75" customHeight="1" s="153">
      <c r="A209" s="227" t="n"/>
      <c r="B209" s="228" t="n"/>
      <c r="C209" s="229" t="n"/>
      <c r="D209" s="229" t="n"/>
      <c r="E209" s="229" t="n"/>
      <c r="F209" s="230" t="n"/>
      <c r="G209" s="230" t="n"/>
      <c r="H209" s="231" t="n"/>
      <c r="I209" s="232" t="n"/>
      <c r="J209" s="232" t="n"/>
      <c r="K209" s="233" t="n"/>
      <c r="L209" s="233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56" t="n"/>
      <c r="N209" s="156" t="n"/>
      <c r="O209" s="156" t="n"/>
    </row>
    <row r="210" ht="18.75" customHeight="1" s="153">
      <c r="A210" s="237" t="n"/>
      <c r="B210" s="238" t="n"/>
      <c r="C210" s="239" t="n"/>
      <c r="D210" s="239" t="n"/>
      <c r="E210" s="239" t="n"/>
      <c r="F210" s="240" t="n"/>
      <c r="G210" s="240" t="n"/>
      <c r="H210" s="241" t="n"/>
      <c r="I210" s="242" t="n"/>
      <c r="J210" s="242" t="n"/>
      <c r="K210" s="233" t="n"/>
      <c r="L210" s="233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56" t="n"/>
      <c r="N210" s="156" t="n"/>
      <c r="O210" s="156" t="n"/>
    </row>
    <row r="211" ht="18.75" customHeight="1" s="153">
      <c r="A211" s="227" t="n"/>
      <c r="B211" s="228" t="n"/>
      <c r="C211" s="229" t="n"/>
      <c r="D211" s="229" t="n"/>
      <c r="E211" s="229" t="n"/>
      <c r="F211" s="230" t="n"/>
      <c r="G211" s="230" t="n"/>
      <c r="H211" s="231" t="n"/>
      <c r="I211" s="232" t="n"/>
      <c r="J211" s="232" t="n"/>
      <c r="K211" s="233" t="n"/>
      <c r="L211" s="233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56" t="n"/>
      <c r="N211" s="156" t="n"/>
      <c r="O211" s="156" t="n"/>
    </row>
    <row r="212" ht="18.75" customHeight="1" s="153">
      <c r="A212" s="237" t="n"/>
      <c r="B212" s="238" t="n"/>
      <c r="C212" s="239" t="n"/>
      <c r="D212" s="239" t="n"/>
      <c r="E212" s="239" t="n"/>
      <c r="F212" s="240" t="n"/>
      <c r="G212" s="240" t="n"/>
      <c r="H212" s="241" t="n"/>
      <c r="I212" s="242" t="n"/>
      <c r="J212" s="242" t="n"/>
      <c r="K212" s="233" t="n"/>
      <c r="L212" s="233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56" t="n"/>
      <c r="N212" s="156" t="n"/>
      <c r="O212" s="156" t="n"/>
    </row>
    <row r="213" ht="18.75" customHeight="1" s="153">
      <c r="A213" s="227" t="n"/>
      <c r="B213" s="228" t="n"/>
      <c r="C213" s="229" t="n"/>
      <c r="D213" s="229" t="n"/>
      <c r="E213" s="229" t="n"/>
      <c r="F213" s="230" t="n"/>
      <c r="G213" s="230" t="n"/>
      <c r="H213" s="231" t="n"/>
      <c r="I213" s="232" t="n"/>
      <c r="J213" s="232" t="n"/>
      <c r="K213" s="233" t="n"/>
      <c r="L213" s="233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56" t="n"/>
      <c r="N213" s="156" t="n"/>
      <c r="O213" s="156" t="n"/>
    </row>
    <row r="214" ht="18.75" customHeight="1" s="153">
      <c r="A214" s="237" t="n"/>
      <c r="B214" s="238" t="n"/>
      <c r="C214" s="239" t="n"/>
      <c r="D214" s="239" t="n"/>
      <c r="E214" s="239" t="n"/>
      <c r="F214" s="240" t="n"/>
      <c r="G214" s="240" t="n"/>
      <c r="H214" s="241" t="n"/>
      <c r="I214" s="242" t="n"/>
      <c r="J214" s="242" t="n"/>
      <c r="K214" s="233" t="n"/>
      <c r="L214" s="233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56" t="n"/>
      <c r="N214" s="156" t="n"/>
      <c r="O214" s="156" t="n"/>
    </row>
    <row r="215" ht="18.75" customHeight="1" s="153">
      <c r="A215" s="227" t="n"/>
      <c r="B215" s="228" t="n"/>
      <c r="C215" s="229" t="n"/>
      <c r="D215" s="229" t="n"/>
      <c r="E215" s="229" t="n"/>
      <c r="F215" s="230" t="n"/>
      <c r="G215" s="230" t="n"/>
      <c r="H215" s="231" t="n"/>
      <c r="I215" s="232" t="n"/>
      <c r="J215" s="232" t="n"/>
      <c r="K215" s="233" t="n"/>
      <c r="L215" s="233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56" t="n"/>
      <c r="N215" s="156" t="n"/>
      <c r="O215" s="156" t="n"/>
    </row>
    <row r="216" ht="18.75" customHeight="1" s="153">
      <c r="A216" s="237" t="n"/>
      <c r="B216" s="238" t="n"/>
      <c r="C216" s="239" t="n"/>
      <c r="D216" s="239" t="n"/>
      <c r="E216" s="239" t="n"/>
      <c r="F216" s="240" t="n"/>
      <c r="G216" s="240" t="n"/>
      <c r="H216" s="241" t="n"/>
      <c r="I216" s="242" t="n"/>
      <c r="J216" s="242" t="n"/>
      <c r="K216" s="233" t="n"/>
      <c r="L216" s="233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56" t="n"/>
      <c r="N216" s="156" t="n"/>
      <c r="O216" s="156" t="n"/>
    </row>
    <row r="217" ht="18.75" customHeight="1" s="153">
      <c r="A217" s="227" t="n"/>
      <c r="B217" s="228" t="n"/>
      <c r="C217" s="229" t="n"/>
      <c r="D217" s="229" t="n"/>
      <c r="E217" s="229" t="n"/>
      <c r="F217" s="230" t="n"/>
      <c r="G217" s="230" t="n"/>
      <c r="H217" s="231" t="n"/>
      <c r="I217" s="232" t="n"/>
      <c r="J217" s="232" t="n"/>
      <c r="K217" s="233" t="n"/>
      <c r="L217" s="233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56" t="n"/>
      <c r="N217" s="156" t="n"/>
      <c r="O217" s="156" t="n"/>
    </row>
    <row r="218" ht="18.75" customHeight="1" s="153">
      <c r="A218" s="237" t="n"/>
      <c r="B218" s="238" t="n"/>
      <c r="C218" s="239" t="n"/>
      <c r="D218" s="239" t="n"/>
      <c r="E218" s="239" t="n"/>
      <c r="F218" s="240" t="n"/>
      <c r="G218" s="240" t="n"/>
      <c r="H218" s="241" t="n"/>
      <c r="I218" s="242" t="n"/>
      <c r="J218" s="242" t="n"/>
      <c r="K218" s="233" t="n"/>
      <c r="L218" s="233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56" t="n"/>
      <c r="N218" s="156" t="n"/>
      <c r="O218" s="156" t="n"/>
    </row>
    <row r="219" ht="18.75" customHeight="1" s="153">
      <c r="A219" s="227" t="n"/>
      <c r="B219" s="228" t="n"/>
      <c r="C219" s="229" t="n"/>
      <c r="D219" s="229" t="n"/>
      <c r="E219" s="229" t="n"/>
      <c r="F219" s="230" t="n"/>
      <c r="G219" s="230" t="n"/>
      <c r="H219" s="231" t="n"/>
      <c r="I219" s="232" t="n"/>
      <c r="J219" s="232" t="n"/>
      <c r="K219" s="233" t="n"/>
      <c r="L219" s="233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56" t="n"/>
      <c r="N219" s="156" t="n"/>
      <c r="O219" s="156" t="n"/>
    </row>
    <row r="220" ht="18.75" customHeight="1" s="153">
      <c r="A220" s="237" t="n"/>
      <c r="B220" s="238" t="n"/>
      <c r="C220" s="239" t="n"/>
      <c r="D220" s="239" t="n"/>
      <c r="E220" s="239" t="n"/>
      <c r="F220" s="240" t="n"/>
      <c r="G220" s="240" t="n"/>
      <c r="H220" s="241" t="n"/>
      <c r="I220" s="242" t="n"/>
      <c r="J220" s="242" t="n"/>
      <c r="K220" s="233" t="n"/>
      <c r="L220" s="233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56" t="n"/>
      <c r="N220" s="156" t="n"/>
      <c r="O220" s="156" t="n"/>
    </row>
    <row r="221" ht="18.75" customHeight="1" s="153">
      <c r="A221" s="227" t="n"/>
      <c r="B221" s="228" t="n"/>
      <c r="C221" s="229" t="n"/>
      <c r="D221" s="229" t="n"/>
      <c r="E221" s="229" t="n"/>
      <c r="F221" s="230" t="n"/>
      <c r="G221" s="230" t="n"/>
      <c r="H221" s="231" t="n"/>
      <c r="I221" s="232" t="n"/>
      <c r="J221" s="232" t="n"/>
      <c r="K221" s="233" t="n"/>
      <c r="L221" s="233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56" t="n"/>
      <c r="N221" s="156" t="n"/>
      <c r="O221" s="156" t="n"/>
    </row>
    <row r="222" ht="18.75" customHeight="1" s="153">
      <c r="A222" s="237" t="n"/>
      <c r="B222" s="238" t="n"/>
      <c r="C222" s="239" t="n"/>
      <c r="D222" s="239" t="n"/>
      <c r="E222" s="239" t="n"/>
      <c r="F222" s="240" t="n"/>
      <c r="G222" s="240" t="n"/>
      <c r="H222" s="241" t="n"/>
      <c r="I222" s="242" t="n"/>
      <c r="J222" s="242" t="n"/>
      <c r="K222" s="233" t="n"/>
      <c r="L222" s="233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56" t="n"/>
      <c r="N222" s="156" t="n"/>
      <c r="O222" s="156" t="n"/>
    </row>
    <row r="223" ht="18.75" customHeight="1" s="153">
      <c r="A223" s="227" t="n"/>
      <c r="B223" s="228" t="n"/>
      <c r="C223" s="229" t="n"/>
      <c r="D223" s="229" t="n"/>
      <c r="E223" s="229" t="n"/>
      <c r="F223" s="230" t="n"/>
      <c r="G223" s="230" t="n"/>
      <c r="H223" s="231" t="n"/>
      <c r="I223" s="232" t="n"/>
      <c r="J223" s="232" t="n"/>
      <c r="K223" s="233" t="n"/>
      <c r="L223" s="233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56" t="n"/>
      <c r="N223" s="156" t="n"/>
      <c r="O223" s="156" t="n"/>
    </row>
    <row r="224" ht="18.75" customHeight="1" s="153">
      <c r="A224" s="237" t="n"/>
      <c r="B224" s="238" t="n"/>
      <c r="C224" s="239" t="n"/>
      <c r="D224" s="239" t="n"/>
      <c r="E224" s="239" t="n"/>
      <c r="F224" s="240" t="n"/>
      <c r="G224" s="240" t="n"/>
      <c r="H224" s="241" t="n"/>
      <c r="I224" s="242" t="n"/>
      <c r="J224" s="242" t="n"/>
      <c r="K224" s="233" t="n"/>
      <c r="L224" s="233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56" t="n"/>
      <c r="N224" s="156" t="n"/>
      <c r="O224" s="156" t="n"/>
    </row>
    <row r="225" ht="18.75" customHeight="1" s="153">
      <c r="A225" s="227" t="n"/>
      <c r="B225" s="228" t="n"/>
      <c r="C225" s="229" t="n"/>
      <c r="D225" s="229" t="n"/>
      <c r="E225" s="229" t="n"/>
      <c r="F225" s="230" t="n"/>
      <c r="G225" s="230" t="n"/>
      <c r="H225" s="231" t="n"/>
      <c r="I225" s="232" t="n"/>
      <c r="J225" s="232" t="n"/>
      <c r="K225" s="233" t="n"/>
      <c r="L225" s="233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56" t="n"/>
      <c r="N225" s="156" t="n"/>
      <c r="O225" s="156" t="n"/>
    </row>
    <row r="226" ht="18.75" customHeight="1" s="153">
      <c r="A226" s="237" t="n"/>
      <c r="B226" s="238" t="n"/>
      <c r="C226" s="239" t="n"/>
      <c r="D226" s="239" t="n"/>
      <c r="E226" s="239" t="n"/>
      <c r="F226" s="240" t="n"/>
      <c r="G226" s="240" t="n"/>
      <c r="H226" s="241" t="n"/>
      <c r="I226" s="242" t="n"/>
      <c r="J226" s="242" t="n"/>
      <c r="K226" s="233" t="n"/>
      <c r="L226" s="233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56" t="n"/>
      <c r="N226" s="156" t="n"/>
      <c r="O226" s="156" t="n"/>
    </row>
    <row r="227" ht="18.75" customHeight="1" s="153">
      <c r="A227" s="227" t="n"/>
      <c r="B227" s="228" t="n"/>
      <c r="C227" s="229" t="n"/>
      <c r="D227" s="229" t="n"/>
      <c r="E227" s="229" t="n"/>
      <c r="F227" s="230" t="n"/>
      <c r="G227" s="230" t="n"/>
      <c r="H227" s="231" t="n"/>
      <c r="I227" s="232" t="n"/>
      <c r="J227" s="232" t="n"/>
      <c r="K227" s="233" t="n"/>
      <c r="L227" s="233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56" t="n"/>
      <c r="N227" s="156" t="n"/>
      <c r="O227" s="156" t="n"/>
    </row>
    <row r="228" ht="18.75" customHeight="1" s="153">
      <c r="A228" s="237" t="n"/>
      <c r="B228" s="238" t="n"/>
      <c r="C228" s="239" t="n"/>
      <c r="D228" s="239" t="n"/>
      <c r="E228" s="239" t="n"/>
      <c r="F228" s="240" t="n"/>
      <c r="G228" s="240" t="n"/>
      <c r="H228" s="241" t="n"/>
      <c r="I228" s="242" t="n"/>
      <c r="J228" s="242" t="n"/>
      <c r="K228" s="233" t="n"/>
      <c r="L228" s="233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56" t="n"/>
      <c r="N228" s="156" t="n"/>
      <c r="O228" s="156" t="n"/>
    </row>
    <row r="229" ht="18.75" customHeight="1" s="153">
      <c r="A229" s="227" t="n"/>
      <c r="B229" s="228" t="n"/>
      <c r="C229" s="229" t="n"/>
      <c r="D229" s="229" t="n"/>
      <c r="E229" s="229" t="n"/>
      <c r="F229" s="230" t="n"/>
      <c r="G229" s="230" t="n"/>
      <c r="H229" s="231" t="n"/>
      <c r="I229" s="232" t="n"/>
      <c r="J229" s="232" t="n"/>
      <c r="K229" s="233" t="n"/>
      <c r="L229" s="233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56" t="n"/>
      <c r="N229" s="156" t="n"/>
      <c r="O229" s="156" t="n"/>
    </row>
    <row r="230" ht="18.75" customHeight="1" s="153">
      <c r="A230" s="237" t="n"/>
      <c r="B230" s="238" t="n"/>
      <c r="C230" s="239" t="n"/>
      <c r="D230" s="239" t="n"/>
      <c r="E230" s="239" t="n"/>
      <c r="F230" s="240" t="n"/>
      <c r="G230" s="240" t="n"/>
      <c r="H230" s="241" t="n"/>
      <c r="I230" s="242" t="n"/>
      <c r="J230" s="242" t="n"/>
      <c r="K230" s="233" t="n"/>
      <c r="L230" s="233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56" t="n"/>
      <c r="N230" s="156" t="n"/>
      <c r="O230" s="156" t="n"/>
    </row>
    <row r="231" ht="18.75" customHeight="1" s="153">
      <c r="A231" s="227" t="n"/>
      <c r="B231" s="228" t="n"/>
      <c r="C231" s="229" t="n"/>
      <c r="D231" s="229" t="n"/>
      <c r="E231" s="229" t="n"/>
      <c r="F231" s="230" t="n"/>
      <c r="G231" s="230" t="n"/>
      <c r="H231" s="231" t="n"/>
      <c r="I231" s="232" t="n"/>
      <c r="J231" s="232" t="n"/>
      <c r="K231" s="233" t="n"/>
      <c r="L231" s="233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56" t="n"/>
      <c r="N231" s="156" t="n"/>
      <c r="O231" s="156" t="n"/>
    </row>
    <row r="232" ht="18.75" customHeight="1" s="153">
      <c r="A232" s="237" t="n"/>
      <c r="B232" s="238" t="n"/>
      <c r="C232" s="239" t="n"/>
      <c r="D232" s="239" t="n"/>
      <c r="E232" s="239" t="n"/>
      <c r="F232" s="240" t="n"/>
      <c r="G232" s="240" t="n"/>
      <c r="H232" s="241" t="n"/>
      <c r="I232" s="242" t="n"/>
      <c r="J232" s="242" t="n"/>
      <c r="K232" s="233" t="n"/>
      <c r="L232" s="233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56" t="n"/>
      <c r="N232" s="156" t="n"/>
      <c r="O232" s="156" t="n"/>
    </row>
    <row r="233" ht="18.75" customHeight="1" s="153">
      <c r="A233" s="227" t="n"/>
      <c r="B233" s="228" t="n"/>
      <c r="C233" s="229" t="n"/>
      <c r="D233" s="229" t="n"/>
      <c r="E233" s="229" t="n"/>
      <c r="F233" s="230" t="n"/>
      <c r="G233" s="230" t="n"/>
      <c r="H233" s="231" t="n"/>
      <c r="I233" s="232" t="n"/>
      <c r="J233" s="232" t="n"/>
      <c r="K233" s="233" t="n"/>
      <c r="L233" s="233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56" t="n"/>
      <c r="N233" s="156" t="n"/>
      <c r="O233" s="156" t="n"/>
    </row>
    <row r="234" ht="18.75" customHeight="1" s="153">
      <c r="A234" s="237" t="n"/>
      <c r="B234" s="238" t="n"/>
      <c r="C234" s="239" t="n"/>
      <c r="D234" s="239" t="n"/>
      <c r="E234" s="239" t="n"/>
      <c r="F234" s="240" t="n"/>
      <c r="G234" s="240" t="n"/>
      <c r="H234" s="241" t="n"/>
      <c r="I234" s="242" t="n"/>
      <c r="J234" s="242" t="n"/>
      <c r="K234" s="233" t="n"/>
      <c r="L234" s="233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56" t="n"/>
      <c r="N234" s="156" t="n"/>
      <c r="O234" s="156" t="n"/>
    </row>
    <row r="235" ht="18.75" customHeight="1" s="153">
      <c r="A235" s="227" t="n"/>
      <c r="B235" s="228" t="n"/>
      <c r="C235" s="229" t="n"/>
      <c r="D235" s="229" t="n"/>
      <c r="E235" s="229" t="n"/>
      <c r="F235" s="230" t="n"/>
      <c r="G235" s="230" t="n"/>
      <c r="H235" s="231" t="n"/>
      <c r="I235" s="232" t="n"/>
      <c r="J235" s="232" t="n"/>
      <c r="K235" s="233" t="n"/>
      <c r="L235" s="233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56" t="n"/>
      <c r="N235" s="156" t="n"/>
      <c r="O235" s="156" t="n"/>
    </row>
    <row r="236" ht="18.75" customHeight="1" s="153">
      <c r="A236" s="237" t="n"/>
      <c r="B236" s="238" t="n"/>
      <c r="C236" s="239" t="n"/>
      <c r="D236" s="239" t="n"/>
      <c r="E236" s="239" t="n"/>
      <c r="F236" s="240" t="n"/>
      <c r="G236" s="240" t="n"/>
      <c r="H236" s="241" t="n"/>
      <c r="I236" s="242" t="n"/>
      <c r="J236" s="242" t="n"/>
      <c r="K236" s="233" t="n"/>
      <c r="L236" s="233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56" t="n"/>
      <c r="N236" s="156" t="n"/>
      <c r="O236" s="156" t="n"/>
    </row>
    <row r="237" ht="18.75" customHeight="1" s="153">
      <c r="A237" s="227" t="n"/>
      <c r="B237" s="228" t="n"/>
      <c r="C237" s="229" t="n"/>
      <c r="D237" s="229" t="n"/>
      <c r="E237" s="229" t="n"/>
      <c r="F237" s="230" t="n"/>
      <c r="G237" s="230" t="n"/>
      <c r="H237" s="231" t="n"/>
      <c r="I237" s="232" t="n"/>
      <c r="J237" s="232" t="n"/>
      <c r="K237" s="233" t="n"/>
      <c r="L237" s="233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56" t="n"/>
      <c r="N237" s="156" t="n"/>
      <c r="O237" s="156" t="n"/>
    </row>
    <row r="238" ht="18.75" customHeight="1" s="153">
      <c r="A238" s="237" t="n"/>
      <c r="B238" s="238" t="n"/>
      <c r="C238" s="239" t="n"/>
      <c r="D238" s="239" t="n"/>
      <c r="E238" s="239" t="n"/>
      <c r="F238" s="240" t="n"/>
      <c r="G238" s="240" t="n"/>
      <c r="H238" s="241" t="n"/>
      <c r="I238" s="242" t="n"/>
      <c r="J238" s="242" t="n"/>
      <c r="K238" s="233" t="n"/>
      <c r="L238" s="233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56" t="n"/>
      <c r="N238" s="156" t="n"/>
      <c r="O238" s="156" t="n"/>
    </row>
    <row r="239" ht="18.75" customHeight="1" s="153">
      <c r="A239" s="227" t="n"/>
      <c r="B239" s="228" t="n"/>
      <c r="C239" s="229" t="n"/>
      <c r="D239" s="229" t="n"/>
      <c r="E239" s="229" t="n"/>
      <c r="F239" s="230" t="n"/>
      <c r="G239" s="230" t="n"/>
      <c r="H239" s="231" t="n"/>
      <c r="I239" s="232" t="n"/>
      <c r="J239" s="232" t="n"/>
      <c r="K239" s="233" t="n"/>
      <c r="L239" s="233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56" t="n"/>
      <c r="N239" s="156" t="n"/>
      <c r="O239" s="156" t="n"/>
    </row>
    <row r="240" ht="18.75" customHeight="1" s="153">
      <c r="A240" s="237" t="n"/>
      <c r="B240" s="238" t="n"/>
      <c r="C240" s="239" t="n"/>
      <c r="D240" s="239" t="n"/>
      <c r="E240" s="239" t="n"/>
      <c r="F240" s="240" t="n"/>
      <c r="G240" s="240" t="n"/>
      <c r="H240" s="241" t="n"/>
      <c r="I240" s="242" t="n"/>
      <c r="J240" s="242" t="n"/>
      <c r="K240" s="233" t="n"/>
      <c r="L240" s="233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56" t="n"/>
      <c r="N240" s="156" t="n"/>
      <c r="O240" s="156" t="n"/>
    </row>
    <row r="241" ht="18.75" customHeight="1" s="153">
      <c r="A241" s="227" t="n"/>
      <c r="B241" s="228" t="n"/>
      <c r="C241" s="229" t="n"/>
      <c r="D241" s="229" t="n"/>
      <c r="E241" s="229" t="n"/>
      <c r="F241" s="230" t="n"/>
      <c r="G241" s="230" t="n"/>
      <c r="H241" s="231" t="n"/>
      <c r="I241" s="232" t="n"/>
      <c r="J241" s="232" t="n"/>
      <c r="K241" s="233" t="n"/>
      <c r="L241" s="233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56" t="n"/>
      <c r="N241" s="156" t="n"/>
      <c r="O241" s="156" t="n"/>
    </row>
    <row r="242" ht="18.75" customHeight="1" s="153">
      <c r="A242" s="237" t="n"/>
      <c r="B242" s="238" t="n"/>
      <c r="C242" s="239" t="n"/>
      <c r="D242" s="239" t="n"/>
      <c r="E242" s="239" t="n"/>
      <c r="F242" s="240" t="n"/>
      <c r="G242" s="240" t="n"/>
      <c r="H242" s="241" t="n"/>
      <c r="I242" s="242" t="n"/>
      <c r="J242" s="242" t="n"/>
      <c r="K242" s="233" t="n"/>
      <c r="L242" s="233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56" t="n"/>
      <c r="N242" s="156" t="n"/>
      <c r="O242" s="156" t="n"/>
    </row>
    <row r="243" ht="18.75" customHeight="1" s="153">
      <c r="A243" s="227" t="n"/>
      <c r="B243" s="228" t="n"/>
      <c r="C243" s="229" t="n"/>
      <c r="D243" s="229" t="n"/>
      <c r="E243" s="229" t="n"/>
      <c r="F243" s="230" t="n"/>
      <c r="G243" s="230" t="n"/>
      <c r="H243" s="231" t="n"/>
      <c r="I243" s="232" t="n"/>
      <c r="J243" s="232" t="n"/>
      <c r="K243" s="233" t="n"/>
      <c r="L243" s="233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56" t="n"/>
      <c r="N243" s="156" t="n"/>
      <c r="O243" s="156" t="n"/>
    </row>
    <row r="244" ht="18.75" customHeight="1" s="153">
      <c r="A244" s="237" t="n"/>
      <c r="B244" s="238" t="n"/>
      <c r="C244" s="239" t="n"/>
      <c r="D244" s="239" t="n"/>
      <c r="E244" s="239" t="n"/>
      <c r="F244" s="240" t="n"/>
      <c r="G244" s="240" t="n"/>
      <c r="H244" s="241" t="n"/>
      <c r="I244" s="242" t="n"/>
      <c r="J244" s="242" t="n"/>
      <c r="K244" s="233" t="n"/>
      <c r="L244" s="233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56" t="n"/>
      <c r="N244" s="156" t="n"/>
      <c r="O244" s="156" t="n"/>
    </row>
    <row r="245" ht="18.75" customHeight="1" s="153">
      <c r="A245" s="227" t="n"/>
      <c r="B245" s="228" t="n"/>
      <c r="C245" s="229" t="n"/>
      <c r="D245" s="229" t="n"/>
      <c r="E245" s="229" t="n"/>
      <c r="F245" s="230" t="n"/>
      <c r="G245" s="230" t="n"/>
      <c r="H245" s="231" t="n"/>
      <c r="I245" s="232" t="n"/>
      <c r="J245" s="232" t="n"/>
      <c r="K245" s="233" t="n"/>
      <c r="L245" s="233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56" t="n"/>
      <c r="N245" s="156" t="n"/>
      <c r="O245" s="156" t="n"/>
    </row>
    <row r="246" ht="18.75" customHeight="1" s="153">
      <c r="A246" s="237" t="n"/>
      <c r="B246" s="238" t="n"/>
      <c r="C246" s="239" t="n"/>
      <c r="D246" s="239" t="n"/>
      <c r="E246" s="239" t="n"/>
      <c r="F246" s="240" t="n"/>
      <c r="G246" s="240" t="n"/>
      <c r="H246" s="241" t="n"/>
      <c r="I246" s="242" t="n"/>
      <c r="J246" s="242" t="n"/>
      <c r="K246" s="233" t="n"/>
      <c r="L246" s="233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56" t="n"/>
      <c r="N246" s="156" t="n"/>
      <c r="O246" s="156" t="n"/>
    </row>
    <row r="247" ht="18.75" customHeight="1" s="153">
      <c r="A247" s="227" t="n"/>
      <c r="B247" s="228" t="n"/>
      <c r="C247" s="229" t="n"/>
      <c r="D247" s="229" t="n"/>
      <c r="E247" s="229" t="n"/>
      <c r="F247" s="230" t="n"/>
      <c r="G247" s="230" t="n"/>
      <c r="H247" s="231" t="n"/>
      <c r="I247" s="232" t="n"/>
      <c r="J247" s="232" t="n"/>
      <c r="K247" s="233" t="n"/>
      <c r="L247" s="233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56" t="n"/>
      <c r="N247" s="156" t="n"/>
      <c r="O247" s="156" t="n"/>
    </row>
    <row r="248" ht="18.75" customHeight="1" s="153">
      <c r="A248" s="237" t="n"/>
      <c r="B248" s="238" t="n"/>
      <c r="C248" s="239" t="n"/>
      <c r="D248" s="239" t="n"/>
      <c r="E248" s="239" t="n"/>
      <c r="F248" s="240" t="n"/>
      <c r="G248" s="240" t="n"/>
      <c r="H248" s="241" t="n"/>
      <c r="I248" s="242" t="n"/>
      <c r="J248" s="242" t="n"/>
      <c r="K248" s="233" t="n"/>
      <c r="L248" s="233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56" t="n"/>
      <c r="N248" s="156" t="n"/>
      <c r="O248" s="156" t="n"/>
    </row>
    <row r="249" ht="18.75" customHeight="1" s="153">
      <c r="A249" s="227" t="n"/>
      <c r="B249" s="228" t="n"/>
      <c r="C249" s="229" t="n"/>
      <c r="D249" s="229" t="n"/>
      <c r="E249" s="229" t="n"/>
      <c r="F249" s="230" t="n"/>
      <c r="G249" s="230" t="n"/>
      <c r="H249" s="231" t="n"/>
      <c r="I249" s="232" t="n"/>
      <c r="J249" s="232" t="n"/>
      <c r="K249" s="233" t="n"/>
      <c r="L249" s="233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56" t="n"/>
      <c r="N249" s="156" t="n"/>
      <c r="O249" s="156" t="n"/>
    </row>
    <row r="250" ht="18.75" customHeight="1" s="153">
      <c r="A250" s="237" t="n"/>
      <c r="B250" s="238" t="n"/>
      <c r="C250" s="239" t="n"/>
      <c r="D250" s="239" t="n"/>
      <c r="E250" s="239" t="n"/>
      <c r="F250" s="240" t="n"/>
      <c r="G250" s="240" t="n"/>
      <c r="H250" s="241" t="n"/>
      <c r="I250" s="242" t="n"/>
      <c r="J250" s="242" t="n"/>
      <c r="K250" s="233" t="n"/>
      <c r="L250" s="233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56" t="n"/>
      <c r="N250" s="156" t="n"/>
      <c r="O250" s="156" t="n"/>
    </row>
    <row r="251" ht="18.75" customHeight="1" s="153">
      <c r="A251" s="227" t="n"/>
      <c r="B251" s="228" t="n"/>
      <c r="C251" s="229" t="n"/>
      <c r="D251" s="229" t="n"/>
      <c r="E251" s="229" t="n"/>
      <c r="F251" s="230" t="n"/>
      <c r="G251" s="230" t="n"/>
      <c r="H251" s="231" t="n"/>
      <c r="I251" s="232" t="n"/>
      <c r="J251" s="232" t="n"/>
      <c r="K251" s="233" t="n"/>
      <c r="L251" s="233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56" t="n"/>
      <c r="N251" s="156" t="n"/>
      <c r="O251" s="156" t="n"/>
    </row>
    <row r="252" ht="18.75" customHeight="1" s="153">
      <c r="A252" s="237" t="n"/>
      <c r="B252" s="238" t="n"/>
      <c r="C252" s="239" t="n"/>
      <c r="D252" s="239" t="n"/>
      <c r="E252" s="239" t="n"/>
      <c r="F252" s="240" t="n"/>
      <c r="G252" s="240" t="n"/>
      <c r="H252" s="241" t="n"/>
      <c r="I252" s="242" t="n"/>
      <c r="J252" s="242" t="n"/>
      <c r="K252" s="233" t="n"/>
      <c r="L252" s="233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56" t="n"/>
      <c r="N252" s="156" t="n"/>
      <c r="O252" s="156" t="n"/>
    </row>
    <row r="253" ht="18.75" customHeight="1" s="153">
      <c r="A253" s="227" t="n"/>
      <c r="B253" s="228" t="n"/>
      <c r="C253" s="229" t="n"/>
      <c r="D253" s="229" t="n"/>
      <c r="E253" s="229" t="n"/>
      <c r="F253" s="230" t="n"/>
      <c r="G253" s="230" t="n"/>
      <c r="H253" s="231" t="n"/>
      <c r="I253" s="232" t="n"/>
      <c r="J253" s="232" t="n"/>
      <c r="K253" s="233" t="n"/>
      <c r="L253" s="233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56" t="n"/>
      <c r="N253" s="156" t="n"/>
      <c r="O253" s="156" t="n"/>
    </row>
    <row r="254" ht="18.75" customHeight="1" s="153">
      <c r="A254" s="237" t="n"/>
      <c r="B254" s="238" t="n"/>
      <c r="C254" s="239" t="n"/>
      <c r="D254" s="239" t="n"/>
      <c r="E254" s="239" t="n"/>
      <c r="F254" s="240" t="n"/>
      <c r="G254" s="240" t="n"/>
      <c r="H254" s="241" t="n"/>
      <c r="I254" s="242" t="n"/>
      <c r="J254" s="242" t="n"/>
      <c r="K254" s="233" t="n"/>
      <c r="L254" s="233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56" t="n"/>
      <c r="N254" s="156" t="n"/>
      <c r="O254" s="156" t="n"/>
    </row>
    <row r="255" ht="18.75" customHeight="1" s="153">
      <c r="A255" s="227" t="n"/>
      <c r="B255" s="228" t="n"/>
      <c r="C255" s="229" t="n"/>
      <c r="D255" s="229" t="n"/>
      <c r="E255" s="229" t="n"/>
      <c r="F255" s="230" t="n"/>
      <c r="G255" s="230" t="n"/>
      <c r="H255" s="231" t="n"/>
      <c r="I255" s="232" t="n"/>
      <c r="J255" s="232" t="n"/>
      <c r="K255" s="233" t="n"/>
      <c r="L255" s="233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56" t="n"/>
      <c r="N255" s="156" t="n"/>
      <c r="O255" s="156" t="n"/>
    </row>
    <row r="256" ht="18.75" customHeight="1" s="153">
      <c r="A256" s="237" t="n"/>
      <c r="B256" s="238" t="n"/>
      <c r="C256" s="239" t="n"/>
      <c r="D256" s="239" t="n"/>
      <c r="E256" s="239" t="n"/>
      <c r="F256" s="240" t="n"/>
      <c r="G256" s="240" t="n"/>
      <c r="H256" s="241" t="n"/>
      <c r="I256" s="242" t="n"/>
      <c r="J256" s="242" t="n"/>
      <c r="K256" s="233" t="n"/>
      <c r="L256" s="233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56" t="n"/>
      <c r="N256" s="156" t="n"/>
      <c r="O256" s="156" t="n"/>
    </row>
    <row r="257" ht="18.75" customHeight="1" s="153">
      <c r="A257" s="227" t="n"/>
      <c r="B257" s="228" t="n"/>
      <c r="C257" s="229" t="n"/>
      <c r="D257" s="229" t="n"/>
      <c r="E257" s="229" t="n"/>
      <c r="F257" s="230" t="n"/>
      <c r="G257" s="230" t="n"/>
      <c r="H257" s="231" t="n"/>
      <c r="I257" s="232" t="n"/>
      <c r="J257" s="232" t="n"/>
      <c r="K257" s="233" t="n"/>
      <c r="L257" s="233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56" t="n"/>
      <c r="N257" s="156" t="n"/>
      <c r="O257" s="156" t="n"/>
    </row>
    <row r="258" ht="18.75" customHeight="1" s="153">
      <c r="A258" s="237" t="n"/>
      <c r="B258" s="238" t="n"/>
      <c r="C258" s="239" t="n"/>
      <c r="D258" s="239" t="n"/>
      <c r="E258" s="239" t="n"/>
      <c r="F258" s="240" t="n"/>
      <c r="G258" s="240" t="n"/>
      <c r="H258" s="241" t="n"/>
      <c r="I258" s="242" t="n"/>
      <c r="J258" s="242" t="n"/>
      <c r="K258" s="233" t="n"/>
      <c r="L258" s="233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56" t="n"/>
      <c r="N258" s="156" t="n"/>
      <c r="O258" s="156" t="n"/>
    </row>
    <row r="259" ht="18.75" customHeight="1" s="153">
      <c r="A259" s="227" t="n"/>
      <c r="B259" s="228" t="n"/>
      <c r="C259" s="229" t="n"/>
      <c r="D259" s="229" t="n"/>
      <c r="E259" s="229" t="n"/>
      <c r="F259" s="230" t="n"/>
      <c r="G259" s="230" t="n"/>
      <c r="H259" s="231" t="n"/>
      <c r="I259" s="232" t="n"/>
      <c r="J259" s="232" t="n"/>
      <c r="K259" s="233" t="n"/>
      <c r="L259" s="233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56" t="n"/>
      <c r="N259" s="156" t="n"/>
      <c r="O259" s="156" t="n"/>
    </row>
    <row r="260" ht="18.75" customHeight="1" s="153">
      <c r="A260" s="237" t="n"/>
      <c r="B260" s="238" t="n"/>
      <c r="C260" s="239" t="n"/>
      <c r="D260" s="239" t="n"/>
      <c r="E260" s="239" t="n"/>
      <c r="F260" s="240" t="n"/>
      <c r="G260" s="240" t="n"/>
      <c r="H260" s="241" t="n"/>
      <c r="I260" s="242" t="n"/>
      <c r="J260" s="242" t="n"/>
      <c r="K260" s="233" t="n"/>
      <c r="L260" s="233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56" t="n"/>
      <c r="N260" s="156" t="n"/>
      <c r="O260" s="156" t="n"/>
    </row>
    <row r="261" ht="18.75" customHeight="1" s="153">
      <c r="A261" s="227" t="n"/>
      <c r="B261" s="228" t="n"/>
      <c r="C261" s="229" t="n"/>
      <c r="D261" s="229" t="n"/>
      <c r="E261" s="229" t="n"/>
      <c r="F261" s="230" t="n"/>
      <c r="G261" s="230" t="n"/>
      <c r="H261" s="231" t="n"/>
      <c r="I261" s="232" t="n"/>
      <c r="J261" s="232" t="n"/>
      <c r="K261" s="233" t="n"/>
      <c r="L261" s="233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56" t="n"/>
      <c r="N261" s="156" t="n"/>
      <c r="O261" s="156" t="n"/>
    </row>
    <row r="262" ht="18.75" customHeight="1" s="153">
      <c r="A262" s="237" t="n"/>
      <c r="B262" s="238" t="n"/>
      <c r="C262" s="239" t="n"/>
      <c r="D262" s="239" t="n"/>
      <c r="E262" s="239" t="n"/>
      <c r="F262" s="240" t="n"/>
      <c r="G262" s="240" t="n"/>
      <c r="H262" s="241" t="n"/>
      <c r="I262" s="242" t="n"/>
      <c r="J262" s="242" t="n"/>
      <c r="K262" s="233" t="n"/>
      <c r="L262" s="233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56" t="n"/>
      <c r="N262" s="156" t="n"/>
      <c r="O262" s="156" t="n"/>
    </row>
    <row r="263" ht="18.75" customHeight="1" s="153">
      <c r="A263" s="227" t="n"/>
      <c r="B263" s="228" t="n"/>
      <c r="C263" s="229" t="n"/>
      <c r="D263" s="229" t="n"/>
      <c r="E263" s="229" t="n"/>
      <c r="F263" s="230" t="n"/>
      <c r="G263" s="230" t="n"/>
      <c r="H263" s="231" t="n"/>
      <c r="I263" s="232" t="n"/>
      <c r="J263" s="232" t="n"/>
      <c r="K263" s="233" t="n"/>
      <c r="L263" s="233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56" t="n"/>
      <c r="N263" s="156" t="n"/>
      <c r="O263" s="156" t="n"/>
    </row>
    <row r="264" ht="18.75" customHeight="1" s="153">
      <c r="A264" s="237" t="n"/>
      <c r="B264" s="238" t="n"/>
      <c r="C264" s="239" t="n"/>
      <c r="D264" s="239" t="n"/>
      <c r="E264" s="239" t="n"/>
      <c r="F264" s="240" t="n"/>
      <c r="G264" s="240" t="n"/>
      <c r="H264" s="241" t="n"/>
      <c r="I264" s="242" t="n"/>
      <c r="J264" s="242" t="n"/>
      <c r="K264" s="233" t="n"/>
      <c r="L264" s="233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56" t="n"/>
      <c r="N264" s="156" t="n"/>
      <c r="O264" s="156" t="n"/>
    </row>
    <row r="265" ht="18.75" customHeight="1" s="153">
      <c r="A265" s="227" t="n"/>
      <c r="B265" s="228" t="n"/>
      <c r="C265" s="229" t="n"/>
      <c r="D265" s="229" t="n"/>
      <c r="E265" s="229" t="n"/>
      <c r="F265" s="230" t="n"/>
      <c r="G265" s="230" t="n"/>
      <c r="H265" s="231" t="n"/>
      <c r="I265" s="232" t="n"/>
      <c r="J265" s="232" t="n"/>
      <c r="K265" s="233" t="n"/>
      <c r="L265" s="233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56" t="n"/>
      <c r="N265" s="156" t="n"/>
      <c r="O265" s="156" t="n"/>
    </row>
    <row r="266" ht="18.75" customHeight="1" s="153">
      <c r="A266" s="237" t="n"/>
      <c r="B266" s="238" t="n"/>
      <c r="C266" s="239" t="n"/>
      <c r="D266" s="239" t="n"/>
      <c r="E266" s="239" t="n"/>
      <c r="F266" s="240" t="n"/>
      <c r="G266" s="240" t="n"/>
      <c r="H266" s="241" t="n"/>
      <c r="I266" s="242" t="n"/>
      <c r="J266" s="242" t="n"/>
      <c r="K266" s="233" t="n"/>
      <c r="L266" s="233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56" t="n"/>
      <c r="N266" s="156" t="n"/>
      <c r="O266" s="156" t="n"/>
    </row>
    <row r="267" ht="18.75" customHeight="1" s="153">
      <c r="A267" s="227" t="n"/>
      <c r="B267" s="228" t="n"/>
      <c r="C267" s="229" t="n"/>
      <c r="D267" s="229" t="n"/>
      <c r="E267" s="229" t="n"/>
      <c r="F267" s="230" t="n"/>
      <c r="G267" s="230" t="n"/>
      <c r="H267" s="231" t="n"/>
      <c r="I267" s="232" t="n"/>
      <c r="J267" s="232" t="n"/>
      <c r="K267" s="233" t="n"/>
      <c r="L267" s="233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56" t="n"/>
      <c r="N267" s="156" t="n"/>
      <c r="O267" s="156" t="n"/>
    </row>
    <row r="268" ht="18.75" customHeight="1" s="153">
      <c r="A268" s="237" t="n"/>
      <c r="B268" s="238" t="n"/>
      <c r="C268" s="239" t="n"/>
      <c r="D268" s="239" t="n"/>
      <c r="E268" s="239" t="n"/>
      <c r="F268" s="240" t="n"/>
      <c r="G268" s="240" t="n"/>
      <c r="H268" s="241" t="n"/>
      <c r="I268" s="242" t="n"/>
      <c r="J268" s="242" t="n"/>
      <c r="K268" s="233" t="n"/>
      <c r="L268" s="233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56" t="n"/>
      <c r="N268" s="156" t="n"/>
      <c r="O268" s="156" t="n"/>
    </row>
    <row r="269" ht="18.75" customHeight="1" s="153">
      <c r="A269" s="227" t="n"/>
      <c r="B269" s="228" t="n"/>
      <c r="C269" s="229" t="n"/>
      <c r="D269" s="229" t="n"/>
      <c r="E269" s="229" t="n"/>
      <c r="F269" s="230" t="n"/>
      <c r="G269" s="230" t="n"/>
      <c r="H269" s="231" t="n"/>
      <c r="I269" s="232" t="n"/>
      <c r="J269" s="232" t="n"/>
      <c r="K269" s="233" t="n"/>
      <c r="L269" s="233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56" t="n"/>
      <c r="N269" s="156" t="n"/>
      <c r="O269" s="156" t="n"/>
    </row>
    <row r="270" ht="18.75" customHeight="1" s="153">
      <c r="A270" s="237" t="n"/>
      <c r="B270" s="238" t="n"/>
      <c r="C270" s="239" t="n"/>
      <c r="D270" s="239" t="n"/>
      <c r="E270" s="239" t="n"/>
      <c r="F270" s="240" t="n"/>
      <c r="G270" s="240" t="n"/>
      <c r="H270" s="241" t="n"/>
      <c r="I270" s="242" t="n"/>
      <c r="J270" s="242" t="n"/>
      <c r="K270" s="233" t="n"/>
      <c r="L270" s="233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56" t="n"/>
      <c r="N270" s="156" t="n"/>
      <c r="O270" s="156" t="n"/>
    </row>
    <row r="271" ht="18.75" customHeight="1" s="153">
      <c r="A271" s="227" t="n"/>
      <c r="B271" s="228" t="n"/>
      <c r="C271" s="229" t="n"/>
      <c r="D271" s="229" t="n"/>
      <c r="E271" s="229" t="n"/>
      <c r="F271" s="230" t="n"/>
      <c r="G271" s="230" t="n"/>
      <c r="H271" s="231" t="n"/>
      <c r="I271" s="232" t="n"/>
      <c r="J271" s="232" t="n"/>
      <c r="K271" s="233" t="n"/>
      <c r="L271" s="233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56" t="n"/>
      <c r="N271" s="156" t="n"/>
      <c r="O271" s="156" t="n"/>
    </row>
    <row r="272" ht="18.75" customHeight="1" s="153">
      <c r="A272" s="237" t="n"/>
      <c r="B272" s="238" t="n"/>
      <c r="C272" s="239" t="n"/>
      <c r="D272" s="239" t="n"/>
      <c r="E272" s="239" t="n"/>
      <c r="F272" s="240" t="n"/>
      <c r="G272" s="240" t="n"/>
      <c r="H272" s="241" t="n"/>
      <c r="I272" s="242" t="n"/>
      <c r="J272" s="242" t="n"/>
      <c r="K272" s="233" t="n"/>
      <c r="L272" s="233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56" t="n"/>
      <c r="N272" s="156" t="n"/>
      <c r="O272" s="156" t="n"/>
    </row>
    <row r="273" ht="18.75" customHeight="1" s="153">
      <c r="A273" s="227" t="n"/>
      <c r="B273" s="228" t="n"/>
      <c r="C273" s="229" t="n"/>
      <c r="D273" s="229" t="n"/>
      <c r="E273" s="229" t="n"/>
      <c r="F273" s="230" t="n"/>
      <c r="G273" s="230" t="n"/>
      <c r="H273" s="231" t="n"/>
      <c r="I273" s="232" t="n"/>
      <c r="J273" s="232" t="n"/>
      <c r="K273" s="233" t="n"/>
      <c r="L273" s="233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56" t="n"/>
      <c r="N273" s="156" t="n"/>
      <c r="O273" s="156" t="n"/>
    </row>
    <row r="274" ht="18.75" customHeight="1" s="153">
      <c r="A274" s="237" t="n"/>
      <c r="B274" s="238" t="n"/>
      <c r="C274" s="239" t="n"/>
      <c r="D274" s="239" t="n"/>
      <c r="E274" s="239" t="n"/>
      <c r="F274" s="240" t="n"/>
      <c r="G274" s="240" t="n"/>
      <c r="H274" s="241" t="n"/>
      <c r="I274" s="242" t="n"/>
      <c r="J274" s="242" t="n"/>
      <c r="K274" s="233" t="n"/>
      <c r="L274" s="233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56" t="n"/>
      <c r="N274" s="156" t="n"/>
      <c r="O274" s="156" t="n"/>
    </row>
    <row r="275" ht="18.75" customHeight="1" s="153">
      <c r="A275" s="227" t="n"/>
      <c r="B275" s="228" t="n"/>
      <c r="C275" s="229" t="n"/>
      <c r="D275" s="229" t="n"/>
      <c r="E275" s="229" t="n"/>
      <c r="F275" s="230" t="n"/>
      <c r="G275" s="230" t="n"/>
      <c r="H275" s="231" t="n"/>
      <c r="I275" s="232" t="n"/>
      <c r="J275" s="232" t="n"/>
      <c r="K275" s="233" t="n"/>
      <c r="L275" s="233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>
        <f>IFERROR(SUM(C5:C500),0)</f>
        <v/>
      </c>
      <c r="D501" s="255">
        <f>IFERROR(SUM(D5:D500),0)</f>
        <v/>
      </c>
      <c r="E501" s="255">
        <f>IFERROR(SUM(E5:E500),0)</f>
        <v/>
      </c>
      <c r="F501" s="255">
        <f>IFERROR(SUM(F5:F500),0)</f>
        <v/>
      </c>
      <c r="G501" s="255">
        <f>IFERROR(SUM(G5:G500),0)</f>
        <v/>
      </c>
      <c r="H501" s="256" t="n"/>
      <c r="I501" s="256" t="n"/>
      <c r="J501" s="256" t="n"/>
      <c r="K501" s="2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NOVIEMBRE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NOVIEMBRE</t>
        </is>
      </c>
    </row>
    <row r="5" ht="21.75" customHeight="1" s="153">
      <c r="A5" s="227" t="n"/>
      <c r="B5" s="228" t="n"/>
      <c r="C5" s="229" t="n"/>
      <c r="D5" s="229" t="n"/>
      <c r="E5" s="229" t="n"/>
      <c r="F5" s="230" t="n"/>
      <c r="G5" s="230" t="n"/>
      <c r="H5" s="231" t="n"/>
      <c r="I5" s="232" t="n"/>
      <c r="J5" s="232" t="n"/>
      <c r="K5" s="233" t="n"/>
      <c r="L5" s="233">
        <f>IF(K5&lt;&gt;"",(IF(H5="","",H5-(C5*COSTOS!$C$6+D5*COSTOS!$C$7+E5*COSTOS!$C$8+F5*COSTOS!$C$9+G5*COSTOS!$C$10)))+K5,IF(H5="","",H5-(C5*COSTOS!$C$6+D5*COSTOS!$C$7+E5*COSTOS!$C$8+F5*COSTOS!$C$9+G5*COSTOS!$C$10)))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n"/>
      <c r="C6" s="239" t="n"/>
      <c r="D6" s="239" t="n"/>
      <c r="E6" s="239" t="n"/>
      <c r="F6" s="240" t="n"/>
      <c r="G6" s="240" t="n"/>
      <c r="H6" s="241" t="n"/>
      <c r="I6" s="242" t="n"/>
      <c r="J6" s="242" t="n"/>
      <c r="K6" s="233" t="n"/>
      <c r="L6" s="233">
        <f>IF(K6&lt;&gt;"",(IF(H6="","",H6-(C6*COSTOS!$C$6+D6*COSTOS!$C$7+E6*COSTOS!$C$8+F6*COSTOS!$C$9+G6*COSTOS!$C$10)))+K6,IF(H6="","",H6-(C6*COSTOS!$C$6+D6*COSTOS!$C$7+E6*COSTOS!$C$8+F6*COSTOS!$C$9+G6*COSTOS!$C$10)))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n"/>
      <c r="C7" s="229" t="n"/>
      <c r="D7" s="229" t="n"/>
      <c r="E7" s="229" t="n"/>
      <c r="F7" s="230" t="n"/>
      <c r="G7" s="230" t="n"/>
      <c r="H7" s="231" t="n"/>
      <c r="I7" s="232" t="n"/>
      <c r="J7" s="232" t="n"/>
      <c r="K7" s="233" t="n"/>
      <c r="L7" s="233">
        <f>IF(K7&lt;&gt;"",(IF(H7="","",H7-(C7*COSTOS!$C$6+D7*COSTOS!$C$7+E7*COSTOS!$C$8+F7*COSTOS!$C$9+G7*COSTOS!$C$10)))+K7,IF(H7="","",H7-(C7*COSTOS!$C$6+D7*COSTOS!$C$7+E7*COSTOS!$C$8+F7*COSTOS!$C$9+G7*COSTOS!$C$10)))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n"/>
      <c r="C8" s="239" t="n"/>
      <c r="D8" s="239" t="n"/>
      <c r="E8" s="239" t="n"/>
      <c r="F8" s="240" t="n"/>
      <c r="G8" s="240" t="n"/>
      <c r="H8" s="241" t="n"/>
      <c r="I8" s="242" t="n"/>
      <c r="J8" s="242" t="n"/>
      <c r="K8" s="233" t="n"/>
      <c r="L8" s="233">
        <f>IF(K8&lt;&gt;"",(IF(H8="","",H8-(C8*COSTOS!$C$6+D8*COSTOS!$C$7+E8*COSTOS!$C$8+F8*COSTOS!$C$9+G8*COSTOS!$C$10)))+K8,IF(H8="","",H8-(C8*COSTOS!$C$6+D8*COSTOS!$C$7+E8*COSTOS!$C$8+F8*COSTOS!$C$9+G8*COSTOS!$C$10)))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n"/>
      <c r="C9" s="229" t="n"/>
      <c r="D9" s="229" t="n"/>
      <c r="E9" s="229" t="n"/>
      <c r="F9" s="230" t="n"/>
      <c r="G9" s="230" t="n"/>
      <c r="H9" s="231" t="n"/>
      <c r="I9" s="232" t="n"/>
      <c r="J9" s="232" t="n"/>
      <c r="K9" s="233" t="n"/>
      <c r="L9" s="233">
        <f>IF(K9&lt;&gt;"",(IF(H9="","",H9-(C9*COSTOS!$C$6+D9*COSTOS!$C$7+E9*COSTOS!$C$8+F9*COSTOS!$C$9+G9*COSTOS!$C$10)))+K9,IF(H9="","",H9-(C9*COSTOS!$C$6+D9*COSTOS!$C$7+E9*COSTOS!$C$8+F9*COSTOS!$C$9+G9*COSTOS!$C$10)))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n"/>
      <c r="C10" s="239" t="n"/>
      <c r="D10" s="239" t="n"/>
      <c r="E10" s="239" t="n"/>
      <c r="F10" s="240" t="n"/>
      <c r="G10" s="240" t="n"/>
      <c r="H10" s="241" t="n"/>
      <c r="I10" s="242" t="n"/>
      <c r="J10" s="242" t="n"/>
      <c r="K10" s="233" t="n"/>
      <c r="L10" s="233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56" t="n"/>
      <c r="N10" s="243" t="n"/>
      <c r="O10" s="244" t="n"/>
    </row>
    <row r="11" ht="21.75" customHeight="1" s="153">
      <c r="A11" s="227" t="n"/>
      <c r="B11" s="228" t="n"/>
      <c r="C11" s="229" t="n"/>
      <c r="D11" s="229" t="n"/>
      <c r="E11" s="229" t="n"/>
      <c r="F11" s="230" t="n"/>
      <c r="G11" s="230" t="n"/>
      <c r="H11" s="231" t="n"/>
      <c r="I11" s="232" t="n"/>
      <c r="J11" s="232" t="n"/>
      <c r="K11" s="233" t="n"/>
      <c r="L11" s="233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n"/>
      <c r="C12" s="239" t="n"/>
      <c r="D12" s="239" t="n"/>
      <c r="E12" s="239" t="n"/>
      <c r="F12" s="240" t="n"/>
      <c r="G12" s="240" t="n"/>
      <c r="H12" s="241" t="n"/>
      <c r="I12" s="242" t="n"/>
      <c r="J12" s="242" t="n"/>
      <c r="K12" s="233" t="n"/>
      <c r="L12" s="233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n"/>
      <c r="C13" s="229" t="n"/>
      <c r="D13" s="229" t="n"/>
      <c r="E13" s="229" t="n"/>
      <c r="F13" s="230" t="n"/>
      <c r="G13" s="230" t="n"/>
      <c r="H13" s="231" t="n"/>
      <c r="I13" s="232" t="n"/>
      <c r="J13" s="232" t="n"/>
      <c r="K13" s="233" t="n"/>
      <c r="L13" s="233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n"/>
      <c r="C14" s="239" t="n"/>
      <c r="D14" s="239" t="n"/>
      <c r="E14" s="239" t="n"/>
      <c r="F14" s="240" t="n"/>
      <c r="G14" s="240" t="n"/>
      <c r="H14" s="241" t="n"/>
      <c r="I14" s="242" t="n"/>
      <c r="J14" s="242" t="n"/>
      <c r="K14" s="233" t="n"/>
      <c r="L14" s="233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56" t="n"/>
      <c r="N14" s="243" t="n"/>
      <c r="O14" s="244" t="n"/>
    </row>
    <row r="15" ht="21.75" customHeight="1" s="153">
      <c r="A15" s="227" t="n"/>
      <c r="B15" s="228" t="n"/>
      <c r="C15" s="229" t="n"/>
      <c r="D15" s="229" t="n"/>
      <c r="E15" s="229" t="n"/>
      <c r="F15" s="230" t="n"/>
      <c r="G15" s="230" t="n"/>
      <c r="H15" s="231" t="n"/>
      <c r="I15" s="232" t="n"/>
      <c r="J15" s="232" t="n"/>
      <c r="K15" s="233" t="n"/>
      <c r="L15" s="233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n"/>
      <c r="C16" s="239" t="n"/>
      <c r="D16" s="239" t="n"/>
      <c r="E16" s="239" t="n"/>
      <c r="F16" s="240" t="n"/>
      <c r="G16" s="240" t="n"/>
      <c r="H16" s="241" t="n"/>
      <c r="I16" s="242" t="n"/>
      <c r="J16" s="242" t="n"/>
      <c r="K16" s="233" t="n"/>
      <c r="L16" s="233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n"/>
      <c r="C17" s="229" t="n"/>
      <c r="D17" s="229" t="n"/>
      <c r="E17" s="229" t="n"/>
      <c r="F17" s="230" t="n"/>
      <c r="G17" s="230" t="n"/>
      <c r="H17" s="231" t="n"/>
      <c r="I17" s="232" t="n"/>
      <c r="J17" s="232" t="n"/>
      <c r="K17" s="233" t="n"/>
      <c r="L17" s="233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56" t="n"/>
      <c r="N17" s="243" t="n"/>
      <c r="O17" s="244" t="n"/>
    </row>
    <row r="18" ht="21.75" customHeight="1" s="153">
      <c r="A18" s="237" t="n"/>
      <c r="B18" s="238" t="n"/>
      <c r="C18" s="239" t="n"/>
      <c r="D18" s="239" t="n"/>
      <c r="E18" s="239" t="n"/>
      <c r="F18" s="240" t="n"/>
      <c r="G18" s="240" t="n"/>
      <c r="H18" s="241" t="n"/>
      <c r="I18" s="242" t="n"/>
      <c r="J18" s="242" t="n"/>
      <c r="K18" s="233" t="n"/>
      <c r="L18" s="233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n"/>
      <c r="C19" s="229" t="n"/>
      <c r="D19" s="229" t="n"/>
      <c r="E19" s="229" t="n"/>
      <c r="F19" s="230" t="n"/>
      <c r="G19" s="230" t="n"/>
      <c r="H19" s="231" t="n"/>
      <c r="I19" s="232" t="n"/>
      <c r="J19" s="232" t="n"/>
      <c r="K19" s="233" t="n"/>
      <c r="L19" s="233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56" t="n"/>
      <c r="N19" s="234" t="inlineStr">
        <is>
          <t>DÍAS DEL MES</t>
        </is>
      </c>
      <c r="O19" s="250" t="n">
        <v>30</v>
      </c>
    </row>
    <row r="20" ht="21.75" customHeight="1" s="153">
      <c r="A20" s="237" t="n"/>
      <c r="B20" s="238" t="n"/>
      <c r="C20" s="239" t="n"/>
      <c r="D20" s="239" t="n"/>
      <c r="E20" s="239" t="n"/>
      <c r="F20" s="240" t="n"/>
      <c r="G20" s="240" t="n"/>
      <c r="H20" s="241" t="n"/>
      <c r="I20" s="242" t="n"/>
      <c r="J20" s="242" t="n"/>
      <c r="K20" s="233" t="n"/>
      <c r="L20" s="233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56" t="n"/>
      <c r="N20" s="243" t="n"/>
      <c r="O20" s="244" t="n"/>
    </row>
    <row r="21" ht="21.75" customHeight="1" s="153">
      <c r="A21" s="227" t="n"/>
      <c r="B21" s="228" t="n"/>
      <c r="C21" s="229" t="n"/>
      <c r="D21" s="229" t="n"/>
      <c r="E21" s="229" t="n"/>
      <c r="F21" s="230" t="n"/>
      <c r="G21" s="230" t="n"/>
      <c r="H21" s="231" t="n"/>
      <c r="I21" s="232" t="n"/>
      <c r="J21" s="232" t="n"/>
      <c r="K21" s="233" t="n"/>
      <c r="L21" s="233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37" t="n"/>
      <c r="B22" s="238" t="n"/>
      <c r="C22" s="239" t="n"/>
      <c r="D22" s="239" t="n"/>
      <c r="E22" s="239" t="n"/>
      <c r="F22" s="240" t="n"/>
      <c r="G22" s="240" t="n"/>
      <c r="H22" s="241" t="n"/>
      <c r="I22" s="242" t="n"/>
      <c r="J22" s="242" t="n"/>
      <c r="K22" s="233" t="n"/>
      <c r="L22" s="233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27" t="n"/>
      <c r="B23" s="228" t="n"/>
      <c r="C23" s="229" t="n"/>
      <c r="D23" s="229" t="n"/>
      <c r="E23" s="229" t="n"/>
      <c r="F23" s="230" t="n"/>
      <c r="G23" s="230" t="n"/>
      <c r="H23" s="231" t="n"/>
      <c r="I23" s="232" t="n"/>
      <c r="J23" s="232" t="n"/>
      <c r="K23" s="233" t="n"/>
      <c r="L23" s="233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56" t="n"/>
      <c r="N23" s="156" t="n"/>
      <c r="O23" s="156" t="n"/>
    </row>
    <row r="24" ht="18.75" customHeight="1" s="153">
      <c r="A24" s="237" t="n"/>
      <c r="B24" s="238" t="n"/>
      <c r="C24" s="239" t="n"/>
      <c r="D24" s="239" t="n"/>
      <c r="E24" s="239" t="n"/>
      <c r="F24" s="240" t="n"/>
      <c r="G24" s="240" t="n"/>
      <c r="H24" s="241" t="n"/>
      <c r="I24" s="242" t="n"/>
      <c r="J24" s="242" t="n"/>
      <c r="K24" s="233" t="n"/>
      <c r="L24" s="233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56" t="n"/>
      <c r="N24" s="156" t="n"/>
      <c r="O24" s="156" t="n"/>
    </row>
    <row r="25" ht="18.75" customHeight="1" s="153">
      <c r="A25" s="227" t="n"/>
      <c r="B25" s="228" t="n"/>
      <c r="C25" s="229" t="n"/>
      <c r="D25" s="229" t="n"/>
      <c r="E25" s="229" t="n"/>
      <c r="F25" s="230" t="n"/>
      <c r="G25" s="230" t="n"/>
      <c r="H25" s="231" t="n"/>
      <c r="I25" s="232" t="n"/>
      <c r="J25" s="232" t="n"/>
      <c r="K25" s="233" t="n"/>
      <c r="L25" s="233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56" t="n"/>
      <c r="N25" s="156" t="n"/>
      <c r="O25" s="156" t="n"/>
    </row>
    <row r="26" ht="18.75" customHeight="1" s="153">
      <c r="A26" s="237" t="n"/>
      <c r="B26" s="238" t="n"/>
      <c r="C26" s="239" t="n"/>
      <c r="D26" s="239" t="n"/>
      <c r="E26" s="239" t="n"/>
      <c r="F26" s="240" t="n"/>
      <c r="G26" s="240" t="n"/>
      <c r="H26" s="241" t="n"/>
      <c r="I26" s="242" t="n"/>
      <c r="J26" s="242" t="n"/>
      <c r="K26" s="233" t="n"/>
      <c r="L26" s="233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56" t="n"/>
      <c r="N26" s="156" t="n"/>
      <c r="O26" s="156" t="n"/>
    </row>
    <row r="27" ht="18.75" customHeight="1" s="153">
      <c r="A27" s="227" t="n"/>
      <c r="B27" s="228" t="n"/>
      <c r="C27" s="229" t="n"/>
      <c r="D27" s="229" t="n"/>
      <c r="E27" s="229" t="n"/>
      <c r="F27" s="230" t="n"/>
      <c r="G27" s="230" t="n"/>
      <c r="H27" s="231" t="n"/>
      <c r="I27" s="232" t="n"/>
      <c r="J27" s="232" t="n"/>
      <c r="K27" s="233" t="n"/>
      <c r="L27" s="233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56" t="n"/>
      <c r="N27" s="156" t="n"/>
      <c r="O27" s="156" t="n"/>
    </row>
    <row r="28" ht="18.75" customHeight="1" s="153">
      <c r="A28" s="237" t="n"/>
      <c r="B28" s="238" t="n"/>
      <c r="C28" s="239" t="n"/>
      <c r="D28" s="239" t="n"/>
      <c r="E28" s="239" t="n"/>
      <c r="F28" s="240" t="n"/>
      <c r="G28" s="240" t="n"/>
      <c r="H28" s="241" t="n"/>
      <c r="I28" s="242" t="n"/>
      <c r="J28" s="242" t="n"/>
      <c r="K28" s="233" t="n"/>
      <c r="L28" s="233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56" t="n"/>
      <c r="N28" s="156" t="n"/>
      <c r="O28" s="156" t="n"/>
    </row>
    <row r="29" ht="18.75" customHeight="1" s="153">
      <c r="A29" s="227" t="n"/>
      <c r="B29" s="228" t="n"/>
      <c r="C29" s="229" t="n"/>
      <c r="D29" s="229" t="n"/>
      <c r="E29" s="229" t="n"/>
      <c r="F29" s="230" t="n"/>
      <c r="G29" s="230" t="n"/>
      <c r="H29" s="231" t="n"/>
      <c r="I29" s="232" t="n"/>
      <c r="J29" s="232" t="n"/>
      <c r="K29" s="233" t="n"/>
      <c r="L29" s="233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56" t="n"/>
      <c r="N29" s="156" t="n"/>
      <c r="O29" s="156">
        <f>IFERROR(SUM(L5:L700)/COUNTA(B5:B700),0)</f>
        <v/>
      </c>
    </row>
    <row r="30" ht="18.75" customHeight="1" s="153">
      <c r="A30" s="237" t="n"/>
      <c r="B30" s="238" t="n"/>
      <c r="C30" s="239" t="n"/>
      <c r="D30" s="239" t="n"/>
      <c r="E30" s="239" t="n"/>
      <c r="F30" s="240" t="n"/>
      <c r="G30" s="240" t="n"/>
      <c r="H30" s="241" t="n"/>
      <c r="I30" s="242" t="n"/>
      <c r="J30" s="242" t="n"/>
      <c r="K30" s="233" t="n"/>
      <c r="L30" s="233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56" t="n"/>
      <c r="N30" s="156" t="n"/>
      <c r="O30" s="156" t="n"/>
    </row>
    <row r="31" ht="18.75" customHeight="1" s="153">
      <c r="A31" s="227" t="n"/>
      <c r="B31" s="228" t="n"/>
      <c r="C31" s="229" t="n"/>
      <c r="D31" s="229" t="n"/>
      <c r="E31" s="229" t="n"/>
      <c r="F31" s="230" t="n"/>
      <c r="G31" s="230" t="n"/>
      <c r="H31" s="231" t="n"/>
      <c r="I31" s="232" t="n"/>
      <c r="J31" s="232" t="n"/>
      <c r="K31" s="233" t="n"/>
      <c r="L31" s="233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56" t="n"/>
      <c r="N31" s="156" t="n"/>
      <c r="O31" s="156" t="n"/>
    </row>
    <row r="32" ht="18.75" customHeight="1" s="153">
      <c r="A32" s="237" t="n"/>
      <c r="B32" s="238" t="n"/>
      <c r="C32" s="239" t="n"/>
      <c r="D32" s="239" t="n"/>
      <c r="E32" s="239" t="n"/>
      <c r="F32" s="240" t="n"/>
      <c r="G32" s="240" t="n"/>
      <c r="H32" s="241" t="n"/>
      <c r="I32" s="242" t="n"/>
      <c r="J32" s="242" t="n"/>
      <c r="K32" s="233" t="n"/>
      <c r="L32" s="233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56" t="n"/>
      <c r="N32" s="156" t="n"/>
      <c r="O32" s="156" t="n"/>
    </row>
    <row r="33" ht="18.75" customHeight="1" s="153">
      <c r="A33" s="227" t="n"/>
      <c r="B33" s="228" t="n"/>
      <c r="C33" s="229" t="n"/>
      <c r="D33" s="229" t="n"/>
      <c r="E33" s="229" t="n"/>
      <c r="F33" s="230" t="n"/>
      <c r="G33" s="230" t="n"/>
      <c r="H33" s="231" t="n"/>
      <c r="I33" s="232" t="n"/>
      <c r="J33" s="232" t="n"/>
      <c r="K33" s="233" t="n"/>
      <c r="L33" s="233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56" t="n"/>
      <c r="N33" s="156" t="n"/>
      <c r="O33" s="156" t="n"/>
    </row>
    <row r="34" ht="18.75" customHeight="1" s="153">
      <c r="A34" s="237" t="n"/>
      <c r="B34" s="238" t="n"/>
      <c r="C34" s="239" t="n"/>
      <c r="D34" s="239" t="n"/>
      <c r="E34" s="239" t="n"/>
      <c r="F34" s="240" t="n"/>
      <c r="G34" s="240" t="n"/>
      <c r="H34" s="241" t="n"/>
      <c r="I34" s="242" t="n"/>
      <c r="J34" s="242" t="n"/>
      <c r="K34" s="233" t="n"/>
      <c r="L34" s="233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56" t="n"/>
      <c r="N34" s="156" t="n"/>
      <c r="O34" s="156" t="n"/>
    </row>
    <row r="35" ht="18.75" customHeight="1" s="153">
      <c r="A35" s="227" t="n"/>
      <c r="B35" s="228" t="n"/>
      <c r="C35" s="229" t="n"/>
      <c r="D35" s="229" t="n"/>
      <c r="E35" s="229" t="n"/>
      <c r="F35" s="230" t="n"/>
      <c r="G35" s="230" t="n"/>
      <c r="H35" s="231" t="n"/>
      <c r="I35" s="232" t="n"/>
      <c r="J35" s="232" t="n"/>
      <c r="K35" s="233" t="n"/>
      <c r="L35" s="233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56" t="n"/>
      <c r="N35" s="156" t="n"/>
      <c r="O35" s="156" t="n"/>
    </row>
    <row r="36" ht="18.75" customHeight="1" s="153">
      <c r="A36" s="237" t="n"/>
      <c r="B36" s="238" t="n"/>
      <c r="C36" s="239" t="n"/>
      <c r="D36" s="239" t="n"/>
      <c r="E36" s="239" t="n"/>
      <c r="F36" s="240" t="n"/>
      <c r="G36" s="240" t="n"/>
      <c r="H36" s="241" t="n"/>
      <c r="I36" s="242" t="n"/>
      <c r="J36" s="242" t="n"/>
      <c r="K36" s="233" t="n"/>
      <c r="L36" s="233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56" t="n"/>
      <c r="N36" s="156" t="n"/>
      <c r="O36" s="156" t="n"/>
    </row>
    <row r="37" ht="18.75" customHeight="1" s="153">
      <c r="A37" s="227" t="n"/>
      <c r="B37" s="228" t="n"/>
      <c r="C37" s="229" t="n"/>
      <c r="D37" s="229" t="n"/>
      <c r="E37" s="229" t="n"/>
      <c r="F37" s="230" t="n"/>
      <c r="G37" s="230" t="n"/>
      <c r="H37" s="231" t="n"/>
      <c r="I37" s="232" t="n"/>
      <c r="J37" s="232" t="n"/>
      <c r="K37" s="233" t="n"/>
      <c r="L37" s="233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56" t="n"/>
      <c r="N37" s="156" t="n"/>
      <c r="O37" s="156" t="n"/>
    </row>
    <row r="38" ht="18.75" customHeight="1" s="153">
      <c r="A38" s="237" t="n"/>
      <c r="B38" s="238" t="n"/>
      <c r="C38" s="239" t="n"/>
      <c r="D38" s="239" t="n"/>
      <c r="E38" s="239" t="n"/>
      <c r="F38" s="240" t="n"/>
      <c r="G38" s="240" t="n"/>
      <c r="H38" s="241" t="n"/>
      <c r="I38" s="242" t="n"/>
      <c r="J38" s="242" t="n"/>
      <c r="K38" s="233" t="n"/>
      <c r="L38" s="233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56" t="n"/>
      <c r="N38" s="156" t="n"/>
      <c r="O38" s="156" t="n"/>
    </row>
    <row r="39" ht="18.75" customHeight="1" s="153">
      <c r="A39" s="227" t="n"/>
      <c r="B39" s="228" t="n"/>
      <c r="C39" s="229" t="n"/>
      <c r="D39" s="229" t="n"/>
      <c r="E39" s="229" t="n"/>
      <c r="F39" s="230" t="n"/>
      <c r="G39" s="230" t="n"/>
      <c r="H39" s="231" t="n"/>
      <c r="I39" s="232" t="n"/>
      <c r="J39" s="232" t="n"/>
      <c r="K39" s="233" t="n"/>
      <c r="L39" s="233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56" t="n"/>
      <c r="N39" s="156" t="n"/>
      <c r="O39" s="156" t="n"/>
    </row>
    <row r="40" ht="18.75" customHeight="1" s="153">
      <c r="A40" s="237" t="n"/>
      <c r="B40" s="238" t="n"/>
      <c r="C40" s="239" t="n"/>
      <c r="D40" s="239" t="n"/>
      <c r="E40" s="239" t="n"/>
      <c r="F40" s="240" t="n"/>
      <c r="G40" s="240" t="n"/>
      <c r="H40" s="241" t="n"/>
      <c r="I40" s="242" t="n"/>
      <c r="J40" s="242" t="n"/>
      <c r="K40" s="233" t="n"/>
      <c r="L40" s="233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56" t="n"/>
      <c r="N40" s="156" t="n"/>
      <c r="O40" s="156" t="n"/>
    </row>
    <row r="41" ht="18.75" customHeight="1" s="153">
      <c r="A41" s="227" t="n"/>
      <c r="B41" s="228" t="n"/>
      <c r="C41" s="229" t="n"/>
      <c r="D41" s="229" t="n"/>
      <c r="E41" s="229" t="n"/>
      <c r="F41" s="230" t="n"/>
      <c r="G41" s="230" t="n"/>
      <c r="H41" s="231" t="n"/>
      <c r="I41" s="232" t="n"/>
      <c r="J41" s="232" t="n"/>
      <c r="K41" s="233" t="n"/>
      <c r="L41" s="233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56" t="n"/>
      <c r="N41" s="156" t="n"/>
      <c r="O41" s="156" t="n"/>
    </row>
    <row r="42" ht="18.75" customHeight="1" s="153">
      <c r="A42" s="237" t="n"/>
      <c r="B42" s="238" t="n"/>
      <c r="C42" s="239" t="n"/>
      <c r="D42" s="239" t="n"/>
      <c r="E42" s="239" t="n"/>
      <c r="F42" s="240" t="n"/>
      <c r="G42" s="240" t="n"/>
      <c r="H42" s="241" t="n"/>
      <c r="I42" s="242" t="n"/>
      <c r="J42" s="242" t="n"/>
      <c r="K42" s="233" t="n"/>
      <c r="L42" s="233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56" t="n"/>
      <c r="N42" s="156" t="n"/>
      <c r="O42" s="156" t="n"/>
    </row>
    <row r="43" ht="18.75" customHeight="1" s="153">
      <c r="A43" s="227" t="n"/>
      <c r="B43" s="228" t="n"/>
      <c r="C43" s="229" t="n"/>
      <c r="D43" s="229" t="n"/>
      <c r="E43" s="229" t="n"/>
      <c r="F43" s="230" t="n"/>
      <c r="G43" s="230" t="n"/>
      <c r="H43" s="231" t="n"/>
      <c r="I43" s="232" t="n"/>
      <c r="J43" s="232" t="n"/>
      <c r="K43" s="233" t="n"/>
      <c r="L43" s="233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56" t="n"/>
      <c r="N43" s="156" t="n"/>
      <c r="O43" s="156" t="n"/>
    </row>
    <row r="44" ht="18.75" customHeight="1" s="153">
      <c r="A44" s="237" t="n"/>
      <c r="B44" s="238" t="n"/>
      <c r="C44" s="239" t="n"/>
      <c r="D44" s="239" t="n"/>
      <c r="E44" s="239" t="n"/>
      <c r="F44" s="240" t="n"/>
      <c r="G44" s="240" t="n"/>
      <c r="H44" s="241" t="n"/>
      <c r="I44" s="242" t="n"/>
      <c r="J44" s="242" t="n"/>
      <c r="K44" s="233" t="n"/>
      <c r="L44" s="233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56" t="n"/>
      <c r="N44" s="156" t="n"/>
      <c r="O44" s="156" t="n"/>
    </row>
    <row r="45" ht="18.75" customHeight="1" s="153">
      <c r="A45" s="227" t="n"/>
      <c r="B45" s="228" t="n"/>
      <c r="C45" s="229" t="n"/>
      <c r="D45" s="229" t="n"/>
      <c r="E45" s="229" t="n"/>
      <c r="F45" s="230" t="n"/>
      <c r="G45" s="230" t="n"/>
      <c r="H45" s="231" t="n"/>
      <c r="I45" s="232" t="n"/>
      <c r="J45" s="232" t="n"/>
      <c r="K45" s="233" t="n"/>
      <c r="L45" s="233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56" t="n"/>
      <c r="N45" s="156" t="n"/>
      <c r="O45" s="156" t="n"/>
    </row>
    <row r="46" ht="18.75" customHeight="1" s="153">
      <c r="A46" s="237" t="n"/>
      <c r="B46" s="238" t="n"/>
      <c r="C46" s="239" t="n"/>
      <c r="D46" s="239" t="n"/>
      <c r="E46" s="239" t="n"/>
      <c r="F46" s="240" t="n"/>
      <c r="G46" s="240" t="n"/>
      <c r="H46" s="241" t="n"/>
      <c r="I46" s="242" t="n"/>
      <c r="J46" s="242" t="n"/>
      <c r="K46" s="233" t="n"/>
      <c r="L46" s="233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56" t="n"/>
      <c r="N46" s="156" t="n"/>
      <c r="O46" s="156" t="n"/>
    </row>
    <row r="47" ht="18.75" customHeight="1" s="153">
      <c r="A47" s="227" t="n"/>
      <c r="B47" s="228" t="n"/>
      <c r="C47" s="229" t="n"/>
      <c r="D47" s="229" t="n"/>
      <c r="E47" s="229" t="n"/>
      <c r="F47" s="230" t="n"/>
      <c r="G47" s="230" t="n"/>
      <c r="H47" s="231" t="n"/>
      <c r="I47" s="232" t="n"/>
      <c r="J47" s="232" t="n"/>
      <c r="K47" s="233" t="n"/>
      <c r="L47" s="233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56" t="n"/>
      <c r="N47" s="156" t="n"/>
      <c r="O47" s="156" t="n"/>
    </row>
    <row r="48" ht="18.75" customHeight="1" s="153">
      <c r="A48" s="237" t="n"/>
      <c r="B48" s="238" t="n"/>
      <c r="C48" s="239" t="n"/>
      <c r="D48" s="239" t="n"/>
      <c r="E48" s="239" t="n"/>
      <c r="F48" s="240" t="n"/>
      <c r="G48" s="240" t="n"/>
      <c r="H48" s="241" t="n"/>
      <c r="I48" s="242" t="n"/>
      <c r="J48" s="242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n"/>
      <c r="C49" s="229" t="n"/>
      <c r="D49" s="229" t="n"/>
      <c r="E49" s="229" t="n"/>
      <c r="F49" s="230" t="n"/>
      <c r="G49" s="230" t="n"/>
      <c r="H49" s="231" t="n"/>
      <c r="I49" s="232" t="n"/>
      <c r="J49" s="232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37" t="n"/>
      <c r="B50" s="238" t="n"/>
      <c r="C50" s="239" t="n"/>
      <c r="D50" s="239" t="n"/>
      <c r="E50" s="239" t="n"/>
      <c r="F50" s="240" t="n"/>
      <c r="G50" s="240" t="n"/>
      <c r="H50" s="241" t="n"/>
      <c r="I50" s="242" t="n"/>
      <c r="J50" s="242" t="n"/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n"/>
      <c r="C51" s="229" t="n"/>
      <c r="D51" s="229" t="n"/>
      <c r="E51" s="229" t="n"/>
      <c r="F51" s="230" t="n"/>
      <c r="G51" s="230" t="n"/>
      <c r="H51" s="231" t="n"/>
      <c r="I51" s="232" t="n"/>
      <c r="J51" s="232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37" t="n"/>
      <c r="B52" s="238" t="n"/>
      <c r="C52" s="239" t="n"/>
      <c r="D52" s="239" t="n"/>
      <c r="E52" s="239" t="n"/>
      <c r="F52" s="240" t="n"/>
      <c r="G52" s="240" t="n"/>
      <c r="H52" s="241" t="n"/>
      <c r="I52" s="242" t="n"/>
      <c r="J52" s="242" t="n"/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n"/>
      <c r="C53" s="229" t="n"/>
      <c r="D53" s="229" t="n"/>
      <c r="E53" s="229" t="n"/>
      <c r="F53" s="230" t="n"/>
      <c r="G53" s="230" t="n"/>
      <c r="H53" s="231" t="n"/>
      <c r="I53" s="232" t="n"/>
      <c r="J53" s="232" t="n"/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37" t="n"/>
      <c r="B54" s="238" t="n"/>
      <c r="C54" s="239" t="n"/>
      <c r="D54" s="239" t="n"/>
      <c r="E54" s="239" t="n"/>
      <c r="F54" s="240" t="n"/>
      <c r="G54" s="240" t="n"/>
      <c r="H54" s="241" t="n"/>
      <c r="I54" s="242" t="n"/>
      <c r="J54" s="242" t="n"/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n"/>
      <c r="C55" s="229" t="n"/>
      <c r="D55" s="229" t="n"/>
      <c r="E55" s="229" t="n"/>
      <c r="F55" s="230" t="n"/>
      <c r="G55" s="230" t="n"/>
      <c r="H55" s="231" t="n"/>
      <c r="I55" s="232" t="n"/>
      <c r="J55" s="232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37" t="n"/>
      <c r="B56" s="238" t="n"/>
      <c r="C56" s="239" t="n"/>
      <c r="D56" s="239" t="n"/>
      <c r="E56" s="239" t="n"/>
      <c r="F56" s="240" t="n"/>
      <c r="G56" s="240" t="n"/>
      <c r="H56" s="241" t="n"/>
      <c r="I56" s="242" t="n"/>
      <c r="J56" s="242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n"/>
      <c r="C57" s="229" t="n"/>
      <c r="D57" s="229" t="n"/>
      <c r="E57" s="229" t="n"/>
      <c r="F57" s="230" t="n"/>
      <c r="G57" s="230" t="n"/>
      <c r="H57" s="231" t="n"/>
      <c r="I57" s="232" t="n"/>
      <c r="J57" s="232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37" t="n"/>
      <c r="B58" s="238" t="n"/>
      <c r="C58" s="239" t="n"/>
      <c r="D58" s="239" t="n"/>
      <c r="E58" s="239" t="n"/>
      <c r="F58" s="240" t="n"/>
      <c r="G58" s="240" t="n"/>
      <c r="H58" s="241" t="n"/>
      <c r="I58" s="242" t="n"/>
      <c r="J58" s="242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n"/>
      <c r="C59" s="229" t="n"/>
      <c r="D59" s="229" t="n"/>
      <c r="E59" s="229" t="n"/>
      <c r="F59" s="230" t="n"/>
      <c r="G59" s="230" t="n"/>
      <c r="H59" s="231" t="n"/>
      <c r="I59" s="232" t="n"/>
      <c r="J59" s="232" t="n"/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37" t="n"/>
      <c r="B60" s="238" t="n"/>
      <c r="C60" s="239" t="n"/>
      <c r="D60" s="239" t="n"/>
      <c r="E60" s="239" t="n"/>
      <c r="F60" s="240" t="n"/>
      <c r="G60" s="240" t="n"/>
      <c r="H60" s="241" t="n"/>
      <c r="I60" s="242" t="n"/>
      <c r="J60" s="242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n"/>
      <c r="C61" s="229" t="n"/>
      <c r="D61" s="229" t="n"/>
      <c r="E61" s="229" t="n"/>
      <c r="F61" s="230" t="n"/>
      <c r="G61" s="230" t="n"/>
      <c r="H61" s="231" t="n"/>
      <c r="I61" s="232" t="n"/>
      <c r="J61" s="232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37" t="n"/>
      <c r="B62" s="238" t="n"/>
      <c r="C62" s="239" t="n"/>
      <c r="D62" s="239" t="n"/>
      <c r="E62" s="239" t="n"/>
      <c r="F62" s="240" t="n"/>
      <c r="G62" s="240" t="n"/>
      <c r="H62" s="241" t="n"/>
      <c r="I62" s="242" t="n"/>
      <c r="J62" s="242" t="n"/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n"/>
      <c r="C63" s="229" t="n"/>
      <c r="D63" s="229" t="n"/>
      <c r="E63" s="229" t="n"/>
      <c r="F63" s="230" t="n"/>
      <c r="G63" s="230" t="n"/>
      <c r="H63" s="231" t="n"/>
      <c r="I63" s="232" t="n"/>
      <c r="J63" s="232" t="n"/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37" t="n"/>
      <c r="B64" s="238" t="n"/>
      <c r="C64" s="239" t="n"/>
      <c r="D64" s="239" t="n"/>
      <c r="E64" s="239" t="n"/>
      <c r="F64" s="240" t="n"/>
      <c r="G64" s="240" t="n"/>
      <c r="H64" s="241" t="n"/>
      <c r="I64" s="242" t="n"/>
      <c r="J64" s="242" t="n"/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n"/>
      <c r="C65" s="229" t="n"/>
      <c r="D65" s="229" t="n"/>
      <c r="E65" s="229" t="n"/>
      <c r="F65" s="230" t="n"/>
      <c r="G65" s="230" t="n"/>
      <c r="H65" s="231" t="n"/>
      <c r="I65" s="232" t="n"/>
      <c r="J65" s="232" t="n"/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37" t="n"/>
      <c r="B66" s="238" t="n"/>
      <c r="C66" s="239" t="n"/>
      <c r="D66" s="239" t="n"/>
      <c r="E66" s="239" t="n"/>
      <c r="F66" s="240" t="n"/>
      <c r="G66" s="240" t="n"/>
      <c r="H66" s="241" t="n"/>
      <c r="I66" s="242" t="n"/>
      <c r="J66" s="242" t="n"/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/>
      <c r="B67" s="228" t="n"/>
      <c r="C67" s="229" t="n"/>
      <c r="D67" s="229" t="n"/>
      <c r="E67" s="229" t="n"/>
      <c r="F67" s="230" t="n"/>
      <c r="G67" s="230" t="n"/>
      <c r="H67" s="231" t="n"/>
      <c r="I67" s="232" t="n"/>
      <c r="J67" s="232" t="n"/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37" t="n"/>
      <c r="B68" s="238" t="n"/>
      <c r="C68" s="239" t="n"/>
      <c r="D68" s="239" t="n"/>
      <c r="E68" s="239" t="n"/>
      <c r="F68" s="240" t="n"/>
      <c r="G68" s="240" t="n"/>
      <c r="H68" s="241" t="n"/>
      <c r="I68" s="242" t="n"/>
      <c r="J68" s="242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n"/>
      <c r="C69" s="229" t="n"/>
      <c r="D69" s="229" t="n"/>
      <c r="E69" s="229" t="n"/>
      <c r="F69" s="230" t="n"/>
      <c r="G69" s="230" t="n"/>
      <c r="H69" s="231" t="n"/>
      <c r="I69" s="232" t="n"/>
      <c r="J69" s="232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37" t="n"/>
      <c r="B70" s="238" t="n"/>
      <c r="C70" s="239" t="n"/>
      <c r="D70" s="239" t="n"/>
      <c r="E70" s="239" t="n"/>
      <c r="F70" s="240" t="n"/>
      <c r="G70" s="240" t="n"/>
      <c r="H70" s="241" t="n"/>
      <c r="I70" s="242" t="n"/>
      <c r="J70" s="242" t="n"/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n"/>
      <c r="C71" s="229" t="n"/>
      <c r="D71" s="229" t="n"/>
      <c r="E71" s="229" t="n"/>
      <c r="F71" s="230" t="n"/>
      <c r="G71" s="230" t="n"/>
      <c r="H71" s="231" t="n"/>
      <c r="I71" s="232" t="n"/>
      <c r="J71" s="232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37" t="n"/>
      <c r="B72" s="238" t="n"/>
      <c r="C72" s="239" t="n"/>
      <c r="D72" s="239" t="n"/>
      <c r="E72" s="239" t="n"/>
      <c r="F72" s="240" t="n"/>
      <c r="G72" s="240" t="n"/>
      <c r="H72" s="241" t="n"/>
      <c r="I72" s="242" t="n"/>
      <c r="J72" s="242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n"/>
      <c r="C73" s="229" t="n"/>
      <c r="D73" s="229" t="n"/>
      <c r="E73" s="229" t="n"/>
      <c r="F73" s="230" t="n"/>
      <c r="G73" s="230" t="n"/>
      <c r="H73" s="231" t="n"/>
      <c r="I73" s="232" t="n"/>
      <c r="J73" s="232" t="n"/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37" t="n"/>
      <c r="B74" s="238" t="n"/>
      <c r="C74" s="239" t="n"/>
      <c r="D74" s="239" t="n"/>
      <c r="E74" s="239" t="n"/>
      <c r="F74" s="240" t="n"/>
      <c r="G74" s="240" t="n"/>
      <c r="H74" s="241" t="n"/>
      <c r="I74" s="242" t="n"/>
      <c r="J74" s="242" t="n"/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n"/>
      <c r="C75" s="229" t="n"/>
      <c r="D75" s="229" t="n"/>
      <c r="E75" s="229" t="n"/>
      <c r="F75" s="230" t="n"/>
      <c r="G75" s="230" t="n"/>
      <c r="H75" s="231" t="n"/>
      <c r="I75" s="232" t="n"/>
      <c r="J75" s="232" t="n"/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37" t="n"/>
      <c r="B76" s="238" t="n"/>
      <c r="C76" s="239" t="n"/>
      <c r="D76" s="239" t="n"/>
      <c r="E76" s="239" t="n"/>
      <c r="F76" s="240" t="n"/>
      <c r="G76" s="240" t="n"/>
      <c r="H76" s="241" t="n"/>
      <c r="I76" s="242" t="n"/>
      <c r="J76" s="242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n"/>
      <c r="C77" s="229" t="n"/>
      <c r="D77" s="229" t="n"/>
      <c r="E77" s="229" t="n"/>
      <c r="F77" s="230" t="n"/>
      <c r="G77" s="230" t="n"/>
      <c r="H77" s="231" t="n"/>
      <c r="I77" s="232" t="n"/>
      <c r="J77" s="232" t="n"/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37" t="n"/>
      <c r="B78" s="238" t="n"/>
      <c r="C78" s="239" t="n"/>
      <c r="D78" s="239" t="n"/>
      <c r="E78" s="239" t="n"/>
      <c r="F78" s="240" t="n"/>
      <c r="G78" s="240" t="n"/>
      <c r="H78" s="241" t="n"/>
      <c r="I78" s="242" t="n"/>
      <c r="J78" s="242" t="n"/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n"/>
      <c r="C79" s="229" t="n"/>
      <c r="D79" s="229" t="n"/>
      <c r="E79" s="229" t="n"/>
      <c r="F79" s="230" t="n"/>
      <c r="G79" s="230" t="n"/>
      <c r="H79" s="231" t="n"/>
      <c r="I79" s="232" t="n"/>
      <c r="J79" s="232" t="n"/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37" t="n"/>
      <c r="B80" s="238" t="n"/>
      <c r="C80" s="239" t="n"/>
      <c r="D80" s="239" t="n"/>
      <c r="E80" s="239" t="n"/>
      <c r="F80" s="240" t="n"/>
      <c r="G80" s="240" t="n"/>
      <c r="H80" s="241" t="n"/>
      <c r="I80" s="242" t="n"/>
      <c r="J80" s="242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n"/>
      <c r="C81" s="229" t="n"/>
      <c r="D81" s="229" t="n"/>
      <c r="E81" s="229" t="n"/>
      <c r="F81" s="230" t="n"/>
      <c r="G81" s="230" t="n"/>
      <c r="H81" s="231" t="n"/>
      <c r="I81" s="232" t="n"/>
      <c r="J81" s="232" t="n"/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37" t="n"/>
      <c r="B82" s="238" t="n"/>
      <c r="C82" s="239" t="n"/>
      <c r="D82" s="239" t="n"/>
      <c r="E82" s="239" t="n"/>
      <c r="F82" s="240" t="n"/>
      <c r="G82" s="240" t="n"/>
      <c r="H82" s="241" t="n"/>
      <c r="I82" s="242" t="n"/>
      <c r="J82" s="242" t="n"/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n"/>
      <c r="C83" s="229" t="n"/>
      <c r="D83" s="229" t="n"/>
      <c r="E83" s="229" t="n"/>
      <c r="F83" s="230" t="n"/>
      <c r="G83" s="230" t="n"/>
      <c r="H83" s="231" t="n"/>
      <c r="I83" s="232" t="n"/>
      <c r="J83" s="232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37" t="n"/>
      <c r="B84" s="238" t="n"/>
      <c r="C84" s="239" t="n"/>
      <c r="D84" s="239" t="n"/>
      <c r="E84" s="239" t="n"/>
      <c r="F84" s="240" t="n"/>
      <c r="G84" s="240" t="n"/>
      <c r="H84" s="241" t="n"/>
      <c r="I84" s="242" t="n"/>
      <c r="J84" s="242" t="n"/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n"/>
      <c r="C85" s="229" t="n"/>
      <c r="D85" s="229" t="n"/>
      <c r="E85" s="229" t="n"/>
      <c r="F85" s="230" t="n"/>
      <c r="G85" s="230" t="n"/>
      <c r="H85" s="231" t="n"/>
      <c r="I85" s="232" t="n"/>
      <c r="J85" s="232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37" t="n"/>
      <c r="B86" s="238" t="n"/>
      <c r="C86" s="239" t="n"/>
      <c r="D86" s="239" t="n"/>
      <c r="E86" s="239" t="n"/>
      <c r="F86" s="240" t="n"/>
      <c r="G86" s="240" t="n"/>
      <c r="H86" s="241" t="n"/>
      <c r="I86" s="242" t="n"/>
      <c r="J86" s="242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/>
      <c r="B87" s="228" t="n"/>
      <c r="C87" s="229" t="n"/>
      <c r="D87" s="229" t="n"/>
      <c r="E87" s="229" t="n"/>
      <c r="F87" s="230" t="n"/>
      <c r="G87" s="230" t="n"/>
      <c r="H87" s="231" t="n"/>
      <c r="I87" s="232" t="n"/>
      <c r="J87" s="232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37" t="n"/>
      <c r="B88" s="238" t="n"/>
      <c r="C88" s="239" t="n"/>
      <c r="D88" s="239" t="n"/>
      <c r="E88" s="239" t="n"/>
      <c r="F88" s="240" t="n"/>
      <c r="G88" s="240" t="n"/>
      <c r="H88" s="241" t="n"/>
      <c r="I88" s="242" t="n"/>
      <c r="J88" s="242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n"/>
      <c r="C89" s="229" t="n"/>
      <c r="D89" s="229" t="n"/>
      <c r="E89" s="229" t="n"/>
      <c r="F89" s="230" t="n"/>
      <c r="G89" s="230" t="n"/>
      <c r="H89" s="231" t="n"/>
      <c r="I89" s="232" t="n"/>
      <c r="J89" s="232" t="n"/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37" t="n"/>
      <c r="B90" s="238" t="n"/>
      <c r="C90" s="239" t="n"/>
      <c r="D90" s="239" t="n"/>
      <c r="E90" s="239" t="n"/>
      <c r="F90" s="240" t="n"/>
      <c r="G90" s="240" t="n"/>
      <c r="H90" s="241" t="n"/>
      <c r="I90" s="242" t="n"/>
      <c r="J90" s="242" t="n"/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n"/>
      <c r="C91" s="229" t="n"/>
      <c r="D91" s="229" t="n"/>
      <c r="E91" s="229" t="n"/>
      <c r="F91" s="230" t="n"/>
      <c r="G91" s="230" t="n"/>
      <c r="H91" s="231" t="n"/>
      <c r="I91" s="232" t="n"/>
      <c r="J91" s="232" t="n"/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37" t="n"/>
      <c r="B92" s="238" t="n"/>
      <c r="C92" s="239" t="n"/>
      <c r="D92" s="239" t="n"/>
      <c r="E92" s="239" t="n"/>
      <c r="F92" s="240" t="n"/>
      <c r="G92" s="240" t="n"/>
      <c r="H92" s="241" t="n"/>
      <c r="I92" s="242" t="n"/>
      <c r="J92" s="242" t="n"/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n"/>
      <c r="C93" s="229" t="n"/>
      <c r="D93" s="229" t="n"/>
      <c r="E93" s="229" t="n"/>
      <c r="F93" s="230" t="n"/>
      <c r="G93" s="230" t="n"/>
      <c r="H93" s="231" t="n"/>
      <c r="I93" s="232" t="n"/>
      <c r="J93" s="232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37" t="n"/>
      <c r="B94" s="238" t="n"/>
      <c r="C94" s="239" t="n"/>
      <c r="D94" s="239" t="n"/>
      <c r="E94" s="239" t="n"/>
      <c r="F94" s="240" t="n"/>
      <c r="G94" s="240" t="n"/>
      <c r="H94" s="241" t="n"/>
      <c r="I94" s="242" t="n"/>
      <c r="J94" s="242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n"/>
      <c r="C95" s="229" t="n"/>
      <c r="D95" s="229" t="n"/>
      <c r="E95" s="229" t="n"/>
      <c r="F95" s="230" t="n"/>
      <c r="G95" s="230" t="n"/>
      <c r="H95" s="231" t="n"/>
      <c r="I95" s="232" t="n"/>
      <c r="J95" s="232" t="n"/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37" t="n"/>
      <c r="B96" s="238" t="n"/>
      <c r="C96" s="239" t="n"/>
      <c r="D96" s="239" t="n"/>
      <c r="E96" s="239" t="n"/>
      <c r="F96" s="240" t="n"/>
      <c r="G96" s="240" t="n"/>
      <c r="H96" s="241" t="n"/>
      <c r="I96" s="242" t="n"/>
      <c r="J96" s="242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n"/>
      <c r="C97" s="229" t="n"/>
      <c r="D97" s="229" t="n"/>
      <c r="E97" s="229" t="n"/>
      <c r="F97" s="230" t="n"/>
      <c r="G97" s="230" t="n"/>
      <c r="H97" s="231" t="n"/>
      <c r="I97" s="232" t="n"/>
      <c r="J97" s="232" t="n"/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37" t="n"/>
      <c r="B98" s="238" t="n"/>
      <c r="C98" s="239" t="n"/>
      <c r="D98" s="239" t="n"/>
      <c r="E98" s="239" t="n"/>
      <c r="F98" s="240" t="n"/>
      <c r="G98" s="240" t="n"/>
      <c r="H98" s="241" t="n"/>
      <c r="I98" s="242" t="n"/>
      <c r="J98" s="242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n"/>
      <c r="C99" s="229" t="n"/>
      <c r="D99" s="229" t="n"/>
      <c r="E99" s="229" t="n"/>
      <c r="F99" s="230" t="n"/>
      <c r="G99" s="230" t="n"/>
      <c r="H99" s="231" t="n"/>
      <c r="I99" s="232" t="n"/>
      <c r="J99" s="232" t="n"/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37" t="n"/>
      <c r="B100" s="238" t="n"/>
      <c r="C100" s="239" t="n"/>
      <c r="D100" s="239" t="n"/>
      <c r="E100" s="239" t="n"/>
      <c r="F100" s="240" t="n"/>
      <c r="G100" s="240" t="n"/>
      <c r="H100" s="241" t="n"/>
      <c r="I100" s="242" t="n"/>
      <c r="J100" s="242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n"/>
      <c r="C101" s="229" t="n"/>
      <c r="D101" s="229" t="n"/>
      <c r="E101" s="229" t="n"/>
      <c r="F101" s="230" t="n"/>
      <c r="G101" s="230" t="n"/>
      <c r="H101" s="231" t="n"/>
      <c r="I101" s="232" t="n"/>
      <c r="J101" s="232" t="n"/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37" t="n"/>
      <c r="B102" s="238" t="n"/>
      <c r="C102" s="239" t="n"/>
      <c r="D102" s="239" t="n"/>
      <c r="E102" s="239" t="n"/>
      <c r="F102" s="240" t="n"/>
      <c r="G102" s="240" t="n"/>
      <c r="H102" s="241" t="n"/>
      <c r="I102" s="242" t="n"/>
      <c r="J102" s="242" t="n"/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n"/>
      <c r="C103" s="229" t="n"/>
      <c r="D103" s="229" t="n"/>
      <c r="E103" s="229" t="n"/>
      <c r="F103" s="230" t="n"/>
      <c r="G103" s="230" t="n"/>
      <c r="H103" s="231" t="n"/>
      <c r="I103" s="232" t="n"/>
      <c r="J103" s="232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37" t="n"/>
      <c r="B104" s="238" t="n"/>
      <c r="C104" s="239" t="n"/>
      <c r="D104" s="239" t="n"/>
      <c r="E104" s="239" t="n"/>
      <c r="F104" s="240" t="n"/>
      <c r="G104" s="240" t="n"/>
      <c r="H104" s="241" t="n"/>
      <c r="I104" s="242" t="n"/>
      <c r="J104" s="242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n"/>
      <c r="C105" s="229" t="n"/>
      <c r="D105" s="229" t="n"/>
      <c r="E105" s="229" t="n"/>
      <c r="F105" s="230" t="n"/>
      <c r="G105" s="230" t="n"/>
      <c r="H105" s="231" t="n"/>
      <c r="I105" s="232" t="n"/>
      <c r="J105" s="232" t="n"/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37" t="n"/>
      <c r="B106" s="238" t="n"/>
      <c r="C106" s="239" t="n"/>
      <c r="D106" s="239" t="n"/>
      <c r="E106" s="239" t="n"/>
      <c r="F106" s="240" t="n"/>
      <c r="G106" s="240" t="n"/>
      <c r="H106" s="241" t="n"/>
      <c r="I106" s="242" t="n"/>
      <c r="J106" s="242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n"/>
      <c r="C107" s="229" t="n"/>
      <c r="D107" s="229" t="n"/>
      <c r="E107" s="229" t="n"/>
      <c r="F107" s="230" t="n"/>
      <c r="G107" s="230" t="n"/>
      <c r="H107" s="231" t="n"/>
      <c r="I107" s="232" t="n"/>
      <c r="J107" s="232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37" t="n"/>
      <c r="B108" s="238" t="n"/>
      <c r="C108" s="239" t="n"/>
      <c r="D108" s="239" t="n"/>
      <c r="E108" s="239" t="n"/>
      <c r="F108" s="240" t="n"/>
      <c r="G108" s="240" t="n"/>
      <c r="H108" s="241" t="n"/>
      <c r="I108" s="242" t="n"/>
      <c r="J108" s="242" t="n"/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n"/>
      <c r="C109" s="229" t="n"/>
      <c r="D109" s="229" t="n"/>
      <c r="E109" s="229" t="n"/>
      <c r="F109" s="230" t="n"/>
      <c r="G109" s="230" t="n"/>
      <c r="H109" s="231" t="n"/>
      <c r="I109" s="232" t="n"/>
      <c r="J109" s="232" t="n"/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37" t="n"/>
      <c r="B110" s="238" t="n"/>
      <c r="C110" s="239" t="n"/>
      <c r="D110" s="239" t="n"/>
      <c r="E110" s="239" t="n"/>
      <c r="F110" s="240" t="n"/>
      <c r="G110" s="240" t="n"/>
      <c r="H110" s="241" t="n"/>
      <c r="I110" s="242" t="n"/>
      <c r="J110" s="242" t="n"/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/>
      <c r="B111" s="228" t="n"/>
      <c r="C111" s="229" t="n"/>
      <c r="D111" s="229" t="n"/>
      <c r="E111" s="229" t="n"/>
      <c r="F111" s="230" t="n"/>
      <c r="G111" s="230" t="n"/>
      <c r="H111" s="231" t="n"/>
      <c r="I111" s="232" t="n"/>
      <c r="J111" s="232" t="n"/>
      <c r="K111" s="233" t="n"/>
      <c r="L111" s="233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56" t="n"/>
      <c r="N111" s="156" t="n"/>
      <c r="O111" s="156" t="n"/>
    </row>
    <row r="112" ht="18.75" customHeight="1" s="153">
      <c r="A112" s="237" t="n"/>
      <c r="B112" s="238" t="n"/>
      <c r="C112" s="239" t="n"/>
      <c r="D112" s="239" t="n"/>
      <c r="E112" s="239" t="n"/>
      <c r="F112" s="240" t="n"/>
      <c r="G112" s="240" t="n"/>
      <c r="H112" s="241" t="n"/>
      <c r="I112" s="242" t="n"/>
      <c r="J112" s="242" t="n"/>
      <c r="K112" s="233" t="n"/>
      <c r="L112" s="233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56" t="n"/>
      <c r="N112" s="156" t="n"/>
      <c r="O112" s="156" t="n"/>
    </row>
    <row r="113" ht="18.75" customHeight="1" s="153">
      <c r="A113" s="227" t="n"/>
      <c r="B113" s="228" t="n"/>
      <c r="C113" s="229" t="n"/>
      <c r="D113" s="229" t="n"/>
      <c r="E113" s="229" t="n"/>
      <c r="F113" s="230" t="n"/>
      <c r="G113" s="230" t="n"/>
      <c r="H113" s="231" t="n"/>
      <c r="I113" s="232" t="n"/>
      <c r="J113" s="232" t="n"/>
      <c r="K113" s="233" t="n"/>
      <c r="L113" s="233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56" t="n"/>
      <c r="N113" s="156" t="n"/>
      <c r="O113" s="156" t="n"/>
    </row>
    <row r="114" ht="18.75" customHeight="1" s="153">
      <c r="A114" s="237" t="n"/>
      <c r="B114" s="238" t="n"/>
      <c r="C114" s="239" t="n"/>
      <c r="D114" s="239" t="n"/>
      <c r="E114" s="239" t="n"/>
      <c r="F114" s="240" t="n"/>
      <c r="G114" s="240" t="n"/>
      <c r="H114" s="241" t="n"/>
      <c r="I114" s="242" t="n"/>
      <c r="J114" s="242" t="n"/>
      <c r="K114" s="233" t="n"/>
      <c r="L114" s="233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56" t="n"/>
      <c r="N114" s="156" t="n"/>
      <c r="O114" s="156" t="n"/>
    </row>
    <row r="115" ht="18.75" customHeight="1" s="153">
      <c r="A115" s="227" t="n"/>
      <c r="B115" s="228" t="n"/>
      <c r="C115" s="229" t="n"/>
      <c r="D115" s="229" t="n"/>
      <c r="E115" s="229" t="n"/>
      <c r="F115" s="230" t="n"/>
      <c r="G115" s="230" t="n"/>
      <c r="H115" s="231" t="n"/>
      <c r="I115" s="232" t="n"/>
      <c r="J115" s="232" t="n"/>
      <c r="K115" s="233" t="n"/>
      <c r="L115" s="233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56" t="n"/>
      <c r="N115" s="156" t="n"/>
      <c r="O115" s="156" t="n"/>
    </row>
    <row r="116" ht="18.75" customHeight="1" s="153">
      <c r="A116" s="237" t="n"/>
      <c r="B116" s="238" t="n"/>
      <c r="C116" s="239" t="n"/>
      <c r="D116" s="239" t="n"/>
      <c r="E116" s="239" t="n"/>
      <c r="F116" s="240" t="n"/>
      <c r="G116" s="240" t="n"/>
      <c r="H116" s="241" t="n"/>
      <c r="I116" s="242" t="n"/>
      <c r="J116" s="242" t="n"/>
      <c r="K116" s="233" t="n"/>
      <c r="L116" s="233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56" t="n"/>
      <c r="N116" s="156" t="n"/>
      <c r="O116" s="156" t="n"/>
    </row>
    <row r="117" ht="18.75" customHeight="1" s="153">
      <c r="A117" s="227" t="n"/>
      <c r="B117" s="228" t="n"/>
      <c r="C117" s="229" t="n"/>
      <c r="D117" s="229" t="n"/>
      <c r="E117" s="229" t="n"/>
      <c r="F117" s="230" t="n"/>
      <c r="G117" s="230" t="n"/>
      <c r="H117" s="231" t="n"/>
      <c r="I117" s="232" t="n"/>
      <c r="J117" s="232" t="n"/>
      <c r="K117" s="233" t="n"/>
      <c r="L117" s="233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56" t="n"/>
      <c r="N117" s="156" t="n"/>
      <c r="O117" s="156" t="n"/>
    </row>
    <row r="118" ht="18.75" customHeight="1" s="153">
      <c r="A118" s="237" t="n"/>
      <c r="B118" s="238" t="n"/>
      <c r="C118" s="239" t="n"/>
      <c r="D118" s="239" t="n"/>
      <c r="E118" s="239" t="n"/>
      <c r="F118" s="240" t="n"/>
      <c r="G118" s="240" t="n"/>
      <c r="H118" s="241" t="n"/>
      <c r="I118" s="242" t="n"/>
      <c r="J118" s="242" t="n"/>
      <c r="K118" s="233" t="n"/>
      <c r="L118" s="233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56" t="n"/>
      <c r="N118" s="156" t="n"/>
      <c r="O118" s="156" t="n"/>
    </row>
    <row r="119" ht="18.75" customHeight="1" s="153">
      <c r="A119" s="227" t="n"/>
      <c r="B119" s="228" t="n"/>
      <c r="C119" s="229" t="n"/>
      <c r="D119" s="229" t="n"/>
      <c r="E119" s="229" t="n"/>
      <c r="F119" s="230" t="n"/>
      <c r="G119" s="230" t="n"/>
      <c r="H119" s="231" t="n"/>
      <c r="I119" s="232" t="n"/>
      <c r="J119" s="232" t="n"/>
      <c r="K119" s="233" t="n"/>
      <c r="L119" s="233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56" t="n"/>
      <c r="N119" s="156" t="n"/>
      <c r="O119" s="156" t="n"/>
    </row>
    <row r="120" ht="18.75" customHeight="1" s="153">
      <c r="A120" s="237" t="n"/>
      <c r="B120" s="238" t="n"/>
      <c r="C120" s="239" t="n"/>
      <c r="D120" s="239" t="n"/>
      <c r="E120" s="239" t="n"/>
      <c r="F120" s="240" t="n"/>
      <c r="G120" s="240" t="n"/>
      <c r="H120" s="241" t="n"/>
      <c r="I120" s="242" t="n"/>
      <c r="J120" s="242" t="n"/>
      <c r="K120" s="233" t="n"/>
      <c r="L120" s="233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56" t="n"/>
      <c r="N120" s="156" t="n"/>
      <c r="O120" s="156" t="n"/>
    </row>
    <row r="121" ht="18.75" customHeight="1" s="153">
      <c r="A121" s="227" t="n"/>
      <c r="B121" s="228" t="n"/>
      <c r="C121" s="229" t="n"/>
      <c r="D121" s="229" t="n"/>
      <c r="E121" s="229" t="n"/>
      <c r="F121" s="230" t="n"/>
      <c r="G121" s="230" t="n"/>
      <c r="H121" s="231" t="n"/>
      <c r="I121" s="232" t="n"/>
      <c r="J121" s="232" t="n"/>
      <c r="K121" s="233" t="n"/>
      <c r="L121" s="233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56" t="n"/>
      <c r="N121" s="156" t="n"/>
      <c r="O121" s="156" t="n"/>
    </row>
    <row r="122" ht="18.75" customHeight="1" s="153">
      <c r="A122" s="237" t="n"/>
      <c r="B122" s="238" t="n"/>
      <c r="C122" s="239" t="n"/>
      <c r="D122" s="239" t="n"/>
      <c r="E122" s="239" t="n"/>
      <c r="F122" s="240" t="n"/>
      <c r="G122" s="240" t="n"/>
      <c r="H122" s="241" t="n"/>
      <c r="I122" s="242" t="n"/>
      <c r="J122" s="242" t="n"/>
      <c r="K122" s="233" t="n"/>
      <c r="L122" s="233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56" t="n"/>
      <c r="N122" s="156" t="n"/>
      <c r="O122" s="156" t="n"/>
    </row>
    <row r="123" ht="18.75" customHeight="1" s="153">
      <c r="A123" s="227" t="n"/>
      <c r="B123" s="228" t="n"/>
      <c r="C123" s="229" t="n"/>
      <c r="D123" s="229" t="n"/>
      <c r="E123" s="229" t="n"/>
      <c r="F123" s="230" t="n"/>
      <c r="G123" s="230" t="n"/>
      <c r="H123" s="231" t="n"/>
      <c r="I123" s="232" t="n"/>
      <c r="J123" s="232" t="n"/>
      <c r="K123" s="233" t="n"/>
      <c r="L123" s="233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56" t="n"/>
      <c r="N123" s="156" t="n"/>
      <c r="O123" s="156" t="n"/>
    </row>
    <row r="124" ht="18.75" customHeight="1" s="153">
      <c r="A124" s="237" t="n"/>
      <c r="B124" s="238" t="n"/>
      <c r="C124" s="239" t="n"/>
      <c r="D124" s="239" t="n"/>
      <c r="E124" s="239" t="n"/>
      <c r="F124" s="240" t="n"/>
      <c r="G124" s="240" t="n"/>
      <c r="H124" s="241" t="n"/>
      <c r="I124" s="242" t="n"/>
      <c r="J124" s="242" t="n"/>
      <c r="K124" s="233" t="n"/>
      <c r="L124" s="233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56" t="n"/>
      <c r="N124" s="156" t="n"/>
      <c r="O124" s="156" t="n"/>
    </row>
    <row r="125" ht="18.75" customHeight="1" s="153">
      <c r="A125" s="227" t="n"/>
      <c r="B125" s="228" t="n"/>
      <c r="C125" s="229" t="n"/>
      <c r="D125" s="229" t="n"/>
      <c r="E125" s="229" t="n"/>
      <c r="F125" s="230" t="n"/>
      <c r="G125" s="230" t="n"/>
      <c r="H125" s="231" t="n"/>
      <c r="I125" s="232" t="n"/>
      <c r="J125" s="232" t="n"/>
      <c r="K125" s="233" t="n"/>
      <c r="L125" s="233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56" t="n"/>
      <c r="N125" s="156" t="n"/>
      <c r="O125" s="156" t="n"/>
    </row>
    <row r="126" ht="18.75" customHeight="1" s="153">
      <c r="A126" s="237" t="n"/>
      <c r="B126" s="238" t="n"/>
      <c r="C126" s="239" t="n"/>
      <c r="D126" s="239" t="n"/>
      <c r="E126" s="239" t="n"/>
      <c r="F126" s="240" t="n"/>
      <c r="G126" s="240" t="n"/>
      <c r="H126" s="241" t="n"/>
      <c r="I126" s="242" t="n"/>
      <c r="J126" s="242" t="n"/>
      <c r="K126" s="233" t="n"/>
      <c r="L126" s="233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56" t="n"/>
      <c r="N126" s="156" t="n"/>
      <c r="O126" s="156" t="n"/>
    </row>
    <row r="127" ht="18.75" customHeight="1" s="153">
      <c r="A127" s="227" t="n"/>
      <c r="B127" s="228" t="n"/>
      <c r="C127" s="229" t="n"/>
      <c r="D127" s="229" t="n"/>
      <c r="E127" s="229" t="n"/>
      <c r="F127" s="230" t="n"/>
      <c r="G127" s="230" t="n"/>
      <c r="H127" s="231" t="n"/>
      <c r="I127" s="232" t="n"/>
      <c r="J127" s="232" t="n"/>
      <c r="K127" s="233" t="n"/>
      <c r="L127" s="233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56" t="n"/>
      <c r="N127" s="156" t="n"/>
      <c r="O127" s="156" t="n"/>
    </row>
    <row r="128" ht="18.75" customHeight="1" s="153">
      <c r="A128" s="237" t="n"/>
      <c r="B128" s="238" t="n"/>
      <c r="C128" s="239" t="n"/>
      <c r="D128" s="239" t="n"/>
      <c r="E128" s="239" t="n"/>
      <c r="F128" s="240" t="n"/>
      <c r="G128" s="240" t="n"/>
      <c r="H128" s="241" t="n"/>
      <c r="I128" s="242" t="n"/>
      <c r="J128" s="242" t="n"/>
      <c r="K128" s="233" t="n"/>
      <c r="L128" s="233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56" t="n"/>
      <c r="N128" s="156" t="n"/>
      <c r="O128" s="156" t="n"/>
    </row>
    <row r="129" ht="18.75" customHeight="1" s="153">
      <c r="A129" s="227" t="n"/>
      <c r="B129" s="228" t="n"/>
      <c r="C129" s="229" t="n"/>
      <c r="D129" s="229" t="n"/>
      <c r="E129" s="229" t="n"/>
      <c r="F129" s="230" t="n"/>
      <c r="G129" s="230" t="n"/>
      <c r="H129" s="231" t="n"/>
      <c r="I129" s="232" t="n"/>
      <c r="J129" s="232" t="n"/>
      <c r="K129" s="233" t="n"/>
      <c r="L129" s="233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56" t="n"/>
      <c r="N129" s="156" t="n"/>
      <c r="O129" s="156" t="n"/>
    </row>
    <row r="130" ht="18.75" customHeight="1" s="153">
      <c r="A130" s="237" t="n"/>
      <c r="B130" s="238" t="n"/>
      <c r="C130" s="239" t="n"/>
      <c r="D130" s="239" t="n"/>
      <c r="E130" s="239" t="n"/>
      <c r="F130" s="240" t="n"/>
      <c r="G130" s="240" t="n"/>
      <c r="H130" s="241" t="n"/>
      <c r="I130" s="242" t="n"/>
      <c r="J130" s="242" t="n"/>
      <c r="K130" s="233" t="n"/>
      <c r="L130" s="233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56" t="n"/>
      <c r="N130" s="156" t="n"/>
      <c r="O130" s="156" t="n"/>
    </row>
    <row r="131" ht="18.75" customHeight="1" s="153">
      <c r="A131" s="227" t="n"/>
      <c r="B131" s="228" t="n"/>
      <c r="C131" s="229" t="n"/>
      <c r="D131" s="229" t="n"/>
      <c r="E131" s="229" t="n"/>
      <c r="F131" s="230" t="n"/>
      <c r="G131" s="230" t="n"/>
      <c r="H131" s="231" t="n"/>
      <c r="I131" s="232" t="n"/>
      <c r="J131" s="232" t="n"/>
      <c r="K131" s="233" t="n"/>
      <c r="L131" s="233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56" t="n"/>
      <c r="N131" s="156" t="n"/>
      <c r="O131" s="156" t="n"/>
    </row>
    <row r="132" ht="18.75" customHeight="1" s="153">
      <c r="A132" s="237" t="n"/>
      <c r="B132" s="238" t="n"/>
      <c r="C132" s="239" t="n"/>
      <c r="D132" s="239" t="n"/>
      <c r="E132" s="239" t="n"/>
      <c r="F132" s="240" t="n"/>
      <c r="G132" s="240" t="n"/>
      <c r="H132" s="241" t="n"/>
      <c r="I132" s="242" t="n"/>
      <c r="J132" s="242" t="n"/>
      <c r="K132" s="233" t="n"/>
      <c r="L132" s="233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56" t="n"/>
      <c r="N132" s="156" t="n"/>
      <c r="O132" s="156" t="n"/>
    </row>
    <row r="133" ht="18.75" customHeight="1" s="153">
      <c r="A133" s="227" t="n"/>
      <c r="B133" s="228" t="n"/>
      <c r="C133" s="229" t="n"/>
      <c r="D133" s="229" t="n"/>
      <c r="E133" s="229" t="n"/>
      <c r="F133" s="230" t="n"/>
      <c r="G133" s="230" t="n"/>
      <c r="H133" s="231" t="n"/>
      <c r="I133" s="232" t="n"/>
      <c r="J133" s="232" t="n"/>
      <c r="K133" s="233" t="n"/>
      <c r="L133" s="233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56" t="n"/>
      <c r="N133" s="156" t="n"/>
      <c r="O133" s="156" t="n"/>
    </row>
    <row r="134" ht="18.75" customHeight="1" s="153">
      <c r="A134" s="237" t="n"/>
      <c r="B134" s="238" t="n"/>
      <c r="C134" s="239" t="n"/>
      <c r="D134" s="239" t="n"/>
      <c r="E134" s="239" t="n"/>
      <c r="F134" s="240" t="n"/>
      <c r="G134" s="240" t="n"/>
      <c r="H134" s="241" t="n"/>
      <c r="I134" s="242" t="n"/>
      <c r="J134" s="242" t="n"/>
      <c r="K134" s="233" t="n"/>
      <c r="L134" s="233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56" t="n"/>
      <c r="N134" s="156" t="n"/>
      <c r="O134" s="156" t="n"/>
    </row>
    <row r="135" ht="18.75" customHeight="1" s="153">
      <c r="A135" s="227" t="n"/>
      <c r="B135" s="228" t="n"/>
      <c r="C135" s="229" t="n"/>
      <c r="D135" s="229" t="n"/>
      <c r="E135" s="229" t="n"/>
      <c r="F135" s="230" t="n"/>
      <c r="G135" s="230" t="n"/>
      <c r="H135" s="231" t="n"/>
      <c r="I135" s="232" t="n"/>
      <c r="J135" s="232" t="n"/>
      <c r="K135" s="233" t="n"/>
      <c r="L135" s="233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56" t="n"/>
      <c r="N135" s="156" t="n"/>
      <c r="O135" s="156" t="n"/>
    </row>
    <row r="136" ht="18.75" customHeight="1" s="153">
      <c r="A136" s="237" t="n"/>
      <c r="B136" s="238" t="n"/>
      <c r="C136" s="239" t="n"/>
      <c r="D136" s="239" t="n"/>
      <c r="E136" s="239" t="n"/>
      <c r="F136" s="240" t="n"/>
      <c r="G136" s="240" t="n"/>
      <c r="H136" s="241" t="n"/>
      <c r="I136" s="242" t="n"/>
      <c r="J136" s="242" t="n"/>
      <c r="K136" s="233" t="n"/>
      <c r="L136" s="233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56" t="n"/>
      <c r="N136" s="156" t="n"/>
      <c r="O136" s="156" t="n"/>
    </row>
    <row r="137" ht="18.75" customHeight="1" s="153">
      <c r="A137" s="227" t="n"/>
      <c r="B137" s="228" t="n"/>
      <c r="C137" s="229" t="n"/>
      <c r="D137" s="229" t="n"/>
      <c r="E137" s="229" t="n"/>
      <c r="F137" s="230" t="n"/>
      <c r="G137" s="230" t="n"/>
      <c r="H137" s="231" t="n"/>
      <c r="I137" s="232" t="n"/>
      <c r="J137" s="232" t="n"/>
      <c r="K137" s="233" t="n"/>
      <c r="L137" s="233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56" t="n"/>
      <c r="N137" s="156" t="n"/>
      <c r="O137" s="156" t="n"/>
    </row>
    <row r="138" ht="18.75" customHeight="1" s="153">
      <c r="A138" s="237" t="n"/>
      <c r="B138" s="238" t="n"/>
      <c r="C138" s="239" t="n"/>
      <c r="D138" s="239" t="n"/>
      <c r="E138" s="239" t="n"/>
      <c r="F138" s="240" t="n"/>
      <c r="G138" s="240" t="n"/>
      <c r="H138" s="241" t="n"/>
      <c r="I138" s="242" t="n"/>
      <c r="J138" s="242" t="n"/>
      <c r="K138" s="233" t="n"/>
      <c r="L138" s="233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56" t="n"/>
      <c r="N138" s="156" t="n"/>
      <c r="O138" s="156" t="n"/>
    </row>
    <row r="139" ht="18.75" customHeight="1" s="153">
      <c r="A139" s="227" t="n"/>
      <c r="B139" s="228" t="n"/>
      <c r="C139" s="229" t="n"/>
      <c r="D139" s="229" t="n"/>
      <c r="E139" s="229" t="n"/>
      <c r="F139" s="230" t="n"/>
      <c r="G139" s="230" t="n"/>
      <c r="H139" s="231" t="n"/>
      <c r="I139" s="232" t="n"/>
      <c r="J139" s="232" t="n"/>
      <c r="K139" s="233" t="n"/>
      <c r="L139" s="233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56" t="n"/>
      <c r="N139" s="156" t="n"/>
      <c r="O139" s="156" t="n"/>
    </row>
    <row r="140" ht="18.75" customHeight="1" s="153">
      <c r="A140" s="237" t="n"/>
      <c r="B140" s="238" t="n"/>
      <c r="C140" s="239" t="n"/>
      <c r="D140" s="239" t="n"/>
      <c r="E140" s="239" t="n"/>
      <c r="F140" s="240" t="n"/>
      <c r="G140" s="240" t="n"/>
      <c r="H140" s="241" t="n"/>
      <c r="I140" s="242" t="n"/>
      <c r="J140" s="242" t="n"/>
      <c r="K140" s="233" t="n"/>
      <c r="L140" s="233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56" t="n"/>
      <c r="N140" s="156" t="n"/>
      <c r="O140" s="156" t="n"/>
    </row>
    <row r="141" ht="18.75" customHeight="1" s="153">
      <c r="A141" s="227" t="n"/>
      <c r="B141" s="228" t="n"/>
      <c r="C141" s="229" t="n"/>
      <c r="D141" s="229" t="n"/>
      <c r="E141" s="229" t="n"/>
      <c r="F141" s="230" t="n"/>
      <c r="G141" s="230" t="n"/>
      <c r="H141" s="231" t="n"/>
      <c r="I141" s="232" t="n"/>
      <c r="J141" s="232" t="n"/>
      <c r="K141" s="233" t="n"/>
      <c r="L141" s="233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56" t="n"/>
      <c r="N141" s="156" t="n"/>
      <c r="O141" s="156" t="n"/>
    </row>
    <row r="142" ht="18.75" customHeight="1" s="153">
      <c r="A142" s="237" t="n"/>
      <c r="B142" s="238" t="n"/>
      <c r="C142" s="239" t="n"/>
      <c r="D142" s="239" t="n"/>
      <c r="E142" s="239" t="n"/>
      <c r="F142" s="240" t="n"/>
      <c r="G142" s="240" t="n"/>
      <c r="H142" s="241" t="n"/>
      <c r="I142" s="242" t="n"/>
      <c r="J142" s="242" t="n"/>
      <c r="K142" s="233" t="n"/>
      <c r="L142" s="233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56" t="n"/>
      <c r="N142" s="156" t="n"/>
      <c r="O142" s="156" t="n"/>
    </row>
    <row r="143" ht="18.75" customHeight="1" s="153">
      <c r="A143" s="227" t="n"/>
      <c r="B143" s="228" t="n"/>
      <c r="C143" s="229" t="n"/>
      <c r="D143" s="229" t="n"/>
      <c r="E143" s="229" t="n"/>
      <c r="F143" s="230" t="n"/>
      <c r="G143" s="230" t="n"/>
      <c r="H143" s="231" t="n"/>
      <c r="I143" s="232" t="n"/>
      <c r="J143" s="232" t="n"/>
      <c r="K143" s="233" t="n"/>
      <c r="L143" s="233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56" t="n"/>
      <c r="N143" s="156" t="n"/>
      <c r="O143" s="156" t="n"/>
    </row>
    <row r="144" ht="18.75" customHeight="1" s="153">
      <c r="A144" s="237" t="n"/>
      <c r="B144" s="238" t="n"/>
      <c r="C144" s="239" t="n"/>
      <c r="D144" s="239" t="n"/>
      <c r="E144" s="239" t="n"/>
      <c r="F144" s="240" t="n"/>
      <c r="G144" s="240" t="n"/>
      <c r="H144" s="241" t="n"/>
      <c r="I144" s="242" t="n"/>
      <c r="J144" s="242" t="n"/>
      <c r="K144" s="233" t="n"/>
      <c r="L144" s="233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56" t="n"/>
      <c r="N144" s="156" t="n"/>
      <c r="O144" s="156" t="n"/>
    </row>
    <row r="145" ht="18.75" customHeight="1" s="153">
      <c r="A145" s="227" t="n"/>
      <c r="B145" s="228" t="n"/>
      <c r="C145" s="229" t="n"/>
      <c r="D145" s="229" t="n"/>
      <c r="E145" s="229" t="n"/>
      <c r="F145" s="230" t="n"/>
      <c r="G145" s="230" t="n"/>
      <c r="H145" s="231" t="n"/>
      <c r="I145" s="232" t="n"/>
      <c r="J145" s="232" t="n"/>
      <c r="K145" s="233" t="n"/>
      <c r="L145" s="233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56" t="n"/>
      <c r="N145" s="156" t="n"/>
      <c r="O145" s="156" t="n"/>
    </row>
    <row r="146" ht="18.75" customHeight="1" s="153">
      <c r="A146" s="237" t="n"/>
      <c r="B146" s="238" t="n"/>
      <c r="C146" s="239" t="n"/>
      <c r="D146" s="239" t="n"/>
      <c r="E146" s="239" t="n"/>
      <c r="F146" s="240" t="n"/>
      <c r="G146" s="240" t="n"/>
      <c r="H146" s="241" t="n"/>
      <c r="I146" s="242" t="n"/>
      <c r="J146" s="242" t="n"/>
      <c r="K146" s="233" t="n"/>
      <c r="L146" s="233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56" t="n"/>
      <c r="N146" s="156" t="n"/>
      <c r="O146" s="156" t="n"/>
    </row>
    <row r="147" ht="18.75" customHeight="1" s="153">
      <c r="A147" s="227" t="n"/>
      <c r="B147" s="228" t="n"/>
      <c r="C147" s="229" t="n"/>
      <c r="D147" s="229" t="n"/>
      <c r="E147" s="229" t="n"/>
      <c r="F147" s="230" t="n"/>
      <c r="G147" s="230" t="n"/>
      <c r="H147" s="231" t="n"/>
      <c r="I147" s="232" t="n"/>
      <c r="J147" s="232" t="n"/>
      <c r="K147" s="233" t="n"/>
      <c r="L147" s="233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56" t="n"/>
      <c r="N147" s="156" t="n"/>
      <c r="O147" s="156" t="n"/>
    </row>
    <row r="148" ht="18.75" customHeight="1" s="153">
      <c r="A148" s="237" t="n"/>
      <c r="B148" s="238" t="n"/>
      <c r="C148" s="239" t="n"/>
      <c r="D148" s="239" t="n"/>
      <c r="E148" s="239" t="n"/>
      <c r="F148" s="240" t="n"/>
      <c r="G148" s="240" t="n"/>
      <c r="H148" s="241" t="n"/>
      <c r="I148" s="242" t="n"/>
      <c r="J148" s="242" t="n"/>
      <c r="K148" s="233" t="n"/>
      <c r="L148" s="233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56" t="n"/>
      <c r="N148" s="156" t="n"/>
      <c r="O148" s="156" t="n"/>
    </row>
    <row r="149" ht="18.75" customHeight="1" s="153">
      <c r="A149" s="227" t="n"/>
      <c r="B149" s="228" t="n"/>
      <c r="C149" s="229" t="n"/>
      <c r="D149" s="229" t="n"/>
      <c r="E149" s="229" t="n"/>
      <c r="F149" s="230" t="n"/>
      <c r="G149" s="230" t="n"/>
      <c r="H149" s="231" t="n"/>
      <c r="I149" s="232" t="n"/>
      <c r="J149" s="232" t="n"/>
      <c r="K149" s="233" t="n"/>
      <c r="L149" s="233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56" t="n"/>
      <c r="N149" s="156" t="n"/>
      <c r="O149" s="156" t="n"/>
    </row>
    <row r="150" ht="18.75" customHeight="1" s="153">
      <c r="A150" s="237" t="n"/>
      <c r="B150" s="238" t="n"/>
      <c r="C150" s="239" t="n"/>
      <c r="D150" s="239" t="n"/>
      <c r="E150" s="239" t="n"/>
      <c r="F150" s="240" t="n"/>
      <c r="G150" s="240" t="n"/>
      <c r="H150" s="241" t="n"/>
      <c r="I150" s="242" t="n"/>
      <c r="J150" s="242" t="n"/>
      <c r="K150" s="233" t="n"/>
      <c r="L150" s="233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56" t="n"/>
      <c r="N150" s="156" t="n"/>
      <c r="O150" s="156" t="n"/>
    </row>
    <row r="151" ht="18.75" customHeight="1" s="153">
      <c r="A151" s="227" t="n"/>
      <c r="B151" s="228" t="n"/>
      <c r="C151" s="229" t="n"/>
      <c r="D151" s="229" t="n"/>
      <c r="E151" s="229" t="n"/>
      <c r="F151" s="230" t="n"/>
      <c r="G151" s="230" t="n"/>
      <c r="H151" s="231" t="n"/>
      <c r="I151" s="232" t="n"/>
      <c r="J151" s="232" t="n"/>
      <c r="K151" s="233" t="n"/>
      <c r="L151" s="233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56" t="n"/>
      <c r="N151" s="156" t="n"/>
      <c r="O151" s="156" t="n"/>
    </row>
    <row r="152" ht="18.75" customHeight="1" s="153">
      <c r="A152" s="237" t="n"/>
      <c r="B152" s="238" t="n"/>
      <c r="C152" s="239" t="n"/>
      <c r="D152" s="239" t="n"/>
      <c r="E152" s="239" t="n"/>
      <c r="F152" s="240" t="n"/>
      <c r="G152" s="240" t="n"/>
      <c r="H152" s="241" t="n"/>
      <c r="I152" s="242" t="n"/>
      <c r="J152" s="242" t="n"/>
      <c r="K152" s="233" t="n"/>
      <c r="L152" s="233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56" t="n"/>
      <c r="N152" s="156" t="n"/>
      <c r="O152" s="156" t="n"/>
    </row>
    <row r="153" ht="18.75" customHeight="1" s="153">
      <c r="A153" s="227" t="n"/>
      <c r="B153" s="228" t="n"/>
      <c r="C153" s="229" t="n"/>
      <c r="D153" s="229" t="n"/>
      <c r="E153" s="229" t="n"/>
      <c r="F153" s="230" t="n"/>
      <c r="G153" s="230" t="n"/>
      <c r="H153" s="231" t="n"/>
      <c r="I153" s="232" t="n"/>
      <c r="J153" s="232" t="n"/>
      <c r="K153" s="233" t="n"/>
      <c r="L153" s="233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56" t="n"/>
      <c r="N153" s="156" t="n"/>
      <c r="O153" s="156" t="n"/>
    </row>
    <row r="154" ht="18.75" customHeight="1" s="153">
      <c r="A154" s="237" t="n"/>
      <c r="B154" s="238" t="n"/>
      <c r="C154" s="239" t="n"/>
      <c r="D154" s="239" t="n"/>
      <c r="E154" s="239" t="n"/>
      <c r="F154" s="240" t="n"/>
      <c r="G154" s="240" t="n"/>
      <c r="H154" s="241" t="n"/>
      <c r="I154" s="242" t="n"/>
      <c r="J154" s="242" t="n"/>
      <c r="K154" s="233" t="n"/>
      <c r="L154" s="233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56" t="n"/>
      <c r="N154" s="156" t="n"/>
      <c r="O154" s="156" t="n"/>
    </row>
    <row r="155" ht="18.75" customHeight="1" s="153">
      <c r="A155" s="227" t="n"/>
      <c r="B155" s="228" t="n"/>
      <c r="C155" s="229" t="n"/>
      <c r="D155" s="229" t="n"/>
      <c r="E155" s="229" t="n"/>
      <c r="F155" s="230" t="n"/>
      <c r="G155" s="230" t="n"/>
      <c r="H155" s="231" t="n"/>
      <c r="I155" s="232" t="n"/>
      <c r="J155" s="232" t="n"/>
      <c r="K155" s="233" t="n"/>
      <c r="L155" s="233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56" t="n"/>
      <c r="N155" s="156" t="n"/>
      <c r="O155" s="156" t="n"/>
    </row>
    <row r="156" ht="18.75" customHeight="1" s="153">
      <c r="A156" s="237" t="n"/>
      <c r="B156" s="238" t="n"/>
      <c r="C156" s="239" t="n"/>
      <c r="D156" s="239" t="n"/>
      <c r="E156" s="239" t="n"/>
      <c r="F156" s="240" t="n"/>
      <c r="G156" s="240" t="n"/>
      <c r="H156" s="241" t="n"/>
      <c r="I156" s="242" t="n"/>
      <c r="J156" s="242" t="n"/>
      <c r="K156" s="233" t="n"/>
      <c r="L156" s="233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56" t="n"/>
      <c r="N156" s="156" t="n"/>
      <c r="O156" s="156" t="n"/>
    </row>
    <row r="157" ht="18.75" customHeight="1" s="153">
      <c r="A157" s="227" t="n"/>
      <c r="B157" s="228" t="n"/>
      <c r="C157" s="229" t="n"/>
      <c r="D157" s="229" t="n"/>
      <c r="E157" s="229" t="n"/>
      <c r="F157" s="230" t="n"/>
      <c r="G157" s="230" t="n"/>
      <c r="H157" s="231" t="n"/>
      <c r="I157" s="232" t="n"/>
      <c r="J157" s="232" t="n"/>
      <c r="K157" s="233" t="n"/>
      <c r="L157" s="233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56" t="n"/>
      <c r="N157" s="156" t="n"/>
      <c r="O157" s="156" t="n"/>
    </row>
    <row r="158" ht="18.75" customHeight="1" s="153">
      <c r="A158" s="237" t="n"/>
      <c r="B158" s="238" t="n"/>
      <c r="C158" s="239" t="n"/>
      <c r="D158" s="239" t="n"/>
      <c r="E158" s="239" t="n"/>
      <c r="F158" s="240" t="n"/>
      <c r="G158" s="240" t="n"/>
      <c r="H158" s="241" t="n"/>
      <c r="I158" s="242" t="n"/>
      <c r="J158" s="242" t="n"/>
      <c r="K158" s="233" t="n"/>
      <c r="L158" s="233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56" t="n"/>
      <c r="N158" s="156" t="n"/>
      <c r="O158" s="156" t="n"/>
    </row>
    <row r="159" ht="18.75" customHeight="1" s="153">
      <c r="A159" s="227" t="n"/>
      <c r="B159" s="228" t="n"/>
      <c r="C159" s="229" t="n"/>
      <c r="D159" s="229" t="n"/>
      <c r="E159" s="229" t="n"/>
      <c r="F159" s="230" t="n"/>
      <c r="G159" s="230" t="n"/>
      <c r="H159" s="231" t="n"/>
      <c r="I159" s="232" t="n"/>
      <c r="J159" s="232" t="n"/>
      <c r="K159" s="233" t="n"/>
      <c r="L159" s="233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56" t="n"/>
      <c r="N159" s="156" t="n"/>
      <c r="O159" s="156" t="n"/>
    </row>
    <row r="160" ht="18.75" customHeight="1" s="153">
      <c r="A160" s="237" t="n"/>
      <c r="B160" s="238" t="n"/>
      <c r="C160" s="239" t="n"/>
      <c r="D160" s="239" t="n"/>
      <c r="E160" s="239" t="n"/>
      <c r="F160" s="240" t="n"/>
      <c r="G160" s="240" t="n"/>
      <c r="H160" s="241" t="n"/>
      <c r="I160" s="242" t="n"/>
      <c r="J160" s="242" t="n"/>
      <c r="K160" s="233" t="n"/>
      <c r="L160" s="233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56" t="n"/>
      <c r="N160" s="156" t="n"/>
      <c r="O160" s="156" t="n"/>
    </row>
    <row r="161" ht="18.75" customHeight="1" s="153">
      <c r="A161" s="227" t="n"/>
      <c r="B161" s="228" t="n"/>
      <c r="C161" s="229" t="n"/>
      <c r="D161" s="229" t="n"/>
      <c r="E161" s="229" t="n"/>
      <c r="F161" s="230" t="n"/>
      <c r="G161" s="230" t="n"/>
      <c r="H161" s="231" t="n"/>
      <c r="I161" s="232" t="n"/>
      <c r="J161" s="232" t="n"/>
      <c r="K161" s="233" t="n"/>
      <c r="L161" s="233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56" t="n"/>
      <c r="N161" s="156" t="n"/>
      <c r="O161" s="156" t="n"/>
    </row>
    <row r="162" ht="18.75" customHeight="1" s="153">
      <c r="A162" s="237" t="n"/>
      <c r="B162" s="238" t="n"/>
      <c r="C162" s="239" t="n"/>
      <c r="D162" s="239" t="n"/>
      <c r="E162" s="239" t="n"/>
      <c r="F162" s="240" t="n"/>
      <c r="G162" s="240" t="n"/>
      <c r="H162" s="241" t="n"/>
      <c r="I162" s="242" t="n"/>
      <c r="J162" s="242" t="n"/>
      <c r="K162" s="233" t="n"/>
      <c r="L162" s="233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56" t="n"/>
      <c r="N162" s="156" t="n"/>
      <c r="O162" s="156" t="n"/>
    </row>
    <row r="163" ht="18.75" customHeight="1" s="153">
      <c r="A163" s="227" t="n"/>
      <c r="B163" s="228" t="n"/>
      <c r="C163" s="229" t="n"/>
      <c r="D163" s="229" t="n"/>
      <c r="E163" s="229" t="n"/>
      <c r="F163" s="230" t="n"/>
      <c r="G163" s="230" t="n"/>
      <c r="H163" s="231" t="n"/>
      <c r="I163" s="232" t="n"/>
      <c r="J163" s="232" t="n"/>
      <c r="K163" s="233" t="n"/>
      <c r="L163" s="233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56" t="n"/>
      <c r="N163" s="156" t="n"/>
      <c r="O163" s="156" t="n"/>
    </row>
    <row r="164" ht="18.75" customHeight="1" s="153">
      <c r="A164" s="237" t="n"/>
      <c r="B164" s="238" t="n"/>
      <c r="C164" s="239" t="n"/>
      <c r="D164" s="239" t="n"/>
      <c r="E164" s="239" t="n"/>
      <c r="F164" s="240" t="n"/>
      <c r="G164" s="240" t="n"/>
      <c r="H164" s="241" t="n"/>
      <c r="I164" s="242" t="n"/>
      <c r="J164" s="242" t="n"/>
      <c r="K164" s="233" t="n"/>
      <c r="L164" s="233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56" t="n"/>
      <c r="N164" s="156" t="n"/>
      <c r="O164" s="156" t="n"/>
    </row>
    <row r="165" ht="18.75" customHeight="1" s="153">
      <c r="A165" s="227" t="n"/>
      <c r="B165" s="228" t="n"/>
      <c r="C165" s="229" t="n"/>
      <c r="D165" s="229" t="n"/>
      <c r="E165" s="229" t="n"/>
      <c r="F165" s="230" t="n"/>
      <c r="G165" s="230" t="n"/>
      <c r="H165" s="231" t="n"/>
      <c r="I165" s="232" t="n"/>
      <c r="J165" s="232" t="n"/>
      <c r="K165" s="233" t="n"/>
      <c r="L165" s="233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56" t="n"/>
      <c r="N165" s="156" t="n"/>
      <c r="O165" s="156" t="n"/>
    </row>
    <row r="166" ht="18.75" customHeight="1" s="153">
      <c r="A166" s="237" t="n"/>
      <c r="B166" s="238" t="n"/>
      <c r="C166" s="239" t="n"/>
      <c r="D166" s="239" t="n"/>
      <c r="E166" s="239" t="n"/>
      <c r="F166" s="240" t="n"/>
      <c r="G166" s="240" t="n"/>
      <c r="H166" s="241" t="n"/>
      <c r="I166" s="242" t="n"/>
      <c r="J166" s="242" t="n"/>
      <c r="K166" s="233" t="n"/>
      <c r="L166" s="233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56" t="n"/>
      <c r="N166" s="156" t="n"/>
      <c r="O166" s="156" t="n"/>
    </row>
    <row r="167" ht="18.75" customHeight="1" s="153">
      <c r="A167" s="227" t="n"/>
      <c r="B167" s="228" t="n"/>
      <c r="C167" s="229" t="n"/>
      <c r="D167" s="229" t="n"/>
      <c r="E167" s="229" t="n"/>
      <c r="F167" s="230" t="n"/>
      <c r="G167" s="230" t="n"/>
      <c r="H167" s="231" t="n"/>
      <c r="I167" s="232" t="n"/>
      <c r="J167" s="232" t="n"/>
      <c r="K167" s="233" t="n"/>
      <c r="L167" s="233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56" t="n"/>
      <c r="N167" s="156" t="n"/>
      <c r="O167" s="156" t="n"/>
    </row>
    <row r="168" ht="18.75" customHeight="1" s="153">
      <c r="A168" s="237" t="n"/>
      <c r="B168" s="238" t="n"/>
      <c r="C168" s="239" t="n"/>
      <c r="D168" s="239" t="n"/>
      <c r="E168" s="239" t="n"/>
      <c r="F168" s="240" t="n"/>
      <c r="G168" s="240" t="n"/>
      <c r="H168" s="241" t="n"/>
      <c r="I168" s="242" t="n"/>
      <c r="J168" s="242" t="n"/>
      <c r="K168" s="233" t="n"/>
      <c r="L168" s="233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56" t="n"/>
      <c r="N168" s="156" t="n"/>
      <c r="O168" s="156" t="n"/>
    </row>
    <row r="169" ht="18.75" customHeight="1" s="153">
      <c r="A169" s="227" t="n"/>
      <c r="B169" s="228" t="n"/>
      <c r="C169" s="229" t="n"/>
      <c r="D169" s="229" t="n"/>
      <c r="E169" s="229" t="n"/>
      <c r="F169" s="230" t="n"/>
      <c r="G169" s="230" t="n"/>
      <c r="H169" s="231" t="n"/>
      <c r="I169" s="232" t="n"/>
      <c r="J169" s="232" t="n"/>
      <c r="K169" s="233" t="n"/>
      <c r="L169" s="233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56" t="n"/>
      <c r="N169" s="156" t="n"/>
      <c r="O169" s="156" t="n"/>
    </row>
    <row r="170" ht="18.75" customHeight="1" s="153">
      <c r="A170" s="237" t="n"/>
      <c r="B170" s="238" t="n"/>
      <c r="C170" s="239" t="n"/>
      <c r="D170" s="239" t="n"/>
      <c r="E170" s="239" t="n"/>
      <c r="F170" s="240" t="n"/>
      <c r="G170" s="240" t="n"/>
      <c r="H170" s="241" t="n"/>
      <c r="I170" s="242" t="n"/>
      <c r="J170" s="242" t="n"/>
      <c r="K170" s="233" t="n"/>
      <c r="L170" s="233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56" t="n"/>
      <c r="N170" s="156" t="n"/>
      <c r="O170" s="156" t="n"/>
    </row>
    <row r="171" ht="18.75" customHeight="1" s="153">
      <c r="A171" s="227" t="n"/>
      <c r="B171" s="228" t="n"/>
      <c r="C171" s="229" t="n"/>
      <c r="D171" s="229" t="n"/>
      <c r="E171" s="229" t="n"/>
      <c r="F171" s="230" t="n"/>
      <c r="G171" s="230" t="n"/>
      <c r="H171" s="231" t="n"/>
      <c r="I171" s="232" t="n"/>
      <c r="J171" s="232" t="n"/>
      <c r="K171" s="233" t="n"/>
      <c r="L171" s="233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56" t="n"/>
      <c r="N171" s="156" t="n"/>
      <c r="O171" s="156" t="n"/>
    </row>
    <row r="172" ht="18.75" customHeight="1" s="153">
      <c r="A172" s="237" t="n"/>
      <c r="B172" s="238" t="n"/>
      <c r="C172" s="239" t="n"/>
      <c r="D172" s="239" t="n"/>
      <c r="E172" s="239" t="n"/>
      <c r="F172" s="240" t="n"/>
      <c r="G172" s="240" t="n"/>
      <c r="H172" s="241" t="n"/>
      <c r="I172" s="242" t="n"/>
      <c r="J172" s="242" t="n"/>
      <c r="K172" s="233" t="n"/>
      <c r="L172" s="233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56" t="n"/>
      <c r="N172" s="156" t="n"/>
      <c r="O172" s="156" t="n"/>
    </row>
    <row r="173" ht="18.75" customHeight="1" s="153">
      <c r="A173" s="227" t="n"/>
      <c r="B173" s="228" t="n"/>
      <c r="C173" s="229" t="n"/>
      <c r="D173" s="229" t="n"/>
      <c r="E173" s="229" t="n"/>
      <c r="F173" s="230" t="n"/>
      <c r="G173" s="230" t="n"/>
      <c r="H173" s="231" t="n"/>
      <c r="I173" s="232" t="n"/>
      <c r="J173" s="232" t="n"/>
      <c r="K173" s="233" t="n"/>
      <c r="L173" s="233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56" t="n"/>
      <c r="N173" s="156" t="n"/>
      <c r="O173" s="156" t="n"/>
    </row>
    <row r="174" ht="18.75" customHeight="1" s="153">
      <c r="A174" s="237" t="n"/>
      <c r="B174" s="238" t="n"/>
      <c r="C174" s="239" t="n"/>
      <c r="D174" s="239" t="n"/>
      <c r="E174" s="239" t="n"/>
      <c r="F174" s="240" t="n"/>
      <c r="G174" s="240" t="n"/>
      <c r="H174" s="241" t="n"/>
      <c r="I174" s="242" t="n"/>
      <c r="J174" s="242" t="n"/>
      <c r="K174" s="233" t="n"/>
      <c r="L174" s="233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56" t="n"/>
      <c r="N174" s="156" t="n"/>
      <c r="O174" s="156" t="n"/>
    </row>
    <row r="175" ht="18.75" customHeight="1" s="153">
      <c r="A175" s="227" t="n"/>
      <c r="B175" s="228" t="n"/>
      <c r="C175" s="229" t="n"/>
      <c r="D175" s="229" t="n"/>
      <c r="E175" s="229" t="n"/>
      <c r="F175" s="230" t="n"/>
      <c r="G175" s="230" t="n"/>
      <c r="H175" s="231" t="n"/>
      <c r="I175" s="232" t="n"/>
      <c r="J175" s="232" t="n"/>
      <c r="K175" s="233" t="n"/>
      <c r="L175" s="233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56" t="n"/>
      <c r="N175" s="156" t="n"/>
      <c r="O175" s="156" t="n"/>
    </row>
    <row r="176" ht="18.75" customHeight="1" s="153">
      <c r="A176" s="237" t="n"/>
      <c r="B176" s="238" t="n"/>
      <c r="C176" s="239" t="n"/>
      <c r="D176" s="239" t="n"/>
      <c r="E176" s="239" t="n"/>
      <c r="F176" s="240" t="n"/>
      <c r="G176" s="240" t="n"/>
      <c r="H176" s="241" t="n"/>
      <c r="I176" s="242" t="n"/>
      <c r="J176" s="242" t="n"/>
      <c r="K176" s="233" t="n"/>
      <c r="L176" s="233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56" t="n"/>
      <c r="N176" s="156" t="n"/>
      <c r="O176" s="156" t="n"/>
    </row>
    <row r="177" ht="18.75" customHeight="1" s="153">
      <c r="A177" s="227" t="n"/>
      <c r="B177" s="228" t="n"/>
      <c r="C177" s="229" t="n"/>
      <c r="D177" s="229" t="n"/>
      <c r="E177" s="229" t="n"/>
      <c r="F177" s="230" t="n"/>
      <c r="G177" s="230" t="n"/>
      <c r="H177" s="231" t="n"/>
      <c r="I177" s="232" t="n"/>
      <c r="J177" s="232" t="n"/>
      <c r="K177" s="233" t="n"/>
      <c r="L177" s="233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56" t="n"/>
      <c r="N177" s="156" t="n"/>
      <c r="O177" s="156" t="n"/>
    </row>
    <row r="178" ht="18.75" customHeight="1" s="153">
      <c r="A178" s="237" t="n"/>
      <c r="B178" s="238" t="n"/>
      <c r="C178" s="239" t="n"/>
      <c r="D178" s="239" t="n"/>
      <c r="E178" s="239" t="n"/>
      <c r="F178" s="240" t="n"/>
      <c r="G178" s="240" t="n"/>
      <c r="H178" s="241" t="n"/>
      <c r="I178" s="242" t="n"/>
      <c r="J178" s="242" t="n"/>
      <c r="K178" s="233" t="n"/>
      <c r="L178" s="233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56" t="n"/>
      <c r="N178" s="156" t="n"/>
      <c r="O178" s="156" t="n"/>
    </row>
    <row r="179" ht="18.75" customHeight="1" s="153">
      <c r="A179" s="227" t="n"/>
      <c r="B179" s="228" t="n"/>
      <c r="C179" s="229" t="n"/>
      <c r="D179" s="229" t="n"/>
      <c r="E179" s="229" t="n"/>
      <c r="F179" s="230" t="n"/>
      <c r="G179" s="230" t="n"/>
      <c r="H179" s="231" t="n"/>
      <c r="I179" s="232" t="n"/>
      <c r="J179" s="232" t="n"/>
      <c r="K179" s="233" t="n"/>
      <c r="L179" s="233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56" t="n"/>
      <c r="N179" s="156" t="n"/>
      <c r="O179" s="156" t="n"/>
    </row>
    <row r="180" ht="18.75" customHeight="1" s="153">
      <c r="A180" s="237" t="n"/>
      <c r="B180" s="238" t="n"/>
      <c r="C180" s="239" t="n"/>
      <c r="D180" s="239" t="n"/>
      <c r="E180" s="239" t="n"/>
      <c r="F180" s="240" t="n"/>
      <c r="G180" s="240" t="n"/>
      <c r="H180" s="241" t="n"/>
      <c r="I180" s="242" t="n"/>
      <c r="J180" s="242" t="n"/>
      <c r="K180" s="233" t="n"/>
      <c r="L180" s="233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56" t="n"/>
      <c r="N180" s="156" t="n"/>
      <c r="O180" s="156" t="n"/>
    </row>
    <row r="181" ht="18.75" customHeight="1" s="153">
      <c r="A181" s="227" t="n"/>
      <c r="B181" s="228" t="n"/>
      <c r="C181" s="229" t="n"/>
      <c r="D181" s="229" t="n"/>
      <c r="E181" s="229" t="n"/>
      <c r="F181" s="230" t="n"/>
      <c r="G181" s="230" t="n"/>
      <c r="H181" s="231" t="n"/>
      <c r="I181" s="232" t="n"/>
      <c r="J181" s="232" t="n"/>
      <c r="K181" s="233" t="n"/>
      <c r="L181" s="233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56" t="n"/>
      <c r="N181" s="156" t="n"/>
      <c r="O181" s="156" t="n"/>
    </row>
    <row r="182" ht="18.75" customHeight="1" s="153">
      <c r="A182" s="237" t="n"/>
      <c r="B182" s="238" t="n"/>
      <c r="C182" s="239" t="n"/>
      <c r="D182" s="239" t="n"/>
      <c r="E182" s="239" t="n"/>
      <c r="F182" s="240" t="n"/>
      <c r="G182" s="240" t="n"/>
      <c r="H182" s="241" t="n"/>
      <c r="I182" s="242" t="n"/>
      <c r="J182" s="242" t="n"/>
      <c r="K182" s="233" t="n"/>
      <c r="L182" s="233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56" t="n"/>
      <c r="N182" s="156" t="n"/>
      <c r="O182" s="156" t="n"/>
    </row>
    <row r="183" ht="18.75" customHeight="1" s="153">
      <c r="A183" s="227" t="n"/>
      <c r="B183" s="228" t="n"/>
      <c r="C183" s="229" t="n"/>
      <c r="D183" s="229" t="n"/>
      <c r="E183" s="229" t="n"/>
      <c r="F183" s="230" t="n"/>
      <c r="G183" s="230" t="n"/>
      <c r="H183" s="231" t="n"/>
      <c r="I183" s="232" t="n"/>
      <c r="J183" s="232" t="n"/>
      <c r="K183" s="233" t="n"/>
      <c r="L183" s="233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56" t="n"/>
      <c r="N183" s="156" t="n"/>
      <c r="O183" s="156" t="n"/>
    </row>
    <row r="184" ht="18.75" customHeight="1" s="153">
      <c r="A184" s="237" t="n"/>
      <c r="B184" s="238" t="n"/>
      <c r="C184" s="239" t="n"/>
      <c r="D184" s="239" t="n"/>
      <c r="E184" s="239" t="n"/>
      <c r="F184" s="240" t="n"/>
      <c r="G184" s="240" t="n"/>
      <c r="H184" s="241" t="n"/>
      <c r="I184" s="242" t="n"/>
      <c r="J184" s="242" t="n"/>
      <c r="K184" s="233" t="n"/>
      <c r="L184" s="233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56" t="n"/>
      <c r="N184" s="156" t="n"/>
      <c r="O184" s="156" t="n"/>
    </row>
    <row r="185" ht="18.75" customHeight="1" s="153">
      <c r="A185" s="227" t="n"/>
      <c r="B185" s="228" t="n"/>
      <c r="C185" s="229" t="n"/>
      <c r="D185" s="229" t="n"/>
      <c r="E185" s="229" t="n"/>
      <c r="F185" s="230" t="n"/>
      <c r="G185" s="230" t="n"/>
      <c r="H185" s="231" t="n"/>
      <c r="I185" s="232" t="n"/>
      <c r="J185" s="232" t="n"/>
      <c r="K185" s="233" t="n"/>
      <c r="L185" s="233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56" t="n"/>
      <c r="N185" s="156" t="n"/>
      <c r="O185" s="156" t="n"/>
    </row>
    <row r="186" ht="18.75" customHeight="1" s="153">
      <c r="A186" s="237" t="n"/>
      <c r="B186" s="238" t="n"/>
      <c r="C186" s="239" t="n"/>
      <c r="D186" s="239" t="n"/>
      <c r="E186" s="239" t="n"/>
      <c r="F186" s="240" t="n"/>
      <c r="G186" s="240" t="n"/>
      <c r="H186" s="241" t="n"/>
      <c r="I186" s="242" t="n"/>
      <c r="J186" s="242" t="n"/>
      <c r="K186" s="233" t="n"/>
      <c r="L186" s="233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56" t="n"/>
      <c r="N186" s="156" t="n"/>
      <c r="O186" s="156" t="n"/>
    </row>
    <row r="187" ht="18.75" customHeight="1" s="153">
      <c r="A187" s="227" t="n"/>
      <c r="B187" s="228" t="n"/>
      <c r="C187" s="229" t="n"/>
      <c r="D187" s="229" t="n"/>
      <c r="E187" s="229" t="n"/>
      <c r="F187" s="230" t="n"/>
      <c r="G187" s="230" t="n"/>
      <c r="H187" s="231" t="n"/>
      <c r="I187" s="232" t="n"/>
      <c r="J187" s="232" t="n"/>
      <c r="K187" s="233" t="n"/>
      <c r="L187" s="233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56" t="n"/>
      <c r="N187" s="156" t="n"/>
      <c r="O187" s="156" t="n"/>
    </row>
    <row r="188" ht="18.75" customHeight="1" s="153">
      <c r="A188" s="237" t="n"/>
      <c r="B188" s="238" t="n"/>
      <c r="C188" s="239" t="n"/>
      <c r="D188" s="239" t="n"/>
      <c r="E188" s="239" t="n"/>
      <c r="F188" s="240" t="n"/>
      <c r="G188" s="240" t="n"/>
      <c r="H188" s="241" t="n"/>
      <c r="I188" s="242" t="n"/>
      <c r="J188" s="242" t="n"/>
      <c r="K188" s="233" t="n"/>
      <c r="L188" s="233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56" t="n"/>
      <c r="N188" s="156" t="n"/>
      <c r="O188" s="156" t="n"/>
    </row>
    <row r="189" ht="18.75" customHeight="1" s="153">
      <c r="A189" s="227" t="n"/>
      <c r="B189" s="228" t="n"/>
      <c r="C189" s="229" t="n"/>
      <c r="D189" s="229" t="n"/>
      <c r="E189" s="229" t="n"/>
      <c r="F189" s="230" t="n"/>
      <c r="G189" s="230" t="n"/>
      <c r="H189" s="231" t="n"/>
      <c r="I189" s="232" t="n"/>
      <c r="J189" s="232" t="n"/>
      <c r="K189" s="233" t="n"/>
      <c r="L189" s="233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56" t="n"/>
      <c r="N189" s="156" t="n"/>
      <c r="O189" s="156" t="n"/>
    </row>
    <row r="190" ht="18.75" customHeight="1" s="153">
      <c r="A190" s="237" t="n"/>
      <c r="B190" s="238" t="n"/>
      <c r="C190" s="239" t="n"/>
      <c r="D190" s="239" t="n"/>
      <c r="E190" s="239" t="n"/>
      <c r="F190" s="240" t="n"/>
      <c r="G190" s="240" t="n"/>
      <c r="H190" s="241" t="n"/>
      <c r="I190" s="242" t="n"/>
      <c r="J190" s="242" t="n"/>
      <c r="K190" s="233" t="n"/>
      <c r="L190" s="233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56" t="n"/>
      <c r="N190" s="156" t="n"/>
      <c r="O190" s="156" t="n"/>
    </row>
    <row r="191" ht="18.75" customHeight="1" s="153">
      <c r="A191" s="227" t="n"/>
      <c r="B191" s="228" t="n"/>
      <c r="C191" s="229" t="n"/>
      <c r="D191" s="229" t="n"/>
      <c r="E191" s="229" t="n"/>
      <c r="F191" s="230" t="n"/>
      <c r="G191" s="230" t="n"/>
      <c r="H191" s="231" t="n"/>
      <c r="I191" s="232" t="n"/>
      <c r="J191" s="232" t="n"/>
      <c r="K191" s="233" t="n"/>
      <c r="L191" s="233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56" t="n"/>
      <c r="N191" s="156" t="n"/>
      <c r="O191" s="156" t="n"/>
    </row>
    <row r="192" ht="18.75" customHeight="1" s="153">
      <c r="A192" s="237" t="n"/>
      <c r="B192" s="238" t="n"/>
      <c r="C192" s="239" t="n"/>
      <c r="D192" s="239" t="n"/>
      <c r="E192" s="239" t="n"/>
      <c r="F192" s="240" t="n"/>
      <c r="G192" s="240" t="n"/>
      <c r="H192" s="241" t="n"/>
      <c r="I192" s="242" t="n"/>
      <c r="J192" s="242" t="n"/>
      <c r="K192" s="233" t="n"/>
      <c r="L192" s="233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56" t="n"/>
      <c r="N192" s="156" t="n"/>
      <c r="O192" s="156" t="n"/>
    </row>
    <row r="193" ht="18.75" customHeight="1" s="153">
      <c r="A193" s="227" t="n"/>
      <c r="B193" s="228" t="n"/>
      <c r="C193" s="229" t="n"/>
      <c r="D193" s="229" t="n"/>
      <c r="E193" s="229" t="n"/>
      <c r="F193" s="230" t="n"/>
      <c r="G193" s="230" t="n"/>
      <c r="H193" s="231" t="n"/>
      <c r="I193" s="232" t="n"/>
      <c r="J193" s="232" t="n"/>
      <c r="K193" s="233" t="n"/>
      <c r="L193" s="233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56" t="n"/>
      <c r="N193" s="156" t="n"/>
      <c r="O193" s="156" t="n"/>
    </row>
    <row r="194" ht="18.75" customHeight="1" s="153">
      <c r="A194" s="237" t="n"/>
      <c r="B194" s="238" t="n"/>
      <c r="C194" s="239" t="n"/>
      <c r="D194" s="239" t="n"/>
      <c r="E194" s="239" t="n"/>
      <c r="F194" s="240" t="n"/>
      <c r="G194" s="240" t="n"/>
      <c r="H194" s="241" t="n"/>
      <c r="I194" s="242" t="n"/>
      <c r="J194" s="242" t="n"/>
      <c r="K194" s="233" t="n"/>
      <c r="L194" s="233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56" t="n"/>
      <c r="N194" s="156" t="n"/>
      <c r="O194" s="156" t="n"/>
    </row>
    <row r="195" ht="18.75" customHeight="1" s="153">
      <c r="A195" s="227" t="n"/>
      <c r="B195" s="228" t="n"/>
      <c r="C195" s="229" t="n"/>
      <c r="D195" s="229" t="n"/>
      <c r="E195" s="229" t="n"/>
      <c r="F195" s="230" t="n"/>
      <c r="G195" s="230" t="n"/>
      <c r="H195" s="231" t="n"/>
      <c r="I195" s="232" t="n"/>
      <c r="J195" s="232" t="n"/>
      <c r="K195" s="233" t="n"/>
      <c r="L195" s="233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56" t="n"/>
      <c r="N195" s="156" t="n"/>
      <c r="O195" s="156" t="n"/>
    </row>
    <row r="196" ht="18.75" customHeight="1" s="153">
      <c r="A196" s="237" t="n"/>
      <c r="B196" s="238" t="n"/>
      <c r="C196" s="239" t="n"/>
      <c r="D196" s="239" t="n"/>
      <c r="E196" s="239" t="n"/>
      <c r="F196" s="240" t="n"/>
      <c r="G196" s="240" t="n"/>
      <c r="H196" s="241" t="n"/>
      <c r="I196" s="242" t="n"/>
      <c r="J196" s="242" t="n"/>
      <c r="K196" s="233" t="n"/>
      <c r="L196" s="233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56" t="n"/>
      <c r="N196" s="156" t="n"/>
      <c r="O196" s="156" t="n"/>
    </row>
    <row r="197" ht="18.75" customHeight="1" s="153">
      <c r="A197" s="227" t="n"/>
      <c r="B197" s="228" t="n"/>
      <c r="C197" s="229" t="n"/>
      <c r="D197" s="229" t="n"/>
      <c r="E197" s="229" t="n"/>
      <c r="F197" s="230" t="n"/>
      <c r="G197" s="230" t="n"/>
      <c r="H197" s="231" t="n"/>
      <c r="I197" s="232" t="n"/>
      <c r="J197" s="232" t="n"/>
      <c r="K197" s="233" t="n"/>
      <c r="L197" s="233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56" t="n"/>
      <c r="N197" s="156" t="n"/>
      <c r="O197" s="156" t="n"/>
    </row>
    <row r="198" ht="18.75" customHeight="1" s="153">
      <c r="A198" s="237" t="n"/>
      <c r="B198" s="238" t="n"/>
      <c r="C198" s="239" t="n"/>
      <c r="D198" s="239" t="n"/>
      <c r="E198" s="239" t="n"/>
      <c r="F198" s="240" t="n"/>
      <c r="G198" s="240" t="n"/>
      <c r="H198" s="241" t="n"/>
      <c r="I198" s="242" t="n"/>
      <c r="J198" s="242" t="n"/>
      <c r="K198" s="233" t="n"/>
      <c r="L198" s="233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56" t="n"/>
      <c r="N198" s="156" t="n"/>
      <c r="O198" s="156" t="n"/>
    </row>
    <row r="199" ht="18.75" customHeight="1" s="153">
      <c r="A199" s="227" t="n"/>
      <c r="B199" s="228" t="n"/>
      <c r="C199" s="229" t="n"/>
      <c r="D199" s="229" t="n"/>
      <c r="E199" s="229" t="n"/>
      <c r="F199" s="230" t="n"/>
      <c r="G199" s="230" t="n"/>
      <c r="H199" s="231" t="n"/>
      <c r="I199" s="232" t="n"/>
      <c r="J199" s="232" t="n"/>
      <c r="K199" s="233" t="n"/>
      <c r="L199" s="233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56" t="n"/>
      <c r="N199" s="156" t="n"/>
      <c r="O199" s="156" t="n"/>
    </row>
    <row r="200" ht="18.75" customHeight="1" s="153">
      <c r="A200" s="237" t="n"/>
      <c r="B200" s="238" t="n"/>
      <c r="C200" s="239" t="n"/>
      <c r="D200" s="239" t="n"/>
      <c r="E200" s="239" t="n"/>
      <c r="F200" s="240" t="n"/>
      <c r="G200" s="240" t="n"/>
      <c r="H200" s="241" t="n"/>
      <c r="I200" s="242" t="n"/>
      <c r="J200" s="242" t="n"/>
      <c r="K200" s="233" t="n"/>
      <c r="L200" s="233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56" t="n"/>
      <c r="N200" s="156" t="n"/>
      <c r="O200" s="156" t="n"/>
    </row>
    <row r="201" ht="18.75" customHeight="1" s="153">
      <c r="A201" s="227" t="n"/>
      <c r="B201" s="228" t="n"/>
      <c r="C201" s="229" t="n"/>
      <c r="D201" s="229" t="n"/>
      <c r="E201" s="229" t="n"/>
      <c r="F201" s="230" t="n"/>
      <c r="G201" s="230" t="n"/>
      <c r="H201" s="231" t="n"/>
      <c r="I201" s="232" t="n"/>
      <c r="J201" s="232" t="n"/>
      <c r="K201" s="233" t="n"/>
      <c r="L201" s="233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56" t="n"/>
      <c r="N201" s="156" t="n"/>
      <c r="O201" s="156" t="n"/>
    </row>
    <row r="202" ht="18.75" customHeight="1" s="153">
      <c r="A202" s="237" t="n"/>
      <c r="B202" s="238" t="n"/>
      <c r="C202" s="239" t="n"/>
      <c r="D202" s="239" t="n"/>
      <c r="E202" s="239" t="n"/>
      <c r="F202" s="240" t="n"/>
      <c r="G202" s="240" t="n"/>
      <c r="H202" s="241" t="n"/>
      <c r="I202" s="242" t="n"/>
      <c r="J202" s="242" t="n"/>
      <c r="K202" s="233" t="n"/>
      <c r="L202" s="233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56" t="n"/>
      <c r="N202" s="156" t="n"/>
      <c r="O202" s="156" t="n"/>
    </row>
    <row r="203" ht="18.75" customHeight="1" s="153">
      <c r="A203" s="227" t="n"/>
      <c r="B203" s="228" t="n"/>
      <c r="C203" s="229" t="n"/>
      <c r="D203" s="229" t="n"/>
      <c r="E203" s="229" t="n"/>
      <c r="F203" s="230" t="n"/>
      <c r="G203" s="230" t="n"/>
      <c r="H203" s="231" t="n"/>
      <c r="I203" s="232" t="n"/>
      <c r="J203" s="232" t="n"/>
      <c r="K203" s="233" t="n"/>
      <c r="L203" s="233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56" t="n"/>
      <c r="N203" s="156" t="n"/>
      <c r="O203" s="156" t="n"/>
    </row>
    <row r="204" ht="18.75" customHeight="1" s="153">
      <c r="A204" s="237" t="n"/>
      <c r="B204" s="238" t="n"/>
      <c r="C204" s="239" t="n"/>
      <c r="D204" s="239" t="n"/>
      <c r="E204" s="239" t="n"/>
      <c r="F204" s="240" t="n"/>
      <c r="G204" s="240" t="n"/>
      <c r="H204" s="241" t="n"/>
      <c r="I204" s="242" t="n"/>
      <c r="J204" s="242" t="n"/>
      <c r="K204" s="233" t="n"/>
      <c r="L204" s="233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56" t="n"/>
      <c r="N204" s="156" t="n"/>
      <c r="O204" s="156" t="n"/>
    </row>
    <row r="205" ht="18.75" customHeight="1" s="153">
      <c r="A205" s="227" t="n"/>
      <c r="B205" s="228" t="n"/>
      <c r="C205" s="229" t="n"/>
      <c r="D205" s="229" t="n"/>
      <c r="E205" s="229" t="n"/>
      <c r="F205" s="230" t="n"/>
      <c r="G205" s="230" t="n"/>
      <c r="H205" s="231" t="n"/>
      <c r="I205" s="232" t="n"/>
      <c r="J205" s="232" t="n"/>
      <c r="K205" s="233" t="n"/>
      <c r="L205" s="233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56" t="n"/>
      <c r="N205" s="156" t="n"/>
      <c r="O205" s="156" t="n"/>
    </row>
    <row r="206" ht="18.75" customHeight="1" s="153">
      <c r="A206" s="237" t="n"/>
      <c r="B206" s="238" t="n"/>
      <c r="C206" s="239" t="n"/>
      <c r="D206" s="239" t="n"/>
      <c r="E206" s="239" t="n"/>
      <c r="F206" s="240" t="n"/>
      <c r="G206" s="240" t="n"/>
      <c r="H206" s="241" t="n"/>
      <c r="I206" s="242" t="n"/>
      <c r="J206" s="242" t="n"/>
      <c r="K206" s="233" t="n"/>
      <c r="L206" s="233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56" t="n"/>
      <c r="N206" s="156" t="n"/>
      <c r="O206" s="156" t="n"/>
    </row>
    <row r="207" ht="18.75" customHeight="1" s="153">
      <c r="A207" s="227" t="n"/>
      <c r="B207" s="228" t="n"/>
      <c r="C207" s="229" t="n"/>
      <c r="D207" s="229" t="n"/>
      <c r="E207" s="229" t="n"/>
      <c r="F207" s="230" t="n"/>
      <c r="G207" s="230" t="n"/>
      <c r="H207" s="231" t="n"/>
      <c r="I207" s="232" t="n"/>
      <c r="J207" s="232" t="n"/>
      <c r="K207" s="233" t="n"/>
      <c r="L207" s="233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56" t="n"/>
      <c r="N207" s="156" t="n"/>
      <c r="O207" s="156" t="n"/>
    </row>
    <row r="208" ht="18.75" customHeight="1" s="153">
      <c r="A208" s="237" t="n"/>
      <c r="B208" s="238" t="n"/>
      <c r="C208" s="239" t="n"/>
      <c r="D208" s="239" t="n"/>
      <c r="E208" s="239" t="n"/>
      <c r="F208" s="240" t="n"/>
      <c r="G208" s="240" t="n"/>
      <c r="H208" s="241" t="n"/>
      <c r="I208" s="242" t="n"/>
      <c r="J208" s="242" t="n"/>
      <c r="K208" s="233" t="n"/>
      <c r="L208" s="233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56" t="n"/>
      <c r="N208" s="156" t="n"/>
      <c r="O208" s="156" t="n"/>
    </row>
    <row r="209" ht="18.75" customHeight="1" s="153">
      <c r="A209" s="227" t="n"/>
      <c r="B209" s="228" t="n"/>
      <c r="C209" s="229" t="n"/>
      <c r="D209" s="229" t="n"/>
      <c r="E209" s="229" t="n"/>
      <c r="F209" s="230" t="n"/>
      <c r="G209" s="230" t="n"/>
      <c r="H209" s="231" t="n"/>
      <c r="I209" s="232" t="n"/>
      <c r="J209" s="232" t="n"/>
      <c r="K209" s="233" t="n"/>
      <c r="L209" s="233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56" t="n"/>
      <c r="N209" s="156" t="n"/>
      <c r="O209" s="156" t="n"/>
    </row>
    <row r="210" ht="18.75" customHeight="1" s="153">
      <c r="A210" s="237" t="n"/>
      <c r="B210" s="238" t="n"/>
      <c r="C210" s="239" t="n"/>
      <c r="D210" s="239" t="n"/>
      <c r="E210" s="239" t="n"/>
      <c r="F210" s="240" t="n"/>
      <c r="G210" s="240" t="n"/>
      <c r="H210" s="241" t="n"/>
      <c r="I210" s="242" t="n"/>
      <c r="J210" s="242" t="n"/>
      <c r="K210" s="233" t="n"/>
      <c r="L210" s="233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56" t="n"/>
      <c r="N210" s="156" t="n"/>
      <c r="O210" s="156" t="n"/>
    </row>
    <row r="211" ht="18.75" customHeight="1" s="153">
      <c r="A211" s="227" t="n"/>
      <c r="B211" s="228" t="n"/>
      <c r="C211" s="229" t="n"/>
      <c r="D211" s="229" t="n"/>
      <c r="E211" s="229" t="n"/>
      <c r="F211" s="230" t="n"/>
      <c r="G211" s="230" t="n"/>
      <c r="H211" s="231" t="n"/>
      <c r="I211" s="232" t="n"/>
      <c r="J211" s="232" t="n"/>
      <c r="K211" s="233" t="n"/>
      <c r="L211" s="233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56" t="n"/>
      <c r="N211" s="156" t="n"/>
      <c r="O211" s="156" t="n"/>
    </row>
    <row r="212" ht="18.75" customHeight="1" s="153">
      <c r="A212" s="237" t="n"/>
      <c r="B212" s="238" t="n"/>
      <c r="C212" s="239" t="n"/>
      <c r="D212" s="239" t="n"/>
      <c r="E212" s="239" t="n"/>
      <c r="F212" s="240" t="n"/>
      <c r="G212" s="240" t="n"/>
      <c r="H212" s="241" t="n"/>
      <c r="I212" s="242" t="n"/>
      <c r="J212" s="242" t="n"/>
      <c r="K212" s="233" t="n"/>
      <c r="L212" s="233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56" t="n"/>
      <c r="N212" s="156" t="n"/>
      <c r="O212" s="156" t="n"/>
    </row>
    <row r="213" ht="18.75" customHeight="1" s="153">
      <c r="A213" s="227" t="n"/>
      <c r="B213" s="228" t="n"/>
      <c r="C213" s="229" t="n"/>
      <c r="D213" s="229" t="n"/>
      <c r="E213" s="229" t="n"/>
      <c r="F213" s="230" t="n"/>
      <c r="G213" s="230" t="n"/>
      <c r="H213" s="231" t="n"/>
      <c r="I213" s="232" t="n"/>
      <c r="J213" s="232" t="n"/>
      <c r="K213" s="233" t="n"/>
      <c r="L213" s="233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56" t="n"/>
      <c r="N213" s="156" t="n"/>
      <c r="O213" s="156" t="n"/>
    </row>
    <row r="214" ht="18.75" customHeight="1" s="153">
      <c r="A214" s="237" t="n"/>
      <c r="B214" s="238" t="n"/>
      <c r="C214" s="239" t="n"/>
      <c r="D214" s="239" t="n"/>
      <c r="E214" s="239" t="n"/>
      <c r="F214" s="240" t="n"/>
      <c r="G214" s="240" t="n"/>
      <c r="H214" s="241" t="n"/>
      <c r="I214" s="242" t="n"/>
      <c r="J214" s="242" t="n"/>
      <c r="K214" s="233" t="n"/>
      <c r="L214" s="233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56" t="n"/>
      <c r="N214" s="156" t="n"/>
      <c r="O214" s="156" t="n"/>
    </row>
    <row r="215" ht="18.75" customHeight="1" s="153">
      <c r="A215" s="227" t="n"/>
      <c r="B215" s="228" t="n"/>
      <c r="C215" s="229" t="n"/>
      <c r="D215" s="229" t="n"/>
      <c r="E215" s="229" t="n"/>
      <c r="F215" s="230" t="n"/>
      <c r="G215" s="230" t="n"/>
      <c r="H215" s="231" t="n"/>
      <c r="I215" s="232" t="n"/>
      <c r="J215" s="232" t="n"/>
      <c r="K215" s="233" t="n"/>
      <c r="L215" s="233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56" t="n"/>
      <c r="N215" s="156" t="n"/>
      <c r="O215" s="156" t="n"/>
    </row>
    <row r="216" ht="18.75" customHeight="1" s="153">
      <c r="A216" s="237" t="n"/>
      <c r="B216" s="238" t="n"/>
      <c r="C216" s="239" t="n"/>
      <c r="D216" s="239" t="n"/>
      <c r="E216" s="239" t="n"/>
      <c r="F216" s="240" t="n"/>
      <c r="G216" s="240" t="n"/>
      <c r="H216" s="241" t="n"/>
      <c r="I216" s="242" t="n"/>
      <c r="J216" s="242" t="n"/>
      <c r="K216" s="233" t="n"/>
      <c r="L216" s="233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56" t="n"/>
      <c r="N216" s="156" t="n"/>
      <c r="O216" s="156" t="n"/>
    </row>
    <row r="217" ht="18.75" customHeight="1" s="153">
      <c r="A217" s="227" t="n"/>
      <c r="B217" s="228" t="n"/>
      <c r="C217" s="229" t="n"/>
      <c r="D217" s="229" t="n"/>
      <c r="E217" s="229" t="n"/>
      <c r="F217" s="230" t="n"/>
      <c r="G217" s="230" t="n"/>
      <c r="H217" s="231" t="n"/>
      <c r="I217" s="232" t="n"/>
      <c r="J217" s="232" t="n"/>
      <c r="K217" s="233" t="n"/>
      <c r="L217" s="233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56" t="n"/>
      <c r="N217" s="156" t="n"/>
      <c r="O217" s="156" t="n"/>
    </row>
    <row r="218" ht="18.75" customHeight="1" s="153">
      <c r="A218" s="237" t="n"/>
      <c r="B218" s="238" t="n"/>
      <c r="C218" s="239" t="n"/>
      <c r="D218" s="239" t="n"/>
      <c r="E218" s="239" t="n"/>
      <c r="F218" s="240" t="n"/>
      <c r="G218" s="240" t="n"/>
      <c r="H218" s="241" t="n"/>
      <c r="I218" s="242" t="n"/>
      <c r="J218" s="242" t="n"/>
      <c r="K218" s="233" t="n"/>
      <c r="L218" s="233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56" t="n"/>
      <c r="N218" s="156" t="n"/>
      <c r="O218" s="156" t="n"/>
    </row>
    <row r="219" ht="18.75" customHeight="1" s="153">
      <c r="A219" s="227" t="n"/>
      <c r="B219" s="228" t="n"/>
      <c r="C219" s="229" t="n"/>
      <c r="D219" s="229" t="n"/>
      <c r="E219" s="229" t="n"/>
      <c r="F219" s="230" t="n"/>
      <c r="G219" s="230" t="n"/>
      <c r="H219" s="231" t="n"/>
      <c r="I219" s="232" t="n"/>
      <c r="J219" s="232" t="n"/>
      <c r="K219" s="233" t="n"/>
      <c r="L219" s="233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56" t="n"/>
      <c r="N219" s="156" t="n"/>
      <c r="O219" s="156" t="n"/>
    </row>
    <row r="220" ht="18.75" customHeight="1" s="153">
      <c r="A220" s="237" t="n"/>
      <c r="B220" s="238" t="n"/>
      <c r="C220" s="239" t="n"/>
      <c r="D220" s="239" t="n"/>
      <c r="E220" s="239" t="n"/>
      <c r="F220" s="240" t="n"/>
      <c r="G220" s="240" t="n"/>
      <c r="H220" s="241" t="n"/>
      <c r="I220" s="242" t="n"/>
      <c r="J220" s="242" t="n"/>
      <c r="K220" s="233" t="n"/>
      <c r="L220" s="233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56" t="n"/>
      <c r="N220" s="156" t="n"/>
      <c r="O220" s="156" t="n"/>
    </row>
    <row r="221" ht="18.75" customHeight="1" s="153">
      <c r="A221" s="227" t="n"/>
      <c r="B221" s="228" t="n"/>
      <c r="C221" s="229" t="n"/>
      <c r="D221" s="229" t="n"/>
      <c r="E221" s="229" t="n"/>
      <c r="F221" s="230" t="n"/>
      <c r="G221" s="230" t="n"/>
      <c r="H221" s="231" t="n"/>
      <c r="I221" s="232" t="n"/>
      <c r="J221" s="232" t="n"/>
      <c r="K221" s="233" t="n"/>
      <c r="L221" s="233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56" t="n"/>
      <c r="N221" s="156" t="n"/>
      <c r="O221" s="156" t="n"/>
    </row>
    <row r="222" ht="18.75" customHeight="1" s="153">
      <c r="A222" s="237" t="n"/>
      <c r="B222" s="238" t="n"/>
      <c r="C222" s="239" t="n"/>
      <c r="D222" s="239" t="n"/>
      <c r="E222" s="239" t="n"/>
      <c r="F222" s="240" t="n"/>
      <c r="G222" s="240" t="n"/>
      <c r="H222" s="241" t="n"/>
      <c r="I222" s="242" t="n"/>
      <c r="J222" s="242" t="n"/>
      <c r="K222" s="233" t="n"/>
      <c r="L222" s="233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56" t="n"/>
      <c r="N222" s="156" t="n"/>
      <c r="O222" s="156" t="n"/>
    </row>
    <row r="223" ht="18.75" customHeight="1" s="153">
      <c r="A223" s="227" t="n"/>
      <c r="B223" s="228" t="n"/>
      <c r="C223" s="229" t="n"/>
      <c r="D223" s="229" t="n"/>
      <c r="E223" s="229" t="n"/>
      <c r="F223" s="230" t="n"/>
      <c r="G223" s="230" t="n"/>
      <c r="H223" s="231" t="n"/>
      <c r="I223" s="232" t="n"/>
      <c r="J223" s="232" t="n"/>
      <c r="K223" s="233" t="n"/>
      <c r="L223" s="233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56" t="n"/>
      <c r="N223" s="156" t="n"/>
      <c r="O223" s="156" t="n"/>
    </row>
    <row r="224" ht="18.75" customHeight="1" s="153">
      <c r="A224" s="237" t="n"/>
      <c r="B224" s="238" t="n"/>
      <c r="C224" s="239" t="n"/>
      <c r="D224" s="239" t="n"/>
      <c r="E224" s="239" t="n"/>
      <c r="F224" s="240" t="n"/>
      <c r="G224" s="240" t="n"/>
      <c r="H224" s="241" t="n"/>
      <c r="I224" s="242" t="n"/>
      <c r="J224" s="242" t="n"/>
      <c r="K224" s="233" t="n"/>
      <c r="L224" s="233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56" t="n"/>
      <c r="N224" s="156" t="n"/>
      <c r="O224" s="156" t="n"/>
    </row>
    <row r="225" ht="18.75" customHeight="1" s="153">
      <c r="A225" s="227" t="n"/>
      <c r="B225" s="228" t="n"/>
      <c r="C225" s="229" t="n"/>
      <c r="D225" s="229" t="n"/>
      <c r="E225" s="229" t="n"/>
      <c r="F225" s="230" t="n"/>
      <c r="G225" s="230" t="n"/>
      <c r="H225" s="231" t="n"/>
      <c r="I225" s="232" t="n"/>
      <c r="J225" s="232" t="n"/>
      <c r="K225" s="233" t="n"/>
      <c r="L225" s="233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56" t="n"/>
      <c r="N225" s="156" t="n"/>
      <c r="O225" s="156" t="n"/>
    </row>
    <row r="226" ht="18.75" customHeight="1" s="153">
      <c r="A226" s="237" t="n"/>
      <c r="B226" s="238" t="n"/>
      <c r="C226" s="239" t="n"/>
      <c r="D226" s="239" t="n"/>
      <c r="E226" s="239" t="n"/>
      <c r="F226" s="240" t="n"/>
      <c r="G226" s="240" t="n"/>
      <c r="H226" s="241" t="n"/>
      <c r="I226" s="242" t="n"/>
      <c r="J226" s="242" t="n"/>
      <c r="K226" s="233" t="n"/>
      <c r="L226" s="233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56" t="n"/>
      <c r="N226" s="156" t="n"/>
      <c r="O226" s="156" t="n"/>
    </row>
    <row r="227" ht="18.75" customHeight="1" s="153">
      <c r="A227" s="227" t="n"/>
      <c r="B227" s="228" t="n"/>
      <c r="C227" s="229" t="n"/>
      <c r="D227" s="229" t="n"/>
      <c r="E227" s="229" t="n"/>
      <c r="F227" s="230" t="n"/>
      <c r="G227" s="230" t="n"/>
      <c r="H227" s="231" t="n"/>
      <c r="I227" s="232" t="n"/>
      <c r="J227" s="232" t="n"/>
      <c r="K227" s="233" t="n"/>
      <c r="L227" s="233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56" t="n"/>
      <c r="N227" s="156" t="n"/>
      <c r="O227" s="156" t="n"/>
    </row>
    <row r="228" ht="18.75" customHeight="1" s="153">
      <c r="A228" s="237" t="n"/>
      <c r="B228" s="238" t="n"/>
      <c r="C228" s="239" t="n"/>
      <c r="D228" s="239" t="n"/>
      <c r="E228" s="239" t="n"/>
      <c r="F228" s="240" t="n"/>
      <c r="G228" s="240" t="n"/>
      <c r="H228" s="241" t="n"/>
      <c r="I228" s="242" t="n"/>
      <c r="J228" s="242" t="n"/>
      <c r="K228" s="233" t="n"/>
      <c r="L228" s="233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56" t="n"/>
      <c r="N228" s="156" t="n"/>
      <c r="O228" s="156" t="n"/>
    </row>
    <row r="229" ht="18.75" customHeight="1" s="153">
      <c r="A229" s="227" t="n"/>
      <c r="B229" s="228" t="n"/>
      <c r="C229" s="229" t="n"/>
      <c r="D229" s="229" t="n"/>
      <c r="E229" s="229" t="n"/>
      <c r="F229" s="230" t="n"/>
      <c r="G229" s="230" t="n"/>
      <c r="H229" s="231" t="n"/>
      <c r="I229" s="232" t="n"/>
      <c r="J229" s="232" t="n"/>
      <c r="K229" s="233" t="n"/>
      <c r="L229" s="233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56" t="n"/>
      <c r="N229" s="156" t="n"/>
      <c r="O229" s="156" t="n"/>
    </row>
    <row r="230" ht="18.75" customHeight="1" s="153">
      <c r="A230" s="237" t="n"/>
      <c r="B230" s="238" t="n"/>
      <c r="C230" s="239" t="n"/>
      <c r="D230" s="239" t="n"/>
      <c r="E230" s="239" t="n"/>
      <c r="F230" s="240" t="n"/>
      <c r="G230" s="240" t="n"/>
      <c r="H230" s="241" t="n"/>
      <c r="I230" s="242" t="n"/>
      <c r="J230" s="242" t="n"/>
      <c r="K230" s="233" t="n"/>
      <c r="L230" s="233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56" t="n"/>
      <c r="N230" s="156" t="n"/>
      <c r="O230" s="156" t="n"/>
    </row>
    <row r="231" ht="18.75" customHeight="1" s="153">
      <c r="A231" s="227" t="n"/>
      <c r="B231" s="228" t="n"/>
      <c r="C231" s="229" t="n"/>
      <c r="D231" s="229" t="n"/>
      <c r="E231" s="229" t="n"/>
      <c r="F231" s="230" t="n"/>
      <c r="G231" s="230" t="n"/>
      <c r="H231" s="231" t="n"/>
      <c r="I231" s="232" t="n"/>
      <c r="J231" s="232" t="n"/>
      <c r="K231" s="233" t="n"/>
      <c r="L231" s="233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56" t="n"/>
      <c r="N231" s="156" t="n"/>
      <c r="O231" s="156" t="n"/>
    </row>
    <row r="232" ht="18.75" customHeight="1" s="153">
      <c r="A232" s="237" t="n"/>
      <c r="B232" s="238" t="n"/>
      <c r="C232" s="239" t="n"/>
      <c r="D232" s="239" t="n"/>
      <c r="E232" s="239" t="n"/>
      <c r="F232" s="240" t="n"/>
      <c r="G232" s="240" t="n"/>
      <c r="H232" s="241" t="n"/>
      <c r="I232" s="242" t="n"/>
      <c r="J232" s="242" t="n"/>
      <c r="K232" s="233" t="n"/>
      <c r="L232" s="233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56" t="n"/>
      <c r="N232" s="156" t="n"/>
      <c r="O232" s="156" t="n"/>
    </row>
    <row r="233" ht="18.75" customHeight="1" s="153">
      <c r="A233" s="227" t="n"/>
      <c r="B233" s="228" t="n"/>
      <c r="C233" s="229" t="n"/>
      <c r="D233" s="229" t="n"/>
      <c r="E233" s="229" t="n"/>
      <c r="F233" s="230" t="n"/>
      <c r="G233" s="230" t="n"/>
      <c r="H233" s="231" t="n"/>
      <c r="I233" s="232" t="n"/>
      <c r="J233" s="232" t="n"/>
      <c r="K233" s="233" t="n"/>
      <c r="L233" s="233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56" t="n"/>
      <c r="N233" s="156" t="n"/>
      <c r="O233" s="156" t="n"/>
    </row>
    <row r="234" ht="18.75" customHeight="1" s="153">
      <c r="A234" s="237" t="n"/>
      <c r="B234" s="238" t="n"/>
      <c r="C234" s="239" t="n"/>
      <c r="D234" s="239" t="n"/>
      <c r="E234" s="239" t="n"/>
      <c r="F234" s="240" t="n"/>
      <c r="G234" s="240" t="n"/>
      <c r="H234" s="241" t="n"/>
      <c r="I234" s="242" t="n"/>
      <c r="J234" s="242" t="n"/>
      <c r="K234" s="233" t="n"/>
      <c r="L234" s="233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56" t="n"/>
      <c r="N234" s="156" t="n"/>
      <c r="O234" s="156" t="n"/>
    </row>
    <row r="235" ht="18.75" customHeight="1" s="153">
      <c r="A235" s="227" t="n"/>
      <c r="B235" s="228" t="n"/>
      <c r="C235" s="229" t="n"/>
      <c r="D235" s="229" t="n"/>
      <c r="E235" s="229" t="n"/>
      <c r="F235" s="230" t="n"/>
      <c r="G235" s="230" t="n"/>
      <c r="H235" s="231" t="n"/>
      <c r="I235" s="232" t="n"/>
      <c r="J235" s="232" t="n"/>
      <c r="K235" s="233" t="n"/>
      <c r="L235" s="233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56" t="n"/>
      <c r="N235" s="156" t="n"/>
      <c r="O235" s="156" t="n"/>
    </row>
    <row r="236" ht="18.75" customHeight="1" s="153">
      <c r="A236" s="237" t="n"/>
      <c r="B236" s="238" t="n"/>
      <c r="C236" s="239" t="n"/>
      <c r="D236" s="239" t="n"/>
      <c r="E236" s="239" t="n"/>
      <c r="F236" s="240" t="n"/>
      <c r="G236" s="240" t="n"/>
      <c r="H236" s="241" t="n"/>
      <c r="I236" s="242" t="n"/>
      <c r="J236" s="242" t="n"/>
      <c r="K236" s="233" t="n"/>
      <c r="L236" s="233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56" t="n"/>
      <c r="N236" s="156" t="n"/>
      <c r="O236" s="156" t="n"/>
    </row>
    <row r="237" ht="18.75" customHeight="1" s="153">
      <c r="A237" s="227" t="n"/>
      <c r="B237" s="228" t="n"/>
      <c r="C237" s="229" t="n"/>
      <c r="D237" s="229" t="n"/>
      <c r="E237" s="229" t="n"/>
      <c r="F237" s="230" t="n"/>
      <c r="G237" s="230" t="n"/>
      <c r="H237" s="231" t="n"/>
      <c r="I237" s="232" t="n"/>
      <c r="J237" s="232" t="n"/>
      <c r="K237" s="233" t="n"/>
      <c r="L237" s="233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56" t="n"/>
      <c r="N237" s="156" t="n"/>
      <c r="O237" s="156" t="n"/>
    </row>
    <row r="238" ht="18.75" customHeight="1" s="153">
      <c r="A238" s="237" t="n"/>
      <c r="B238" s="238" t="n"/>
      <c r="C238" s="239" t="n"/>
      <c r="D238" s="239" t="n"/>
      <c r="E238" s="239" t="n"/>
      <c r="F238" s="240" t="n"/>
      <c r="G238" s="240" t="n"/>
      <c r="H238" s="241" t="n"/>
      <c r="I238" s="242" t="n"/>
      <c r="J238" s="242" t="n"/>
      <c r="K238" s="233" t="n"/>
      <c r="L238" s="233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56" t="n"/>
      <c r="N238" s="156" t="n"/>
      <c r="O238" s="156" t="n"/>
    </row>
    <row r="239" ht="18.75" customHeight="1" s="153">
      <c r="A239" s="227" t="n"/>
      <c r="B239" s="228" t="n"/>
      <c r="C239" s="229" t="n"/>
      <c r="D239" s="229" t="n"/>
      <c r="E239" s="229" t="n"/>
      <c r="F239" s="230" t="n"/>
      <c r="G239" s="230" t="n"/>
      <c r="H239" s="231" t="n"/>
      <c r="I239" s="232" t="n"/>
      <c r="J239" s="232" t="n"/>
      <c r="K239" s="233" t="n"/>
      <c r="L239" s="233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56" t="n"/>
      <c r="N239" s="156" t="n"/>
      <c r="O239" s="156" t="n"/>
    </row>
    <row r="240" ht="18.75" customHeight="1" s="153">
      <c r="A240" s="237" t="n"/>
      <c r="B240" s="238" t="n"/>
      <c r="C240" s="239" t="n"/>
      <c r="D240" s="239" t="n"/>
      <c r="E240" s="239" t="n"/>
      <c r="F240" s="240" t="n"/>
      <c r="G240" s="240" t="n"/>
      <c r="H240" s="241" t="n"/>
      <c r="I240" s="242" t="n"/>
      <c r="J240" s="242" t="n"/>
      <c r="K240" s="233" t="n"/>
      <c r="L240" s="233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56" t="n"/>
      <c r="N240" s="156" t="n"/>
      <c r="O240" s="156" t="n"/>
    </row>
    <row r="241" ht="18.75" customHeight="1" s="153">
      <c r="A241" s="227" t="n"/>
      <c r="B241" s="228" t="n"/>
      <c r="C241" s="229" t="n"/>
      <c r="D241" s="229" t="n"/>
      <c r="E241" s="229" t="n"/>
      <c r="F241" s="230" t="n"/>
      <c r="G241" s="230" t="n"/>
      <c r="H241" s="231" t="n"/>
      <c r="I241" s="232" t="n"/>
      <c r="J241" s="232" t="n"/>
      <c r="K241" s="233" t="n"/>
      <c r="L241" s="233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56" t="n"/>
      <c r="N241" s="156" t="n"/>
      <c r="O241" s="156" t="n"/>
    </row>
    <row r="242" ht="18.75" customHeight="1" s="153">
      <c r="A242" s="237" t="n"/>
      <c r="B242" s="238" t="n"/>
      <c r="C242" s="239" t="n"/>
      <c r="D242" s="239" t="n"/>
      <c r="E242" s="239" t="n"/>
      <c r="F242" s="240" t="n"/>
      <c r="G242" s="240" t="n"/>
      <c r="H242" s="241" t="n"/>
      <c r="I242" s="242" t="n"/>
      <c r="J242" s="242" t="n"/>
      <c r="K242" s="233" t="n"/>
      <c r="L242" s="233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56" t="n"/>
      <c r="N242" s="156" t="n"/>
      <c r="O242" s="156" t="n"/>
    </row>
    <row r="243" ht="18.75" customHeight="1" s="153">
      <c r="A243" s="227" t="n"/>
      <c r="B243" s="228" t="n"/>
      <c r="C243" s="229" t="n"/>
      <c r="D243" s="229" t="n"/>
      <c r="E243" s="229" t="n"/>
      <c r="F243" s="230" t="n"/>
      <c r="G243" s="230" t="n"/>
      <c r="H243" s="231" t="n"/>
      <c r="I243" s="232" t="n"/>
      <c r="J243" s="232" t="n"/>
      <c r="K243" s="233" t="n"/>
      <c r="L243" s="233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56" t="n"/>
      <c r="N243" s="156" t="n"/>
      <c r="O243" s="156" t="n"/>
    </row>
    <row r="244" ht="18.75" customHeight="1" s="153">
      <c r="A244" s="237" t="n"/>
      <c r="B244" s="238" t="n"/>
      <c r="C244" s="239" t="n"/>
      <c r="D244" s="239" t="n"/>
      <c r="E244" s="239" t="n"/>
      <c r="F244" s="240" t="n"/>
      <c r="G244" s="240" t="n"/>
      <c r="H244" s="241" t="n"/>
      <c r="I244" s="242" t="n"/>
      <c r="J244" s="242" t="n"/>
      <c r="K244" s="233" t="n"/>
      <c r="L244" s="233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56" t="n"/>
      <c r="N244" s="156" t="n"/>
      <c r="O244" s="156" t="n"/>
    </row>
    <row r="245" ht="18.75" customHeight="1" s="153">
      <c r="A245" s="227" t="n"/>
      <c r="B245" s="228" t="n"/>
      <c r="C245" s="229" t="n"/>
      <c r="D245" s="229" t="n"/>
      <c r="E245" s="229" t="n"/>
      <c r="F245" s="230" t="n"/>
      <c r="G245" s="230" t="n"/>
      <c r="H245" s="231" t="n"/>
      <c r="I245" s="232" t="n"/>
      <c r="J245" s="232" t="n"/>
      <c r="K245" s="233" t="n"/>
      <c r="L245" s="233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56" t="n"/>
      <c r="N245" s="156" t="n"/>
      <c r="O245" s="156" t="n"/>
    </row>
    <row r="246" ht="18.75" customHeight="1" s="153">
      <c r="A246" s="237" t="n"/>
      <c r="B246" s="238" t="n"/>
      <c r="C246" s="239" t="n"/>
      <c r="D246" s="239" t="n"/>
      <c r="E246" s="239" t="n"/>
      <c r="F246" s="240" t="n"/>
      <c r="G246" s="240" t="n"/>
      <c r="H246" s="241" t="n"/>
      <c r="I246" s="242" t="n"/>
      <c r="J246" s="242" t="n"/>
      <c r="K246" s="233" t="n"/>
      <c r="L246" s="233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56" t="n"/>
      <c r="N246" s="156" t="n"/>
      <c r="O246" s="156" t="n"/>
    </row>
    <row r="247" ht="18.75" customHeight="1" s="153">
      <c r="A247" s="227" t="n"/>
      <c r="B247" s="228" t="n"/>
      <c r="C247" s="229" t="n"/>
      <c r="D247" s="229" t="n"/>
      <c r="E247" s="229" t="n"/>
      <c r="F247" s="230" t="n"/>
      <c r="G247" s="230" t="n"/>
      <c r="H247" s="231" t="n"/>
      <c r="I247" s="232" t="n"/>
      <c r="J247" s="232" t="n"/>
      <c r="K247" s="233" t="n"/>
      <c r="L247" s="233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56" t="n"/>
      <c r="N247" s="156" t="n"/>
      <c r="O247" s="156" t="n"/>
    </row>
    <row r="248" ht="18.75" customHeight="1" s="153">
      <c r="A248" s="237" t="n"/>
      <c r="B248" s="238" t="n"/>
      <c r="C248" s="239" t="n"/>
      <c r="D248" s="239" t="n"/>
      <c r="E248" s="239" t="n"/>
      <c r="F248" s="240" t="n"/>
      <c r="G248" s="240" t="n"/>
      <c r="H248" s="241" t="n"/>
      <c r="I248" s="242" t="n"/>
      <c r="J248" s="242" t="n"/>
      <c r="K248" s="233" t="n"/>
      <c r="L248" s="233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56" t="n"/>
      <c r="N248" s="156" t="n"/>
      <c r="O248" s="156" t="n"/>
    </row>
    <row r="249" ht="18.75" customHeight="1" s="153">
      <c r="A249" s="227" t="n"/>
      <c r="B249" s="228" t="n"/>
      <c r="C249" s="229" t="n"/>
      <c r="D249" s="229" t="n"/>
      <c r="E249" s="229" t="n"/>
      <c r="F249" s="230" t="n"/>
      <c r="G249" s="230" t="n"/>
      <c r="H249" s="231" t="n"/>
      <c r="I249" s="232" t="n"/>
      <c r="J249" s="232" t="n"/>
      <c r="K249" s="233" t="n"/>
      <c r="L249" s="233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56" t="n"/>
      <c r="N249" s="156" t="n"/>
      <c r="O249" s="156" t="n"/>
    </row>
    <row r="250" ht="18.75" customHeight="1" s="153">
      <c r="A250" s="237" t="n"/>
      <c r="B250" s="238" t="n"/>
      <c r="C250" s="239" t="n"/>
      <c r="D250" s="239" t="n"/>
      <c r="E250" s="239" t="n"/>
      <c r="F250" s="240" t="n"/>
      <c r="G250" s="240" t="n"/>
      <c r="H250" s="241" t="n"/>
      <c r="I250" s="242" t="n"/>
      <c r="J250" s="242" t="n"/>
      <c r="K250" s="233" t="n"/>
      <c r="L250" s="233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56" t="n"/>
      <c r="N250" s="156" t="n"/>
      <c r="O250" s="156" t="n"/>
    </row>
    <row r="251" ht="18.75" customHeight="1" s="153">
      <c r="A251" s="227" t="n"/>
      <c r="B251" s="228" t="n"/>
      <c r="C251" s="229" t="n"/>
      <c r="D251" s="229" t="n"/>
      <c r="E251" s="229" t="n"/>
      <c r="F251" s="230" t="n"/>
      <c r="G251" s="230" t="n"/>
      <c r="H251" s="231" t="n"/>
      <c r="I251" s="232" t="n"/>
      <c r="J251" s="232" t="n"/>
      <c r="K251" s="233" t="n"/>
      <c r="L251" s="233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56" t="n"/>
      <c r="N251" s="156" t="n"/>
      <c r="O251" s="156" t="n"/>
    </row>
    <row r="252" ht="18.75" customHeight="1" s="153">
      <c r="A252" s="237" t="n"/>
      <c r="B252" s="238" t="n"/>
      <c r="C252" s="239" t="n"/>
      <c r="D252" s="239" t="n"/>
      <c r="E252" s="239" t="n"/>
      <c r="F252" s="240" t="n"/>
      <c r="G252" s="240" t="n"/>
      <c r="H252" s="241" t="n"/>
      <c r="I252" s="242" t="n"/>
      <c r="J252" s="242" t="n"/>
      <c r="K252" s="233" t="n"/>
      <c r="L252" s="233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56" t="n"/>
      <c r="N252" s="156" t="n"/>
      <c r="O252" s="156" t="n"/>
    </row>
    <row r="253" ht="18.75" customHeight="1" s="153">
      <c r="A253" s="227" t="n"/>
      <c r="B253" s="228" t="n"/>
      <c r="C253" s="229" t="n"/>
      <c r="D253" s="229" t="n"/>
      <c r="E253" s="229" t="n"/>
      <c r="F253" s="230" t="n"/>
      <c r="G253" s="230" t="n"/>
      <c r="H253" s="231" t="n"/>
      <c r="I253" s="232" t="n"/>
      <c r="J253" s="232" t="n"/>
      <c r="K253" s="233" t="n"/>
      <c r="L253" s="233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56" t="n"/>
      <c r="N253" s="156" t="n"/>
      <c r="O253" s="156" t="n"/>
    </row>
    <row r="254" ht="18.75" customHeight="1" s="153">
      <c r="A254" s="237" t="n"/>
      <c r="B254" s="238" t="n"/>
      <c r="C254" s="239" t="n"/>
      <c r="D254" s="239" t="n"/>
      <c r="E254" s="239" t="n"/>
      <c r="F254" s="240" t="n"/>
      <c r="G254" s="240" t="n"/>
      <c r="H254" s="241" t="n"/>
      <c r="I254" s="242" t="n"/>
      <c r="J254" s="242" t="n"/>
      <c r="K254" s="233" t="n"/>
      <c r="L254" s="233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56" t="n"/>
      <c r="N254" s="156" t="n"/>
      <c r="O254" s="156" t="n"/>
    </row>
    <row r="255" ht="18.75" customHeight="1" s="153">
      <c r="A255" s="227" t="n"/>
      <c r="B255" s="228" t="n"/>
      <c r="C255" s="229" t="n"/>
      <c r="D255" s="229" t="n"/>
      <c r="E255" s="229" t="n"/>
      <c r="F255" s="230" t="n"/>
      <c r="G255" s="230" t="n"/>
      <c r="H255" s="231" t="n"/>
      <c r="I255" s="232" t="n"/>
      <c r="J255" s="232" t="n"/>
      <c r="K255" s="233" t="n"/>
      <c r="L255" s="233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56" t="n"/>
      <c r="N255" s="156" t="n"/>
      <c r="O255" s="156" t="n"/>
    </row>
    <row r="256" ht="18.75" customHeight="1" s="153">
      <c r="A256" s="237" t="n"/>
      <c r="B256" s="238" t="n"/>
      <c r="C256" s="239" t="n"/>
      <c r="D256" s="239" t="n"/>
      <c r="E256" s="239" t="n"/>
      <c r="F256" s="240" t="n"/>
      <c r="G256" s="240" t="n"/>
      <c r="H256" s="241" t="n"/>
      <c r="I256" s="242" t="n"/>
      <c r="J256" s="242" t="n"/>
      <c r="K256" s="233" t="n"/>
      <c r="L256" s="233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56" t="n"/>
      <c r="N256" s="156" t="n"/>
      <c r="O256" s="156" t="n"/>
    </row>
    <row r="257" ht="18.75" customHeight="1" s="153">
      <c r="A257" s="227" t="n"/>
      <c r="B257" s="228" t="n"/>
      <c r="C257" s="229" t="n"/>
      <c r="D257" s="229" t="n"/>
      <c r="E257" s="229" t="n"/>
      <c r="F257" s="230" t="n"/>
      <c r="G257" s="230" t="n"/>
      <c r="H257" s="231" t="n"/>
      <c r="I257" s="232" t="n"/>
      <c r="J257" s="232" t="n"/>
      <c r="K257" s="233" t="n"/>
      <c r="L257" s="233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56" t="n"/>
      <c r="N257" s="156" t="n"/>
      <c r="O257" s="156" t="n"/>
    </row>
    <row r="258" ht="18.75" customHeight="1" s="153">
      <c r="A258" s="237" t="n"/>
      <c r="B258" s="238" t="n"/>
      <c r="C258" s="239" t="n"/>
      <c r="D258" s="239" t="n"/>
      <c r="E258" s="239" t="n"/>
      <c r="F258" s="240" t="n"/>
      <c r="G258" s="240" t="n"/>
      <c r="H258" s="241" t="n"/>
      <c r="I258" s="242" t="n"/>
      <c r="J258" s="242" t="n"/>
      <c r="K258" s="233" t="n"/>
      <c r="L258" s="233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56" t="n"/>
      <c r="N258" s="156" t="n"/>
      <c r="O258" s="156" t="n"/>
    </row>
    <row r="259" ht="18.75" customHeight="1" s="153">
      <c r="A259" s="227" t="n"/>
      <c r="B259" s="228" t="n"/>
      <c r="C259" s="229" t="n"/>
      <c r="D259" s="229" t="n"/>
      <c r="E259" s="229" t="n"/>
      <c r="F259" s="230" t="n"/>
      <c r="G259" s="230" t="n"/>
      <c r="H259" s="231" t="n"/>
      <c r="I259" s="232" t="n"/>
      <c r="J259" s="232" t="n"/>
      <c r="K259" s="233" t="n"/>
      <c r="L259" s="233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56" t="n"/>
      <c r="N259" s="156" t="n"/>
      <c r="O259" s="156" t="n"/>
    </row>
    <row r="260" ht="18.75" customHeight="1" s="153">
      <c r="A260" s="237" t="n"/>
      <c r="B260" s="238" t="n"/>
      <c r="C260" s="239" t="n"/>
      <c r="D260" s="239" t="n"/>
      <c r="E260" s="239" t="n"/>
      <c r="F260" s="240" t="n"/>
      <c r="G260" s="240" t="n"/>
      <c r="H260" s="241" t="n"/>
      <c r="I260" s="242" t="n"/>
      <c r="J260" s="242" t="n"/>
      <c r="K260" s="233" t="n"/>
      <c r="L260" s="233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56" t="n"/>
      <c r="N260" s="156" t="n"/>
      <c r="O260" s="156" t="n"/>
    </row>
    <row r="261" ht="18.75" customHeight="1" s="153">
      <c r="A261" s="227" t="n"/>
      <c r="B261" s="228" t="n"/>
      <c r="C261" s="229" t="n"/>
      <c r="D261" s="229" t="n"/>
      <c r="E261" s="229" t="n"/>
      <c r="F261" s="230" t="n"/>
      <c r="G261" s="230" t="n"/>
      <c r="H261" s="231" t="n"/>
      <c r="I261" s="232" t="n"/>
      <c r="J261" s="232" t="n"/>
      <c r="K261" s="233" t="n"/>
      <c r="L261" s="233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56" t="n"/>
      <c r="N261" s="156" t="n"/>
      <c r="O261" s="156" t="n"/>
    </row>
    <row r="262" ht="18.75" customHeight="1" s="153">
      <c r="A262" s="237" t="n"/>
      <c r="B262" s="238" t="n"/>
      <c r="C262" s="239" t="n"/>
      <c r="D262" s="239" t="n"/>
      <c r="E262" s="239" t="n"/>
      <c r="F262" s="240" t="n"/>
      <c r="G262" s="240" t="n"/>
      <c r="H262" s="241" t="n"/>
      <c r="I262" s="242" t="n"/>
      <c r="J262" s="242" t="n"/>
      <c r="K262" s="233" t="n"/>
      <c r="L262" s="233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56" t="n"/>
      <c r="N262" s="156" t="n"/>
      <c r="O262" s="156" t="n"/>
    </row>
    <row r="263" ht="18.75" customHeight="1" s="153">
      <c r="A263" s="227" t="n"/>
      <c r="B263" s="228" t="n"/>
      <c r="C263" s="229" t="n"/>
      <c r="D263" s="229" t="n"/>
      <c r="E263" s="229" t="n"/>
      <c r="F263" s="230" t="n"/>
      <c r="G263" s="230" t="n"/>
      <c r="H263" s="231" t="n"/>
      <c r="I263" s="232" t="n"/>
      <c r="J263" s="232" t="n"/>
      <c r="K263" s="233" t="n"/>
      <c r="L263" s="233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56" t="n"/>
      <c r="N263" s="156" t="n"/>
      <c r="O263" s="156" t="n"/>
    </row>
    <row r="264" ht="18.75" customHeight="1" s="153">
      <c r="A264" s="237" t="n"/>
      <c r="B264" s="238" t="n"/>
      <c r="C264" s="239" t="n"/>
      <c r="D264" s="239" t="n"/>
      <c r="E264" s="239" t="n"/>
      <c r="F264" s="240" t="n"/>
      <c r="G264" s="240" t="n"/>
      <c r="H264" s="241" t="n"/>
      <c r="I264" s="242" t="n"/>
      <c r="J264" s="242" t="n"/>
      <c r="K264" s="233" t="n"/>
      <c r="L264" s="233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56" t="n"/>
      <c r="N264" s="156" t="n"/>
      <c r="O264" s="156" t="n"/>
    </row>
    <row r="265" ht="18.75" customHeight="1" s="153">
      <c r="A265" s="227" t="n"/>
      <c r="B265" s="228" t="n"/>
      <c r="C265" s="229" t="n"/>
      <c r="D265" s="229" t="n"/>
      <c r="E265" s="229" t="n"/>
      <c r="F265" s="230" t="n"/>
      <c r="G265" s="230" t="n"/>
      <c r="H265" s="231" t="n"/>
      <c r="I265" s="232" t="n"/>
      <c r="J265" s="232" t="n"/>
      <c r="K265" s="233" t="n"/>
      <c r="L265" s="233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56" t="n"/>
      <c r="N265" s="156" t="n"/>
      <c r="O265" s="156" t="n"/>
    </row>
    <row r="266" ht="18.75" customHeight="1" s="153">
      <c r="A266" s="237" t="n"/>
      <c r="B266" s="238" t="n"/>
      <c r="C266" s="239" t="n"/>
      <c r="D266" s="239" t="n"/>
      <c r="E266" s="239" t="n"/>
      <c r="F266" s="240" t="n"/>
      <c r="G266" s="240" t="n"/>
      <c r="H266" s="241" t="n"/>
      <c r="I266" s="242" t="n"/>
      <c r="J266" s="242" t="n"/>
      <c r="K266" s="233" t="n"/>
      <c r="L266" s="233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56" t="n"/>
      <c r="N266" s="156" t="n"/>
      <c r="O266" s="156" t="n"/>
    </row>
    <row r="267" ht="18.75" customHeight="1" s="153">
      <c r="A267" s="227" t="n"/>
      <c r="B267" s="228" t="n"/>
      <c r="C267" s="229" t="n"/>
      <c r="D267" s="229" t="n"/>
      <c r="E267" s="229" t="n"/>
      <c r="F267" s="230" t="n"/>
      <c r="G267" s="230" t="n"/>
      <c r="H267" s="231" t="n"/>
      <c r="I267" s="232" t="n"/>
      <c r="J267" s="232" t="n"/>
      <c r="K267" s="233" t="n"/>
      <c r="L267" s="233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56" t="n"/>
      <c r="N267" s="156" t="n"/>
      <c r="O267" s="156" t="n"/>
    </row>
    <row r="268" ht="18.75" customHeight="1" s="153">
      <c r="A268" s="237" t="n"/>
      <c r="B268" s="238" t="n"/>
      <c r="C268" s="239" t="n"/>
      <c r="D268" s="239" t="n"/>
      <c r="E268" s="239" t="n"/>
      <c r="F268" s="240" t="n"/>
      <c r="G268" s="240" t="n"/>
      <c r="H268" s="241" t="n"/>
      <c r="I268" s="242" t="n"/>
      <c r="J268" s="242" t="n"/>
      <c r="K268" s="233" t="n"/>
      <c r="L268" s="233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56" t="n"/>
      <c r="N268" s="156" t="n"/>
      <c r="O268" s="156" t="n"/>
    </row>
    <row r="269" ht="18.75" customHeight="1" s="153">
      <c r="A269" s="227" t="n"/>
      <c r="B269" s="228" t="n"/>
      <c r="C269" s="229" t="n"/>
      <c r="D269" s="229" t="n"/>
      <c r="E269" s="229" t="n"/>
      <c r="F269" s="230" t="n"/>
      <c r="G269" s="230" t="n"/>
      <c r="H269" s="231" t="n"/>
      <c r="I269" s="232" t="n"/>
      <c r="J269" s="232" t="n"/>
      <c r="K269" s="233" t="n"/>
      <c r="L269" s="233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56" t="n"/>
      <c r="N269" s="156" t="n"/>
      <c r="O269" s="156" t="n"/>
    </row>
    <row r="270" ht="18.75" customHeight="1" s="153">
      <c r="A270" s="237" t="n"/>
      <c r="B270" s="238" t="n"/>
      <c r="C270" s="239" t="n"/>
      <c r="D270" s="239" t="n"/>
      <c r="E270" s="239" t="n"/>
      <c r="F270" s="240" t="n"/>
      <c r="G270" s="240" t="n"/>
      <c r="H270" s="241" t="n"/>
      <c r="I270" s="242" t="n"/>
      <c r="J270" s="242" t="n"/>
      <c r="K270" s="233" t="n"/>
      <c r="L270" s="233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56" t="n"/>
      <c r="N270" s="156" t="n"/>
      <c r="O270" s="156" t="n"/>
    </row>
    <row r="271" ht="18.75" customHeight="1" s="153">
      <c r="A271" s="227" t="n"/>
      <c r="B271" s="228" t="n"/>
      <c r="C271" s="229" t="n"/>
      <c r="D271" s="229" t="n"/>
      <c r="E271" s="229" t="n"/>
      <c r="F271" s="230" t="n"/>
      <c r="G271" s="230" t="n"/>
      <c r="H271" s="231" t="n"/>
      <c r="I271" s="232" t="n"/>
      <c r="J271" s="232" t="n"/>
      <c r="K271" s="233" t="n"/>
      <c r="L271" s="233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56" t="n"/>
      <c r="N271" s="156" t="n"/>
      <c r="O271" s="156" t="n"/>
    </row>
    <row r="272" ht="18.75" customHeight="1" s="153">
      <c r="A272" s="237" t="n"/>
      <c r="B272" s="238" t="n"/>
      <c r="C272" s="239" t="n"/>
      <c r="D272" s="239" t="n"/>
      <c r="E272" s="239" t="n"/>
      <c r="F272" s="240" t="n"/>
      <c r="G272" s="240" t="n"/>
      <c r="H272" s="241" t="n"/>
      <c r="I272" s="242" t="n"/>
      <c r="J272" s="242" t="n"/>
      <c r="K272" s="233" t="n"/>
      <c r="L272" s="233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56" t="n"/>
      <c r="N272" s="156" t="n"/>
      <c r="O272" s="156" t="n"/>
    </row>
    <row r="273" ht="18.75" customHeight="1" s="153">
      <c r="A273" s="227" t="n"/>
      <c r="B273" s="228" t="n"/>
      <c r="C273" s="229" t="n"/>
      <c r="D273" s="229" t="n"/>
      <c r="E273" s="229" t="n"/>
      <c r="F273" s="230" t="n"/>
      <c r="G273" s="230" t="n"/>
      <c r="H273" s="231" t="n"/>
      <c r="I273" s="232" t="n"/>
      <c r="J273" s="232" t="n"/>
      <c r="K273" s="233" t="n"/>
      <c r="L273" s="233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56" t="n"/>
      <c r="N273" s="156" t="n"/>
      <c r="O273" s="156" t="n"/>
    </row>
    <row r="274" ht="18.75" customHeight="1" s="153">
      <c r="A274" s="237" t="n"/>
      <c r="B274" s="238" t="n"/>
      <c r="C274" s="239" t="n"/>
      <c r="D274" s="239" t="n"/>
      <c r="E274" s="239" t="n"/>
      <c r="F274" s="240" t="n"/>
      <c r="G274" s="240" t="n"/>
      <c r="H274" s="241" t="n"/>
      <c r="I274" s="242" t="n"/>
      <c r="J274" s="242" t="n"/>
      <c r="K274" s="233" t="n"/>
      <c r="L274" s="233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56" t="n"/>
      <c r="N274" s="156" t="n"/>
      <c r="O274" s="156" t="n"/>
    </row>
    <row r="275" ht="18.75" customHeight="1" s="153">
      <c r="A275" s="227" t="n"/>
      <c r="B275" s="228" t="n"/>
      <c r="C275" s="229" t="n"/>
      <c r="D275" s="229" t="n"/>
      <c r="E275" s="229" t="n"/>
      <c r="F275" s="230" t="n"/>
      <c r="G275" s="230" t="n"/>
      <c r="H275" s="231" t="n"/>
      <c r="I275" s="232" t="n"/>
      <c r="J275" s="232" t="n"/>
      <c r="K275" s="233" t="n"/>
      <c r="L275" s="233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>
        <f>IFERROR(SUM(C5:C500),0)</f>
        <v/>
      </c>
      <c r="D501" s="255">
        <f>IFERROR(SUM(D5:D500),0)</f>
        <v/>
      </c>
      <c r="E501" s="255">
        <f>IFERROR(SUM(E5:E500),0)</f>
        <v/>
      </c>
      <c r="F501" s="255">
        <f>IFERROR(SUM(F5:F500),0)</f>
        <v/>
      </c>
      <c r="G501" s="255">
        <f>IFERROR(SUM(G5:G500),0)</f>
        <v/>
      </c>
      <c r="H501" s="256" t="n"/>
      <c r="I501" s="256" t="n"/>
      <c r="J501" s="256" t="n"/>
      <c r="K501" s="2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O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32" customWidth="1" style="152" min="2" max="2"/>
    <col width="7" customWidth="1" style="152" min="3" max="7"/>
    <col width="16" customWidth="1" style="152" min="8" max="8"/>
    <col width="14" customWidth="1" style="152" min="9" max="12"/>
    <col width="2" customWidth="1" style="152" min="13" max="13"/>
    <col width="26" customWidth="1" style="152" min="14" max="14"/>
    <col width="18" customWidth="1" style="152" min="15" max="15"/>
    <col width="4" customWidth="1" style="152" min="16" max="16"/>
  </cols>
  <sheetData>
    <row r="1" ht="37.5" customHeight="1" s="153">
      <c r="A1" s="209" t="inlineStr">
        <is>
          <t>VENTAS — DICIEMBRE 2026</t>
        </is>
      </c>
      <c r="L1" s="156" t="n"/>
      <c r="M1" s="156" t="n"/>
      <c r="N1" s="156" t="n"/>
      <c r="O1" s="156" t="n"/>
    </row>
    <row r="2" ht="19.5" customHeight="1" s="153">
      <c r="A2" s="212" t="inlineStr">
        <is>
          <t>⚠  El nombre del cliente debe ser EXACTAMENTE igual siempre  ·  La ganancia se calcula con el costo vigente a la fecha</t>
        </is>
      </c>
      <c r="L2" s="156" t="n"/>
      <c r="M2" s="156" t="n"/>
      <c r="N2" s="156" t="n"/>
      <c r="O2" s="156" t="n"/>
    </row>
    <row r="3" ht="7.5" customHeight="1" s="15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</row>
    <row r="4" ht="25.5" customHeight="1" s="153">
      <c r="A4" s="189" t="inlineStr">
        <is>
          <t>FECHA</t>
        </is>
      </c>
      <c r="B4" s="189" t="inlineStr">
        <is>
          <t>CLIENTE / DIRECCIÓN</t>
        </is>
      </c>
      <c r="C4" s="189" t="inlineStr">
        <is>
          <t>10</t>
        </is>
      </c>
      <c r="D4" s="189" t="inlineStr">
        <is>
          <t>15</t>
        </is>
      </c>
      <c r="E4" s="189" t="inlineStr">
        <is>
          <t>45</t>
        </is>
      </c>
      <c r="F4" s="189" t="inlineStr">
        <is>
          <t>YERBA</t>
        </is>
      </c>
      <c r="G4" s="189" t="inlineStr">
        <is>
          <t>AGUA</t>
        </is>
      </c>
      <c r="H4" s="189" t="inlineStr">
        <is>
          <t>VALOR ($)</t>
        </is>
      </c>
      <c r="I4" s="189" t="inlineStr">
        <is>
          <t>EFECTIVO ($)</t>
        </is>
      </c>
      <c r="J4" s="189" t="inlineStr">
        <is>
          <t>TRANSFER ($)</t>
        </is>
      </c>
      <c r="K4" s="189" t="inlineStr">
        <is>
          <t>ENVASE ($)</t>
        </is>
      </c>
      <c r="L4" s="189" t="inlineStr">
        <is>
          <t>GANANCIA ($)</t>
        </is>
      </c>
      <c r="M4" s="156" t="n"/>
      <c r="N4" s="220" t="inlineStr">
        <is>
          <t>RESUMEN DICIEMBRE</t>
        </is>
      </c>
    </row>
    <row r="5" ht="21.75" customHeight="1" s="153">
      <c r="A5" s="227" t="n"/>
      <c r="B5" s="228" t="n"/>
      <c r="C5" s="229" t="n"/>
      <c r="D5" s="229" t="n"/>
      <c r="E5" s="229" t="n"/>
      <c r="F5" s="230" t="n"/>
      <c r="G5" s="230" t="n"/>
      <c r="H5" s="231" t="n"/>
      <c r="I5" s="232" t="n"/>
      <c r="J5" s="232" t="n"/>
      <c r="K5" s="233" t="n"/>
      <c r="L5" s="233">
        <f>IF(K5&lt;&gt;"",(IF(H5="","",H5-(C5*COSTOS!$C$6+D5*COSTOS!$C$7+E5*COSTOS!$C$8+F5*COSTOS!$C$9+G5*COSTOS!$C$10)))+K5,IF(H5="","",H5-(C5*COSTOS!$C$6+D5*COSTOS!$C$7+E5*COSTOS!$C$8+F5*COSTOS!$C$9+G5*COSTOS!$C$10)))</f>
        <v/>
      </c>
      <c r="M5" s="156" t="n"/>
      <c r="N5" s="234" t="inlineStr">
        <is>
          <t>TOTAL 10</t>
        </is>
      </c>
      <c r="O5" s="235">
        <f>IFERROR(SUM(C5:C700),0)</f>
        <v/>
      </c>
    </row>
    <row r="6" ht="21.75" customHeight="1" s="153">
      <c r="A6" s="237" t="n"/>
      <c r="B6" s="238" t="n"/>
      <c r="C6" s="239" t="n"/>
      <c r="D6" s="239" t="n"/>
      <c r="E6" s="239" t="n"/>
      <c r="F6" s="240" t="n"/>
      <c r="G6" s="240" t="n"/>
      <c r="H6" s="241" t="n"/>
      <c r="I6" s="242" t="n"/>
      <c r="J6" s="242" t="n"/>
      <c r="K6" s="233" t="n"/>
      <c r="L6" s="233">
        <f>IF(K6&lt;&gt;"",(IF(H6="","",H6-(C6*COSTOS!$C$6+D6*COSTOS!$C$7+E6*COSTOS!$C$8+F6*COSTOS!$C$9+G6*COSTOS!$C$10)))+K6,IF(H6="","",H6-(C6*COSTOS!$C$6+D6*COSTOS!$C$7+E6*COSTOS!$C$8+F6*COSTOS!$C$9+G6*COSTOS!$C$10)))</f>
        <v/>
      </c>
      <c r="M6" s="156" t="n"/>
      <c r="N6" s="234" t="inlineStr">
        <is>
          <t>TOTAL 15</t>
        </is>
      </c>
      <c r="O6" s="235">
        <f>IFERROR(SUM(D5:D700),0)</f>
        <v/>
      </c>
    </row>
    <row r="7" ht="21.75" customHeight="1" s="153">
      <c r="A7" s="227" t="n"/>
      <c r="B7" s="228" t="n"/>
      <c r="C7" s="229" t="n"/>
      <c r="D7" s="229" t="n"/>
      <c r="E7" s="229" t="n"/>
      <c r="F7" s="230" t="n"/>
      <c r="G7" s="230" t="n"/>
      <c r="H7" s="231" t="n"/>
      <c r="I7" s="232" t="n"/>
      <c r="J7" s="232" t="n"/>
      <c r="K7" s="233" t="n"/>
      <c r="L7" s="233">
        <f>IF(K7&lt;&gt;"",(IF(H7="","",H7-(C7*COSTOS!$C$6+D7*COSTOS!$C$7+E7*COSTOS!$C$8+F7*COSTOS!$C$9+G7*COSTOS!$C$10)))+K7,IF(H7="","",H7-(C7*COSTOS!$C$6+D7*COSTOS!$C$7+E7*COSTOS!$C$8+F7*COSTOS!$C$9+G7*COSTOS!$C$10)))</f>
        <v/>
      </c>
      <c r="M7" s="156" t="n"/>
      <c r="N7" s="234" t="inlineStr">
        <is>
          <t>TOTAL 45</t>
        </is>
      </c>
      <c r="O7" s="235">
        <f>IFERROR(SUM(E5:E700),0)</f>
        <v/>
      </c>
    </row>
    <row r="8" ht="21.75" customHeight="1" s="153">
      <c r="A8" s="237" t="n"/>
      <c r="B8" s="238" t="n"/>
      <c r="C8" s="239" t="n"/>
      <c r="D8" s="239" t="n"/>
      <c r="E8" s="239" t="n"/>
      <c r="F8" s="240" t="n"/>
      <c r="G8" s="240" t="n"/>
      <c r="H8" s="241" t="n"/>
      <c r="I8" s="242" t="n"/>
      <c r="J8" s="242" t="n"/>
      <c r="K8" s="233" t="n"/>
      <c r="L8" s="233">
        <f>IF(K8&lt;&gt;"",(IF(H8="","",H8-(C8*COSTOS!$C$6+D8*COSTOS!$C$7+E8*COSTOS!$C$8+F8*COSTOS!$C$9+G8*COSTOS!$C$10)))+K8,IF(H8="","",H8-(C8*COSTOS!$C$6+D8*COSTOS!$C$7+E8*COSTOS!$C$8+F8*COSTOS!$C$9+G8*COSTOS!$C$10)))</f>
        <v/>
      </c>
      <c r="M8" s="156" t="n"/>
      <c r="N8" s="234" t="inlineStr">
        <is>
          <t>TOTAL YERBA</t>
        </is>
      </c>
      <c r="O8" s="235">
        <f>IFERROR(SUM(F5:F700),0)</f>
        <v/>
      </c>
    </row>
    <row r="9" ht="21.75" customHeight="1" s="153">
      <c r="A9" s="227" t="n"/>
      <c r="B9" s="228" t="n"/>
      <c r="C9" s="229" t="n"/>
      <c r="D9" s="229" t="n"/>
      <c r="E9" s="229" t="n"/>
      <c r="F9" s="230" t="n"/>
      <c r="G9" s="230" t="n"/>
      <c r="H9" s="231" t="n"/>
      <c r="I9" s="232" t="n"/>
      <c r="J9" s="232" t="n"/>
      <c r="K9" s="233" t="n"/>
      <c r="L9" s="233">
        <f>IF(K9&lt;&gt;"",(IF(H9="","",H9-(C9*COSTOS!$C$6+D9*COSTOS!$C$7+E9*COSTOS!$C$8+F9*COSTOS!$C$9+G9*COSTOS!$C$10)))+K9,IF(H9="","",H9-(C9*COSTOS!$C$6+D9*COSTOS!$C$7+E9*COSTOS!$C$8+F9*COSTOS!$C$9+G9*COSTOS!$C$10)))</f>
        <v/>
      </c>
      <c r="M9" s="156" t="n"/>
      <c r="N9" s="234" t="inlineStr">
        <is>
          <t>TOTAL AGUA</t>
        </is>
      </c>
      <c r="O9" s="235">
        <f>IFERROR(SUM(G5:G700),0)</f>
        <v/>
      </c>
    </row>
    <row r="10" ht="21.75" customHeight="1" s="153">
      <c r="A10" s="237" t="n"/>
      <c r="B10" s="238" t="n"/>
      <c r="C10" s="239" t="n"/>
      <c r="D10" s="239" t="n"/>
      <c r="E10" s="239" t="n"/>
      <c r="F10" s="240" t="n"/>
      <c r="G10" s="240" t="n"/>
      <c r="H10" s="241" t="n"/>
      <c r="I10" s="242" t="n"/>
      <c r="J10" s="242" t="n"/>
      <c r="K10" s="233" t="n"/>
      <c r="L10" s="233">
        <f>IF(K10&lt;&gt;"",(IF(H10="","",H10-(C10*COSTOS!$C$6+D10*COSTOS!$C$7+E10*COSTOS!$C$8+F10*COSTOS!$C$9+G10*COSTOS!$C$10)))+K10,IF(H10="","",H10-(C10*COSTOS!$C$6+D10*COSTOS!$C$7+E10*COSTOS!$C$8+F10*COSTOS!$C$9+G10*COSTOS!$C$10)))</f>
        <v/>
      </c>
      <c r="M10" s="156" t="n"/>
      <c r="N10" s="243" t="n"/>
      <c r="O10" s="244" t="n"/>
    </row>
    <row r="11" ht="21.75" customHeight="1" s="153">
      <c r="A11" s="227" t="n"/>
      <c r="B11" s="228" t="n"/>
      <c r="C11" s="229" t="n"/>
      <c r="D11" s="229" t="n"/>
      <c r="E11" s="229" t="n"/>
      <c r="F11" s="230" t="n"/>
      <c r="G11" s="230" t="n"/>
      <c r="H11" s="231" t="n"/>
      <c r="I11" s="232" t="n"/>
      <c r="J11" s="232" t="n"/>
      <c r="K11" s="233" t="n"/>
      <c r="L11" s="233">
        <f>IF(K11&lt;&gt;"",(IF(H11="","",H11-(C11*COSTOS!$C$6+D11*COSTOS!$C$7+E11*COSTOS!$C$8+F11*COSTOS!$C$9+G11*COSTOS!$C$10)))+K11,IF(H11="","",H11-(C11*COSTOS!$C$6+D11*COSTOS!$C$7+E11*COSTOS!$C$8+F11*COSTOS!$C$9+G11*COSTOS!$C$10)))</f>
        <v/>
      </c>
      <c r="M11" s="156" t="n"/>
      <c r="N11" s="246" t="inlineStr">
        <is>
          <t>FACTURACIÓN</t>
        </is>
      </c>
      <c r="O11" s="247">
        <f>IFERROR(SUM(H5:H700),0)</f>
        <v/>
      </c>
    </row>
    <row r="12" ht="21.75" customHeight="1" s="153">
      <c r="A12" s="237" t="n"/>
      <c r="B12" s="238" t="n"/>
      <c r="C12" s="239" t="n"/>
      <c r="D12" s="239" t="n"/>
      <c r="E12" s="239" t="n"/>
      <c r="F12" s="240" t="n"/>
      <c r="G12" s="240" t="n"/>
      <c r="H12" s="241" t="n"/>
      <c r="I12" s="242" t="n"/>
      <c r="J12" s="242" t="n"/>
      <c r="K12" s="233" t="n"/>
      <c r="L12" s="233">
        <f>IF(K12&lt;&gt;"",(IF(H12="","",H12-(C12*COSTOS!$C$6+D12*COSTOS!$C$7+E12*COSTOS!$C$8+F12*COSTOS!$C$9+G12*COSTOS!$C$10)))+K12,IF(H12="","",H12-(C12*COSTOS!$C$6+D12*COSTOS!$C$7+E12*COSTOS!$C$8+F12*COSTOS!$C$9+G12*COSTOS!$C$10)))</f>
        <v/>
      </c>
      <c r="M12" s="156" t="n"/>
      <c r="N12" s="246" t="inlineStr">
        <is>
          <t>GANANCIA</t>
        </is>
      </c>
      <c r="O12" s="247">
        <f>IFERROR(SUM(L5:L700),0)</f>
        <v/>
      </c>
    </row>
    <row r="13" ht="21.75" customHeight="1" s="153">
      <c r="A13" s="227" t="n"/>
      <c r="B13" s="228" t="n"/>
      <c r="C13" s="229" t="n"/>
      <c r="D13" s="229" t="n"/>
      <c r="E13" s="229" t="n"/>
      <c r="F13" s="230" t="n"/>
      <c r="G13" s="230" t="n"/>
      <c r="H13" s="231" t="n"/>
      <c r="I13" s="232" t="n"/>
      <c r="J13" s="232" t="n"/>
      <c r="K13" s="233" t="n"/>
      <c r="L13" s="233">
        <f>IF(K13&lt;&gt;"",(IF(H13="","",H13-(C13*COSTOS!$C$6+D13*COSTOS!$C$7+E13*COSTOS!$C$8+F13*COSTOS!$C$9+G13*COSTOS!$C$10)))+K13,IF(H13="","",H13-(C13*COSTOS!$C$6+D13*COSTOS!$C$7+E13*COSTOS!$C$8+F13*COSTOS!$C$9+G13*COSTOS!$C$10)))</f>
        <v/>
      </c>
      <c r="M13" s="156" t="n"/>
      <c r="N13" s="246" t="inlineStr">
        <is>
          <t>% GANANCIA</t>
        </is>
      </c>
      <c r="O13" s="248">
        <f>IFERROR(SUM(L5:L700)/SUM(H5:H700),0)</f>
        <v/>
      </c>
    </row>
    <row r="14" ht="21.75" customHeight="1" s="153">
      <c r="A14" s="237" t="n"/>
      <c r="B14" s="238" t="n"/>
      <c r="C14" s="239" t="n"/>
      <c r="D14" s="239" t="n"/>
      <c r="E14" s="239" t="n"/>
      <c r="F14" s="240" t="n"/>
      <c r="G14" s="240" t="n"/>
      <c r="H14" s="241" t="n"/>
      <c r="I14" s="242" t="n"/>
      <c r="J14" s="242" t="n"/>
      <c r="K14" s="233" t="n"/>
      <c r="L14" s="233">
        <f>IF(K14&lt;&gt;"",(IF(H14="","",H14-(C14*COSTOS!$C$6+D14*COSTOS!$C$7+E14*COSTOS!$C$8+F14*COSTOS!$C$9+G14*COSTOS!$C$10)))+K14,IF(H14="","",H14-(C14*COSTOS!$C$6+D14*COSTOS!$C$7+E14*COSTOS!$C$8+F14*COSTOS!$C$9+G14*COSTOS!$C$10)))</f>
        <v/>
      </c>
      <c r="M14" s="156" t="n"/>
      <c r="N14" s="243" t="n"/>
      <c r="O14" s="244" t="n"/>
    </row>
    <row r="15" ht="21.75" customHeight="1" s="153">
      <c r="A15" s="227" t="n"/>
      <c r="B15" s="228" t="n"/>
      <c r="C15" s="229" t="n"/>
      <c r="D15" s="229" t="n"/>
      <c r="E15" s="229" t="n"/>
      <c r="F15" s="230" t="n"/>
      <c r="G15" s="230" t="n"/>
      <c r="H15" s="231" t="n"/>
      <c r="I15" s="232" t="n"/>
      <c r="J15" s="232" t="n"/>
      <c r="K15" s="233" t="n"/>
      <c r="L15" s="233">
        <f>IF(K15&lt;&gt;"",(IF(H15="","",H15-(C15*COSTOS!$C$6+D15*COSTOS!$C$7+E15*COSTOS!$C$8+F15*COSTOS!$C$9+G15*COSTOS!$C$10)))+K15,IF(H15="","",H15-(C15*COSTOS!$C$6+D15*COSTOS!$C$7+E15*COSTOS!$C$8+F15*COSTOS!$C$9+G15*COSTOS!$C$10)))</f>
        <v/>
      </c>
      <c r="M15" s="156" t="n"/>
      <c r="N15" s="234" t="inlineStr">
        <is>
          <t>EFECTIVO</t>
        </is>
      </c>
      <c r="O15" s="249">
        <f>IFERROR(SUM(I5:I700),0)</f>
        <v/>
      </c>
    </row>
    <row r="16" ht="21.75" customHeight="1" s="153">
      <c r="A16" s="237" t="n"/>
      <c r="B16" s="238" t="n"/>
      <c r="C16" s="239" t="n"/>
      <c r="D16" s="239" t="n"/>
      <c r="E16" s="239" t="n"/>
      <c r="F16" s="240" t="n"/>
      <c r="G16" s="240" t="n"/>
      <c r="H16" s="241" t="n"/>
      <c r="I16" s="242" t="n"/>
      <c r="J16" s="242" t="n"/>
      <c r="K16" s="233" t="n"/>
      <c r="L16" s="233">
        <f>IF(K16&lt;&gt;"",(IF(H16="","",H16-(C16*COSTOS!$C$6+D16*COSTOS!$C$7+E16*COSTOS!$C$8+F16*COSTOS!$C$9+G16*COSTOS!$C$10)))+K16,IF(H16="","",H16-(C16*COSTOS!$C$6+D16*COSTOS!$C$7+E16*COSTOS!$C$8+F16*COSTOS!$C$9+G16*COSTOS!$C$10)))</f>
        <v/>
      </c>
      <c r="M16" s="156" t="n"/>
      <c r="N16" s="234" t="inlineStr">
        <is>
          <t>TRANSFERENCIA</t>
        </is>
      </c>
      <c r="O16" s="249">
        <f>IFERROR(SUM(J5:J700),0)</f>
        <v/>
      </c>
    </row>
    <row r="17" ht="21.75" customHeight="1" s="153">
      <c r="A17" s="227" t="n"/>
      <c r="B17" s="228" t="n"/>
      <c r="C17" s="229" t="n"/>
      <c r="D17" s="229" t="n"/>
      <c r="E17" s="229" t="n"/>
      <c r="F17" s="230" t="n"/>
      <c r="G17" s="230" t="n"/>
      <c r="H17" s="231" t="n"/>
      <c r="I17" s="232" t="n"/>
      <c r="J17" s="232" t="n"/>
      <c r="K17" s="233" t="n"/>
      <c r="L17" s="233">
        <f>IF(K17&lt;&gt;"",(IF(H17="","",H17-(C17*COSTOS!$C$6+D17*COSTOS!$C$7+E17*COSTOS!$C$8+F17*COSTOS!$C$9+G17*COSTOS!$C$10)))+K17,IF(H17="","",H17-(C17*COSTOS!$C$6+D17*COSTOS!$C$7+E17*COSTOS!$C$8+F17*COSTOS!$C$9+G17*COSTOS!$C$10)))</f>
        <v/>
      </c>
      <c r="M17" s="156" t="n"/>
      <c r="N17" s="243" t="n"/>
      <c r="O17" s="244" t="n"/>
    </row>
    <row r="18" ht="21.75" customHeight="1" s="153">
      <c r="A18" s="237" t="n"/>
      <c r="B18" s="238" t="n"/>
      <c r="C18" s="239" t="n"/>
      <c r="D18" s="239" t="n"/>
      <c r="E18" s="239" t="n"/>
      <c r="F18" s="240" t="n"/>
      <c r="G18" s="240" t="n"/>
      <c r="H18" s="241" t="n"/>
      <c r="I18" s="242" t="n"/>
      <c r="J18" s="242" t="n"/>
      <c r="K18" s="233" t="n"/>
      <c r="L18" s="233">
        <f>IF(K18&lt;&gt;"",(IF(H18="","",H18-(C18*COSTOS!$C$6+D18*COSTOS!$C$7+E18*COSTOS!$C$8+F18*COSTOS!$C$9+G18*COSTOS!$C$10)))+K18,IF(H18="","",H18-(C18*COSTOS!$C$6+D18*COSTOS!$C$7+E18*COSTOS!$C$8+F18*COSTOS!$C$9+G18*COSTOS!$C$10)))</f>
        <v/>
      </c>
      <c r="M18" s="156" t="n"/>
      <c r="N18" s="234" t="inlineStr">
        <is>
          <t>Nº VENTAS</t>
        </is>
      </c>
      <c r="O18" s="250">
        <f>IFERROR(COUNTA(B5:B700),0)</f>
        <v/>
      </c>
    </row>
    <row r="19" ht="21.75" customHeight="1" s="153">
      <c r="A19" s="227" t="n"/>
      <c r="B19" s="228" t="n"/>
      <c r="C19" s="229" t="n"/>
      <c r="D19" s="229" t="n"/>
      <c r="E19" s="229" t="n"/>
      <c r="F19" s="230" t="n"/>
      <c r="G19" s="230" t="n"/>
      <c r="H19" s="231" t="n"/>
      <c r="I19" s="232" t="n"/>
      <c r="J19" s="232" t="n"/>
      <c r="K19" s="233" t="n"/>
      <c r="L19" s="233">
        <f>IF(K19&lt;&gt;"",(IF(H19="","",H19-(C19*COSTOS!$C$6+D19*COSTOS!$C$7+E19*COSTOS!$C$8+F19*COSTOS!$C$9+G19*COSTOS!$C$10)))+K19,IF(H19="","",H19-(C19*COSTOS!$C$6+D19*COSTOS!$C$7+E19*COSTOS!$C$8+F19*COSTOS!$C$9+G19*COSTOS!$C$10)))</f>
        <v/>
      </c>
      <c r="M19" s="156" t="n"/>
      <c r="N19" s="234" t="inlineStr">
        <is>
          <t>DÍAS DEL MES</t>
        </is>
      </c>
      <c r="O19" s="250" t="n">
        <v>31</v>
      </c>
    </row>
    <row r="20" ht="21.75" customHeight="1" s="153">
      <c r="A20" s="237" t="n"/>
      <c r="B20" s="238" t="n"/>
      <c r="C20" s="239" t="n"/>
      <c r="D20" s="239" t="n"/>
      <c r="E20" s="239" t="n"/>
      <c r="F20" s="240" t="n"/>
      <c r="G20" s="240" t="n"/>
      <c r="H20" s="241" t="n"/>
      <c r="I20" s="242" t="n"/>
      <c r="J20" s="242" t="n"/>
      <c r="K20" s="233" t="n"/>
      <c r="L20" s="233">
        <f>IF(K20&lt;&gt;"",(IF(H20="","",H20-(C20*COSTOS!$C$6+D20*COSTOS!$C$7+E20*COSTOS!$C$8+F20*COSTOS!$C$9+G20*COSTOS!$C$10)))+K20,IF(H20="","",H20-(C20*COSTOS!$C$6+D20*COSTOS!$C$7+E20*COSTOS!$C$8+F20*COSTOS!$C$9+G20*COSTOS!$C$10)))</f>
        <v/>
      </c>
      <c r="M20" s="156" t="n"/>
      <c r="N20" s="243" t="n"/>
      <c r="O20" s="244" t="n"/>
    </row>
    <row r="21" ht="21.75" customHeight="1" s="153">
      <c r="A21" s="227" t="n"/>
      <c r="B21" s="228" t="n"/>
      <c r="C21" s="229" t="n"/>
      <c r="D21" s="229" t="n"/>
      <c r="E21" s="229" t="n"/>
      <c r="F21" s="230" t="n"/>
      <c r="G21" s="230" t="n"/>
      <c r="H21" s="231" t="n"/>
      <c r="I21" s="232" t="n"/>
      <c r="J21" s="232" t="n"/>
      <c r="K21" s="233" t="n"/>
      <c r="L21" s="233">
        <f>IF(K21&lt;&gt;"",(IF(H21="","",H21-(C21*COSTOS!$C$6+D21*COSTOS!$C$7+E21*COSTOS!$C$8+F21*COSTOS!$C$9+G21*COSTOS!$C$10)))+K21,IF(H21="","",H21-(C21*COSTOS!$C$6+D21*COSTOS!$C$7+E21*COSTOS!$C$8+F21*COSTOS!$C$9+G21*COSTOS!$C$10)))</f>
        <v/>
      </c>
      <c r="M21" s="156" t="n"/>
      <c r="N21" s="234" t="inlineStr">
        <is>
          <t>OBJETIVO ($)</t>
        </is>
      </c>
      <c r="O21" s="249" t="n"/>
    </row>
    <row r="22" ht="21.75" customHeight="1" s="153">
      <c r="A22" s="237" t="n"/>
      <c r="B22" s="238" t="n"/>
      <c r="C22" s="239" t="n"/>
      <c r="D22" s="239" t="n"/>
      <c r="E22" s="239" t="n"/>
      <c r="F22" s="240" t="n"/>
      <c r="G22" s="240" t="n"/>
      <c r="H22" s="241" t="n"/>
      <c r="I22" s="242" t="n"/>
      <c r="J22" s="242" t="n"/>
      <c r="K22" s="233" t="n"/>
      <c r="L22" s="233">
        <f>IF(K22&lt;&gt;"",(IF(H22="","",H22-(C22*COSTOS!$C$6+D22*COSTOS!$C$7+E22*COSTOS!$C$8+F22*COSTOS!$C$9+G22*COSTOS!$C$10)))+K22,IF(H22="","",H22-(C22*COSTOS!$C$6+D22*COSTOS!$C$7+E22*COSTOS!$C$8+F22*COSTOS!$C$9+G22*COSTOS!$C$10)))</f>
        <v/>
      </c>
      <c r="M22" s="156" t="n"/>
      <c r="N22" s="234" t="inlineStr">
        <is>
          <t>DIFERENCIA</t>
        </is>
      </c>
      <c r="O22" s="251">
        <f>IFERROR(SUM(L5:L700)-N21,0)</f>
        <v/>
      </c>
    </row>
    <row r="23" ht="18.75" customHeight="1" s="153">
      <c r="A23" s="227" t="n"/>
      <c r="B23" s="228" t="n"/>
      <c r="C23" s="229" t="n"/>
      <c r="D23" s="229" t="n"/>
      <c r="E23" s="229" t="n"/>
      <c r="F23" s="230" t="n"/>
      <c r="G23" s="230" t="n"/>
      <c r="H23" s="231" t="n"/>
      <c r="I23" s="232" t="n"/>
      <c r="J23" s="232" t="n"/>
      <c r="K23" s="233" t="n"/>
      <c r="L23" s="233">
        <f>IF(K23&lt;&gt;"",(IF(H23="","",H23-(C23*COSTOS!$C$6+D23*COSTOS!$C$7+E23*COSTOS!$C$8+F23*COSTOS!$C$9+G23*COSTOS!$C$10)))+K23,IF(H23="","",H23-(C23*COSTOS!$C$6+D23*COSTOS!$C$7+E23*COSTOS!$C$8+F23*COSTOS!$C$9+G23*COSTOS!$C$10)))</f>
        <v/>
      </c>
      <c r="M23" s="156" t="n"/>
      <c r="N23" s="156" t="n"/>
      <c r="O23" s="156" t="n"/>
    </row>
    <row r="24" ht="18.75" customHeight="1" s="153">
      <c r="A24" s="237" t="n"/>
      <c r="B24" s="238" t="n"/>
      <c r="C24" s="239" t="n"/>
      <c r="D24" s="239" t="n"/>
      <c r="E24" s="239" t="n"/>
      <c r="F24" s="240" t="n"/>
      <c r="G24" s="240" t="n"/>
      <c r="H24" s="241" t="n"/>
      <c r="I24" s="242" t="n"/>
      <c r="J24" s="242" t="n"/>
      <c r="K24" s="233" t="n"/>
      <c r="L24" s="233">
        <f>IF(K24&lt;&gt;"",(IF(H24="","",H24-(C24*COSTOS!$C$6+D24*COSTOS!$C$7+E24*COSTOS!$C$8+F24*COSTOS!$C$9+G24*COSTOS!$C$10)))+K24,IF(H24="","",H24-(C24*COSTOS!$C$6+D24*COSTOS!$C$7+E24*COSTOS!$C$8+F24*COSTOS!$C$9+G24*COSTOS!$C$10)))</f>
        <v/>
      </c>
      <c r="M24" s="156" t="n"/>
      <c r="N24" s="156" t="n"/>
      <c r="O24" s="156" t="n"/>
    </row>
    <row r="25" ht="18.75" customHeight="1" s="153">
      <c r="A25" s="227" t="n"/>
      <c r="B25" s="228" t="n"/>
      <c r="C25" s="229" t="n"/>
      <c r="D25" s="229" t="n"/>
      <c r="E25" s="229" t="n"/>
      <c r="F25" s="230" t="n"/>
      <c r="G25" s="230" t="n"/>
      <c r="H25" s="231" t="n"/>
      <c r="I25" s="232" t="n"/>
      <c r="J25" s="232" t="n"/>
      <c r="K25" s="233" t="n"/>
      <c r="L25" s="233">
        <f>IF(K25&lt;&gt;"",(IF(H25="","",H25-(C25*COSTOS!$C$6+D25*COSTOS!$C$7+E25*COSTOS!$C$8+F25*COSTOS!$C$9+G25*COSTOS!$C$10)))+K25,IF(H25="","",H25-(C25*COSTOS!$C$6+D25*COSTOS!$C$7+E25*COSTOS!$C$8+F25*COSTOS!$C$9+G25*COSTOS!$C$10)))</f>
        <v/>
      </c>
      <c r="M25" s="156" t="n"/>
      <c r="N25" s="156" t="n"/>
      <c r="O25" s="156" t="n"/>
    </row>
    <row r="26" ht="18.75" customHeight="1" s="153">
      <c r="A26" s="237" t="n"/>
      <c r="B26" s="238" t="n"/>
      <c r="C26" s="239" t="n"/>
      <c r="D26" s="239" t="n"/>
      <c r="E26" s="239" t="n"/>
      <c r="F26" s="240" t="n"/>
      <c r="G26" s="240" t="n"/>
      <c r="H26" s="241" t="n"/>
      <c r="I26" s="242" t="n"/>
      <c r="J26" s="242" t="n"/>
      <c r="K26" s="233" t="n"/>
      <c r="L26" s="233">
        <f>IF(K26&lt;&gt;"",(IF(H26="","",H26-(C26*COSTOS!$C$6+D26*COSTOS!$C$7+E26*COSTOS!$C$8+F26*COSTOS!$C$9+G26*COSTOS!$C$10)))+K26,IF(H26="","",H26-(C26*COSTOS!$C$6+D26*COSTOS!$C$7+E26*COSTOS!$C$8+F26*COSTOS!$C$9+G26*COSTOS!$C$10)))</f>
        <v/>
      </c>
      <c r="M26" s="156" t="n"/>
      <c r="N26" s="156" t="n"/>
      <c r="O26" s="156" t="n"/>
    </row>
    <row r="27" ht="18.75" customHeight="1" s="153">
      <c r="A27" s="227" t="n"/>
      <c r="B27" s="228" t="n"/>
      <c r="C27" s="229" t="n"/>
      <c r="D27" s="229" t="n"/>
      <c r="E27" s="229" t="n"/>
      <c r="F27" s="230" t="n"/>
      <c r="G27" s="230" t="n"/>
      <c r="H27" s="231" t="n"/>
      <c r="I27" s="232" t="n"/>
      <c r="J27" s="232" t="n"/>
      <c r="K27" s="233" t="n"/>
      <c r="L27" s="233">
        <f>IF(K27&lt;&gt;"",(IF(H27="","",H27-(C27*COSTOS!$C$6+D27*COSTOS!$C$7+E27*COSTOS!$C$8+F27*COSTOS!$C$9+G27*COSTOS!$C$10)))+K27,IF(H27="","",H27-(C27*COSTOS!$C$6+D27*COSTOS!$C$7+E27*COSTOS!$C$8+F27*COSTOS!$C$9+G27*COSTOS!$C$10)))</f>
        <v/>
      </c>
      <c r="M27" s="156" t="n"/>
      <c r="N27" s="156" t="n"/>
      <c r="O27" s="156" t="n"/>
    </row>
    <row r="28" ht="18.75" customHeight="1" s="153">
      <c r="A28" s="237" t="n"/>
      <c r="B28" s="238" t="n"/>
      <c r="C28" s="239" t="n"/>
      <c r="D28" s="239" t="n"/>
      <c r="E28" s="239" t="n"/>
      <c r="F28" s="240" t="n"/>
      <c r="G28" s="240" t="n"/>
      <c r="H28" s="241" t="n"/>
      <c r="I28" s="242" t="n"/>
      <c r="J28" s="242" t="n"/>
      <c r="K28" s="233" t="n"/>
      <c r="L28" s="233">
        <f>IF(K28&lt;&gt;"",(IF(H28="","",H28-(C28*COSTOS!$C$6+D28*COSTOS!$C$7+E28*COSTOS!$C$8+F28*COSTOS!$C$9+G28*COSTOS!$C$10)))+K28,IF(H28="","",H28-(C28*COSTOS!$C$6+D28*COSTOS!$C$7+E28*COSTOS!$C$8+F28*COSTOS!$C$9+G28*COSTOS!$C$10)))</f>
        <v/>
      </c>
      <c r="M28" s="156" t="n"/>
      <c r="N28" s="156" t="n"/>
      <c r="O28" s="156" t="n"/>
    </row>
    <row r="29" ht="18.75" customHeight="1" s="153">
      <c r="A29" s="227" t="n"/>
      <c r="B29" s="228" t="n"/>
      <c r="C29" s="229" t="n"/>
      <c r="D29" s="229" t="n"/>
      <c r="E29" s="229" t="n"/>
      <c r="F29" s="230" t="n"/>
      <c r="G29" s="230" t="n"/>
      <c r="H29" s="231" t="n"/>
      <c r="I29" s="232" t="n"/>
      <c r="J29" s="232" t="n"/>
      <c r="K29" s="233" t="n"/>
      <c r="L29" s="233">
        <f>IF(K29&lt;&gt;"",(IF(H29="","",H29-(C29*COSTOS!$C$6+D29*COSTOS!$C$7+E29*COSTOS!$C$8+F29*COSTOS!$C$9+G29*COSTOS!$C$10)))+K29,IF(H29="","",H29-(C29*COSTOS!$C$6+D29*COSTOS!$C$7+E29*COSTOS!$C$8+F29*COSTOS!$C$9+G29*COSTOS!$C$10)))</f>
        <v/>
      </c>
      <c r="M29" s="156" t="n"/>
      <c r="N29" s="156" t="n"/>
      <c r="O29" s="156">
        <f>IFERROR(SUM(L5:L700)/COUNTA(B5:B700),0)</f>
        <v/>
      </c>
    </row>
    <row r="30" ht="18.75" customHeight="1" s="153">
      <c r="A30" s="237" t="n"/>
      <c r="B30" s="238" t="n"/>
      <c r="C30" s="239" t="n"/>
      <c r="D30" s="239" t="n"/>
      <c r="E30" s="239" t="n"/>
      <c r="F30" s="240" t="n"/>
      <c r="G30" s="240" t="n"/>
      <c r="H30" s="241" t="n"/>
      <c r="I30" s="242" t="n"/>
      <c r="J30" s="242" t="n"/>
      <c r="K30" s="233" t="n"/>
      <c r="L30" s="233">
        <f>IF(K30&lt;&gt;"",(IF(H30="","",H30-(C30*COSTOS!$C$6+D30*COSTOS!$C$7+E30*COSTOS!$C$8+F30*COSTOS!$C$9+G30*COSTOS!$C$10)))+K30,IF(H30="","",H30-(C30*COSTOS!$C$6+D30*COSTOS!$C$7+E30*COSTOS!$C$8+F30*COSTOS!$C$9+G30*COSTOS!$C$10)))</f>
        <v/>
      </c>
      <c r="M30" s="156" t="n"/>
      <c r="N30" s="156" t="n"/>
      <c r="O30" s="156" t="n"/>
    </row>
    <row r="31" ht="18.75" customHeight="1" s="153">
      <c r="A31" s="227" t="n"/>
      <c r="B31" s="228" t="n"/>
      <c r="C31" s="229" t="n"/>
      <c r="D31" s="229" t="n"/>
      <c r="E31" s="229" t="n"/>
      <c r="F31" s="230" t="n"/>
      <c r="G31" s="230" t="n"/>
      <c r="H31" s="231" t="n"/>
      <c r="I31" s="232" t="n"/>
      <c r="J31" s="232" t="n"/>
      <c r="K31" s="233" t="n"/>
      <c r="L31" s="233">
        <f>IF(K31&lt;&gt;"",(IF(H31="","",H31-(C31*COSTOS!$C$6+D31*COSTOS!$C$7+E31*COSTOS!$C$8+F31*COSTOS!$C$9+G31*COSTOS!$C$10)))+K31,IF(H31="","",H31-(C31*COSTOS!$C$6+D31*COSTOS!$C$7+E31*COSTOS!$C$8+F31*COSTOS!$C$9+G31*COSTOS!$C$10)))</f>
        <v/>
      </c>
      <c r="M31" s="156" t="n"/>
      <c r="N31" s="156" t="n"/>
      <c r="O31" s="156" t="n"/>
    </row>
    <row r="32" ht="18.75" customHeight="1" s="153">
      <c r="A32" s="237" t="n"/>
      <c r="B32" s="238" t="n"/>
      <c r="C32" s="239" t="n"/>
      <c r="D32" s="239" t="n"/>
      <c r="E32" s="239" t="n"/>
      <c r="F32" s="240" t="n"/>
      <c r="G32" s="240" t="n"/>
      <c r="H32" s="241" t="n"/>
      <c r="I32" s="242" t="n"/>
      <c r="J32" s="242" t="n"/>
      <c r="K32" s="233" t="n"/>
      <c r="L32" s="233">
        <f>IF(K32&lt;&gt;"",(IF(H32="","",H32-(C32*COSTOS!$C$6+D32*COSTOS!$C$7+E32*COSTOS!$C$8+F32*COSTOS!$C$9+G32*COSTOS!$C$10)))+K32,IF(H32="","",H32-(C32*COSTOS!$C$6+D32*COSTOS!$C$7+E32*COSTOS!$C$8+F32*COSTOS!$C$9+G32*COSTOS!$C$10)))</f>
        <v/>
      </c>
      <c r="M32" s="156" t="n"/>
      <c r="N32" s="156" t="n"/>
      <c r="O32" s="156" t="n"/>
    </row>
    <row r="33" ht="18.75" customHeight="1" s="153">
      <c r="A33" s="227" t="n"/>
      <c r="B33" s="228" t="n"/>
      <c r="C33" s="229" t="n"/>
      <c r="D33" s="229" t="n"/>
      <c r="E33" s="229" t="n"/>
      <c r="F33" s="230" t="n"/>
      <c r="G33" s="230" t="n"/>
      <c r="H33" s="231" t="n"/>
      <c r="I33" s="232" t="n"/>
      <c r="J33" s="232" t="n"/>
      <c r="K33" s="233" t="n"/>
      <c r="L33" s="233">
        <f>IF(K33&lt;&gt;"",(IF(H33="","",H33-(C33*COSTOS!$C$6+D33*COSTOS!$C$7+E33*COSTOS!$C$8+F33*COSTOS!$C$9+G33*COSTOS!$C$10)))+K33,IF(H33="","",H33-(C33*COSTOS!$C$6+D33*COSTOS!$C$7+E33*COSTOS!$C$8+F33*COSTOS!$C$9+G33*COSTOS!$C$10)))</f>
        <v/>
      </c>
      <c r="M33" s="156" t="n"/>
      <c r="N33" s="156" t="n"/>
      <c r="O33" s="156" t="n"/>
    </row>
    <row r="34" ht="18.75" customHeight="1" s="153">
      <c r="A34" s="237" t="n"/>
      <c r="B34" s="238" t="n"/>
      <c r="C34" s="239" t="n"/>
      <c r="D34" s="239" t="n"/>
      <c r="E34" s="239" t="n"/>
      <c r="F34" s="240" t="n"/>
      <c r="G34" s="240" t="n"/>
      <c r="H34" s="241" t="n"/>
      <c r="I34" s="242" t="n"/>
      <c r="J34" s="242" t="n"/>
      <c r="K34" s="233" t="n"/>
      <c r="L34" s="233">
        <f>IF(K34&lt;&gt;"",(IF(H34="","",H34-(C34*COSTOS!$C$6+D34*COSTOS!$C$7+E34*COSTOS!$C$8+F34*COSTOS!$C$9+G34*COSTOS!$C$10)))+K34,IF(H34="","",H34-(C34*COSTOS!$C$6+D34*COSTOS!$C$7+E34*COSTOS!$C$8+F34*COSTOS!$C$9+G34*COSTOS!$C$10)))</f>
        <v/>
      </c>
      <c r="M34" s="156" t="n"/>
      <c r="N34" s="156" t="n"/>
      <c r="O34" s="156" t="n"/>
    </row>
    <row r="35" ht="18.75" customHeight="1" s="153">
      <c r="A35" s="227" t="n"/>
      <c r="B35" s="228" t="n"/>
      <c r="C35" s="229" t="n"/>
      <c r="D35" s="229" t="n"/>
      <c r="E35" s="229" t="n"/>
      <c r="F35" s="230" t="n"/>
      <c r="G35" s="230" t="n"/>
      <c r="H35" s="231" t="n"/>
      <c r="I35" s="232" t="n"/>
      <c r="J35" s="232" t="n"/>
      <c r="K35" s="233" t="n"/>
      <c r="L35" s="233">
        <f>IF(K35&lt;&gt;"",(IF(H35="","",H35-(C35*COSTOS!$C$6+D35*COSTOS!$C$7+E35*COSTOS!$C$8+F35*COSTOS!$C$9+G35*COSTOS!$C$10)))+K35,IF(H35="","",H35-(C35*COSTOS!$C$6+D35*COSTOS!$C$7+E35*COSTOS!$C$8+F35*COSTOS!$C$9+G35*COSTOS!$C$10)))</f>
        <v/>
      </c>
      <c r="M35" s="156" t="n"/>
      <c r="N35" s="156" t="n"/>
      <c r="O35" s="156" t="n"/>
    </row>
    <row r="36" ht="18.75" customHeight="1" s="153">
      <c r="A36" s="237" t="n"/>
      <c r="B36" s="238" t="n"/>
      <c r="C36" s="239" t="n"/>
      <c r="D36" s="239" t="n"/>
      <c r="E36" s="239" t="n"/>
      <c r="F36" s="240" t="n"/>
      <c r="G36" s="240" t="n"/>
      <c r="H36" s="241" t="n"/>
      <c r="I36" s="242" t="n"/>
      <c r="J36" s="242" t="n"/>
      <c r="K36" s="233" t="n"/>
      <c r="L36" s="233">
        <f>IF(K36&lt;&gt;"",(IF(H36="","",H36-(C36*COSTOS!$C$6+D36*COSTOS!$C$7+E36*COSTOS!$C$8+F36*COSTOS!$C$9+G36*COSTOS!$C$10)))+K36,IF(H36="","",H36-(C36*COSTOS!$C$6+D36*COSTOS!$C$7+E36*COSTOS!$C$8+F36*COSTOS!$C$9+G36*COSTOS!$C$10)))</f>
        <v/>
      </c>
      <c r="M36" s="156" t="n"/>
      <c r="N36" s="156" t="n"/>
      <c r="O36" s="156" t="n"/>
    </row>
    <row r="37" ht="18.75" customHeight="1" s="153">
      <c r="A37" s="227" t="n"/>
      <c r="B37" s="228" t="n"/>
      <c r="C37" s="229" t="n"/>
      <c r="D37" s="229" t="n"/>
      <c r="E37" s="229" t="n"/>
      <c r="F37" s="230" t="n"/>
      <c r="G37" s="230" t="n"/>
      <c r="H37" s="231" t="n"/>
      <c r="I37" s="232" t="n"/>
      <c r="J37" s="232" t="n"/>
      <c r="K37" s="233" t="n"/>
      <c r="L37" s="233">
        <f>IF(K37&lt;&gt;"",(IF(H37="","",H37-(C37*COSTOS!$C$6+D37*COSTOS!$C$7+E37*COSTOS!$C$8+F37*COSTOS!$C$9+G37*COSTOS!$C$10)))+K37,IF(H37="","",H37-(C37*COSTOS!$C$6+D37*COSTOS!$C$7+E37*COSTOS!$C$8+F37*COSTOS!$C$9+G37*COSTOS!$C$10)))</f>
        <v/>
      </c>
      <c r="M37" s="156" t="n"/>
      <c r="N37" s="156" t="n"/>
      <c r="O37" s="156" t="n"/>
    </row>
    <row r="38" ht="18.75" customHeight="1" s="153">
      <c r="A38" s="237" t="n"/>
      <c r="B38" s="238" t="n"/>
      <c r="C38" s="239" t="n"/>
      <c r="D38" s="239" t="n"/>
      <c r="E38" s="239" t="n"/>
      <c r="F38" s="240" t="n"/>
      <c r="G38" s="240" t="n"/>
      <c r="H38" s="241" t="n"/>
      <c r="I38" s="242" t="n"/>
      <c r="J38" s="242" t="n"/>
      <c r="K38" s="233" t="n"/>
      <c r="L38" s="233">
        <f>IF(K38&lt;&gt;"",(IF(H38="","",H38-(C38*COSTOS!$C$6+D38*COSTOS!$C$7+E38*COSTOS!$C$8+F38*COSTOS!$C$9+G38*COSTOS!$C$10)))+K38,IF(H38="","",H38-(C38*COSTOS!$C$6+D38*COSTOS!$C$7+E38*COSTOS!$C$8+F38*COSTOS!$C$9+G38*COSTOS!$C$10)))</f>
        <v/>
      </c>
      <c r="M38" s="156" t="n"/>
      <c r="N38" s="156" t="n"/>
      <c r="O38" s="156" t="n"/>
    </row>
    <row r="39" ht="18.75" customHeight="1" s="153">
      <c r="A39" s="227" t="n"/>
      <c r="B39" s="228" t="n"/>
      <c r="C39" s="229" t="n"/>
      <c r="D39" s="229" t="n"/>
      <c r="E39" s="229" t="n"/>
      <c r="F39" s="230" t="n"/>
      <c r="G39" s="230" t="n"/>
      <c r="H39" s="231" t="n"/>
      <c r="I39" s="232" t="n"/>
      <c r="J39" s="232" t="n"/>
      <c r="K39" s="233" t="n"/>
      <c r="L39" s="233">
        <f>IF(K39&lt;&gt;"",(IF(H39="","",H39-(C39*COSTOS!$C$6+D39*COSTOS!$C$7+E39*COSTOS!$C$8+F39*COSTOS!$C$9+G39*COSTOS!$C$10)))+K39,IF(H39="","",H39-(C39*COSTOS!$C$6+D39*COSTOS!$C$7+E39*COSTOS!$C$8+F39*COSTOS!$C$9+G39*COSTOS!$C$10)))</f>
        <v/>
      </c>
      <c r="M39" s="156" t="n"/>
      <c r="N39" s="156" t="n"/>
      <c r="O39" s="156" t="n"/>
    </row>
    <row r="40" ht="18.75" customHeight="1" s="153">
      <c r="A40" s="237" t="n"/>
      <c r="B40" s="238" t="n"/>
      <c r="C40" s="239" t="n"/>
      <c r="D40" s="239" t="n"/>
      <c r="E40" s="239" t="n"/>
      <c r="F40" s="240" t="n"/>
      <c r="G40" s="240" t="n"/>
      <c r="H40" s="241" t="n"/>
      <c r="I40" s="242" t="n"/>
      <c r="J40" s="242" t="n"/>
      <c r="K40" s="233" t="n"/>
      <c r="L40" s="233">
        <f>IF(K40&lt;&gt;"",(IF(H40="","",H40-(C40*COSTOS!$C$6+D40*COSTOS!$C$7+E40*COSTOS!$C$8+F40*COSTOS!$C$9+G40*COSTOS!$C$10)))+K40,IF(H40="","",H40-(C40*COSTOS!$C$6+D40*COSTOS!$C$7+E40*COSTOS!$C$8+F40*COSTOS!$C$9+G40*COSTOS!$C$10)))</f>
        <v/>
      </c>
      <c r="M40" s="156" t="n"/>
      <c r="N40" s="156" t="n"/>
      <c r="O40" s="156" t="n"/>
    </row>
    <row r="41" ht="18.75" customHeight="1" s="153">
      <c r="A41" s="227" t="n"/>
      <c r="B41" s="228" t="n"/>
      <c r="C41" s="229" t="n"/>
      <c r="D41" s="229" t="n"/>
      <c r="E41" s="229" t="n"/>
      <c r="F41" s="230" t="n"/>
      <c r="G41" s="230" t="n"/>
      <c r="H41" s="231" t="n"/>
      <c r="I41" s="232" t="n"/>
      <c r="J41" s="232" t="n"/>
      <c r="K41" s="233" t="n"/>
      <c r="L41" s="233">
        <f>IF(K41&lt;&gt;"",(IF(H41="","",H41-(C41*COSTOS!$C$6+D41*COSTOS!$C$7+E41*COSTOS!$C$8+F41*COSTOS!$C$9+G41*COSTOS!$C$10)))+K41,IF(H41="","",H41-(C41*COSTOS!$C$6+D41*COSTOS!$C$7+E41*COSTOS!$C$8+F41*COSTOS!$C$9+G41*COSTOS!$C$10)))</f>
        <v/>
      </c>
      <c r="M41" s="156" t="n"/>
      <c r="N41" s="156" t="n"/>
      <c r="O41" s="156" t="n"/>
    </row>
    <row r="42" ht="18.75" customHeight="1" s="153">
      <c r="A42" s="237" t="n"/>
      <c r="B42" s="238" t="n"/>
      <c r="C42" s="239" t="n"/>
      <c r="D42" s="239" t="n"/>
      <c r="E42" s="239" t="n"/>
      <c r="F42" s="240" t="n"/>
      <c r="G42" s="240" t="n"/>
      <c r="H42" s="241" t="n"/>
      <c r="I42" s="242" t="n"/>
      <c r="J42" s="242" t="n"/>
      <c r="K42" s="233" t="n"/>
      <c r="L42" s="233">
        <f>IF(K42&lt;&gt;"",(IF(H42="","",H42-(C42*COSTOS!$C$6+D42*COSTOS!$C$7+E42*COSTOS!$C$8+F42*COSTOS!$C$9+G42*COSTOS!$C$10)))+K42,IF(H42="","",H42-(C42*COSTOS!$C$6+D42*COSTOS!$C$7+E42*COSTOS!$C$8+F42*COSTOS!$C$9+G42*COSTOS!$C$10)))</f>
        <v/>
      </c>
      <c r="M42" s="156" t="n"/>
      <c r="N42" s="156" t="n"/>
      <c r="O42" s="156" t="n"/>
    </row>
    <row r="43" ht="18.75" customHeight="1" s="153">
      <c r="A43" s="227" t="n"/>
      <c r="B43" s="228" t="n"/>
      <c r="C43" s="229" t="n"/>
      <c r="D43" s="229" t="n"/>
      <c r="E43" s="229" t="n"/>
      <c r="F43" s="230" t="n"/>
      <c r="G43" s="230" t="n"/>
      <c r="H43" s="231" t="n"/>
      <c r="I43" s="232" t="n"/>
      <c r="J43" s="232" t="n"/>
      <c r="K43" s="233" t="n"/>
      <c r="L43" s="233">
        <f>IF(K43&lt;&gt;"",(IF(H43="","",H43-(C43*COSTOS!$C$6+D43*COSTOS!$C$7+E43*COSTOS!$C$8+F43*COSTOS!$C$9+G43*COSTOS!$C$10)))+K43,IF(H43="","",H43-(C43*COSTOS!$C$6+D43*COSTOS!$C$7+E43*COSTOS!$C$8+F43*COSTOS!$C$9+G43*COSTOS!$C$10)))</f>
        <v/>
      </c>
      <c r="M43" s="156" t="n"/>
      <c r="N43" s="156" t="n"/>
      <c r="O43" s="156" t="n"/>
    </row>
    <row r="44" ht="18.75" customHeight="1" s="153">
      <c r="A44" s="237" t="n"/>
      <c r="B44" s="238" t="n"/>
      <c r="C44" s="239" t="n"/>
      <c r="D44" s="239" t="n"/>
      <c r="E44" s="239" t="n"/>
      <c r="F44" s="240" t="n"/>
      <c r="G44" s="240" t="n"/>
      <c r="H44" s="241" t="n"/>
      <c r="I44" s="242" t="n"/>
      <c r="J44" s="242" t="n"/>
      <c r="K44" s="233" t="n"/>
      <c r="L44" s="233">
        <f>IF(K44&lt;&gt;"",(IF(H44="","",H44-(C44*COSTOS!$C$6+D44*COSTOS!$C$7+E44*COSTOS!$C$8+F44*COSTOS!$C$9+G44*COSTOS!$C$10)))+K44,IF(H44="","",H44-(C44*COSTOS!$C$6+D44*COSTOS!$C$7+E44*COSTOS!$C$8+F44*COSTOS!$C$9+G44*COSTOS!$C$10)))</f>
        <v/>
      </c>
      <c r="M44" s="156" t="n"/>
      <c r="N44" s="156" t="n"/>
      <c r="O44" s="156" t="n"/>
    </row>
    <row r="45" ht="18.75" customHeight="1" s="153">
      <c r="A45" s="227" t="n"/>
      <c r="B45" s="228" t="n"/>
      <c r="C45" s="229" t="n"/>
      <c r="D45" s="229" t="n"/>
      <c r="E45" s="229" t="n"/>
      <c r="F45" s="230" t="n"/>
      <c r="G45" s="230" t="n"/>
      <c r="H45" s="231" t="n"/>
      <c r="I45" s="232" t="n"/>
      <c r="J45" s="232" t="n"/>
      <c r="K45" s="233" t="n"/>
      <c r="L45" s="233">
        <f>IF(K45&lt;&gt;"",(IF(H45="","",H45-(C45*COSTOS!$C$6+D45*COSTOS!$C$7+E45*COSTOS!$C$8+F45*COSTOS!$C$9+G45*COSTOS!$C$10)))+K45,IF(H45="","",H45-(C45*COSTOS!$C$6+D45*COSTOS!$C$7+E45*COSTOS!$C$8+F45*COSTOS!$C$9+G45*COSTOS!$C$10)))</f>
        <v/>
      </c>
      <c r="M45" s="156" t="n"/>
      <c r="N45" s="156" t="n"/>
      <c r="O45" s="156" t="n"/>
    </row>
    <row r="46" ht="18.75" customHeight="1" s="153">
      <c r="A46" s="237" t="n"/>
      <c r="B46" s="238" t="n"/>
      <c r="C46" s="239" t="n"/>
      <c r="D46" s="239" t="n"/>
      <c r="E46" s="239" t="n"/>
      <c r="F46" s="240" t="n"/>
      <c r="G46" s="240" t="n"/>
      <c r="H46" s="241" t="n"/>
      <c r="I46" s="242" t="n"/>
      <c r="J46" s="242" t="n"/>
      <c r="K46" s="233" t="n"/>
      <c r="L46" s="233">
        <f>IF(K46&lt;&gt;"",(IF(H46="","",H46-(C46*COSTOS!$C$6+D46*COSTOS!$C$7+E46*COSTOS!$C$8+F46*COSTOS!$C$9+G46*COSTOS!$C$10)))+K46,IF(H46="","",H46-(C46*COSTOS!$C$6+D46*COSTOS!$C$7+E46*COSTOS!$C$8+F46*COSTOS!$C$9+G46*COSTOS!$C$10)))</f>
        <v/>
      </c>
      <c r="M46" s="156" t="n"/>
      <c r="N46" s="156" t="n"/>
      <c r="O46" s="156" t="n"/>
    </row>
    <row r="47" ht="18.75" customHeight="1" s="153">
      <c r="A47" s="227" t="n"/>
      <c r="B47" s="228" t="n"/>
      <c r="C47" s="229" t="n"/>
      <c r="D47" s="229" t="n"/>
      <c r="E47" s="229" t="n"/>
      <c r="F47" s="230" t="n"/>
      <c r="G47" s="230" t="n"/>
      <c r="H47" s="231" t="n"/>
      <c r="I47" s="232" t="n"/>
      <c r="J47" s="232" t="n"/>
      <c r="K47" s="233" t="n"/>
      <c r="L47" s="233">
        <f>IF(K47&lt;&gt;"",(IF(H47="","",H47-(C47*COSTOS!$C$6+D47*COSTOS!$C$7+E47*COSTOS!$C$8+F47*COSTOS!$C$9+G47*COSTOS!$C$10)))+K47,IF(H47="","",H47-(C47*COSTOS!$C$6+D47*COSTOS!$C$7+E47*COSTOS!$C$8+F47*COSTOS!$C$9+G47*COSTOS!$C$10)))</f>
        <v/>
      </c>
      <c r="M47" s="156" t="n"/>
      <c r="N47" s="156" t="n"/>
      <c r="O47" s="156" t="n"/>
    </row>
    <row r="48" ht="18.75" customHeight="1" s="153">
      <c r="A48" s="237" t="n"/>
      <c r="B48" s="238" t="n"/>
      <c r="C48" s="239" t="n"/>
      <c r="D48" s="239" t="n"/>
      <c r="E48" s="239" t="n"/>
      <c r="F48" s="240" t="n"/>
      <c r="G48" s="240" t="n"/>
      <c r="H48" s="241" t="n"/>
      <c r="I48" s="242" t="n"/>
      <c r="J48" s="242" t="n"/>
      <c r="K48" s="233" t="n"/>
      <c r="L48" s="233">
        <f>IF(K48&lt;&gt;"",(IF(H48="","",H48-(C48*COSTOS!$C$6+D48*COSTOS!$C$7+E48*COSTOS!$C$8+F48*COSTOS!$C$9+G48*COSTOS!$C$10)))+K48,IF(H48="","",H48-(C48*COSTOS!$C$6+D48*COSTOS!$C$7+E48*COSTOS!$C$8+F48*COSTOS!$C$9+G48*COSTOS!$C$10)))</f>
        <v/>
      </c>
      <c r="M48" s="156" t="n"/>
      <c r="N48" s="156" t="n"/>
      <c r="O48" s="156" t="n"/>
    </row>
    <row r="49" ht="18.75" customHeight="1" s="153">
      <c r="A49" s="227" t="n"/>
      <c r="B49" s="228" t="n"/>
      <c r="C49" s="229" t="n"/>
      <c r="D49" s="229" t="n"/>
      <c r="E49" s="229" t="n"/>
      <c r="F49" s="230" t="n"/>
      <c r="G49" s="230" t="n"/>
      <c r="H49" s="231" t="n"/>
      <c r="I49" s="232" t="n"/>
      <c r="J49" s="232" t="n"/>
      <c r="K49" s="233" t="n"/>
      <c r="L49" s="233">
        <f>IF(K49&lt;&gt;"",(IF(H49="","",H49-(C49*COSTOS!$C$6+D49*COSTOS!$C$7+E49*COSTOS!$C$8+F49*COSTOS!$C$9+G49*COSTOS!$C$10)))+K49,IF(H49="","",H49-(C49*COSTOS!$C$6+D49*COSTOS!$C$7+E49*COSTOS!$C$8+F49*COSTOS!$C$9+G49*COSTOS!$C$10)))</f>
        <v/>
      </c>
      <c r="M49" s="156" t="n"/>
      <c r="N49" s="156" t="n"/>
      <c r="O49" s="156" t="n"/>
    </row>
    <row r="50" ht="18.75" customHeight="1" s="153">
      <c r="A50" s="237" t="n"/>
      <c r="B50" s="238" t="n"/>
      <c r="C50" s="239" t="n"/>
      <c r="D50" s="239" t="n"/>
      <c r="E50" s="239" t="n"/>
      <c r="F50" s="240" t="n"/>
      <c r="G50" s="240" t="n"/>
      <c r="H50" s="241" t="n"/>
      <c r="I50" s="242" t="n"/>
      <c r="J50" s="242" t="n"/>
      <c r="K50" s="233" t="n"/>
      <c r="L50" s="233">
        <f>IF(K50&lt;&gt;"",(IF(H50="","",H50-(C50*COSTOS!$C$6+D50*COSTOS!$C$7+E50*COSTOS!$C$8+F50*COSTOS!$C$9+G50*COSTOS!$C$10)))+K50,IF(H50="","",H50-(C50*COSTOS!$C$6+D50*COSTOS!$C$7+E50*COSTOS!$C$8+F50*COSTOS!$C$9+G50*COSTOS!$C$10)))</f>
        <v/>
      </c>
      <c r="M50" s="156" t="n"/>
      <c r="N50" s="156" t="n"/>
      <c r="O50" s="156" t="n"/>
    </row>
    <row r="51" ht="18.75" customHeight="1" s="153">
      <c r="A51" s="227" t="n"/>
      <c r="B51" s="228" t="n"/>
      <c r="C51" s="229" t="n"/>
      <c r="D51" s="229" t="n"/>
      <c r="E51" s="229" t="n"/>
      <c r="F51" s="230" t="n"/>
      <c r="G51" s="230" t="n"/>
      <c r="H51" s="231" t="n"/>
      <c r="I51" s="232" t="n"/>
      <c r="J51" s="232" t="n"/>
      <c r="K51" s="233" t="n"/>
      <c r="L51" s="233">
        <f>IF(K51&lt;&gt;"",(IF(H51="","",H51-(C51*COSTOS!$C$6+D51*COSTOS!$C$7+E51*COSTOS!$C$8+F51*COSTOS!$C$9+G51*COSTOS!$C$10)))+K51,IF(H51="","",H51-(C51*COSTOS!$C$6+D51*COSTOS!$C$7+E51*COSTOS!$C$8+F51*COSTOS!$C$9+G51*COSTOS!$C$10)))</f>
        <v/>
      </c>
      <c r="M51" s="156" t="n"/>
      <c r="N51" s="156" t="n"/>
      <c r="O51" s="156" t="n"/>
    </row>
    <row r="52" ht="18.75" customHeight="1" s="153">
      <c r="A52" s="237" t="n"/>
      <c r="B52" s="238" t="n"/>
      <c r="C52" s="239" t="n"/>
      <c r="D52" s="239" t="n"/>
      <c r="E52" s="239" t="n"/>
      <c r="F52" s="240" t="n"/>
      <c r="G52" s="240" t="n"/>
      <c r="H52" s="241" t="n"/>
      <c r="I52" s="242" t="n"/>
      <c r="J52" s="242" t="n"/>
      <c r="K52" s="233" t="n"/>
      <c r="L52" s="233">
        <f>IF(K52&lt;&gt;"",(IF(H52="","",H52-(C52*COSTOS!$C$6+D52*COSTOS!$C$7+E52*COSTOS!$C$8+F52*COSTOS!$C$9+G52*COSTOS!$C$10)))+K52,IF(H52="","",H52-(C52*COSTOS!$C$6+D52*COSTOS!$C$7+E52*COSTOS!$C$8+F52*COSTOS!$C$9+G52*COSTOS!$C$10)))</f>
        <v/>
      </c>
      <c r="M52" s="156" t="n"/>
      <c r="N52" s="156" t="n"/>
      <c r="O52" s="156" t="n"/>
    </row>
    <row r="53" ht="18.75" customHeight="1" s="153">
      <c r="A53" s="227" t="n"/>
      <c r="B53" s="228" t="n"/>
      <c r="C53" s="229" t="n"/>
      <c r="D53" s="229" t="n"/>
      <c r="E53" s="229" t="n"/>
      <c r="F53" s="230" t="n"/>
      <c r="G53" s="230" t="n"/>
      <c r="H53" s="231" t="n"/>
      <c r="I53" s="232" t="n"/>
      <c r="J53" s="232" t="n"/>
      <c r="K53" s="233" t="n"/>
      <c r="L53" s="233">
        <f>IF(K53&lt;&gt;"",(IF(H53="","",H53-(C53*COSTOS!$C$6+D53*COSTOS!$C$7+E53*COSTOS!$C$8+F53*COSTOS!$C$9+G53*COSTOS!$C$10)))+K53,IF(H53="","",H53-(C53*COSTOS!$C$6+D53*COSTOS!$C$7+E53*COSTOS!$C$8+F53*COSTOS!$C$9+G53*COSTOS!$C$10)))</f>
        <v/>
      </c>
      <c r="M53" s="156" t="n"/>
      <c r="N53" s="156" t="n"/>
      <c r="O53" s="156" t="n"/>
    </row>
    <row r="54" ht="18.75" customHeight="1" s="153">
      <c r="A54" s="237" t="n"/>
      <c r="B54" s="238" t="n"/>
      <c r="C54" s="239" t="n"/>
      <c r="D54" s="239" t="n"/>
      <c r="E54" s="239" t="n"/>
      <c r="F54" s="240" t="n"/>
      <c r="G54" s="240" t="n"/>
      <c r="H54" s="241" t="n"/>
      <c r="I54" s="242" t="n"/>
      <c r="J54" s="242" t="n"/>
      <c r="K54" s="233" t="n"/>
      <c r="L54" s="233">
        <f>IF(K54&lt;&gt;"",(IF(H54="","",H54-(C54*COSTOS!$C$6+D54*COSTOS!$C$7+E54*COSTOS!$C$8+F54*COSTOS!$C$9+G54*COSTOS!$C$10)))+K54,IF(H54="","",H54-(C54*COSTOS!$C$6+D54*COSTOS!$C$7+E54*COSTOS!$C$8+F54*COSTOS!$C$9+G54*COSTOS!$C$10)))</f>
        <v/>
      </c>
      <c r="M54" s="156" t="n"/>
      <c r="N54" s="156" t="n"/>
      <c r="O54" s="156" t="n"/>
    </row>
    <row r="55" ht="18.75" customHeight="1" s="153">
      <c r="A55" s="227" t="n"/>
      <c r="B55" s="228" t="n"/>
      <c r="C55" s="229" t="n"/>
      <c r="D55" s="229" t="n"/>
      <c r="E55" s="229" t="n"/>
      <c r="F55" s="230" t="n"/>
      <c r="G55" s="230" t="n"/>
      <c r="H55" s="231" t="n"/>
      <c r="I55" s="232" t="n"/>
      <c r="J55" s="232" t="n"/>
      <c r="K55" s="233" t="n"/>
      <c r="L55" s="233">
        <f>IF(K55&lt;&gt;"",(IF(H55="","",H55-(C55*COSTOS!$C$6+D55*COSTOS!$C$7+E55*COSTOS!$C$8+F55*COSTOS!$C$9+G55*COSTOS!$C$10)))+K55,IF(H55="","",H55-(C55*COSTOS!$C$6+D55*COSTOS!$C$7+E55*COSTOS!$C$8+F55*COSTOS!$C$9+G55*COSTOS!$C$10)))</f>
        <v/>
      </c>
      <c r="M55" s="156" t="n"/>
      <c r="N55" s="156" t="n"/>
      <c r="O55" s="156" t="n"/>
    </row>
    <row r="56" ht="18.75" customHeight="1" s="153">
      <c r="A56" s="237" t="n"/>
      <c r="B56" s="238" t="n"/>
      <c r="C56" s="239" t="n"/>
      <c r="D56" s="239" t="n"/>
      <c r="E56" s="239" t="n"/>
      <c r="F56" s="240" t="n"/>
      <c r="G56" s="240" t="n"/>
      <c r="H56" s="241" t="n"/>
      <c r="I56" s="242" t="n"/>
      <c r="J56" s="242" t="n"/>
      <c r="K56" s="233" t="n"/>
      <c r="L56" s="233">
        <f>IF(K56&lt;&gt;"",(IF(H56="","",H56-(C56*COSTOS!$C$6+D56*COSTOS!$C$7+E56*COSTOS!$C$8+F56*COSTOS!$C$9+G56*COSTOS!$C$10)))+K56,IF(H56="","",H56-(C56*COSTOS!$C$6+D56*COSTOS!$C$7+E56*COSTOS!$C$8+F56*COSTOS!$C$9+G56*COSTOS!$C$10)))</f>
        <v/>
      </c>
      <c r="M56" s="156" t="n"/>
      <c r="N56" s="156" t="n"/>
      <c r="O56" s="156" t="n"/>
    </row>
    <row r="57" ht="18.75" customHeight="1" s="153">
      <c r="A57" s="227" t="n"/>
      <c r="B57" s="228" t="n"/>
      <c r="C57" s="229" t="n"/>
      <c r="D57" s="229" t="n"/>
      <c r="E57" s="229" t="n"/>
      <c r="F57" s="230" t="n"/>
      <c r="G57" s="230" t="n"/>
      <c r="H57" s="231" t="n"/>
      <c r="I57" s="232" t="n"/>
      <c r="J57" s="232" t="n"/>
      <c r="K57" s="233" t="n"/>
      <c r="L57" s="233">
        <f>IF(K57&lt;&gt;"",(IF(H57="","",H57-(C57*COSTOS!$C$6+D57*COSTOS!$C$7+E57*COSTOS!$C$8+F57*COSTOS!$C$9+G57*COSTOS!$C$10)))+K57,IF(H57="","",H57-(C57*COSTOS!$C$6+D57*COSTOS!$C$7+E57*COSTOS!$C$8+F57*COSTOS!$C$9+G57*COSTOS!$C$10)))</f>
        <v/>
      </c>
      <c r="M57" s="156" t="n"/>
      <c r="N57" s="156" t="n"/>
      <c r="O57" s="156" t="n"/>
    </row>
    <row r="58" ht="18.75" customHeight="1" s="153">
      <c r="A58" s="237" t="n"/>
      <c r="B58" s="238" t="n"/>
      <c r="C58" s="239" t="n"/>
      <c r="D58" s="239" t="n"/>
      <c r="E58" s="239" t="n"/>
      <c r="F58" s="240" t="n"/>
      <c r="G58" s="240" t="n"/>
      <c r="H58" s="241" t="n"/>
      <c r="I58" s="242" t="n"/>
      <c r="J58" s="242" t="n"/>
      <c r="K58" s="233" t="n"/>
      <c r="L58" s="233">
        <f>IF(K58&lt;&gt;"",(IF(H58="","",H58-(C58*COSTOS!$C$6+D58*COSTOS!$C$7+E58*COSTOS!$C$8+F58*COSTOS!$C$9+G58*COSTOS!$C$10)))+K58,IF(H58="","",H58-(C58*COSTOS!$C$6+D58*COSTOS!$C$7+E58*COSTOS!$C$8+F58*COSTOS!$C$9+G58*COSTOS!$C$10)))</f>
        <v/>
      </c>
      <c r="M58" s="156" t="n"/>
      <c r="N58" s="156" t="n"/>
      <c r="O58" s="156" t="n"/>
    </row>
    <row r="59" ht="18.75" customHeight="1" s="153">
      <c r="A59" s="227" t="n"/>
      <c r="B59" s="228" t="n"/>
      <c r="C59" s="229" t="n"/>
      <c r="D59" s="229" t="n"/>
      <c r="E59" s="229" t="n"/>
      <c r="F59" s="230" t="n"/>
      <c r="G59" s="230" t="n"/>
      <c r="H59" s="231" t="n"/>
      <c r="I59" s="232" t="n"/>
      <c r="J59" s="232" t="n"/>
      <c r="K59" s="233" t="n"/>
      <c r="L59" s="233">
        <f>IF(K59&lt;&gt;"",(IF(H59="","",H59-(C59*COSTOS!$C$6+D59*COSTOS!$C$7+E59*COSTOS!$C$8+F59*COSTOS!$C$9+G59*COSTOS!$C$10)))+K59,IF(H59="","",H59-(C59*COSTOS!$C$6+D59*COSTOS!$C$7+E59*COSTOS!$C$8+F59*COSTOS!$C$9+G59*COSTOS!$C$10)))</f>
        <v/>
      </c>
      <c r="M59" s="156" t="n"/>
      <c r="N59" s="156" t="n"/>
      <c r="O59" s="156" t="n"/>
    </row>
    <row r="60" ht="18.75" customHeight="1" s="153">
      <c r="A60" s="237" t="n"/>
      <c r="B60" s="238" t="n"/>
      <c r="C60" s="239" t="n"/>
      <c r="D60" s="239" t="n"/>
      <c r="E60" s="239" t="n"/>
      <c r="F60" s="240" t="n"/>
      <c r="G60" s="240" t="n"/>
      <c r="H60" s="241" t="n"/>
      <c r="I60" s="242" t="n"/>
      <c r="J60" s="242" t="n"/>
      <c r="K60" s="233" t="n"/>
      <c r="L60" s="233">
        <f>IF(K60&lt;&gt;"",(IF(H60="","",H60-(C60*COSTOS!$C$6+D60*COSTOS!$C$7+E60*COSTOS!$C$8+F60*COSTOS!$C$9+G60*COSTOS!$C$10)))+K60,IF(H60="","",H60-(C60*COSTOS!$C$6+D60*COSTOS!$C$7+E60*COSTOS!$C$8+F60*COSTOS!$C$9+G60*COSTOS!$C$10)))</f>
        <v/>
      </c>
      <c r="M60" s="156" t="n"/>
      <c r="N60" s="156" t="n"/>
      <c r="O60" s="156" t="n"/>
    </row>
    <row r="61" ht="18.75" customHeight="1" s="153">
      <c r="A61" s="227" t="n"/>
      <c r="B61" s="228" t="n"/>
      <c r="C61" s="229" t="n"/>
      <c r="D61" s="229" t="n"/>
      <c r="E61" s="229" t="n"/>
      <c r="F61" s="230" t="n"/>
      <c r="G61" s="230" t="n"/>
      <c r="H61" s="231" t="n"/>
      <c r="I61" s="232" t="n"/>
      <c r="J61" s="232" t="n"/>
      <c r="K61" s="233" t="n"/>
      <c r="L61" s="233">
        <f>IF(K61&lt;&gt;"",(IF(H61="","",H61-(C61*COSTOS!$C$6+D61*COSTOS!$C$7+E61*COSTOS!$C$8+F61*COSTOS!$C$9+G61*COSTOS!$C$10)))+K61,IF(H61="","",H61-(C61*COSTOS!$C$6+D61*COSTOS!$C$7+E61*COSTOS!$C$8+F61*COSTOS!$C$9+G61*COSTOS!$C$10)))</f>
        <v/>
      </c>
      <c r="M61" s="156" t="n"/>
      <c r="N61" s="156" t="n"/>
      <c r="O61" s="156" t="n"/>
    </row>
    <row r="62" ht="18.75" customHeight="1" s="153">
      <c r="A62" s="237" t="n"/>
      <c r="B62" s="238" t="n"/>
      <c r="C62" s="239" t="n"/>
      <c r="D62" s="239" t="n"/>
      <c r="E62" s="239" t="n"/>
      <c r="F62" s="240" t="n"/>
      <c r="G62" s="240" t="n"/>
      <c r="H62" s="241" t="n"/>
      <c r="I62" s="242" t="n"/>
      <c r="J62" s="242" t="n"/>
      <c r="K62" s="233" t="n"/>
      <c r="L62" s="233">
        <f>IF(K62&lt;&gt;"",(IF(H62="","",H62-(C62*COSTOS!$C$6+D62*COSTOS!$C$7+E62*COSTOS!$C$8+F62*COSTOS!$C$9+G62*COSTOS!$C$10)))+K62,IF(H62="","",H62-(C62*COSTOS!$C$6+D62*COSTOS!$C$7+E62*COSTOS!$C$8+F62*COSTOS!$C$9+G62*COSTOS!$C$10)))</f>
        <v/>
      </c>
      <c r="M62" s="156" t="n"/>
      <c r="N62" s="156" t="n"/>
      <c r="O62" s="156" t="n"/>
    </row>
    <row r="63" ht="18.75" customHeight="1" s="153">
      <c r="A63" s="227" t="n"/>
      <c r="B63" s="228" t="n"/>
      <c r="C63" s="229" t="n"/>
      <c r="D63" s="229" t="n"/>
      <c r="E63" s="229" t="n"/>
      <c r="F63" s="230" t="n"/>
      <c r="G63" s="230" t="n"/>
      <c r="H63" s="231" t="n"/>
      <c r="I63" s="232" t="n"/>
      <c r="J63" s="232" t="n"/>
      <c r="K63" s="233" t="n"/>
      <c r="L63" s="233">
        <f>IF(K63&lt;&gt;"",(IF(H63="","",H63-(C63*COSTOS!$C$6+D63*COSTOS!$C$7+E63*COSTOS!$C$8+F63*COSTOS!$C$9+G63*COSTOS!$C$10)))+K63,IF(H63="","",H63-(C63*COSTOS!$C$6+D63*COSTOS!$C$7+E63*COSTOS!$C$8+F63*COSTOS!$C$9+G63*COSTOS!$C$10)))</f>
        <v/>
      </c>
      <c r="M63" s="156" t="n"/>
      <c r="N63" s="156" t="n"/>
      <c r="O63" s="156" t="n"/>
    </row>
    <row r="64" ht="18.75" customHeight="1" s="153">
      <c r="A64" s="237" t="n"/>
      <c r="B64" s="238" t="n"/>
      <c r="C64" s="239" t="n"/>
      <c r="D64" s="239" t="n"/>
      <c r="E64" s="239" t="n"/>
      <c r="F64" s="240" t="n"/>
      <c r="G64" s="240" t="n"/>
      <c r="H64" s="241" t="n"/>
      <c r="I64" s="242" t="n"/>
      <c r="J64" s="242" t="n"/>
      <c r="K64" s="233" t="n"/>
      <c r="L64" s="233">
        <f>IF(K64&lt;&gt;"",(IF(H64="","",H64-(C64*COSTOS!$C$6+D64*COSTOS!$C$7+E64*COSTOS!$C$8+F64*COSTOS!$C$9+G64*COSTOS!$C$10)))+K64,IF(H64="","",H64-(C64*COSTOS!$C$6+D64*COSTOS!$C$7+E64*COSTOS!$C$8+F64*COSTOS!$C$9+G64*COSTOS!$C$10)))</f>
        <v/>
      </c>
      <c r="M64" s="156" t="n"/>
      <c r="N64" s="156" t="n"/>
      <c r="O64" s="156" t="n"/>
    </row>
    <row r="65" ht="18.75" customHeight="1" s="153">
      <c r="A65" s="227" t="n"/>
      <c r="B65" s="228" t="n"/>
      <c r="C65" s="229" t="n"/>
      <c r="D65" s="229" t="n"/>
      <c r="E65" s="229" t="n"/>
      <c r="F65" s="230" t="n"/>
      <c r="G65" s="230" t="n"/>
      <c r="H65" s="231" t="n"/>
      <c r="I65" s="232" t="n"/>
      <c r="J65" s="232" t="n"/>
      <c r="K65" s="233" t="n"/>
      <c r="L65" s="233">
        <f>IF(K65&lt;&gt;"",(IF(H65="","",H65-(C65*COSTOS!$C$6+D65*COSTOS!$C$7+E65*COSTOS!$C$8+F65*COSTOS!$C$9+G65*COSTOS!$C$10)))+K65,IF(H65="","",H65-(C65*COSTOS!$C$6+D65*COSTOS!$C$7+E65*COSTOS!$C$8+F65*COSTOS!$C$9+G65*COSTOS!$C$10)))</f>
        <v/>
      </c>
      <c r="M65" s="156" t="n"/>
      <c r="N65" s="156" t="n"/>
      <c r="O65" s="156" t="n"/>
    </row>
    <row r="66" ht="18.75" customHeight="1" s="153">
      <c r="A66" s="237" t="n"/>
      <c r="B66" s="238" t="n"/>
      <c r="C66" s="239" t="n"/>
      <c r="D66" s="239" t="n"/>
      <c r="E66" s="239" t="n"/>
      <c r="F66" s="240" t="n"/>
      <c r="G66" s="240" t="n"/>
      <c r="H66" s="241" t="n"/>
      <c r="I66" s="242" t="n"/>
      <c r="J66" s="242" t="n"/>
      <c r="K66" s="233" t="n"/>
      <c r="L66" s="233">
        <f>IF(K66&lt;&gt;"",(IF(H66="","",H66-(C66*COSTOS!$C$6+D66*COSTOS!$C$7+E66*COSTOS!$C$8+F66*COSTOS!$C$9+G66*COSTOS!$C$10)))+K66,IF(H66="","",H66-(C66*COSTOS!$C$6+D66*COSTOS!$C$7+E66*COSTOS!$C$8+F66*COSTOS!$C$9+G66*COSTOS!$C$10)))</f>
        <v/>
      </c>
      <c r="M66" s="156" t="n"/>
      <c r="N66" s="156" t="n"/>
      <c r="O66" s="156" t="n"/>
    </row>
    <row r="67" ht="18.75" customHeight="1" s="153">
      <c r="A67" s="227" t="n"/>
      <c r="B67" s="228" t="n"/>
      <c r="C67" s="229" t="n"/>
      <c r="D67" s="229" t="n"/>
      <c r="E67" s="229" t="n"/>
      <c r="F67" s="230" t="n"/>
      <c r="G67" s="230" t="n"/>
      <c r="H67" s="231" t="n"/>
      <c r="I67" s="232" t="n"/>
      <c r="J67" s="232" t="n"/>
      <c r="K67" s="233" t="n"/>
      <c r="L67" s="233">
        <f>IF(K67&lt;&gt;"",(IF(H67="","",H67-(C67*COSTOS!$C$6+D67*COSTOS!$C$7+E67*COSTOS!$C$8+F67*COSTOS!$C$9+G67*COSTOS!$C$10)))+K67,IF(H67="","",H67-(C67*COSTOS!$C$6+D67*COSTOS!$C$7+E67*COSTOS!$C$8+F67*COSTOS!$C$9+G67*COSTOS!$C$10)))</f>
        <v/>
      </c>
      <c r="M67" s="156" t="n"/>
      <c r="N67" s="156" t="n"/>
      <c r="O67" s="156" t="n"/>
    </row>
    <row r="68" ht="18.75" customHeight="1" s="153">
      <c r="A68" s="237" t="n"/>
      <c r="B68" s="238" t="n"/>
      <c r="C68" s="239" t="n"/>
      <c r="D68" s="239" t="n"/>
      <c r="E68" s="239" t="n"/>
      <c r="F68" s="240" t="n"/>
      <c r="G68" s="240" t="n"/>
      <c r="H68" s="241" t="n"/>
      <c r="I68" s="242" t="n"/>
      <c r="J68" s="242" t="n"/>
      <c r="K68" s="233" t="n"/>
      <c r="L68" s="233">
        <f>IF(K68&lt;&gt;"",(IF(H68="","",H68-(C68*COSTOS!$C$6+D68*COSTOS!$C$7+E68*COSTOS!$C$8+F68*COSTOS!$C$9+G68*COSTOS!$C$10)))+K68,IF(H68="","",H68-(C68*COSTOS!$C$6+D68*COSTOS!$C$7+E68*COSTOS!$C$8+F68*COSTOS!$C$9+G68*COSTOS!$C$10)))</f>
        <v/>
      </c>
      <c r="M68" s="156" t="n"/>
      <c r="N68" s="156" t="n"/>
      <c r="O68" s="156" t="n"/>
    </row>
    <row r="69" ht="18.75" customHeight="1" s="153">
      <c r="A69" s="227" t="n"/>
      <c r="B69" s="228" t="n"/>
      <c r="C69" s="229" t="n"/>
      <c r="D69" s="229" t="n"/>
      <c r="E69" s="229" t="n"/>
      <c r="F69" s="230" t="n"/>
      <c r="G69" s="230" t="n"/>
      <c r="H69" s="231" t="n"/>
      <c r="I69" s="232" t="n"/>
      <c r="J69" s="232" t="n"/>
      <c r="K69" s="233" t="n"/>
      <c r="L69" s="233">
        <f>IF(K69&lt;&gt;"",(IF(H69="","",H69-(C69*COSTOS!$C$6+D69*COSTOS!$C$7+E69*COSTOS!$C$8+F69*COSTOS!$C$9+G69*COSTOS!$C$10)))+K69,IF(H69="","",H69-(C69*COSTOS!$C$6+D69*COSTOS!$C$7+E69*COSTOS!$C$8+F69*COSTOS!$C$9+G69*COSTOS!$C$10)))</f>
        <v/>
      </c>
      <c r="M69" s="156" t="n"/>
      <c r="N69" s="156" t="n"/>
      <c r="O69" s="156" t="n"/>
    </row>
    <row r="70" ht="18.75" customHeight="1" s="153">
      <c r="A70" s="237" t="n"/>
      <c r="B70" s="238" t="n"/>
      <c r="C70" s="239" t="n"/>
      <c r="D70" s="239" t="n"/>
      <c r="E70" s="239" t="n"/>
      <c r="F70" s="240" t="n"/>
      <c r="G70" s="240" t="n"/>
      <c r="H70" s="241" t="n"/>
      <c r="I70" s="242" t="n"/>
      <c r="J70" s="242" t="n"/>
      <c r="K70" s="233" t="n"/>
      <c r="L70" s="233">
        <f>IF(K70&lt;&gt;"",(IF(H70="","",H70-(C70*COSTOS!$C$6+D70*COSTOS!$C$7+E70*COSTOS!$C$8+F70*COSTOS!$C$9+G70*COSTOS!$C$10)))+K70,IF(H70="","",H70-(C70*COSTOS!$C$6+D70*COSTOS!$C$7+E70*COSTOS!$C$8+F70*COSTOS!$C$9+G70*COSTOS!$C$10)))</f>
        <v/>
      </c>
      <c r="M70" s="156" t="n"/>
      <c r="N70" s="156" t="n"/>
      <c r="O70" s="156" t="n"/>
    </row>
    <row r="71" ht="18.75" customHeight="1" s="153">
      <c r="A71" s="227" t="n"/>
      <c r="B71" s="228" t="n"/>
      <c r="C71" s="229" t="n"/>
      <c r="D71" s="229" t="n"/>
      <c r="E71" s="229" t="n"/>
      <c r="F71" s="230" t="n"/>
      <c r="G71" s="230" t="n"/>
      <c r="H71" s="231" t="n"/>
      <c r="I71" s="232" t="n"/>
      <c r="J71" s="232" t="n"/>
      <c r="K71" s="233" t="n"/>
      <c r="L71" s="233">
        <f>IF(K71&lt;&gt;"",(IF(H71="","",H71-(C71*COSTOS!$C$6+D71*COSTOS!$C$7+E71*COSTOS!$C$8+F71*COSTOS!$C$9+G71*COSTOS!$C$10)))+K71,IF(H71="","",H71-(C71*COSTOS!$C$6+D71*COSTOS!$C$7+E71*COSTOS!$C$8+F71*COSTOS!$C$9+G71*COSTOS!$C$10)))</f>
        <v/>
      </c>
      <c r="M71" s="156" t="n"/>
      <c r="N71" s="156" t="n"/>
      <c r="O71" s="156" t="n"/>
    </row>
    <row r="72" ht="18.75" customHeight="1" s="153">
      <c r="A72" s="237" t="n"/>
      <c r="B72" s="238" t="n"/>
      <c r="C72" s="239" t="n"/>
      <c r="D72" s="239" t="n"/>
      <c r="E72" s="239" t="n"/>
      <c r="F72" s="240" t="n"/>
      <c r="G72" s="240" t="n"/>
      <c r="H72" s="241" t="n"/>
      <c r="I72" s="242" t="n"/>
      <c r="J72" s="242" t="n"/>
      <c r="K72" s="233" t="n"/>
      <c r="L72" s="233">
        <f>IF(K72&lt;&gt;"",(IF(H72="","",H72-(C72*COSTOS!$C$6+D72*COSTOS!$C$7+E72*COSTOS!$C$8+F72*COSTOS!$C$9+G72*COSTOS!$C$10)))+K72,IF(H72="","",H72-(C72*COSTOS!$C$6+D72*COSTOS!$C$7+E72*COSTOS!$C$8+F72*COSTOS!$C$9+G72*COSTOS!$C$10)))</f>
        <v/>
      </c>
      <c r="M72" s="156" t="n"/>
      <c r="N72" s="156" t="n"/>
      <c r="O72" s="156" t="n"/>
    </row>
    <row r="73" ht="18.75" customHeight="1" s="153">
      <c r="A73" s="227" t="n"/>
      <c r="B73" s="228" t="n"/>
      <c r="C73" s="229" t="n"/>
      <c r="D73" s="229" t="n"/>
      <c r="E73" s="229" t="n"/>
      <c r="F73" s="230" t="n"/>
      <c r="G73" s="230" t="n"/>
      <c r="H73" s="231" t="n"/>
      <c r="I73" s="232" t="n"/>
      <c r="J73" s="232" t="n"/>
      <c r="K73" s="233" t="n"/>
      <c r="L73" s="233">
        <f>IF(K73&lt;&gt;"",(IF(H73="","",H73-(C73*COSTOS!$C$6+D73*COSTOS!$C$7+E73*COSTOS!$C$8+F73*COSTOS!$C$9+G73*COSTOS!$C$10)))+K73,IF(H73="","",H73-(C73*COSTOS!$C$6+D73*COSTOS!$C$7+E73*COSTOS!$C$8+F73*COSTOS!$C$9+G73*COSTOS!$C$10)))</f>
        <v/>
      </c>
      <c r="M73" s="156" t="n"/>
      <c r="N73" s="156" t="n"/>
      <c r="O73" s="156" t="n"/>
    </row>
    <row r="74" ht="18.75" customHeight="1" s="153">
      <c r="A74" s="237" t="n"/>
      <c r="B74" s="238" t="n"/>
      <c r="C74" s="239" t="n"/>
      <c r="D74" s="239" t="n"/>
      <c r="E74" s="239" t="n"/>
      <c r="F74" s="240" t="n"/>
      <c r="G74" s="240" t="n"/>
      <c r="H74" s="241" t="n"/>
      <c r="I74" s="242" t="n"/>
      <c r="J74" s="242" t="n"/>
      <c r="K74" s="233" t="n"/>
      <c r="L74" s="233">
        <f>IF(K74&lt;&gt;"",(IF(H74="","",H74-(C74*COSTOS!$C$6+D74*COSTOS!$C$7+E74*COSTOS!$C$8+F74*COSTOS!$C$9+G74*COSTOS!$C$10)))+K74,IF(H74="","",H74-(C74*COSTOS!$C$6+D74*COSTOS!$C$7+E74*COSTOS!$C$8+F74*COSTOS!$C$9+G74*COSTOS!$C$10)))</f>
        <v/>
      </c>
      <c r="M74" s="156" t="n"/>
      <c r="N74" s="156" t="n"/>
      <c r="O74" s="156" t="n"/>
    </row>
    <row r="75" ht="18.75" customHeight="1" s="153">
      <c r="A75" s="227" t="n"/>
      <c r="B75" s="228" t="n"/>
      <c r="C75" s="229" t="n"/>
      <c r="D75" s="229" t="n"/>
      <c r="E75" s="229" t="n"/>
      <c r="F75" s="230" t="n"/>
      <c r="G75" s="230" t="n"/>
      <c r="H75" s="231" t="n"/>
      <c r="I75" s="232" t="n"/>
      <c r="J75" s="232" t="n"/>
      <c r="K75" s="233" t="n"/>
      <c r="L75" s="233">
        <f>IF(K75&lt;&gt;"",(IF(H75="","",H75-(C75*COSTOS!$C$6+D75*COSTOS!$C$7+E75*COSTOS!$C$8+F75*COSTOS!$C$9+G75*COSTOS!$C$10)))+K75,IF(H75="","",H75-(C75*COSTOS!$C$6+D75*COSTOS!$C$7+E75*COSTOS!$C$8+F75*COSTOS!$C$9+G75*COSTOS!$C$10)))</f>
        <v/>
      </c>
      <c r="M75" s="156" t="n"/>
      <c r="N75" s="156" t="n"/>
      <c r="O75" s="156" t="n"/>
    </row>
    <row r="76" ht="18.75" customHeight="1" s="153">
      <c r="A76" s="237" t="n"/>
      <c r="B76" s="238" t="n"/>
      <c r="C76" s="239" t="n"/>
      <c r="D76" s="239" t="n"/>
      <c r="E76" s="239" t="n"/>
      <c r="F76" s="240" t="n"/>
      <c r="G76" s="240" t="n"/>
      <c r="H76" s="241" t="n"/>
      <c r="I76" s="242" t="n"/>
      <c r="J76" s="242" t="n"/>
      <c r="K76" s="233" t="n"/>
      <c r="L76" s="233">
        <f>IF(K76&lt;&gt;"",(IF(H76="","",H76-(C76*COSTOS!$C$6+D76*COSTOS!$C$7+E76*COSTOS!$C$8+F76*COSTOS!$C$9+G76*COSTOS!$C$10)))+K76,IF(H76="","",H76-(C76*COSTOS!$C$6+D76*COSTOS!$C$7+E76*COSTOS!$C$8+F76*COSTOS!$C$9+G76*COSTOS!$C$10)))</f>
        <v/>
      </c>
      <c r="M76" s="156" t="n"/>
      <c r="N76" s="156" t="n"/>
      <c r="O76" s="156" t="n"/>
    </row>
    <row r="77" ht="18.75" customHeight="1" s="153">
      <c r="A77" s="227" t="n"/>
      <c r="B77" s="228" t="n"/>
      <c r="C77" s="229" t="n"/>
      <c r="D77" s="229" t="n"/>
      <c r="E77" s="229" t="n"/>
      <c r="F77" s="230" t="n"/>
      <c r="G77" s="230" t="n"/>
      <c r="H77" s="231" t="n"/>
      <c r="I77" s="232" t="n"/>
      <c r="J77" s="232" t="n"/>
      <c r="K77" s="233" t="n"/>
      <c r="L77" s="233">
        <f>IF(K77&lt;&gt;"",(IF(H77="","",H77-(C77*COSTOS!$C$6+D77*COSTOS!$C$7+E77*COSTOS!$C$8+F77*COSTOS!$C$9+G77*COSTOS!$C$10)))+K77,IF(H77="","",H77-(C77*COSTOS!$C$6+D77*COSTOS!$C$7+E77*COSTOS!$C$8+F77*COSTOS!$C$9+G77*COSTOS!$C$10)))</f>
        <v/>
      </c>
      <c r="M77" s="156" t="n"/>
      <c r="N77" s="156" t="n"/>
      <c r="O77" s="156" t="n"/>
    </row>
    <row r="78" ht="18.75" customHeight="1" s="153">
      <c r="A78" s="237" t="n"/>
      <c r="B78" s="238" t="n"/>
      <c r="C78" s="239" t="n"/>
      <c r="D78" s="239" t="n"/>
      <c r="E78" s="239" t="n"/>
      <c r="F78" s="240" t="n"/>
      <c r="G78" s="240" t="n"/>
      <c r="H78" s="241" t="n"/>
      <c r="I78" s="242" t="n"/>
      <c r="J78" s="242" t="n"/>
      <c r="K78" s="233" t="n"/>
      <c r="L78" s="233">
        <f>IF(K78&lt;&gt;"",(IF(H78="","",H78-(C78*COSTOS!$C$6+D78*COSTOS!$C$7+E78*COSTOS!$C$8+F78*COSTOS!$C$9+G78*COSTOS!$C$10)))+K78,IF(H78="","",H78-(C78*COSTOS!$C$6+D78*COSTOS!$C$7+E78*COSTOS!$C$8+F78*COSTOS!$C$9+G78*COSTOS!$C$10)))</f>
        <v/>
      </c>
      <c r="M78" s="156" t="n"/>
      <c r="N78" s="156" t="n"/>
      <c r="O78" s="156" t="n"/>
    </row>
    <row r="79" ht="18.75" customHeight="1" s="153">
      <c r="A79" s="227" t="n"/>
      <c r="B79" s="228" t="n"/>
      <c r="C79" s="229" t="n"/>
      <c r="D79" s="229" t="n"/>
      <c r="E79" s="229" t="n"/>
      <c r="F79" s="230" t="n"/>
      <c r="G79" s="230" t="n"/>
      <c r="H79" s="231" t="n"/>
      <c r="I79" s="232" t="n"/>
      <c r="J79" s="232" t="n"/>
      <c r="K79" s="233" t="n"/>
      <c r="L79" s="233">
        <f>IF(K79&lt;&gt;"",(IF(H79="","",H79-(C79*COSTOS!$C$6+D79*COSTOS!$C$7+E79*COSTOS!$C$8+F79*COSTOS!$C$9+G79*COSTOS!$C$10)))+K79,IF(H79="","",H79-(C79*COSTOS!$C$6+D79*COSTOS!$C$7+E79*COSTOS!$C$8+F79*COSTOS!$C$9+G79*COSTOS!$C$10)))</f>
        <v/>
      </c>
      <c r="M79" s="156" t="n"/>
      <c r="N79" s="156" t="n"/>
      <c r="O79" s="156" t="n"/>
    </row>
    <row r="80" ht="18.75" customHeight="1" s="153">
      <c r="A80" s="237" t="n"/>
      <c r="B80" s="238" t="n"/>
      <c r="C80" s="239" t="n"/>
      <c r="D80" s="239" t="n"/>
      <c r="E80" s="239" t="n"/>
      <c r="F80" s="240" t="n"/>
      <c r="G80" s="240" t="n"/>
      <c r="H80" s="241" t="n"/>
      <c r="I80" s="242" t="n"/>
      <c r="J80" s="242" t="n"/>
      <c r="K80" s="233" t="n"/>
      <c r="L80" s="233">
        <f>IF(K80&lt;&gt;"",(IF(H80="","",H80-(C80*COSTOS!$C$6+D80*COSTOS!$C$7+E80*COSTOS!$C$8+F80*COSTOS!$C$9+G80*COSTOS!$C$10)))+K80,IF(H80="","",H80-(C80*COSTOS!$C$6+D80*COSTOS!$C$7+E80*COSTOS!$C$8+F80*COSTOS!$C$9+G80*COSTOS!$C$10)))</f>
        <v/>
      </c>
      <c r="M80" s="156" t="n"/>
      <c r="N80" s="156" t="n"/>
      <c r="O80" s="156" t="n"/>
    </row>
    <row r="81" ht="18.75" customHeight="1" s="153">
      <c r="A81" s="227" t="n"/>
      <c r="B81" s="228" t="n"/>
      <c r="C81" s="229" t="n"/>
      <c r="D81" s="229" t="n"/>
      <c r="E81" s="229" t="n"/>
      <c r="F81" s="230" t="n"/>
      <c r="G81" s="230" t="n"/>
      <c r="H81" s="231" t="n"/>
      <c r="I81" s="232" t="n"/>
      <c r="J81" s="232" t="n"/>
      <c r="K81" s="233" t="n"/>
      <c r="L81" s="233">
        <f>IF(K81&lt;&gt;"",(IF(H81="","",H81-(C81*COSTOS!$C$6+D81*COSTOS!$C$7+E81*COSTOS!$C$8+F81*COSTOS!$C$9+G81*COSTOS!$C$10)))+K81,IF(H81="","",H81-(C81*COSTOS!$C$6+D81*COSTOS!$C$7+E81*COSTOS!$C$8+F81*COSTOS!$C$9+G81*COSTOS!$C$10)))</f>
        <v/>
      </c>
      <c r="M81" s="156" t="n"/>
      <c r="N81" s="156" t="n"/>
      <c r="O81" s="156" t="n"/>
    </row>
    <row r="82" ht="18.75" customHeight="1" s="153">
      <c r="A82" s="237" t="n"/>
      <c r="B82" s="238" t="n"/>
      <c r="C82" s="239" t="n"/>
      <c r="D82" s="239" t="n"/>
      <c r="E82" s="239" t="n"/>
      <c r="F82" s="240" t="n"/>
      <c r="G82" s="240" t="n"/>
      <c r="H82" s="241" t="n"/>
      <c r="I82" s="242" t="n"/>
      <c r="J82" s="242" t="n"/>
      <c r="K82" s="233" t="n"/>
      <c r="L82" s="233">
        <f>IF(K82&lt;&gt;"",(IF(H82="","",H82-(C82*COSTOS!$C$6+D82*COSTOS!$C$7+E82*COSTOS!$C$8+F82*COSTOS!$C$9+G82*COSTOS!$C$10)))+K82,IF(H82="","",H82-(C82*COSTOS!$C$6+D82*COSTOS!$C$7+E82*COSTOS!$C$8+F82*COSTOS!$C$9+G82*COSTOS!$C$10)))</f>
        <v/>
      </c>
      <c r="M82" s="156" t="n"/>
      <c r="N82" s="156" t="n"/>
      <c r="O82" s="156" t="n"/>
    </row>
    <row r="83" ht="18.75" customHeight="1" s="153">
      <c r="A83" s="227" t="n"/>
      <c r="B83" s="228" t="n"/>
      <c r="C83" s="229" t="n"/>
      <c r="D83" s="229" t="n"/>
      <c r="E83" s="229" t="n"/>
      <c r="F83" s="230" t="n"/>
      <c r="G83" s="230" t="n"/>
      <c r="H83" s="231" t="n"/>
      <c r="I83" s="232" t="n"/>
      <c r="J83" s="232" t="n"/>
      <c r="K83" s="233" t="n"/>
      <c r="L83" s="233">
        <f>IF(K83&lt;&gt;"",(IF(H83="","",H83-(C83*COSTOS!$C$6+D83*COSTOS!$C$7+E83*COSTOS!$C$8+F83*COSTOS!$C$9+G83*COSTOS!$C$10)))+K83,IF(H83="","",H83-(C83*COSTOS!$C$6+D83*COSTOS!$C$7+E83*COSTOS!$C$8+F83*COSTOS!$C$9+G83*COSTOS!$C$10)))</f>
        <v/>
      </c>
      <c r="M83" s="156" t="n"/>
      <c r="N83" s="156" t="n"/>
      <c r="O83" s="156" t="n"/>
    </row>
    <row r="84" ht="18.75" customHeight="1" s="153">
      <c r="A84" s="237" t="n"/>
      <c r="B84" s="238" t="n"/>
      <c r="C84" s="239" t="n"/>
      <c r="D84" s="239" t="n"/>
      <c r="E84" s="239" t="n"/>
      <c r="F84" s="240" t="n"/>
      <c r="G84" s="240" t="n"/>
      <c r="H84" s="241" t="n"/>
      <c r="I84" s="242" t="n"/>
      <c r="J84" s="242" t="n"/>
      <c r="K84" s="233" t="n"/>
      <c r="L84" s="233">
        <f>IF(K84&lt;&gt;"",(IF(H84="","",H84-(C84*COSTOS!$C$6+D84*COSTOS!$C$7+E84*COSTOS!$C$8+F84*COSTOS!$C$9+G84*COSTOS!$C$10)))+K84,IF(H84="","",H84-(C84*COSTOS!$C$6+D84*COSTOS!$C$7+E84*COSTOS!$C$8+F84*COSTOS!$C$9+G84*COSTOS!$C$10)))</f>
        <v/>
      </c>
      <c r="M84" s="156" t="n"/>
      <c r="N84" s="156" t="n"/>
      <c r="O84" s="156" t="n"/>
    </row>
    <row r="85" ht="18.75" customHeight="1" s="153">
      <c r="A85" s="227" t="n"/>
      <c r="B85" s="228" t="n"/>
      <c r="C85" s="229" t="n"/>
      <c r="D85" s="229" t="n"/>
      <c r="E85" s="229" t="n"/>
      <c r="F85" s="230" t="n"/>
      <c r="G85" s="230" t="n"/>
      <c r="H85" s="231" t="n"/>
      <c r="I85" s="232" t="n"/>
      <c r="J85" s="232" t="n"/>
      <c r="K85" s="233" t="n"/>
      <c r="L85" s="233">
        <f>IF(K85&lt;&gt;"",(IF(H85="","",H85-(C85*COSTOS!$C$6+D85*COSTOS!$C$7+E85*COSTOS!$C$8+F85*COSTOS!$C$9+G85*COSTOS!$C$10)))+K85,IF(H85="","",H85-(C85*COSTOS!$C$6+D85*COSTOS!$C$7+E85*COSTOS!$C$8+F85*COSTOS!$C$9+G85*COSTOS!$C$10)))</f>
        <v/>
      </c>
      <c r="M85" s="156" t="n"/>
      <c r="N85" s="156" t="n"/>
      <c r="O85" s="156" t="n"/>
    </row>
    <row r="86" ht="18.75" customHeight="1" s="153">
      <c r="A86" s="237" t="n"/>
      <c r="B86" s="238" t="n"/>
      <c r="C86" s="239" t="n"/>
      <c r="D86" s="239" t="n"/>
      <c r="E86" s="239" t="n"/>
      <c r="F86" s="240" t="n"/>
      <c r="G86" s="240" t="n"/>
      <c r="H86" s="241" t="n"/>
      <c r="I86" s="242" t="n"/>
      <c r="J86" s="242" t="n"/>
      <c r="K86" s="233" t="n"/>
      <c r="L86" s="233">
        <f>IF(K86&lt;&gt;"",(IF(H86="","",H86-(C86*COSTOS!$C$6+D86*COSTOS!$C$7+E86*COSTOS!$C$8+F86*COSTOS!$C$9+G86*COSTOS!$C$10)))+K86,IF(H86="","",H86-(C86*COSTOS!$C$6+D86*COSTOS!$C$7+E86*COSTOS!$C$8+F86*COSTOS!$C$9+G86*COSTOS!$C$10)))</f>
        <v/>
      </c>
      <c r="M86" s="156" t="n"/>
      <c r="N86" s="156" t="n"/>
      <c r="O86" s="156" t="n"/>
    </row>
    <row r="87" ht="18.75" customHeight="1" s="153">
      <c r="A87" s="227" t="n"/>
      <c r="B87" s="228" t="n"/>
      <c r="C87" s="229" t="n"/>
      <c r="D87" s="229" t="n"/>
      <c r="E87" s="229" t="n"/>
      <c r="F87" s="230" t="n"/>
      <c r="G87" s="230" t="n"/>
      <c r="H87" s="231" t="n"/>
      <c r="I87" s="232" t="n"/>
      <c r="J87" s="232" t="n"/>
      <c r="K87" s="233" t="n"/>
      <c r="L87" s="233">
        <f>IF(K87&lt;&gt;"",(IF(H87="","",H87-(C87*COSTOS!$C$6+D87*COSTOS!$C$7+E87*COSTOS!$C$8+F87*COSTOS!$C$9+G87*COSTOS!$C$10)))+K87,IF(H87="","",H87-(C87*COSTOS!$C$6+D87*COSTOS!$C$7+E87*COSTOS!$C$8+F87*COSTOS!$C$9+G87*COSTOS!$C$10)))</f>
        <v/>
      </c>
      <c r="M87" s="156" t="n"/>
      <c r="N87" s="156" t="n"/>
      <c r="O87" s="156" t="n"/>
    </row>
    <row r="88" ht="18.75" customHeight="1" s="153">
      <c r="A88" s="237" t="n"/>
      <c r="B88" s="238" t="n"/>
      <c r="C88" s="239" t="n"/>
      <c r="D88" s="239" t="n"/>
      <c r="E88" s="239" t="n"/>
      <c r="F88" s="240" t="n"/>
      <c r="G88" s="240" t="n"/>
      <c r="H88" s="241" t="n"/>
      <c r="I88" s="242" t="n"/>
      <c r="J88" s="242" t="n"/>
      <c r="K88" s="233" t="n"/>
      <c r="L88" s="233">
        <f>IF(K88&lt;&gt;"",(IF(H88="","",H88-(C88*COSTOS!$C$6+D88*COSTOS!$C$7+E88*COSTOS!$C$8+F88*COSTOS!$C$9+G88*COSTOS!$C$10)))+K88,IF(H88="","",H88-(C88*COSTOS!$C$6+D88*COSTOS!$C$7+E88*COSTOS!$C$8+F88*COSTOS!$C$9+G88*COSTOS!$C$10)))</f>
        <v/>
      </c>
      <c r="M88" s="156" t="n"/>
      <c r="N88" s="156" t="n"/>
      <c r="O88" s="156" t="n"/>
    </row>
    <row r="89" ht="18.75" customHeight="1" s="153">
      <c r="A89" s="227" t="n"/>
      <c r="B89" s="228" t="n"/>
      <c r="C89" s="229" t="n"/>
      <c r="D89" s="229" t="n"/>
      <c r="E89" s="229" t="n"/>
      <c r="F89" s="230" t="n"/>
      <c r="G89" s="230" t="n"/>
      <c r="H89" s="231" t="n"/>
      <c r="I89" s="232" t="n"/>
      <c r="J89" s="232" t="n"/>
      <c r="K89" s="233" t="n"/>
      <c r="L89" s="233">
        <f>IF(K89&lt;&gt;"",(IF(H89="","",H89-(C89*COSTOS!$C$6+D89*COSTOS!$C$7+E89*COSTOS!$C$8+F89*COSTOS!$C$9+G89*COSTOS!$C$10)))+K89,IF(H89="","",H89-(C89*COSTOS!$C$6+D89*COSTOS!$C$7+E89*COSTOS!$C$8+F89*COSTOS!$C$9+G89*COSTOS!$C$10)))</f>
        <v/>
      </c>
      <c r="M89" s="156" t="n"/>
      <c r="N89" s="156" t="n"/>
      <c r="O89" s="156" t="n"/>
    </row>
    <row r="90" ht="18.75" customHeight="1" s="153">
      <c r="A90" s="237" t="n"/>
      <c r="B90" s="238" t="n"/>
      <c r="C90" s="239" t="n"/>
      <c r="D90" s="239" t="n"/>
      <c r="E90" s="239" t="n"/>
      <c r="F90" s="240" t="n"/>
      <c r="G90" s="240" t="n"/>
      <c r="H90" s="241" t="n"/>
      <c r="I90" s="242" t="n"/>
      <c r="J90" s="242" t="n"/>
      <c r="K90" s="233" t="n"/>
      <c r="L90" s="233">
        <f>IF(K90&lt;&gt;"",(IF(H90="","",H90-(C90*COSTOS!$C$6+D90*COSTOS!$C$7+E90*COSTOS!$C$8+F90*COSTOS!$C$9+G90*COSTOS!$C$10)))+K90,IF(H90="","",H90-(C90*COSTOS!$C$6+D90*COSTOS!$C$7+E90*COSTOS!$C$8+F90*COSTOS!$C$9+G90*COSTOS!$C$10)))</f>
        <v/>
      </c>
      <c r="M90" s="156" t="n"/>
      <c r="N90" s="156" t="n"/>
      <c r="O90" s="156" t="n"/>
    </row>
    <row r="91" ht="18.75" customHeight="1" s="153">
      <c r="A91" s="227" t="n"/>
      <c r="B91" s="228" t="n"/>
      <c r="C91" s="229" t="n"/>
      <c r="D91" s="229" t="n"/>
      <c r="E91" s="229" t="n"/>
      <c r="F91" s="230" t="n"/>
      <c r="G91" s="230" t="n"/>
      <c r="H91" s="231" t="n"/>
      <c r="I91" s="232" t="n"/>
      <c r="J91" s="232" t="n"/>
      <c r="K91" s="233" t="n"/>
      <c r="L91" s="233">
        <f>IF(K91&lt;&gt;"",(IF(H91="","",H91-(C91*COSTOS!$C$6+D91*COSTOS!$C$7+E91*COSTOS!$C$8+F91*COSTOS!$C$9+G91*COSTOS!$C$10)))+K91,IF(H91="","",H91-(C91*COSTOS!$C$6+D91*COSTOS!$C$7+E91*COSTOS!$C$8+F91*COSTOS!$C$9+G91*COSTOS!$C$10)))</f>
        <v/>
      </c>
      <c r="M91" s="156" t="n"/>
      <c r="N91" s="156" t="n"/>
      <c r="O91" s="156" t="n"/>
    </row>
    <row r="92" ht="18.75" customHeight="1" s="153">
      <c r="A92" s="237" t="n"/>
      <c r="B92" s="238" t="n"/>
      <c r="C92" s="239" t="n"/>
      <c r="D92" s="239" t="n"/>
      <c r="E92" s="239" t="n"/>
      <c r="F92" s="240" t="n"/>
      <c r="G92" s="240" t="n"/>
      <c r="H92" s="241" t="n"/>
      <c r="I92" s="242" t="n"/>
      <c r="J92" s="242" t="n"/>
      <c r="K92" s="233" t="n"/>
      <c r="L92" s="233">
        <f>IF(K92&lt;&gt;"",(IF(H92="","",H92-(C92*COSTOS!$C$6+D92*COSTOS!$C$7+E92*COSTOS!$C$8+F92*COSTOS!$C$9+G92*COSTOS!$C$10)))+K92,IF(H92="","",H92-(C92*COSTOS!$C$6+D92*COSTOS!$C$7+E92*COSTOS!$C$8+F92*COSTOS!$C$9+G92*COSTOS!$C$10)))</f>
        <v/>
      </c>
      <c r="M92" s="156" t="n"/>
      <c r="N92" s="156" t="n"/>
      <c r="O92" s="156" t="n"/>
    </row>
    <row r="93" ht="18.75" customHeight="1" s="153">
      <c r="A93" s="227" t="n"/>
      <c r="B93" s="228" t="n"/>
      <c r="C93" s="229" t="n"/>
      <c r="D93" s="229" t="n"/>
      <c r="E93" s="229" t="n"/>
      <c r="F93" s="230" t="n"/>
      <c r="G93" s="230" t="n"/>
      <c r="H93" s="231" t="n"/>
      <c r="I93" s="232" t="n"/>
      <c r="J93" s="232" t="n"/>
      <c r="K93" s="233" t="n"/>
      <c r="L93" s="233">
        <f>IF(K93&lt;&gt;"",(IF(H93="","",H93-(C93*COSTOS!$C$6+D93*COSTOS!$C$7+E93*COSTOS!$C$8+F93*COSTOS!$C$9+G93*COSTOS!$C$10)))+K93,IF(H93="","",H93-(C93*COSTOS!$C$6+D93*COSTOS!$C$7+E93*COSTOS!$C$8+F93*COSTOS!$C$9+G93*COSTOS!$C$10)))</f>
        <v/>
      </c>
      <c r="M93" s="156" t="n"/>
      <c r="N93" s="156" t="n"/>
      <c r="O93" s="156" t="n"/>
    </row>
    <row r="94" ht="18.75" customHeight="1" s="153">
      <c r="A94" s="237" t="n"/>
      <c r="B94" s="238" t="n"/>
      <c r="C94" s="239" t="n"/>
      <c r="D94" s="239" t="n"/>
      <c r="E94" s="239" t="n"/>
      <c r="F94" s="240" t="n"/>
      <c r="G94" s="240" t="n"/>
      <c r="H94" s="241" t="n"/>
      <c r="I94" s="242" t="n"/>
      <c r="J94" s="242" t="n"/>
      <c r="K94" s="233" t="n"/>
      <c r="L94" s="233">
        <f>IF(K94&lt;&gt;"",(IF(H94="","",H94-(C94*COSTOS!$C$6+D94*COSTOS!$C$7+E94*COSTOS!$C$8+F94*COSTOS!$C$9+G94*COSTOS!$C$10)))+K94,IF(H94="","",H94-(C94*COSTOS!$C$6+D94*COSTOS!$C$7+E94*COSTOS!$C$8+F94*COSTOS!$C$9+G94*COSTOS!$C$10)))</f>
        <v/>
      </c>
      <c r="M94" s="156" t="n"/>
      <c r="N94" s="156" t="n"/>
      <c r="O94" s="156" t="n"/>
    </row>
    <row r="95" ht="18.75" customHeight="1" s="153">
      <c r="A95" s="227" t="n"/>
      <c r="B95" s="228" t="n"/>
      <c r="C95" s="229" t="n"/>
      <c r="D95" s="229" t="n"/>
      <c r="E95" s="229" t="n"/>
      <c r="F95" s="230" t="n"/>
      <c r="G95" s="230" t="n"/>
      <c r="H95" s="231" t="n"/>
      <c r="I95" s="232" t="n"/>
      <c r="J95" s="232" t="n"/>
      <c r="K95" s="233" t="n"/>
      <c r="L95" s="233">
        <f>IF(K95&lt;&gt;"",(IF(H95="","",H95-(C95*COSTOS!$C$6+D95*COSTOS!$C$7+E95*COSTOS!$C$8+F95*COSTOS!$C$9+G95*COSTOS!$C$10)))+K95,IF(H95="","",H95-(C95*COSTOS!$C$6+D95*COSTOS!$C$7+E95*COSTOS!$C$8+F95*COSTOS!$C$9+G95*COSTOS!$C$10)))</f>
        <v/>
      </c>
      <c r="M95" s="156" t="n"/>
      <c r="N95" s="156" t="n"/>
      <c r="O95" s="156" t="n"/>
    </row>
    <row r="96" ht="18.75" customHeight="1" s="153">
      <c r="A96" s="237" t="n"/>
      <c r="B96" s="238" t="n"/>
      <c r="C96" s="239" t="n"/>
      <c r="D96" s="239" t="n"/>
      <c r="E96" s="239" t="n"/>
      <c r="F96" s="240" t="n"/>
      <c r="G96" s="240" t="n"/>
      <c r="H96" s="241" t="n"/>
      <c r="I96" s="242" t="n"/>
      <c r="J96" s="242" t="n"/>
      <c r="K96" s="233" t="n"/>
      <c r="L96" s="233">
        <f>IF(K96&lt;&gt;"",(IF(H96="","",H96-(C96*COSTOS!$C$6+D96*COSTOS!$C$7+E96*COSTOS!$C$8+F96*COSTOS!$C$9+G96*COSTOS!$C$10)))+K96,IF(H96="","",H96-(C96*COSTOS!$C$6+D96*COSTOS!$C$7+E96*COSTOS!$C$8+F96*COSTOS!$C$9+G96*COSTOS!$C$10)))</f>
        <v/>
      </c>
      <c r="M96" s="156" t="n"/>
      <c r="N96" s="156" t="n"/>
      <c r="O96" s="156" t="n"/>
    </row>
    <row r="97" ht="18.75" customHeight="1" s="153">
      <c r="A97" s="227" t="n"/>
      <c r="B97" s="228" t="n"/>
      <c r="C97" s="229" t="n"/>
      <c r="D97" s="229" t="n"/>
      <c r="E97" s="229" t="n"/>
      <c r="F97" s="230" t="n"/>
      <c r="G97" s="230" t="n"/>
      <c r="H97" s="231" t="n"/>
      <c r="I97" s="232" t="n"/>
      <c r="J97" s="232" t="n"/>
      <c r="K97" s="233" t="n"/>
      <c r="L97" s="233">
        <f>IF(K97&lt;&gt;"",(IF(H97="","",H97-(C97*COSTOS!$C$6+D97*COSTOS!$C$7+E97*COSTOS!$C$8+F97*COSTOS!$C$9+G97*COSTOS!$C$10)))+K97,IF(H97="","",H97-(C97*COSTOS!$C$6+D97*COSTOS!$C$7+E97*COSTOS!$C$8+F97*COSTOS!$C$9+G97*COSTOS!$C$10)))</f>
        <v/>
      </c>
      <c r="M97" s="156" t="n"/>
      <c r="N97" s="156" t="n"/>
      <c r="O97" s="156" t="n"/>
    </row>
    <row r="98" ht="18.75" customHeight="1" s="153">
      <c r="A98" s="237" t="n"/>
      <c r="B98" s="238" t="n"/>
      <c r="C98" s="239" t="n"/>
      <c r="D98" s="239" t="n"/>
      <c r="E98" s="239" t="n"/>
      <c r="F98" s="240" t="n"/>
      <c r="G98" s="240" t="n"/>
      <c r="H98" s="241" t="n"/>
      <c r="I98" s="242" t="n"/>
      <c r="J98" s="242" t="n"/>
      <c r="K98" s="233" t="n"/>
      <c r="L98" s="233">
        <f>IF(K98&lt;&gt;"",(IF(H98="","",H98-(C98*COSTOS!$C$6+D98*COSTOS!$C$7+E98*COSTOS!$C$8+F98*COSTOS!$C$9+G98*COSTOS!$C$10)))+K98,IF(H98="","",H98-(C98*COSTOS!$C$6+D98*COSTOS!$C$7+E98*COSTOS!$C$8+F98*COSTOS!$C$9+G98*COSTOS!$C$10)))</f>
        <v/>
      </c>
      <c r="M98" s="156" t="n"/>
      <c r="N98" s="156" t="n"/>
      <c r="O98" s="156" t="n"/>
    </row>
    <row r="99" ht="18.75" customHeight="1" s="153">
      <c r="A99" s="227" t="n"/>
      <c r="B99" s="228" t="n"/>
      <c r="C99" s="229" t="n"/>
      <c r="D99" s="229" t="n"/>
      <c r="E99" s="229" t="n"/>
      <c r="F99" s="230" t="n"/>
      <c r="G99" s="230" t="n"/>
      <c r="H99" s="231" t="n"/>
      <c r="I99" s="232" t="n"/>
      <c r="J99" s="232" t="n"/>
      <c r="K99" s="233" t="n"/>
      <c r="L99" s="233">
        <f>IF(K99&lt;&gt;"",(IF(H99="","",H99-(C99*COSTOS!$C$6+D99*COSTOS!$C$7+E99*COSTOS!$C$8+F99*COSTOS!$C$9+G99*COSTOS!$C$10)))+K99,IF(H99="","",H99-(C99*COSTOS!$C$6+D99*COSTOS!$C$7+E99*COSTOS!$C$8+F99*COSTOS!$C$9+G99*COSTOS!$C$10)))</f>
        <v/>
      </c>
      <c r="M99" s="156" t="n"/>
      <c r="N99" s="156" t="n"/>
      <c r="O99" s="156" t="n"/>
    </row>
    <row r="100" ht="18.75" customHeight="1" s="153">
      <c r="A100" s="237" t="n"/>
      <c r="B100" s="238" t="n"/>
      <c r="C100" s="239" t="n"/>
      <c r="D100" s="239" t="n"/>
      <c r="E100" s="239" t="n"/>
      <c r="F100" s="240" t="n"/>
      <c r="G100" s="240" t="n"/>
      <c r="H100" s="241" t="n"/>
      <c r="I100" s="242" t="n"/>
      <c r="J100" s="242" t="n"/>
      <c r="K100" s="233" t="n"/>
      <c r="L100" s="233">
        <f>IF(K100&lt;&gt;"",(IF(H100="","",H100-(C100*COSTOS!$C$6+D100*COSTOS!$C$7+E100*COSTOS!$C$8+F100*COSTOS!$C$9+G100*COSTOS!$C$10)))+K100,IF(H100="","",H100-(C100*COSTOS!$C$6+D100*COSTOS!$C$7+E100*COSTOS!$C$8+F100*COSTOS!$C$9+G100*COSTOS!$C$10)))</f>
        <v/>
      </c>
      <c r="M100" s="156" t="n"/>
      <c r="N100" s="156" t="n"/>
      <c r="O100" s="156" t="n"/>
    </row>
    <row r="101" ht="18.75" customHeight="1" s="153">
      <c r="A101" s="227" t="n"/>
      <c r="B101" s="228" t="n"/>
      <c r="C101" s="229" t="n"/>
      <c r="D101" s="229" t="n"/>
      <c r="E101" s="229" t="n"/>
      <c r="F101" s="230" t="n"/>
      <c r="G101" s="230" t="n"/>
      <c r="H101" s="231" t="n"/>
      <c r="I101" s="232" t="n"/>
      <c r="J101" s="232" t="n"/>
      <c r="K101" s="233" t="n"/>
      <c r="L101" s="233">
        <f>IF(K101&lt;&gt;"",(IF(H101="","",H101-(C101*COSTOS!$C$6+D101*COSTOS!$C$7+E101*COSTOS!$C$8+F101*COSTOS!$C$9+G101*COSTOS!$C$10)))+K101,IF(H101="","",H101-(C101*COSTOS!$C$6+D101*COSTOS!$C$7+E101*COSTOS!$C$8+F101*COSTOS!$C$9+G101*COSTOS!$C$10)))</f>
        <v/>
      </c>
      <c r="M101" s="156" t="n"/>
      <c r="N101" s="156" t="n"/>
      <c r="O101" s="156" t="n"/>
    </row>
    <row r="102" ht="18.75" customHeight="1" s="153">
      <c r="A102" s="237" t="n"/>
      <c r="B102" s="238" t="n"/>
      <c r="C102" s="239" t="n"/>
      <c r="D102" s="239" t="n"/>
      <c r="E102" s="239" t="n"/>
      <c r="F102" s="240" t="n"/>
      <c r="G102" s="240" t="n"/>
      <c r="H102" s="241" t="n"/>
      <c r="I102" s="242" t="n"/>
      <c r="J102" s="242" t="n"/>
      <c r="K102" s="233" t="n"/>
      <c r="L102" s="233">
        <f>IF(K102&lt;&gt;"",(IF(H102="","",H102-(C102*COSTOS!$C$6+D102*COSTOS!$C$7+E102*COSTOS!$C$8+F102*COSTOS!$C$9+G102*COSTOS!$C$10)))+K102,IF(H102="","",H102-(C102*COSTOS!$C$6+D102*COSTOS!$C$7+E102*COSTOS!$C$8+F102*COSTOS!$C$9+G102*COSTOS!$C$10)))</f>
        <v/>
      </c>
      <c r="M102" s="156" t="n"/>
      <c r="N102" s="156" t="n"/>
      <c r="O102" s="156" t="n"/>
    </row>
    <row r="103" ht="18.75" customHeight="1" s="153">
      <c r="A103" s="227" t="n"/>
      <c r="B103" s="228" t="n"/>
      <c r="C103" s="229" t="n"/>
      <c r="D103" s="229" t="n"/>
      <c r="E103" s="229" t="n"/>
      <c r="F103" s="230" t="n"/>
      <c r="G103" s="230" t="n"/>
      <c r="H103" s="231" t="n"/>
      <c r="I103" s="232" t="n"/>
      <c r="J103" s="232" t="n"/>
      <c r="K103" s="233" t="n"/>
      <c r="L103" s="233">
        <f>IF(K103&lt;&gt;"",(IF(H103="","",H103-(C103*COSTOS!$C$6+D103*COSTOS!$C$7+E103*COSTOS!$C$8+F103*COSTOS!$C$9+G103*COSTOS!$C$10)))+K103,IF(H103="","",H103-(C103*COSTOS!$C$6+D103*COSTOS!$C$7+E103*COSTOS!$C$8+F103*COSTOS!$C$9+G103*COSTOS!$C$10)))</f>
        <v/>
      </c>
      <c r="M103" s="156" t="n"/>
      <c r="N103" s="156" t="n"/>
      <c r="O103" s="156" t="n"/>
    </row>
    <row r="104" ht="18.75" customHeight="1" s="153">
      <c r="A104" s="237" t="n"/>
      <c r="B104" s="238" t="n"/>
      <c r="C104" s="239" t="n"/>
      <c r="D104" s="239" t="n"/>
      <c r="E104" s="239" t="n"/>
      <c r="F104" s="240" t="n"/>
      <c r="G104" s="240" t="n"/>
      <c r="H104" s="241" t="n"/>
      <c r="I104" s="242" t="n"/>
      <c r="J104" s="242" t="n"/>
      <c r="K104" s="233" t="n"/>
      <c r="L104" s="233">
        <f>IF(K104&lt;&gt;"",(IF(H104="","",H104-(C104*COSTOS!$C$6+D104*COSTOS!$C$7+E104*COSTOS!$C$8+F104*COSTOS!$C$9+G104*COSTOS!$C$10)))+K104,IF(H104="","",H104-(C104*COSTOS!$C$6+D104*COSTOS!$C$7+E104*COSTOS!$C$8+F104*COSTOS!$C$9+G104*COSTOS!$C$10)))</f>
        <v/>
      </c>
      <c r="M104" s="156" t="n"/>
      <c r="N104" s="156" t="n"/>
      <c r="O104" s="156" t="n"/>
    </row>
    <row r="105" ht="18.75" customHeight="1" s="153">
      <c r="A105" s="227" t="n"/>
      <c r="B105" s="228" t="n"/>
      <c r="C105" s="229" t="n"/>
      <c r="D105" s="229" t="n"/>
      <c r="E105" s="229" t="n"/>
      <c r="F105" s="230" t="n"/>
      <c r="G105" s="230" t="n"/>
      <c r="H105" s="231" t="n"/>
      <c r="I105" s="232" t="n"/>
      <c r="J105" s="232" t="n"/>
      <c r="K105" s="233" t="n"/>
      <c r="L105" s="233">
        <f>IF(K105&lt;&gt;"",(IF(H105="","",H105-(C105*COSTOS!$C$6+D105*COSTOS!$C$7+E105*COSTOS!$C$8+F105*COSTOS!$C$9+G105*COSTOS!$C$10)))+K105,IF(H105="","",H105-(C105*COSTOS!$C$6+D105*COSTOS!$C$7+E105*COSTOS!$C$8+F105*COSTOS!$C$9+G105*COSTOS!$C$10)))</f>
        <v/>
      </c>
      <c r="M105" s="156" t="n"/>
      <c r="N105" s="156" t="n"/>
      <c r="O105" s="156" t="n"/>
    </row>
    <row r="106" ht="18.75" customHeight="1" s="153">
      <c r="A106" s="237" t="n"/>
      <c r="B106" s="238" t="n"/>
      <c r="C106" s="239" t="n"/>
      <c r="D106" s="239" t="n"/>
      <c r="E106" s="239" t="n"/>
      <c r="F106" s="240" t="n"/>
      <c r="G106" s="240" t="n"/>
      <c r="H106" s="241" t="n"/>
      <c r="I106" s="242" t="n"/>
      <c r="J106" s="242" t="n"/>
      <c r="K106" s="233" t="n"/>
      <c r="L106" s="233">
        <f>IF(K106&lt;&gt;"",(IF(H106="","",H106-(C106*COSTOS!$C$6+D106*COSTOS!$C$7+E106*COSTOS!$C$8+F106*COSTOS!$C$9+G106*COSTOS!$C$10)))+K106,IF(H106="","",H106-(C106*COSTOS!$C$6+D106*COSTOS!$C$7+E106*COSTOS!$C$8+F106*COSTOS!$C$9+G106*COSTOS!$C$10)))</f>
        <v/>
      </c>
      <c r="M106" s="156" t="n"/>
      <c r="N106" s="156" t="n"/>
      <c r="O106" s="156" t="n"/>
    </row>
    <row r="107" ht="18.75" customHeight="1" s="153">
      <c r="A107" s="227" t="n"/>
      <c r="B107" s="228" t="n"/>
      <c r="C107" s="229" t="n"/>
      <c r="D107" s="229" t="n"/>
      <c r="E107" s="229" t="n"/>
      <c r="F107" s="230" t="n"/>
      <c r="G107" s="230" t="n"/>
      <c r="H107" s="231" t="n"/>
      <c r="I107" s="232" t="n"/>
      <c r="J107" s="232" t="n"/>
      <c r="K107" s="233" t="n"/>
      <c r="L107" s="233">
        <f>IF(K107&lt;&gt;"",(IF(H107="","",H107-(C107*COSTOS!$C$6+D107*COSTOS!$C$7+E107*COSTOS!$C$8+F107*COSTOS!$C$9+G107*COSTOS!$C$10)))+K107,IF(H107="","",H107-(C107*COSTOS!$C$6+D107*COSTOS!$C$7+E107*COSTOS!$C$8+F107*COSTOS!$C$9+G107*COSTOS!$C$10)))</f>
        <v/>
      </c>
      <c r="M107" s="156" t="n"/>
      <c r="N107" s="156" t="n"/>
      <c r="O107" s="156" t="n"/>
    </row>
    <row r="108" ht="18.75" customHeight="1" s="153">
      <c r="A108" s="237" t="n"/>
      <c r="B108" s="238" t="n"/>
      <c r="C108" s="239" t="n"/>
      <c r="D108" s="239" t="n"/>
      <c r="E108" s="239" t="n"/>
      <c r="F108" s="240" t="n"/>
      <c r="G108" s="240" t="n"/>
      <c r="H108" s="241" t="n"/>
      <c r="I108" s="242" t="n"/>
      <c r="J108" s="242" t="n"/>
      <c r="K108" s="233" t="n"/>
      <c r="L108" s="233">
        <f>IF(K108&lt;&gt;"",(IF(H108="","",H108-(C108*COSTOS!$C$6+D108*COSTOS!$C$7+E108*COSTOS!$C$8+F108*COSTOS!$C$9+G108*COSTOS!$C$10)))+K108,IF(H108="","",H108-(C108*COSTOS!$C$6+D108*COSTOS!$C$7+E108*COSTOS!$C$8+F108*COSTOS!$C$9+G108*COSTOS!$C$10)))</f>
        <v/>
      </c>
      <c r="M108" s="156" t="n"/>
      <c r="N108" s="156" t="n"/>
      <c r="O108" s="156" t="n"/>
    </row>
    <row r="109" ht="18.75" customHeight="1" s="153">
      <c r="A109" s="227" t="n"/>
      <c r="B109" s="228" t="n"/>
      <c r="C109" s="229" t="n"/>
      <c r="D109" s="229" t="n"/>
      <c r="E109" s="229" t="n"/>
      <c r="F109" s="230" t="n"/>
      <c r="G109" s="230" t="n"/>
      <c r="H109" s="231" t="n"/>
      <c r="I109" s="232" t="n"/>
      <c r="J109" s="232" t="n"/>
      <c r="K109" s="233" t="n"/>
      <c r="L109" s="233">
        <f>IF(K109&lt;&gt;"",(IF(H109="","",H109-(C109*COSTOS!$C$6+D109*COSTOS!$C$7+E109*COSTOS!$C$8+F109*COSTOS!$C$9+G109*COSTOS!$C$10)))+K109,IF(H109="","",H109-(C109*COSTOS!$C$6+D109*COSTOS!$C$7+E109*COSTOS!$C$8+F109*COSTOS!$C$9+G109*COSTOS!$C$10)))</f>
        <v/>
      </c>
      <c r="M109" s="156" t="n"/>
      <c r="N109" s="156" t="n"/>
      <c r="O109" s="156" t="n"/>
    </row>
    <row r="110" ht="18.75" customHeight="1" s="153">
      <c r="A110" s="237" t="n"/>
      <c r="B110" s="238" t="n"/>
      <c r="C110" s="239" t="n"/>
      <c r="D110" s="239" t="n"/>
      <c r="E110" s="239" t="n"/>
      <c r="F110" s="240" t="n"/>
      <c r="G110" s="240" t="n"/>
      <c r="H110" s="241" t="n"/>
      <c r="I110" s="242" t="n"/>
      <c r="J110" s="242" t="n"/>
      <c r="K110" s="233" t="n"/>
      <c r="L110" s="233">
        <f>IF(K110&lt;&gt;"",(IF(H110="","",H110-(C110*COSTOS!$C$6+D110*COSTOS!$C$7+E110*COSTOS!$C$8+F110*COSTOS!$C$9+G110*COSTOS!$C$10)))+K110,IF(H110="","",H110-(C110*COSTOS!$C$6+D110*COSTOS!$C$7+E110*COSTOS!$C$8+F110*COSTOS!$C$9+G110*COSTOS!$C$10)))</f>
        <v/>
      </c>
      <c r="M110" s="156" t="n"/>
      <c r="N110" s="156" t="n"/>
      <c r="O110" s="156" t="n"/>
    </row>
    <row r="111" ht="18.75" customHeight="1" s="153">
      <c r="A111" s="227" t="n"/>
      <c r="B111" s="228" t="n"/>
      <c r="C111" s="229" t="n"/>
      <c r="D111" s="229" t="n"/>
      <c r="E111" s="229" t="n"/>
      <c r="F111" s="230" t="n"/>
      <c r="G111" s="230" t="n"/>
      <c r="H111" s="231" t="n"/>
      <c r="I111" s="232" t="n"/>
      <c r="J111" s="232" t="n"/>
      <c r="K111" s="233" t="n"/>
      <c r="L111" s="233">
        <f>IF(K111&lt;&gt;"",(IF(H111="","",H111-(C111*COSTOS!$C$6+D111*COSTOS!$C$7+E111*COSTOS!$C$8+F111*COSTOS!$C$9+G111*COSTOS!$C$10)))+K111,IF(H111="","",H111-(C111*COSTOS!$C$6+D111*COSTOS!$C$7+E111*COSTOS!$C$8+F111*COSTOS!$C$9+G111*COSTOS!$C$10)))</f>
        <v/>
      </c>
      <c r="M111" s="156" t="n"/>
      <c r="N111" s="156" t="n"/>
      <c r="O111" s="156" t="n"/>
    </row>
    <row r="112" ht="18.75" customHeight="1" s="153">
      <c r="A112" s="237" t="n"/>
      <c r="B112" s="238" t="n"/>
      <c r="C112" s="239" t="n"/>
      <c r="D112" s="239" t="n"/>
      <c r="E112" s="239" t="n"/>
      <c r="F112" s="240" t="n"/>
      <c r="G112" s="240" t="n"/>
      <c r="H112" s="241" t="n"/>
      <c r="I112" s="242" t="n"/>
      <c r="J112" s="242" t="n"/>
      <c r="K112" s="233" t="n"/>
      <c r="L112" s="233">
        <f>IF(K112&lt;&gt;"",(IF(H112="","",H112-(C112*COSTOS!$C$6+D112*COSTOS!$C$7+E112*COSTOS!$C$8+F112*COSTOS!$C$9+G112*COSTOS!$C$10)))+K112,IF(H112="","",H112-(C112*COSTOS!$C$6+D112*COSTOS!$C$7+E112*COSTOS!$C$8+F112*COSTOS!$C$9+G112*COSTOS!$C$10)))</f>
        <v/>
      </c>
      <c r="M112" s="156" t="n"/>
      <c r="N112" s="156" t="n"/>
      <c r="O112" s="156" t="n"/>
    </row>
    <row r="113" ht="18.75" customHeight="1" s="153">
      <c r="A113" s="227" t="n"/>
      <c r="B113" s="228" t="n"/>
      <c r="C113" s="229" t="n"/>
      <c r="D113" s="229" t="n"/>
      <c r="E113" s="229" t="n"/>
      <c r="F113" s="230" t="n"/>
      <c r="G113" s="230" t="n"/>
      <c r="H113" s="231" t="n"/>
      <c r="I113" s="232" t="n"/>
      <c r="J113" s="232" t="n"/>
      <c r="K113" s="233" t="n"/>
      <c r="L113" s="233">
        <f>IF(K113&lt;&gt;"",(IF(H113="","",H113-(C113*COSTOS!$C$6+D113*COSTOS!$C$7+E113*COSTOS!$C$8+F113*COSTOS!$C$9+G113*COSTOS!$C$10)))+K113,IF(H113="","",H113-(C113*COSTOS!$C$6+D113*COSTOS!$C$7+E113*COSTOS!$C$8+F113*COSTOS!$C$9+G113*COSTOS!$C$10)))</f>
        <v/>
      </c>
      <c r="M113" s="156" t="n"/>
      <c r="N113" s="156" t="n"/>
      <c r="O113" s="156" t="n"/>
    </row>
    <row r="114" ht="18.75" customHeight="1" s="153">
      <c r="A114" s="237" t="n"/>
      <c r="B114" s="238" t="n"/>
      <c r="C114" s="239" t="n"/>
      <c r="D114" s="239" t="n"/>
      <c r="E114" s="239" t="n"/>
      <c r="F114" s="240" t="n"/>
      <c r="G114" s="240" t="n"/>
      <c r="H114" s="241" t="n"/>
      <c r="I114" s="242" t="n"/>
      <c r="J114" s="242" t="n"/>
      <c r="K114" s="233" t="n"/>
      <c r="L114" s="233">
        <f>IF(K114&lt;&gt;"",(IF(H114="","",H114-(C114*COSTOS!$C$6+D114*COSTOS!$C$7+E114*COSTOS!$C$8+F114*COSTOS!$C$9+G114*COSTOS!$C$10)))+K114,IF(H114="","",H114-(C114*COSTOS!$C$6+D114*COSTOS!$C$7+E114*COSTOS!$C$8+F114*COSTOS!$C$9+G114*COSTOS!$C$10)))</f>
        <v/>
      </c>
      <c r="M114" s="156" t="n"/>
      <c r="N114" s="156" t="n"/>
      <c r="O114" s="156" t="n"/>
    </row>
    <row r="115" ht="18.75" customHeight="1" s="153">
      <c r="A115" s="227" t="n"/>
      <c r="B115" s="228" t="n"/>
      <c r="C115" s="229" t="n"/>
      <c r="D115" s="229" t="n"/>
      <c r="E115" s="229" t="n"/>
      <c r="F115" s="230" t="n"/>
      <c r="G115" s="230" t="n"/>
      <c r="H115" s="231" t="n"/>
      <c r="I115" s="232" t="n"/>
      <c r="J115" s="232" t="n"/>
      <c r="K115" s="233" t="n"/>
      <c r="L115" s="233">
        <f>IF(K115&lt;&gt;"",(IF(H115="","",H115-(C115*COSTOS!$C$6+D115*COSTOS!$C$7+E115*COSTOS!$C$8+F115*COSTOS!$C$9+G115*COSTOS!$C$10)))+K115,IF(H115="","",H115-(C115*COSTOS!$C$6+D115*COSTOS!$C$7+E115*COSTOS!$C$8+F115*COSTOS!$C$9+G115*COSTOS!$C$10)))</f>
        <v/>
      </c>
      <c r="M115" s="156" t="n"/>
      <c r="N115" s="156" t="n"/>
      <c r="O115" s="156" t="n"/>
    </row>
    <row r="116" ht="18.75" customHeight="1" s="153">
      <c r="A116" s="237" t="n"/>
      <c r="B116" s="238" t="n"/>
      <c r="C116" s="239" t="n"/>
      <c r="D116" s="239" t="n"/>
      <c r="E116" s="239" t="n"/>
      <c r="F116" s="240" t="n"/>
      <c r="G116" s="240" t="n"/>
      <c r="H116" s="241" t="n"/>
      <c r="I116" s="242" t="n"/>
      <c r="J116" s="242" t="n"/>
      <c r="K116" s="233" t="n"/>
      <c r="L116" s="233">
        <f>IF(K116&lt;&gt;"",(IF(H116="","",H116-(C116*COSTOS!$C$6+D116*COSTOS!$C$7+E116*COSTOS!$C$8+F116*COSTOS!$C$9+G116*COSTOS!$C$10)))+K116,IF(H116="","",H116-(C116*COSTOS!$C$6+D116*COSTOS!$C$7+E116*COSTOS!$C$8+F116*COSTOS!$C$9+G116*COSTOS!$C$10)))</f>
        <v/>
      </c>
      <c r="M116" s="156" t="n"/>
      <c r="N116" s="156" t="n"/>
      <c r="O116" s="156" t="n"/>
    </row>
    <row r="117" ht="18.75" customHeight="1" s="153">
      <c r="A117" s="227" t="n"/>
      <c r="B117" s="228" t="n"/>
      <c r="C117" s="229" t="n"/>
      <c r="D117" s="229" t="n"/>
      <c r="E117" s="229" t="n"/>
      <c r="F117" s="230" t="n"/>
      <c r="G117" s="230" t="n"/>
      <c r="H117" s="231" t="n"/>
      <c r="I117" s="232" t="n"/>
      <c r="J117" s="232" t="n"/>
      <c r="K117" s="233" t="n"/>
      <c r="L117" s="233">
        <f>IF(K117&lt;&gt;"",(IF(H117="","",H117-(C117*COSTOS!$C$6+D117*COSTOS!$C$7+E117*COSTOS!$C$8+F117*COSTOS!$C$9+G117*COSTOS!$C$10)))+K117,IF(H117="","",H117-(C117*COSTOS!$C$6+D117*COSTOS!$C$7+E117*COSTOS!$C$8+F117*COSTOS!$C$9+G117*COSTOS!$C$10)))</f>
        <v/>
      </c>
      <c r="M117" s="156" t="n"/>
      <c r="N117" s="156" t="n"/>
      <c r="O117" s="156" t="n"/>
    </row>
    <row r="118" ht="18.75" customHeight="1" s="153">
      <c r="A118" s="237" t="n"/>
      <c r="B118" s="238" t="n"/>
      <c r="C118" s="239" t="n"/>
      <c r="D118" s="239" t="n"/>
      <c r="E118" s="239" t="n"/>
      <c r="F118" s="240" t="n"/>
      <c r="G118" s="240" t="n"/>
      <c r="H118" s="241" t="n"/>
      <c r="I118" s="242" t="n"/>
      <c r="J118" s="242" t="n"/>
      <c r="K118" s="233" t="n"/>
      <c r="L118" s="233">
        <f>IF(K118&lt;&gt;"",(IF(H118="","",H118-(C118*COSTOS!$C$6+D118*COSTOS!$C$7+E118*COSTOS!$C$8+F118*COSTOS!$C$9+G118*COSTOS!$C$10)))+K118,IF(H118="","",H118-(C118*COSTOS!$C$6+D118*COSTOS!$C$7+E118*COSTOS!$C$8+F118*COSTOS!$C$9+G118*COSTOS!$C$10)))</f>
        <v/>
      </c>
      <c r="M118" s="156" t="n"/>
      <c r="N118" s="156" t="n"/>
      <c r="O118" s="156" t="n"/>
    </row>
    <row r="119" ht="18.75" customHeight="1" s="153">
      <c r="A119" s="227" t="n"/>
      <c r="B119" s="228" t="n"/>
      <c r="C119" s="229" t="n"/>
      <c r="D119" s="229" t="n"/>
      <c r="E119" s="229" t="n"/>
      <c r="F119" s="230" t="n"/>
      <c r="G119" s="230" t="n"/>
      <c r="H119" s="231" t="n"/>
      <c r="I119" s="232" t="n"/>
      <c r="J119" s="232" t="n"/>
      <c r="K119" s="233" t="n"/>
      <c r="L119" s="233">
        <f>IF(K119&lt;&gt;"",(IF(H119="","",H119-(C119*COSTOS!$C$6+D119*COSTOS!$C$7+E119*COSTOS!$C$8+F119*COSTOS!$C$9+G119*COSTOS!$C$10)))+K119,IF(H119="","",H119-(C119*COSTOS!$C$6+D119*COSTOS!$C$7+E119*COSTOS!$C$8+F119*COSTOS!$C$9+G119*COSTOS!$C$10)))</f>
        <v/>
      </c>
      <c r="M119" s="156" t="n"/>
      <c r="N119" s="156" t="n"/>
      <c r="O119" s="156" t="n"/>
    </row>
    <row r="120" ht="18.75" customHeight="1" s="153">
      <c r="A120" s="237" t="n"/>
      <c r="B120" s="238" t="n"/>
      <c r="C120" s="239" t="n"/>
      <c r="D120" s="239" t="n"/>
      <c r="E120" s="239" t="n"/>
      <c r="F120" s="240" t="n"/>
      <c r="G120" s="240" t="n"/>
      <c r="H120" s="241" t="n"/>
      <c r="I120" s="242" t="n"/>
      <c r="J120" s="242" t="n"/>
      <c r="K120" s="233" t="n"/>
      <c r="L120" s="233">
        <f>IF(K120&lt;&gt;"",(IF(H120="","",H120-(C120*COSTOS!$C$6+D120*COSTOS!$C$7+E120*COSTOS!$C$8+F120*COSTOS!$C$9+G120*COSTOS!$C$10)))+K120,IF(H120="","",H120-(C120*COSTOS!$C$6+D120*COSTOS!$C$7+E120*COSTOS!$C$8+F120*COSTOS!$C$9+G120*COSTOS!$C$10)))</f>
        <v/>
      </c>
      <c r="M120" s="156" t="n"/>
      <c r="N120" s="156" t="n"/>
      <c r="O120" s="156" t="n"/>
    </row>
    <row r="121" ht="18.75" customHeight="1" s="153">
      <c r="A121" s="227" t="n"/>
      <c r="B121" s="228" t="n"/>
      <c r="C121" s="229" t="n"/>
      <c r="D121" s="229" t="n"/>
      <c r="E121" s="229" t="n"/>
      <c r="F121" s="230" t="n"/>
      <c r="G121" s="230" t="n"/>
      <c r="H121" s="231" t="n"/>
      <c r="I121" s="232" t="n"/>
      <c r="J121" s="232" t="n"/>
      <c r="K121" s="233" t="n"/>
      <c r="L121" s="233">
        <f>IF(K121&lt;&gt;"",(IF(H121="","",H121-(C121*COSTOS!$C$6+D121*COSTOS!$C$7+E121*COSTOS!$C$8+F121*COSTOS!$C$9+G121*COSTOS!$C$10)))+K121,IF(H121="","",H121-(C121*COSTOS!$C$6+D121*COSTOS!$C$7+E121*COSTOS!$C$8+F121*COSTOS!$C$9+G121*COSTOS!$C$10)))</f>
        <v/>
      </c>
      <c r="M121" s="156" t="n"/>
      <c r="N121" s="156" t="n"/>
      <c r="O121" s="156" t="n"/>
    </row>
    <row r="122" ht="18.75" customHeight="1" s="153">
      <c r="A122" s="237" t="n"/>
      <c r="B122" s="238" t="n"/>
      <c r="C122" s="239" t="n"/>
      <c r="D122" s="239" t="n"/>
      <c r="E122" s="239" t="n"/>
      <c r="F122" s="240" t="n"/>
      <c r="G122" s="240" t="n"/>
      <c r="H122" s="241" t="n"/>
      <c r="I122" s="242" t="n"/>
      <c r="J122" s="242" t="n"/>
      <c r="K122" s="233" t="n"/>
      <c r="L122" s="233">
        <f>IF(K122&lt;&gt;"",(IF(H122="","",H122-(C122*COSTOS!$C$6+D122*COSTOS!$C$7+E122*COSTOS!$C$8+F122*COSTOS!$C$9+G122*COSTOS!$C$10)))+K122,IF(H122="","",H122-(C122*COSTOS!$C$6+D122*COSTOS!$C$7+E122*COSTOS!$C$8+F122*COSTOS!$C$9+G122*COSTOS!$C$10)))</f>
        <v/>
      </c>
      <c r="M122" s="156" t="n"/>
      <c r="N122" s="156" t="n"/>
      <c r="O122" s="156" t="n"/>
    </row>
    <row r="123" ht="18.75" customHeight="1" s="153">
      <c r="A123" s="227" t="n"/>
      <c r="B123" s="228" t="n"/>
      <c r="C123" s="229" t="n"/>
      <c r="D123" s="229" t="n"/>
      <c r="E123" s="229" t="n"/>
      <c r="F123" s="230" t="n"/>
      <c r="G123" s="230" t="n"/>
      <c r="H123" s="231" t="n"/>
      <c r="I123" s="232" t="n"/>
      <c r="J123" s="232" t="n"/>
      <c r="K123" s="233" t="n"/>
      <c r="L123" s="233">
        <f>IF(K123&lt;&gt;"",(IF(H123="","",H123-(C123*COSTOS!$C$6+D123*COSTOS!$C$7+E123*COSTOS!$C$8+F123*COSTOS!$C$9+G123*COSTOS!$C$10)))+K123,IF(H123="","",H123-(C123*COSTOS!$C$6+D123*COSTOS!$C$7+E123*COSTOS!$C$8+F123*COSTOS!$C$9+G123*COSTOS!$C$10)))</f>
        <v/>
      </c>
      <c r="M123" s="156" t="n"/>
      <c r="N123" s="156" t="n"/>
      <c r="O123" s="156" t="n"/>
    </row>
    <row r="124" ht="18.75" customHeight="1" s="153">
      <c r="A124" s="237" t="n"/>
      <c r="B124" s="238" t="n"/>
      <c r="C124" s="239" t="n"/>
      <c r="D124" s="239" t="n"/>
      <c r="E124" s="239" t="n"/>
      <c r="F124" s="240" t="n"/>
      <c r="G124" s="240" t="n"/>
      <c r="H124" s="241" t="n"/>
      <c r="I124" s="242" t="n"/>
      <c r="J124" s="242" t="n"/>
      <c r="K124" s="233" t="n"/>
      <c r="L124" s="233">
        <f>IF(K124&lt;&gt;"",(IF(H124="","",H124-(C124*COSTOS!$C$6+D124*COSTOS!$C$7+E124*COSTOS!$C$8+F124*COSTOS!$C$9+G124*COSTOS!$C$10)))+K124,IF(H124="","",H124-(C124*COSTOS!$C$6+D124*COSTOS!$C$7+E124*COSTOS!$C$8+F124*COSTOS!$C$9+G124*COSTOS!$C$10)))</f>
        <v/>
      </c>
      <c r="M124" s="156" t="n"/>
      <c r="N124" s="156" t="n"/>
      <c r="O124" s="156" t="n"/>
    </row>
    <row r="125" ht="18.75" customHeight="1" s="153">
      <c r="A125" s="227" t="n"/>
      <c r="B125" s="228" t="n"/>
      <c r="C125" s="229" t="n"/>
      <c r="D125" s="229" t="n"/>
      <c r="E125" s="229" t="n"/>
      <c r="F125" s="230" t="n"/>
      <c r="G125" s="230" t="n"/>
      <c r="H125" s="231" t="n"/>
      <c r="I125" s="232" t="n"/>
      <c r="J125" s="232" t="n"/>
      <c r="K125" s="233" t="n"/>
      <c r="L125" s="233">
        <f>IF(K125&lt;&gt;"",(IF(H125="","",H125-(C125*COSTOS!$C$6+D125*COSTOS!$C$7+E125*COSTOS!$C$8+F125*COSTOS!$C$9+G125*COSTOS!$C$10)))+K125,IF(H125="","",H125-(C125*COSTOS!$C$6+D125*COSTOS!$C$7+E125*COSTOS!$C$8+F125*COSTOS!$C$9+G125*COSTOS!$C$10)))</f>
        <v/>
      </c>
      <c r="M125" s="156" t="n"/>
      <c r="N125" s="156" t="n"/>
      <c r="O125" s="156" t="n"/>
    </row>
    <row r="126" ht="18.75" customHeight="1" s="153">
      <c r="A126" s="237" t="n"/>
      <c r="B126" s="238" t="n"/>
      <c r="C126" s="239" t="n"/>
      <c r="D126" s="239" t="n"/>
      <c r="E126" s="239" t="n"/>
      <c r="F126" s="240" t="n"/>
      <c r="G126" s="240" t="n"/>
      <c r="H126" s="241" t="n"/>
      <c r="I126" s="242" t="n"/>
      <c r="J126" s="242" t="n"/>
      <c r="K126" s="233" t="n"/>
      <c r="L126" s="233">
        <f>IF(K126&lt;&gt;"",(IF(H126="","",H126-(C126*COSTOS!$C$6+D126*COSTOS!$C$7+E126*COSTOS!$C$8+F126*COSTOS!$C$9+G126*COSTOS!$C$10)))+K126,IF(H126="","",H126-(C126*COSTOS!$C$6+D126*COSTOS!$C$7+E126*COSTOS!$C$8+F126*COSTOS!$C$9+G126*COSTOS!$C$10)))</f>
        <v/>
      </c>
      <c r="M126" s="156" t="n"/>
      <c r="N126" s="156" t="n"/>
      <c r="O126" s="156" t="n"/>
    </row>
    <row r="127" ht="18.75" customHeight="1" s="153">
      <c r="A127" s="227" t="n"/>
      <c r="B127" s="228" t="n"/>
      <c r="C127" s="229" t="n"/>
      <c r="D127" s="229" t="n"/>
      <c r="E127" s="229" t="n"/>
      <c r="F127" s="230" t="n"/>
      <c r="G127" s="230" t="n"/>
      <c r="H127" s="231" t="n"/>
      <c r="I127" s="232" t="n"/>
      <c r="J127" s="232" t="n"/>
      <c r="K127" s="233" t="n"/>
      <c r="L127" s="233">
        <f>IF(K127&lt;&gt;"",(IF(H127="","",H127-(C127*COSTOS!$C$6+D127*COSTOS!$C$7+E127*COSTOS!$C$8+F127*COSTOS!$C$9+G127*COSTOS!$C$10)))+K127,IF(H127="","",H127-(C127*COSTOS!$C$6+D127*COSTOS!$C$7+E127*COSTOS!$C$8+F127*COSTOS!$C$9+G127*COSTOS!$C$10)))</f>
        <v/>
      </c>
      <c r="M127" s="156" t="n"/>
      <c r="N127" s="156" t="n"/>
      <c r="O127" s="156" t="n"/>
    </row>
    <row r="128" ht="18.75" customHeight="1" s="153">
      <c r="A128" s="237" t="n"/>
      <c r="B128" s="238" t="n"/>
      <c r="C128" s="239" t="n"/>
      <c r="D128" s="239" t="n"/>
      <c r="E128" s="239" t="n"/>
      <c r="F128" s="240" t="n"/>
      <c r="G128" s="240" t="n"/>
      <c r="H128" s="241" t="n"/>
      <c r="I128" s="242" t="n"/>
      <c r="J128" s="242" t="n"/>
      <c r="K128" s="233" t="n"/>
      <c r="L128" s="233">
        <f>IF(K128&lt;&gt;"",(IF(H128="","",H128-(C128*COSTOS!$C$6+D128*COSTOS!$C$7+E128*COSTOS!$C$8+F128*COSTOS!$C$9+G128*COSTOS!$C$10)))+K128,IF(H128="","",H128-(C128*COSTOS!$C$6+D128*COSTOS!$C$7+E128*COSTOS!$C$8+F128*COSTOS!$C$9+G128*COSTOS!$C$10)))</f>
        <v/>
      </c>
      <c r="M128" s="156" t="n"/>
      <c r="N128" s="156" t="n"/>
      <c r="O128" s="156" t="n"/>
    </row>
    <row r="129" ht="18.75" customHeight="1" s="153">
      <c r="A129" s="227" t="n"/>
      <c r="B129" s="228" t="n"/>
      <c r="C129" s="229" t="n"/>
      <c r="D129" s="229" t="n"/>
      <c r="E129" s="229" t="n"/>
      <c r="F129" s="230" t="n"/>
      <c r="G129" s="230" t="n"/>
      <c r="H129" s="231" t="n"/>
      <c r="I129" s="232" t="n"/>
      <c r="J129" s="232" t="n"/>
      <c r="K129" s="233" t="n"/>
      <c r="L129" s="233">
        <f>IF(K129&lt;&gt;"",(IF(H129="","",H129-(C129*COSTOS!$C$6+D129*COSTOS!$C$7+E129*COSTOS!$C$8+F129*COSTOS!$C$9+G129*COSTOS!$C$10)))+K129,IF(H129="","",H129-(C129*COSTOS!$C$6+D129*COSTOS!$C$7+E129*COSTOS!$C$8+F129*COSTOS!$C$9+G129*COSTOS!$C$10)))</f>
        <v/>
      </c>
      <c r="M129" s="156" t="n"/>
      <c r="N129" s="156" t="n"/>
      <c r="O129" s="156" t="n"/>
    </row>
    <row r="130" ht="18.75" customHeight="1" s="153">
      <c r="A130" s="237" t="n"/>
      <c r="B130" s="238" t="n"/>
      <c r="C130" s="239" t="n"/>
      <c r="D130" s="239" t="n"/>
      <c r="E130" s="239" t="n"/>
      <c r="F130" s="240" t="n"/>
      <c r="G130" s="240" t="n"/>
      <c r="H130" s="241" t="n"/>
      <c r="I130" s="242" t="n"/>
      <c r="J130" s="242" t="n"/>
      <c r="K130" s="233" t="n"/>
      <c r="L130" s="233">
        <f>IF(K130&lt;&gt;"",(IF(H130="","",H130-(C130*COSTOS!$C$6+D130*COSTOS!$C$7+E130*COSTOS!$C$8+F130*COSTOS!$C$9+G130*COSTOS!$C$10)))+K130,IF(H130="","",H130-(C130*COSTOS!$C$6+D130*COSTOS!$C$7+E130*COSTOS!$C$8+F130*COSTOS!$C$9+G130*COSTOS!$C$10)))</f>
        <v/>
      </c>
      <c r="M130" s="156" t="n"/>
      <c r="N130" s="156" t="n"/>
      <c r="O130" s="156" t="n"/>
    </row>
    <row r="131" ht="18.75" customHeight="1" s="153">
      <c r="A131" s="227" t="n"/>
      <c r="B131" s="228" t="n"/>
      <c r="C131" s="229" t="n"/>
      <c r="D131" s="229" t="n"/>
      <c r="E131" s="229" t="n"/>
      <c r="F131" s="230" t="n"/>
      <c r="G131" s="230" t="n"/>
      <c r="H131" s="231" t="n"/>
      <c r="I131" s="232" t="n"/>
      <c r="J131" s="232" t="n"/>
      <c r="K131" s="233" t="n"/>
      <c r="L131" s="233">
        <f>IF(K131&lt;&gt;"",(IF(H131="","",H131-(C131*COSTOS!$C$6+D131*COSTOS!$C$7+E131*COSTOS!$C$8+F131*COSTOS!$C$9+G131*COSTOS!$C$10)))+K131,IF(H131="","",H131-(C131*COSTOS!$C$6+D131*COSTOS!$C$7+E131*COSTOS!$C$8+F131*COSTOS!$C$9+G131*COSTOS!$C$10)))</f>
        <v/>
      </c>
      <c r="M131" s="156" t="n"/>
      <c r="N131" s="156" t="n"/>
      <c r="O131" s="156" t="n"/>
    </row>
    <row r="132" ht="18.75" customHeight="1" s="153">
      <c r="A132" s="237" t="n"/>
      <c r="B132" s="238" t="n"/>
      <c r="C132" s="239" t="n"/>
      <c r="D132" s="239" t="n"/>
      <c r="E132" s="239" t="n"/>
      <c r="F132" s="240" t="n"/>
      <c r="G132" s="240" t="n"/>
      <c r="H132" s="241" t="n"/>
      <c r="I132" s="242" t="n"/>
      <c r="J132" s="242" t="n"/>
      <c r="K132" s="233" t="n"/>
      <c r="L132" s="233">
        <f>IF(K132&lt;&gt;"",(IF(H132="","",H132-(C132*COSTOS!$C$6+D132*COSTOS!$C$7+E132*COSTOS!$C$8+F132*COSTOS!$C$9+G132*COSTOS!$C$10)))+K132,IF(H132="","",H132-(C132*COSTOS!$C$6+D132*COSTOS!$C$7+E132*COSTOS!$C$8+F132*COSTOS!$C$9+G132*COSTOS!$C$10)))</f>
        <v/>
      </c>
      <c r="M132" s="156" t="n"/>
      <c r="N132" s="156" t="n"/>
      <c r="O132" s="156" t="n"/>
    </row>
    <row r="133" ht="18.75" customHeight="1" s="153">
      <c r="A133" s="227" t="n"/>
      <c r="B133" s="228" t="n"/>
      <c r="C133" s="229" t="n"/>
      <c r="D133" s="229" t="n"/>
      <c r="E133" s="229" t="n"/>
      <c r="F133" s="230" t="n"/>
      <c r="G133" s="230" t="n"/>
      <c r="H133" s="231" t="n"/>
      <c r="I133" s="232" t="n"/>
      <c r="J133" s="232" t="n"/>
      <c r="K133" s="233" t="n"/>
      <c r="L133" s="233">
        <f>IF(K133&lt;&gt;"",(IF(H133="","",H133-(C133*COSTOS!$C$6+D133*COSTOS!$C$7+E133*COSTOS!$C$8+F133*COSTOS!$C$9+G133*COSTOS!$C$10)))+K133,IF(H133="","",H133-(C133*COSTOS!$C$6+D133*COSTOS!$C$7+E133*COSTOS!$C$8+F133*COSTOS!$C$9+G133*COSTOS!$C$10)))</f>
        <v/>
      </c>
      <c r="M133" s="156" t="n"/>
      <c r="N133" s="156" t="n"/>
      <c r="O133" s="156" t="n"/>
    </row>
    <row r="134" ht="18.75" customHeight="1" s="153">
      <c r="A134" s="237" t="n"/>
      <c r="B134" s="238" t="n"/>
      <c r="C134" s="239" t="n"/>
      <c r="D134" s="239" t="n"/>
      <c r="E134" s="239" t="n"/>
      <c r="F134" s="240" t="n"/>
      <c r="G134" s="240" t="n"/>
      <c r="H134" s="241" t="n"/>
      <c r="I134" s="242" t="n"/>
      <c r="J134" s="242" t="n"/>
      <c r="K134" s="233" t="n"/>
      <c r="L134" s="233">
        <f>IF(K134&lt;&gt;"",(IF(H134="","",H134-(C134*COSTOS!$C$6+D134*COSTOS!$C$7+E134*COSTOS!$C$8+F134*COSTOS!$C$9+G134*COSTOS!$C$10)))+K134,IF(H134="","",H134-(C134*COSTOS!$C$6+D134*COSTOS!$C$7+E134*COSTOS!$C$8+F134*COSTOS!$C$9+G134*COSTOS!$C$10)))</f>
        <v/>
      </c>
      <c r="M134" s="156" t="n"/>
      <c r="N134" s="156" t="n"/>
      <c r="O134" s="156" t="n"/>
    </row>
    <row r="135" ht="18.75" customHeight="1" s="153">
      <c r="A135" s="227" t="n"/>
      <c r="B135" s="228" t="n"/>
      <c r="C135" s="229" t="n"/>
      <c r="D135" s="229" t="n"/>
      <c r="E135" s="229" t="n"/>
      <c r="F135" s="230" t="n"/>
      <c r="G135" s="230" t="n"/>
      <c r="H135" s="231" t="n"/>
      <c r="I135" s="232" t="n"/>
      <c r="J135" s="232" t="n"/>
      <c r="K135" s="233" t="n"/>
      <c r="L135" s="233">
        <f>IF(K135&lt;&gt;"",(IF(H135="","",H135-(C135*COSTOS!$C$6+D135*COSTOS!$C$7+E135*COSTOS!$C$8+F135*COSTOS!$C$9+G135*COSTOS!$C$10)))+K135,IF(H135="","",H135-(C135*COSTOS!$C$6+D135*COSTOS!$C$7+E135*COSTOS!$C$8+F135*COSTOS!$C$9+G135*COSTOS!$C$10)))</f>
        <v/>
      </c>
      <c r="M135" s="156" t="n"/>
      <c r="N135" s="156" t="n"/>
      <c r="O135" s="156" t="n"/>
    </row>
    <row r="136" ht="18.75" customHeight="1" s="153">
      <c r="A136" s="237" t="n"/>
      <c r="B136" s="238" t="n"/>
      <c r="C136" s="239" t="n"/>
      <c r="D136" s="239" t="n"/>
      <c r="E136" s="239" t="n"/>
      <c r="F136" s="240" t="n"/>
      <c r="G136" s="240" t="n"/>
      <c r="H136" s="241" t="n"/>
      <c r="I136" s="242" t="n"/>
      <c r="J136" s="242" t="n"/>
      <c r="K136" s="233" t="n"/>
      <c r="L136" s="233">
        <f>IF(K136&lt;&gt;"",(IF(H136="","",H136-(C136*COSTOS!$C$6+D136*COSTOS!$C$7+E136*COSTOS!$C$8+F136*COSTOS!$C$9+G136*COSTOS!$C$10)))+K136,IF(H136="","",H136-(C136*COSTOS!$C$6+D136*COSTOS!$C$7+E136*COSTOS!$C$8+F136*COSTOS!$C$9+G136*COSTOS!$C$10)))</f>
        <v/>
      </c>
      <c r="M136" s="156" t="n"/>
      <c r="N136" s="156" t="n"/>
      <c r="O136" s="156" t="n"/>
    </row>
    <row r="137" ht="18.75" customHeight="1" s="153">
      <c r="A137" s="227" t="n"/>
      <c r="B137" s="228" t="n"/>
      <c r="C137" s="229" t="n"/>
      <c r="D137" s="229" t="n"/>
      <c r="E137" s="229" t="n"/>
      <c r="F137" s="230" t="n"/>
      <c r="G137" s="230" t="n"/>
      <c r="H137" s="231" t="n"/>
      <c r="I137" s="232" t="n"/>
      <c r="J137" s="232" t="n"/>
      <c r="K137" s="233" t="n"/>
      <c r="L137" s="233">
        <f>IF(K137&lt;&gt;"",(IF(H137="","",H137-(C137*COSTOS!$C$6+D137*COSTOS!$C$7+E137*COSTOS!$C$8+F137*COSTOS!$C$9+G137*COSTOS!$C$10)))+K137,IF(H137="","",H137-(C137*COSTOS!$C$6+D137*COSTOS!$C$7+E137*COSTOS!$C$8+F137*COSTOS!$C$9+G137*COSTOS!$C$10)))</f>
        <v/>
      </c>
      <c r="M137" s="156" t="n"/>
      <c r="N137" s="156" t="n"/>
      <c r="O137" s="156" t="n"/>
    </row>
    <row r="138" ht="18.75" customHeight="1" s="153">
      <c r="A138" s="237" t="n"/>
      <c r="B138" s="238" t="n"/>
      <c r="C138" s="239" t="n"/>
      <c r="D138" s="239" t="n"/>
      <c r="E138" s="239" t="n"/>
      <c r="F138" s="240" t="n"/>
      <c r="G138" s="240" t="n"/>
      <c r="H138" s="241" t="n"/>
      <c r="I138" s="242" t="n"/>
      <c r="J138" s="242" t="n"/>
      <c r="K138" s="233" t="n"/>
      <c r="L138" s="233">
        <f>IF(K138&lt;&gt;"",(IF(H138="","",H138-(C138*COSTOS!$C$6+D138*COSTOS!$C$7+E138*COSTOS!$C$8+F138*COSTOS!$C$9+G138*COSTOS!$C$10)))+K138,IF(H138="","",H138-(C138*COSTOS!$C$6+D138*COSTOS!$C$7+E138*COSTOS!$C$8+F138*COSTOS!$C$9+G138*COSTOS!$C$10)))</f>
        <v/>
      </c>
      <c r="M138" s="156" t="n"/>
      <c r="N138" s="156" t="n"/>
      <c r="O138" s="156" t="n"/>
    </row>
    <row r="139" ht="18.75" customHeight="1" s="153">
      <c r="A139" s="227" t="n"/>
      <c r="B139" s="228" t="n"/>
      <c r="C139" s="229" t="n"/>
      <c r="D139" s="229" t="n"/>
      <c r="E139" s="229" t="n"/>
      <c r="F139" s="230" t="n"/>
      <c r="G139" s="230" t="n"/>
      <c r="H139" s="231" t="n"/>
      <c r="I139" s="232" t="n"/>
      <c r="J139" s="232" t="n"/>
      <c r="K139" s="233" t="n"/>
      <c r="L139" s="233">
        <f>IF(K139&lt;&gt;"",(IF(H139="","",H139-(C139*COSTOS!$C$6+D139*COSTOS!$C$7+E139*COSTOS!$C$8+F139*COSTOS!$C$9+G139*COSTOS!$C$10)))+K139,IF(H139="","",H139-(C139*COSTOS!$C$6+D139*COSTOS!$C$7+E139*COSTOS!$C$8+F139*COSTOS!$C$9+G139*COSTOS!$C$10)))</f>
        <v/>
      </c>
      <c r="M139" s="156" t="n"/>
      <c r="N139" s="156" t="n"/>
      <c r="O139" s="156" t="n"/>
    </row>
    <row r="140" ht="18.75" customHeight="1" s="153">
      <c r="A140" s="237" t="n"/>
      <c r="B140" s="238" t="n"/>
      <c r="C140" s="239" t="n"/>
      <c r="D140" s="239" t="n"/>
      <c r="E140" s="239" t="n"/>
      <c r="F140" s="240" t="n"/>
      <c r="G140" s="240" t="n"/>
      <c r="H140" s="241" t="n"/>
      <c r="I140" s="242" t="n"/>
      <c r="J140" s="242" t="n"/>
      <c r="K140" s="233" t="n"/>
      <c r="L140" s="233">
        <f>IF(K140&lt;&gt;"",(IF(H140="","",H140-(C140*COSTOS!$C$6+D140*COSTOS!$C$7+E140*COSTOS!$C$8+F140*COSTOS!$C$9+G140*COSTOS!$C$10)))+K140,IF(H140="","",H140-(C140*COSTOS!$C$6+D140*COSTOS!$C$7+E140*COSTOS!$C$8+F140*COSTOS!$C$9+G140*COSTOS!$C$10)))</f>
        <v/>
      </c>
      <c r="M140" s="156" t="n"/>
      <c r="N140" s="156" t="n"/>
      <c r="O140" s="156" t="n"/>
    </row>
    <row r="141" ht="18.75" customHeight="1" s="153">
      <c r="A141" s="227" t="n"/>
      <c r="B141" s="228" t="n"/>
      <c r="C141" s="229" t="n"/>
      <c r="D141" s="229" t="n"/>
      <c r="E141" s="229" t="n"/>
      <c r="F141" s="230" t="n"/>
      <c r="G141" s="230" t="n"/>
      <c r="H141" s="231" t="n"/>
      <c r="I141" s="232" t="n"/>
      <c r="J141" s="232" t="n"/>
      <c r="K141" s="233" t="n"/>
      <c r="L141" s="233">
        <f>IF(K141&lt;&gt;"",(IF(H141="","",H141-(C141*COSTOS!$C$6+D141*COSTOS!$C$7+E141*COSTOS!$C$8+F141*COSTOS!$C$9+G141*COSTOS!$C$10)))+K141,IF(H141="","",H141-(C141*COSTOS!$C$6+D141*COSTOS!$C$7+E141*COSTOS!$C$8+F141*COSTOS!$C$9+G141*COSTOS!$C$10)))</f>
        <v/>
      </c>
      <c r="M141" s="156" t="n"/>
      <c r="N141" s="156" t="n"/>
      <c r="O141" s="156" t="n"/>
    </row>
    <row r="142" ht="18.75" customHeight="1" s="153">
      <c r="A142" s="237" t="n"/>
      <c r="B142" s="238" t="n"/>
      <c r="C142" s="239" t="n"/>
      <c r="D142" s="239" t="n"/>
      <c r="E142" s="239" t="n"/>
      <c r="F142" s="240" t="n"/>
      <c r="G142" s="240" t="n"/>
      <c r="H142" s="241" t="n"/>
      <c r="I142" s="242" t="n"/>
      <c r="J142" s="242" t="n"/>
      <c r="K142" s="233" t="n"/>
      <c r="L142" s="233">
        <f>IF(K142&lt;&gt;"",(IF(H142="","",H142-(C142*COSTOS!$C$6+D142*COSTOS!$C$7+E142*COSTOS!$C$8+F142*COSTOS!$C$9+G142*COSTOS!$C$10)))+K142,IF(H142="","",H142-(C142*COSTOS!$C$6+D142*COSTOS!$C$7+E142*COSTOS!$C$8+F142*COSTOS!$C$9+G142*COSTOS!$C$10)))</f>
        <v/>
      </c>
      <c r="M142" s="156" t="n"/>
      <c r="N142" s="156" t="n"/>
      <c r="O142" s="156" t="n"/>
    </row>
    <row r="143" ht="18.75" customHeight="1" s="153">
      <c r="A143" s="227" t="n"/>
      <c r="B143" s="228" t="n"/>
      <c r="C143" s="229" t="n"/>
      <c r="D143" s="229" t="n"/>
      <c r="E143" s="229" t="n"/>
      <c r="F143" s="230" t="n"/>
      <c r="G143" s="230" t="n"/>
      <c r="H143" s="231" t="n"/>
      <c r="I143" s="232" t="n"/>
      <c r="J143" s="232" t="n"/>
      <c r="K143" s="233" t="n"/>
      <c r="L143" s="233">
        <f>IF(K143&lt;&gt;"",(IF(H143="","",H143-(C143*COSTOS!$C$6+D143*COSTOS!$C$7+E143*COSTOS!$C$8+F143*COSTOS!$C$9+G143*COSTOS!$C$10)))+K143,IF(H143="","",H143-(C143*COSTOS!$C$6+D143*COSTOS!$C$7+E143*COSTOS!$C$8+F143*COSTOS!$C$9+G143*COSTOS!$C$10)))</f>
        <v/>
      </c>
      <c r="M143" s="156" t="n"/>
      <c r="N143" s="156" t="n"/>
      <c r="O143" s="156" t="n"/>
    </row>
    <row r="144" ht="18.75" customHeight="1" s="153">
      <c r="A144" s="237" t="n"/>
      <c r="B144" s="238" t="n"/>
      <c r="C144" s="239" t="n"/>
      <c r="D144" s="239" t="n"/>
      <c r="E144" s="239" t="n"/>
      <c r="F144" s="240" t="n"/>
      <c r="G144" s="240" t="n"/>
      <c r="H144" s="241" t="n"/>
      <c r="I144" s="242" t="n"/>
      <c r="J144" s="242" t="n"/>
      <c r="K144" s="233" t="n"/>
      <c r="L144" s="233">
        <f>IF(K144&lt;&gt;"",(IF(H144="","",H144-(C144*COSTOS!$C$6+D144*COSTOS!$C$7+E144*COSTOS!$C$8+F144*COSTOS!$C$9+G144*COSTOS!$C$10)))+K144,IF(H144="","",H144-(C144*COSTOS!$C$6+D144*COSTOS!$C$7+E144*COSTOS!$C$8+F144*COSTOS!$C$9+G144*COSTOS!$C$10)))</f>
        <v/>
      </c>
      <c r="M144" s="156" t="n"/>
      <c r="N144" s="156" t="n"/>
      <c r="O144" s="156" t="n"/>
    </row>
    <row r="145" ht="18.75" customHeight="1" s="153">
      <c r="A145" s="227" t="n"/>
      <c r="B145" s="228" t="n"/>
      <c r="C145" s="229" t="n"/>
      <c r="D145" s="229" t="n"/>
      <c r="E145" s="229" t="n"/>
      <c r="F145" s="230" t="n"/>
      <c r="G145" s="230" t="n"/>
      <c r="H145" s="231" t="n"/>
      <c r="I145" s="232" t="n"/>
      <c r="J145" s="232" t="n"/>
      <c r="K145" s="233" t="n"/>
      <c r="L145" s="233">
        <f>IF(K145&lt;&gt;"",(IF(H145="","",H145-(C145*COSTOS!$C$6+D145*COSTOS!$C$7+E145*COSTOS!$C$8+F145*COSTOS!$C$9+G145*COSTOS!$C$10)))+K145,IF(H145="","",H145-(C145*COSTOS!$C$6+D145*COSTOS!$C$7+E145*COSTOS!$C$8+F145*COSTOS!$C$9+G145*COSTOS!$C$10)))</f>
        <v/>
      </c>
      <c r="M145" s="156" t="n"/>
      <c r="N145" s="156" t="n"/>
      <c r="O145" s="156" t="n"/>
    </row>
    <row r="146" ht="18.75" customHeight="1" s="153">
      <c r="A146" s="237" t="n"/>
      <c r="B146" s="238" t="n"/>
      <c r="C146" s="239" t="n"/>
      <c r="D146" s="239" t="n"/>
      <c r="E146" s="239" t="n"/>
      <c r="F146" s="240" t="n"/>
      <c r="G146" s="240" t="n"/>
      <c r="H146" s="241" t="n"/>
      <c r="I146" s="242" t="n"/>
      <c r="J146" s="242" t="n"/>
      <c r="K146" s="233" t="n"/>
      <c r="L146" s="233">
        <f>IF(K146&lt;&gt;"",(IF(H146="","",H146-(C146*COSTOS!$C$6+D146*COSTOS!$C$7+E146*COSTOS!$C$8+F146*COSTOS!$C$9+G146*COSTOS!$C$10)))+K146,IF(H146="","",H146-(C146*COSTOS!$C$6+D146*COSTOS!$C$7+E146*COSTOS!$C$8+F146*COSTOS!$C$9+G146*COSTOS!$C$10)))</f>
        <v/>
      </c>
      <c r="M146" s="156" t="n"/>
      <c r="N146" s="156" t="n"/>
      <c r="O146" s="156" t="n"/>
    </row>
    <row r="147" ht="18.75" customHeight="1" s="153">
      <c r="A147" s="227" t="n"/>
      <c r="B147" s="228" t="n"/>
      <c r="C147" s="229" t="n"/>
      <c r="D147" s="229" t="n"/>
      <c r="E147" s="229" t="n"/>
      <c r="F147" s="230" t="n"/>
      <c r="G147" s="230" t="n"/>
      <c r="H147" s="231" t="n"/>
      <c r="I147" s="232" t="n"/>
      <c r="J147" s="232" t="n"/>
      <c r="K147" s="233" t="n"/>
      <c r="L147" s="233">
        <f>IF(K147&lt;&gt;"",(IF(H147="","",H147-(C147*COSTOS!$C$6+D147*COSTOS!$C$7+E147*COSTOS!$C$8+F147*COSTOS!$C$9+G147*COSTOS!$C$10)))+K147,IF(H147="","",H147-(C147*COSTOS!$C$6+D147*COSTOS!$C$7+E147*COSTOS!$C$8+F147*COSTOS!$C$9+G147*COSTOS!$C$10)))</f>
        <v/>
      </c>
      <c r="M147" s="156" t="n"/>
      <c r="N147" s="156" t="n"/>
      <c r="O147" s="156" t="n"/>
    </row>
    <row r="148" ht="18.75" customHeight="1" s="153">
      <c r="A148" s="237" t="n"/>
      <c r="B148" s="238" t="n"/>
      <c r="C148" s="239" t="n"/>
      <c r="D148" s="239" t="n"/>
      <c r="E148" s="239" t="n"/>
      <c r="F148" s="240" t="n"/>
      <c r="G148" s="240" t="n"/>
      <c r="H148" s="241" t="n"/>
      <c r="I148" s="242" t="n"/>
      <c r="J148" s="242" t="n"/>
      <c r="K148" s="233" t="n"/>
      <c r="L148" s="233">
        <f>IF(K148&lt;&gt;"",(IF(H148="","",H148-(C148*COSTOS!$C$6+D148*COSTOS!$C$7+E148*COSTOS!$C$8+F148*COSTOS!$C$9+G148*COSTOS!$C$10)))+K148,IF(H148="","",H148-(C148*COSTOS!$C$6+D148*COSTOS!$C$7+E148*COSTOS!$C$8+F148*COSTOS!$C$9+G148*COSTOS!$C$10)))</f>
        <v/>
      </c>
      <c r="M148" s="156" t="n"/>
      <c r="N148" s="156" t="n"/>
      <c r="O148" s="156" t="n"/>
    </row>
    <row r="149" ht="18.75" customHeight="1" s="153">
      <c r="A149" s="227" t="n"/>
      <c r="B149" s="228" t="n"/>
      <c r="C149" s="229" t="n"/>
      <c r="D149" s="229" t="n"/>
      <c r="E149" s="229" t="n"/>
      <c r="F149" s="230" t="n"/>
      <c r="G149" s="230" t="n"/>
      <c r="H149" s="231" t="n"/>
      <c r="I149" s="232" t="n"/>
      <c r="J149" s="232" t="n"/>
      <c r="K149" s="233" t="n"/>
      <c r="L149" s="233">
        <f>IF(K149&lt;&gt;"",(IF(H149="","",H149-(C149*COSTOS!$C$6+D149*COSTOS!$C$7+E149*COSTOS!$C$8+F149*COSTOS!$C$9+G149*COSTOS!$C$10)))+K149,IF(H149="","",H149-(C149*COSTOS!$C$6+D149*COSTOS!$C$7+E149*COSTOS!$C$8+F149*COSTOS!$C$9+G149*COSTOS!$C$10)))</f>
        <v/>
      </c>
      <c r="M149" s="156" t="n"/>
      <c r="N149" s="156" t="n"/>
      <c r="O149" s="156" t="n"/>
    </row>
    <row r="150" ht="18.75" customHeight="1" s="153">
      <c r="A150" s="237" t="n"/>
      <c r="B150" s="238" t="n"/>
      <c r="C150" s="239" t="n"/>
      <c r="D150" s="239" t="n"/>
      <c r="E150" s="239" t="n"/>
      <c r="F150" s="240" t="n"/>
      <c r="G150" s="240" t="n"/>
      <c r="H150" s="241" t="n"/>
      <c r="I150" s="242" t="n"/>
      <c r="J150" s="242" t="n"/>
      <c r="K150" s="233" t="n"/>
      <c r="L150" s="233">
        <f>IF(K150&lt;&gt;"",(IF(H150="","",H150-(C150*COSTOS!$C$6+D150*COSTOS!$C$7+E150*COSTOS!$C$8+F150*COSTOS!$C$9+G150*COSTOS!$C$10)))+K150,IF(H150="","",H150-(C150*COSTOS!$C$6+D150*COSTOS!$C$7+E150*COSTOS!$C$8+F150*COSTOS!$C$9+G150*COSTOS!$C$10)))</f>
        <v/>
      </c>
      <c r="M150" s="156" t="n"/>
      <c r="N150" s="156" t="n"/>
      <c r="O150" s="156" t="n"/>
    </row>
    <row r="151" ht="18.75" customHeight="1" s="153">
      <c r="A151" s="227" t="n"/>
      <c r="B151" s="228" t="n"/>
      <c r="C151" s="229" t="n"/>
      <c r="D151" s="229" t="n"/>
      <c r="E151" s="229" t="n"/>
      <c r="F151" s="230" t="n"/>
      <c r="G151" s="230" t="n"/>
      <c r="H151" s="231" t="n"/>
      <c r="I151" s="232" t="n"/>
      <c r="J151" s="232" t="n"/>
      <c r="K151" s="233" t="n"/>
      <c r="L151" s="233">
        <f>IF(K151&lt;&gt;"",(IF(H151="","",H151-(C151*COSTOS!$C$6+D151*COSTOS!$C$7+E151*COSTOS!$C$8+F151*COSTOS!$C$9+G151*COSTOS!$C$10)))+K151,IF(H151="","",H151-(C151*COSTOS!$C$6+D151*COSTOS!$C$7+E151*COSTOS!$C$8+F151*COSTOS!$C$9+G151*COSTOS!$C$10)))</f>
        <v/>
      </c>
      <c r="M151" s="156" t="n"/>
      <c r="N151" s="156" t="n"/>
      <c r="O151" s="156" t="n"/>
    </row>
    <row r="152" ht="18.75" customHeight="1" s="153">
      <c r="A152" s="237" t="n"/>
      <c r="B152" s="238" t="n"/>
      <c r="C152" s="239" t="n"/>
      <c r="D152" s="239" t="n"/>
      <c r="E152" s="239" t="n"/>
      <c r="F152" s="240" t="n"/>
      <c r="G152" s="240" t="n"/>
      <c r="H152" s="241" t="n"/>
      <c r="I152" s="242" t="n"/>
      <c r="J152" s="242" t="n"/>
      <c r="K152" s="233" t="n"/>
      <c r="L152" s="233">
        <f>IF(K152&lt;&gt;"",(IF(H152="","",H152-(C152*COSTOS!$C$6+D152*COSTOS!$C$7+E152*COSTOS!$C$8+F152*COSTOS!$C$9+G152*COSTOS!$C$10)))+K152,IF(H152="","",H152-(C152*COSTOS!$C$6+D152*COSTOS!$C$7+E152*COSTOS!$C$8+F152*COSTOS!$C$9+G152*COSTOS!$C$10)))</f>
        <v/>
      </c>
      <c r="M152" s="156" t="n"/>
      <c r="N152" s="156" t="n"/>
      <c r="O152" s="156" t="n"/>
    </row>
    <row r="153" ht="18.75" customHeight="1" s="153">
      <c r="A153" s="227" t="n"/>
      <c r="B153" s="228" t="n"/>
      <c r="C153" s="229" t="n"/>
      <c r="D153" s="229" t="n"/>
      <c r="E153" s="229" t="n"/>
      <c r="F153" s="230" t="n"/>
      <c r="G153" s="230" t="n"/>
      <c r="H153" s="231" t="n"/>
      <c r="I153" s="232" t="n"/>
      <c r="J153" s="232" t="n"/>
      <c r="K153" s="233" t="n"/>
      <c r="L153" s="233">
        <f>IF(K153&lt;&gt;"",(IF(H153="","",H153-(C153*COSTOS!$C$6+D153*COSTOS!$C$7+E153*COSTOS!$C$8+F153*COSTOS!$C$9+G153*COSTOS!$C$10)))+K153,IF(H153="","",H153-(C153*COSTOS!$C$6+D153*COSTOS!$C$7+E153*COSTOS!$C$8+F153*COSTOS!$C$9+G153*COSTOS!$C$10)))</f>
        <v/>
      </c>
      <c r="M153" s="156" t="n"/>
      <c r="N153" s="156" t="n"/>
      <c r="O153" s="156" t="n"/>
    </row>
    <row r="154" ht="18.75" customHeight="1" s="153">
      <c r="A154" s="237" t="n"/>
      <c r="B154" s="238" t="n"/>
      <c r="C154" s="239" t="n"/>
      <c r="D154" s="239" t="n"/>
      <c r="E154" s="239" t="n"/>
      <c r="F154" s="240" t="n"/>
      <c r="G154" s="240" t="n"/>
      <c r="H154" s="241" t="n"/>
      <c r="I154" s="242" t="n"/>
      <c r="J154" s="242" t="n"/>
      <c r="K154" s="233" t="n"/>
      <c r="L154" s="233">
        <f>IF(K154&lt;&gt;"",(IF(H154="","",H154-(C154*COSTOS!$C$6+D154*COSTOS!$C$7+E154*COSTOS!$C$8+F154*COSTOS!$C$9+G154*COSTOS!$C$10)))+K154,IF(H154="","",H154-(C154*COSTOS!$C$6+D154*COSTOS!$C$7+E154*COSTOS!$C$8+F154*COSTOS!$C$9+G154*COSTOS!$C$10)))</f>
        <v/>
      </c>
      <c r="M154" s="156" t="n"/>
      <c r="N154" s="156" t="n"/>
      <c r="O154" s="156" t="n"/>
    </row>
    <row r="155" ht="18.75" customHeight="1" s="153">
      <c r="A155" s="227" t="n"/>
      <c r="B155" s="228" t="n"/>
      <c r="C155" s="229" t="n"/>
      <c r="D155" s="229" t="n"/>
      <c r="E155" s="229" t="n"/>
      <c r="F155" s="230" t="n"/>
      <c r="G155" s="230" t="n"/>
      <c r="H155" s="231" t="n"/>
      <c r="I155" s="232" t="n"/>
      <c r="J155" s="232" t="n"/>
      <c r="K155" s="233" t="n"/>
      <c r="L155" s="233">
        <f>IF(K155&lt;&gt;"",(IF(H155="","",H155-(C155*COSTOS!$C$6+D155*COSTOS!$C$7+E155*COSTOS!$C$8+F155*COSTOS!$C$9+G155*COSTOS!$C$10)))+K155,IF(H155="","",H155-(C155*COSTOS!$C$6+D155*COSTOS!$C$7+E155*COSTOS!$C$8+F155*COSTOS!$C$9+G155*COSTOS!$C$10)))</f>
        <v/>
      </c>
      <c r="M155" s="156" t="n"/>
      <c r="N155" s="156" t="n"/>
      <c r="O155" s="156" t="n"/>
    </row>
    <row r="156" ht="18.75" customHeight="1" s="153">
      <c r="A156" s="237" t="n"/>
      <c r="B156" s="238" t="n"/>
      <c r="C156" s="239" t="n"/>
      <c r="D156" s="239" t="n"/>
      <c r="E156" s="239" t="n"/>
      <c r="F156" s="240" t="n"/>
      <c r="G156" s="240" t="n"/>
      <c r="H156" s="241" t="n"/>
      <c r="I156" s="242" t="n"/>
      <c r="J156" s="242" t="n"/>
      <c r="K156" s="233" t="n"/>
      <c r="L156" s="233">
        <f>IF(K156&lt;&gt;"",(IF(H156="","",H156-(C156*COSTOS!$C$6+D156*COSTOS!$C$7+E156*COSTOS!$C$8+F156*COSTOS!$C$9+G156*COSTOS!$C$10)))+K156,IF(H156="","",H156-(C156*COSTOS!$C$6+D156*COSTOS!$C$7+E156*COSTOS!$C$8+F156*COSTOS!$C$9+G156*COSTOS!$C$10)))</f>
        <v/>
      </c>
      <c r="M156" s="156" t="n"/>
      <c r="N156" s="156" t="n"/>
      <c r="O156" s="156" t="n"/>
    </row>
    <row r="157" ht="18.75" customHeight="1" s="153">
      <c r="A157" s="227" t="n"/>
      <c r="B157" s="228" t="n"/>
      <c r="C157" s="229" t="n"/>
      <c r="D157" s="229" t="n"/>
      <c r="E157" s="229" t="n"/>
      <c r="F157" s="230" t="n"/>
      <c r="G157" s="230" t="n"/>
      <c r="H157" s="231" t="n"/>
      <c r="I157" s="232" t="n"/>
      <c r="J157" s="232" t="n"/>
      <c r="K157" s="233" t="n"/>
      <c r="L157" s="233">
        <f>IF(K157&lt;&gt;"",(IF(H157="","",H157-(C157*COSTOS!$C$6+D157*COSTOS!$C$7+E157*COSTOS!$C$8+F157*COSTOS!$C$9+G157*COSTOS!$C$10)))+K157,IF(H157="","",H157-(C157*COSTOS!$C$6+D157*COSTOS!$C$7+E157*COSTOS!$C$8+F157*COSTOS!$C$9+G157*COSTOS!$C$10)))</f>
        <v/>
      </c>
      <c r="M157" s="156" t="n"/>
      <c r="N157" s="156" t="n"/>
      <c r="O157" s="156" t="n"/>
    </row>
    <row r="158" ht="18.75" customHeight="1" s="153">
      <c r="A158" s="237" t="n"/>
      <c r="B158" s="238" t="n"/>
      <c r="C158" s="239" t="n"/>
      <c r="D158" s="239" t="n"/>
      <c r="E158" s="239" t="n"/>
      <c r="F158" s="240" t="n"/>
      <c r="G158" s="240" t="n"/>
      <c r="H158" s="241" t="n"/>
      <c r="I158" s="242" t="n"/>
      <c r="J158" s="242" t="n"/>
      <c r="K158" s="233" t="n"/>
      <c r="L158" s="233">
        <f>IF(K158&lt;&gt;"",(IF(H158="","",H158-(C158*COSTOS!$C$6+D158*COSTOS!$C$7+E158*COSTOS!$C$8+F158*COSTOS!$C$9+G158*COSTOS!$C$10)))+K158,IF(H158="","",H158-(C158*COSTOS!$C$6+D158*COSTOS!$C$7+E158*COSTOS!$C$8+F158*COSTOS!$C$9+G158*COSTOS!$C$10)))</f>
        <v/>
      </c>
      <c r="M158" s="156" t="n"/>
      <c r="N158" s="156" t="n"/>
      <c r="O158" s="156" t="n"/>
    </row>
    <row r="159" ht="18.75" customHeight="1" s="153">
      <c r="A159" s="227" t="n"/>
      <c r="B159" s="228" t="n"/>
      <c r="C159" s="229" t="n"/>
      <c r="D159" s="229" t="n"/>
      <c r="E159" s="229" t="n"/>
      <c r="F159" s="230" t="n"/>
      <c r="G159" s="230" t="n"/>
      <c r="H159" s="231" t="n"/>
      <c r="I159" s="232" t="n"/>
      <c r="J159" s="232" t="n"/>
      <c r="K159" s="233" t="n"/>
      <c r="L159" s="233">
        <f>IF(K159&lt;&gt;"",(IF(H159="","",H159-(C159*COSTOS!$C$6+D159*COSTOS!$C$7+E159*COSTOS!$C$8+F159*COSTOS!$C$9+G159*COSTOS!$C$10)))+K159,IF(H159="","",H159-(C159*COSTOS!$C$6+D159*COSTOS!$C$7+E159*COSTOS!$C$8+F159*COSTOS!$C$9+G159*COSTOS!$C$10)))</f>
        <v/>
      </c>
      <c r="M159" s="156" t="n"/>
      <c r="N159" s="156" t="n"/>
      <c r="O159" s="156" t="n"/>
    </row>
    <row r="160" ht="18.75" customHeight="1" s="153">
      <c r="A160" s="237" t="n"/>
      <c r="B160" s="238" t="n"/>
      <c r="C160" s="239" t="n"/>
      <c r="D160" s="239" t="n"/>
      <c r="E160" s="239" t="n"/>
      <c r="F160" s="240" t="n"/>
      <c r="G160" s="240" t="n"/>
      <c r="H160" s="241" t="n"/>
      <c r="I160" s="242" t="n"/>
      <c r="J160" s="242" t="n"/>
      <c r="K160" s="233" t="n"/>
      <c r="L160" s="233">
        <f>IF(K160&lt;&gt;"",(IF(H160="","",H160-(C160*COSTOS!$C$6+D160*COSTOS!$C$7+E160*COSTOS!$C$8+F160*COSTOS!$C$9+G160*COSTOS!$C$10)))+K160,IF(H160="","",H160-(C160*COSTOS!$C$6+D160*COSTOS!$C$7+E160*COSTOS!$C$8+F160*COSTOS!$C$9+G160*COSTOS!$C$10)))</f>
        <v/>
      </c>
      <c r="M160" s="156" t="n"/>
      <c r="N160" s="156" t="n"/>
      <c r="O160" s="156" t="n"/>
    </row>
    <row r="161" ht="18.75" customHeight="1" s="153">
      <c r="A161" s="227" t="n"/>
      <c r="B161" s="228" t="n"/>
      <c r="C161" s="229" t="n"/>
      <c r="D161" s="229" t="n"/>
      <c r="E161" s="229" t="n"/>
      <c r="F161" s="230" t="n"/>
      <c r="G161" s="230" t="n"/>
      <c r="H161" s="231" t="n"/>
      <c r="I161" s="232" t="n"/>
      <c r="J161" s="232" t="n"/>
      <c r="K161" s="233" t="n"/>
      <c r="L161" s="233">
        <f>IF(K161&lt;&gt;"",(IF(H161="","",H161-(C161*COSTOS!$C$6+D161*COSTOS!$C$7+E161*COSTOS!$C$8+F161*COSTOS!$C$9+G161*COSTOS!$C$10)))+K161,IF(H161="","",H161-(C161*COSTOS!$C$6+D161*COSTOS!$C$7+E161*COSTOS!$C$8+F161*COSTOS!$C$9+G161*COSTOS!$C$10)))</f>
        <v/>
      </c>
      <c r="M161" s="156" t="n"/>
      <c r="N161" s="156" t="n"/>
      <c r="O161" s="156" t="n"/>
    </row>
    <row r="162" ht="18.75" customHeight="1" s="153">
      <c r="A162" s="237" t="n"/>
      <c r="B162" s="238" t="n"/>
      <c r="C162" s="239" t="n"/>
      <c r="D162" s="239" t="n"/>
      <c r="E162" s="239" t="n"/>
      <c r="F162" s="240" t="n"/>
      <c r="G162" s="240" t="n"/>
      <c r="H162" s="241" t="n"/>
      <c r="I162" s="242" t="n"/>
      <c r="J162" s="242" t="n"/>
      <c r="K162" s="233" t="n"/>
      <c r="L162" s="233">
        <f>IF(K162&lt;&gt;"",(IF(H162="","",H162-(C162*COSTOS!$C$6+D162*COSTOS!$C$7+E162*COSTOS!$C$8+F162*COSTOS!$C$9+G162*COSTOS!$C$10)))+K162,IF(H162="","",H162-(C162*COSTOS!$C$6+D162*COSTOS!$C$7+E162*COSTOS!$C$8+F162*COSTOS!$C$9+G162*COSTOS!$C$10)))</f>
        <v/>
      </c>
      <c r="M162" s="156" t="n"/>
      <c r="N162" s="156" t="n"/>
      <c r="O162" s="156" t="n"/>
    </row>
    <row r="163" ht="18.75" customHeight="1" s="153">
      <c r="A163" s="227" t="n"/>
      <c r="B163" s="228" t="n"/>
      <c r="C163" s="229" t="n"/>
      <c r="D163" s="229" t="n"/>
      <c r="E163" s="229" t="n"/>
      <c r="F163" s="230" t="n"/>
      <c r="G163" s="230" t="n"/>
      <c r="H163" s="231" t="n"/>
      <c r="I163" s="232" t="n"/>
      <c r="J163" s="232" t="n"/>
      <c r="K163" s="233" t="n"/>
      <c r="L163" s="233">
        <f>IF(K163&lt;&gt;"",(IF(H163="","",H163-(C163*COSTOS!$C$6+D163*COSTOS!$C$7+E163*COSTOS!$C$8+F163*COSTOS!$C$9+G163*COSTOS!$C$10)))+K163,IF(H163="","",H163-(C163*COSTOS!$C$6+D163*COSTOS!$C$7+E163*COSTOS!$C$8+F163*COSTOS!$C$9+G163*COSTOS!$C$10)))</f>
        <v/>
      </c>
      <c r="M163" s="156" t="n"/>
      <c r="N163" s="156" t="n"/>
      <c r="O163" s="156" t="n"/>
    </row>
    <row r="164" ht="18.75" customHeight="1" s="153">
      <c r="A164" s="237" t="n"/>
      <c r="B164" s="238" t="n"/>
      <c r="C164" s="239" t="n"/>
      <c r="D164" s="239" t="n"/>
      <c r="E164" s="239" t="n"/>
      <c r="F164" s="240" t="n"/>
      <c r="G164" s="240" t="n"/>
      <c r="H164" s="241" t="n"/>
      <c r="I164" s="242" t="n"/>
      <c r="J164" s="242" t="n"/>
      <c r="K164" s="233" t="n"/>
      <c r="L164" s="233">
        <f>IF(K164&lt;&gt;"",(IF(H164="","",H164-(C164*COSTOS!$C$6+D164*COSTOS!$C$7+E164*COSTOS!$C$8+F164*COSTOS!$C$9+G164*COSTOS!$C$10)))+K164,IF(H164="","",H164-(C164*COSTOS!$C$6+D164*COSTOS!$C$7+E164*COSTOS!$C$8+F164*COSTOS!$C$9+G164*COSTOS!$C$10)))</f>
        <v/>
      </c>
      <c r="M164" s="156" t="n"/>
      <c r="N164" s="156" t="n"/>
      <c r="O164" s="156" t="n"/>
    </row>
    <row r="165" ht="18.75" customHeight="1" s="153">
      <c r="A165" s="227" t="n"/>
      <c r="B165" s="228" t="n"/>
      <c r="C165" s="229" t="n"/>
      <c r="D165" s="229" t="n"/>
      <c r="E165" s="229" t="n"/>
      <c r="F165" s="230" t="n"/>
      <c r="G165" s="230" t="n"/>
      <c r="H165" s="231" t="n"/>
      <c r="I165" s="232" t="n"/>
      <c r="J165" s="232" t="n"/>
      <c r="K165" s="233" t="n"/>
      <c r="L165" s="233">
        <f>IF(K165&lt;&gt;"",(IF(H165="","",H165-(C165*COSTOS!$C$6+D165*COSTOS!$C$7+E165*COSTOS!$C$8+F165*COSTOS!$C$9+G165*COSTOS!$C$10)))+K165,IF(H165="","",H165-(C165*COSTOS!$C$6+D165*COSTOS!$C$7+E165*COSTOS!$C$8+F165*COSTOS!$C$9+G165*COSTOS!$C$10)))</f>
        <v/>
      </c>
      <c r="M165" s="156" t="n"/>
      <c r="N165" s="156" t="n"/>
      <c r="O165" s="156" t="n"/>
    </row>
    <row r="166" ht="18.75" customHeight="1" s="153">
      <c r="A166" s="237" t="n"/>
      <c r="B166" s="238" t="n"/>
      <c r="C166" s="239" t="n"/>
      <c r="D166" s="239" t="n"/>
      <c r="E166" s="239" t="n"/>
      <c r="F166" s="240" t="n"/>
      <c r="G166" s="240" t="n"/>
      <c r="H166" s="241" t="n"/>
      <c r="I166" s="242" t="n"/>
      <c r="J166" s="242" t="n"/>
      <c r="K166" s="233" t="n"/>
      <c r="L166" s="233">
        <f>IF(K166&lt;&gt;"",(IF(H166="","",H166-(C166*COSTOS!$C$6+D166*COSTOS!$C$7+E166*COSTOS!$C$8+F166*COSTOS!$C$9+G166*COSTOS!$C$10)))+K166,IF(H166="","",H166-(C166*COSTOS!$C$6+D166*COSTOS!$C$7+E166*COSTOS!$C$8+F166*COSTOS!$C$9+G166*COSTOS!$C$10)))</f>
        <v/>
      </c>
      <c r="M166" s="156" t="n"/>
      <c r="N166" s="156" t="n"/>
      <c r="O166" s="156" t="n"/>
    </row>
    <row r="167" ht="18.75" customHeight="1" s="153">
      <c r="A167" s="227" t="n"/>
      <c r="B167" s="228" t="n"/>
      <c r="C167" s="229" t="n"/>
      <c r="D167" s="229" t="n"/>
      <c r="E167" s="229" t="n"/>
      <c r="F167" s="230" t="n"/>
      <c r="G167" s="230" t="n"/>
      <c r="H167" s="231" t="n"/>
      <c r="I167" s="232" t="n"/>
      <c r="J167" s="232" t="n"/>
      <c r="K167" s="233" t="n"/>
      <c r="L167" s="233">
        <f>IF(K167&lt;&gt;"",(IF(H167="","",H167-(C167*COSTOS!$C$6+D167*COSTOS!$C$7+E167*COSTOS!$C$8+F167*COSTOS!$C$9+G167*COSTOS!$C$10)))+K167,IF(H167="","",H167-(C167*COSTOS!$C$6+D167*COSTOS!$C$7+E167*COSTOS!$C$8+F167*COSTOS!$C$9+G167*COSTOS!$C$10)))</f>
        <v/>
      </c>
      <c r="M167" s="156" t="n"/>
      <c r="N167" s="156" t="n"/>
      <c r="O167" s="156" t="n"/>
    </row>
    <row r="168" ht="18.75" customHeight="1" s="153">
      <c r="A168" s="237" t="n"/>
      <c r="B168" s="238" t="n"/>
      <c r="C168" s="239" t="n"/>
      <c r="D168" s="239" t="n"/>
      <c r="E168" s="239" t="n"/>
      <c r="F168" s="240" t="n"/>
      <c r="G168" s="240" t="n"/>
      <c r="H168" s="241" t="n"/>
      <c r="I168" s="242" t="n"/>
      <c r="J168" s="242" t="n"/>
      <c r="K168" s="233" t="n"/>
      <c r="L168" s="233">
        <f>IF(K168&lt;&gt;"",(IF(H168="","",H168-(C168*COSTOS!$C$6+D168*COSTOS!$C$7+E168*COSTOS!$C$8+F168*COSTOS!$C$9+G168*COSTOS!$C$10)))+K168,IF(H168="","",H168-(C168*COSTOS!$C$6+D168*COSTOS!$C$7+E168*COSTOS!$C$8+F168*COSTOS!$C$9+G168*COSTOS!$C$10)))</f>
        <v/>
      </c>
      <c r="M168" s="156" t="n"/>
      <c r="N168" s="156" t="n"/>
      <c r="O168" s="156" t="n"/>
    </row>
    <row r="169" ht="18.75" customHeight="1" s="153">
      <c r="A169" s="227" t="n"/>
      <c r="B169" s="228" t="n"/>
      <c r="C169" s="229" t="n"/>
      <c r="D169" s="229" t="n"/>
      <c r="E169" s="229" t="n"/>
      <c r="F169" s="230" t="n"/>
      <c r="G169" s="230" t="n"/>
      <c r="H169" s="231" t="n"/>
      <c r="I169" s="232" t="n"/>
      <c r="J169" s="232" t="n"/>
      <c r="K169" s="233" t="n"/>
      <c r="L169" s="233">
        <f>IF(K169&lt;&gt;"",(IF(H169="","",H169-(C169*COSTOS!$C$6+D169*COSTOS!$C$7+E169*COSTOS!$C$8+F169*COSTOS!$C$9+G169*COSTOS!$C$10)))+K169,IF(H169="","",H169-(C169*COSTOS!$C$6+D169*COSTOS!$C$7+E169*COSTOS!$C$8+F169*COSTOS!$C$9+G169*COSTOS!$C$10)))</f>
        <v/>
      </c>
      <c r="M169" s="156" t="n"/>
      <c r="N169" s="156" t="n"/>
      <c r="O169" s="156" t="n"/>
    </row>
    <row r="170" ht="18.75" customHeight="1" s="153">
      <c r="A170" s="237" t="n"/>
      <c r="B170" s="238" t="n"/>
      <c r="C170" s="239" t="n"/>
      <c r="D170" s="239" t="n"/>
      <c r="E170" s="239" t="n"/>
      <c r="F170" s="240" t="n"/>
      <c r="G170" s="240" t="n"/>
      <c r="H170" s="241" t="n"/>
      <c r="I170" s="242" t="n"/>
      <c r="J170" s="242" t="n"/>
      <c r="K170" s="233" t="n"/>
      <c r="L170" s="233">
        <f>IF(K170&lt;&gt;"",(IF(H170="","",H170-(C170*COSTOS!$C$6+D170*COSTOS!$C$7+E170*COSTOS!$C$8+F170*COSTOS!$C$9+G170*COSTOS!$C$10)))+K170,IF(H170="","",H170-(C170*COSTOS!$C$6+D170*COSTOS!$C$7+E170*COSTOS!$C$8+F170*COSTOS!$C$9+G170*COSTOS!$C$10)))</f>
        <v/>
      </c>
      <c r="M170" s="156" t="n"/>
      <c r="N170" s="156" t="n"/>
      <c r="O170" s="156" t="n"/>
    </row>
    <row r="171" ht="18.75" customHeight="1" s="153">
      <c r="A171" s="227" t="n"/>
      <c r="B171" s="228" t="n"/>
      <c r="C171" s="229" t="n"/>
      <c r="D171" s="229" t="n"/>
      <c r="E171" s="229" t="n"/>
      <c r="F171" s="230" t="n"/>
      <c r="G171" s="230" t="n"/>
      <c r="H171" s="231" t="n"/>
      <c r="I171" s="232" t="n"/>
      <c r="J171" s="232" t="n"/>
      <c r="K171" s="233" t="n"/>
      <c r="L171" s="233">
        <f>IF(K171&lt;&gt;"",(IF(H171="","",H171-(C171*COSTOS!$C$6+D171*COSTOS!$C$7+E171*COSTOS!$C$8+F171*COSTOS!$C$9+G171*COSTOS!$C$10)))+K171,IF(H171="","",H171-(C171*COSTOS!$C$6+D171*COSTOS!$C$7+E171*COSTOS!$C$8+F171*COSTOS!$C$9+G171*COSTOS!$C$10)))</f>
        <v/>
      </c>
      <c r="M171" s="156" t="n"/>
      <c r="N171" s="156" t="n"/>
      <c r="O171" s="156" t="n"/>
    </row>
    <row r="172" ht="18.75" customHeight="1" s="153">
      <c r="A172" s="237" t="n"/>
      <c r="B172" s="238" t="n"/>
      <c r="C172" s="239" t="n"/>
      <c r="D172" s="239" t="n"/>
      <c r="E172" s="239" t="n"/>
      <c r="F172" s="240" t="n"/>
      <c r="G172" s="240" t="n"/>
      <c r="H172" s="241" t="n"/>
      <c r="I172" s="242" t="n"/>
      <c r="J172" s="242" t="n"/>
      <c r="K172" s="233" t="n"/>
      <c r="L172" s="233">
        <f>IF(K172&lt;&gt;"",(IF(H172="","",H172-(C172*COSTOS!$C$6+D172*COSTOS!$C$7+E172*COSTOS!$C$8+F172*COSTOS!$C$9+G172*COSTOS!$C$10)))+K172,IF(H172="","",H172-(C172*COSTOS!$C$6+D172*COSTOS!$C$7+E172*COSTOS!$C$8+F172*COSTOS!$C$9+G172*COSTOS!$C$10)))</f>
        <v/>
      </c>
      <c r="M172" s="156" t="n"/>
      <c r="N172" s="156" t="n"/>
      <c r="O172" s="156" t="n"/>
    </row>
    <row r="173" ht="18.75" customHeight="1" s="153">
      <c r="A173" s="227" t="n"/>
      <c r="B173" s="228" t="n"/>
      <c r="C173" s="229" t="n"/>
      <c r="D173" s="229" t="n"/>
      <c r="E173" s="229" t="n"/>
      <c r="F173" s="230" t="n"/>
      <c r="G173" s="230" t="n"/>
      <c r="H173" s="231" t="n"/>
      <c r="I173" s="232" t="n"/>
      <c r="J173" s="232" t="n"/>
      <c r="K173" s="233" t="n"/>
      <c r="L173" s="233">
        <f>IF(K173&lt;&gt;"",(IF(H173="","",H173-(C173*COSTOS!$C$6+D173*COSTOS!$C$7+E173*COSTOS!$C$8+F173*COSTOS!$C$9+G173*COSTOS!$C$10)))+K173,IF(H173="","",H173-(C173*COSTOS!$C$6+D173*COSTOS!$C$7+E173*COSTOS!$C$8+F173*COSTOS!$C$9+G173*COSTOS!$C$10)))</f>
        <v/>
      </c>
      <c r="M173" s="156" t="n"/>
      <c r="N173" s="156" t="n"/>
      <c r="O173" s="156" t="n"/>
    </row>
    <row r="174" ht="18.75" customHeight="1" s="153">
      <c r="A174" s="237" t="n"/>
      <c r="B174" s="238" t="n"/>
      <c r="C174" s="239" t="n"/>
      <c r="D174" s="239" t="n"/>
      <c r="E174" s="239" t="n"/>
      <c r="F174" s="240" t="n"/>
      <c r="G174" s="240" t="n"/>
      <c r="H174" s="241" t="n"/>
      <c r="I174" s="242" t="n"/>
      <c r="J174" s="242" t="n"/>
      <c r="K174" s="233" t="n"/>
      <c r="L174" s="233">
        <f>IF(K174&lt;&gt;"",(IF(H174="","",H174-(C174*COSTOS!$C$6+D174*COSTOS!$C$7+E174*COSTOS!$C$8+F174*COSTOS!$C$9+G174*COSTOS!$C$10)))+K174,IF(H174="","",H174-(C174*COSTOS!$C$6+D174*COSTOS!$C$7+E174*COSTOS!$C$8+F174*COSTOS!$C$9+G174*COSTOS!$C$10)))</f>
        <v/>
      </c>
      <c r="M174" s="156" t="n"/>
      <c r="N174" s="156" t="n"/>
      <c r="O174" s="156" t="n"/>
    </row>
    <row r="175" ht="18.75" customHeight="1" s="153">
      <c r="A175" s="227" t="n"/>
      <c r="B175" s="228" t="n"/>
      <c r="C175" s="229" t="n"/>
      <c r="D175" s="229" t="n"/>
      <c r="E175" s="229" t="n"/>
      <c r="F175" s="230" t="n"/>
      <c r="G175" s="230" t="n"/>
      <c r="H175" s="231" t="n"/>
      <c r="I175" s="232" t="n"/>
      <c r="J175" s="232" t="n"/>
      <c r="K175" s="233" t="n"/>
      <c r="L175" s="233">
        <f>IF(K175&lt;&gt;"",(IF(H175="","",H175-(C175*COSTOS!$C$6+D175*COSTOS!$C$7+E175*COSTOS!$C$8+F175*COSTOS!$C$9+G175*COSTOS!$C$10)))+K175,IF(H175="","",H175-(C175*COSTOS!$C$6+D175*COSTOS!$C$7+E175*COSTOS!$C$8+F175*COSTOS!$C$9+G175*COSTOS!$C$10)))</f>
        <v/>
      </c>
      <c r="M175" s="156" t="n"/>
      <c r="N175" s="156" t="n"/>
      <c r="O175" s="156" t="n"/>
    </row>
    <row r="176" ht="18.75" customHeight="1" s="153">
      <c r="A176" s="237" t="n"/>
      <c r="B176" s="238" t="n"/>
      <c r="C176" s="239" t="n"/>
      <c r="D176" s="239" t="n"/>
      <c r="E176" s="239" t="n"/>
      <c r="F176" s="240" t="n"/>
      <c r="G176" s="240" t="n"/>
      <c r="H176" s="241" t="n"/>
      <c r="I176" s="242" t="n"/>
      <c r="J176" s="242" t="n"/>
      <c r="K176" s="233" t="n"/>
      <c r="L176" s="233">
        <f>IF(K176&lt;&gt;"",(IF(H176="","",H176-(C176*COSTOS!$C$6+D176*COSTOS!$C$7+E176*COSTOS!$C$8+F176*COSTOS!$C$9+G176*COSTOS!$C$10)))+K176,IF(H176="","",H176-(C176*COSTOS!$C$6+D176*COSTOS!$C$7+E176*COSTOS!$C$8+F176*COSTOS!$C$9+G176*COSTOS!$C$10)))</f>
        <v/>
      </c>
      <c r="M176" s="156" t="n"/>
      <c r="N176" s="156" t="n"/>
      <c r="O176" s="156" t="n"/>
    </row>
    <row r="177" ht="18.75" customHeight="1" s="153">
      <c r="A177" s="227" t="n"/>
      <c r="B177" s="228" t="n"/>
      <c r="C177" s="229" t="n"/>
      <c r="D177" s="229" t="n"/>
      <c r="E177" s="229" t="n"/>
      <c r="F177" s="230" t="n"/>
      <c r="G177" s="230" t="n"/>
      <c r="H177" s="231" t="n"/>
      <c r="I177" s="232" t="n"/>
      <c r="J177" s="232" t="n"/>
      <c r="K177" s="233" t="n"/>
      <c r="L177" s="233">
        <f>IF(K177&lt;&gt;"",(IF(H177="","",H177-(C177*COSTOS!$C$6+D177*COSTOS!$C$7+E177*COSTOS!$C$8+F177*COSTOS!$C$9+G177*COSTOS!$C$10)))+K177,IF(H177="","",H177-(C177*COSTOS!$C$6+D177*COSTOS!$C$7+E177*COSTOS!$C$8+F177*COSTOS!$C$9+G177*COSTOS!$C$10)))</f>
        <v/>
      </c>
      <c r="M177" s="156" t="n"/>
      <c r="N177" s="156" t="n"/>
      <c r="O177" s="156" t="n"/>
    </row>
    <row r="178" ht="18.75" customHeight="1" s="153">
      <c r="A178" s="237" t="n"/>
      <c r="B178" s="238" t="n"/>
      <c r="C178" s="239" t="n"/>
      <c r="D178" s="239" t="n"/>
      <c r="E178" s="239" t="n"/>
      <c r="F178" s="240" t="n"/>
      <c r="G178" s="240" t="n"/>
      <c r="H178" s="241" t="n"/>
      <c r="I178" s="242" t="n"/>
      <c r="J178" s="242" t="n"/>
      <c r="K178" s="233" t="n"/>
      <c r="L178" s="233">
        <f>IF(K178&lt;&gt;"",(IF(H178="","",H178-(C178*COSTOS!$C$6+D178*COSTOS!$C$7+E178*COSTOS!$C$8+F178*COSTOS!$C$9+G178*COSTOS!$C$10)))+K178,IF(H178="","",H178-(C178*COSTOS!$C$6+D178*COSTOS!$C$7+E178*COSTOS!$C$8+F178*COSTOS!$C$9+G178*COSTOS!$C$10)))</f>
        <v/>
      </c>
      <c r="M178" s="156" t="n"/>
      <c r="N178" s="156" t="n"/>
      <c r="O178" s="156" t="n"/>
    </row>
    <row r="179" ht="18.75" customHeight="1" s="153">
      <c r="A179" s="227" t="n"/>
      <c r="B179" s="228" t="n"/>
      <c r="C179" s="229" t="n"/>
      <c r="D179" s="229" t="n"/>
      <c r="E179" s="229" t="n"/>
      <c r="F179" s="230" t="n"/>
      <c r="G179" s="230" t="n"/>
      <c r="H179" s="231" t="n"/>
      <c r="I179" s="232" t="n"/>
      <c r="J179" s="232" t="n"/>
      <c r="K179" s="233" t="n"/>
      <c r="L179" s="233">
        <f>IF(K179&lt;&gt;"",(IF(H179="","",H179-(C179*COSTOS!$C$6+D179*COSTOS!$C$7+E179*COSTOS!$C$8+F179*COSTOS!$C$9+G179*COSTOS!$C$10)))+K179,IF(H179="","",H179-(C179*COSTOS!$C$6+D179*COSTOS!$C$7+E179*COSTOS!$C$8+F179*COSTOS!$C$9+G179*COSTOS!$C$10)))</f>
        <v/>
      </c>
      <c r="M179" s="156" t="n"/>
      <c r="N179" s="156" t="n"/>
      <c r="O179" s="156" t="n"/>
    </row>
    <row r="180" ht="18.75" customHeight="1" s="153">
      <c r="A180" s="237" t="n"/>
      <c r="B180" s="238" t="n"/>
      <c r="C180" s="239" t="n"/>
      <c r="D180" s="239" t="n"/>
      <c r="E180" s="239" t="n"/>
      <c r="F180" s="240" t="n"/>
      <c r="G180" s="240" t="n"/>
      <c r="H180" s="241" t="n"/>
      <c r="I180" s="242" t="n"/>
      <c r="J180" s="242" t="n"/>
      <c r="K180" s="233" t="n"/>
      <c r="L180" s="233">
        <f>IF(K180&lt;&gt;"",(IF(H180="","",H180-(C180*COSTOS!$C$6+D180*COSTOS!$C$7+E180*COSTOS!$C$8+F180*COSTOS!$C$9+G180*COSTOS!$C$10)))+K180,IF(H180="","",H180-(C180*COSTOS!$C$6+D180*COSTOS!$C$7+E180*COSTOS!$C$8+F180*COSTOS!$C$9+G180*COSTOS!$C$10)))</f>
        <v/>
      </c>
      <c r="M180" s="156" t="n"/>
      <c r="N180" s="156" t="n"/>
      <c r="O180" s="156" t="n"/>
    </row>
    <row r="181" ht="18.75" customHeight="1" s="153">
      <c r="A181" s="227" t="n"/>
      <c r="B181" s="228" t="n"/>
      <c r="C181" s="229" t="n"/>
      <c r="D181" s="229" t="n"/>
      <c r="E181" s="229" t="n"/>
      <c r="F181" s="230" t="n"/>
      <c r="G181" s="230" t="n"/>
      <c r="H181" s="231" t="n"/>
      <c r="I181" s="232" t="n"/>
      <c r="J181" s="232" t="n"/>
      <c r="K181" s="233" t="n"/>
      <c r="L181" s="233">
        <f>IF(K181&lt;&gt;"",(IF(H181="","",H181-(C181*COSTOS!$C$6+D181*COSTOS!$C$7+E181*COSTOS!$C$8+F181*COSTOS!$C$9+G181*COSTOS!$C$10)))+K181,IF(H181="","",H181-(C181*COSTOS!$C$6+D181*COSTOS!$C$7+E181*COSTOS!$C$8+F181*COSTOS!$C$9+G181*COSTOS!$C$10)))</f>
        <v/>
      </c>
      <c r="M181" s="156" t="n"/>
      <c r="N181" s="156" t="n"/>
      <c r="O181" s="156" t="n"/>
    </row>
    <row r="182" ht="18.75" customHeight="1" s="153">
      <c r="A182" s="237" t="n"/>
      <c r="B182" s="238" t="n"/>
      <c r="C182" s="239" t="n"/>
      <c r="D182" s="239" t="n"/>
      <c r="E182" s="239" t="n"/>
      <c r="F182" s="240" t="n"/>
      <c r="G182" s="240" t="n"/>
      <c r="H182" s="241" t="n"/>
      <c r="I182" s="242" t="n"/>
      <c r="J182" s="242" t="n"/>
      <c r="K182" s="233" t="n"/>
      <c r="L182" s="233">
        <f>IF(K182&lt;&gt;"",(IF(H182="","",H182-(C182*COSTOS!$C$6+D182*COSTOS!$C$7+E182*COSTOS!$C$8+F182*COSTOS!$C$9+G182*COSTOS!$C$10)))+K182,IF(H182="","",H182-(C182*COSTOS!$C$6+D182*COSTOS!$C$7+E182*COSTOS!$C$8+F182*COSTOS!$C$9+G182*COSTOS!$C$10)))</f>
        <v/>
      </c>
      <c r="M182" s="156" t="n"/>
      <c r="N182" s="156" t="n"/>
      <c r="O182" s="156" t="n"/>
    </row>
    <row r="183" ht="18.75" customHeight="1" s="153">
      <c r="A183" s="227" t="n"/>
      <c r="B183" s="228" t="n"/>
      <c r="C183" s="229" t="n"/>
      <c r="D183" s="229" t="n"/>
      <c r="E183" s="229" t="n"/>
      <c r="F183" s="230" t="n"/>
      <c r="G183" s="230" t="n"/>
      <c r="H183" s="231" t="n"/>
      <c r="I183" s="232" t="n"/>
      <c r="J183" s="232" t="n"/>
      <c r="K183" s="233" t="n"/>
      <c r="L183" s="233">
        <f>IF(K183&lt;&gt;"",(IF(H183="","",H183-(C183*COSTOS!$C$6+D183*COSTOS!$C$7+E183*COSTOS!$C$8+F183*COSTOS!$C$9+G183*COSTOS!$C$10)))+K183,IF(H183="","",H183-(C183*COSTOS!$C$6+D183*COSTOS!$C$7+E183*COSTOS!$C$8+F183*COSTOS!$C$9+G183*COSTOS!$C$10)))</f>
        <v/>
      </c>
      <c r="M183" s="156" t="n"/>
      <c r="N183" s="156" t="n"/>
      <c r="O183" s="156" t="n"/>
    </row>
    <row r="184" ht="18.75" customHeight="1" s="153">
      <c r="A184" s="237" t="n"/>
      <c r="B184" s="238" t="n"/>
      <c r="C184" s="239" t="n"/>
      <c r="D184" s="239" t="n"/>
      <c r="E184" s="239" t="n"/>
      <c r="F184" s="240" t="n"/>
      <c r="G184" s="240" t="n"/>
      <c r="H184" s="241" t="n"/>
      <c r="I184" s="242" t="n"/>
      <c r="J184" s="242" t="n"/>
      <c r="K184" s="233" t="n"/>
      <c r="L184" s="233">
        <f>IF(K184&lt;&gt;"",(IF(H184="","",H184-(C184*COSTOS!$C$6+D184*COSTOS!$C$7+E184*COSTOS!$C$8+F184*COSTOS!$C$9+G184*COSTOS!$C$10)))+K184,IF(H184="","",H184-(C184*COSTOS!$C$6+D184*COSTOS!$C$7+E184*COSTOS!$C$8+F184*COSTOS!$C$9+G184*COSTOS!$C$10)))</f>
        <v/>
      </c>
      <c r="M184" s="156" t="n"/>
      <c r="N184" s="156" t="n"/>
      <c r="O184" s="156" t="n"/>
    </row>
    <row r="185" ht="18.75" customHeight="1" s="153">
      <c r="A185" s="227" t="n"/>
      <c r="B185" s="228" t="n"/>
      <c r="C185" s="229" t="n"/>
      <c r="D185" s="229" t="n"/>
      <c r="E185" s="229" t="n"/>
      <c r="F185" s="230" t="n"/>
      <c r="G185" s="230" t="n"/>
      <c r="H185" s="231" t="n"/>
      <c r="I185" s="232" t="n"/>
      <c r="J185" s="232" t="n"/>
      <c r="K185" s="233" t="n"/>
      <c r="L185" s="233">
        <f>IF(K185&lt;&gt;"",(IF(H185="","",H185-(C185*COSTOS!$C$6+D185*COSTOS!$C$7+E185*COSTOS!$C$8+F185*COSTOS!$C$9+G185*COSTOS!$C$10)))+K185,IF(H185="","",H185-(C185*COSTOS!$C$6+D185*COSTOS!$C$7+E185*COSTOS!$C$8+F185*COSTOS!$C$9+G185*COSTOS!$C$10)))</f>
        <v/>
      </c>
      <c r="M185" s="156" t="n"/>
      <c r="N185" s="156" t="n"/>
      <c r="O185" s="156" t="n"/>
    </row>
    <row r="186" ht="18.75" customHeight="1" s="153">
      <c r="A186" s="237" t="n"/>
      <c r="B186" s="238" t="n"/>
      <c r="C186" s="239" t="n"/>
      <c r="D186" s="239" t="n"/>
      <c r="E186" s="239" t="n"/>
      <c r="F186" s="240" t="n"/>
      <c r="G186" s="240" t="n"/>
      <c r="H186" s="241" t="n"/>
      <c r="I186" s="242" t="n"/>
      <c r="J186" s="242" t="n"/>
      <c r="K186" s="233" t="n"/>
      <c r="L186" s="233">
        <f>IF(K186&lt;&gt;"",(IF(H186="","",H186-(C186*COSTOS!$C$6+D186*COSTOS!$C$7+E186*COSTOS!$C$8+F186*COSTOS!$C$9+G186*COSTOS!$C$10)))+K186,IF(H186="","",H186-(C186*COSTOS!$C$6+D186*COSTOS!$C$7+E186*COSTOS!$C$8+F186*COSTOS!$C$9+G186*COSTOS!$C$10)))</f>
        <v/>
      </c>
      <c r="M186" s="156" t="n"/>
      <c r="N186" s="156" t="n"/>
      <c r="O186" s="156" t="n"/>
    </row>
    <row r="187" ht="18.75" customHeight="1" s="153">
      <c r="A187" s="227" t="n"/>
      <c r="B187" s="228" t="n"/>
      <c r="C187" s="229" t="n"/>
      <c r="D187" s="229" t="n"/>
      <c r="E187" s="229" t="n"/>
      <c r="F187" s="230" t="n"/>
      <c r="G187" s="230" t="n"/>
      <c r="H187" s="231" t="n"/>
      <c r="I187" s="232" t="n"/>
      <c r="J187" s="232" t="n"/>
      <c r="K187" s="233" t="n"/>
      <c r="L187" s="233">
        <f>IF(K187&lt;&gt;"",(IF(H187="","",H187-(C187*COSTOS!$C$6+D187*COSTOS!$C$7+E187*COSTOS!$C$8+F187*COSTOS!$C$9+G187*COSTOS!$C$10)))+K187,IF(H187="","",H187-(C187*COSTOS!$C$6+D187*COSTOS!$C$7+E187*COSTOS!$C$8+F187*COSTOS!$C$9+G187*COSTOS!$C$10)))</f>
        <v/>
      </c>
      <c r="M187" s="156" t="n"/>
      <c r="N187" s="156" t="n"/>
      <c r="O187" s="156" t="n"/>
    </row>
    <row r="188" ht="18.75" customHeight="1" s="153">
      <c r="A188" s="237" t="n"/>
      <c r="B188" s="238" t="n"/>
      <c r="C188" s="239" t="n"/>
      <c r="D188" s="239" t="n"/>
      <c r="E188" s="239" t="n"/>
      <c r="F188" s="240" t="n"/>
      <c r="G188" s="240" t="n"/>
      <c r="H188" s="241" t="n"/>
      <c r="I188" s="242" t="n"/>
      <c r="J188" s="242" t="n"/>
      <c r="K188" s="233" t="n"/>
      <c r="L188" s="233">
        <f>IF(K188&lt;&gt;"",(IF(H188="","",H188-(C188*COSTOS!$C$6+D188*COSTOS!$C$7+E188*COSTOS!$C$8+F188*COSTOS!$C$9+G188*COSTOS!$C$10)))+K188,IF(H188="","",H188-(C188*COSTOS!$C$6+D188*COSTOS!$C$7+E188*COSTOS!$C$8+F188*COSTOS!$C$9+G188*COSTOS!$C$10)))</f>
        <v/>
      </c>
      <c r="M188" s="156" t="n"/>
      <c r="N188" s="156" t="n"/>
      <c r="O188" s="156" t="n"/>
    </row>
    <row r="189" ht="18.75" customHeight="1" s="153">
      <c r="A189" s="227" t="n"/>
      <c r="B189" s="228" t="n"/>
      <c r="C189" s="229" t="n"/>
      <c r="D189" s="229" t="n"/>
      <c r="E189" s="229" t="n"/>
      <c r="F189" s="230" t="n"/>
      <c r="G189" s="230" t="n"/>
      <c r="H189" s="231" t="n"/>
      <c r="I189" s="232" t="n"/>
      <c r="J189" s="232" t="n"/>
      <c r="K189" s="233" t="n"/>
      <c r="L189" s="233">
        <f>IF(K189&lt;&gt;"",(IF(H189="","",H189-(C189*COSTOS!$C$6+D189*COSTOS!$C$7+E189*COSTOS!$C$8+F189*COSTOS!$C$9+G189*COSTOS!$C$10)))+K189,IF(H189="","",H189-(C189*COSTOS!$C$6+D189*COSTOS!$C$7+E189*COSTOS!$C$8+F189*COSTOS!$C$9+G189*COSTOS!$C$10)))</f>
        <v/>
      </c>
      <c r="M189" s="156" t="n"/>
      <c r="N189" s="156" t="n"/>
      <c r="O189" s="156" t="n"/>
    </row>
    <row r="190" ht="18.75" customHeight="1" s="153">
      <c r="A190" s="237" t="n"/>
      <c r="B190" s="238" t="n"/>
      <c r="C190" s="239" t="n"/>
      <c r="D190" s="239" t="n"/>
      <c r="E190" s="239" t="n"/>
      <c r="F190" s="240" t="n"/>
      <c r="G190" s="240" t="n"/>
      <c r="H190" s="241" t="n"/>
      <c r="I190" s="242" t="n"/>
      <c r="J190" s="242" t="n"/>
      <c r="K190" s="233" t="n"/>
      <c r="L190" s="233">
        <f>IF(K190&lt;&gt;"",(IF(H190="","",H190-(C190*COSTOS!$C$6+D190*COSTOS!$C$7+E190*COSTOS!$C$8+F190*COSTOS!$C$9+G190*COSTOS!$C$10)))+K190,IF(H190="","",H190-(C190*COSTOS!$C$6+D190*COSTOS!$C$7+E190*COSTOS!$C$8+F190*COSTOS!$C$9+G190*COSTOS!$C$10)))</f>
        <v/>
      </c>
      <c r="M190" s="156" t="n"/>
      <c r="N190" s="156" t="n"/>
      <c r="O190" s="156" t="n"/>
    </row>
    <row r="191" ht="18.75" customHeight="1" s="153">
      <c r="A191" s="227" t="n"/>
      <c r="B191" s="228" t="n"/>
      <c r="C191" s="229" t="n"/>
      <c r="D191" s="229" t="n"/>
      <c r="E191" s="229" t="n"/>
      <c r="F191" s="230" t="n"/>
      <c r="G191" s="230" t="n"/>
      <c r="H191" s="231" t="n"/>
      <c r="I191" s="232" t="n"/>
      <c r="J191" s="232" t="n"/>
      <c r="K191" s="233" t="n"/>
      <c r="L191" s="233">
        <f>IF(K191&lt;&gt;"",(IF(H191="","",H191-(C191*COSTOS!$C$6+D191*COSTOS!$C$7+E191*COSTOS!$C$8+F191*COSTOS!$C$9+G191*COSTOS!$C$10)))+K191,IF(H191="","",H191-(C191*COSTOS!$C$6+D191*COSTOS!$C$7+E191*COSTOS!$C$8+F191*COSTOS!$C$9+G191*COSTOS!$C$10)))</f>
        <v/>
      </c>
      <c r="M191" s="156" t="n"/>
      <c r="N191" s="156" t="n"/>
      <c r="O191" s="156" t="n"/>
    </row>
    <row r="192" ht="18.75" customHeight="1" s="153">
      <c r="A192" s="237" t="n"/>
      <c r="B192" s="238" t="n"/>
      <c r="C192" s="239" t="n"/>
      <c r="D192" s="239" t="n"/>
      <c r="E192" s="239" t="n"/>
      <c r="F192" s="240" t="n"/>
      <c r="G192" s="240" t="n"/>
      <c r="H192" s="241" t="n"/>
      <c r="I192" s="242" t="n"/>
      <c r="J192" s="242" t="n"/>
      <c r="K192" s="233" t="n"/>
      <c r="L192" s="233">
        <f>IF(K192&lt;&gt;"",(IF(H192="","",H192-(C192*COSTOS!$C$6+D192*COSTOS!$C$7+E192*COSTOS!$C$8+F192*COSTOS!$C$9+G192*COSTOS!$C$10)))+K192,IF(H192="","",H192-(C192*COSTOS!$C$6+D192*COSTOS!$C$7+E192*COSTOS!$C$8+F192*COSTOS!$C$9+G192*COSTOS!$C$10)))</f>
        <v/>
      </c>
      <c r="M192" s="156" t="n"/>
      <c r="N192" s="156" t="n"/>
      <c r="O192" s="156" t="n"/>
    </row>
    <row r="193" ht="18.75" customHeight="1" s="153">
      <c r="A193" s="227" t="n"/>
      <c r="B193" s="228" t="n"/>
      <c r="C193" s="229" t="n"/>
      <c r="D193" s="229" t="n"/>
      <c r="E193" s="229" t="n"/>
      <c r="F193" s="230" t="n"/>
      <c r="G193" s="230" t="n"/>
      <c r="H193" s="231" t="n"/>
      <c r="I193" s="232" t="n"/>
      <c r="J193" s="232" t="n"/>
      <c r="K193" s="233" t="n"/>
      <c r="L193" s="233">
        <f>IF(K193&lt;&gt;"",(IF(H193="","",H193-(C193*COSTOS!$C$6+D193*COSTOS!$C$7+E193*COSTOS!$C$8+F193*COSTOS!$C$9+G193*COSTOS!$C$10)))+K193,IF(H193="","",H193-(C193*COSTOS!$C$6+D193*COSTOS!$C$7+E193*COSTOS!$C$8+F193*COSTOS!$C$9+G193*COSTOS!$C$10)))</f>
        <v/>
      </c>
      <c r="M193" s="156" t="n"/>
      <c r="N193" s="156" t="n"/>
      <c r="O193" s="156" t="n"/>
    </row>
    <row r="194" ht="18.75" customHeight="1" s="153">
      <c r="A194" s="237" t="n"/>
      <c r="B194" s="238" t="n"/>
      <c r="C194" s="239" t="n"/>
      <c r="D194" s="239" t="n"/>
      <c r="E194" s="239" t="n"/>
      <c r="F194" s="240" t="n"/>
      <c r="G194" s="240" t="n"/>
      <c r="H194" s="241" t="n"/>
      <c r="I194" s="242" t="n"/>
      <c r="J194" s="242" t="n"/>
      <c r="K194" s="233" t="n"/>
      <c r="L194" s="233">
        <f>IF(K194&lt;&gt;"",(IF(H194="","",H194-(C194*COSTOS!$C$6+D194*COSTOS!$C$7+E194*COSTOS!$C$8+F194*COSTOS!$C$9+G194*COSTOS!$C$10)))+K194,IF(H194="","",H194-(C194*COSTOS!$C$6+D194*COSTOS!$C$7+E194*COSTOS!$C$8+F194*COSTOS!$C$9+G194*COSTOS!$C$10)))</f>
        <v/>
      </c>
      <c r="M194" s="156" t="n"/>
      <c r="N194" s="156" t="n"/>
      <c r="O194" s="156" t="n"/>
    </row>
    <row r="195" ht="18.75" customHeight="1" s="153">
      <c r="A195" s="227" t="n"/>
      <c r="B195" s="228" t="n"/>
      <c r="C195" s="229" t="n"/>
      <c r="D195" s="229" t="n"/>
      <c r="E195" s="229" t="n"/>
      <c r="F195" s="230" t="n"/>
      <c r="G195" s="230" t="n"/>
      <c r="H195" s="231" t="n"/>
      <c r="I195" s="232" t="n"/>
      <c r="J195" s="232" t="n"/>
      <c r="K195" s="233" t="n"/>
      <c r="L195" s="233">
        <f>IF(K195&lt;&gt;"",(IF(H195="","",H195-(C195*COSTOS!$C$6+D195*COSTOS!$C$7+E195*COSTOS!$C$8+F195*COSTOS!$C$9+G195*COSTOS!$C$10)))+K195,IF(H195="","",H195-(C195*COSTOS!$C$6+D195*COSTOS!$C$7+E195*COSTOS!$C$8+F195*COSTOS!$C$9+G195*COSTOS!$C$10)))</f>
        <v/>
      </c>
      <c r="M195" s="156" t="n"/>
      <c r="N195" s="156" t="n"/>
      <c r="O195" s="156" t="n"/>
    </row>
    <row r="196" ht="18.75" customHeight="1" s="153">
      <c r="A196" s="237" t="n"/>
      <c r="B196" s="238" t="n"/>
      <c r="C196" s="239" t="n"/>
      <c r="D196" s="239" t="n"/>
      <c r="E196" s="239" t="n"/>
      <c r="F196" s="240" t="n"/>
      <c r="G196" s="240" t="n"/>
      <c r="H196" s="241" t="n"/>
      <c r="I196" s="242" t="n"/>
      <c r="J196" s="242" t="n"/>
      <c r="K196" s="233" t="n"/>
      <c r="L196" s="233">
        <f>IF(K196&lt;&gt;"",(IF(H196="","",H196-(C196*COSTOS!$C$6+D196*COSTOS!$C$7+E196*COSTOS!$C$8+F196*COSTOS!$C$9+G196*COSTOS!$C$10)))+K196,IF(H196="","",H196-(C196*COSTOS!$C$6+D196*COSTOS!$C$7+E196*COSTOS!$C$8+F196*COSTOS!$C$9+G196*COSTOS!$C$10)))</f>
        <v/>
      </c>
      <c r="M196" s="156" t="n"/>
      <c r="N196" s="156" t="n"/>
      <c r="O196" s="156" t="n"/>
    </row>
    <row r="197" ht="18.75" customHeight="1" s="153">
      <c r="A197" s="227" t="n"/>
      <c r="B197" s="228" t="n"/>
      <c r="C197" s="229" t="n"/>
      <c r="D197" s="229" t="n"/>
      <c r="E197" s="229" t="n"/>
      <c r="F197" s="230" t="n"/>
      <c r="G197" s="230" t="n"/>
      <c r="H197" s="231" t="n"/>
      <c r="I197" s="232" t="n"/>
      <c r="J197" s="232" t="n"/>
      <c r="K197" s="233" t="n"/>
      <c r="L197" s="233">
        <f>IF(K197&lt;&gt;"",(IF(H197="","",H197-(C197*COSTOS!$C$6+D197*COSTOS!$C$7+E197*COSTOS!$C$8+F197*COSTOS!$C$9+G197*COSTOS!$C$10)))+K197,IF(H197="","",H197-(C197*COSTOS!$C$6+D197*COSTOS!$C$7+E197*COSTOS!$C$8+F197*COSTOS!$C$9+G197*COSTOS!$C$10)))</f>
        <v/>
      </c>
      <c r="M197" s="156" t="n"/>
      <c r="N197" s="156" t="n"/>
      <c r="O197" s="156" t="n"/>
    </row>
    <row r="198" ht="18.75" customHeight="1" s="153">
      <c r="A198" s="237" t="n"/>
      <c r="B198" s="238" t="n"/>
      <c r="C198" s="239" t="n"/>
      <c r="D198" s="239" t="n"/>
      <c r="E198" s="239" t="n"/>
      <c r="F198" s="240" t="n"/>
      <c r="G198" s="240" t="n"/>
      <c r="H198" s="241" t="n"/>
      <c r="I198" s="242" t="n"/>
      <c r="J198" s="242" t="n"/>
      <c r="K198" s="233" t="n"/>
      <c r="L198" s="233">
        <f>IF(K198&lt;&gt;"",(IF(H198="","",H198-(C198*COSTOS!$C$6+D198*COSTOS!$C$7+E198*COSTOS!$C$8+F198*COSTOS!$C$9+G198*COSTOS!$C$10)))+K198,IF(H198="","",H198-(C198*COSTOS!$C$6+D198*COSTOS!$C$7+E198*COSTOS!$C$8+F198*COSTOS!$C$9+G198*COSTOS!$C$10)))</f>
        <v/>
      </c>
      <c r="M198" s="156" t="n"/>
      <c r="N198" s="156" t="n"/>
      <c r="O198" s="156" t="n"/>
    </row>
    <row r="199" ht="18.75" customHeight="1" s="153">
      <c r="A199" s="227" t="n"/>
      <c r="B199" s="228" t="n"/>
      <c r="C199" s="229" t="n"/>
      <c r="D199" s="229" t="n"/>
      <c r="E199" s="229" t="n"/>
      <c r="F199" s="230" t="n"/>
      <c r="G199" s="230" t="n"/>
      <c r="H199" s="231" t="n"/>
      <c r="I199" s="232" t="n"/>
      <c r="J199" s="232" t="n"/>
      <c r="K199" s="233" t="n"/>
      <c r="L199" s="233">
        <f>IF(K199&lt;&gt;"",(IF(H199="","",H199-(C199*COSTOS!$C$6+D199*COSTOS!$C$7+E199*COSTOS!$C$8+F199*COSTOS!$C$9+G199*COSTOS!$C$10)))+K199,IF(H199="","",H199-(C199*COSTOS!$C$6+D199*COSTOS!$C$7+E199*COSTOS!$C$8+F199*COSTOS!$C$9+G199*COSTOS!$C$10)))</f>
        <v/>
      </c>
      <c r="M199" s="156" t="n"/>
      <c r="N199" s="156" t="n"/>
      <c r="O199" s="156" t="n"/>
    </row>
    <row r="200" ht="18.75" customHeight="1" s="153">
      <c r="A200" s="237" t="n"/>
      <c r="B200" s="238" t="n"/>
      <c r="C200" s="239" t="n"/>
      <c r="D200" s="239" t="n"/>
      <c r="E200" s="239" t="n"/>
      <c r="F200" s="240" t="n"/>
      <c r="G200" s="240" t="n"/>
      <c r="H200" s="241" t="n"/>
      <c r="I200" s="242" t="n"/>
      <c r="J200" s="242" t="n"/>
      <c r="K200" s="233" t="n"/>
      <c r="L200" s="233">
        <f>IF(K200&lt;&gt;"",(IF(H200="","",H200-(C200*COSTOS!$C$6+D200*COSTOS!$C$7+E200*COSTOS!$C$8+F200*COSTOS!$C$9+G200*COSTOS!$C$10)))+K200,IF(H200="","",H200-(C200*COSTOS!$C$6+D200*COSTOS!$C$7+E200*COSTOS!$C$8+F200*COSTOS!$C$9+G200*COSTOS!$C$10)))</f>
        <v/>
      </c>
      <c r="M200" s="156" t="n"/>
      <c r="N200" s="156" t="n"/>
      <c r="O200" s="156" t="n"/>
    </row>
    <row r="201" ht="18.75" customHeight="1" s="153">
      <c r="A201" s="227" t="n"/>
      <c r="B201" s="228" t="n"/>
      <c r="C201" s="229" t="n"/>
      <c r="D201" s="229" t="n"/>
      <c r="E201" s="229" t="n"/>
      <c r="F201" s="230" t="n"/>
      <c r="G201" s="230" t="n"/>
      <c r="H201" s="231" t="n"/>
      <c r="I201" s="232" t="n"/>
      <c r="J201" s="232" t="n"/>
      <c r="K201" s="233" t="n"/>
      <c r="L201" s="233">
        <f>IF(K201&lt;&gt;"",(IF(H201="","",H201-(C201*COSTOS!$C$6+D201*COSTOS!$C$7+E201*COSTOS!$C$8+F201*COSTOS!$C$9+G201*COSTOS!$C$10)))+K201,IF(H201="","",H201-(C201*COSTOS!$C$6+D201*COSTOS!$C$7+E201*COSTOS!$C$8+F201*COSTOS!$C$9+G201*COSTOS!$C$10)))</f>
        <v/>
      </c>
      <c r="M201" s="156" t="n"/>
      <c r="N201" s="156" t="n"/>
      <c r="O201" s="156" t="n"/>
    </row>
    <row r="202" ht="18.75" customHeight="1" s="153">
      <c r="A202" s="237" t="n"/>
      <c r="B202" s="238" t="n"/>
      <c r="C202" s="239" t="n"/>
      <c r="D202" s="239" t="n"/>
      <c r="E202" s="239" t="n"/>
      <c r="F202" s="240" t="n"/>
      <c r="G202" s="240" t="n"/>
      <c r="H202" s="241" t="n"/>
      <c r="I202" s="242" t="n"/>
      <c r="J202" s="242" t="n"/>
      <c r="K202" s="233" t="n"/>
      <c r="L202" s="233">
        <f>IF(K202&lt;&gt;"",(IF(H202="","",H202-(C202*COSTOS!$C$6+D202*COSTOS!$C$7+E202*COSTOS!$C$8+F202*COSTOS!$C$9+G202*COSTOS!$C$10)))+K202,IF(H202="","",H202-(C202*COSTOS!$C$6+D202*COSTOS!$C$7+E202*COSTOS!$C$8+F202*COSTOS!$C$9+G202*COSTOS!$C$10)))</f>
        <v/>
      </c>
      <c r="M202" s="156" t="n"/>
      <c r="N202" s="156" t="n"/>
      <c r="O202" s="156" t="n"/>
    </row>
    <row r="203" ht="18.75" customHeight="1" s="153">
      <c r="A203" s="227" t="n"/>
      <c r="B203" s="228" t="n"/>
      <c r="C203" s="229" t="n"/>
      <c r="D203" s="229" t="n"/>
      <c r="E203" s="229" t="n"/>
      <c r="F203" s="230" t="n"/>
      <c r="G203" s="230" t="n"/>
      <c r="H203" s="231" t="n"/>
      <c r="I203" s="232" t="n"/>
      <c r="J203" s="232" t="n"/>
      <c r="K203" s="233" t="n"/>
      <c r="L203" s="233">
        <f>IF(K203&lt;&gt;"",(IF(H203="","",H203-(C203*COSTOS!$C$6+D203*COSTOS!$C$7+E203*COSTOS!$C$8+F203*COSTOS!$C$9+G203*COSTOS!$C$10)))+K203,IF(H203="","",H203-(C203*COSTOS!$C$6+D203*COSTOS!$C$7+E203*COSTOS!$C$8+F203*COSTOS!$C$9+G203*COSTOS!$C$10)))</f>
        <v/>
      </c>
      <c r="M203" s="156" t="n"/>
      <c r="N203" s="156" t="n"/>
      <c r="O203" s="156" t="n"/>
    </row>
    <row r="204" ht="18.75" customHeight="1" s="153">
      <c r="A204" s="237" t="n"/>
      <c r="B204" s="238" t="n"/>
      <c r="C204" s="239" t="n"/>
      <c r="D204" s="239" t="n"/>
      <c r="E204" s="239" t="n"/>
      <c r="F204" s="240" t="n"/>
      <c r="G204" s="240" t="n"/>
      <c r="H204" s="241" t="n"/>
      <c r="I204" s="242" t="n"/>
      <c r="J204" s="242" t="n"/>
      <c r="K204" s="233" t="n"/>
      <c r="L204" s="233">
        <f>IF(K204&lt;&gt;"",(IF(H204="","",H204-(C204*COSTOS!$C$6+D204*COSTOS!$C$7+E204*COSTOS!$C$8+F204*COSTOS!$C$9+G204*COSTOS!$C$10)))+K204,IF(H204="","",H204-(C204*COSTOS!$C$6+D204*COSTOS!$C$7+E204*COSTOS!$C$8+F204*COSTOS!$C$9+G204*COSTOS!$C$10)))</f>
        <v/>
      </c>
      <c r="M204" s="156" t="n"/>
      <c r="N204" s="156" t="n"/>
      <c r="O204" s="156" t="n"/>
    </row>
    <row r="205" ht="18.75" customHeight="1" s="153">
      <c r="A205" s="227" t="n"/>
      <c r="B205" s="228" t="n"/>
      <c r="C205" s="229" t="n"/>
      <c r="D205" s="229" t="n"/>
      <c r="E205" s="229" t="n"/>
      <c r="F205" s="230" t="n"/>
      <c r="G205" s="230" t="n"/>
      <c r="H205" s="231" t="n"/>
      <c r="I205" s="232" t="n"/>
      <c r="J205" s="232" t="n"/>
      <c r="K205" s="233" t="n"/>
      <c r="L205" s="233">
        <f>IF(K205&lt;&gt;"",(IF(H205="","",H205-(C205*COSTOS!$C$6+D205*COSTOS!$C$7+E205*COSTOS!$C$8+F205*COSTOS!$C$9+G205*COSTOS!$C$10)))+K205,IF(H205="","",H205-(C205*COSTOS!$C$6+D205*COSTOS!$C$7+E205*COSTOS!$C$8+F205*COSTOS!$C$9+G205*COSTOS!$C$10)))</f>
        <v/>
      </c>
      <c r="M205" s="156" t="n"/>
      <c r="N205" s="156" t="n"/>
      <c r="O205" s="156" t="n"/>
    </row>
    <row r="206" ht="18.75" customHeight="1" s="153">
      <c r="A206" s="237" t="n"/>
      <c r="B206" s="238" t="n"/>
      <c r="C206" s="239" t="n"/>
      <c r="D206" s="239" t="n"/>
      <c r="E206" s="239" t="n"/>
      <c r="F206" s="240" t="n"/>
      <c r="G206" s="240" t="n"/>
      <c r="H206" s="241" t="n"/>
      <c r="I206" s="242" t="n"/>
      <c r="J206" s="242" t="n"/>
      <c r="K206" s="233" t="n"/>
      <c r="L206" s="233">
        <f>IF(K206&lt;&gt;"",(IF(H206="","",H206-(C206*COSTOS!$C$6+D206*COSTOS!$C$7+E206*COSTOS!$C$8+F206*COSTOS!$C$9+G206*COSTOS!$C$10)))+K206,IF(H206="","",H206-(C206*COSTOS!$C$6+D206*COSTOS!$C$7+E206*COSTOS!$C$8+F206*COSTOS!$C$9+G206*COSTOS!$C$10)))</f>
        <v/>
      </c>
      <c r="M206" s="156" t="n"/>
      <c r="N206" s="156" t="n"/>
      <c r="O206" s="156" t="n"/>
    </row>
    <row r="207" ht="18.75" customHeight="1" s="153">
      <c r="A207" s="227" t="n"/>
      <c r="B207" s="228" t="n"/>
      <c r="C207" s="229" t="n"/>
      <c r="D207" s="229" t="n"/>
      <c r="E207" s="229" t="n"/>
      <c r="F207" s="230" t="n"/>
      <c r="G207" s="230" t="n"/>
      <c r="H207" s="231" t="n"/>
      <c r="I207" s="232" t="n"/>
      <c r="J207" s="232" t="n"/>
      <c r="K207" s="233" t="n"/>
      <c r="L207" s="233">
        <f>IF(K207&lt;&gt;"",(IF(H207="","",H207-(C207*COSTOS!$C$6+D207*COSTOS!$C$7+E207*COSTOS!$C$8+F207*COSTOS!$C$9+G207*COSTOS!$C$10)))+K207,IF(H207="","",H207-(C207*COSTOS!$C$6+D207*COSTOS!$C$7+E207*COSTOS!$C$8+F207*COSTOS!$C$9+G207*COSTOS!$C$10)))</f>
        <v/>
      </c>
      <c r="M207" s="156" t="n"/>
      <c r="N207" s="156" t="n"/>
      <c r="O207" s="156" t="n"/>
    </row>
    <row r="208" ht="18.75" customHeight="1" s="153">
      <c r="A208" s="237" t="n"/>
      <c r="B208" s="238" t="n"/>
      <c r="C208" s="239" t="n"/>
      <c r="D208" s="239" t="n"/>
      <c r="E208" s="239" t="n"/>
      <c r="F208" s="240" t="n"/>
      <c r="G208" s="240" t="n"/>
      <c r="H208" s="241" t="n"/>
      <c r="I208" s="242" t="n"/>
      <c r="J208" s="242" t="n"/>
      <c r="K208" s="233" t="n"/>
      <c r="L208" s="233">
        <f>IF(K208&lt;&gt;"",(IF(H208="","",H208-(C208*COSTOS!$C$6+D208*COSTOS!$C$7+E208*COSTOS!$C$8+F208*COSTOS!$C$9+G208*COSTOS!$C$10)))+K208,IF(H208="","",H208-(C208*COSTOS!$C$6+D208*COSTOS!$C$7+E208*COSTOS!$C$8+F208*COSTOS!$C$9+G208*COSTOS!$C$10)))</f>
        <v/>
      </c>
      <c r="M208" s="156" t="n"/>
      <c r="N208" s="156" t="n"/>
      <c r="O208" s="156" t="n"/>
    </row>
    <row r="209" ht="18.75" customHeight="1" s="153">
      <c r="A209" s="227" t="n"/>
      <c r="B209" s="228" t="n"/>
      <c r="C209" s="229" t="n"/>
      <c r="D209" s="229" t="n"/>
      <c r="E209" s="229" t="n"/>
      <c r="F209" s="230" t="n"/>
      <c r="G209" s="230" t="n"/>
      <c r="H209" s="231" t="n"/>
      <c r="I209" s="232" t="n"/>
      <c r="J209" s="232" t="n"/>
      <c r="K209" s="233" t="n"/>
      <c r="L209" s="233">
        <f>IF(K209&lt;&gt;"",(IF(H209="","",H209-(C209*COSTOS!$C$6+D209*COSTOS!$C$7+E209*COSTOS!$C$8+F209*COSTOS!$C$9+G209*COSTOS!$C$10)))+K209,IF(H209="","",H209-(C209*COSTOS!$C$6+D209*COSTOS!$C$7+E209*COSTOS!$C$8+F209*COSTOS!$C$9+G209*COSTOS!$C$10)))</f>
        <v/>
      </c>
      <c r="M209" s="156" t="n"/>
      <c r="N209" s="156" t="n"/>
      <c r="O209" s="156" t="n"/>
    </row>
    <row r="210" ht="18.75" customHeight="1" s="153">
      <c r="A210" s="237" t="n"/>
      <c r="B210" s="238" t="n"/>
      <c r="C210" s="239" t="n"/>
      <c r="D210" s="239" t="n"/>
      <c r="E210" s="239" t="n"/>
      <c r="F210" s="240" t="n"/>
      <c r="G210" s="240" t="n"/>
      <c r="H210" s="241" t="n"/>
      <c r="I210" s="242" t="n"/>
      <c r="J210" s="242" t="n"/>
      <c r="K210" s="233" t="n"/>
      <c r="L210" s="233">
        <f>IF(K210&lt;&gt;"",(IF(H210="","",H210-(C210*COSTOS!$C$6+D210*COSTOS!$C$7+E210*COSTOS!$C$8+F210*COSTOS!$C$9+G210*COSTOS!$C$10)))+K210,IF(H210="","",H210-(C210*COSTOS!$C$6+D210*COSTOS!$C$7+E210*COSTOS!$C$8+F210*COSTOS!$C$9+G210*COSTOS!$C$10)))</f>
        <v/>
      </c>
      <c r="M210" s="156" t="n"/>
      <c r="N210" s="156" t="n"/>
      <c r="O210" s="156" t="n"/>
    </row>
    <row r="211" ht="18.75" customHeight="1" s="153">
      <c r="A211" s="227" t="n"/>
      <c r="B211" s="228" t="n"/>
      <c r="C211" s="229" t="n"/>
      <c r="D211" s="229" t="n"/>
      <c r="E211" s="229" t="n"/>
      <c r="F211" s="230" t="n"/>
      <c r="G211" s="230" t="n"/>
      <c r="H211" s="231" t="n"/>
      <c r="I211" s="232" t="n"/>
      <c r="J211" s="232" t="n"/>
      <c r="K211" s="233" t="n"/>
      <c r="L211" s="233">
        <f>IF(K211&lt;&gt;"",(IF(H211="","",H211-(C211*COSTOS!$C$6+D211*COSTOS!$C$7+E211*COSTOS!$C$8+F211*COSTOS!$C$9+G211*COSTOS!$C$10)))+K211,IF(H211="","",H211-(C211*COSTOS!$C$6+D211*COSTOS!$C$7+E211*COSTOS!$C$8+F211*COSTOS!$C$9+G211*COSTOS!$C$10)))</f>
        <v/>
      </c>
      <c r="M211" s="156" t="n"/>
      <c r="N211" s="156" t="n"/>
      <c r="O211" s="156" t="n"/>
    </row>
    <row r="212" ht="18.75" customHeight="1" s="153">
      <c r="A212" s="237" t="n"/>
      <c r="B212" s="238" t="n"/>
      <c r="C212" s="239" t="n"/>
      <c r="D212" s="239" t="n"/>
      <c r="E212" s="239" t="n"/>
      <c r="F212" s="240" t="n"/>
      <c r="G212" s="240" t="n"/>
      <c r="H212" s="241" t="n"/>
      <c r="I212" s="242" t="n"/>
      <c r="J212" s="242" t="n"/>
      <c r="K212" s="233" t="n"/>
      <c r="L212" s="233">
        <f>IF(K212&lt;&gt;"",(IF(H212="","",H212-(C212*COSTOS!$C$6+D212*COSTOS!$C$7+E212*COSTOS!$C$8+F212*COSTOS!$C$9+G212*COSTOS!$C$10)))+K212,IF(H212="","",H212-(C212*COSTOS!$C$6+D212*COSTOS!$C$7+E212*COSTOS!$C$8+F212*COSTOS!$C$9+G212*COSTOS!$C$10)))</f>
        <v/>
      </c>
      <c r="M212" s="156" t="n"/>
      <c r="N212" s="156" t="n"/>
      <c r="O212" s="156" t="n"/>
    </row>
    <row r="213" ht="18.75" customHeight="1" s="153">
      <c r="A213" s="227" t="n"/>
      <c r="B213" s="228" t="n"/>
      <c r="C213" s="229" t="n"/>
      <c r="D213" s="229" t="n"/>
      <c r="E213" s="229" t="n"/>
      <c r="F213" s="230" t="n"/>
      <c r="G213" s="230" t="n"/>
      <c r="H213" s="231" t="n"/>
      <c r="I213" s="232" t="n"/>
      <c r="J213" s="232" t="n"/>
      <c r="K213" s="233" t="n"/>
      <c r="L213" s="233">
        <f>IF(K213&lt;&gt;"",(IF(H213="","",H213-(C213*COSTOS!$C$6+D213*COSTOS!$C$7+E213*COSTOS!$C$8+F213*COSTOS!$C$9+G213*COSTOS!$C$10)))+K213,IF(H213="","",H213-(C213*COSTOS!$C$6+D213*COSTOS!$C$7+E213*COSTOS!$C$8+F213*COSTOS!$C$9+G213*COSTOS!$C$10)))</f>
        <v/>
      </c>
      <c r="M213" s="156" t="n"/>
      <c r="N213" s="156" t="n"/>
      <c r="O213" s="156" t="n"/>
    </row>
    <row r="214" ht="18.75" customHeight="1" s="153">
      <c r="A214" s="237" t="n"/>
      <c r="B214" s="238" t="n"/>
      <c r="C214" s="239" t="n"/>
      <c r="D214" s="239" t="n"/>
      <c r="E214" s="239" t="n"/>
      <c r="F214" s="240" t="n"/>
      <c r="G214" s="240" t="n"/>
      <c r="H214" s="241" t="n"/>
      <c r="I214" s="242" t="n"/>
      <c r="J214" s="242" t="n"/>
      <c r="K214" s="233" t="n"/>
      <c r="L214" s="233">
        <f>IF(K214&lt;&gt;"",(IF(H214="","",H214-(C214*COSTOS!$C$6+D214*COSTOS!$C$7+E214*COSTOS!$C$8+F214*COSTOS!$C$9+G214*COSTOS!$C$10)))+K214,IF(H214="","",H214-(C214*COSTOS!$C$6+D214*COSTOS!$C$7+E214*COSTOS!$C$8+F214*COSTOS!$C$9+G214*COSTOS!$C$10)))</f>
        <v/>
      </c>
      <c r="M214" s="156" t="n"/>
      <c r="N214" s="156" t="n"/>
      <c r="O214" s="156" t="n"/>
    </row>
    <row r="215" ht="18.75" customHeight="1" s="153">
      <c r="A215" s="227" t="n"/>
      <c r="B215" s="228" t="n"/>
      <c r="C215" s="229" t="n"/>
      <c r="D215" s="229" t="n"/>
      <c r="E215" s="229" t="n"/>
      <c r="F215" s="230" t="n"/>
      <c r="G215" s="230" t="n"/>
      <c r="H215" s="231" t="n"/>
      <c r="I215" s="232" t="n"/>
      <c r="J215" s="232" t="n"/>
      <c r="K215" s="233" t="n"/>
      <c r="L215" s="233">
        <f>IF(K215&lt;&gt;"",(IF(H215="","",H215-(C215*COSTOS!$C$6+D215*COSTOS!$C$7+E215*COSTOS!$C$8+F215*COSTOS!$C$9+G215*COSTOS!$C$10)))+K215,IF(H215="","",H215-(C215*COSTOS!$C$6+D215*COSTOS!$C$7+E215*COSTOS!$C$8+F215*COSTOS!$C$9+G215*COSTOS!$C$10)))</f>
        <v/>
      </c>
      <c r="M215" s="156" t="n"/>
      <c r="N215" s="156" t="n"/>
      <c r="O215" s="156" t="n"/>
    </row>
    <row r="216" ht="18.75" customHeight="1" s="153">
      <c r="A216" s="237" t="n"/>
      <c r="B216" s="238" t="n"/>
      <c r="C216" s="239" t="n"/>
      <c r="D216" s="239" t="n"/>
      <c r="E216" s="239" t="n"/>
      <c r="F216" s="240" t="n"/>
      <c r="G216" s="240" t="n"/>
      <c r="H216" s="241" t="n"/>
      <c r="I216" s="242" t="n"/>
      <c r="J216" s="242" t="n"/>
      <c r="K216" s="233" t="n"/>
      <c r="L216" s="233">
        <f>IF(K216&lt;&gt;"",(IF(H216="","",H216-(C216*COSTOS!$C$6+D216*COSTOS!$C$7+E216*COSTOS!$C$8+F216*COSTOS!$C$9+G216*COSTOS!$C$10)))+K216,IF(H216="","",H216-(C216*COSTOS!$C$6+D216*COSTOS!$C$7+E216*COSTOS!$C$8+F216*COSTOS!$C$9+G216*COSTOS!$C$10)))</f>
        <v/>
      </c>
      <c r="M216" s="156" t="n"/>
      <c r="N216" s="156" t="n"/>
      <c r="O216" s="156" t="n"/>
    </row>
    <row r="217" ht="18.75" customHeight="1" s="153">
      <c r="A217" s="227" t="n"/>
      <c r="B217" s="228" t="n"/>
      <c r="C217" s="229" t="n"/>
      <c r="D217" s="229" t="n"/>
      <c r="E217" s="229" t="n"/>
      <c r="F217" s="230" t="n"/>
      <c r="G217" s="230" t="n"/>
      <c r="H217" s="231" t="n"/>
      <c r="I217" s="232" t="n"/>
      <c r="J217" s="232" t="n"/>
      <c r="K217" s="233" t="n"/>
      <c r="L217" s="233">
        <f>IF(K217&lt;&gt;"",(IF(H217="","",H217-(C217*COSTOS!$C$6+D217*COSTOS!$C$7+E217*COSTOS!$C$8+F217*COSTOS!$C$9+G217*COSTOS!$C$10)))+K217,IF(H217="","",H217-(C217*COSTOS!$C$6+D217*COSTOS!$C$7+E217*COSTOS!$C$8+F217*COSTOS!$C$9+G217*COSTOS!$C$10)))</f>
        <v/>
      </c>
      <c r="M217" s="156" t="n"/>
      <c r="N217" s="156" t="n"/>
      <c r="O217" s="156" t="n"/>
    </row>
    <row r="218" ht="18.75" customHeight="1" s="153">
      <c r="A218" s="237" t="n"/>
      <c r="B218" s="238" t="n"/>
      <c r="C218" s="239" t="n"/>
      <c r="D218" s="239" t="n"/>
      <c r="E218" s="239" t="n"/>
      <c r="F218" s="240" t="n"/>
      <c r="G218" s="240" t="n"/>
      <c r="H218" s="241" t="n"/>
      <c r="I218" s="242" t="n"/>
      <c r="J218" s="242" t="n"/>
      <c r="K218" s="233" t="n"/>
      <c r="L218" s="233">
        <f>IF(K218&lt;&gt;"",(IF(H218="","",H218-(C218*COSTOS!$C$6+D218*COSTOS!$C$7+E218*COSTOS!$C$8+F218*COSTOS!$C$9+G218*COSTOS!$C$10)))+K218,IF(H218="","",H218-(C218*COSTOS!$C$6+D218*COSTOS!$C$7+E218*COSTOS!$C$8+F218*COSTOS!$C$9+G218*COSTOS!$C$10)))</f>
        <v/>
      </c>
      <c r="M218" s="156" t="n"/>
      <c r="N218" s="156" t="n"/>
      <c r="O218" s="156" t="n"/>
    </row>
    <row r="219" ht="18.75" customHeight="1" s="153">
      <c r="A219" s="227" t="n"/>
      <c r="B219" s="228" t="n"/>
      <c r="C219" s="229" t="n"/>
      <c r="D219" s="229" t="n"/>
      <c r="E219" s="229" t="n"/>
      <c r="F219" s="230" t="n"/>
      <c r="G219" s="230" t="n"/>
      <c r="H219" s="231" t="n"/>
      <c r="I219" s="232" t="n"/>
      <c r="J219" s="232" t="n"/>
      <c r="K219" s="233" t="n"/>
      <c r="L219" s="233">
        <f>IF(K219&lt;&gt;"",(IF(H219="","",H219-(C219*COSTOS!$C$6+D219*COSTOS!$C$7+E219*COSTOS!$C$8+F219*COSTOS!$C$9+G219*COSTOS!$C$10)))+K219,IF(H219="","",H219-(C219*COSTOS!$C$6+D219*COSTOS!$C$7+E219*COSTOS!$C$8+F219*COSTOS!$C$9+G219*COSTOS!$C$10)))</f>
        <v/>
      </c>
      <c r="M219" s="156" t="n"/>
      <c r="N219" s="156" t="n"/>
      <c r="O219" s="156" t="n"/>
    </row>
    <row r="220" ht="18.75" customHeight="1" s="153">
      <c r="A220" s="237" t="n"/>
      <c r="B220" s="238" t="n"/>
      <c r="C220" s="239" t="n"/>
      <c r="D220" s="239" t="n"/>
      <c r="E220" s="239" t="n"/>
      <c r="F220" s="240" t="n"/>
      <c r="G220" s="240" t="n"/>
      <c r="H220" s="241" t="n"/>
      <c r="I220" s="242" t="n"/>
      <c r="J220" s="242" t="n"/>
      <c r="K220" s="233" t="n"/>
      <c r="L220" s="233">
        <f>IF(K220&lt;&gt;"",(IF(H220="","",H220-(C220*COSTOS!$C$6+D220*COSTOS!$C$7+E220*COSTOS!$C$8+F220*COSTOS!$C$9+G220*COSTOS!$C$10)))+K220,IF(H220="","",H220-(C220*COSTOS!$C$6+D220*COSTOS!$C$7+E220*COSTOS!$C$8+F220*COSTOS!$C$9+G220*COSTOS!$C$10)))</f>
        <v/>
      </c>
      <c r="M220" s="156" t="n"/>
      <c r="N220" s="156" t="n"/>
      <c r="O220" s="156" t="n"/>
    </row>
    <row r="221" ht="18.75" customHeight="1" s="153">
      <c r="A221" s="227" t="n"/>
      <c r="B221" s="228" t="n"/>
      <c r="C221" s="229" t="n"/>
      <c r="D221" s="229" t="n"/>
      <c r="E221" s="229" t="n"/>
      <c r="F221" s="230" t="n"/>
      <c r="G221" s="230" t="n"/>
      <c r="H221" s="231" t="n"/>
      <c r="I221" s="232" t="n"/>
      <c r="J221" s="232" t="n"/>
      <c r="K221" s="233" t="n"/>
      <c r="L221" s="233">
        <f>IF(K221&lt;&gt;"",(IF(H221="","",H221-(C221*COSTOS!$C$6+D221*COSTOS!$C$7+E221*COSTOS!$C$8+F221*COSTOS!$C$9+G221*COSTOS!$C$10)))+K221,IF(H221="","",H221-(C221*COSTOS!$C$6+D221*COSTOS!$C$7+E221*COSTOS!$C$8+F221*COSTOS!$C$9+G221*COSTOS!$C$10)))</f>
        <v/>
      </c>
      <c r="M221" s="156" t="n"/>
      <c r="N221" s="156" t="n"/>
      <c r="O221" s="156" t="n"/>
    </row>
    <row r="222" ht="18.75" customHeight="1" s="153">
      <c r="A222" s="237" t="n"/>
      <c r="B222" s="238" t="n"/>
      <c r="C222" s="239" t="n"/>
      <c r="D222" s="239" t="n"/>
      <c r="E222" s="239" t="n"/>
      <c r="F222" s="240" t="n"/>
      <c r="G222" s="240" t="n"/>
      <c r="H222" s="241" t="n"/>
      <c r="I222" s="242" t="n"/>
      <c r="J222" s="242" t="n"/>
      <c r="K222" s="233" t="n"/>
      <c r="L222" s="233">
        <f>IF(K222&lt;&gt;"",(IF(H222="","",H222-(C222*COSTOS!$C$6+D222*COSTOS!$C$7+E222*COSTOS!$C$8+F222*COSTOS!$C$9+G222*COSTOS!$C$10)))+K222,IF(H222="","",H222-(C222*COSTOS!$C$6+D222*COSTOS!$C$7+E222*COSTOS!$C$8+F222*COSTOS!$C$9+G222*COSTOS!$C$10)))</f>
        <v/>
      </c>
      <c r="M222" s="156" t="n"/>
      <c r="N222" s="156" t="n"/>
      <c r="O222" s="156" t="n"/>
    </row>
    <row r="223" ht="18.75" customHeight="1" s="153">
      <c r="A223" s="227" t="n"/>
      <c r="B223" s="228" t="n"/>
      <c r="C223" s="229" t="n"/>
      <c r="D223" s="229" t="n"/>
      <c r="E223" s="229" t="n"/>
      <c r="F223" s="230" t="n"/>
      <c r="G223" s="230" t="n"/>
      <c r="H223" s="231" t="n"/>
      <c r="I223" s="232" t="n"/>
      <c r="J223" s="232" t="n"/>
      <c r="K223" s="233" t="n"/>
      <c r="L223" s="233">
        <f>IF(K223&lt;&gt;"",(IF(H223="","",H223-(C223*COSTOS!$C$6+D223*COSTOS!$C$7+E223*COSTOS!$C$8+F223*COSTOS!$C$9+G223*COSTOS!$C$10)))+K223,IF(H223="","",H223-(C223*COSTOS!$C$6+D223*COSTOS!$C$7+E223*COSTOS!$C$8+F223*COSTOS!$C$9+G223*COSTOS!$C$10)))</f>
        <v/>
      </c>
      <c r="M223" s="156" t="n"/>
      <c r="N223" s="156" t="n"/>
      <c r="O223" s="156" t="n"/>
    </row>
    <row r="224" ht="18.75" customHeight="1" s="153">
      <c r="A224" s="237" t="n"/>
      <c r="B224" s="238" t="n"/>
      <c r="C224" s="239" t="n"/>
      <c r="D224" s="239" t="n"/>
      <c r="E224" s="239" t="n"/>
      <c r="F224" s="240" t="n"/>
      <c r="G224" s="240" t="n"/>
      <c r="H224" s="241" t="n"/>
      <c r="I224" s="242" t="n"/>
      <c r="J224" s="242" t="n"/>
      <c r="K224" s="233" t="n"/>
      <c r="L224" s="233">
        <f>IF(K224&lt;&gt;"",(IF(H224="","",H224-(C224*COSTOS!$C$6+D224*COSTOS!$C$7+E224*COSTOS!$C$8+F224*COSTOS!$C$9+G224*COSTOS!$C$10)))+K224,IF(H224="","",H224-(C224*COSTOS!$C$6+D224*COSTOS!$C$7+E224*COSTOS!$C$8+F224*COSTOS!$C$9+G224*COSTOS!$C$10)))</f>
        <v/>
      </c>
      <c r="M224" s="156" t="n"/>
      <c r="N224" s="156" t="n"/>
      <c r="O224" s="156" t="n"/>
    </row>
    <row r="225" ht="18.75" customHeight="1" s="153">
      <c r="A225" s="227" t="n"/>
      <c r="B225" s="228" t="n"/>
      <c r="C225" s="229" t="n"/>
      <c r="D225" s="229" t="n"/>
      <c r="E225" s="229" t="n"/>
      <c r="F225" s="230" t="n"/>
      <c r="G225" s="230" t="n"/>
      <c r="H225" s="231" t="n"/>
      <c r="I225" s="232" t="n"/>
      <c r="J225" s="232" t="n"/>
      <c r="K225" s="233" t="n"/>
      <c r="L225" s="233">
        <f>IF(K225&lt;&gt;"",(IF(H225="","",H225-(C225*COSTOS!$C$6+D225*COSTOS!$C$7+E225*COSTOS!$C$8+F225*COSTOS!$C$9+G225*COSTOS!$C$10)))+K225,IF(H225="","",H225-(C225*COSTOS!$C$6+D225*COSTOS!$C$7+E225*COSTOS!$C$8+F225*COSTOS!$C$9+G225*COSTOS!$C$10)))</f>
        <v/>
      </c>
      <c r="M225" s="156" t="n"/>
      <c r="N225" s="156" t="n"/>
      <c r="O225" s="156" t="n"/>
    </row>
    <row r="226" ht="18.75" customHeight="1" s="153">
      <c r="A226" s="237" t="n"/>
      <c r="B226" s="238" t="n"/>
      <c r="C226" s="239" t="n"/>
      <c r="D226" s="239" t="n"/>
      <c r="E226" s="239" t="n"/>
      <c r="F226" s="240" t="n"/>
      <c r="G226" s="240" t="n"/>
      <c r="H226" s="241" t="n"/>
      <c r="I226" s="242" t="n"/>
      <c r="J226" s="242" t="n"/>
      <c r="K226" s="233" t="n"/>
      <c r="L226" s="233">
        <f>IF(K226&lt;&gt;"",(IF(H226="","",H226-(C226*COSTOS!$C$6+D226*COSTOS!$C$7+E226*COSTOS!$C$8+F226*COSTOS!$C$9+G226*COSTOS!$C$10)))+K226,IF(H226="","",H226-(C226*COSTOS!$C$6+D226*COSTOS!$C$7+E226*COSTOS!$C$8+F226*COSTOS!$C$9+G226*COSTOS!$C$10)))</f>
        <v/>
      </c>
      <c r="M226" s="156" t="n"/>
      <c r="N226" s="156" t="n"/>
      <c r="O226" s="156" t="n"/>
    </row>
    <row r="227" ht="18.75" customHeight="1" s="153">
      <c r="A227" s="227" t="n"/>
      <c r="B227" s="228" t="n"/>
      <c r="C227" s="229" t="n"/>
      <c r="D227" s="229" t="n"/>
      <c r="E227" s="229" t="n"/>
      <c r="F227" s="230" t="n"/>
      <c r="G227" s="230" t="n"/>
      <c r="H227" s="231" t="n"/>
      <c r="I227" s="232" t="n"/>
      <c r="J227" s="232" t="n"/>
      <c r="K227" s="233" t="n"/>
      <c r="L227" s="233">
        <f>IF(K227&lt;&gt;"",(IF(H227="","",H227-(C227*COSTOS!$C$6+D227*COSTOS!$C$7+E227*COSTOS!$C$8+F227*COSTOS!$C$9+G227*COSTOS!$C$10)))+K227,IF(H227="","",H227-(C227*COSTOS!$C$6+D227*COSTOS!$C$7+E227*COSTOS!$C$8+F227*COSTOS!$C$9+G227*COSTOS!$C$10)))</f>
        <v/>
      </c>
      <c r="M227" s="156" t="n"/>
      <c r="N227" s="156" t="n"/>
      <c r="O227" s="156" t="n"/>
    </row>
    <row r="228" ht="18.75" customHeight="1" s="153">
      <c r="A228" s="237" t="n"/>
      <c r="B228" s="238" t="n"/>
      <c r="C228" s="239" t="n"/>
      <c r="D228" s="239" t="n"/>
      <c r="E228" s="239" t="n"/>
      <c r="F228" s="240" t="n"/>
      <c r="G228" s="240" t="n"/>
      <c r="H228" s="241" t="n"/>
      <c r="I228" s="242" t="n"/>
      <c r="J228" s="242" t="n"/>
      <c r="K228" s="233" t="n"/>
      <c r="L228" s="233">
        <f>IF(K228&lt;&gt;"",(IF(H228="","",H228-(C228*COSTOS!$C$6+D228*COSTOS!$C$7+E228*COSTOS!$C$8+F228*COSTOS!$C$9+G228*COSTOS!$C$10)))+K228,IF(H228="","",H228-(C228*COSTOS!$C$6+D228*COSTOS!$C$7+E228*COSTOS!$C$8+F228*COSTOS!$C$9+G228*COSTOS!$C$10)))</f>
        <v/>
      </c>
      <c r="M228" s="156" t="n"/>
      <c r="N228" s="156" t="n"/>
      <c r="O228" s="156" t="n"/>
    </row>
    <row r="229" ht="18.75" customHeight="1" s="153">
      <c r="A229" s="227" t="n"/>
      <c r="B229" s="228" t="n"/>
      <c r="C229" s="229" t="n"/>
      <c r="D229" s="229" t="n"/>
      <c r="E229" s="229" t="n"/>
      <c r="F229" s="230" t="n"/>
      <c r="G229" s="230" t="n"/>
      <c r="H229" s="231" t="n"/>
      <c r="I229" s="232" t="n"/>
      <c r="J229" s="232" t="n"/>
      <c r="K229" s="233" t="n"/>
      <c r="L229" s="233">
        <f>IF(K229&lt;&gt;"",(IF(H229="","",H229-(C229*COSTOS!$C$6+D229*COSTOS!$C$7+E229*COSTOS!$C$8+F229*COSTOS!$C$9+G229*COSTOS!$C$10)))+K229,IF(H229="","",H229-(C229*COSTOS!$C$6+D229*COSTOS!$C$7+E229*COSTOS!$C$8+F229*COSTOS!$C$9+G229*COSTOS!$C$10)))</f>
        <v/>
      </c>
      <c r="M229" s="156" t="n"/>
      <c r="N229" s="156" t="n"/>
      <c r="O229" s="156" t="n"/>
    </row>
    <row r="230" ht="18.75" customHeight="1" s="153">
      <c r="A230" s="237" t="n"/>
      <c r="B230" s="238" t="n"/>
      <c r="C230" s="239" t="n"/>
      <c r="D230" s="239" t="n"/>
      <c r="E230" s="239" t="n"/>
      <c r="F230" s="240" t="n"/>
      <c r="G230" s="240" t="n"/>
      <c r="H230" s="241" t="n"/>
      <c r="I230" s="242" t="n"/>
      <c r="J230" s="242" t="n"/>
      <c r="K230" s="233" t="n"/>
      <c r="L230" s="233">
        <f>IF(K230&lt;&gt;"",(IF(H230="","",H230-(C230*COSTOS!$C$6+D230*COSTOS!$C$7+E230*COSTOS!$C$8+F230*COSTOS!$C$9+G230*COSTOS!$C$10)))+K230,IF(H230="","",H230-(C230*COSTOS!$C$6+D230*COSTOS!$C$7+E230*COSTOS!$C$8+F230*COSTOS!$C$9+G230*COSTOS!$C$10)))</f>
        <v/>
      </c>
      <c r="M230" s="156" t="n"/>
      <c r="N230" s="156" t="n"/>
      <c r="O230" s="156" t="n"/>
    </row>
    <row r="231" ht="18.75" customHeight="1" s="153">
      <c r="A231" s="227" t="n"/>
      <c r="B231" s="228" t="n"/>
      <c r="C231" s="229" t="n"/>
      <c r="D231" s="229" t="n"/>
      <c r="E231" s="229" t="n"/>
      <c r="F231" s="230" t="n"/>
      <c r="G231" s="230" t="n"/>
      <c r="H231" s="231" t="n"/>
      <c r="I231" s="232" t="n"/>
      <c r="J231" s="232" t="n"/>
      <c r="K231" s="233" t="n"/>
      <c r="L231" s="233">
        <f>IF(K231&lt;&gt;"",(IF(H231="","",H231-(C231*COSTOS!$C$6+D231*COSTOS!$C$7+E231*COSTOS!$C$8+F231*COSTOS!$C$9+G231*COSTOS!$C$10)))+K231,IF(H231="","",H231-(C231*COSTOS!$C$6+D231*COSTOS!$C$7+E231*COSTOS!$C$8+F231*COSTOS!$C$9+G231*COSTOS!$C$10)))</f>
        <v/>
      </c>
      <c r="M231" s="156" t="n"/>
      <c r="N231" s="156" t="n"/>
      <c r="O231" s="156" t="n"/>
    </row>
    <row r="232" ht="18.75" customHeight="1" s="153">
      <c r="A232" s="237" t="n"/>
      <c r="B232" s="238" t="n"/>
      <c r="C232" s="239" t="n"/>
      <c r="D232" s="239" t="n"/>
      <c r="E232" s="239" t="n"/>
      <c r="F232" s="240" t="n"/>
      <c r="G232" s="240" t="n"/>
      <c r="H232" s="241" t="n"/>
      <c r="I232" s="242" t="n"/>
      <c r="J232" s="242" t="n"/>
      <c r="K232" s="233" t="n"/>
      <c r="L232" s="233">
        <f>IF(K232&lt;&gt;"",(IF(H232="","",H232-(C232*COSTOS!$C$6+D232*COSTOS!$C$7+E232*COSTOS!$C$8+F232*COSTOS!$C$9+G232*COSTOS!$C$10)))+K232,IF(H232="","",H232-(C232*COSTOS!$C$6+D232*COSTOS!$C$7+E232*COSTOS!$C$8+F232*COSTOS!$C$9+G232*COSTOS!$C$10)))</f>
        <v/>
      </c>
      <c r="M232" s="156" t="n"/>
      <c r="N232" s="156" t="n"/>
      <c r="O232" s="156" t="n"/>
    </row>
    <row r="233" ht="18.75" customHeight="1" s="153">
      <c r="A233" s="227" t="n"/>
      <c r="B233" s="228" t="n"/>
      <c r="C233" s="229" t="n"/>
      <c r="D233" s="229" t="n"/>
      <c r="E233" s="229" t="n"/>
      <c r="F233" s="230" t="n"/>
      <c r="G233" s="230" t="n"/>
      <c r="H233" s="231" t="n"/>
      <c r="I233" s="232" t="n"/>
      <c r="J233" s="232" t="n"/>
      <c r="K233" s="233" t="n"/>
      <c r="L233" s="233">
        <f>IF(K233&lt;&gt;"",(IF(H233="","",H233-(C233*COSTOS!$C$6+D233*COSTOS!$C$7+E233*COSTOS!$C$8+F233*COSTOS!$C$9+G233*COSTOS!$C$10)))+K233,IF(H233="","",H233-(C233*COSTOS!$C$6+D233*COSTOS!$C$7+E233*COSTOS!$C$8+F233*COSTOS!$C$9+G233*COSTOS!$C$10)))</f>
        <v/>
      </c>
      <c r="M233" s="156" t="n"/>
      <c r="N233" s="156" t="n"/>
      <c r="O233" s="156" t="n"/>
    </row>
    <row r="234" ht="18.75" customHeight="1" s="153">
      <c r="A234" s="237" t="n"/>
      <c r="B234" s="238" t="n"/>
      <c r="C234" s="239" t="n"/>
      <c r="D234" s="239" t="n"/>
      <c r="E234" s="239" t="n"/>
      <c r="F234" s="240" t="n"/>
      <c r="G234" s="240" t="n"/>
      <c r="H234" s="241" t="n"/>
      <c r="I234" s="242" t="n"/>
      <c r="J234" s="242" t="n"/>
      <c r="K234" s="233" t="n"/>
      <c r="L234" s="233">
        <f>IF(K234&lt;&gt;"",(IF(H234="","",H234-(C234*COSTOS!$C$6+D234*COSTOS!$C$7+E234*COSTOS!$C$8+F234*COSTOS!$C$9+G234*COSTOS!$C$10)))+K234,IF(H234="","",H234-(C234*COSTOS!$C$6+D234*COSTOS!$C$7+E234*COSTOS!$C$8+F234*COSTOS!$C$9+G234*COSTOS!$C$10)))</f>
        <v/>
      </c>
      <c r="M234" s="156" t="n"/>
      <c r="N234" s="156" t="n"/>
      <c r="O234" s="156" t="n"/>
    </row>
    <row r="235" ht="18.75" customHeight="1" s="153">
      <c r="A235" s="227" t="n"/>
      <c r="B235" s="228" t="n"/>
      <c r="C235" s="229" t="n"/>
      <c r="D235" s="229" t="n"/>
      <c r="E235" s="229" t="n"/>
      <c r="F235" s="230" t="n"/>
      <c r="G235" s="230" t="n"/>
      <c r="H235" s="231" t="n"/>
      <c r="I235" s="232" t="n"/>
      <c r="J235" s="232" t="n"/>
      <c r="K235" s="233" t="n"/>
      <c r="L235" s="233">
        <f>IF(K235&lt;&gt;"",(IF(H235="","",H235-(C235*COSTOS!$C$6+D235*COSTOS!$C$7+E235*COSTOS!$C$8+F235*COSTOS!$C$9+G235*COSTOS!$C$10)))+K235,IF(H235="","",H235-(C235*COSTOS!$C$6+D235*COSTOS!$C$7+E235*COSTOS!$C$8+F235*COSTOS!$C$9+G235*COSTOS!$C$10)))</f>
        <v/>
      </c>
      <c r="M235" s="156" t="n"/>
      <c r="N235" s="156" t="n"/>
      <c r="O235" s="156" t="n"/>
    </row>
    <row r="236" ht="18.75" customHeight="1" s="153">
      <c r="A236" s="237" t="n"/>
      <c r="B236" s="238" t="n"/>
      <c r="C236" s="239" t="n"/>
      <c r="D236" s="239" t="n"/>
      <c r="E236" s="239" t="n"/>
      <c r="F236" s="240" t="n"/>
      <c r="G236" s="240" t="n"/>
      <c r="H236" s="241" t="n"/>
      <c r="I236" s="242" t="n"/>
      <c r="J236" s="242" t="n"/>
      <c r="K236" s="233" t="n"/>
      <c r="L236" s="233">
        <f>IF(K236&lt;&gt;"",(IF(H236="","",H236-(C236*COSTOS!$C$6+D236*COSTOS!$C$7+E236*COSTOS!$C$8+F236*COSTOS!$C$9+G236*COSTOS!$C$10)))+K236,IF(H236="","",H236-(C236*COSTOS!$C$6+D236*COSTOS!$C$7+E236*COSTOS!$C$8+F236*COSTOS!$C$9+G236*COSTOS!$C$10)))</f>
        <v/>
      </c>
      <c r="M236" s="156" t="n"/>
      <c r="N236" s="156" t="n"/>
      <c r="O236" s="156" t="n"/>
    </row>
    <row r="237" ht="18.75" customHeight="1" s="153">
      <c r="A237" s="227" t="n"/>
      <c r="B237" s="228" t="n"/>
      <c r="C237" s="229" t="n"/>
      <c r="D237" s="229" t="n"/>
      <c r="E237" s="229" t="n"/>
      <c r="F237" s="230" t="n"/>
      <c r="G237" s="230" t="n"/>
      <c r="H237" s="231" t="n"/>
      <c r="I237" s="232" t="n"/>
      <c r="J237" s="232" t="n"/>
      <c r="K237" s="233" t="n"/>
      <c r="L237" s="233">
        <f>IF(K237&lt;&gt;"",(IF(H237="","",H237-(C237*COSTOS!$C$6+D237*COSTOS!$C$7+E237*COSTOS!$C$8+F237*COSTOS!$C$9+G237*COSTOS!$C$10)))+K237,IF(H237="","",H237-(C237*COSTOS!$C$6+D237*COSTOS!$C$7+E237*COSTOS!$C$8+F237*COSTOS!$C$9+G237*COSTOS!$C$10)))</f>
        <v/>
      </c>
      <c r="M237" s="156" t="n"/>
      <c r="N237" s="156" t="n"/>
      <c r="O237" s="156" t="n"/>
    </row>
    <row r="238" ht="18.75" customHeight="1" s="153">
      <c r="A238" s="237" t="n"/>
      <c r="B238" s="238" t="n"/>
      <c r="C238" s="239" t="n"/>
      <c r="D238" s="239" t="n"/>
      <c r="E238" s="239" t="n"/>
      <c r="F238" s="240" t="n"/>
      <c r="G238" s="240" t="n"/>
      <c r="H238" s="241" t="n"/>
      <c r="I238" s="242" t="n"/>
      <c r="J238" s="242" t="n"/>
      <c r="K238" s="233" t="n"/>
      <c r="L238" s="233">
        <f>IF(K238&lt;&gt;"",(IF(H238="","",H238-(C238*COSTOS!$C$6+D238*COSTOS!$C$7+E238*COSTOS!$C$8+F238*COSTOS!$C$9+G238*COSTOS!$C$10)))+K238,IF(H238="","",H238-(C238*COSTOS!$C$6+D238*COSTOS!$C$7+E238*COSTOS!$C$8+F238*COSTOS!$C$9+G238*COSTOS!$C$10)))</f>
        <v/>
      </c>
      <c r="M238" s="156" t="n"/>
      <c r="N238" s="156" t="n"/>
      <c r="O238" s="156" t="n"/>
    </row>
    <row r="239" ht="18.75" customHeight="1" s="153">
      <c r="A239" s="227" t="n"/>
      <c r="B239" s="228" t="n"/>
      <c r="C239" s="229" t="n"/>
      <c r="D239" s="229" t="n"/>
      <c r="E239" s="229" t="n"/>
      <c r="F239" s="230" t="n"/>
      <c r="G239" s="230" t="n"/>
      <c r="H239" s="231" t="n"/>
      <c r="I239" s="232" t="n"/>
      <c r="J239" s="232" t="n"/>
      <c r="K239" s="233" t="n"/>
      <c r="L239" s="233">
        <f>IF(K239&lt;&gt;"",(IF(H239="","",H239-(C239*COSTOS!$C$6+D239*COSTOS!$C$7+E239*COSTOS!$C$8+F239*COSTOS!$C$9+G239*COSTOS!$C$10)))+K239,IF(H239="","",H239-(C239*COSTOS!$C$6+D239*COSTOS!$C$7+E239*COSTOS!$C$8+F239*COSTOS!$C$9+G239*COSTOS!$C$10)))</f>
        <v/>
      </c>
      <c r="M239" s="156" t="n"/>
      <c r="N239" s="156" t="n"/>
      <c r="O239" s="156" t="n"/>
    </row>
    <row r="240" ht="18.75" customHeight="1" s="153">
      <c r="A240" s="237" t="n"/>
      <c r="B240" s="238" t="n"/>
      <c r="C240" s="239" t="n"/>
      <c r="D240" s="239" t="n"/>
      <c r="E240" s="239" t="n"/>
      <c r="F240" s="240" t="n"/>
      <c r="G240" s="240" t="n"/>
      <c r="H240" s="241" t="n"/>
      <c r="I240" s="242" t="n"/>
      <c r="J240" s="242" t="n"/>
      <c r="K240" s="233" t="n"/>
      <c r="L240" s="233">
        <f>IF(K240&lt;&gt;"",(IF(H240="","",H240-(C240*COSTOS!$C$6+D240*COSTOS!$C$7+E240*COSTOS!$C$8+F240*COSTOS!$C$9+G240*COSTOS!$C$10)))+K240,IF(H240="","",H240-(C240*COSTOS!$C$6+D240*COSTOS!$C$7+E240*COSTOS!$C$8+F240*COSTOS!$C$9+G240*COSTOS!$C$10)))</f>
        <v/>
      </c>
      <c r="M240" s="156" t="n"/>
      <c r="N240" s="156" t="n"/>
      <c r="O240" s="156" t="n"/>
    </row>
    <row r="241" ht="18.75" customHeight="1" s="153">
      <c r="A241" s="227" t="n"/>
      <c r="B241" s="228" t="n"/>
      <c r="C241" s="229" t="n"/>
      <c r="D241" s="229" t="n"/>
      <c r="E241" s="229" t="n"/>
      <c r="F241" s="230" t="n"/>
      <c r="G241" s="230" t="n"/>
      <c r="H241" s="231" t="n"/>
      <c r="I241" s="232" t="n"/>
      <c r="J241" s="232" t="n"/>
      <c r="K241" s="233" t="n"/>
      <c r="L241" s="233">
        <f>IF(K241&lt;&gt;"",(IF(H241="","",H241-(C241*COSTOS!$C$6+D241*COSTOS!$C$7+E241*COSTOS!$C$8+F241*COSTOS!$C$9+G241*COSTOS!$C$10)))+K241,IF(H241="","",H241-(C241*COSTOS!$C$6+D241*COSTOS!$C$7+E241*COSTOS!$C$8+F241*COSTOS!$C$9+G241*COSTOS!$C$10)))</f>
        <v/>
      </c>
      <c r="M241" s="156" t="n"/>
      <c r="N241" s="156" t="n"/>
      <c r="O241" s="156" t="n"/>
    </row>
    <row r="242" ht="18.75" customHeight="1" s="153">
      <c r="A242" s="237" t="n"/>
      <c r="B242" s="238" t="n"/>
      <c r="C242" s="239" t="n"/>
      <c r="D242" s="239" t="n"/>
      <c r="E242" s="239" t="n"/>
      <c r="F242" s="240" t="n"/>
      <c r="G242" s="240" t="n"/>
      <c r="H242" s="241" t="n"/>
      <c r="I242" s="242" t="n"/>
      <c r="J242" s="242" t="n"/>
      <c r="K242" s="233" t="n"/>
      <c r="L242" s="233">
        <f>IF(K242&lt;&gt;"",(IF(H242="","",H242-(C242*COSTOS!$C$6+D242*COSTOS!$C$7+E242*COSTOS!$C$8+F242*COSTOS!$C$9+G242*COSTOS!$C$10)))+K242,IF(H242="","",H242-(C242*COSTOS!$C$6+D242*COSTOS!$C$7+E242*COSTOS!$C$8+F242*COSTOS!$C$9+G242*COSTOS!$C$10)))</f>
        <v/>
      </c>
      <c r="M242" s="156" t="n"/>
      <c r="N242" s="156" t="n"/>
      <c r="O242" s="156" t="n"/>
    </row>
    <row r="243" ht="18.75" customHeight="1" s="153">
      <c r="A243" s="227" t="n"/>
      <c r="B243" s="228" t="n"/>
      <c r="C243" s="229" t="n"/>
      <c r="D243" s="229" t="n"/>
      <c r="E243" s="229" t="n"/>
      <c r="F243" s="230" t="n"/>
      <c r="G243" s="230" t="n"/>
      <c r="H243" s="231" t="n"/>
      <c r="I243" s="232" t="n"/>
      <c r="J243" s="232" t="n"/>
      <c r="K243" s="233" t="n"/>
      <c r="L243" s="233">
        <f>IF(K243&lt;&gt;"",(IF(H243="","",H243-(C243*COSTOS!$C$6+D243*COSTOS!$C$7+E243*COSTOS!$C$8+F243*COSTOS!$C$9+G243*COSTOS!$C$10)))+K243,IF(H243="","",H243-(C243*COSTOS!$C$6+D243*COSTOS!$C$7+E243*COSTOS!$C$8+F243*COSTOS!$C$9+G243*COSTOS!$C$10)))</f>
        <v/>
      </c>
      <c r="M243" s="156" t="n"/>
      <c r="N243" s="156" t="n"/>
      <c r="O243" s="156" t="n"/>
    </row>
    <row r="244" ht="18.75" customHeight="1" s="153">
      <c r="A244" s="237" t="n"/>
      <c r="B244" s="238" t="n"/>
      <c r="C244" s="239" t="n"/>
      <c r="D244" s="239" t="n"/>
      <c r="E244" s="239" t="n"/>
      <c r="F244" s="240" t="n"/>
      <c r="G244" s="240" t="n"/>
      <c r="H244" s="241" t="n"/>
      <c r="I244" s="242" t="n"/>
      <c r="J244" s="242" t="n"/>
      <c r="K244" s="233" t="n"/>
      <c r="L244" s="233">
        <f>IF(K244&lt;&gt;"",(IF(H244="","",H244-(C244*COSTOS!$C$6+D244*COSTOS!$C$7+E244*COSTOS!$C$8+F244*COSTOS!$C$9+G244*COSTOS!$C$10)))+K244,IF(H244="","",H244-(C244*COSTOS!$C$6+D244*COSTOS!$C$7+E244*COSTOS!$C$8+F244*COSTOS!$C$9+G244*COSTOS!$C$10)))</f>
        <v/>
      </c>
      <c r="M244" s="156" t="n"/>
      <c r="N244" s="156" t="n"/>
      <c r="O244" s="156" t="n"/>
    </row>
    <row r="245" ht="18.75" customHeight="1" s="153">
      <c r="A245" s="227" t="n"/>
      <c r="B245" s="228" t="n"/>
      <c r="C245" s="229" t="n"/>
      <c r="D245" s="229" t="n"/>
      <c r="E245" s="229" t="n"/>
      <c r="F245" s="230" t="n"/>
      <c r="G245" s="230" t="n"/>
      <c r="H245" s="231" t="n"/>
      <c r="I245" s="232" t="n"/>
      <c r="J245" s="232" t="n"/>
      <c r="K245" s="233" t="n"/>
      <c r="L245" s="233">
        <f>IF(K245&lt;&gt;"",(IF(H245="","",H245-(C245*COSTOS!$C$6+D245*COSTOS!$C$7+E245*COSTOS!$C$8+F245*COSTOS!$C$9+G245*COSTOS!$C$10)))+K245,IF(H245="","",H245-(C245*COSTOS!$C$6+D245*COSTOS!$C$7+E245*COSTOS!$C$8+F245*COSTOS!$C$9+G245*COSTOS!$C$10)))</f>
        <v/>
      </c>
      <c r="M245" s="156" t="n"/>
      <c r="N245" s="156" t="n"/>
      <c r="O245" s="156" t="n"/>
    </row>
    <row r="246" ht="18.75" customHeight="1" s="153">
      <c r="A246" s="237" t="n"/>
      <c r="B246" s="238" t="n"/>
      <c r="C246" s="239" t="n"/>
      <c r="D246" s="239" t="n"/>
      <c r="E246" s="239" t="n"/>
      <c r="F246" s="240" t="n"/>
      <c r="G246" s="240" t="n"/>
      <c r="H246" s="241" t="n"/>
      <c r="I246" s="242" t="n"/>
      <c r="J246" s="242" t="n"/>
      <c r="K246" s="233" t="n"/>
      <c r="L246" s="233">
        <f>IF(K246&lt;&gt;"",(IF(H246="","",H246-(C246*COSTOS!$C$6+D246*COSTOS!$C$7+E246*COSTOS!$C$8+F246*COSTOS!$C$9+G246*COSTOS!$C$10)))+K246,IF(H246="","",H246-(C246*COSTOS!$C$6+D246*COSTOS!$C$7+E246*COSTOS!$C$8+F246*COSTOS!$C$9+G246*COSTOS!$C$10)))</f>
        <v/>
      </c>
      <c r="M246" s="156" t="n"/>
      <c r="N246" s="156" t="n"/>
      <c r="O246" s="156" t="n"/>
    </row>
    <row r="247" ht="18.75" customHeight="1" s="153">
      <c r="A247" s="227" t="n"/>
      <c r="B247" s="228" t="n"/>
      <c r="C247" s="229" t="n"/>
      <c r="D247" s="229" t="n"/>
      <c r="E247" s="229" t="n"/>
      <c r="F247" s="230" t="n"/>
      <c r="G247" s="230" t="n"/>
      <c r="H247" s="231" t="n"/>
      <c r="I247" s="232" t="n"/>
      <c r="J247" s="232" t="n"/>
      <c r="K247" s="233" t="n"/>
      <c r="L247" s="233">
        <f>IF(K247&lt;&gt;"",(IF(H247="","",H247-(C247*COSTOS!$C$6+D247*COSTOS!$C$7+E247*COSTOS!$C$8+F247*COSTOS!$C$9+G247*COSTOS!$C$10)))+K247,IF(H247="","",H247-(C247*COSTOS!$C$6+D247*COSTOS!$C$7+E247*COSTOS!$C$8+F247*COSTOS!$C$9+G247*COSTOS!$C$10)))</f>
        <v/>
      </c>
      <c r="M247" s="156" t="n"/>
      <c r="N247" s="156" t="n"/>
      <c r="O247" s="156" t="n"/>
    </row>
    <row r="248" ht="18.75" customHeight="1" s="153">
      <c r="A248" s="237" t="n"/>
      <c r="B248" s="238" t="n"/>
      <c r="C248" s="239" t="n"/>
      <c r="D248" s="239" t="n"/>
      <c r="E248" s="239" t="n"/>
      <c r="F248" s="240" t="n"/>
      <c r="G248" s="240" t="n"/>
      <c r="H248" s="241" t="n"/>
      <c r="I248" s="242" t="n"/>
      <c r="J248" s="242" t="n"/>
      <c r="K248" s="233" t="n"/>
      <c r="L248" s="233">
        <f>IF(K248&lt;&gt;"",(IF(H248="","",H248-(C248*COSTOS!$C$6+D248*COSTOS!$C$7+E248*COSTOS!$C$8+F248*COSTOS!$C$9+G248*COSTOS!$C$10)))+K248,IF(H248="","",H248-(C248*COSTOS!$C$6+D248*COSTOS!$C$7+E248*COSTOS!$C$8+F248*COSTOS!$C$9+G248*COSTOS!$C$10)))</f>
        <v/>
      </c>
      <c r="M248" s="156" t="n"/>
      <c r="N248" s="156" t="n"/>
      <c r="O248" s="156" t="n"/>
    </row>
    <row r="249" ht="18.75" customHeight="1" s="153">
      <c r="A249" s="227" t="n"/>
      <c r="B249" s="228" t="n"/>
      <c r="C249" s="229" t="n"/>
      <c r="D249" s="229" t="n"/>
      <c r="E249" s="229" t="n"/>
      <c r="F249" s="230" t="n"/>
      <c r="G249" s="230" t="n"/>
      <c r="H249" s="231" t="n"/>
      <c r="I249" s="232" t="n"/>
      <c r="J249" s="232" t="n"/>
      <c r="K249" s="233" t="n"/>
      <c r="L249" s="233">
        <f>IF(K249&lt;&gt;"",(IF(H249="","",H249-(C249*COSTOS!$C$6+D249*COSTOS!$C$7+E249*COSTOS!$C$8+F249*COSTOS!$C$9+G249*COSTOS!$C$10)))+K249,IF(H249="","",H249-(C249*COSTOS!$C$6+D249*COSTOS!$C$7+E249*COSTOS!$C$8+F249*COSTOS!$C$9+G249*COSTOS!$C$10)))</f>
        <v/>
      </c>
      <c r="M249" s="156" t="n"/>
      <c r="N249" s="156" t="n"/>
      <c r="O249" s="156" t="n"/>
    </row>
    <row r="250" ht="18.75" customHeight="1" s="153">
      <c r="A250" s="237" t="n"/>
      <c r="B250" s="238" t="n"/>
      <c r="C250" s="239" t="n"/>
      <c r="D250" s="239" t="n"/>
      <c r="E250" s="239" t="n"/>
      <c r="F250" s="240" t="n"/>
      <c r="G250" s="240" t="n"/>
      <c r="H250" s="241" t="n"/>
      <c r="I250" s="242" t="n"/>
      <c r="J250" s="242" t="n"/>
      <c r="K250" s="233" t="n"/>
      <c r="L250" s="233">
        <f>IF(K250&lt;&gt;"",(IF(H250="","",H250-(C250*COSTOS!$C$6+D250*COSTOS!$C$7+E250*COSTOS!$C$8+F250*COSTOS!$C$9+G250*COSTOS!$C$10)))+K250,IF(H250="","",H250-(C250*COSTOS!$C$6+D250*COSTOS!$C$7+E250*COSTOS!$C$8+F250*COSTOS!$C$9+G250*COSTOS!$C$10)))</f>
        <v/>
      </c>
      <c r="M250" s="156" t="n"/>
      <c r="N250" s="156" t="n"/>
      <c r="O250" s="156" t="n"/>
    </row>
    <row r="251" ht="18.75" customHeight="1" s="153">
      <c r="A251" s="227" t="n"/>
      <c r="B251" s="228" t="n"/>
      <c r="C251" s="229" t="n"/>
      <c r="D251" s="229" t="n"/>
      <c r="E251" s="229" t="n"/>
      <c r="F251" s="230" t="n"/>
      <c r="G251" s="230" t="n"/>
      <c r="H251" s="231" t="n"/>
      <c r="I251" s="232" t="n"/>
      <c r="J251" s="232" t="n"/>
      <c r="K251" s="233" t="n"/>
      <c r="L251" s="233">
        <f>IF(K251&lt;&gt;"",(IF(H251="","",H251-(C251*COSTOS!$C$6+D251*COSTOS!$C$7+E251*COSTOS!$C$8+F251*COSTOS!$C$9+G251*COSTOS!$C$10)))+K251,IF(H251="","",H251-(C251*COSTOS!$C$6+D251*COSTOS!$C$7+E251*COSTOS!$C$8+F251*COSTOS!$C$9+G251*COSTOS!$C$10)))</f>
        <v/>
      </c>
      <c r="M251" s="156" t="n"/>
      <c r="N251" s="156" t="n"/>
      <c r="O251" s="156" t="n"/>
    </row>
    <row r="252" ht="18.75" customHeight="1" s="153">
      <c r="A252" s="237" t="n"/>
      <c r="B252" s="238" t="n"/>
      <c r="C252" s="239" t="n"/>
      <c r="D252" s="239" t="n"/>
      <c r="E252" s="239" t="n"/>
      <c r="F252" s="240" t="n"/>
      <c r="G252" s="240" t="n"/>
      <c r="H252" s="241" t="n"/>
      <c r="I252" s="242" t="n"/>
      <c r="J252" s="242" t="n"/>
      <c r="K252" s="233" t="n"/>
      <c r="L252" s="233">
        <f>IF(K252&lt;&gt;"",(IF(H252="","",H252-(C252*COSTOS!$C$6+D252*COSTOS!$C$7+E252*COSTOS!$C$8+F252*COSTOS!$C$9+G252*COSTOS!$C$10)))+K252,IF(H252="","",H252-(C252*COSTOS!$C$6+D252*COSTOS!$C$7+E252*COSTOS!$C$8+F252*COSTOS!$C$9+G252*COSTOS!$C$10)))</f>
        <v/>
      </c>
      <c r="M252" s="156" t="n"/>
      <c r="N252" s="156" t="n"/>
      <c r="O252" s="156" t="n"/>
    </row>
    <row r="253" ht="18.75" customHeight="1" s="153">
      <c r="A253" s="227" t="n"/>
      <c r="B253" s="228" t="n"/>
      <c r="C253" s="229" t="n"/>
      <c r="D253" s="229" t="n"/>
      <c r="E253" s="229" t="n"/>
      <c r="F253" s="230" t="n"/>
      <c r="G253" s="230" t="n"/>
      <c r="H253" s="231" t="n"/>
      <c r="I253" s="232" t="n"/>
      <c r="J253" s="232" t="n"/>
      <c r="K253" s="233" t="n"/>
      <c r="L253" s="233">
        <f>IF(K253&lt;&gt;"",(IF(H253="","",H253-(C253*COSTOS!$C$6+D253*COSTOS!$C$7+E253*COSTOS!$C$8+F253*COSTOS!$C$9+G253*COSTOS!$C$10)))+K253,IF(H253="","",H253-(C253*COSTOS!$C$6+D253*COSTOS!$C$7+E253*COSTOS!$C$8+F253*COSTOS!$C$9+G253*COSTOS!$C$10)))</f>
        <v/>
      </c>
      <c r="M253" s="156" t="n"/>
      <c r="N253" s="156" t="n"/>
      <c r="O253" s="156" t="n"/>
    </row>
    <row r="254" ht="18.75" customHeight="1" s="153">
      <c r="A254" s="237" t="n"/>
      <c r="B254" s="238" t="n"/>
      <c r="C254" s="239" t="n"/>
      <c r="D254" s="239" t="n"/>
      <c r="E254" s="239" t="n"/>
      <c r="F254" s="240" t="n"/>
      <c r="G254" s="240" t="n"/>
      <c r="H254" s="241" t="n"/>
      <c r="I254" s="242" t="n"/>
      <c r="J254" s="242" t="n"/>
      <c r="K254" s="233" t="n"/>
      <c r="L254" s="233">
        <f>IF(K254&lt;&gt;"",(IF(H254="","",H254-(C254*COSTOS!$C$6+D254*COSTOS!$C$7+E254*COSTOS!$C$8+F254*COSTOS!$C$9+G254*COSTOS!$C$10)))+K254,IF(H254="","",H254-(C254*COSTOS!$C$6+D254*COSTOS!$C$7+E254*COSTOS!$C$8+F254*COSTOS!$C$9+G254*COSTOS!$C$10)))</f>
        <v/>
      </c>
      <c r="M254" s="156" t="n"/>
      <c r="N254" s="156" t="n"/>
      <c r="O254" s="156" t="n"/>
    </row>
    <row r="255" ht="18.75" customHeight="1" s="153">
      <c r="A255" s="227" t="n"/>
      <c r="B255" s="228" t="n"/>
      <c r="C255" s="229" t="n"/>
      <c r="D255" s="229" t="n"/>
      <c r="E255" s="229" t="n"/>
      <c r="F255" s="230" t="n"/>
      <c r="G255" s="230" t="n"/>
      <c r="H255" s="231" t="n"/>
      <c r="I255" s="232" t="n"/>
      <c r="J255" s="232" t="n"/>
      <c r="K255" s="233" t="n"/>
      <c r="L255" s="233">
        <f>IF(K255&lt;&gt;"",(IF(H255="","",H255-(C255*COSTOS!$C$6+D255*COSTOS!$C$7+E255*COSTOS!$C$8+F255*COSTOS!$C$9+G255*COSTOS!$C$10)))+K255,IF(H255="","",H255-(C255*COSTOS!$C$6+D255*COSTOS!$C$7+E255*COSTOS!$C$8+F255*COSTOS!$C$9+G255*COSTOS!$C$10)))</f>
        <v/>
      </c>
      <c r="M255" s="156" t="n"/>
      <c r="N255" s="156" t="n"/>
      <c r="O255" s="156" t="n"/>
    </row>
    <row r="256" ht="18.75" customHeight="1" s="153">
      <c r="A256" s="237" t="n"/>
      <c r="B256" s="238" t="n"/>
      <c r="C256" s="239" t="n"/>
      <c r="D256" s="239" t="n"/>
      <c r="E256" s="239" t="n"/>
      <c r="F256" s="240" t="n"/>
      <c r="G256" s="240" t="n"/>
      <c r="H256" s="241" t="n"/>
      <c r="I256" s="242" t="n"/>
      <c r="J256" s="242" t="n"/>
      <c r="K256" s="233" t="n"/>
      <c r="L256" s="233">
        <f>IF(K256&lt;&gt;"",(IF(H256="","",H256-(C256*COSTOS!$C$6+D256*COSTOS!$C$7+E256*COSTOS!$C$8+F256*COSTOS!$C$9+G256*COSTOS!$C$10)))+K256,IF(H256="","",H256-(C256*COSTOS!$C$6+D256*COSTOS!$C$7+E256*COSTOS!$C$8+F256*COSTOS!$C$9+G256*COSTOS!$C$10)))</f>
        <v/>
      </c>
      <c r="M256" s="156" t="n"/>
      <c r="N256" s="156" t="n"/>
      <c r="O256" s="156" t="n"/>
    </row>
    <row r="257" ht="18.75" customHeight="1" s="153">
      <c r="A257" s="227" t="n"/>
      <c r="B257" s="228" t="n"/>
      <c r="C257" s="229" t="n"/>
      <c r="D257" s="229" t="n"/>
      <c r="E257" s="229" t="n"/>
      <c r="F257" s="230" t="n"/>
      <c r="G257" s="230" t="n"/>
      <c r="H257" s="231" t="n"/>
      <c r="I257" s="232" t="n"/>
      <c r="J257" s="232" t="n"/>
      <c r="K257" s="233" t="n"/>
      <c r="L257" s="233">
        <f>IF(K257&lt;&gt;"",(IF(H257="","",H257-(C257*COSTOS!$C$6+D257*COSTOS!$C$7+E257*COSTOS!$C$8+F257*COSTOS!$C$9+G257*COSTOS!$C$10)))+K257,IF(H257="","",H257-(C257*COSTOS!$C$6+D257*COSTOS!$C$7+E257*COSTOS!$C$8+F257*COSTOS!$C$9+G257*COSTOS!$C$10)))</f>
        <v/>
      </c>
      <c r="M257" s="156" t="n"/>
      <c r="N257" s="156" t="n"/>
      <c r="O257" s="156" t="n"/>
    </row>
    <row r="258" ht="18.75" customHeight="1" s="153">
      <c r="A258" s="237" t="n"/>
      <c r="B258" s="238" t="n"/>
      <c r="C258" s="239" t="n"/>
      <c r="D258" s="239" t="n"/>
      <c r="E258" s="239" t="n"/>
      <c r="F258" s="240" t="n"/>
      <c r="G258" s="240" t="n"/>
      <c r="H258" s="241" t="n"/>
      <c r="I258" s="242" t="n"/>
      <c r="J258" s="242" t="n"/>
      <c r="K258" s="233" t="n"/>
      <c r="L258" s="233">
        <f>IF(K258&lt;&gt;"",(IF(H258="","",H258-(C258*COSTOS!$C$6+D258*COSTOS!$C$7+E258*COSTOS!$C$8+F258*COSTOS!$C$9+G258*COSTOS!$C$10)))+K258,IF(H258="","",H258-(C258*COSTOS!$C$6+D258*COSTOS!$C$7+E258*COSTOS!$C$8+F258*COSTOS!$C$9+G258*COSTOS!$C$10)))</f>
        <v/>
      </c>
      <c r="M258" s="156" t="n"/>
      <c r="N258" s="156" t="n"/>
      <c r="O258" s="156" t="n"/>
    </row>
    <row r="259" ht="18.75" customHeight="1" s="153">
      <c r="A259" s="227" t="n"/>
      <c r="B259" s="228" t="n"/>
      <c r="C259" s="229" t="n"/>
      <c r="D259" s="229" t="n"/>
      <c r="E259" s="229" t="n"/>
      <c r="F259" s="230" t="n"/>
      <c r="G259" s="230" t="n"/>
      <c r="H259" s="231" t="n"/>
      <c r="I259" s="232" t="n"/>
      <c r="J259" s="232" t="n"/>
      <c r="K259" s="233" t="n"/>
      <c r="L259" s="233">
        <f>IF(K259&lt;&gt;"",(IF(H259="","",H259-(C259*COSTOS!$C$6+D259*COSTOS!$C$7+E259*COSTOS!$C$8+F259*COSTOS!$C$9+G259*COSTOS!$C$10)))+K259,IF(H259="","",H259-(C259*COSTOS!$C$6+D259*COSTOS!$C$7+E259*COSTOS!$C$8+F259*COSTOS!$C$9+G259*COSTOS!$C$10)))</f>
        <v/>
      </c>
      <c r="M259" s="156" t="n"/>
      <c r="N259" s="156" t="n"/>
      <c r="O259" s="156" t="n"/>
    </row>
    <row r="260" ht="18.75" customHeight="1" s="153">
      <c r="A260" s="237" t="n"/>
      <c r="B260" s="238" t="n"/>
      <c r="C260" s="239" t="n"/>
      <c r="D260" s="239" t="n"/>
      <c r="E260" s="239" t="n"/>
      <c r="F260" s="240" t="n"/>
      <c r="G260" s="240" t="n"/>
      <c r="H260" s="241" t="n"/>
      <c r="I260" s="242" t="n"/>
      <c r="J260" s="242" t="n"/>
      <c r="K260" s="233" t="n"/>
      <c r="L260" s="233">
        <f>IF(K260&lt;&gt;"",(IF(H260="","",H260-(C260*COSTOS!$C$6+D260*COSTOS!$C$7+E260*COSTOS!$C$8+F260*COSTOS!$C$9+G260*COSTOS!$C$10)))+K260,IF(H260="","",H260-(C260*COSTOS!$C$6+D260*COSTOS!$C$7+E260*COSTOS!$C$8+F260*COSTOS!$C$9+G260*COSTOS!$C$10)))</f>
        <v/>
      </c>
      <c r="M260" s="156" t="n"/>
      <c r="N260" s="156" t="n"/>
      <c r="O260" s="156" t="n"/>
    </row>
    <row r="261" ht="18.75" customHeight="1" s="153">
      <c r="A261" s="227" t="n"/>
      <c r="B261" s="228" t="n"/>
      <c r="C261" s="229" t="n"/>
      <c r="D261" s="229" t="n"/>
      <c r="E261" s="229" t="n"/>
      <c r="F261" s="230" t="n"/>
      <c r="G261" s="230" t="n"/>
      <c r="H261" s="231" t="n"/>
      <c r="I261" s="232" t="n"/>
      <c r="J261" s="232" t="n"/>
      <c r="K261" s="233" t="n"/>
      <c r="L261" s="233">
        <f>IF(K261&lt;&gt;"",(IF(H261="","",H261-(C261*COSTOS!$C$6+D261*COSTOS!$C$7+E261*COSTOS!$C$8+F261*COSTOS!$C$9+G261*COSTOS!$C$10)))+K261,IF(H261="","",H261-(C261*COSTOS!$C$6+D261*COSTOS!$C$7+E261*COSTOS!$C$8+F261*COSTOS!$C$9+G261*COSTOS!$C$10)))</f>
        <v/>
      </c>
      <c r="M261" s="156" t="n"/>
      <c r="N261" s="156" t="n"/>
      <c r="O261" s="156" t="n"/>
    </row>
    <row r="262" ht="18.75" customHeight="1" s="153">
      <c r="A262" s="237" t="n"/>
      <c r="B262" s="238" t="n"/>
      <c r="C262" s="239" t="n"/>
      <c r="D262" s="239" t="n"/>
      <c r="E262" s="239" t="n"/>
      <c r="F262" s="240" t="n"/>
      <c r="G262" s="240" t="n"/>
      <c r="H262" s="241" t="n"/>
      <c r="I262" s="242" t="n"/>
      <c r="J262" s="242" t="n"/>
      <c r="K262" s="233" t="n"/>
      <c r="L262" s="233">
        <f>IF(K262&lt;&gt;"",(IF(H262="","",H262-(C262*COSTOS!$C$6+D262*COSTOS!$C$7+E262*COSTOS!$C$8+F262*COSTOS!$C$9+G262*COSTOS!$C$10)))+K262,IF(H262="","",H262-(C262*COSTOS!$C$6+D262*COSTOS!$C$7+E262*COSTOS!$C$8+F262*COSTOS!$C$9+G262*COSTOS!$C$10)))</f>
        <v/>
      </c>
      <c r="M262" s="156" t="n"/>
      <c r="N262" s="156" t="n"/>
      <c r="O262" s="156" t="n"/>
    </row>
    <row r="263" ht="18.75" customHeight="1" s="153">
      <c r="A263" s="227" t="n"/>
      <c r="B263" s="228" t="n"/>
      <c r="C263" s="229" t="n"/>
      <c r="D263" s="229" t="n"/>
      <c r="E263" s="229" t="n"/>
      <c r="F263" s="230" t="n"/>
      <c r="G263" s="230" t="n"/>
      <c r="H263" s="231" t="n"/>
      <c r="I263" s="232" t="n"/>
      <c r="J263" s="232" t="n"/>
      <c r="K263" s="233" t="n"/>
      <c r="L263" s="233">
        <f>IF(K263&lt;&gt;"",(IF(H263="","",H263-(C263*COSTOS!$C$6+D263*COSTOS!$C$7+E263*COSTOS!$C$8+F263*COSTOS!$C$9+G263*COSTOS!$C$10)))+K263,IF(H263="","",H263-(C263*COSTOS!$C$6+D263*COSTOS!$C$7+E263*COSTOS!$C$8+F263*COSTOS!$C$9+G263*COSTOS!$C$10)))</f>
        <v/>
      </c>
      <c r="M263" s="156" t="n"/>
      <c r="N263" s="156" t="n"/>
      <c r="O263" s="156" t="n"/>
    </row>
    <row r="264" ht="18.75" customHeight="1" s="153">
      <c r="A264" s="237" t="n"/>
      <c r="B264" s="238" t="n"/>
      <c r="C264" s="239" t="n"/>
      <c r="D264" s="239" t="n"/>
      <c r="E264" s="239" t="n"/>
      <c r="F264" s="240" t="n"/>
      <c r="G264" s="240" t="n"/>
      <c r="H264" s="241" t="n"/>
      <c r="I264" s="242" t="n"/>
      <c r="J264" s="242" t="n"/>
      <c r="K264" s="233" t="n"/>
      <c r="L264" s="233">
        <f>IF(K264&lt;&gt;"",(IF(H264="","",H264-(C264*COSTOS!$C$6+D264*COSTOS!$C$7+E264*COSTOS!$C$8+F264*COSTOS!$C$9+G264*COSTOS!$C$10)))+K264,IF(H264="","",H264-(C264*COSTOS!$C$6+D264*COSTOS!$C$7+E264*COSTOS!$C$8+F264*COSTOS!$C$9+G264*COSTOS!$C$10)))</f>
        <v/>
      </c>
      <c r="M264" s="156" t="n"/>
      <c r="N264" s="156" t="n"/>
      <c r="O264" s="156" t="n"/>
    </row>
    <row r="265" ht="18.75" customHeight="1" s="153">
      <c r="A265" s="227" t="n"/>
      <c r="B265" s="228" t="n"/>
      <c r="C265" s="229" t="n"/>
      <c r="D265" s="229" t="n"/>
      <c r="E265" s="229" t="n"/>
      <c r="F265" s="230" t="n"/>
      <c r="G265" s="230" t="n"/>
      <c r="H265" s="231" t="n"/>
      <c r="I265" s="232" t="n"/>
      <c r="J265" s="232" t="n"/>
      <c r="K265" s="233" t="n"/>
      <c r="L265" s="233">
        <f>IF(K265&lt;&gt;"",(IF(H265="","",H265-(C265*COSTOS!$C$6+D265*COSTOS!$C$7+E265*COSTOS!$C$8+F265*COSTOS!$C$9+G265*COSTOS!$C$10)))+K265,IF(H265="","",H265-(C265*COSTOS!$C$6+D265*COSTOS!$C$7+E265*COSTOS!$C$8+F265*COSTOS!$C$9+G265*COSTOS!$C$10)))</f>
        <v/>
      </c>
      <c r="M265" s="156" t="n"/>
      <c r="N265" s="156" t="n"/>
      <c r="O265" s="156" t="n"/>
    </row>
    <row r="266" ht="18.75" customHeight="1" s="153">
      <c r="A266" s="237" t="n"/>
      <c r="B266" s="238" t="n"/>
      <c r="C266" s="239" t="n"/>
      <c r="D266" s="239" t="n"/>
      <c r="E266" s="239" t="n"/>
      <c r="F266" s="240" t="n"/>
      <c r="G266" s="240" t="n"/>
      <c r="H266" s="241" t="n"/>
      <c r="I266" s="242" t="n"/>
      <c r="J266" s="242" t="n"/>
      <c r="K266" s="233" t="n"/>
      <c r="L266" s="233">
        <f>IF(K266&lt;&gt;"",(IF(H266="","",H266-(C266*COSTOS!$C$6+D266*COSTOS!$C$7+E266*COSTOS!$C$8+F266*COSTOS!$C$9+G266*COSTOS!$C$10)))+K266,IF(H266="","",H266-(C266*COSTOS!$C$6+D266*COSTOS!$C$7+E266*COSTOS!$C$8+F266*COSTOS!$C$9+G266*COSTOS!$C$10)))</f>
        <v/>
      </c>
      <c r="M266" s="156" t="n"/>
      <c r="N266" s="156" t="n"/>
      <c r="O266" s="156" t="n"/>
    </row>
    <row r="267" ht="18.75" customHeight="1" s="153">
      <c r="A267" s="227" t="n"/>
      <c r="B267" s="228" t="n"/>
      <c r="C267" s="229" t="n"/>
      <c r="D267" s="229" t="n"/>
      <c r="E267" s="229" t="n"/>
      <c r="F267" s="230" t="n"/>
      <c r="G267" s="230" t="n"/>
      <c r="H267" s="231" t="n"/>
      <c r="I267" s="232" t="n"/>
      <c r="J267" s="232" t="n"/>
      <c r="K267" s="233" t="n"/>
      <c r="L267" s="233">
        <f>IF(K267&lt;&gt;"",(IF(H267="","",H267-(C267*COSTOS!$C$6+D267*COSTOS!$C$7+E267*COSTOS!$C$8+F267*COSTOS!$C$9+G267*COSTOS!$C$10)))+K267,IF(H267="","",H267-(C267*COSTOS!$C$6+D267*COSTOS!$C$7+E267*COSTOS!$C$8+F267*COSTOS!$C$9+G267*COSTOS!$C$10)))</f>
        <v/>
      </c>
      <c r="M267" s="156" t="n"/>
      <c r="N267" s="156" t="n"/>
      <c r="O267" s="156" t="n"/>
    </row>
    <row r="268" ht="18.75" customHeight="1" s="153">
      <c r="A268" s="237" t="n"/>
      <c r="B268" s="238" t="n"/>
      <c r="C268" s="239" t="n"/>
      <c r="D268" s="239" t="n"/>
      <c r="E268" s="239" t="n"/>
      <c r="F268" s="240" t="n"/>
      <c r="G268" s="240" t="n"/>
      <c r="H268" s="241" t="n"/>
      <c r="I268" s="242" t="n"/>
      <c r="J268" s="242" t="n"/>
      <c r="K268" s="233" t="n"/>
      <c r="L268" s="233">
        <f>IF(K268&lt;&gt;"",(IF(H268="","",H268-(C268*COSTOS!$C$6+D268*COSTOS!$C$7+E268*COSTOS!$C$8+F268*COSTOS!$C$9+G268*COSTOS!$C$10)))+K268,IF(H268="","",H268-(C268*COSTOS!$C$6+D268*COSTOS!$C$7+E268*COSTOS!$C$8+F268*COSTOS!$C$9+G268*COSTOS!$C$10)))</f>
        <v/>
      </c>
      <c r="M268" s="156" t="n"/>
      <c r="N268" s="156" t="n"/>
      <c r="O268" s="156" t="n"/>
    </row>
    <row r="269" ht="18.75" customHeight="1" s="153">
      <c r="A269" s="227" t="n"/>
      <c r="B269" s="228" t="n"/>
      <c r="C269" s="229" t="n"/>
      <c r="D269" s="229" t="n"/>
      <c r="E269" s="229" t="n"/>
      <c r="F269" s="230" t="n"/>
      <c r="G269" s="230" t="n"/>
      <c r="H269" s="231" t="n"/>
      <c r="I269" s="232" t="n"/>
      <c r="J269" s="232" t="n"/>
      <c r="K269" s="233" t="n"/>
      <c r="L269" s="233">
        <f>IF(K269&lt;&gt;"",(IF(H269="","",H269-(C269*COSTOS!$C$6+D269*COSTOS!$C$7+E269*COSTOS!$C$8+F269*COSTOS!$C$9+G269*COSTOS!$C$10)))+K269,IF(H269="","",H269-(C269*COSTOS!$C$6+D269*COSTOS!$C$7+E269*COSTOS!$C$8+F269*COSTOS!$C$9+G269*COSTOS!$C$10)))</f>
        <v/>
      </c>
      <c r="M269" s="156" t="n"/>
      <c r="N269" s="156" t="n"/>
      <c r="O269" s="156" t="n"/>
    </row>
    <row r="270" ht="18.75" customHeight="1" s="153">
      <c r="A270" s="237" t="n"/>
      <c r="B270" s="238" t="n"/>
      <c r="C270" s="239" t="n"/>
      <c r="D270" s="239" t="n"/>
      <c r="E270" s="239" t="n"/>
      <c r="F270" s="240" t="n"/>
      <c r="G270" s="240" t="n"/>
      <c r="H270" s="241" t="n"/>
      <c r="I270" s="242" t="n"/>
      <c r="J270" s="242" t="n"/>
      <c r="K270" s="233" t="n"/>
      <c r="L270" s="233">
        <f>IF(K270&lt;&gt;"",(IF(H270="","",H270-(C270*COSTOS!$C$6+D270*COSTOS!$C$7+E270*COSTOS!$C$8+F270*COSTOS!$C$9+G270*COSTOS!$C$10)))+K270,IF(H270="","",H270-(C270*COSTOS!$C$6+D270*COSTOS!$C$7+E270*COSTOS!$C$8+F270*COSTOS!$C$9+G270*COSTOS!$C$10)))</f>
        <v/>
      </c>
      <c r="M270" s="156" t="n"/>
      <c r="N270" s="156" t="n"/>
      <c r="O270" s="156" t="n"/>
    </row>
    <row r="271" ht="18.75" customHeight="1" s="153">
      <c r="A271" s="227" t="n"/>
      <c r="B271" s="228" t="n"/>
      <c r="C271" s="229" t="n"/>
      <c r="D271" s="229" t="n"/>
      <c r="E271" s="229" t="n"/>
      <c r="F271" s="230" t="n"/>
      <c r="G271" s="230" t="n"/>
      <c r="H271" s="231" t="n"/>
      <c r="I271" s="232" t="n"/>
      <c r="J271" s="232" t="n"/>
      <c r="K271" s="233" t="n"/>
      <c r="L271" s="233">
        <f>IF(K271&lt;&gt;"",(IF(H271="","",H271-(C271*COSTOS!$C$6+D271*COSTOS!$C$7+E271*COSTOS!$C$8+F271*COSTOS!$C$9+G271*COSTOS!$C$10)))+K271,IF(H271="","",H271-(C271*COSTOS!$C$6+D271*COSTOS!$C$7+E271*COSTOS!$C$8+F271*COSTOS!$C$9+G271*COSTOS!$C$10)))</f>
        <v/>
      </c>
      <c r="M271" s="156" t="n"/>
      <c r="N271" s="156" t="n"/>
      <c r="O271" s="156" t="n"/>
    </row>
    <row r="272" ht="18.75" customHeight="1" s="153">
      <c r="A272" s="237" t="n"/>
      <c r="B272" s="238" t="n"/>
      <c r="C272" s="239" t="n"/>
      <c r="D272" s="239" t="n"/>
      <c r="E272" s="239" t="n"/>
      <c r="F272" s="240" t="n"/>
      <c r="G272" s="240" t="n"/>
      <c r="H272" s="241" t="n"/>
      <c r="I272" s="242" t="n"/>
      <c r="J272" s="242" t="n"/>
      <c r="K272" s="233" t="n"/>
      <c r="L272" s="233">
        <f>IF(K272&lt;&gt;"",(IF(H272="","",H272-(C272*COSTOS!$C$6+D272*COSTOS!$C$7+E272*COSTOS!$C$8+F272*COSTOS!$C$9+G272*COSTOS!$C$10)))+K272,IF(H272="","",H272-(C272*COSTOS!$C$6+D272*COSTOS!$C$7+E272*COSTOS!$C$8+F272*COSTOS!$C$9+G272*COSTOS!$C$10)))</f>
        <v/>
      </c>
      <c r="M272" s="156" t="n"/>
      <c r="N272" s="156" t="n"/>
      <c r="O272" s="156" t="n"/>
    </row>
    <row r="273" ht="18.75" customHeight="1" s="153">
      <c r="A273" s="227" t="n"/>
      <c r="B273" s="228" t="n"/>
      <c r="C273" s="229" t="n"/>
      <c r="D273" s="229" t="n"/>
      <c r="E273" s="229" t="n"/>
      <c r="F273" s="230" t="n"/>
      <c r="G273" s="230" t="n"/>
      <c r="H273" s="231" t="n"/>
      <c r="I273" s="232" t="n"/>
      <c r="J273" s="232" t="n"/>
      <c r="K273" s="233" t="n"/>
      <c r="L273" s="233">
        <f>IF(K273&lt;&gt;"",(IF(H273="","",H273-(C273*COSTOS!$C$6+D273*COSTOS!$C$7+E273*COSTOS!$C$8+F273*COSTOS!$C$9+G273*COSTOS!$C$10)))+K273,IF(H273="","",H273-(C273*COSTOS!$C$6+D273*COSTOS!$C$7+E273*COSTOS!$C$8+F273*COSTOS!$C$9+G273*COSTOS!$C$10)))</f>
        <v/>
      </c>
      <c r="M273" s="156" t="n"/>
      <c r="N273" s="156" t="n"/>
      <c r="O273" s="156" t="n"/>
    </row>
    <row r="274" ht="18.75" customHeight="1" s="153">
      <c r="A274" s="237" t="n"/>
      <c r="B274" s="238" t="n"/>
      <c r="C274" s="239" t="n"/>
      <c r="D274" s="239" t="n"/>
      <c r="E274" s="239" t="n"/>
      <c r="F274" s="240" t="n"/>
      <c r="G274" s="240" t="n"/>
      <c r="H274" s="241" t="n"/>
      <c r="I274" s="242" t="n"/>
      <c r="J274" s="242" t="n"/>
      <c r="K274" s="233" t="n"/>
      <c r="L274" s="233">
        <f>IF(K274&lt;&gt;"",(IF(H274="","",H274-(C274*COSTOS!$C$6+D274*COSTOS!$C$7+E274*COSTOS!$C$8+F274*COSTOS!$C$9+G274*COSTOS!$C$10)))+K274,IF(H274="","",H274-(C274*COSTOS!$C$6+D274*COSTOS!$C$7+E274*COSTOS!$C$8+F274*COSTOS!$C$9+G274*COSTOS!$C$10)))</f>
        <v/>
      </c>
      <c r="M274" s="156" t="n"/>
      <c r="N274" s="156" t="n"/>
      <c r="O274" s="156" t="n"/>
    </row>
    <row r="275" ht="18.75" customHeight="1" s="153">
      <c r="A275" s="227" t="n"/>
      <c r="B275" s="228" t="n"/>
      <c r="C275" s="229" t="n"/>
      <c r="D275" s="229" t="n"/>
      <c r="E275" s="229" t="n"/>
      <c r="F275" s="230" t="n"/>
      <c r="G275" s="230" t="n"/>
      <c r="H275" s="231" t="n"/>
      <c r="I275" s="232" t="n"/>
      <c r="J275" s="232" t="n"/>
      <c r="K275" s="233" t="n"/>
      <c r="L275" s="233">
        <f>IF(K275&lt;&gt;"",(IF(H275="","",H275-(C275*COSTOS!$C$6+D275*COSTOS!$C$7+E275*COSTOS!$C$8+F275*COSTOS!$C$9+G275*COSTOS!$C$10)))+K275,IF(H275="","",H275-(C275*COSTOS!$C$6+D275*COSTOS!$C$7+E275*COSTOS!$C$8+F275*COSTOS!$C$9+G275*COSTOS!$C$10)))</f>
        <v/>
      </c>
      <c r="M275" s="156" t="n"/>
      <c r="N275" s="156" t="n"/>
      <c r="O275" s="156" t="n"/>
    </row>
    <row r="276" ht="18.75" customHeight="1" s="153">
      <c r="A276" s="237" t="n"/>
      <c r="B276" s="238" t="n"/>
      <c r="C276" s="239" t="n"/>
      <c r="D276" s="239" t="n"/>
      <c r="E276" s="239" t="n"/>
      <c r="F276" s="240" t="n"/>
      <c r="G276" s="240" t="n"/>
      <c r="H276" s="241" t="n"/>
      <c r="I276" s="242" t="n"/>
      <c r="J276" s="242" t="n"/>
      <c r="K276" s="233" t="n"/>
      <c r="L276" s="233">
        <f>IF(K276&lt;&gt;"",(IF(H276="","",H276-(C276*COSTOS!$C$6+D276*COSTOS!$C$7+E276*COSTOS!$C$8+F276*COSTOS!$C$9+G276*COSTOS!$C$10)))+K276,IF(H276="","",H276-(C276*COSTOS!$C$6+D276*COSTOS!$C$7+E276*COSTOS!$C$8+F276*COSTOS!$C$9+G276*COSTOS!$C$10)))</f>
        <v/>
      </c>
      <c r="M276" s="156" t="n"/>
      <c r="N276" s="156" t="n"/>
      <c r="O276" s="156" t="n"/>
    </row>
    <row r="277" ht="18.75" customHeight="1" s="153">
      <c r="A277" s="227" t="n"/>
      <c r="B277" s="228" t="n"/>
      <c r="C277" s="229" t="n"/>
      <c r="D277" s="229" t="n"/>
      <c r="E277" s="229" t="n"/>
      <c r="F277" s="230" t="n"/>
      <c r="G277" s="230" t="n"/>
      <c r="H277" s="231" t="n"/>
      <c r="I277" s="232" t="n"/>
      <c r="J277" s="232" t="n"/>
      <c r="K277" s="233" t="n"/>
      <c r="L277" s="233">
        <f>IF(K277&lt;&gt;"",(IF(H277="","",H277-(C277*COSTOS!$C$6+D277*COSTOS!$C$7+E277*COSTOS!$C$8+F277*COSTOS!$C$9+G277*COSTOS!$C$10)))+K277,IF(H277="","",H277-(C277*COSTOS!$C$6+D277*COSTOS!$C$7+E277*COSTOS!$C$8+F277*COSTOS!$C$9+G277*COSTOS!$C$10)))</f>
        <v/>
      </c>
      <c r="M277" s="156" t="n"/>
      <c r="N277" s="156" t="n"/>
      <c r="O277" s="156" t="n"/>
    </row>
    <row r="278" ht="18.75" customHeight="1" s="153">
      <c r="A278" s="237" t="n"/>
      <c r="B278" s="238" t="n"/>
      <c r="C278" s="239" t="n"/>
      <c r="D278" s="239" t="n"/>
      <c r="E278" s="239" t="n"/>
      <c r="F278" s="240" t="n"/>
      <c r="G278" s="240" t="n"/>
      <c r="H278" s="241" t="n"/>
      <c r="I278" s="242" t="n"/>
      <c r="J278" s="242" t="n"/>
      <c r="K278" s="233" t="n"/>
      <c r="L278" s="233">
        <f>IF(K278&lt;&gt;"",(IF(H278="","",H278-(C278*COSTOS!$C$6+D278*COSTOS!$C$7+E278*COSTOS!$C$8+F278*COSTOS!$C$9+G278*COSTOS!$C$10)))+K278,IF(H278="","",H278-(C278*COSTOS!$C$6+D278*COSTOS!$C$7+E278*COSTOS!$C$8+F278*COSTOS!$C$9+G278*COSTOS!$C$10)))</f>
        <v/>
      </c>
      <c r="M278" s="156" t="n"/>
      <c r="N278" s="156" t="n"/>
      <c r="O278" s="156" t="n"/>
    </row>
    <row r="279" ht="18.75" customHeight="1" s="153">
      <c r="A279" s="227" t="n"/>
      <c r="B279" s="228" t="n"/>
      <c r="C279" s="229" t="n"/>
      <c r="D279" s="229" t="n"/>
      <c r="E279" s="229" t="n"/>
      <c r="F279" s="230" t="n"/>
      <c r="G279" s="230" t="n"/>
      <c r="H279" s="231" t="n"/>
      <c r="I279" s="232" t="n"/>
      <c r="J279" s="232" t="n"/>
      <c r="K279" s="233" t="n"/>
      <c r="L279" s="233">
        <f>IF(K279&lt;&gt;"",(IF(H279="","",H279-(C279*COSTOS!$C$6+D279*COSTOS!$C$7+E279*COSTOS!$C$8+F279*COSTOS!$C$9+G279*COSTOS!$C$10)))+K279,IF(H279="","",H279-(C279*COSTOS!$C$6+D279*COSTOS!$C$7+E279*COSTOS!$C$8+F279*COSTOS!$C$9+G279*COSTOS!$C$10)))</f>
        <v/>
      </c>
      <c r="M279" s="156" t="n"/>
      <c r="N279" s="156" t="n"/>
      <c r="O279" s="156" t="n"/>
    </row>
    <row r="280" ht="18.75" customHeight="1" s="153">
      <c r="A280" s="237" t="n"/>
      <c r="B280" s="238" t="n"/>
      <c r="C280" s="239" t="n"/>
      <c r="D280" s="239" t="n"/>
      <c r="E280" s="239" t="n"/>
      <c r="F280" s="240" t="n"/>
      <c r="G280" s="240" t="n"/>
      <c r="H280" s="241" t="n"/>
      <c r="I280" s="242" t="n"/>
      <c r="J280" s="242" t="n"/>
      <c r="K280" s="233" t="n"/>
      <c r="L280" s="233">
        <f>IF(K280&lt;&gt;"",(IF(H280="","",H280-(C280*COSTOS!$C$6+D280*COSTOS!$C$7+E280*COSTOS!$C$8+F280*COSTOS!$C$9+G280*COSTOS!$C$10)))+K280,IF(H280="","",H280-(C280*COSTOS!$C$6+D280*COSTOS!$C$7+E280*COSTOS!$C$8+F280*COSTOS!$C$9+G280*COSTOS!$C$10)))</f>
        <v/>
      </c>
      <c r="M280" s="156" t="n"/>
      <c r="N280" s="156" t="n"/>
      <c r="O280" s="156" t="n"/>
    </row>
    <row r="281" ht="18.75" customHeight="1" s="153">
      <c r="A281" s="227" t="n"/>
      <c r="B281" s="228" t="n"/>
      <c r="C281" s="229" t="n"/>
      <c r="D281" s="229" t="n"/>
      <c r="E281" s="229" t="n"/>
      <c r="F281" s="230" t="n"/>
      <c r="G281" s="230" t="n"/>
      <c r="H281" s="231" t="n"/>
      <c r="I281" s="232" t="n"/>
      <c r="J281" s="232" t="n"/>
      <c r="K281" s="233" t="n"/>
      <c r="L281" s="233">
        <f>IF(K281&lt;&gt;"",(IF(H281="","",H281-(C281*COSTOS!$C$6+D281*COSTOS!$C$7+E281*COSTOS!$C$8+F281*COSTOS!$C$9+G281*COSTOS!$C$10)))+K281,IF(H281="","",H281-(C281*COSTOS!$C$6+D281*COSTOS!$C$7+E281*COSTOS!$C$8+F281*COSTOS!$C$9+G281*COSTOS!$C$10)))</f>
        <v/>
      </c>
      <c r="M281" s="156" t="n"/>
      <c r="N281" s="156" t="n"/>
      <c r="O281" s="156" t="n"/>
    </row>
    <row r="282" ht="18.75" customHeight="1" s="153">
      <c r="A282" s="237" t="n"/>
      <c r="B282" s="238" t="n"/>
      <c r="C282" s="239" t="n"/>
      <c r="D282" s="239" t="n"/>
      <c r="E282" s="239" t="n"/>
      <c r="F282" s="240" t="n"/>
      <c r="G282" s="240" t="n"/>
      <c r="H282" s="241" t="n"/>
      <c r="I282" s="242" t="n"/>
      <c r="J282" s="242" t="n"/>
      <c r="K282" s="233" t="n"/>
      <c r="L282" s="233">
        <f>IF(K282&lt;&gt;"",(IF(H282="","",H282-(C282*COSTOS!$C$6+D282*COSTOS!$C$7+E282*COSTOS!$C$8+F282*COSTOS!$C$9+G282*COSTOS!$C$10)))+K282,IF(H282="","",H282-(C282*COSTOS!$C$6+D282*COSTOS!$C$7+E282*COSTOS!$C$8+F282*COSTOS!$C$9+G282*COSTOS!$C$10)))</f>
        <v/>
      </c>
      <c r="M282" s="156" t="n"/>
      <c r="N282" s="156" t="n"/>
      <c r="O282" s="156" t="n"/>
    </row>
    <row r="283" ht="18.75" customHeight="1" s="153">
      <c r="A283" s="227" t="n"/>
      <c r="B283" s="228" t="n"/>
      <c r="C283" s="229" t="n"/>
      <c r="D283" s="229" t="n"/>
      <c r="E283" s="229" t="n"/>
      <c r="F283" s="230" t="n"/>
      <c r="G283" s="230" t="n"/>
      <c r="H283" s="231" t="n"/>
      <c r="I283" s="232" t="n"/>
      <c r="J283" s="232" t="n"/>
      <c r="K283" s="233" t="n"/>
      <c r="L283" s="233">
        <f>IF(K283&lt;&gt;"",(IF(H283="","",H283-(C283*COSTOS!$C$6+D283*COSTOS!$C$7+E283*COSTOS!$C$8+F283*COSTOS!$C$9+G283*COSTOS!$C$10)))+K283,IF(H283="","",H283-(C283*COSTOS!$C$6+D283*COSTOS!$C$7+E283*COSTOS!$C$8+F283*COSTOS!$C$9+G283*COSTOS!$C$10)))</f>
        <v/>
      </c>
      <c r="M283" s="156" t="n"/>
      <c r="N283" s="156" t="n"/>
      <c r="O283" s="156" t="n"/>
    </row>
    <row r="284" ht="18.75" customHeight="1" s="153">
      <c r="A284" s="237" t="n"/>
      <c r="B284" s="238" t="n"/>
      <c r="C284" s="239" t="n"/>
      <c r="D284" s="239" t="n"/>
      <c r="E284" s="239" t="n"/>
      <c r="F284" s="240" t="n"/>
      <c r="G284" s="240" t="n"/>
      <c r="H284" s="241" t="n"/>
      <c r="I284" s="242" t="n"/>
      <c r="J284" s="242" t="n"/>
      <c r="K284" s="233" t="n"/>
      <c r="L284" s="233">
        <f>IF(K284&lt;&gt;"",(IF(H284="","",H284-(C284*COSTOS!$C$6+D284*COSTOS!$C$7+E284*COSTOS!$C$8+F284*COSTOS!$C$9+G284*COSTOS!$C$10)))+K284,IF(H284="","",H284-(C284*COSTOS!$C$6+D284*COSTOS!$C$7+E284*COSTOS!$C$8+F284*COSTOS!$C$9+G284*COSTOS!$C$10)))</f>
        <v/>
      </c>
      <c r="M284" s="156" t="n"/>
      <c r="N284" s="156" t="n"/>
      <c r="O284" s="156" t="n"/>
    </row>
    <row r="285" ht="18.75" customHeight="1" s="153">
      <c r="A285" s="227" t="n"/>
      <c r="B285" s="228" t="n"/>
      <c r="C285" s="229" t="n"/>
      <c r="D285" s="229" t="n"/>
      <c r="E285" s="229" t="n"/>
      <c r="F285" s="230" t="n"/>
      <c r="G285" s="230" t="n"/>
      <c r="H285" s="231" t="n"/>
      <c r="I285" s="232" t="n"/>
      <c r="J285" s="232" t="n"/>
      <c r="K285" s="233" t="n"/>
      <c r="L285" s="233">
        <f>IF(K285&lt;&gt;"",(IF(H285="","",H285-(C285*COSTOS!$C$6+D285*COSTOS!$C$7+E285*COSTOS!$C$8+F285*COSTOS!$C$9+G285*COSTOS!$C$10)))+K285,IF(H285="","",H285-(C285*COSTOS!$C$6+D285*COSTOS!$C$7+E285*COSTOS!$C$8+F285*COSTOS!$C$9+G285*COSTOS!$C$10)))</f>
        <v/>
      </c>
      <c r="M285" s="156" t="n"/>
      <c r="N285" s="156" t="n"/>
      <c r="O285" s="156" t="n"/>
    </row>
    <row r="286" ht="18.75" customHeight="1" s="153">
      <c r="A286" s="237" t="n"/>
      <c r="B286" s="238" t="n"/>
      <c r="C286" s="239" t="n"/>
      <c r="D286" s="239" t="n"/>
      <c r="E286" s="239" t="n"/>
      <c r="F286" s="240" t="n"/>
      <c r="G286" s="240" t="n"/>
      <c r="H286" s="241" t="n"/>
      <c r="I286" s="242" t="n"/>
      <c r="J286" s="242" t="n"/>
      <c r="K286" s="233" t="n"/>
      <c r="L286" s="233">
        <f>IF(K286&lt;&gt;"",(IF(H286="","",H286-(C286*COSTOS!$C$6+D286*COSTOS!$C$7+E286*COSTOS!$C$8+F286*COSTOS!$C$9+G286*COSTOS!$C$10)))+K286,IF(H286="","",H286-(C286*COSTOS!$C$6+D286*COSTOS!$C$7+E286*COSTOS!$C$8+F286*COSTOS!$C$9+G286*COSTOS!$C$10)))</f>
        <v/>
      </c>
      <c r="M286" s="156" t="n"/>
      <c r="N286" s="156" t="n"/>
      <c r="O286" s="156" t="n"/>
    </row>
    <row r="287" ht="18.75" customHeight="1" s="153">
      <c r="A287" s="227" t="n"/>
      <c r="B287" s="228" t="n"/>
      <c r="C287" s="229" t="n"/>
      <c r="D287" s="229" t="n"/>
      <c r="E287" s="229" t="n"/>
      <c r="F287" s="230" t="n"/>
      <c r="G287" s="230" t="n"/>
      <c r="H287" s="231" t="n"/>
      <c r="I287" s="232" t="n"/>
      <c r="J287" s="232" t="n"/>
      <c r="K287" s="233" t="n"/>
      <c r="L287" s="233">
        <f>IF(K287&lt;&gt;"",(IF(H287="","",H287-(C287*COSTOS!$C$6+D287*COSTOS!$C$7+E287*COSTOS!$C$8+F287*COSTOS!$C$9+G287*COSTOS!$C$10)))+K287,IF(H287="","",H287-(C287*COSTOS!$C$6+D287*COSTOS!$C$7+E287*COSTOS!$C$8+F287*COSTOS!$C$9+G287*COSTOS!$C$10)))</f>
        <v/>
      </c>
      <c r="M287" s="156" t="n"/>
      <c r="N287" s="156" t="n"/>
      <c r="O287" s="156" t="n"/>
    </row>
    <row r="288" ht="18.75" customHeight="1" s="153">
      <c r="A288" s="237" t="n"/>
      <c r="B288" s="238" t="n"/>
      <c r="C288" s="239" t="n"/>
      <c r="D288" s="239" t="n"/>
      <c r="E288" s="239" t="n"/>
      <c r="F288" s="240" t="n"/>
      <c r="G288" s="240" t="n"/>
      <c r="H288" s="241" t="n"/>
      <c r="I288" s="242" t="n"/>
      <c r="J288" s="242" t="n"/>
      <c r="K288" s="233" t="n"/>
      <c r="L288" s="233">
        <f>IF(K288&lt;&gt;"",(IF(H288="","",H288-(C288*COSTOS!$C$6+D288*COSTOS!$C$7+E288*COSTOS!$C$8+F288*COSTOS!$C$9+G288*COSTOS!$C$10)))+K288,IF(H288="","",H288-(C288*COSTOS!$C$6+D288*COSTOS!$C$7+E288*COSTOS!$C$8+F288*COSTOS!$C$9+G288*COSTOS!$C$10)))</f>
        <v/>
      </c>
      <c r="M288" s="156" t="n"/>
      <c r="N288" s="156" t="n"/>
      <c r="O288" s="156" t="n"/>
    </row>
    <row r="289" ht="18.75" customHeight="1" s="153">
      <c r="A289" s="227" t="n"/>
      <c r="B289" s="228" t="n"/>
      <c r="C289" s="229" t="n"/>
      <c r="D289" s="229" t="n"/>
      <c r="E289" s="229" t="n"/>
      <c r="F289" s="230" t="n"/>
      <c r="G289" s="230" t="n"/>
      <c r="H289" s="231" t="n"/>
      <c r="I289" s="232" t="n"/>
      <c r="J289" s="232" t="n"/>
      <c r="K289" s="233" t="n"/>
      <c r="L289" s="233">
        <f>IF(K289&lt;&gt;"",(IF(H289="","",H289-(C289*COSTOS!$C$6+D289*COSTOS!$C$7+E289*COSTOS!$C$8+F289*COSTOS!$C$9+G289*COSTOS!$C$10)))+K289,IF(H289="","",H289-(C289*COSTOS!$C$6+D289*COSTOS!$C$7+E289*COSTOS!$C$8+F289*COSTOS!$C$9+G289*COSTOS!$C$10)))</f>
        <v/>
      </c>
      <c r="M289" s="156" t="n"/>
      <c r="N289" s="156" t="n"/>
      <c r="O289" s="156" t="n"/>
    </row>
    <row r="290" ht="18.75" customHeight="1" s="153">
      <c r="A290" s="237" t="n"/>
      <c r="B290" s="238" t="n"/>
      <c r="C290" s="239" t="n"/>
      <c r="D290" s="239" t="n"/>
      <c r="E290" s="239" t="n"/>
      <c r="F290" s="240" t="n"/>
      <c r="G290" s="240" t="n"/>
      <c r="H290" s="241" t="n"/>
      <c r="I290" s="242" t="n"/>
      <c r="J290" s="242" t="n"/>
      <c r="K290" s="233" t="n"/>
      <c r="L290" s="233">
        <f>IF(K290&lt;&gt;"",(IF(H290="","",H290-(C290*COSTOS!$C$6+D290*COSTOS!$C$7+E290*COSTOS!$C$8+F290*COSTOS!$C$9+G290*COSTOS!$C$10)))+K290,IF(H290="","",H290-(C290*COSTOS!$C$6+D290*COSTOS!$C$7+E290*COSTOS!$C$8+F290*COSTOS!$C$9+G290*COSTOS!$C$10)))</f>
        <v/>
      </c>
      <c r="M290" s="156" t="n"/>
      <c r="N290" s="156" t="n"/>
      <c r="O290" s="156" t="n"/>
    </row>
    <row r="291" ht="18.75" customHeight="1" s="153">
      <c r="A291" s="227" t="n"/>
      <c r="B291" s="228" t="n"/>
      <c r="C291" s="229" t="n"/>
      <c r="D291" s="229" t="n"/>
      <c r="E291" s="229" t="n"/>
      <c r="F291" s="230" t="n"/>
      <c r="G291" s="230" t="n"/>
      <c r="H291" s="231" t="n"/>
      <c r="I291" s="232" t="n"/>
      <c r="J291" s="232" t="n"/>
      <c r="K291" s="233" t="n"/>
      <c r="L291" s="233">
        <f>IF(K291&lt;&gt;"",(IF(H291="","",H291-(C291*COSTOS!$C$6+D291*COSTOS!$C$7+E291*COSTOS!$C$8+F291*COSTOS!$C$9+G291*COSTOS!$C$10)))+K291,IF(H291="","",H291-(C291*COSTOS!$C$6+D291*COSTOS!$C$7+E291*COSTOS!$C$8+F291*COSTOS!$C$9+G291*COSTOS!$C$10)))</f>
        <v/>
      </c>
      <c r="M291" s="156" t="n"/>
      <c r="N291" s="156" t="n"/>
      <c r="O291" s="156" t="n"/>
    </row>
    <row r="292" ht="18.75" customHeight="1" s="153">
      <c r="A292" s="237" t="n"/>
      <c r="B292" s="238" t="n"/>
      <c r="C292" s="239" t="n"/>
      <c r="D292" s="239" t="n"/>
      <c r="E292" s="239" t="n"/>
      <c r="F292" s="240" t="n"/>
      <c r="G292" s="240" t="n"/>
      <c r="H292" s="241" t="n"/>
      <c r="I292" s="242" t="n"/>
      <c r="J292" s="242" t="n"/>
      <c r="K292" s="233" t="n"/>
      <c r="L292" s="233">
        <f>IF(K292&lt;&gt;"",(IF(H292="","",H292-(C292*COSTOS!$C$6+D292*COSTOS!$C$7+E292*COSTOS!$C$8+F292*COSTOS!$C$9+G292*COSTOS!$C$10)))+K292,IF(H292="","",H292-(C292*COSTOS!$C$6+D292*COSTOS!$C$7+E292*COSTOS!$C$8+F292*COSTOS!$C$9+G292*COSTOS!$C$10)))</f>
        <v/>
      </c>
      <c r="M292" s="156" t="n"/>
      <c r="N292" s="156" t="n"/>
      <c r="O292" s="156" t="n"/>
    </row>
    <row r="293" ht="18.75" customHeight="1" s="153">
      <c r="A293" s="227" t="n"/>
      <c r="B293" s="228" t="n"/>
      <c r="C293" s="229" t="n"/>
      <c r="D293" s="229" t="n"/>
      <c r="E293" s="229" t="n"/>
      <c r="F293" s="230" t="n"/>
      <c r="G293" s="230" t="n"/>
      <c r="H293" s="231" t="n"/>
      <c r="I293" s="232" t="n"/>
      <c r="J293" s="232" t="n"/>
      <c r="K293" s="233" t="n"/>
      <c r="L293" s="233">
        <f>IF(K293&lt;&gt;"",(IF(H293="","",H293-(C293*COSTOS!$C$6+D293*COSTOS!$C$7+E293*COSTOS!$C$8+F293*COSTOS!$C$9+G293*COSTOS!$C$10)))+K293,IF(H293="","",H293-(C293*COSTOS!$C$6+D293*COSTOS!$C$7+E293*COSTOS!$C$8+F293*COSTOS!$C$9+G293*COSTOS!$C$10)))</f>
        <v/>
      </c>
      <c r="M293" s="156" t="n"/>
      <c r="N293" s="156" t="n"/>
      <c r="O293" s="156" t="n"/>
    </row>
    <row r="294" ht="18.75" customHeight="1" s="153">
      <c r="A294" s="237" t="n"/>
      <c r="B294" s="238" t="n"/>
      <c r="C294" s="239" t="n"/>
      <c r="D294" s="239" t="n"/>
      <c r="E294" s="239" t="n"/>
      <c r="F294" s="240" t="n"/>
      <c r="G294" s="240" t="n"/>
      <c r="H294" s="241" t="n"/>
      <c r="I294" s="242" t="n"/>
      <c r="J294" s="242" t="n"/>
      <c r="K294" s="233" t="n"/>
      <c r="L294" s="233">
        <f>IF(K294&lt;&gt;"",(IF(H294="","",H294-(C294*COSTOS!$C$6+D294*COSTOS!$C$7+E294*COSTOS!$C$8+F294*COSTOS!$C$9+G294*COSTOS!$C$10)))+K294,IF(H294="","",H294-(C294*COSTOS!$C$6+D294*COSTOS!$C$7+E294*COSTOS!$C$8+F294*COSTOS!$C$9+G294*COSTOS!$C$10)))</f>
        <v/>
      </c>
      <c r="M294" s="156" t="n"/>
      <c r="N294" s="156" t="n"/>
      <c r="O294" s="156" t="n"/>
    </row>
    <row r="295" ht="18.75" customHeight="1" s="153">
      <c r="A295" s="227" t="n"/>
      <c r="B295" s="228" t="n"/>
      <c r="C295" s="229" t="n"/>
      <c r="D295" s="229" t="n"/>
      <c r="E295" s="229" t="n"/>
      <c r="F295" s="230" t="n"/>
      <c r="G295" s="230" t="n"/>
      <c r="H295" s="231" t="n"/>
      <c r="I295" s="232" t="n"/>
      <c r="J295" s="232" t="n"/>
      <c r="K295" s="233" t="n"/>
      <c r="L295" s="233">
        <f>IF(K295&lt;&gt;"",(IF(H295="","",H295-(C295*COSTOS!$C$6+D295*COSTOS!$C$7+E295*COSTOS!$C$8+F295*COSTOS!$C$9+G295*COSTOS!$C$10)))+K295,IF(H295="","",H295-(C295*COSTOS!$C$6+D295*COSTOS!$C$7+E295*COSTOS!$C$8+F295*COSTOS!$C$9+G295*COSTOS!$C$10)))</f>
        <v/>
      </c>
      <c r="M295" s="156" t="n"/>
      <c r="N295" s="156" t="n"/>
      <c r="O295" s="156" t="n"/>
    </row>
    <row r="296" ht="18.75" customHeight="1" s="153">
      <c r="A296" s="237" t="n"/>
      <c r="B296" s="238" t="n"/>
      <c r="C296" s="239" t="n"/>
      <c r="D296" s="239" t="n"/>
      <c r="E296" s="239" t="n"/>
      <c r="F296" s="240" t="n"/>
      <c r="G296" s="240" t="n"/>
      <c r="H296" s="241" t="n"/>
      <c r="I296" s="242" t="n"/>
      <c r="J296" s="242" t="n"/>
      <c r="K296" s="233" t="n"/>
      <c r="L296" s="233">
        <f>IF(K296&lt;&gt;"",(IF(H296="","",H296-(C296*COSTOS!$C$6+D296*COSTOS!$C$7+E296*COSTOS!$C$8+F296*COSTOS!$C$9+G296*COSTOS!$C$10)))+K296,IF(H296="","",H296-(C296*COSTOS!$C$6+D296*COSTOS!$C$7+E296*COSTOS!$C$8+F296*COSTOS!$C$9+G296*COSTOS!$C$10)))</f>
        <v/>
      </c>
      <c r="M296" s="156" t="n"/>
      <c r="N296" s="156" t="n"/>
      <c r="O296" s="156" t="n"/>
    </row>
    <row r="297" ht="18.75" customHeight="1" s="153">
      <c r="A297" s="227" t="n"/>
      <c r="B297" s="228" t="n"/>
      <c r="C297" s="229" t="n"/>
      <c r="D297" s="229" t="n"/>
      <c r="E297" s="229" t="n"/>
      <c r="F297" s="230" t="n"/>
      <c r="G297" s="230" t="n"/>
      <c r="H297" s="231" t="n"/>
      <c r="I297" s="232" t="n"/>
      <c r="J297" s="232" t="n"/>
      <c r="K297" s="233" t="n"/>
      <c r="L297" s="233">
        <f>IF(K297&lt;&gt;"",(IF(H297="","",H297-(C297*COSTOS!$C$6+D297*COSTOS!$C$7+E297*COSTOS!$C$8+F297*COSTOS!$C$9+G297*COSTOS!$C$10)))+K297,IF(H297="","",H297-(C297*COSTOS!$C$6+D297*COSTOS!$C$7+E297*COSTOS!$C$8+F297*COSTOS!$C$9+G297*COSTOS!$C$10)))</f>
        <v/>
      </c>
      <c r="M297" s="156" t="n"/>
      <c r="N297" s="156" t="n"/>
      <c r="O297" s="156" t="n"/>
    </row>
    <row r="298" ht="18.75" customHeight="1" s="153">
      <c r="A298" s="237" t="n"/>
      <c r="B298" s="238" t="n"/>
      <c r="C298" s="239" t="n"/>
      <c r="D298" s="239" t="n"/>
      <c r="E298" s="239" t="n"/>
      <c r="F298" s="240" t="n"/>
      <c r="G298" s="240" t="n"/>
      <c r="H298" s="241" t="n"/>
      <c r="I298" s="242" t="n"/>
      <c r="J298" s="242" t="n"/>
      <c r="K298" s="233" t="n"/>
      <c r="L298" s="233">
        <f>IF(K298&lt;&gt;"",(IF(H298="","",H298-(C298*COSTOS!$C$6+D298*COSTOS!$C$7+E298*COSTOS!$C$8+F298*COSTOS!$C$9+G298*COSTOS!$C$10)))+K298,IF(H298="","",H298-(C298*COSTOS!$C$6+D298*COSTOS!$C$7+E298*COSTOS!$C$8+F298*COSTOS!$C$9+G298*COSTOS!$C$10)))</f>
        <v/>
      </c>
      <c r="M298" s="156" t="n"/>
      <c r="N298" s="156" t="n"/>
      <c r="O298" s="156" t="n"/>
    </row>
    <row r="299" ht="18.75" customHeight="1" s="153">
      <c r="A299" s="227" t="n"/>
      <c r="B299" s="228" t="n"/>
      <c r="C299" s="229" t="n"/>
      <c r="D299" s="229" t="n"/>
      <c r="E299" s="229" t="n"/>
      <c r="F299" s="230" t="n"/>
      <c r="G299" s="230" t="n"/>
      <c r="H299" s="231" t="n"/>
      <c r="I299" s="232" t="n"/>
      <c r="J299" s="232" t="n"/>
      <c r="K299" s="233" t="n"/>
      <c r="L299" s="233">
        <f>IF(K299&lt;&gt;"",(IF(H299="","",H299-(C299*COSTOS!$C$6+D299*COSTOS!$C$7+E299*COSTOS!$C$8+F299*COSTOS!$C$9+G299*COSTOS!$C$10)))+K299,IF(H299="","",H299-(C299*COSTOS!$C$6+D299*COSTOS!$C$7+E299*COSTOS!$C$8+F299*COSTOS!$C$9+G299*COSTOS!$C$10)))</f>
        <v/>
      </c>
      <c r="M299" s="156" t="n"/>
      <c r="N299" s="156" t="n"/>
      <c r="O299" s="156" t="n"/>
    </row>
    <row r="300" ht="18.75" customHeight="1" s="153">
      <c r="A300" s="237" t="n"/>
      <c r="B300" s="238" t="n"/>
      <c r="C300" s="239" t="n"/>
      <c r="D300" s="239" t="n"/>
      <c r="E300" s="239" t="n"/>
      <c r="F300" s="240" t="n"/>
      <c r="G300" s="240" t="n"/>
      <c r="H300" s="241" t="n"/>
      <c r="I300" s="242" t="n"/>
      <c r="J300" s="242" t="n"/>
      <c r="K300" s="233" t="n"/>
      <c r="L300" s="233">
        <f>IF(K300&lt;&gt;"",(IF(H300="","",H300-(C300*COSTOS!$C$6+D300*COSTOS!$C$7+E300*COSTOS!$C$8+F300*COSTOS!$C$9+G300*COSTOS!$C$10)))+K300,IF(H300="","",H300-(C300*COSTOS!$C$6+D300*COSTOS!$C$7+E300*COSTOS!$C$8+F300*COSTOS!$C$9+G300*COSTOS!$C$10)))</f>
        <v/>
      </c>
      <c r="M300" s="156" t="n"/>
      <c r="N300" s="156" t="n"/>
      <c r="O300" s="156" t="n"/>
    </row>
    <row r="301" ht="18.75" customHeight="1" s="153">
      <c r="A301" s="227" t="n"/>
      <c r="B301" s="228" t="n"/>
      <c r="C301" s="229" t="n"/>
      <c r="D301" s="229" t="n"/>
      <c r="E301" s="229" t="n"/>
      <c r="F301" s="230" t="n"/>
      <c r="G301" s="230" t="n"/>
      <c r="H301" s="231" t="n"/>
      <c r="I301" s="232" t="n"/>
      <c r="J301" s="232" t="n"/>
      <c r="K301" s="233" t="n"/>
      <c r="L301" s="233">
        <f>IF(K301&lt;&gt;"",(IF(H301="","",H301-(C301*COSTOS!$C$6+D301*COSTOS!$C$7+E301*COSTOS!$C$8+F301*COSTOS!$C$9+G301*COSTOS!$C$10)))+K301,IF(H301="","",H301-(C301*COSTOS!$C$6+D301*COSTOS!$C$7+E301*COSTOS!$C$8+F301*COSTOS!$C$9+G301*COSTOS!$C$10)))</f>
        <v/>
      </c>
      <c r="M301" s="156" t="n"/>
      <c r="N301" s="156" t="n"/>
      <c r="O301" s="156" t="n"/>
    </row>
    <row r="302" ht="18.75" customHeight="1" s="153">
      <c r="A302" s="237" t="n"/>
      <c r="B302" s="238" t="n"/>
      <c r="C302" s="239" t="n"/>
      <c r="D302" s="239" t="n"/>
      <c r="E302" s="239" t="n"/>
      <c r="F302" s="240" t="n"/>
      <c r="G302" s="240" t="n"/>
      <c r="H302" s="241" t="n"/>
      <c r="I302" s="242" t="n"/>
      <c r="J302" s="242" t="n"/>
      <c r="K302" s="233" t="n"/>
      <c r="L302" s="233">
        <f>IF(K302&lt;&gt;"",(IF(H302="","",H302-(C302*COSTOS!$C$6+D302*COSTOS!$C$7+E302*COSTOS!$C$8+F302*COSTOS!$C$9+G302*COSTOS!$C$10)))+K302,IF(H302="","",H302-(C302*COSTOS!$C$6+D302*COSTOS!$C$7+E302*COSTOS!$C$8+F302*COSTOS!$C$9+G302*COSTOS!$C$10)))</f>
        <v/>
      </c>
      <c r="M302" s="156" t="n"/>
      <c r="N302" s="156" t="n"/>
      <c r="O302" s="156" t="n"/>
    </row>
    <row r="303" ht="18.75" customHeight="1" s="153">
      <c r="A303" s="227" t="n"/>
      <c r="B303" s="228" t="n"/>
      <c r="C303" s="229" t="n"/>
      <c r="D303" s="229" t="n"/>
      <c r="E303" s="229" t="n"/>
      <c r="F303" s="230" t="n"/>
      <c r="G303" s="230" t="n"/>
      <c r="H303" s="231" t="n"/>
      <c r="I303" s="232" t="n"/>
      <c r="J303" s="232" t="n"/>
      <c r="K303" s="233" t="n"/>
      <c r="L303" s="233">
        <f>IF(K303&lt;&gt;"",(IF(H303="","",H303-(C303*COSTOS!$C$6+D303*COSTOS!$C$7+E303*COSTOS!$C$8+F303*COSTOS!$C$9+G303*COSTOS!$C$10)))+K303,IF(H303="","",H303-(C303*COSTOS!$C$6+D303*COSTOS!$C$7+E303*COSTOS!$C$8+F303*COSTOS!$C$9+G303*COSTOS!$C$10)))</f>
        <v/>
      </c>
      <c r="M303" s="156" t="n"/>
      <c r="N303" s="156" t="n"/>
      <c r="O303" s="156" t="n"/>
    </row>
    <row r="304" ht="18.75" customHeight="1" s="153">
      <c r="A304" s="237" t="n"/>
      <c r="B304" s="238" t="n"/>
      <c r="C304" s="239" t="n"/>
      <c r="D304" s="239" t="n"/>
      <c r="E304" s="239" t="n"/>
      <c r="F304" s="240" t="n"/>
      <c r="G304" s="240" t="n"/>
      <c r="H304" s="241" t="n"/>
      <c r="I304" s="242" t="n"/>
      <c r="J304" s="242" t="n"/>
      <c r="K304" s="233" t="n"/>
      <c r="L304" s="233">
        <f>IF(K304&lt;&gt;"",(IF(H304="","",H304-(C304*COSTOS!$C$6+D304*COSTOS!$C$7+E304*COSTOS!$C$8+F304*COSTOS!$C$9+G304*COSTOS!$C$10)))+K304,IF(H304="","",H304-(C304*COSTOS!$C$6+D304*COSTOS!$C$7+E304*COSTOS!$C$8+F304*COSTOS!$C$9+G304*COSTOS!$C$10)))</f>
        <v/>
      </c>
      <c r="M304" s="156" t="n"/>
      <c r="N304" s="156" t="n"/>
      <c r="O304" s="156" t="n"/>
    </row>
    <row r="305" ht="18.75" customHeight="1" s="153">
      <c r="A305" s="227" t="n"/>
      <c r="B305" s="228" t="n"/>
      <c r="C305" s="229" t="n"/>
      <c r="D305" s="229" t="n"/>
      <c r="E305" s="229" t="n"/>
      <c r="F305" s="230" t="n"/>
      <c r="G305" s="230" t="n"/>
      <c r="H305" s="231" t="n"/>
      <c r="I305" s="232" t="n"/>
      <c r="J305" s="232" t="n"/>
      <c r="K305" s="233" t="n"/>
      <c r="L305" s="233">
        <f>IF(K305&lt;&gt;"",(IF(H305="","",H305-(C305*COSTOS!$C$6+D305*COSTOS!$C$7+E305*COSTOS!$C$8+F305*COSTOS!$C$9+G305*COSTOS!$C$10)))+K305,IF(H305="","",H305-(C305*COSTOS!$C$6+D305*COSTOS!$C$7+E305*COSTOS!$C$8+F305*COSTOS!$C$9+G305*COSTOS!$C$10)))</f>
        <v/>
      </c>
      <c r="M305" s="156" t="n"/>
      <c r="N305" s="156" t="n"/>
      <c r="O305" s="156" t="n"/>
    </row>
    <row r="306" ht="18.75" customHeight="1" s="153">
      <c r="A306" s="237" t="n"/>
      <c r="B306" s="238" t="n"/>
      <c r="C306" s="239" t="n"/>
      <c r="D306" s="239" t="n"/>
      <c r="E306" s="239" t="n"/>
      <c r="F306" s="240" t="n"/>
      <c r="G306" s="240" t="n"/>
      <c r="H306" s="241" t="n"/>
      <c r="I306" s="242" t="n"/>
      <c r="J306" s="242" t="n"/>
      <c r="K306" s="233" t="n"/>
      <c r="L306" s="233">
        <f>IF(K306&lt;&gt;"",(IF(H306="","",H306-(C306*COSTOS!$C$6+D306*COSTOS!$C$7+E306*COSTOS!$C$8+F306*COSTOS!$C$9+G306*COSTOS!$C$10)))+K306,IF(H306="","",H306-(C306*COSTOS!$C$6+D306*COSTOS!$C$7+E306*COSTOS!$C$8+F306*COSTOS!$C$9+G306*COSTOS!$C$10)))</f>
        <v/>
      </c>
      <c r="M306" s="156" t="n"/>
      <c r="N306" s="156" t="n"/>
      <c r="O306" s="156" t="n"/>
    </row>
    <row r="307" ht="18.75" customHeight="1" s="153">
      <c r="A307" s="227" t="n"/>
      <c r="B307" s="228" t="n"/>
      <c r="C307" s="229" t="n"/>
      <c r="D307" s="229" t="n"/>
      <c r="E307" s="229" t="n"/>
      <c r="F307" s="230" t="n"/>
      <c r="G307" s="230" t="n"/>
      <c r="H307" s="231" t="n"/>
      <c r="I307" s="232" t="n"/>
      <c r="J307" s="232" t="n"/>
      <c r="K307" s="233" t="n"/>
      <c r="L307" s="233">
        <f>IF(K307&lt;&gt;"",(IF(H307="","",H307-(C307*COSTOS!$C$6+D307*COSTOS!$C$7+E307*COSTOS!$C$8+F307*COSTOS!$C$9+G307*COSTOS!$C$10)))+K307,IF(H307="","",H307-(C307*COSTOS!$C$6+D307*COSTOS!$C$7+E307*COSTOS!$C$8+F307*COSTOS!$C$9+G307*COSTOS!$C$10)))</f>
        <v/>
      </c>
      <c r="M307" s="156" t="n"/>
      <c r="N307" s="156" t="n"/>
      <c r="O307" s="156" t="n"/>
    </row>
    <row r="308" ht="18.75" customHeight="1" s="153">
      <c r="A308" s="237" t="n"/>
      <c r="B308" s="238" t="n"/>
      <c r="C308" s="239" t="n"/>
      <c r="D308" s="239" t="n"/>
      <c r="E308" s="239" t="n"/>
      <c r="F308" s="240" t="n"/>
      <c r="G308" s="240" t="n"/>
      <c r="H308" s="241" t="n"/>
      <c r="I308" s="242" t="n"/>
      <c r="J308" s="242" t="n"/>
      <c r="K308" s="233" t="n"/>
      <c r="L308" s="233">
        <f>IF(K308&lt;&gt;"",(IF(H308="","",H308-(C308*COSTOS!$C$6+D308*COSTOS!$C$7+E308*COSTOS!$C$8+F308*COSTOS!$C$9+G308*COSTOS!$C$10)))+K308,IF(H308="","",H308-(C308*COSTOS!$C$6+D308*COSTOS!$C$7+E308*COSTOS!$C$8+F308*COSTOS!$C$9+G308*COSTOS!$C$10)))</f>
        <v/>
      </c>
      <c r="M308" s="156" t="n"/>
      <c r="N308" s="156" t="n"/>
      <c r="O308" s="156" t="n"/>
    </row>
    <row r="309" ht="18.75" customHeight="1" s="153">
      <c r="A309" s="227" t="n"/>
      <c r="B309" s="228" t="n"/>
      <c r="C309" s="229" t="n"/>
      <c r="D309" s="229" t="n"/>
      <c r="E309" s="229" t="n"/>
      <c r="F309" s="230" t="n"/>
      <c r="G309" s="230" t="n"/>
      <c r="H309" s="231" t="n"/>
      <c r="I309" s="232" t="n"/>
      <c r="J309" s="232" t="n"/>
      <c r="K309" s="233" t="n"/>
      <c r="L309" s="233">
        <f>IF(K309&lt;&gt;"",(IF(H309="","",H309-(C309*COSTOS!$C$6+D309*COSTOS!$C$7+E309*COSTOS!$C$8+F309*COSTOS!$C$9+G309*COSTOS!$C$10)))+K309,IF(H309="","",H309-(C309*COSTOS!$C$6+D309*COSTOS!$C$7+E309*COSTOS!$C$8+F309*COSTOS!$C$9+G309*COSTOS!$C$10)))</f>
        <v/>
      </c>
      <c r="M309" s="156" t="n"/>
      <c r="N309" s="156" t="n"/>
      <c r="O309" s="156" t="n"/>
    </row>
    <row r="310" ht="18.75" customHeight="1" s="153">
      <c r="A310" s="237" t="n"/>
      <c r="B310" s="238" t="n"/>
      <c r="C310" s="239" t="n"/>
      <c r="D310" s="239" t="n"/>
      <c r="E310" s="239" t="n"/>
      <c r="F310" s="240" t="n"/>
      <c r="G310" s="240" t="n"/>
      <c r="H310" s="241" t="n"/>
      <c r="I310" s="242" t="n"/>
      <c r="J310" s="242" t="n"/>
      <c r="K310" s="233" t="n"/>
      <c r="L310" s="233">
        <f>IF(K310&lt;&gt;"",(IF(H310="","",H310-(C310*COSTOS!$C$6+D310*COSTOS!$C$7+E310*COSTOS!$C$8+F310*COSTOS!$C$9+G310*COSTOS!$C$10)))+K310,IF(H310="","",H310-(C310*COSTOS!$C$6+D310*COSTOS!$C$7+E310*COSTOS!$C$8+F310*COSTOS!$C$9+G310*COSTOS!$C$10)))</f>
        <v/>
      </c>
      <c r="M310" s="156" t="n"/>
      <c r="N310" s="156" t="n"/>
      <c r="O310" s="156" t="n"/>
    </row>
    <row r="311" ht="18.75" customHeight="1" s="153">
      <c r="A311" s="227" t="n"/>
      <c r="B311" s="228" t="n"/>
      <c r="C311" s="229" t="n"/>
      <c r="D311" s="229" t="n"/>
      <c r="E311" s="229" t="n"/>
      <c r="F311" s="230" t="n"/>
      <c r="G311" s="230" t="n"/>
      <c r="H311" s="231" t="n"/>
      <c r="I311" s="232" t="n"/>
      <c r="J311" s="232" t="n"/>
      <c r="K311" s="233" t="n"/>
      <c r="L311" s="233">
        <f>IF(K311&lt;&gt;"",(IF(H311="","",H311-(C311*COSTOS!$C$6+D311*COSTOS!$C$7+E311*COSTOS!$C$8+F311*COSTOS!$C$9+G311*COSTOS!$C$10)))+K311,IF(H311="","",H311-(C311*COSTOS!$C$6+D311*COSTOS!$C$7+E311*COSTOS!$C$8+F311*COSTOS!$C$9+G311*COSTOS!$C$10)))</f>
        <v/>
      </c>
      <c r="M311" s="156" t="n"/>
      <c r="N311" s="156" t="n"/>
      <c r="O311" s="156" t="n"/>
    </row>
    <row r="312" ht="18.75" customHeight="1" s="153">
      <c r="A312" s="237" t="n"/>
      <c r="B312" s="238" t="n"/>
      <c r="C312" s="239" t="n"/>
      <c r="D312" s="239" t="n"/>
      <c r="E312" s="239" t="n"/>
      <c r="F312" s="240" t="n"/>
      <c r="G312" s="240" t="n"/>
      <c r="H312" s="241" t="n"/>
      <c r="I312" s="242" t="n"/>
      <c r="J312" s="242" t="n"/>
      <c r="K312" s="233" t="n"/>
      <c r="L312" s="233">
        <f>IF(K312&lt;&gt;"",(IF(H312="","",H312-(C312*COSTOS!$C$6+D312*COSTOS!$C$7+E312*COSTOS!$C$8+F312*COSTOS!$C$9+G312*COSTOS!$C$10)))+K312,IF(H312="","",H312-(C312*COSTOS!$C$6+D312*COSTOS!$C$7+E312*COSTOS!$C$8+F312*COSTOS!$C$9+G312*COSTOS!$C$10)))</f>
        <v/>
      </c>
      <c r="M312" s="156" t="n"/>
      <c r="N312" s="156" t="n"/>
      <c r="O312" s="156" t="n"/>
    </row>
    <row r="313" ht="18.75" customHeight="1" s="153">
      <c r="A313" s="227" t="n"/>
      <c r="B313" s="228" t="n"/>
      <c r="C313" s="229" t="n"/>
      <c r="D313" s="229" t="n"/>
      <c r="E313" s="229" t="n"/>
      <c r="F313" s="230" t="n"/>
      <c r="G313" s="230" t="n"/>
      <c r="H313" s="231" t="n"/>
      <c r="I313" s="232" t="n"/>
      <c r="J313" s="232" t="n"/>
      <c r="K313" s="233" t="n"/>
      <c r="L313" s="233">
        <f>IF(K313&lt;&gt;"",(IF(H313="","",H313-(C313*COSTOS!$C$6+D313*COSTOS!$C$7+E313*COSTOS!$C$8+F313*COSTOS!$C$9+G313*COSTOS!$C$10)))+K313,IF(H313="","",H313-(C313*COSTOS!$C$6+D313*COSTOS!$C$7+E313*COSTOS!$C$8+F313*COSTOS!$C$9+G313*COSTOS!$C$10)))</f>
        <v/>
      </c>
      <c r="M313" s="156" t="n"/>
      <c r="N313" s="156" t="n"/>
      <c r="O313" s="156" t="n"/>
    </row>
    <row r="314" ht="18.75" customHeight="1" s="153">
      <c r="A314" s="237" t="n"/>
      <c r="B314" s="238" t="n"/>
      <c r="C314" s="239" t="n"/>
      <c r="D314" s="239" t="n"/>
      <c r="E314" s="239" t="n"/>
      <c r="F314" s="240" t="n"/>
      <c r="G314" s="240" t="n"/>
      <c r="H314" s="241" t="n"/>
      <c r="I314" s="242" t="n"/>
      <c r="J314" s="242" t="n"/>
      <c r="K314" s="233" t="n"/>
      <c r="L314" s="233">
        <f>IF(K314&lt;&gt;"",(IF(H314="","",H314-(C314*COSTOS!$C$6+D314*COSTOS!$C$7+E314*COSTOS!$C$8+F314*COSTOS!$C$9+G314*COSTOS!$C$10)))+K314,IF(H314="","",H314-(C314*COSTOS!$C$6+D314*COSTOS!$C$7+E314*COSTOS!$C$8+F314*COSTOS!$C$9+G314*COSTOS!$C$10)))</f>
        <v/>
      </c>
      <c r="M314" s="156" t="n"/>
      <c r="N314" s="156" t="n"/>
      <c r="O314" s="156" t="n"/>
    </row>
    <row r="315" ht="18.75" customHeight="1" s="153">
      <c r="A315" s="227" t="n"/>
      <c r="B315" s="228" t="n"/>
      <c r="C315" s="229" t="n"/>
      <c r="D315" s="229" t="n"/>
      <c r="E315" s="229" t="n"/>
      <c r="F315" s="230" t="n"/>
      <c r="G315" s="230" t="n"/>
      <c r="H315" s="231" t="n"/>
      <c r="I315" s="232" t="n"/>
      <c r="J315" s="232" t="n"/>
      <c r="K315" s="233" t="n"/>
      <c r="L315" s="233">
        <f>IF(K315&lt;&gt;"",(IF(H315="","",H315-(C315*COSTOS!$C$6+D315*COSTOS!$C$7+E315*COSTOS!$C$8+F315*COSTOS!$C$9+G315*COSTOS!$C$10)))+K315,IF(H315="","",H315-(C315*COSTOS!$C$6+D315*COSTOS!$C$7+E315*COSTOS!$C$8+F315*COSTOS!$C$9+G315*COSTOS!$C$10)))</f>
        <v/>
      </c>
      <c r="M315" s="156" t="n"/>
      <c r="N315" s="156" t="n"/>
      <c r="O315" s="156" t="n"/>
    </row>
    <row r="316" ht="18.75" customHeight="1" s="153">
      <c r="A316" s="237" t="n"/>
      <c r="B316" s="238" t="n"/>
      <c r="C316" s="239" t="n"/>
      <c r="D316" s="239" t="n"/>
      <c r="E316" s="239" t="n"/>
      <c r="F316" s="240" t="n"/>
      <c r="G316" s="240" t="n"/>
      <c r="H316" s="241" t="n"/>
      <c r="I316" s="242" t="n"/>
      <c r="J316" s="242" t="n"/>
      <c r="K316" s="233" t="n"/>
      <c r="L316" s="233">
        <f>IF(K316&lt;&gt;"",(IF(H316="","",H316-(C316*COSTOS!$C$6+D316*COSTOS!$C$7+E316*COSTOS!$C$8+F316*COSTOS!$C$9+G316*COSTOS!$C$10)))+K316,IF(H316="","",H316-(C316*COSTOS!$C$6+D316*COSTOS!$C$7+E316*COSTOS!$C$8+F316*COSTOS!$C$9+G316*COSTOS!$C$10)))</f>
        <v/>
      </c>
      <c r="M316" s="156" t="n"/>
      <c r="N316" s="156" t="n"/>
      <c r="O316" s="156" t="n"/>
    </row>
    <row r="317" ht="18.75" customHeight="1" s="153">
      <c r="A317" s="227" t="n"/>
      <c r="B317" s="228" t="n"/>
      <c r="C317" s="229" t="n"/>
      <c r="D317" s="229" t="n"/>
      <c r="E317" s="229" t="n"/>
      <c r="F317" s="230" t="n"/>
      <c r="G317" s="230" t="n"/>
      <c r="H317" s="231" t="n"/>
      <c r="I317" s="232" t="n"/>
      <c r="J317" s="232" t="n"/>
      <c r="K317" s="233" t="n"/>
      <c r="L317" s="233">
        <f>IF(K317&lt;&gt;"",(IF(H317="","",H317-(C317*COSTOS!$C$6+D317*COSTOS!$C$7+E317*COSTOS!$C$8+F317*COSTOS!$C$9+G317*COSTOS!$C$10)))+K317,IF(H317="","",H317-(C317*COSTOS!$C$6+D317*COSTOS!$C$7+E317*COSTOS!$C$8+F317*COSTOS!$C$9+G317*COSTOS!$C$10)))</f>
        <v/>
      </c>
      <c r="M317" s="156" t="n"/>
      <c r="N317" s="156" t="n"/>
      <c r="O317" s="156" t="n"/>
    </row>
    <row r="318" ht="18.75" customHeight="1" s="153">
      <c r="A318" s="237" t="n"/>
      <c r="B318" s="238" t="n"/>
      <c r="C318" s="239" t="n"/>
      <c r="D318" s="239" t="n"/>
      <c r="E318" s="239" t="n"/>
      <c r="F318" s="240" t="n"/>
      <c r="G318" s="240" t="n"/>
      <c r="H318" s="241" t="n"/>
      <c r="I318" s="242" t="n"/>
      <c r="J318" s="242" t="n"/>
      <c r="K318" s="233" t="n"/>
      <c r="L318" s="233">
        <f>IF(K318&lt;&gt;"",(IF(H318="","",H318-(C318*COSTOS!$C$6+D318*COSTOS!$C$7+E318*COSTOS!$C$8+F318*COSTOS!$C$9+G318*COSTOS!$C$10)))+K318,IF(H318="","",H318-(C318*COSTOS!$C$6+D318*COSTOS!$C$7+E318*COSTOS!$C$8+F318*COSTOS!$C$9+G318*COSTOS!$C$10)))</f>
        <v/>
      </c>
      <c r="M318" s="156" t="n"/>
      <c r="N318" s="156" t="n"/>
      <c r="O318" s="156" t="n"/>
    </row>
    <row r="319" ht="18.75" customHeight="1" s="153">
      <c r="A319" s="227" t="n"/>
      <c r="B319" s="228" t="n"/>
      <c r="C319" s="229" t="n"/>
      <c r="D319" s="229" t="n"/>
      <c r="E319" s="229" t="n"/>
      <c r="F319" s="230" t="n"/>
      <c r="G319" s="230" t="n"/>
      <c r="H319" s="231" t="n"/>
      <c r="I319" s="232" t="n"/>
      <c r="J319" s="232" t="n"/>
      <c r="K319" s="233" t="n"/>
      <c r="L319" s="233">
        <f>IF(K319&lt;&gt;"",(IF(H319="","",H319-(C319*COSTOS!$C$6+D319*COSTOS!$C$7+E319*COSTOS!$C$8+F319*COSTOS!$C$9+G319*COSTOS!$C$10)))+K319,IF(H319="","",H319-(C319*COSTOS!$C$6+D319*COSTOS!$C$7+E319*COSTOS!$C$8+F319*COSTOS!$C$9+G319*COSTOS!$C$10)))</f>
        <v/>
      </c>
      <c r="M319" s="156" t="n"/>
      <c r="N319" s="156" t="n"/>
      <c r="O319" s="156" t="n"/>
    </row>
    <row r="320" ht="18.75" customHeight="1" s="153">
      <c r="A320" s="237" t="n"/>
      <c r="B320" s="238" t="n"/>
      <c r="C320" s="239" t="n"/>
      <c r="D320" s="239" t="n"/>
      <c r="E320" s="239" t="n"/>
      <c r="F320" s="240" t="n"/>
      <c r="G320" s="240" t="n"/>
      <c r="H320" s="241" t="n"/>
      <c r="I320" s="242" t="n"/>
      <c r="J320" s="242" t="n"/>
      <c r="K320" s="233" t="n"/>
      <c r="L320" s="233">
        <f>IF(K320&lt;&gt;"",(IF(H320="","",H320-(C320*COSTOS!$C$6+D320*COSTOS!$C$7+E320*COSTOS!$C$8+F320*COSTOS!$C$9+G320*COSTOS!$C$10)))+K320,IF(H320="","",H320-(C320*COSTOS!$C$6+D320*COSTOS!$C$7+E320*COSTOS!$C$8+F320*COSTOS!$C$9+G320*COSTOS!$C$10)))</f>
        <v/>
      </c>
      <c r="M320" s="156" t="n"/>
      <c r="N320" s="156" t="n"/>
      <c r="O320" s="156" t="n"/>
    </row>
    <row r="321" ht="18.75" customHeight="1" s="153">
      <c r="A321" s="227" t="n"/>
      <c r="B321" s="228" t="n"/>
      <c r="C321" s="229" t="n"/>
      <c r="D321" s="229" t="n"/>
      <c r="E321" s="229" t="n"/>
      <c r="F321" s="230" t="n"/>
      <c r="G321" s="230" t="n"/>
      <c r="H321" s="231" t="n"/>
      <c r="I321" s="232" t="n"/>
      <c r="J321" s="232" t="n"/>
      <c r="K321" s="233" t="n"/>
      <c r="L321" s="233">
        <f>IF(K321&lt;&gt;"",(IF(H321="","",H321-(C321*COSTOS!$C$6+D321*COSTOS!$C$7+E321*COSTOS!$C$8+F321*COSTOS!$C$9+G321*COSTOS!$C$10)))+K321,IF(H321="","",H321-(C321*COSTOS!$C$6+D321*COSTOS!$C$7+E321*COSTOS!$C$8+F321*COSTOS!$C$9+G321*COSTOS!$C$10)))</f>
        <v/>
      </c>
      <c r="M321" s="156" t="n"/>
      <c r="N321" s="156" t="n"/>
      <c r="O321" s="156" t="n"/>
    </row>
    <row r="322" ht="18.75" customHeight="1" s="153">
      <c r="A322" s="237" t="n"/>
      <c r="B322" s="238" t="n"/>
      <c r="C322" s="239" t="n"/>
      <c r="D322" s="239" t="n"/>
      <c r="E322" s="239" t="n"/>
      <c r="F322" s="240" t="n"/>
      <c r="G322" s="240" t="n"/>
      <c r="H322" s="241" t="n"/>
      <c r="I322" s="242" t="n"/>
      <c r="J322" s="242" t="n"/>
      <c r="K322" s="233" t="n"/>
      <c r="L322" s="233">
        <f>IF(K322&lt;&gt;"",(IF(H322="","",H322-(C322*COSTOS!$C$6+D322*COSTOS!$C$7+E322*COSTOS!$C$8+F322*COSTOS!$C$9+G322*COSTOS!$C$10)))+K322,IF(H322="","",H322-(C322*COSTOS!$C$6+D322*COSTOS!$C$7+E322*COSTOS!$C$8+F322*COSTOS!$C$9+G322*COSTOS!$C$10)))</f>
        <v/>
      </c>
      <c r="M322" s="156" t="n"/>
      <c r="N322" s="156" t="n"/>
      <c r="O322" s="156" t="n"/>
    </row>
    <row r="323" ht="18.75" customHeight="1" s="153">
      <c r="A323" s="227" t="n"/>
      <c r="B323" s="228" t="n"/>
      <c r="C323" s="229" t="n"/>
      <c r="D323" s="229" t="n"/>
      <c r="E323" s="229" t="n"/>
      <c r="F323" s="230" t="n"/>
      <c r="G323" s="230" t="n"/>
      <c r="H323" s="231" t="n"/>
      <c r="I323" s="232" t="n"/>
      <c r="J323" s="232" t="n"/>
      <c r="K323" s="233" t="n"/>
      <c r="L323" s="233">
        <f>IF(K323&lt;&gt;"",(IF(H323="","",H323-(C323*COSTOS!$C$6+D323*COSTOS!$C$7+E323*COSTOS!$C$8+F323*COSTOS!$C$9+G323*COSTOS!$C$10)))+K323,IF(H323="","",H323-(C323*COSTOS!$C$6+D323*COSTOS!$C$7+E323*COSTOS!$C$8+F323*COSTOS!$C$9+G323*COSTOS!$C$10)))</f>
        <v/>
      </c>
      <c r="M323" s="156" t="n"/>
      <c r="N323" s="156" t="n"/>
      <c r="O323" s="156" t="n"/>
    </row>
    <row r="324" ht="18.75" customHeight="1" s="153">
      <c r="A324" s="237" t="n"/>
      <c r="B324" s="238" t="n"/>
      <c r="C324" s="239" t="n"/>
      <c r="D324" s="239" t="n"/>
      <c r="E324" s="239" t="n"/>
      <c r="F324" s="240" t="n"/>
      <c r="G324" s="240" t="n"/>
      <c r="H324" s="241" t="n"/>
      <c r="I324" s="242" t="n"/>
      <c r="J324" s="242" t="n"/>
      <c r="K324" s="233" t="n"/>
      <c r="L324" s="233">
        <f>IF(K324&lt;&gt;"",(IF(H324="","",H324-(C324*COSTOS!$C$6+D324*COSTOS!$C$7+E324*COSTOS!$C$8+F324*COSTOS!$C$9+G324*COSTOS!$C$10)))+K324,IF(H324="","",H324-(C324*COSTOS!$C$6+D324*COSTOS!$C$7+E324*COSTOS!$C$8+F324*COSTOS!$C$9+G324*COSTOS!$C$10)))</f>
        <v/>
      </c>
      <c r="M324" s="156" t="n"/>
      <c r="N324" s="156" t="n"/>
      <c r="O324" s="156" t="n"/>
    </row>
    <row r="325" ht="18.75" customHeight="1" s="153">
      <c r="A325" s="227" t="n"/>
      <c r="B325" s="228" t="n"/>
      <c r="C325" s="229" t="n"/>
      <c r="D325" s="229" t="n"/>
      <c r="E325" s="229" t="n"/>
      <c r="F325" s="230" t="n"/>
      <c r="G325" s="230" t="n"/>
      <c r="H325" s="231" t="n"/>
      <c r="I325" s="232" t="n"/>
      <c r="J325" s="232" t="n"/>
      <c r="K325" s="233" t="n"/>
      <c r="L325" s="233">
        <f>IF(K325&lt;&gt;"",(IF(H325="","",H325-(C325*COSTOS!$C$6+D325*COSTOS!$C$7+E325*COSTOS!$C$8+F325*COSTOS!$C$9+G325*COSTOS!$C$10)))+K325,IF(H325="","",H325-(C325*COSTOS!$C$6+D325*COSTOS!$C$7+E325*COSTOS!$C$8+F325*COSTOS!$C$9+G325*COSTOS!$C$10)))</f>
        <v/>
      </c>
      <c r="M325" s="156" t="n"/>
      <c r="N325" s="156" t="n"/>
      <c r="O325" s="156" t="n"/>
    </row>
    <row r="326" ht="18.75" customHeight="1" s="153">
      <c r="A326" s="237" t="n"/>
      <c r="B326" s="238" t="n"/>
      <c r="C326" s="239" t="n"/>
      <c r="D326" s="239" t="n"/>
      <c r="E326" s="239" t="n"/>
      <c r="F326" s="240" t="n"/>
      <c r="G326" s="240" t="n"/>
      <c r="H326" s="241" t="n"/>
      <c r="I326" s="242" t="n"/>
      <c r="J326" s="242" t="n"/>
      <c r="K326" s="233" t="n"/>
      <c r="L326" s="233">
        <f>IF(K326&lt;&gt;"",(IF(H326="","",H326-(C326*COSTOS!$C$6+D326*COSTOS!$C$7+E326*COSTOS!$C$8+F326*COSTOS!$C$9+G326*COSTOS!$C$10)))+K326,IF(H326="","",H326-(C326*COSTOS!$C$6+D326*COSTOS!$C$7+E326*COSTOS!$C$8+F326*COSTOS!$C$9+G326*COSTOS!$C$10)))</f>
        <v/>
      </c>
      <c r="M326" s="156" t="n"/>
      <c r="N326" s="156" t="n"/>
      <c r="O326" s="156" t="n"/>
    </row>
    <row r="327" ht="18.75" customHeight="1" s="153">
      <c r="A327" s="227" t="n"/>
      <c r="B327" s="228" t="n"/>
      <c r="C327" s="229" t="n"/>
      <c r="D327" s="229" t="n"/>
      <c r="E327" s="229" t="n"/>
      <c r="F327" s="230" t="n"/>
      <c r="G327" s="230" t="n"/>
      <c r="H327" s="231" t="n"/>
      <c r="I327" s="232" t="n"/>
      <c r="J327" s="232" t="n"/>
      <c r="K327" s="233" t="n"/>
      <c r="L327" s="233">
        <f>IF(K327&lt;&gt;"",(IF(H327="","",H327-(C327*COSTOS!$C$6+D327*COSTOS!$C$7+E327*COSTOS!$C$8+F327*COSTOS!$C$9+G327*COSTOS!$C$10)))+K327,IF(H327="","",H327-(C327*COSTOS!$C$6+D327*COSTOS!$C$7+E327*COSTOS!$C$8+F327*COSTOS!$C$9+G327*COSTOS!$C$10)))</f>
        <v/>
      </c>
      <c r="M327" s="156" t="n"/>
      <c r="N327" s="156" t="n"/>
      <c r="O327" s="156" t="n"/>
    </row>
    <row r="328" ht="18.75" customHeight="1" s="153">
      <c r="A328" s="237" t="n"/>
      <c r="B328" s="238" t="n"/>
      <c r="C328" s="239" t="n"/>
      <c r="D328" s="239" t="n"/>
      <c r="E328" s="239" t="n"/>
      <c r="F328" s="240" t="n"/>
      <c r="G328" s="240" t="n"/>
      <c r="H328" s="241" t="n"/>
      <c r="I328" s="242" t="n"/>
      <c r="J328" s="242" t="n"/>
      <c r="K328" s="233" t="n"/>
      <c r="L328" s="233">
        <f>IF(K328&lt;&gt;"",(IF(H328="","",H328-(C328*COSTOS!$C$6+D328*COSTOS!$C$7+E328*COSTOS!$C$8+F328*COSTOS!$C$9+G328*COSTOS!$C$10)))+K328,IF(H328="","",H328-(C328*COSTOS!$C$6+D328*COSTOS!$C$7+E328*COSTOS!$C$8+F328*COSTOS!$C$9+G328*COSTOS!$C$10)))</f>
        <v/>
      </c>
      <c r="M328" s="156" t="n"/>
      <c r="N328" s="156" t="n"/>
      <c r="O328" s="156" t="n"/>
    </row>
    <row r="329" ht="18.75" customHeight="1" s="153">
      <c r="A329" s="227" t="n"/>
      <c r="B329" s="228" t="n"/>
      <c r="C329" s="229" t="n"/>
      <c r="D329" s="229" t="n"/>
      <c r="E329" s="229" t="n"/>
      <c r="F329" s="230" t="n"/>
      <c r="G329" s="230" t="n"/>
      <c r="H329" s="231" t="n"/>
      <c r="I329" s="232" t="n"/>
      <c r="J329" s="232" t="n"/>
      <c r="K329" s="233" t="n"/>
      <c r="L329" s="233">
        <f>IF(K329&lt;&gt;"",(IF(H329="","",H329-(C329*COSTOS!$C$6+D329*COSTOS!$C$7+E329*COSTOS!$C$8+F329*COSTOS!$C$9+G329*COSTOS!$C$10)))+K329,IF(H329="","",H329-(C329*COSTOS!$C$6+D329*COSTOS!$C$7+E329*COSTOS!$C$8+F329*COSTOS!$C$9+G329*COSTOS!$C$10)))</f>
        <v/>
      </c>
      <c r="M329" s="156" t="n"/>
      <c r="N329" s="156" t="n"/>
      <c r="O329" s="156" t="n"/>
    </row>
    <row r="330" ht="18.75" customHeight="1" s="153">
      <c r="A330" s="237" t="n"/>
      <c r="B330" s="238" t="n"/>
      <c r="C330" s="239" t="n"/>
      <c r="D330" s="239" t="n"/>
      <c r="E330" s="239" t="n"/>
      <c r="F330" s="240" t="n"/>
      <c r="G330" s="240" t="n"/>
      <c r="H330" s="241" t="n"/>
      <c r="I330" s="242" t="n"/>
      <c r="J330" s="242" t="n"/>
      <c r="K330" s="233" t="n"/>
      <c r="L330" s="233">
        <f>IF(K330&lt;&gt;"",(IF(H330="","",H330-(C330*COSTOS!$C$6+D330*COSTOS!$C$7+E330*COSTOS!$C$8+F330*COSTOS!$C$9+G330*COSTOS!$C$10)))+K330,IF(H330="","",H330-(C330*COSTOS!$C$6+D330*COSTOS!$C$7+E330*COSTOS!$C$8+F330*COSTOS!$C$9+G330*COSTOS!$C$10)))</f>
        <v/>
      </c>
      <c r="M330" s="156" t="n"/>
      <c r="N330" s="156" t="n"/>
      <c r="O330" s="156" t="n"/>
    </row>
    <row r="331" ht="18.75" customHeight="1" s="153">
      <c r="A331" s="227" t="n"/>
      <c r="B331" s="228" t="n"/>
      <c r="C331" s="229" t="n"/>
      <c r="D331" s="229" t="n"/>
      <c r="E331" s="229" t="n"/>
      <c r="F331" s="230" t="n"/>
      <c r="G331" s="230" t="n"/>
      <c r="H331" s="231" t="n"/>
      <c r="I331" s="232" t="n"/>
      <c r="J331" s="232" t="n"/>
      <c r="K331" s="233" t="n"/>
      <c r="L331" s="233">
        <f>IF(K331&lt;&gt;"",(IF(H331="","",H331-(C331*COSTOS!$C$6+D331*COSTOS!$C$7+E331*COSTOS!$C$8+F331*COSTOS!$C$9+G331*COSTOS!$C$10)))+K331,IF(H331="","",H331-(C331*COSTOS!$C$6+D331*COSTOS!$C$7+E331*COSTOS!$C$8+F331*COSTOS!$C$9+G331*COSTOS!$C$10)))</f>
        <v/>
      </c>
      <c r="M331" s="156" t="n"/>
      <c r="N331" s="156" t="n"/>
      <c r="O331" s="156" t="n"/>
    </row>
    <row r="332" ht="18.75" customHeight="1" s="153">
      <c r="A332" s="237" t="n"/>
      <c r="B332" s="238" t="n"/>
      <c r="C332" s="239" t="n"/>
      <c r="D332" s="239" t="n"/>
      <c r="E332" s="239" t="n"/>
      <c r="F332" s="240" t="n"/>
      <c r="G332" s="240" t="n"/>
      <c r="H332" s="241" t="n"/>
      <c r="I332" s="242" t="n"/>
      <c r="J332" s="242" t="n"/>
      <c r="K332" s="233" t="n"/>
      <c r="L332" s="233">
        <f>IF(K332&lt;&gt;"",(IF(H332="","",H332-(C332*COSTOS!$C$6+D332*COSTOS!$C$7+E332*COSTOS!$C$8+F332*COSTOS!$C$9+G332*COSTOS!$C$10)))+K332,IF(H332="","",H332-(C332*COSTOS!$C$6+D332*COSTOS!$C$7+E332*COSTOS!$C$8+F332*COSTOS!$C$9+G332*COSTOS!$C$10)))</f>
        <v/>
      </c>
      <c r="M332" s="156" t="n"/>
      <c r="N332" s="156" t="n"/>
      <c r="O332" s="156" t="n"/>
    </row>
    <row r="333" ht="18.75" customHeight="1" s="153">
      <c r="A333" s="227" t="n"/>
      <c r="B333" s="228" t="n"/>
      <c r="C333" s="229" t="n"/>
      <c r="D333" s="229" t="n"/>
      <c r="E333" s="229" t="n"/>
      <c r="F333" s="230" t="n"/>
      <c r="G333" s="230" t="n"/>
      <c r="H333" s="231" t="n"/>
      <c r="I333" s="232" t="n"/>
      <c r="J333" s="232" t="n"/>
      <c r="K333" s="233" t="n"/>
      <c r="L333" s="233">
        <f>IF(K333&lt;&gt;"",(IF(H333="","",H333-(C333*COSTOS!$C$6+D333*COSTOS!$C$7+E333*COSTOS!$C$8+F333*COSTOS!$C$9+G333*COSTOS!$C$10)))+K333,IF(H333="","",H333-(C333*COSTOS!$C$6+D333*COSTOS!$C$7+E333*COSTOS!$C$8+F333*COSTOS!$C$9+G333*COSTOS!$C$10)))</f>
        <v/>
      </c>
      <c r="M333" s="156" t="n"/>
      <c r="N333" s="156" t="n"/>
      <c r="O333" s="156" t="n"/>
    </row>
    <row r="334" ht="18.75" customHeight="1" s="153">
      <c r="A334" s="237" t="n"/>
      <c r="B334" s="238" t="n"/>
      <c r="C334" s="239" t="n"/>
      <c r="D334" s="239" t="n"/>
      <c r="E334" s="239" t="n"/>
      <c r="F334" s="240" t="n"/>
      <c r="G334" s="240" t="n"/>
      <c r="H334" s="241" t="n"/>
      <c r="I334" s="242" t="n"/>
      <c r="J334" s="242" t="n"/>
      <c r="K334" s="233" t="n"/>
      <c r="L334" s="233">
        <f>IF(K334&lt;&gt;"",(IF(H334="","",H334-(C334*COSTOS!$C$6+D334*COSTOS!$C$7+E334*COSTOS!$C$8+F334*COSTOS!$C$9+G334*COSTOS!$C$10)))+K334,IF(H334="","",H334-(C334*COSTOS!$C$6+D334*COSTOS!$C$7+E334*COSTOS!$C$8+F334*COSTOS!$C$9+G334*COSTOS!$C$10)))</f>
        <v/>
      </c>
      <c r="M334" s="156" t="n"/>
      <c r="N334" s="156" t="n"/>
      <c r="O334" s="156" t="n"/>
    </row>
    <row r="335" ht="18.75" customHeight="1" s="153">
      <c r="A335" s="227" t="n"/>
      <c r="B335" s="228" t="n"/>
      <c r="C335" s="229" t="n"/>
      <c r="D335" s="229" t="n"/>
      <c r="E335" s="229" t="n"/>
      <c r="F335" s="230" t="n"/>
      <c r="G335" s="230" t="n"/>
      <c r="H335" s="231" t="n"/>
      <c r="I335" s="232" t="n"/>
      <c r="J335" s="232" t="n"/>
      <c r="K335" s="233" t="n"/>
      <c r="L335" s="233">
        <f>IF(K335&lt;&gt;"",(IF(H335="","",H335-(C335*COSTOS!$C$6+D335*COSTOS!$C$7+E335*COSTOS!$C$8+F335*COSTOS!$C$9+G335*COSTOS!$C$10)))+K335,IF(H335="","",H335-(C335*COSTOS!$C$6+D335*COSTOS!$C$7+E335*COSTOS!$C$8+F335*COSTOS!$C$9+G335*COSTOS!$C$10)))</f>
        <v/>
      </c>
      <c r="M335" s="156" t="n"/>
      <c r="N335" s="156" t="n"/>
      <c r="O335" s="156" t="n"/>
    </row>
    <row r="336" ht="18.75" customHeight="1" s="153">
      <c r="A336" s="237" t="n"/>
      <c r="B336" s="238" t="n"/>
      <c r="C336" s="239" t="n"/>
      <c r="D336" s="239" t="n"/>
      <c r="E336" s="239" t="n"/>
      <c r="F336" s="240" t="n"/>
      <c r="G336" s="240" t="n"/>
      <c r="H336" s="241" t="n"/>
      <c r="I336" s="242" t="n"/>
      <c r="J336" s="242" t="n"/>
      <c r="K336" s="233" t="n"/>
      <c r="L336" s="233">
        <f>IF(K336&lt;&gt;"",(IF(H336="","",H336-(C336*COSTOS!$C$6+D336*COSTOS!$C$7+E336*COSTOS!$C$8+F336*COSTOS!$C$9+G336*COSTOS!$C$10)))+K336,IF(H336="","",H336-(C336*COSTOS!$C$6+D336*COSTOS!$C$7+E336*COSTOS!$C$8+F336*COSTOS!$C$9+G336*COSTOS!$C$10)))</f>
        <v/>
      </c>
      <c r="M336" s="156" t="n"/>
      <c r="N336" s="156" t="n"/>
      <c r="O336" s="156" t="n"/>
    </row>
    <row r="337" ht="18.75" customHeight="1" s="153">
      <c r="A337" s="227" t="n"/>
      <c r="B337" s="228" t="n"/>
      <c r="C337" s="229" t="n"/>
      <c r="D337" s="229" t="n"/>
      <c r="E337" s="229" t="n"/>
      <c r="F337" s="230" t="n"/>
      <c r="G337" s="230" t="n"/>
      <c r="H337" s="231" t="n"/>
      <c r="I337" s="232" t="n"/>
      <c r="J337" s="232" t="n"/>
      <c r="K337" s="233" t="n"/>
      <c r="L337" s="233">
        <f>IF(K337&lt;&gt;"",(IF(H337="","",H337-(C337*COSTOS!$C$6+D337*COSTOS!$C$7+E337*COSTOS!$C$8+F337*COSTOS!$C$9+G337*COSTOS!$C$10)))+K337,IF(H337="","",H337-(C337*COSTOS!$C$6+D337*COSTOS!$C$7+E337*COSTOS!$C$8+F337*COSTOS!$C$9+G337*COSTOS!$C$10)))</f>
        <v/>
      </c>
      <c r="M337" s="156" t="n"/>
      <c r="N337" s="156" t="n"/>
      <c r="O337" s="156" t="n"/>
    </row>
    <row r="338" ht="18.75" customHeight="1" s="153">
      <c r="A338" s="237" t="n"/>
      <c r="B338" s="238" t="n"/>
      <c r="C338" s="239" t="n"/>
      <c r="D338" s="239" t="n"/>
      <c r="E338" s="239" t="n"/>
      <c r="F338" s="240" t="n"/>
      <c r="G338" s="240" t="n"/>
      <c r="H338" s="241" t="n"/>
      <c r="I338" s="242" t="n"/>
      <c r="J338" s="242" t="n"/>
      <c r="K338" s="233" t="n"/>
      <c r="L338" s="233">
        <f>IF(K338&lt;&gt;"",(IF(H338="","",H338-(C338*COSTOS!$C$6+D338*COSTOS!$C$7+E338*COSTOS!$C$8+F338*COSTOS!$C$9+G338*COSTOS!$C$10)))+K338,IF(H338="","",H338-(C338*COSTOS!$C$6+D338*COSTOS!$C$7+E338*COSTOS!$C$8+F338*COSTOS!$C$9+G338*COSTOS!$C$10)))</f>
        <v/>
      </c>
      <c r="M338" s="156" t="n"/>
      <c r="N338" s="156" t="n"/>
      <c r="O338" s="156" t="n"/>
    </row>
    <row r="339" ht="18.75" customHeight="1" s="153">
      <c r="A339" s="227" t="n"/>
      <c r="B339" s="228" t="n"/>
      <c r="C339" s="229" t="n"/>
      <c r="D339" s="229" t="n"/>
      <c r="E339" s="229" t="n"/>
      <c r="F339" s="230" t="n"/>
      <c r="G339" s="230" t="n"/>
      <c r="H339" s="231" t="n"/>
      <c r="I339" s="232" t="n"/>
      <c r="J339" s="232" t="n"/>
      <c r="K339" s="233" t="n"/>
      <c r="L339" s="233">
        <f>IF(K339&lt;&gt;"",(IF(H339="","",H339-(C339*COSTOS!$C$6+D339*COSTOS!$C$7+E339*COSTOS!$C$8+F339*COSTOS!$C$9+G339*COSTOS!$C$10)))+K339,IF(H339="","",H339-(C339*COSTOS!$C$6+D339*COSTOS!$C$7+E339*COSTOS!$C$8+F339*COSTOS!$C$9+G339*COSTOS!$C$10)))</f>
        <v/>
      </c>
      <c r="M339" s="156" t="n"/>
      <c r="N339" s="156" t="n"/>
      <c r="O339" s="156" t="n"/>
    </row>
    <row r="340" ht="18.75" customHeight="1" s="153">
      <c r="A340" s="237" t="n"/>
      <c r="B340" s="238" t="n"/>
      <c r="C340" s="239" t="n"/>
      <c r="D340" s="239" t="n"/>
      <c r="E340" s="239" t="n"/>
      <c r="F340" s="240" t="n"/>
      <c r="G340" s="240" t="n"/>
      <c r="H340" s="241" t="n"/>
      <c r="I340" s="242" t="n"/>
      <c r="J340" s="242" t="n"/>
      <c r="K340" s="233" t="n"/>
      <c r="L340" s="233">
        <f>IF(K340&lt;&gt;"",(IF(H340="","",H340-(C340*COSTOS!$C$6+D340*COSTOS!$C$7+E340*COSTOS!$C$8+F340*COSTOS!$C$9+G340*COSTOS!$C$10)))+K340,IF(H340="","",H340-(C340*COSTOS!$C$6+D340*COSTOS!$C$7+E340*COSTOS!$C$8+F340*COSTOS!$C$9+G340*COSTOS!$C$10)))</f>
        <v/>
      </c>
      <c r="M340" s="156" t="n"/>
      <c r="N340" s="156" t="n"/>
      <c r="O340" s="156" t="n"/>
    </row>
    <row r="341" ht="18.75" customHeight="1" s="153">
      <c r="A341" s="227" t="n"/>
      <c r="B341" s="228" t="n"/>
      <c r="C341" s="229" t="n"/>
      <c r="D341" s="229" t="n"/>
      <c r="E341" s="229" t="n"/>
      <c r="F341" s="230" t="n"/>
      <c r="G341" s="230" t="n"/>
      <c r="H341" s="231" t="n"/>
      <c r="I341" s="232" t="n"/>
      <c r="J341" s="232" t="n"/>
      <c r="K341" s="233" t="n"/>
      <c r="L341" s="233">
        <f>IF(K341&lt;&gt;"",(IF(H341="","",H341-(C341*COSTOS!$C$6+D341*COSTOS!$C$7+E341*COSTOS!$C$8+F341*COSTOS!$C$9+G341*COSTOS!$C$10)))+K341,IF(H341="","",H341-(C341*COSTOS!$C$6+D341*COSTOS!$C$7+E341*COSTOS!$C$8+F341*COSTOS!$C$9+G341*COSTOS!$C$10)))</f>
        <v/>
      </c>
      <c r="M341" s="156" t="n"/>
      <c r="N341" s="156" t="n"/>
      <c r="O341" s="156" t="n"/>
    </row>
    <row r="342" ht="18.75" customHeight="1" s="153">
      <c r="A342" s="237" t="n"/>
      <c r="B342" s="238" t="n"/>
      <c r="C342" s="239" t="n"/>
      <c r="D342" s="239" t="n"/>
      <c r="E342" s="239" t="n"/>
      <c r="F342" s="240" t="n"/>
      <c r="G342" s="240" t="n"/>
      <c r="H342" s="241" t="n"/>
      <c r="I342" s="242" t="n"/>
      <c r="J342" s="242" t="n"/>
      <c r="K342" s="233" t="n"/>
      <c r="L342" s="233">
        <f>IF(K342&lt;&gt;"",(IF(H342="","",H342-(C342*COSTOS!$C$6+D342*COSTOS!$C$7+E342*COSTOS!$C$8+F342*COSTOS!$C$9+G342*COSTOS!$C$10)))+K342,IF(H342="","",H342-(C342*COSTOS!$C$6+D342*COSTOS!$C$7+E342*COSTOS!$C$8+F342*COSTOS!$C$9+G342*COSTOS!$C$10)))</f>
        <v/>
      </c>
      <c r="M342" s="156" t="n"/>
      <c r="N342" s="156" t="n"/>
      <c r="O342" s="156" t="n"/>
    </row>
    <row r="343" ht="18.75" customHeight="1" s="153">
      <c r="A343" s="227" t="n"/>
      <c r="B343" s="228" t="n"/>
      <c r="C343" s="229" t="n"/>
      <c r="D343" s="229" t="n"/>
      <c r="E343" s="229" t="n"/>
      <c r="F343" s="230" t="n"/>
      <c r="G343" s="230" t="n"/>
      <c r="H343" s="231" t="n"/>
      <c r="I343" s="232" t="n"/>
      <c r="J343" s="232" t="n"/>
      <c r="K343" s="233" t="n"/>
      <c r="L343" s="233">
        <f>IF(K343&lt;&gt;"",(IF(H343="","",H343-(C343*COSTOS!$C$6+D343*COSTOS!$C$7+E343*COSTOS!$C$8+F343*COSTOS!$C$9+G343*COSTOS!$C$10)))+K343,IF(H343="","",H343-(C343*COSTOS!$C$6+D343*COSTOS!$C$7+E343*COSTOS!$C$8+F343*COSTOS!$C$9+G343*COSTOS!$C$10)))</f>
        <v/>
      </c>
      <c r="M343" s="156" t="n"/>
      <c r="N343" s="156" t="n"/>
      <c r="O343" s="156" t="n"/>
    </row>
    <row r="344" ht="18.75" customHeight="1" s="153">
      <c r="A344" s="237" t="n"/>
      <c r="B344" s="238" t="n"/>
      <c r="C344" s="239" t="n"/>
      <c r="D344" s="239" t="n"/>
      <c r="E344" s="239" t="n"/>
      <c r="F344" s="240" t="n"/>
      <c r="G344" s="240" t="n"/>
      <c r="H344" s="241" t="n"/>
      <c r="I344" s="242" t="n"/>
      <c r="J344" s="242" t="n"/>
      <c r="K344" s="233" t="n"/>
      <c r="L344" s="233">
        <f>IF(K344&lt;&gt;"",(IF(H344="","",H344-(C344*COSTOS!$C$6+D344*COSTOS!$C$7+E344*COSTOS!$C$8+F344*COSTOS!$C$9+G344*COSTOS!$C$10)))+K344,IF(H344="","",H344-(C344*COSTOS!$C$6+D344*COSTOS!$C$7+E344*COSTOS!$C$8+F344*COSTOS!$C$9+G344*COSTOS!$C$10)))</f>
        <v/>
      </c>
      <c r="M344" s="156" t="n"/>
      <c r="N344" s="156" t="n"/>
      <c r="O344" s="156" t="n"/>
    </row>
    <row r="345" ht="18.75" customHeight="1" s="153">
      <c r="A345" s="227" t="n"/>
      <c r="B345" s="228" t="n"/>
      <c r="C345" s="229" t="n"/>
      <c r="D345" s="229" t="n"/>
      <c r="E345" s="229" t="n"/>
      <c r="F345" s="230" t="n"/>
      <c r="G345" s="230" t="n"/>
      <c r="H345" s="231" t="n"/>
      <c r="I345" s="232" t="n"/>
      <c r="J345" s="232" t="n"/>
      <c r="K345" s="233" t="n"/>
      <c r="L345" s="233">
        <f>IF(K345&lt;&gt;"",(IF(H345="","",H345-(C345*COSTOS!$C$6+D345*COSTOS!$C$7+E345*COSTOS!$C$8+F345*COSTOS!$C$9+G345*COSTOS!$C$10)))+K345,IF(H345="","",H345-(C345*COSTOS!$C$6+D345*COSTOS!$C$7+E345*COSTOS!$C$8+F345*COSTOS!$C$9+G345*COSTOS!$C$10)))</f>
        <v/>
      </c>
      <c r="M345" s="156" t="n"/>
      <c r="N345" s="156" t="n"/>
      <c r="O345" s="156" t="n"/>
    </row>
    <row r="346" ht="18.75" customHeight="1" s="153">
      <c r="A346" s="237" t="n"/>
      <c r="B346" s="238" t="n"/>
      <c r="C346" s="239" t="n"/>
      <c r="D346" s="239" t="n"/>
      <c r="E346" s="239" t="n"/>
      <c r="F346" s="240" t="n"/>
      <c r="G346" s="240" t="n"/>
      <c r="H346" s="241" t="n"/>
      <c r="I346" s="242" t="n"/>
      <c r="J346" s="242" t="n"/>
      <c r="K346" s="233" t="n"/>
      <c r="L346" s="233">
        <f>IF(K346&lt;&gt;"",(IF(H346="","",H346-(C346*COSTOS!$C$6+D346*COSTOS!$C$7+E346*COSTOS!$C$8+F346*COSTOS!$C$9+G346*COSTOS!$C$10)))+K346,IF(H346="","",H346-(C346*COSTOS!$C$6+D346*COSTOS!$C$7+E346*COSTOS!$C$8+F346*COSTOS!$C$9+G346*COSTOS!$C$10)))</f>
        <v/>
      </c>
      <c r="M346" s="156" t="n"/>
      <c r="N346" s="156" t="n"/>
      <c r="O346" s="156" t="n"/>
    </row>
    <row r="347" ht="18.75" customHeight="1" s="153">
      <c r="A347" s="227" t="n"/>
      <c r="B347" s="228" t="n"/>
      <c r="C347" s="229" t="n"/>
      <c r="D347" s="229" t="n"/>
      <c r="E347" s="229" t="n"/>
      <c r="F347" s="230" t="n"/>
      <c r="G347" s="230" t="n"/>
      <c r="H347" s="231" t="n"/>
      <c r="I347" s="232" t="n"/>
      <c r="J347" s="232" t="n"/>
      <c r="K347" s="233" t="n"/>
      <c r="L347" s="233">
        <f>IF(K347&lt;&gt;"",(IF(H347="","",H347-(C347*COSTOS!$C$6+D347*COSTOS!$C$7+E347*COSTOS!$C$8+F347*COSTOS!$C$9+G347*COSTOS!$C$10)))+K347,IF(H347="","",H347-(C347*COSTOS!$C$6+D347*COSTOS!$C$7+E347*COSTOS!$C$8+F347*COSTOS!$C$9+G347*COSTOS!$C$10)))</f>
        <v/>
      </c>
      <c r="M347" s="156" t="n"/>
      <c r="N347" s="156" t="n"/>
      <c r="O347" s="156" t="n"/>
    </row>
    <row r="348" ht="18.75" customHeight="1" s="153">
      <c r="A348" s="237" t="n"/>
      <c r="B348" s="238" t="n"/>
      <c r="C348" s="239" t="n"/>
      <c r="D348" s="239" t="n"/>
      <c r="E348" s="239" t="n"/>
      <c r="F348" s="240" t="n"/>
      <c r="G348" s="240" t="n"/>
      <c r="H348" s="241" t="n"/>
      <c r="I348" s="242" t="n"/>
      <c r="J348" s="242" t="n"/>
      <c r="K348" s="233" t="n"/>
      <c r="L348" s="233">
        <f>IF(K348&lt;&gt;"",(IF(H348="","",H348-(C348*COSTOS!$C$6+D348*COSTOS!$C$7+E348*COSTOS!$C$8+F348*COSTOS!$C$9+G348*COSTOS!$C$10)))+K348,IF(H348="","",H348-(C348*COSTOS!$C$6+D348*COSTOS!$C$7+E348*COSTOS!$C$8+F348*COSTOS!$C$9+G348*COSTOS!$C$10)))</f>
        <v/>
      </c>
      <c r="M348" s="156" t="n"/>
      <c r="N348" s="156" t="n"/>
      <c r="O348" s="156" t="n"/>
    </row>
    <row r="349" ht="18.75" customHeight="1" s="153">
      <c r="A349" s="227" t="n"/>
      <c r="B349" s="228" t="n"/>
      <c r="C349" s="229" t="n"/>
      <c r="D349" s="229" t="n"/>
      <c r="E349" s="229" t="n"/>
      <c r="F349" s="230" t="n"/>
      <c r="G349" s="230" t="n"/>
      <c r="H349" s="231" t="n"/>
      <c r="I349" s="232" t="n"/>
      <c r="J349" s="232" t="n"/>
      <c r="K349" s="233" t="n"/>
      <c r="L349" s="233">
        <f>IF(K349&lt;&gt;"",(IF(H349="","",H349-(C349*COSTOS!$C$6+D349*COSTOS!$C$7+E349*COSTOS!$C$8+F349*COSTOS!$C$9+G349*COSTOS!$C$10)))+K349,IF(H349="","",H349-(C349*COSTOS!$C$6+D349*COSTOS!$C$7+E349*COSTOS!$C$8+F349*COSTOS!$C$9+G349*COSTOS!$C$10)))</f>
        <v/>
      </c>
      <c r="M349" s="156" t="n"/>
      <c r="N349" s="156" t="n"/>
      <c r="O349" s="156" t="n"/>
    </row>
    <row r="350" ht="18.75" customHeight="1" s="153">
      <c r="A350" s="237" t="n"/>
      <c r="B350" s="238" t="n"/>
      <c r="C350" s="239" t="n"/>
      <c r="D350" s="239" t="n"/>
      <c r="E350" s="239" t="n"/>
      <c r="F350" s="240" t="n"/>
      <c r="G350" s="240" t="n"/>
      <c r="H350" s="241" t="n"/>
      <c r="I350" s="242" t="n"/>
      <c r="J350" s="242" t="n"/>
      <c r="K350" s="233" t="n"/>
      <c r="L350" s="233">
        <f>IF(K350&lt;&gt;"",(IF(H350="","",H350-(C350*COSTOS!$C$6+D350*COSTOS!$C$7+E350*COSTOS!$C$8+F350*COSTOS!$C$9+G350*COSTOS!$C$10)))+K350,IF(H350="","",H350-(C350*COSTOS!$C$6+D350*COSTOS!$C$7+E350*COSTOS!$C$8+F350*COSTOS!$C$9+G350*COSTOS!$C$10)))</f>
        <v/>
      </c>
      <c r="M350" s="156" t="n"/>
      <c r="N350" s="156" t="n"/>
      <c r="O350" s="156" t="n"/>
    </row>
    <row r="351" ht="18.75" customHeight="1" s="153">
      <c r="A351" s="227" t="n"/>
      <c r="B351" s="228" t="n"/>
      <c r="C351" s="229" t="n"/>
      <c r="D351" s="229" t="n"/>
      <c r="E351" s="229" t="n"/>
      <c r="F351" s="230" t="n"/>
      <c r="G351" s="230" t="n"/>
      <c r="H351" s="231" t="n"/>
      <c r="I351" s="232" t="n"/>
      <c r="J351" s="232" t="n"/>
      <c r="K351" s="233" t="n"/>
      <c r="L351" s="233">
        <f>IF(K351&lt;&gt;"",(IF(H351="","",H351-(C351*COSTOS!$C$6+D351*COSTOS!$C$7+E351*COSTOS!$C$8+F351*COSTOS!$C$9+G351*COSTOS!$C$10)))+K351,IF(H351="","",H351-(C351*COSTOS!$C$6+D351*COSTOS!$C$7+E351*COSTOS!$C$8+F351*COSTOS!$C$9+G351*COSTOS!$C$10)))</f>
        <v/>
      </c>
      <c r="M351" s="156" t="n"/>
      <c r="N351" s="156" t="n"/>
      <c r="O351" s="156" t="n"/>
    </row>
    <row r="352" ht="18.75" customHeight="1" s="153">
      <c r="A352" s="237" t="n"/>
      <c r="B352" s="238" t="n"/>
      <c r="C352" s="239" t="n"/>
      <c r="D352" s="239" t="n"/>
      <c r="E352" s="239" t="n"/>
      <c r="F352" s="240" t="n"/>
      <c r="G352" s="240" t="n"/>
      <c r="H352" s="241" t="n"/>
      <c r="I352" s="242" t="n"/>
      <c r="J352" s="242" t="n"/>
      <c r="K352" s="233" t="n"/>
      <c r="L352" s="233">
        <f>IF(K352&lt;&gt;"",(IF(H352="","",H352-(C352*COSTOS!$C$6+D352*COSTOS!$C$7+E352*COSTOS!$C$8+F352*COSTOS!$C$9+G352*COSTOS!$C$10)))+K352,IF(H352="","",H352-(C352*COSTOS!$C$6+D352*COSTOS!$C$7+E352*COSTOS!$C$8+F352*COSTOS!$C$9+G352*COSTOS!$C$10)))</f>
        <v/>
      </c>
      <c r="M352" s="156" t="n"/>
      <c r="N352" s="156" t="n"/>
      <c r="O352" s="156" t="n"/>
    </row>
    <row r="353" ht="18.75" customHeight="1" s="153">
      <c r="A353" s="227" t="n"/>
      <c r="B353" s="228" t="n"/>
      <c r="C353" s="229" t="n"/>
      <c r="D353" s="229" t="n"/>
      <c r="E353" s="229" t="n"/>
      <c r="F353" s="230" t="n"/>
      <c r="G353" s="230" t="n"/>
      <c r="H353" s="231" t="n"/>
      <c r="I353" s="232" t="n"/>
      <c r="J353" s="232" t="n"/>
      <c r="K353" s="233" t="n"/>
      <c r="L353" s="233">
        <f>IF(K353&lt;&gt;"",(IF(H353="","",H353-(C353*COSTOS!$C$6+D353*COSTOS!$C$7+E353*COSTOS!$C$8+F353*COSTOS!$C$9+G353*COSTOS!$C$10)))+K353,IF(H353="","",H353-(C353*COSTOS!$C$6+D353*COSTOS!$C$7+E353*COSTOS!$C$8+F353*COSTOS!$C$9+G353*COSTOS!$C$10)))</f>
        <v/>
      </c>
      <c r="M353" s="156" t="n"/>
      <c r="N353" s="156" t="n"/>
      <c r="O353" s="156" t="n"/>
    </row>
    <row r="354" ht="18.75" customHeight="1" s="153">
      <c r="A354" s="237" t="n"/>
      <c r="B354" s="238" t="n"/>
      <c r="C354" s="239" t="n"/>
      <c r="D354" s="239" t="n"/>
      <c r="E354" s="239" t="n"/>
      <c r="F354" s="240" t="n"/>
      <c r="G354" s="240" t="n"/>
      <c r="H354" s="241" t="n"/>
      <c r="I354" s="242" t="n"/>
      <c r="J354" s="242" t="n"/>
      <c r="K354" s="233" t="n"/>
      <c r="L354" s="233">
        <f>IF(K354&lt;&gt;"",(IF(H354="","",H354-(C354*COSTOS!$C$6+D354*COSTOS!$C$7+E354*COSTOS!$C$8+F354*COSTOS!$C$9+G354*COSTOS!$C$10)))+K354,IF(H354="","",H354-(C354*COSTOS!$C$6+D354*COSTOS!$C$7+E354*COSTOS!$C$8+F354*COSTOS!$C$9+G354*COSTOS!$C$10)))</f>
        <v/>
      </c>
      <c r="M354" s="156" t="n"/>
      <c r="N354" s="156" t="n"/>
      <c r="O354" s="156" t="n"/>
    </row>
    <row r="355" ht="15.75" customHeight="1" s="153">
      <c r="A355" s="227" t="n"/>
      <c r="B355" s="228" t="n"/>
      <c r="C355" s="229" t="n"/>
      <c r="D355" s="229" t="n"/>
      <c r="E355" s="229" t="n"/>
      <c r="F355" s="230" t="n"/>
      <c r="G355" s="230" t="n"/>
      <c r="H355" s="231" t="n"/>
      <c r="I355" s="232" t="n"/>
      <c r="J355" s="232" t="n"/>
      <c r="K355" s="233" t="n"/>
      <c r="L355" s="233">
        <f>IF(K355&lt;&gt;"",(IF(H355="","",H355-(C355*COSTOS!$C$6+D355*COSTOS!$C$7+E355*COSTOS!$C$8+F355*COSTOS!$C$9+G355*COSTOS!$C$10)))+K355,IF(H355="","",H355-(C355*COSTOS!$C$6+D355*COSTOS!$C$7+E355*COSTOS!$C$8+F355*COSTOS!$C$9+G355*COSTOS!$C$10)))</f>
        <v/>
      </c>
      <c r="M355" s="156" t="n"/>
      <c r="N355" s="156" t="n"/>
      <c r="O355" s="156" t="n"/>
    </row>
    <row r="356" ht="15.75" customHeight="1" s="153">
      <c r="A356" s="237" t="n"/>
      <c r="B356" s="238" t="n"/>
      <c r="C356" s="239" t="n"/>
      <c r="D356" s="239" t="n"/>
      <c r="E356" s="239" t="n"/>
      <c r="F356" s="240" t="n"/>
      <c r="G356" s="240" t="n"/>
      <c r="H356" s="241" t="n"/>
      <c r="I356" s="242" t="n"/>
      <c r="J356" s="242" t="n"/>
      <c r="K356" s="233" t="n"/>
      <c r="L356" s="233">
        <f>IF(K356&lt;&gt;"",(IF(H356="","",H356-(C356*COSTOS!$C$6+D356*COSTOS!$C$7+E356*COSTOS!$C$8+F356*COSTOS!$C$9+G356*COSTOS!$C$10)))+K356,IF(H356="","",H356-(C356*COSTOS!$C$6+D356*COSTOS!$C$7+E356*COSTOS!$C$8+F356*COSTOS!$C$9+G356*COSTOS!$C$10)))</f>
        <v/>
      </c>
      <c r="M356" s="156" t="n"/>
      <c r="N356" s="156" t="n"/>
      <c r="O356" s="156" t="n"/>
    </row>
    <row r="357" ht="15.75" customHeight="1" s="153">
      <c r="A357" s="227" t="n"/>
      <c r="B357" s="228" t="n"/>
      <c r="C357" s="229" t="n"/>
      <c r="D357" s="229" t="n"/>
      <c r="E357" s="229" t="n"/>
      <c r="F357" s="230" t="n"/>
      <c r="G357" s="230" t="n"/>
      <c r="H357" s="231" t="n"/>
      <c r="I357" s="232" t="n"/>
      <c r="J357" s="232" t="n"/>
      <c r="K357" s="233" t="n"/>
      <c r="L357" s="233">
        <f>IF(K357&lt;&gt;"",(IF(H357="","",H357-(C357*COSTOS!$C$6+D357*COSTOS!$C$7+E357*COSTOS!$C$8+F357*COSTOS!$C$9+G357*COSTOS!$C$10)))+K357,IF(H357="","",H357-(C357*COSTOS!$C$6+D357*COSTOS!$C$7+E357*COSTOS!$C$8+F357*COSTOS!$C$9+G357*COSTOS!$C$10)))</f>
        <v/>
      </c>
      <c r="M357" s="156" t="n"/>
      <c r="N357" s="156" t="n"/>
      <c r="O357" s="156" t="n"/>
    </row>
    <row r="358" ht="15.75" customHeight="1" s="153">
      <c r="A358" s="237" t="n"/>
      <c r="B358" s="238" t="n"/>
      <c r="C358" s="239" t="n"/>
      <c r="D358" s="239" t="n"/>
      <c r="E358" s="239" t="n"/>
      <c r="F358" s="240" t="n"/>
      <c r="G358" s="240" t="n"/>
      <c r="H358" s="241" t="n"/>
      <c r="I358" s="242" t="n"/>
      <c r="J358" s="242" t="n"/>
      <c r="K358" s="233" t="n"/>
      <c r="L358" s="233">
        <f>IF(K358&lt;&gt;"",(IF(H358="","",H358-(C358*COSTOS!$C$6+D358*COSTOS!$C$7+E358*COSTOS!$C$8+F358*COSTOS!$C$9+G358*COSTOS!$C$10)))+K358,IF(H358="","",H358-(C358*COSTOS!$C$6+D358*COSTOS!$C$7+E358*COSTOS!$C$8+F358*COSTOS!$C$9+G358*COSTOS!$C$10)))</f>
        <v/>
      </c>
      <c r="M358" s="156" t="n"/>
      <c r="N358" s="156" t="n"/>
      <c r="O358" s="156" t="n"/>
    </row>
    <row r="359" ht="15.75" customHeight="1" s="153">
      <c r="A359" s="227" t="n"/>
      <c r="B359" s="228" t="n"/>
      <c r="C359" s="229" t="n"/>
      <c r="D359" s="229" t="n"/>
      <c r="E359" s="229" t="n"/>
      <c r="F359" s="230" t="n"/>
      <c r="G359" s="230" t="n"/>
      <c r="H359" s="231" t="n"/>
      <c r="I359" s="232" t="n"/>
      <c r="J359" s="232" t="n"/>
      <c r="K359" s="233" t="n"/>
      <c r="L359" s="233">
        <f>IF(K359&lt;&gt;"",(IF(H359="","",H359-(C359*COSTOS!$C$6+D359*COSTOS!$C$7+E359*COSTOS!$C$8+F359*COSTOS!$C$9+G359*COSTOS!$C$10)))+K359,IF(H359="","",H359-(C359*COSTOS!$C$6+D359*COSTOS!$C$7+E359*COSTOS!$C$8+F359*COSTOS!$C$9+G359*COSTOS!$C$10)))</f>
        <v/>
      </c>
      <c r="M359" s="156" t="n"/>
      <c r="N359" s="156" t="n"/>
      <c r="O359" s="156" t="n"/>
    </row>
    <row r="360" ht="15.75" customHeight="1" s="153">
      <c r="A360" s="237" t="n"/>
      <c r="B360" s="238" t="n"/>
      <c r="C360" s="239" t="n"/>
      <c r="D360" s="239" t="n"/>
      <c r="E360" s="239" t="n"/>
      <c r="F360" s="240" t="n"/>
      <c r="G360" s="240" t="n"/>
      <c r="H360" s="241" t="n"/>
      <c r="I360" s="242" t="n"/>
      <c r="J360" s="242" t="n"/>
      <c r="K360" s="233" t="n"/>
      <c r="L360" s="233">
        <f>IF(K360&lt;&gt;"",(IF(H360="","",H360-(C360*COSTOS!$C$6+D360*COSTOS!$C$7+E360*COSTOS!$C$8+F360*COSTOS!$C$9+G360*COSTOS!$C$10)))+K360,IF(H360="","",H360-(C360*COSTOS!$C$6+D360*COSTOS!$C$7+E360*COSTOS!$C$8+F360*COSTOS!$C$9+G360*COSTOS!$C$10)))</f>
        <v/>
      </c>
      <c r="M360" s="156" t="n"/>
      <c r="N360" s="156" t="n"/>
      <c r="O360" s="156" t="n"/>
    </row>
    <row r="361" ht="15.75" customHeight="1" s="153">
      <c r="A361" s="227" t="n"/>
      <c r="B361" s="228" t="n"/>
      <c r="C361" s="229" t="n"/>
      <c r="D361" s="229" t="n"/>
      <c r="E361" s="229" t="n"/>
      <c r="F361" s="230" t="n"/>
      <c r="G361" s="230" t="n"/>
      <c r="H361" s="231" t="n"/>
      <c r="I361" s="232" t="n"/>
      <c r="J361" s="232" t="n"/>
      <c r="K361" s="233" t="n"/>
      <c r="L361" s="233">
        <f>IF(K361&lt;&gt;"",(IF(H361="","",H361-(C361*COSTOS!$C$6+D361*COSTOS!$C$7+E361*COSTOS!$C$8+F361*COSTOS!$C$9+G361*COSTOS!$C$10)))+K361,IF(H361="","",H361-(C361*COSTOS!$C$6+D361*COSTOS!$C$7+E361*COSTOS!$C$8+F361*COSTOS!$C$9+G361*COSTOS!$C$10)))</f>
        <v/>
      </c>
      <c r="M361" s="156" t="n"/>
      <c r="N361" s="156" t="n"/>
      <c r="O361" s="156" t="n"/>
    </row>
    <row r="362" ht="15.75" customHeight="1" s="153">
      <c r="A362" s="237" t="n"/>
      <c r="B362" s="238" t="n"/>
      <c r="C362" s="239" t="n"/>
      <c r="D362" s="239" t="n"/>
      <c r="E362" s="239" t="n"/>
      <c r="F362" s="240" t="n"/>
      <c r="G362" s="240" t="n"/>
      <c r="H362" s="241" t="n"/>
      <c r="I362" s="242" t="n"/>
      <c r="J362" s="242" t="n"/>
      <c r="K362" s="233" t="n"/>
      <c r="L362" s="233">
        <f>IF(K362&lt;&gt;"",(IF(H362="","",H362-(C362*COSTOS!$C$6+D362*COSTOS!$C$7+E362*COSTOS!$C$8+F362*COSTOS!$C$9+G362*COSTOS!$C$10)))+K362,IF(H362="","",H362-(C362*COSTOS!$C$6+D362*COSTOS!$C$7+E362*COSTOS!$C$8+F362*COSTOS!$C$9+G362*COSTOS!$C$10)))</f>
        <v/>
      </c>
      <c r="M362" s="156" t="n"/>
      <c r="N362" s="156" t="n"/>
      <c r="O362" s="156" t="n"/>
    </row>
    <row r="363" ht="15.75" customHeight="1" s="153">
      <c r="A363" s="227" t="n"/>
      <c r="B363" s="228" t="n"/>
      <c r="C363" s="229" t="n"/>
      <c r="D363" s="229" t="n"/>
      <c r="E363" s="229" t="n"/>
      <c r="F363" s="230" t="n"/>
      <c r="G363" s="230" t="n"/>
      <c r="H363" s="231" t="n"/>
      <c r="I363" s="232" t="n"/>
      <c r="J363" s="232" t="n"/>
      <c r="K363" s="233" t="n"/>
      <c r="L363" s="233">
        <f>IF(K363&lt;&gt;"",(IF(H363="","",H363-(C363*COSTOS!$C$6+D363*COSTOS!$C$7+E363*COSTOS!$C$8+F363*COSTOS!$C$9+G363*COSTOS!$C$10)))+K363,IF(H363="","",H363-(C363*COSTOS!$C$6+D363*COSTOS!$C$7+E363*COSTOS!$C$8+F363*COSTOS!$C$9+G363*COSTOS!$C$10)))</f>
        <v/>
      </c>
      <c r="M363" s="156" t="n"/>
      <c r="N363" s="156" t="n"/>
      <c r="O363" s="156" t="n"/>
    </row>
    <row r="364" ht="15.75" customHeight="1" s="153">
      <c r="A364" s="237" t="n"/>
      <c r="B364" s="238" t="n"/>
      <c r="C364" s="239" t="n"/>
      <c r="D364" s="239" t="n"/>
      <c r="E364" s="239" t="n"/>
      <c r="F364" s="240" t="n"/>
      <c r="G364" s="240" t="n"/>
      <c r="H364" s="241" t="n"/>
      <c r="I364" s="242" t="n"/>
      <c r="J364" s="242" t="n"/>
      <c r="K364" s="233" t="n"/>
      <c r="L364" s="233">
        <f>IF(K364&lt;&gt;"",(IF(H364="","",H364-(C364*COSTOS!$C$6+D364*COSTOS!$C$7+E364*COSTOS!$C$8+F364*COSTOS!$C$9+G364*COSTOS!$C$10)))+K364,IF(H364="","",H364-(C364*COSTOS!$C$6+D364*COSTOS!$C$7+E364*COSTOS!$C$8+F364*COSTOS!$C$9+G364*COSTOS!$C$10)))</f>
        <v/>
      </c>
      <c r="M364" s="156" t="n"/>
      <c r="N364" s="156" t="n"/>
      <c r="O364" s="156" t="n"/>
    </row>
    <row r="365" ht="15.75" customHeight="1" s="153">
      <c r="A365" s="227" t="n"/>
      <c r="B365" s="228" t="n"/>
      <c r="C365" s="229" t="n"/>
      <c r="D365" s="229" t="n"/>
      <c r="E365" s="229" t="n"/>
      <c r="F365" s="230" t="n"/>
      <c r="G365" s="230" t="n"/>
      <c r="H365" s="231" t="n"/>
      <c r="I365" s="232" t="n"/>
      <c r="J365" s="232" t="n"/>
      <c r="K365" s="233" t="n"/>
      <c r="L365" s="233">
        <f>IF(K365&lt;&gt;"",(IF(H365="","",H365-(C365*COSTOS!$C$6+D365*COSTOS!$C$7+E365*COSTOS!$C$8+F365*COSTOS!$C$9+G365*COSTOS!$C$10)))+K365,IF(H365="","",H365-(C365*COSTOS!$C$6+D365*COSTOS!$C$7+E365*COSTOS!$C$8+F365*COSTOS!$C$9+G365*COSTOS!$C$10)))</f>
        <v/>
      </c>
      <c r="M365" s="156" t="n"/>
      <c r="N365" s="156" t="n"/>
      <c r="O365" s="156" t="n"/>
    </row>
    <row r="366" ht="15.75" customHeight="1" s="153">
      <c r="A366" s="237" t="n"/>
      <c r="B366" s="238" t="n"/>
      <c r="C366" s="239" t="n"/>
      <c r="D366" s="239" t="n"/>
      <c r="E366" s="239" t="n"/>
      <c r="F366" s="240" t="n"/>
      <c r="G366" s="240" t="n"/>
      <c r="H366" s="241" t="n"/>
      <c r="I366" s="242" t="n"/>
      <c r="J366" s="242" t="n"/>
      <c r="K366" s="233" t="n"/>
      <c r="L366" s="233">
        <f>IF(K366&lt;&gt;"",(IF(H366="","",H366-(C366*COSTOS!$C$6+D366*COSTOS!$C$7+E366*COSTOS!$C$8+F366*COSTOS!$C$9+G366*COSTOS!$C$10)))+K366,IF(H366="","",H366-(C366*COSTOS!$C$6+D366*COSTOS!$C$7+E366*COSTOS!$C$8+F366*COSTOS!$C$9+G366*COSTOS!$C$10)))</f>
        <v/>
      </c>
      <c r="M366" s="156" t="n"/>
      <c r="N366" s="156" t="n"/>
      <c r="O366" s="156" t="n"/>
    </row>
    <row r="367" ht="15.75" customHeight="1" s="153">
      <c r="A367" s="227" t="n"/>
      <c r="B367" s="228" t="n"/>
      <c r="C367" s="229" t="n"/>
      <c r="D367" s="229" t="n"/>
      <c r="E367" s="229" t="n"/>
      <c r="F367" s="230" t="n"/>
      <c r="G367" s="230" t="n"/>
      <c r="H367" s="231" t="n"/>
      <c r="I367" s="232" t="n"/>
      <c r="J367" s="232" t="n"/>
      <c r="K367" s="233" t="n"/>
      <c r="L367" s="233">
        <f>IF(K367&lt;&gt;"",(IF(H367="","",H367-(C367*COSTOS!$C$6+D367*COSTOS!$C$7+E367*COSTOS!$C$8+F367*COSTOS!$C$9+G367*COSTOS!$C$10)))+K367,IF(H367="","",H367-(C367*COSTOS!$C$6+D367*COSTOS!$C$7+E367*COSTOS!$C$8+F367*COSTOS!$C$9+G367*COSTOS!$C$10)))</f>
        <v/>
      </c>
      <c r="M367" s="156" t="n"/>
      <c r="N367" s="156" t="n"/>
      <c r="O367" s="156" t="n"/>
    </row>
    <row r="368" ht="15.75" customHeight="1" s="153">
      <c r="A368" s="237" t="n"/>
      <c r="B368" s="238" t="n"/>
      <c r="C368" s="239" t="n"/>
      <c r="D368" s="239" t="n"/>
      <c r="E368" s="239" t="n"/>
      <c r="F368" s="240" t="n"/>
      <c r="G368" s="240" t="n"/>
      <c r="H368" s="241" t="n"/>
      <c r="I368" s="242" t="n"/>
      <c r="J368" s="242" t="n"/>
      <c r="K368" s="233" t="n"/>
      <c r="L368" s="233">
        <f>IF(K368&lt;&gt;"",(IF(H368="","",H368-(C368*COSTOS!$C$6+D368*COSTOS!$C$7+E368*COSTOS!$C$8+F368*COSTOS!$C$9+G368*COSTOS!$C$10)))+K368,IF(H368="","",H368-(C368*COSTOS!$C$6+D368*COSTOS!$C$7+E368*COSTOS!$C$8+F368*COSTOS!$C$9+G368*COSTOS!$C$10)))</f>
        <v/>
      </c>
      <c r="M368" s="156" t="n"/>
      <c r="N368" s="156" t="n"/>
      <c r="O368" s="156" t="n"/>
    </row>
    <row r="369" ht="15.75" customHeight="1" s="153">
      <c r="A369" s="227" t="n"/>
      <c r="B369" s="228" t="n"/>
      <c r="C369" s="229" t="n"/>
      <c r="D369" s="229" t="n"/>
      <c r="E369" s="229" t="n"/>
      <c r="F369" s="230" t="n"/>
      <c r="G369" s="230" t="n"/>
      <c r="H369" s="231" t="n"/>
      <c r="I369" s="232" t="n"/>
      <c r="J369" s="232" t="n"/>
      <c r="K369" s="233" t="n"/>
      <c r="L369" s="233">
        <f>IF(K369&lt;&gt;"",(IF(H369="","",H369-(C369*COSTOS!$C$6+D369*COSTOS!$C$7+E369*COSTOS!$C$8+F369*COSTOS!$C$9+G369*COSTOS!$C$10)))+K369,IF(H369="","",H369-(C369*COSTOS!$C$6+D369*COSTOS!$C$7+E369*COSTOS!$C$8+F369*COSTOS!$C$9+G369*COSTOS!$C$10)))</f>
        <v/>
      </c>
      <c r="M369" s="156" t="n"/>
      <c r="N369" s="156" t="n"/>
      <c r="O369" s="156" t="n"/>
    </row>
    <row r="370" ht="15.75" customHeight="1" s="153">
      <c r="A370" s="237" t="n"/>
      <c r="B370" s="238" t="n"/>
      <c r="C370" s="239" t="n"/>
      <c r="D370" s="239" t="n"/>
      <c r="E370" s="239" t="n"/>
      <c r="F370" s="240" t="n"/>
      <c r="G370" s="240" t="n"/>
      <c r="H370" s="241" t="n"/>
      <c r="I370" s="242" t="n"/>
      <c r="J370" s="242" t="n"/>
      <c r="K370" s="233" t="n"/>
      <c r="L370" s="233">
        <f>IF(K370&lt;&gt;"",(IF(H370="","",H370-(C370*COSTOS!$C$6+D370*COSTOS!$C$7+E370*COSTOS!$C$8+F370*COSTOS!$C$9+G370*COSTOS!$C$10)))+K370,IF(H370="","",H370-(C370*COSTOS!$C$6+D370*COSTOS!$C$7+E370*COSTOS!$C$8+F370*COSTOS!$C$9+G370*COSTOS!$C$10)))</f>
        <v/>
      </c>
      <c r="M370" s="156" t="n"/>
      <c r="N370" s="156" t="n"/>
      <c r="O370" s="156" t="n"/>
    </row>
    <row r="371" ht="15.75" customHeight="1" s="153">
      <c r="A371" s="227" t="n"/>
      <c r="B371" s="228" t="n"/>
      <c r="C371" s="229" t="n"/>
      <c r="D371" s="229" t="n"/>
      <c r="E371" s="229" t="n"/>
      <c r="F371" s="230" t="n"/>
      <c r="G371" s="230" t="n"/>
      <c r="H371" s="231" t="n"/>
      <c r="I371" s="232" t="n"/>
      <c r="J371" s="232" t="n"/>
      <c r="K371" s="233" t="n"/>
      <c r="L371" s="233">
        <f>IF(K371&lt;&gt;"",(IF(H371="","",H371-(C371*COSTOS!$C$6+D371*COSTOS!$C$7+E371*COSTOS!$C$8+F371*COSTOS!$C$9+G371*COSTOS!$C$10)))+K371,IF(H371="","",H371-(C371*COSTOS!$C$6+D371*COSTOS!$C$7+E371*COSTOS!$C$8+F371*COSTOS!$C$9+G371*COSTOS!$C$10)))</f>
        <v/>
      </c>
      <c r="M371" s="156" t="n"/>
      <c r="N371" s="156" t="n"/>
      <c r="O371" s="156" t="n"/>
    </row>
    <row r="372" ht="15.75" customHeight="1" s="153">
      <c r="A372" s="237" t="n"/>
      <c r="B372" s="238" t="n"/>
      <c r="C372" s="239" t="n"/>
      <c r="D372" s="239" t="n"/>
      <c r="E372" s="239" t="n"/>
      <c r="F372" s="240" t="n"/>
      <c r="G372" s="240" t="n"/>
      <c r="H372" s="241" t="n"/>
      <c r="I372" s="242" t="n"/>
      <c r="J372" s="242" t="n"/>
      <c r="K372" s="233" t="n"/>
      <c r="L372" s="233">
        <f>IF(K372&lt;&gt;"",(IF(H372="","",H372-(C372*COSTOS!$C$6+D372*COSTOS!$C$7+E372*COSTOS!$C$8+F372*COSTOS!$C$9+G372*COSTOS!$C$10)))+K372,IF(H372="","",H372-(C372*COSTOS!$C$6+D372*COSTOS!$C$7+E372*COSTOS!$C$8+F372*COSTOS!$C$9+G372*COSTOS!$C$10)))</f>
        <v/>
      </c>
      <c r="M372" s="156" t="n"/>
      <c r="N372" s="156" t="n"/>
      <c r="O372" s="156" t="n"/>
    </row>
    <row r="373" ht="15.75" customHeight="1" s="153">
      <c r="A373" s="227" t="n"/>
      <c r="B373" s="228" t="n"/>
      <c r="C373" s="229" t="n"/>
      <c r="D373" s="229" t="n"/>
      <c r="E373" s="229" t="n"/>
      <c r="F373" s="230" t="n"/>
      <c r="G373" s="230" t="n"/>
      <c r="H373" s="231" t="n"/>
      <c r="I373" s="232" t="n"/>
      <c r="J373" s="232" t="n"/>
      <c r="K373" s="233" t="n"/>
      <c r="L373" s="233">
        <f>IF(K373&lt;&gt;"",(IF(H373="","",H373-(C373*COSTOS!$C$6+D373*COSTOS!$C$7+E373*COSTOS!$C$8+F373*COSTOS!$C$9+G373*COSTOS!$C$10)))+K373,IF(H373="","",H373-(C373*COSTOS!$C$6+D373*COSTOS!$C$7+E373*COSTOS!$C$8+F373*COSTOS!$C$9+G373*COSTOS!$C$10)))</f>
        <v/>
      </c>
      <c r="M373" s="156" t="n"/>
      <c r="N373" s="156" t="n"/>
      <c r="O373" s="156" t="n"/>
    </row>
    <row r="374" ht="15.75" customHeight="1" s="153">
      <c r="A374" s="237" t="n"/>
      <c r="B374" s="238" t="n"/>
      <c r="C374" s="239" t="n"/>
      <c r="D374" s="239" t="n"/>
      <c r="E374" s="239" t="n"/>
      <c r="F374" s="240" t="n"/>
      <c r="G374" s="240" t="n"/>
      <c r="H374" s="241" t="n"/>
      <c r="I374" s="242" t="n"/>
      <c r="J374" s="242" t="n"/>
      <c r="K374" s="233" t="n"/>
      <c r="L374" s="233">
        <f>IF(K374&lt;&gt;"",(IF(H374="","",H374-(C374*COSTOS!$C$6+D374*COSTOS!$C$7+E374*COSTOS!$C$8+F374*COSTOS!$C$9+G374*COSTOS!$C$10)))+K374,IF(H374="","",H374-(C374*COSTOS!$C$6+D374*COSTOS!$C$7+E374*COSTOS!$C$8+F374*COSTOS!$C$9+G374*COSTOS!$C$10)))</f>
        <v/>
      </c>
      <c r="M374" s="156" t="n"/>
      <c r="N374" s="156" t="n"/>
      <c r="O374" s="156" t="n"/>
    </row>
    <row r="375" ht="15.75" customHeight="1" s="153">
      <c r="A375" s="227" t="n"/>
      <c r="B375" s="228" t="n"/>
      <c r="C375" s="229" t="n"/>
      <c r="D375" s="229" t="n"/>
      <c r="E375" s="229" t="n"/>
      <c r="F375" s="230" t="n"/>
      <c r="G375" s="230" t="n"/>
      <c r="H375" s="231" t="n"/>
      <c r="I375" s="232" t="n"/>
      <c r="J375" s="232" t="n"/>
      <c r="K375" s="233" t="n"/>
      <c r="L375" s="233">
        <f>IF(K375&lt;&gt;"",(IF(H375="","",H375-(C375*COSTOS!$C$6+D375*COSTOS!$C$7+E375*COSTOS!$C$8+F375*COSTOS!$C$9+G375*COSTOS!$C$10)))+K375,IF(H375="","",H375-(C375*COSTOS!$C$6+D375*COSTOS!$C$7+E375*COSTOS!$C$8+F375*COSTOS!$C$9+G375*COSTOS!$C$10)))</f>
        <v/>
      </c>
      <c r="M375" s="156" t="n"/>
      <c r="N375" s="156" t="n"/>
      <c r="O375" s="156" t="n"/>
    </row>
    <row r="376" ht="15.75" customHeight="1" s="153">
      <c r="A376" s="237" t="n"/>
      <c r="B376" s="238" t="n"/>
      <c r="C376" s="239" t="n"/>
      <c r="D376" s="239" t="n"/>
      <c r="E376" s="239" t="n"/>
      <c r="F376" s="240" t="n"/>
      <c r="G376" s="240" t="n"/>
      <c r="H376" s="241" t="n"/>
      <c r="I376" s="242" t="n"/>
      <c r="J376" s="242" t="n"/>
      <c r="K376" s="233" t="n"/>
      <c r="L376" s="233">
        <f>IF(K376&lt;&gt;"",(IF(H376="","",H376-(C376*COSTOS!$C$6+D376*COSTOS!$C$7+E376*COSTOS!$C$8+F376*COSTOS!$C$9+G376*COSTOS!$C$10)))+K376,IF(H376="","",H376-(C376*COSTOS!$C$6+D376*COSTOS!$C$7+E376*COSTOS!$C$8+F376*COSTOS!$C$9+G376*COSTOS!$C$10)))</f>
        <v/>
      </c>
      <c r="M376" s="156" t="n"/>
      <c r="N376" s="156" t="n"/>
      <c r="O376" s="156" t="n"/>
    </row>
    <row r="377" ht="15.75" customHeight="1" s="153">
      <c r="A377" s="227" t="n"/>
      <c r="B377" s="228" t="n"/>
      <c r="C377" s="229" t="n"/>
      <c r="D377" s="229" t="n"/>
      <c r="E377" s="229" t="n"/>
      <c r="F377" s="230" t="n"/>
      <c r="G377" s="230" t="n"/>
      <c r="H377" s="231" t="n"/>
      <c r="I377" s="232" t="n"/>
      <c r="J377" s="232" t="n"/>
      <c r="K377" s="233" t="n"/>
      <c r="L377" s="233">
        <f>IF(K377&lt;&gt;"",(IF(H377="","",H377-(C377*COSTOS!$C$6+D377*COSTOS!$C$7+E377*COSTOS!$C$8+F377*COSTOS!$C$9+G377*COSTOS!$C$10)))+K377,IF(H377="","",H377-(C377*COSTOS!$C$6+D377*COSTOS!$C$7+E377*COSTOS!$C$8+F377*COSTOS!$C$9+G377*COSTOS!$C$10)))</f>
        <v/>
      </c>
      <c r="M377" s="156" t="n"/>
      <c r="N377" s="156" t="n"/>
      <c r="O377" s="156" t="n"/>
    </row>
    <row r="378" ht="15.75" customHeight="1" s="153">
      <c r="A378" s="237" t="n"/>
      <c r="B378" s="238" t="n"/>
      <c r="C378" s="239" t="n"/>
      <c r="D378" s="239" t="n"/>
      <c r="E378" s="239" t="n"/>
      <c r="F378" s="240" t="n"/>
      <c r="G378" s="240" t="n"/>
      <c r="H378" s="241" t="n"/>
      <c r="I378" s="242" t="n"/>
      <c r="J378" s="242" t="n"/>
      <c r="K378" s="233" t="n"/>
      <c r="L378" s="233">
        <f>IF(K378&lt;&gt;"",(IF(H378="","",H378-(C378*COSTOS!$C$6+D378*COSTOS!$C$7+E378*COSTOS!$C$8+F378*COSTOS!$C$9+G378*COSTOS!$C$10)))+K378,IF(H378="","",H378-(C378*COSTOS!$C$6+D378*COSTOS!$C$7+E378*COSTOS!$C$8+F378*COSTOS!$C$9+G378*COSTOS!$C$10)))</f>
        <v/>
      </c>
      <c r="M378" s="156" t="n"/>
      <c r="N378" s="156" t="n"/>
      <c r="O378" s="156" t="n"/>
    </row>
    <row r="379" ht="15.75" customHeight="1" s="153">
      <c r="A379" s="227" t="n"/>
      <c r="B379" s="228" t="n"/>
      <c r="C379" s="229" t="n"/>
      <c r="D379" s="229" t="n"/>
      <c r="E379" s="229" t="n"/>
      <c r="F379" s="230" t="n"/>
      <c r="G379" s="230" t="n"/>
      <c r="H379" s="231" t="n"/>
      <c r="I379" s="232" t="n"/>
      <c r="J379" s="232" t="n"/>
      <c r="K379" s="233" t="n"/>
      <c r="L379" s="233">
        <f>IF(K379&lt;&gt;"",(IF(H379="","",H379-(C379*COSTOS!$C$6+D379*COSTOS!$C$7+E379*COSTOS!$C$8+F379*COSTOS!$C$9+G379*COSTOS!$C$10)))+K379,IF(H379="","",H379-(C379*COSTOS!$C$6+D379*COSTOS!$C$7+E379*COSTOS!$C$8+F379*COSTOS!$C$9+G379*COSTOS!$C$10)))</f>
        <v/>
      </c>
      <c r="M379" s="156" t="n"/>
      <c r="N379" s="156" t="n"/>
      <c r="O379" s="156" t="n"/>
    </row>
    <row r="380" ht="15.75" customHeight="1" s="153">
      <c r="A380" s="237" t="n"/>
      <c r="B380" s="238" t="n"/>
      <c r="C380" s="239" t="n"/>
      <c r="D380" s="239" t="n"/>
      <c r="E380" s="239" t="n"/>
      <c r="F380" s="240" t="n"/>
      <c r="G380" s="240" t="n"/>
      <c r="H380" s="241" t="n"/>
      <c r="I380" s="242" t="n"/>
      <c r="J380" s="242" t="n"/>
      <c r="K380" s="233" t="n"/>
      <c r="L380" s="233">
        <f>IF(K380&lt;&gt;"",(IF(H380="","",H380-(C380*COSTOS!$C$6+D380*COSTOS!$C$7+E380*COSTOS!$C$8+F380*COSTOS!$C$9+G380*COSTOS!$C$10)))+K380,IF(H380="","",H380-(C380*COSTOS!$C$6+D380*COSTOS!$C$7+E380*COSTOS!$C$8+F380*COSTOS!$C$9+G380*COSTOS!$C$10)))</f>
        <v/>
      </c>
      <c r="M380" s="156" t="n"/>
      <c r="N380" s="156" t="n"/>
      <c r="O380" s="156" t="n"/>
    </row>
    <row r="381" ht="15.75" customHeight="1" s="153">
      <c r="A381" s="227" t="n"/>
      <c r="B381" s="228" t="n"/>
      <c r="C381" s="229" t="n"/>
      <c r="D381" s="229" t="n"/>
      <c r="E381" s="229" t="n"/>
      <c r="F381" s="230" t="n"/>
      <c r="G381" s="230" t="n"/>
      <c r="H381" s="231" t="n"/>
      <c r="I381" s="232" t="n"/>
      <c r="J381" s="232" t="n"/>
      <c r="K381" s="233" t="n"/>
      <c r="L381" s="233">
        <f>IF(K381&lt;&gt;"",(IF(H381="","",H381-(C381*COSTOS!$C$6+D381*COSTOS!$C$7+E381*COSTOS!$C$8+F381*COSTOS!$C$9+G381*COSTOS!$C$10)))+K381,IF(H381="","",H381-(C381*COSTOS!$C$6+D381*COSTOS!$C$7+E381*COSTOS!$C$8+F381*COSTOS!$C$9+G381*COSTOS!$C$10)))</f>
        <v/>
      </c>
      <c r="M381" s="156" t="n"/>
      <c r="N381" s="156" t="n"/>
      <c r="O381" s="156" t="n"/>
    </row>
    <row r="382" ht="15.75" customHeight="1" s="153">
      <c r="A382" s="237" t="n"/>
      <c r="B382" s="238" t="n"/>
      <c r="C382" s="239" t="n"/>
      <c r="D382" s="239" t="n"/>
      <c r="E382" s="239" t="n"/>
      <c r="F382" s="240" t="n"/>
      <c r="G382" s="240" t="n"/>
      <c r="H382" s="241" t="n"/>
      <c r="I382" s="242" t="n"/>
      <c r="J382" s="242" t="n"/>
      <c r="K382" s="233" t="n"/>
      <c r="L382" s="233">
        <f>IF(K382&lt;&gt;"",(IF(H382="","",H382-(C382*COSTOS!$C$6+D382*COSTOS!$C$7+E382*COSTOS!$C$8+F382*COSTOS!$C$9+G382*COSTOS!$C$10)))+K382,IF(H382="","",H382-(C382*COSTOS!$C$6+D382*COSTOS!$C$7+E382*COSTOS!$C$8+F382*COSTOS!$C$9+G382*COSTOS!$C$10)))</f>
        <v/>
      </c>
      <c r="M382" s="156" t="n"/>
      <c r="N382" s="156" t="n"/>
      <c r="O382" s="156" t="n"/>
    </row>
    <row r="383" ht="15.75" customHeight="1" s="153">
      <c r="A383" s="227" t="n"/>
      <c r="B383" s="228" t="n"/>
      <c r="C383" s="229" t="n"/>
      <c r="D383" s="229" t="n"/>
      <c r="E383" s="229" t="n"/>
      <c r="F383" s="230" t="n"/>
      <c r="G383" s="230" t="n"/>
      <c r="H383" s="231" t="n"/>
      <c r="I383" s="232" t="n"/>
      <c r="J383" s="232" t="n"/>
      <c r="K383" s="233" t="n"/>
      <c r="L383" s="233">
        <f>IF(K383&lt;&gt;"",(IF(H383="","",H383-(C383*COSTOS!$C$6+D383*COSTOS!$C$7+E383*COSTOS!$C$8+F383*COSTOS!$C$9+G383*COSTOS!$C$10)))+K383,IF(H383="","",H383-(C383*COSTOS!$C$6+D383*COSTOS!$C$7+E383*COSTOS!$C$8+F383*COSTOS!$C$9+G383*COSTOS!$C$10)))</f>
        <v/>
      </c>
      <c r="M383" s="156" t="n"/>
      <c r="N383" s="156" t="n"/>
      <c r="O383" s="156" t="n"/>
    </row>
    <row r="384" ht="15.75" customHeight="1" s="153">
      <c r="A384" s="237" t="n"/>
      <c r="B384" s="238" t="n"/>
      <c r="C384" s="239" t="n"/>
      <c r="D384" s="239" t="n"/>
      <c r="E384" s="239" t="n"/>
      <c r="F384" s="240" t="n"/>
      <c r="G384" s="240" t="n"/>
      <c r="H384" s="241" t="n"/>
      <c r="I384" s="242" t="n"/>
      <c r="J384" s="242" t="n"/>
      <c r="K384" s="233" t="n"/>
      <c r="L384" s="233">
        <f>IF(K384&lt;&gt;"",(IF(H384="","",H384-(C384*COSTOS!$C$6+D384*COSTOS!$C$7+E384*COSTOS!$C$8+F384*COSTOS!$C$9+G384*COSTOS!$C$10)))+K384,IF(H384="","",H384-(C384*COSTOS!$C$6+D384*COSTOS!$C$7+E384*COSTOS!$C$8+F384*COSTOS!$C$9+G384*COSTOS!$C$10)))</f>
        <v/>
      </c>
      <c r="M384" s="156" t="n"/>
      <c r="N384" s="156" t="n"/>
      <c r="O384" s="156" t="n"/>
    </row>
    <row r="385" ht="15.75" customHeight="1" s="153">
      <c r="A385" s="227" t="n"/>
      <c r="B385" s="228" t="n"/>
      <c r="C385" s="229" t="n"/>
      <c r="D385" s="229" t="n"/>
      <c r="E385" s="229" t="n"/>
      <c r="F385" s="230" t="n"/>
      <c r="G385" s="230" t="n"/>
      <c r="H385" s="231" t="n"/>
      <c r="I385" s="232" t="n"/>
      <c r="J385" s="232" t="n"/>
      <c r="K385" s="233" t="n"/>
      <c r="L385" s="233">
        <f>IF(K385&lt;&gt;"",(IF(H385="","",H385-(C385*COSTOS!$C$6+D385*COSTOS!$C$7+E385*COSTOS!$C$8+F385*COSTOS!$C$9+G385*COSTOS!$C$10)))+K385,IF(H385="","",H385-(C385*COSTOS!$C$6+D385*COSTOS!$C$7+E385*COSTOS!$C$8+F385*COSTOS!$C$9+G385*COSTOS!$C$10)))</f>
        <v/>
      </c>
      <c r="M385" s="156" t="n"/>
      <c r="N385" s="156" t="n"/>
      <c r="O385" s="156" t="n"/>
    </row>
    <row r="386" ht="15.75" customHeight="1" s="153">
      <c r="A386" s="237" t="n"/>
      <c r="B386" s="238" t="n"/>
      <c r="C386" s="239" t="n"/>
      <c r="D386" s="239" t="n"/>
      <c r="E386" s="239" t="n"/>
      <c r="F386" s="240" t="n"/>
      <c r="G386" s="240" t="n"/>
      <c r="H386" s="241" t="n"/>
      <c r="I386" s="242" t="n"/>
      <c r="J386" s="242" t="n"/>
      <c r="K386" s="233" t="n"/>
      <c r="L386" s="233">
        <f>IF(K386&lt;&gt;"",(IF(H386="","",H386-(C386*COSTOS!$C$6+D386*COSTOS!$C$7+E386*COSTOS!$C$8+F386*COSTOS!$C$9+G386*COSTOS!$C$10)))+K386,IF(H386="","",H386-(C386*COSTOS!$C$6+D386*COSTOS!$C$7+E386*COSTOS!$C$8+F386*COSTOS!$C$9+G386*COSTOS!$C$10)))</f>
        <v/>
      </c>
      <c r="M386" s="156" t="n"/>
      <c r="N386" s="156" t="n"/>
      <c r="O386" s="156" t="n"/>
    </row>
    <row r="387" ht="15.75" customHeight="1" s="153">
      <c r="A387" s="227" t="n"/>
      <c r="B387" s="228" t="n"/>
      <c r="C387" s="229" t="n"/>
      <c r="D387" s="229" t="n"/>
      <c r="E387" s="229" t="n"/>
      <c r="F387" s="230" t="n"/>
      <c r="G387" s="230" t="n"/>
      <c r="H387" s="231" t="n"/>
      <c r="I387" s="232" t="n"/>
      <c r="J387" s="232" t="n"/>
      <c r="K387" s="233" t="n"/>
      <c r="L387" s="233">
        <f>IF(K387&lt;&gt;"",(IF(H387="","",H387-(C387*COSTOS!$C$6+D387*COSTOS!$C$7+E387*COSTOS!$C$8+F387*COSTOS!$C$9+G387*COSTOS!$C$10)))+K387,IF(H387="","",H387-(C387*COSTOS!$C$6+D387*COSTOS!$C$7+E387*COSTOS!$C$8+F387*COSTOS!$C$9+G387*COSTOS!$C$10)))</f>
        <v/>
      </c>
      <c r="M387" s="156" t="n"/>
      <c r="N387" s="156" t="n"/>
      <c r="O387" s="156" t="n"/>
    </row>
    <row r="388" ht="15.75" customHeight="1" s="153">
      <c r="A388" s="237" t="n"/>
      <c r="B388" s="238" t="n"/>
      <c r="C388" s="239" t="n"/>
      <c r="D388" s="239" t="n"/>
      <c r="E388" s="239" t="n"/>
      <c r="F388" s="240" t="n"/>
      <c r="G388" s="240" t="n"/>
      <c r="H388" s="241" t="n"/>
      <c r="I388" s="242" t="n"/>
      <c r="J388" s="242" t="n"/>
      <c r="K388" s="233" t="n"/>
      <c r="L388" s="233">
        <f>IF(K388&lt;&gt;"",(IF(H388="","",H388-(C388*COSTOS!$C$6+D388*COSTOS!$C$7+E388*COSTOS!$C$8+F388*COSTOS!$C$9+G388*COSTOS!$C$10)))+K388,IF(H388="","",H388-(C388*COSTOS!$C$6+D388*COSTOS!$C$7+E388*COSTOS!$C$8+F388*COSTOS!$C$9+G388*COSTOS!$C$10)))</f>
        <v/>
      </c>
      <c r="M388" s="156" t="n"/>
      <c r="N388" s="156" t="n"/>
      <c r="O388" s="156" t="n"/>
    </row>
    <row r="389" ht="15.75" customHeight="1" s="153">
      <c r="A389" s="227" t="n"/>
      <c r="B389" s="228" t="n"/>
      <c r="C389" s="229" t="n"/>
      <c r="D389" s="229" t="n"/>
      <c r="E389" s="229" t="n"/>
      <c r="F389" s="230" t="n"/>
      <c r="G389" s="230" t="n"/>
      <c r="H389" s="231" t="n"/>
      <c r="I389" s="232" t="n"/>
      <c r="J389" s="232" t="n"/>
      <c r="K389" s="233" t="n"/>
      <c r="L389" s="233">
        <f>IF(K389&lt;&gt;"",(IF(H389="","",H389-(C389*COSTOS!$C$6+D389*COSTOS!$C$7+E389*COSTOS!$C$8+F389*COSTOS!$C$9+G389*COSTOS!$C$10)))+K389,IF(H389="","",H389-(C389*COSTOS!$C$6+D389*COSTOS!$C$7+E389*COSTOS!$C$8+F389*COSTOS!$C$9+G389*COSTOS!$C$10)))</f>
        <v/>
      </c>
      <c r="M389" s="156" t="n"/>
      <c r="N389" s="156" t="n"/>
      <c r="O389" s="156" t="n"/>
    </row>
    <row r="390" ht="15.75" customHeight="1" s="153">
      <c r="A390" s="237" t="n"/>
      <c r="B390" s="238" t="n"/>
      <c r="C390" s="239" t="n"/>
      <c r="D390" s="239" t="n"/>
      <c r="E390" s="239" t="n"/>
      <c r="F390" s="240" t="n"/>
      <c r="G390" s="240" t="n"/>
      <c r="H390" s="241" t="n"/>
      <c r="I390" s="242" t="n"/>
      <c r="J390" s="242" t="n"/>
      <c r="K390" s="233" t="n"/>
      <c r="L390" s="233">
        <f>IF(K390&lt;&gt;"",(IF(H390="","",H390-(C390*COSTOS!$C$6+D390*COSTOS!$C$7+E390*COSTOS!$C$8+F390*COSTOS!$C$9+G390*COSTOS!$C$10)))+K390,IF(H390="","",H390-(C390*COSTOS!$C$6+D390*COSTOS!$C$7+E390*COSTOS!$C$8+F390*COSTOS!$C$9+G390*COSTOS!$C$10)))</f>
        <v/>
      </c>
      <c r="M390" s="156" t="n"/>
      <c r="N390" s="156" t="n"/>
      <c r="O390" s="156" t="n"/>
    </row>
    <row r="391" ht="15.75" customHeight="1" s="153">
      <c r="A391" s="227" t="n"/>
      <c r="B391" s="228" t="n"/>
      <c r="C391" s="229" t="n"/>
      <c r="D391" s="229" t="n"/>
      <c r="E391" s="229" t="n"/>
      <c r="F391" s="230" t="n"/>
      <c r="G391" s="230" t="n"/>
      <c r="H391" s="231" t="n"/>
      <c r="I391" s="232" t="n"/>
      <c r="J391" s="232" t="n"/>
      <c r="K391" s="233" t="n"/>
      <c r="L391" s="233">
        <f>IF(K391&lt;&gt;"",(IF(H391="","",H391-(C391*COSTOS!$C$6+D391*COSTOS!$C$7+E391*COSTOS!$C$8+F391*COSTOS!$C$9+G391*COSTOS!$C$10)))+K391,IF(H391="","",H391-(C391*COSTOS!$C$6+D391*COSTOS!$C$7+E391*COSTOS!$C$8+F391*COSTOS!$C$9+G391*COSTOS!$C$10)))</f>
        <v/>
      </c>
      <c r="M391" s="156" t="n"/>
      <c r="N391" s="156" t="n"/>
      <c r="O391" s="156" t="n"/>
    </row>
    <row r="392" ht="15.75" customHeight="1" s="153">
      <c r="A392" s="237" t="n"/>
      <c r="B392" s="238" t="n"/>
      <c r="C392" s="239" t="n"/>
      <c r="D392" s="239" t="n"/>
      <c r="E392" s="239" t="n"/>
      <c r="F392" s="240" t="n"/>
      <c r="G392" s="240" t="n"/>
      <c r="H392" s="241" t="n"/>
      <c r="I392" s="242" t="n"/>
      <c r="J392" s="242" t="n"/>
      <c r="K392" s="233" t="n"/>
      <c r="L392" s="233">
        <f>IF(K392&lt;&gt;"",(IF(H392="","",H392-(C392*COSTOS!$C$6+D392*COSTOS!$C$7+E392*COSTOS!$C$8+F392*COSTOS!$C$9+G392*COSTOS!$C$10)))+K392,IF(H392="","",H392-(C392*COSTOS!$C$6+D392*COSTOS!$C$7+E392*COSTOS!$C$8+F392*COSTOS!$C$9+G392*COSTOS!$C$10)))</f>
        <v/>
      </c>
      <c r="M392" s="156" t="n"/>
      <c r="N392" s="156" t="n"/>
      <c r="O392" s="156" t="n"/>
    </row>
    <row r="393" ht="15.75" customHeight="1" s="153">
      <c r="A393" s="227" t="n"/>
      <c r="B393" s="228" t="n"/>
      <c r="C393" s="229" t="n"/>
      <c r="D393" s="229" t="n"/>
      <c r="E393" s="229" t="n"/>
      <c r="F393" s="230" t="n"/>
      <c r="G393" s="230" t="n"/>
      <c r="H393" s="231" t="n"/>
      <c r="I393" s="232" t="n"/>
      <c r="J393" s="232" t="n"/>
      <c r="K393" s="233" t="n"/>
      <c r="L393" s="233">
        <f>IF(K393&lt;&gt;"",(IF(H393="","",H393-(C393*COSTOS!$C$6+D393*COSTOS!$C$7+E393*COSTOS!$C$8+F393*COSTOS!$C$9+G393*COSTOS!$C$10)))+K393,IF(H393="","",H393-(C393*COSTOS!$C$6+D393*COSTOS!$C$7+E393*COSTOS!$C$8+F393*COSTOS!$C$9+G393*COSTOS!$C$10)))</f>
        <v/>
      </c>
      <c r="M393" s="156" t="n"/>
      <c r="N393" s="156" t="n"/>
      <c r="O393" s="156" t="n"/>
    </row>
    <row r="394" ht="15.75" customHeight="1" s="153">
      <c r="A394" s="237" t="n"/>
      <c r="B394" s="238" t="n"/>
      <c r="C394" s="239" t="n"/>
      <c r="D394" s="239" t="n"/>
      <c r="E394" s="239" t="n"/>
      <c r="F394" s="240" t="n"/>
      <c r="G394" s="240" t="n"/>
      <c r="H394" s="241" t="n"/>
      <c r="I394" s="242" t="n"/>
      <c r="J394" s="242" t="n"/>
      <c r="K394" s="233" t="n"/>
      <c r="L394" s="233">
        <f>IF(K394&lt;&gt;"",(IF(H394="","",H394-(C394*COSTOS!$C$6+D394*COSTOS!$C$7+E394*COSTOS!$C$8+F394*COSTOS!$C$9+G394*COSTOS!$C$10)))+K394,IF(H394="","",H394-(C394*COSTOS!$C$6+D394*COSTOS!$C$7+E394*COSTOS!$C$8+F394*COSTOS!$C$9+G394*COSTOS!$C$10)))</f>
        <v/>
      </c>
      <c r="M394" s="156" t="n"/>
      <c r="N394" s="156" t="n"/>
      <c r="O394" s="156" t="n"/>
    </row>
    <row r="395" ht="15.75" customHeight="1" s="153">
      <c r="A395" s="227" t="n"/>
      <c r="B395" s="228" t="n"/>
      <c r="C395" s="229" t="n"/>
      <c r="D395" s="229" t="n"/>
      <c r="E395" s="229" t="n"/>
      <c r="F395" s="230" t="n"/>
      <c r="G395" s="230" t="n"/>
      <c r="H395" s="231" t="n"/>
      <c r="I395" s="232" t="n"/>
      <c r="J395" s="232" t="n"/>
      <c r="K395" s="233" t="n"/>
      <c r="L395" s="233">
        <f>IF(K395&lt;&gt;"",(IF(H395="","",H395-(C395*COSTOS!$C$6+D395*COSTOS!$C$7+E395*COSTOS!$C$8+F395*COSTOS!$C$9+G395*COSTOS!$C$10)))+K395,IF(H395="","",H395-(C395*COSTOS!$C$6+D395*COSTOS!$C$7+E395*COSTOS!$C$8+F395*COSTOS!$C$9+G395*COSTOS!$C$10)))</f>
        <v/>
      </c>
      <c r="M395" s="156" t="n"/>
      <c r="N395" s="156" t="n"/>
      <c r="O395" s="156" t="n"/>
    </row>
    <row r="396" ht="15.75" customHeight="1" s="153">
      <c r="A396" s="237" t="n"/>
      <c r="B396" s="238" t="n"/>
      <c r="C396" s="239" t="n"/>
      <c r="D396" s="239" t="n"/>
      <c r="E396" s="239" t="n"/>
      <c r="F396" s="240" t="n"/>
      <c r="G396" s="240" t="n"/>
      <c r="H396" s="241" t="n"/>
      <c r="I396" s="242" t="n"/>
      <c r="J396" s="242" t="n"/>
      <c r="K396" s="233" t="n"/>
      <c r="L396" s="233">
        <f>IF(K396&lt;&gt;"",(IF(H396="","",H396-(C396*COSTOS!$C$6+D396*COSTOS!$C$7+E396*COSTOS!$C$8+F396*COSTOS!$C$9+G396*COSTOS!$C$10)))+K396,IF(H396="","",H396-(C396*COSTOS!$C$6+D396*COSTOS!$C$7+E396*COSTOS!$C$8+F396*COSTOS!$C$9+G396*COSTOS!$C$10)))</f>
        <v/>
      </c>
      <c r="M396" s="156" t="n"/>
      <c r="N396" s="156" t="n"/>
      <c r="O396" s="156" t="n"/>
    </row>
    <row r="397" ht="15.75" customHeight="1" s="153">
      <c r="A397" s="227" t="n"/>
      <c r="B397" s="228" t="n"/>
      <c r="C397" s="229" t="n"/>
      <c r="D397" s="229" t="n"/>
      <c r="E397" s="229" t="n"/>
      <c r="F397" s="230" t="n"/>
      <c r="G397" s="230" t="n"/>
      <c r="H397" s="231" t="n"/>
      <c r="I397" s="232" t="n"/>
      <c r="J397" s="232" t="n"/>
      <c r="K397" s="233" t="n"/>
      <c r="L397" s="233">
        <f>IF(K397&lt;&gt;"",(IF(H397="","",H397-(C397*COSTOS!$C$6+D397*COSTOS!$C$7+E397*COSTOS!$C$8+F397*COSTOS!$C$9+G397*COSTOS!$C$10)))+K397,IF(H397="","",H397-(C397*COSTOS!$C$6+D397*COSTOS!$C$7+E397*COSTOS!$C$8+F397*COSTOS!$C$9+G397*COSTOS!$C$10)))</f>
        <v/>
      </c>
      <c r="M397" s="156" t="n"/>
      <c r="N397" s="156" t="n"/>
      <c r="O397" s="156" t="n"/>
    </row>
    <row r="398" ht="15.75" customHeight="1" s="153">
      <c r="A398" s="237" t="n"/>
      <c r="B398" s="238" t="n"/>
      <c r="C398" s="239" t="n"/>
      <c r="D398" s="239" t="n"/>
      <c r="E398" s="239" t="n"/>
      <c r="F398" s="240" t="n"/>
      <c r="G398" s="240" t="n"/>
      <c r="H398" s="241" t="n"/>
      <c r="I398" s="242" t="n"/>
      <c r="J398" s="242" t="n"/>
      <c r="K398" s="233" t="n"/>
      <c r="L398" s="233">
        <f>IF(K398&lt;&gt;"",(IF(H398="","",H398-(C398*COSTOS!$C$6+D398*COSTOS!$C$7+E398*COSTOS!$C$8+F398*COSTOS!$C$9+G398*COSTOS!$C$10)))+K398,IF(H398="","",H398-(C398*COSTOS!$C$6+D398*COSTOS!$C$7+E398*COSTOS!$C$8+F398*COSTOS!$C$9+G398*COSTOS!$C$10)))</f>
        <v/>
      </c>
      <c r="M398" s="156" t="n"/>
      <c r="N398" s="156" t="n"/>
      <c r="O398" s="156" t="n"/>
    </row>
    <row r="399" ht="15.75" customHeight="1" s="153">
      <c r="A399" s="227" t="n"/>
      <c r="B399" s="228" t="n"/>
      <c r="C399" s="229" t="n"/>
      <c r="D399" s="229" t="n"/>
      <c r="E399" s="229" t="n"/>
      <c r="F399" s="230" t="n"/>
      <c r="G399" s="230" t="n"/>
      <c r="H399" s="231" t="n"/>
      <c r="I399" s="232" t="n"/>
      <c r="J399" s="232" t="n"/>
      <c r="K399" s="233" t="n"/>
      <c r="L399" s="233">
        <f>IF(K399&lt;&gt;"",(IF(H399="","",H399-(C399*COSTOS!$C$6+D399*COSTOS!$C$7+E399*COSTOS!$C$8+F399*COSTOS!$C$9+G399*COSTOS!$C$10)))+K399,IF(H399="","",H399-(C399*COSTOS!$C$6+D399*COSTOS!$C$7+E399*COSTOS!$C$8+F399*COSTOS!$C$9+G399*COSTOS!$C$10)))</f>
        <v/>
      </c>
      <c r="M399" s="156" t="n"/>
      <c r="N399" s="156" t="n"/>
      <c r="O399" s="156" t="n"/>
    </row>
    <row r="400" ht="15.75" customHeight="1" s="153">
      <c r="A400" s="237" t="n"/>
      <c r="B400" s="238" t="n"/>
      <c r="C400" s="239" t="n"/>
      <c r="D400" s="239" t="n"/>
      <c r="E400" s="239" t="n"/>
      <c r="F400" s="240" t="n"/>
      <c r="G400" s="240" t="n"/>
      <c r="H400" s="241" t="n"/>
      <c r="I400" s="242" t="n"/>
      <c r="J400" s="242" t="n"/>
      <c r="K400" s="233" t="n"/>
      <c r="L400" s="233">
        <f>IF(K400&lt;&gt;"",(IF(H400="","",H400-(C400*COSTOS!$C$6+D400*COSTOS!$C$7+E400*COSTOS!$C$8+F400*COSTOS!$C$9+G400*COSTOS!$C$10)))+K400,IF(H400="","",H400-(C400*COSTOS!$C$6+D400*COSTOS!$C$7+E400*COSTOS!$C$8+F400*COSTOS!$C$9+G400*COSTOS!$C$10)))</f>
        <v/>
      </c>
    </row>
    <row r="401" ht="15.75" customHeight="1" s="153">
      <c r="A401" s="227" t="n"/>
      <c r="B401" s="228" t="n"/>
      <c r="C401" s="229" t="n"/>
      <c r="D401" s="229" t="n"/>
      <c r="E401" s="229" t="n"/>
      <c r="F401" s="230" t="n"/>
      <c r="G401" s="230" t="n"/>
      <c r="H401" s="231" t="n"/>
      <c r="I401" s="232" t="n"/>
      <c r="J401" s="232" t="n"/>
      <c r="K401" s="233" t="n"/>
      <c r="L401" s="233">
        <f>IF(K401&lt;&gt;"",(IF(H401="","",H401-(C401*COSTOS!$C$6+D401*COSTOS!$C$7+E401*COSTOS!$C$8+F401*COSTOS!$C$9+G401*COSTOS!$C$10)))+K401,IF(H401="","",H401-(C401*COSTOS!$C$6+D401*COSTOS!$C$7+E401*COSTOS!$C$8+F401*COSTOS!$C$9+G401*COSTOS!$C$10)))</f>
        <v/>
      </c>
    </row>
    <row r="402" ht="15.75" customHeight="1" s="153">
      <c r="A402" s="237" t="n"/>
      <c r="B402" s="238" t="n"/>
      <c r="C402" s="239" t="n"/>
      <c r="D402" s="239" t="n"/>
      <c r="E402" s="239" t="n"/>
      <c r="F402" s="240" t="n"/>
      <c r="G402" s="240" t="n"/>
      <c r="H402" s="241" t="n"/>
      <c r="I402" s="242" t="n"/>
      <c r="J402" s="242" t="n"/>
      <c r="K402" s="233" t="n"/>
      <c r="L402" s="233">
        <f>IF(K402&lt;&gt;"",(IF(H402="","",H402-(C402*COSTOS!$C$6+D402*COSTOS!$C$7+E402*COSTOS!$C$8+F402*COSTOS!$C$9+G402*COSTOS!$C$10)))+K402,IF(H402="","",H402-(C402*COSTOS!$C$6+D402*COSTOS!$C$7+E402*COSTOS!$C$8+F402*COSTOS!$C$9+G402*COSTOS!$C$10)))</f>
        <v/>
      </c>
    </row>
    <row r="403" ht="15.75" customHeight="1" s="153">
      <c r="A403" s="227" t="n"/>
      <c r="B403" s="228" t="n"/>
      <c r="C403" s="229" t="n"/>
      <c r="D403" s="229" t="n"/>
      <c r="E403" s="229" t="n"/>
      <c r="F403" s="230" t="n"/>
      <c r="G403" s="230" t="n"/>
      <c r="H403" s="231" t="n"/>
      <c r="I403" s="232" t="n"/>
      <c r="J403" s="232" t="n"/>
      <c r="K403" s="233" t="n"/>
      <c r="L403" s="233">
        <f>IF(K403&lt;&gt;"",(IF(H403="","",H403-(C403*COSTOS!$C$6+D403*COSTOS!$C$7+E403*COSTOS!$C$8+F403*COSTOS!$C$9+G403*COSTOS!$C$10)))+K403,IF(H403="","",H403-(C403*COSTOS!$C$6+D403*COSTOS!$C$7+E403*COSTOS!$C$8+F403*COSTOS!$C$9+G403*COSTOS!$C$10)))</f>
        <v/>
      </c>
    </row>
    <row r="404" ht="15.75" customHeight="1" s="153">
      <c r="A404" s="237" t="n"/>
      <c r="B404" s="238" t="n"/>
      <c r="C404" s="239" t="n"/>
      <c r="D404" s="239" t="n"/>
      <c r="E404" s="239" t="n"/>
      <c r="F404" s="240" t="n"/>
      <c r="G404" s="240" t="n"/>
      <c r="H404" s="241" t="n"/>
      <c r="I404" s="242" t="n"/>
      <c r="J404" s="242" t="n"/>
      <c r="K404" s="233" t="n"/>
      <c r="L404" s="233">
        <f>IF(K404&lt;&gt;"",(IF(H404="","",H404-(C404*COSTOS!$C$6+D404*COSTOS!$C$7+E404*COSTOS!$C$8+F404*COSTOS!$C$9+G404*COSTOS!$C$10)))+K404,IF(H404="","",H404-(C404*COSTOS!$C$6+D404*COSTOS!$C$7+E404*COSTOS!$C$8+F404*COSTOS!$C$9+G404*COSTOS!$C$10)))</f>
        <v/>
      </c>
    </row>
    <row r="405" ht="15.75" customHeight="1" s="153">
      <c r="A405" s="227" t="n"/>
      <c r="B405" s="228" t="n"/>
      <c r="C405" s="229" t="n"/>
      <c r="D405" s="229" t="n"/>
      <c r="E405" s="229" t="n"/>
      <c r="F405" s="230" t="n"/>
      <c r="G405" s="230" t="n"/>
      <c r="H405" s="231" t="n"/>
      <c r="I405" s="232" t="n"/>
      <c r="J405" s="232" t="n"/>
      <c r="K405" s="233" t="n"/>
      <c r="L405" s="233">
        <f>IF(K405&lt;&gt;"",(IF(H405="","",H405-(C405*COSTOS!$C$6+D405*COSTOS!$C$7+E405*COSTOS!$C$8+F405*COSTOS!$C$9+G405*COSTOS!$C$10)))+K405,IF(H405="","",H405-(C405*COSTOS!$C$6+D405*COSTOS!$C$7+E405*COSTOS!$C$8+F405*COSTOS!$C$9+G405*COSTOS!$C$10)))</f>
        <v/>
      </c>
    </row>
    <row r="406" ht="15.75" customHeight="1" s="153">
      <c r="A406" s="237" t="n"/>
      <c r="B406" s="238" t="n"/>
      <c r="C406" s="239" t="n"/>
      <c r="D406" s="239" t="n"/>
      <c r="E406" s="239" t="n"/>
      <c r="F406" s="240" t="n"/>
      <c r="G406" s="240" t="n"/>
      <c r="H406" s="241" t="n"/>
      <c r="I406" s="242" t="n"/>
      <c r="J406" s="242" t="n"/>
      <c r="K406" s="233" t="n"/>
      <c r="L406" s="233">
        <f>IF(K406&lt;&gt;"",(IF(H406="","",H406-(C406*COSTOS!$C$6+D406*COSTOS!$C$7+E406*COSTOS!$C$8+F406*COSTOS!$C$9+G406*COSTOS!$C$10)))+K406,IF(H406="","",H406-(C406*COSTOS!$C$6+D406*COSTOS!$C$7+E406*COSTOS!$C$8+F406*COSTOS!$C$9+G406*COSTOS!$C$10)))</f>
        <v/>
      </c>
    </row>
    <row r="407" ht="15.75" customHeight="1" s="153">
      <c r="A407" s="227" t="n"/>
      <c r="B407" s="228" t="n"/>
      <c r="C407" s="229" t="n"/>
      <c r="D407" s="229" t="n"/>
      <c r="E407" s="229" t="n"/>
      <c r="F407" s="230" t="n"/>
      <c r="G407" s="230" t="n"/>
      <c r="H407" s="231" t="n"/>
      <c r="I407" s="232" t="n"/>
      <c r="J407" s="232" t="n"/>
      <c r="K407" s="233" t="n"/>
      <c r="L407" s="233">
        <f>IF(K407&lt;&gt;"",(IF(H407="","",H407-(C407*COSTOS!$C$6+D407*COSTOS!$C$7+E407*COSTOS!$C$8+F407*COSTOS!$C$9+G407*COSTOS!$C$10)))+K407,IF(H407="","",H407-(C407*COSTOS!$C$6+D407*COSTOS!$C$7+E407*COSTOS!$C$8+F407*COSTOS!$C$9+G407*COSTOS!$C$10)))</f>
        <v/>
      </c>
    </row>
    <row r="408" ht="15.75" customHeight="1" s="153">
      <c r="A408" s="237" t="n"/>
      <c r="B408" s="238" t="n"/>
      <c r="C408" s="239" t="n"/>
      <c r="D408" s="239" t="n"/>
      <c r="E408" s="239" t="n"/>
      <c r="F408" s="240" t="n"/>
      <c r="G408" s="240" t="n"/>
      <c r="H408" s="241" t="n"/>
      <c r="I408" s="242" t="n"/>
      <c r="J408" s="242" t="n"/>
      <c r="K408" s="233" t="n"/>
      <c r="L408" s="233">
        <f>IF(K408&lt;&gt;"",(IF(H408="","",H408-(C408*COSTOS!$C$6+D408*COSTOS!$C$7+E408*COSTOS!$C$8+F408*COSTOS!$C$9+G408*COSTOS!$C$10)))+K408,IF(H408="","",H408-(C408*COSTOS!$C$6+D408*COSTOS!$C$7+E408*COSTOS!$C$8+F408*COSTOS!$C$9+G408*COSTOS!$C$10)))</f>
        <v/>
      </c>
    </row>
    <row r="409" ht="15.75" customHeight="1" s="153">
      <c r="A409" s="227" t="n"/>
      <c r="B409" s="228" t="n"/>
      <c r="C409" s="229" t="n"/>
      <c r="D409" s="229" t="n"/>
      <c r="E409" s="229" t="n"/>
      <c r="F409" s="230" t="n"/>
      <c r="G409" s="230" t="n"/>
      <c r="H409" s="231" t="n"/>
      <c r="I409" s="232" t="n"/>
      <c r="J409" s="232" t="n"/>
      <c r="K409" s="233" t="n"/>
      <c r="L409" s="233">
        <f>IF(K409&lt;&gt;"",(IF(H409="","",H409-(C409*COSTOS!$C$6+D409*COSTOS!$C$7+E409*COSTOS!$C$8+F409*COSTOS!$C$9+G409*COSTOS!$C$10)))+K409,IF(H409="","",H409-(C409*COSTOS!$C$6+D409*COSTOS!$C$7+E409*COSTOS!$C$8+F409*COSTOS!$C$9+G409*COSTOS!$C$10)))</f>
        <v/>
      </c>
    </row>
    <row r="410" ht="15.75" customHeight="1" s="153">
      <c r="A410" s="237" t="n"/>
      <c r="B410" s="238" t="n"/>
      <c r="C410" s="239" t="n"/>
      <c r="D410" s="239" t="n"/>
      <c r="E410" s="239" t="n"/>
      <c r="F410" s="240" t="n"/>
      <c r="G410" s="240" t="n"/>
      <c r="H410" s="241" t="n"/>
      <c r="I410" s="242" t="n"/>
      <c r="J410" s="242" t="n"/>
      <c r="K410" s="233" t="n"/>
      <c r="L410" s="233">
        <f>IF(K410&lt;&gt;"",(IF(H410="","",H410-(C410*COSTOS!$C$6+D410*COSTOS!$C$7+E410*COSTOS!$C$8+F410*COSTOS!$C$9+G410*COSTOS!$C$10)))+K410,IF(H410="","",H410-(C410*COSTOS!$C$6+D410*COSTOS!$C$7+E410*COSTOS!$C$8+F410*COSTOS!$C$9+G410*COSTOS!$C$10)))</f>
        <v/>
      </c>
    </row>
    <row r="411" ht="15.75" customHeight="1" s="153">
      <c r="A411" s="227" t="n"/>
      <c r="B411" s="228" t="n"/>
      <c r="C411" s="229" t="n"/>
      <c r="D411" s="229" t="n"/>
      <c r="E411" s="229" t="n"/>
      <c r="F411" s="230" t="n"/>
      <c r="G411" s="230" t="n"/>
      <c r="H411" s="231" t="n"/>
      <c r="I411" s="232" t="n"/>
      <c r="J411" s="232" t="n"/>
      <c r="K411" s="233" t="n"/>
      <c r="L411" s="233">
        <f>IF(K411&lt;&gt;"",(IF(H411="","",H411-(C411*COSTOS!$C$6+D411*COSTOS!$C$7+E411*COSTOS!$C$8+F411*COSTOS!$C$9+G411*COSTOS!$C$10)))+K411,IF(H411="","",H411-(C411*COSTOS!$C$6+D411*COSTOS!$C$7+E411*COSTOS!$C$8+F411*COSTOS!$C$9+G411*COSTOS!$C$10)))</f>
        <v/>
      </c>
    </row>
    <row r="412" ht="15.75" customHeight="1" s="153">
      <c r="A412" s="237" t="n"/>
      <c r="B412" s="238" t="n"/>
      <c r="C412" s="239" t="n"/>
      <c r="D412" s="239" t="n"/>
      <c r="E412" s="239" t="n"/>
      <c r="F412" s="240" t="n"/>
      <c r="G412" s="240" t="n"/>
      <c r="H412" s="241" t="n"/>
      <c r="I412" s="242" t="n"/>
      <c r="J412" s="242" t="n"/>
      <c r="K412" s="233" t="n"/>
      <c r="L412" s="233">
        <f>IF(K412&lt;&gt;"",(IF(H412="","",H412-(C412*COSTOS!$C$6+D412*COSTOS!$C$7+E412*COSTOS!$C$8+F412*COSTOS!$C$9+G412*COSTOS!$C$10)))+K412,IF(H412="","",H412-(C412*COSTOS!$C$6+D412*COSTOS!$C$7+E412*COSTOS!$C$8+F412*COSTOS!$C$9+G412*COSTOS!$C$10)))</f>
        <v/>
      </c>
    </row>
    <row r="413" ht="15.75" customHeight="1" s="153">
      <c r="A413" s="227" t="n"/>
      <c r="B413" s="228" t="n"/>
      <c r="C413" s="229" t="n"/>
      <c r="D413" s="229" t="n"/>
      <c r="E413" s="229" t="n"/>
      <c r="F413" s="230" t="n"/>
      <c r="G413" s="230" t="n"/>
      <c r="H413" s="231" t="n"/>
      <c r="I413" s="232" t="n"/>
      <c r="J413" s="232" t="n"/>
      <c r="K413" s="233" t="n"/>
      <c r="L413" s="233">
        <f>IF(K413&lt;&gt;"",(IF(H413="","",H413-(C413*COSTOS!$C$6+D413*COSTOS!$C$7+E413*COSTOS!$C$8+F413*COSTOS!$C$9+G413*COSTOS!$C$10)))+K413,IF(H413="","",H413-(C413*COSTOS!$C$6+D413*COSTOS!$C$7+E413*COSTOS!$C$8+F413*COSTOS!$C$9+G413*COSTOS!$C$10)))</f>
        <v/>
      </c>
    </row>
    <row r="414" ht="15.75" customHeight="1" s="153">
      <c r="A414" s="237" t="n"/>
      <c r="B414" s="238" t="n"/>
      <c r="C414" s="239" t="n"/>
      <c r="D414" s="239" t="n"/>
      <c r="E414" s="239" t="n"/>
      <c r="F414" s="240" t="n"/>
      <c r="G414" s="240" t="n"/>
      <c r="H414" s="241" t="n"/>
      <c r="I414" s="242" t="n"/>
      <c r="J414" s="242" t="n"/>
      <c r="K414" s="233" t="n"/>
      <c r="L414" s="233">
        <f>IF(K414&lt;&gt;"",(IF(H414="","",H414-(C414*COSTOS!$C$6+D414*COSTOS!$C$7+E414*COSTOS!$C$8+F414*COSTOS!$C$9+G414*COSTOS!$C$10)))+K414,IF(H414="","",H414-(C414*COSTOS!$C$6+D414*COSTOS!$C$7+E414*COSTOS!$C$8+F414*COSTOS!$C$9+G414*COSTOS!$C$10)))</f>
        <v/>
      </c>
    </row>
    <row r="415" ht="15.75" customHeight="1" s="153">
      <c r="A415" s="227" t="n"/>
      <c r="B415" s="228" t="n"/>
      <c r="C415" s="229" t="n"/>
      <c r="D415" s="229" t="n"/>
      <c r="E415" s="229" t="n"/>
      <c r="F415" s="230" t="n"/>
      <c r="G415" s="230" t="n"/>
      <c r="H415" s="231" t="n"/>
      <c r="I415" s="232" t="n"/>
      <c r="J415" s="232" t="n"/>
      <c r="K415" s="233" t="n"/>
      <c r="L415" s="233">
        <f>IF(K415&lt;&gt;"",(IF(H415="","",H415-(C415*COSTOS!$C$6+D415*COSTOS!$C$7+E415*COSTOS!$C$8+F415*COSTOS!$C$9+G415*COSTOS!$C$10)))+K415,IF(H415="","",H415-(C415*COSTOS!$C$6+D415*COSTOS!$C$7+E415*COSTOS!$C$8+F415*COSTOS!$C$9+G415*COSTOS!$C$10)))</f>
        <v/>
      </c>
    </row>
    <row r="416" ht="15.75" customHeight="1" s="153">
      <c r="A416" s="237" t="n"/>
      <c r="B416" s="238" t="n"/>
      <c r="C416" s="239" t="n"/>
      <c r="D416" s="239" t="n"/>
      <c r="E416" s="239" t="n"/>
      <c r="F416" s="240" t="n"/>
      <c r="G416" s="240" t="n"/>
      <c r="H416" s="241" t="n"/>
      <c r="I416" s="242" t="n"/>
      <c r="J416" s="242" t="n"/>
      <c r="K416" s="233" t="n"/>
      <c r="L416" s="233">
        <f>IF(K416&lt;&gt;"",(IF(H416="","",H416-(C416*COSTOS!$C$6+D416*COSTOS!$C$7+E416*COSTOS!$C$8+F416*COSTOS!$C$9+G416*COSTOS!$C$10)))+K416,IF(H416="","",H416-(C416*COSTOS!$C$6+D416*COSTOS!$C$7+E416*COSTOS!$C$8+F416*COSTOS!$C$9+G416*COSTOS!$C$10)))</f>
        <v/>
      </c>
    </row>
    <row r="417" ht="15.75" customHeight="1" s="153">
      <c r="A417" s="227" t="n"/>
      <c r="B417" s="228" t="n"/>
      <c r="C417" s="229" t="n"/>
      <c r="D417" s="229" t="n"/>
      <c r="E417" s="229" t="n"/>
      <c r="F417" s="230" t="n"/>
      <c r="G417" s="230" t="n"/>
      <c r="H417" s="231" t="n"/>
      <c r="I417" s="232" t="n"/>
      <c r="J417" s="232" t="n"/>
      <c r="K417" s="233" t="n"/>
      <c r="L417" s="233">
        <f>IF(K417&lt;&gt;"",(IF(H417="","",H417-(C417*COSTOS!$C$6+D417*COSTOS!$C$7+E417*COSTOS!$C$8+F417*COSTOS!$C$9+G417*COSTOS!$C$10)))+K417,IF(H417="","",H417-(C417*COSTOS!$C$6+D417*COSTOS!$C$7+E417*COSTOS!$C$8+F417*COSTOS!$C$9+G417*COSTOS!$C$10)))</f>
        <v/>
      </c>
    </row>
    <row r="418" ht="15.75" customHeight="1" s="153">
      <c r="A418" s="237" t="n"/>
      <c r="B418" s="238" t="n"/>
      <c r="C418" s="239" t="n"/>
      <c r="D418" s="239" t="n"/>
      <c r="E418" s="239" t="n"/>
      <c r="F418" s="240" t="n"/>
      <c r="G418" s="240" t="n"/>
      <c r="H418" s="241" t="n"/>
      <c r="I418" s="242" t="n"/>
      <c r="J418" s="242" t="n"/>
      <c r="K418" s="233" t="n"/>
      <c r="L418" s="233">
        <f>IF(K418&lt;&gt;"",(IF(H418="","",H418-(C418*COSTOS!$C$6+D418*COSTOS!$C$7+E418*COSTOS!$C$8+F418*COSTOS!$C$9+G418*COSTOS!$C$10)))+K418,IF(H418="","",H418-(C418*COSTOS!$C$6+D418*COSTOS!$C$7+E418*COSTOS!$C$8+F418*COSTOS!$C$9+G418*COSTOS!$C$10)))</f>
        <v/>
      </c>
    </row>
    <row r="419" ht="15.75" customHeight="1" s="153">
      <c r="A419" s="227" t="n"/>
      <c r="B419" s="228" t="n"/>
      <c r="C419" s="229" t="n"/>
      <c r="D419" s="229" t="n"/>
      <c r="E419" s="229" t="n"/>
      <c r="F419" s="230" t="n"/>
      <c r="G419" s="230" t="n"/>
      <c r="H419" s="231" t="n"/>
      <c r="I419" s="232" t="n"/>
      <c r="J419" s="232" t="n"/>
      <c r="K419" s="233" t="n"/>
      <c r="L419" s="233">
        <f>IF(K419&lt;&gt;"",(IF(H419="","",H419-(C419*COSTOS!$C$6+D419*COSTOS!$C$7+E419*COSTOS!$C$8+F419*COSTOS!$C$9+G419*COSTOS!$C$10)))+K419,IF(H419="","",H419-(C419*COSTOS!$C$6+D419*COSTOS!$C$7+E419*COSTOS!$C$8+F419*COSTOS!$C$9+G419*COSTOS!$C$10)))</f>
        <v/>
      </c>
    </row>
    <row r="420" ht="15.75" customHeight="1" s="153">
      <c r="A420" s="237" t="n"/>
      <c r="B420" s="238" t="n"/>
      <c r="C420" s="239" t="n"/>
      <c r="D420" s="239" t="n"/>
      <c r="E420" s="239" t="n"/>
      <c r="F420" s="240" t="n"/>
      <c r="G420" s="240" t="n"/>
      <c r="H420" s="241" t="n"/>
      <c r="I420" s="242" t="n"/>
      <c r="J420" s="242" t="n"/>
      <c r="K420" s="233" t="n"/>
      <c r="L420" s="233">
        <f>IF(K420&lt;&gt;"",(IF(H420="","",H420-(C420*COSTOS!$C$6+D420*COSTOS!$C$7+E420*COSTOS!$C$8+F420*COSTOS!$C$9+G420*COSTOS!$C$10)))+K420,IF(H420="","",H420-(C420*COSTOS!$C$6+D420*COSTOS!$C$7+E420*COSTOS!$C$8+F420*COSTOS!$C$9+G420*COSTOS!$C$10)))</f>
        <v/>
      </c>
    </row>
    <row r="421" ht="15.75" customHeight="1" s="153">
      <c r="A421" s="227" t="n"/>
      <c r="B421" s="228" t="n"/>
      <c r="C421" s="229" t="n"/>
      <c r="D421" s="229" t="n"/>
      <c r="E421" s="229" t="n"/>
      <c r="F421" s="230" t="n"/>
      <c r="G421" s="230" t="n"/>
      <c r="H421" s="231" t="n"/>
      <c r="I421" s="232" t="n"/>
      <c r="J421" s="232" t="n"/>
      <c r="K421" s="233" t="n"/>
      <c r="L421" s="233">
        <f>IF(K421&lt;&gt;"",(IF(H421="","",H421-(C421*COSTOS!$C$6+D421*COSTOS!$C$7+E421*COSTOS!$C$8+F421*COSTOS!$C$9+G421*COSTOS!$C$10)))+K421,IF(H421="","",H421-(C421*COSTOS!$C$6+D421*COSTOS!$C$7+E421*COSTOS!$C$8+F421*COSTOS!$C$9+G421*COSTOS!$C$10)))</f>
        <v/>
      </c>
    </row>
    <row r="422" ht="15.75" customHeight="1" s="153">
      <c r="A422" s="237" t="n"/>
      <c r="B422" s="238" t="n"/>
      <c r="C422" s="239" t="n"/>
      <c r="D422" s="239" t="n"/>
      <c r="E422" s="239" t="n"/>
      <c r="F422" s="240" t="n"/>
      <c r="G422" s="240" t="n"/>
      <c r="H422" s="241" t="n"/>
      <c r="I422" s="242" t="n"/>
      <c r="J422" s="242" t="n"/>
      <c r="K422" s="233" t="n"/>
      <c r="L422" s="233">
        <f>IF(K422&lt;&gt;"",(IF(H422="","",H422-(C422*COSTOS!$C$6+D422*COSTOS!$C$7+E422*COSTOS!$C$8+F422*COSTOS!$C$9+G422*COSTOS!$C$10)))+K422,IF(H422="","",H422-(C422*COSTOS!$C$6+D422*COSTOS!$C$7+E422*COSTOS!$C$8+F422*COSTOS!$C$9+G422*COSTOS!$C$10)))</f>
        <v/>
      </c>
    </row>
    <row r="423" ht="15.75" customHeight="1" s="153">
      <c r="A423" s="227" t="n"/>
      <c r="B423" s="228" t="n"/>
      <c r="C423" s="229" t="n"/>
      <c r="D423" s="229" t="n"/>
      <c r="E423" s="229" t="n"/>
      <c r="F423" s="230" t="n"/>
      <c r="G423" s="230" t="n"/>
      <c r="H423" s="231" t="n"/>
      <c r="I423" s="232" t="n"/>
      <c r="J423" s="232" t="n"/>
      <c r="K423" s="233" t="n"/>
      <c r="L423" s="233">
        <f>IF(K423&lt;&gt;"",(IF(H423="","",H423-(C423*COSTOS!$C$6+D423*COSTOS!$C$7+E423*COSTOS!$C$8+F423*COSTOS!$C$9+G423*COSTOS!$C$10)))+K423,IF(H423="","",H423-(C423*COSTOS!$C$6+D423*COSTOS!$C$7+E423*COSTOS!$C$8+F423*COSTOS!$C$9+G423*COSTOS!$C$10)))</f>
        <v/>
      </c>
    </row>
    <row r="424" ht="15.75" customHeight="1" s="153">
      <c r="A424" s="237" t="n"/>
      <c r="B424" s="238" t="n"/>
      <c r="C424" s="239" t="n"/>
      <c r="D424" s="239" t="n"/>
      <c r="E424" s="239" t="n"/>
      <c r="F424" s="240" t="n"/>
      <c r="G424" s="240" t="n"/>
      <c r="H424" s="241" t="n"/>
      <c r="I424" s="242" t="n"/>
      <c r="J424" s="242" t="n"/>
      <c r="K424" s="233" t="n"/>
      <c r="L424" s="233">
        <f>IF(K424&lt;&gt;"",(IF(H424="","",H424-(C424*COSTOS!$C$6+D424*COSTOS!$C$7+E424*COSTOS!$C$8+F424*COSTOS!$C$9+G424*COSTOS!$C$10)))+K424,IF(H424="","",H424-(C424*COSTOS!$C$6+D424*COSTOS!$C$7+E424*COSTOS!$C$8+F424*COSTOS!$C$9+G424*COSTOS!$C$10)))</f>
        <v/>
      </c>
    </row>
    <row r="425" ht="15.75" customHeight="1" s="153">
      <c r="A425" s="227" t="n"/>
      <c r="B425" s="228" t="n"/>
      <c r="C425" s="229" t="n"/>
      <c r="D425" s="229" t="n"/>
      <c r="E425" s="229" t="n"/>
      <c r="F425" s="230" t="n"/>
      <c r="G425" s="230" t="n"/>
      <c r="H425" s="231" t="n"/>
      <c r="I425" s="232" t="n"/>
      <c r="J425" s="232" t="n"/>
      <c r="K425" s="233" t="n"/>
      <c r="L425" s="233">
        <f>IF(K425&lt;&gt;"",(IF(H425="","",H425-(C425*COSTOS!$C$6+D425*COSTOS!$C$7+E425*COSTOS!$C$8+F425*COSTOS!$C$9+G425*COSTOS!$C$10)))+K425,IF(H425="","",H425-(C425*COSTOS!$C$6+D425*COSTOS!$C$7+E425*COSTOS!$C$8+F425*COSTOS!$C$9+G425*COSTOS!$C$10)))</f>
        <v/>
      </c>
    </row>
    <row r="426" ht="15.75" customHeight="1" s="153">
      <c r="A426" s="237" t="n"/>
      <c r="B426" s="238" t="n"/>
      <c r="C426" s="239" t="n"/>
      <c r="D426" s="239" t="n"/>
      <c r="E426" s="239" t="n"/>
      <c r="F426" s="240" t="n"/>
      <c r="G426" s="240" t="n"/>
      <c r="H426" s="241" t="n"/>
      <c r="I426" s="242" t="n"/>
      <c r="J426" s="242" t="n"/>
      <c r="K426" s="233" t="n"/>
      <c r="L426" s="233">
        <f>IF(K426&lt;&gt;"",(IF(H426="","",H426-(C426*COSTOS!$C$6+D426*COSTOS!$C$7+E426*COSTOS!$C$8+F426*COSTOS!$C$9+G426*COSTOS!$C$10)))+K426,IF(H426="","",H426-(C426*COSTOS!$C$6+D426*COSTOS!$C$7+E426*COSTOS!$C$8+F426*COSTOS!$C$9+G426*COSTOS!$C$10)))</f>
        <v/>
      </c>
    </row>
    <row r="427" ht="15.75" customHeight="1" s="153">
      <c r="A427" s="227" t="n"/>
      <c r="B427" s="228" t="n"/>
      <c r="C427" s="229" t="n"/>
      <c r="D427" s="229" t="n"/>
      <c r="E427" s="229" t="n"/>
      <c r="F427" s="230" t="n"/>
      <c r="G427" s="230" t="n"/>
      <c r="H427" s="231" t="n"/>
      <c r="I427" s="232" t="n"/>
      <c r="J427" s="232" t="n"/>
      <c r="K427" s="233" t="n"/>
      <c r="L427" s="233">
        <f>IF(K427&lt;&gt;"",(IF(H427="","",H427-(C427*COSTOS!$C$6+D427*COSTOS!$C$7+E427*COSTOS!$C$8+F427*COSTOS!$C$9+G427*COSTOS!$C$10)))+K427,IF(H427="","",H427-(C427*COSTOS!$C$6+D427*COSTOS!$C$7+E427*COSTOS!$C$8+F427*COSTOS!$C$9+G427*COSTOS!$C$10)))</f>
        <v/>
      </c>
    </row>
    <row r="428" ht="15.75" customHeight="1" s="153">
      <c r="A428" s="237" t="n"/>
      <c r="B428" s="238" t="n"/>
      <c r="C428" s="239" t="n"/>
      <c r="D428" s="239" t="n"/>
      <c r="E428" s="239" t="n"/>
      <c r="F428" s="240" t="n"/>
      <c r="G428" s="240" t="n"/>
      <c r="H428" s="241" t="n"/>
      <c r="I428" s="242" t="n"/>
      <c r="J428" s="242" t="n"/>
      <c r="K428" s="233" t="n"/>
      <c r="L428" s="233">
        <f>IF(K428&lt;&gt;"",(IF(H428="","",H428-(C428*COSTOS!$C$6+D428*COSTOS!$C$7+E428*COSTOS!$C$8+F428*COSTOS!$C$9+G428*COSTOS!$C$10)))+K428,IF(H428="","",H428-(C428*COSTOS!$C$6+D428*COSTOS!$C$7+E428*COSTOS!$C$8+F428*COSTOS!$C$9+G428*COSTOS!$C$10)))</f>
        <v/>
      </c>
    </row>
    <row r="429" ht="15.75" customHeight="1" s="153">
      <c r="A429" s="227" t="n"/>
      <c r="B429" s="228" t="n"/>
      <c r="C429" s="229" t="n"/>
      <c r="D429" s="229" t="n"/>
      <c r="E429" s="229" t="n"/>
      <c r="F429" s="230" t="n"/>
      <c r="G429" s="230" t="n"/>
      <c r="H429" s="231" t="n"/>
      <c r="I429" s="232" t="n"/>
      <c r="J429" s="232" t="n"/>
      <c r="K429" s="233" t="n"/>
      <c r="L429" s="233">
        <f>IF(K429&lt;&gt;"",(IF(H429="","",H429-(C429*COSTOS!$C$6+D429*COSTOS!$C$7+E429*COSTOS!$C$8+F429*COSTOS!$C$9+G429*COSTOS!$C$10)))+K429,IF(H429="","",H429-(C429*COSTOS!$C$6+D429*COSTOS!$C$7+E429*COSTOS!$C$8+F429*COSTOS!$C$9+G429*COSTOS!$C$10)))</f>
        <v/>
      </c>
    </row>
    <row r="430" ht="15.75" customHeight="1" s="153">
      <c r="A430" s="237" t="n"/>
      <c r="B430" s="238" t="n"/>
      <c r="C430" s="239" t="n"/>
      <c r="D430" s="239" t="n"/>
      <c r="E430" s="239" t="n"/>
      <c r="F430" s="240" t="n"/>
      <c r="G430" s="240" t="n"/>
      <c r="H430" s="241" t="n"/>
      <c r="I430" s="242" t="n"/>
      <c r="J430" s="242" t="n"/>
      <c r="K430" s="233" t="n"/>
      <c r="L430" s="233">
        <f>IF(K430&lt;&gt;"",(IF(H430="","",H430-(C430*COSTOS!$C$6+D430*COSTOS!$C$7+E430*COSTOS!$C$8+F430*COSTOS!$C$9+G430*COSTOS!$C$10)))+K430,IF(H430="","",H430-(C430*COSTOS!$C$6+D430*COSTOS!$C$7+E430*COSTOS!$C$8+F430*COSTOS!$C$9+G430*COSTOS!$C$10)))</f>
        <v/>
      </c>
    </row>
    <row r="431" ht="15.75" customHeight="1" s="153">
      <c r="A431" s="227" t="n"/>
      <c r="B431" s="228" t="n"/>
      <c r="C431" s="229" t="n"/>
      <c r="D431" s="229" t="n"/>
      <c r="E431" s="229" t="n"/>
      <c r="F431" s="230" t="n"/>
      <c r="G431" s="230" t="n"/>
      <c r="H431" s="231" t="n"/>
      <c r="I431" s="232" t="n"/>
      <c r="J431" s="232" t="n"/>
      <c r="K431" s="233" t="n"/>
      <c r="L431" s="233">
        <f>IF(K431&lt;&gt;"",(IF(H431="","",H431-(C431*COSTOS!$C$6+D431*COSTOS!$C$7+E431*COSTOS!$C$8+F431*COSTOS!$C$9+G431*COSTOS!$C$10)))+K431,IF(H431="","",H431-(C431*COSTOS!$C$6+D431*COSTOS!$C$7+E431*COSTOS!$C$8+F431*COSTOS!$C$9+G431*COSTOS!$C$10)))</f>
        <v/>
      </c>
    </row>
    <row r="432" ht="15.75" customHeight="1" s="153">
      <c r="A432" s="237" t="n"/>
      <c r="B432" s="238" t="n"/>
      <c r="C432" s="239" t="n"/>
      <c r="D432" s="239" t="n"/>
      <c r="E432" s="239" t="n"/>
      <c r="F432" s="240" t="n"/>
      <c r="G432" s="240" t="n"/>
      <c r="H432" s="241" t="n"/>
      <c r="I432" s="242" t="n"/>
      <c r="J432" s="242" t="n"/>
      <c r="K432" s="233" t="n"/>
      <c r="L432" s="233">
        <f>IF(K432&lt;&gt;"",(IF(H432="","",H432-(C432*COSTOS!$C$6+D432*COSTOS!$C$7+E432*COSTOS!$C$8+F432*COSTOS!$C$9+G432*COSTOS!$C$10)))+K432,IF(H432="","",H432-(C432*COSTOS!$C$6+D432*COSTOS!$C$7+E432*COSTOS!$C$8+F432*COSTOS!$C$9+G432*COSTOS!$C$10)))</f>
        <v/>
      </c>
    </row>
    <row r="433" ht="15.75" customHeight="1" s="153">
      <c r="A433" s="227" t="n"/>
      <c r="B433" s="228" t="n"/>
      <c r="C433" s="229" t="n"/>
      <c r="D433" s="229" t="n"/>
      <c r="E433" s="229" t="n"/>
      <c r="F433" s="230" t="n"/>
      <c r="G433" s="230" t="n"/>
      <c r="H433" s="231" t="n"/>
      <c r="I433" s="232" t="n"/>
      <c r="J433" s="232" t="n"/>
      <c r="K433" s="233" t="n"/>
      <c r="L433" s="233">
        <f>IF(K433&lt;&gt;"",(IF(H433="","",H433-(C433*COSTOS!$C$6+D433*COSTOS!$C$7+E433*COSTOS!$C$8+F433*COSTOS!$C$9+G433*COSTOS!$C$10)))+K433,IF(H433="","",H433-(C433*COSTOS!$C$6+D433*COSTOS!$C$7+E433*COSTOS!$C$8+F433*COSTOS!$C$9+G433*COSTOS!$C$10)))</f>
        <v/>
      </c>
    </row>
    <row r="434" ht="15.75" customHeight="1" s="153">
      <c r="A434" s="237" t="n"/>
      <c r="B434" s="238" t="n"/>
      <c r="C434" s="239" t="n"/>
      <c r="D434" s="239" t="n"/>
      <c r="E434" s="239" t="n"/>
      <c r="F434" s="240" t="n"/>
      <c r="G434" s="240" t="n"/>
      <c r="H434" s="241" t="n"/>
      <c r="I434" s="242" t="n"/>
      <c r="J434" s="242" t="n"/>
      <c r="K434" s="233" t="n"/>
      <c r="L434" s="233">
        <f>IF(K434&lt;&gt;"",(IF(H434="","",H434-(C434*COSTOS!$C$6+D434*COSTOS!$C$7+E434*COSTOS!$C$8+F434*COSTOS!$C$9+G434*COSTOS!$C$10)))+K434,IF(H434="","",H434-(C434*COSTOS!$C$6+D434*COSTOS!$C$7+E434*COSTOS!$C$8+F434*COSTOS!$C$9+G434*COSTOS!$C$10)))</f>
        <v/>
      </c>
    </row>
    <row r="435" ht="15.75" customHeight="1" s="153">
      <c r="A435" s="227" t="n"/>
      <c r="B435" s="228" t="n"/>
      <c r="C435" s="229" t="n"/>
      <c r="D435" s="229" t="n"/>
      <c r="E435" s="229" t="n"/>
      <c r="F435" s="230" t="n"/>
      <c r="G435" s="230" t="n"/>
      <c r="H435" s="231" t="n"/>
      <c r="I435" s="232" t="n"/>
      <c r="J435" s="232" t="n"/>
      <c r="K435" s="233" t="n"/>
      <c r="L435" s="233">
        <f>IF(K435&lt;&gt;"",(IF(H435="","",H435-(C435*COSTOS!$C$6+D435*COSTOS!$C$7+E435*COSTOS!$C$8+F435*COSTOS!$C$9+G435*COSTOS!$C$10)))+K435,IF(H435="","",H435-(C435*COSTOS!$C$6+D435*COSTOS!$C$7+E435*COSTOS!$C$8+F435*COSTOS!$C$9+G435*COSTOS!$C$10)))</f>
        <v/>
      </c>
    </row>
    <row r="436" ht="15.75" customHeight="1" s="153">
      <c r="A436" s="237" t="n"/>
      <c r="B436" s="238" t="n"/>
      <c r="C436" s="239" t="n"/>
      <c r="D436" s="239" t="n"/>
      <c r="E436" s="239" t="n"/>
      <c r="F436" s="240" t="n"/>
      <c r="G436" s="240" t="n"/>
      <c r="H436" s="241" t="n"/>
      <c r="I436" s="242" t="n"/>
      <c r="J436" s="242" t="n"/>
      <c r="K436" s="233" t="n"/>
      <c r="L436" s="233">
        <f>IF(K436&lt;&gt;"",(IF(H436="","",H436-(C436*COSTOS!$C$6+D436*COSTOS!$C$7+E436*COSTOS!$C$8+F436*COSTOS!$C$9+G436*COSTOS!$C$10)))+K436,IF(H436="","",H436-(C436*COSTOS!$C$6+D436*COSTOS!$C$7+E436*COSTOS!$C$8+F436*COSTOS!$C$9+G436*COSTOS!$C$10)))</f>
        <v/>
      </c>
    </row>
    <row r="437" ht="15.75" customHeight="1" s="153">
      <c r="A437" s="227" t="n"/>
      <c r="B437" s="228" t="n"/>
      <c r="C437" s="229" t="n"/>
      <c r="D437" s="229" t="n"/>
      <c r="E437" s="229" t="n"/>
      <c r="F437" s="230" t="n"/>
      <c r="G437" s="230" t="n"/>
      <c r="H437" s="231" t="n"/>
      <c r="I437" s="232" t="n"/>
      <c r="J437" s="232" t="n"/>
      <c r="K437" s="233" t="n"/>
      <c r="L437" s="233">
        <f>IF(K437&lt;&gt;"",(IF(H437="","",H437-(C437*COSTOS!$C$6+D437*COSTOS!$C$7+E437*COSTOS!$C$8+F437*COSTOS!$C$9+G437*COSTOS!$C$10)))+K437,IF(H437="","",H437-(C437*COSTOS!$C$6+D437*COSTOS!$C$7+E437*COSTOS!$C$8+F437*COSTOS!$C$9+G437*COSTOS!$C$10)))</f>
        <v/>
      </c>
    </row>
    <row r="438" ht="15.75" customHeight="1" s="153">
      <c r="A438" s="237" t="n"/>
      <c r="B438" s="238" t="n"/>
      <c r="C438" s="239" t="n"/>
      <c r="D438" s="239" t="n"/>
      <c r="E438" s="239" t="n"/>
      <c r="F438" s="240" t="n"/>
      <c r="G438" s="240" t="n"/>
      <c r="H438" s="241" t="n"/>
      <c r="I438" s="242" t="n"/>
      <c r="J438" s="242" t="n"/>
      <c r="K438" s="233" t="n"/>
      <c r="L438" s="233">
        <f>IF(K438&lt;&gt;"",(IF(H438="","",H438-(C438*COSTOS!$C$6+D438*COSTOS!$C$7+E438*COSTOS!$C$8+F438*COSTOS!$C$9+G438*COSTOS!$C$10)))+K438,IF(H438="","",H438-(C438*COSTOS!$C$6+D438*COSTOS!$C$7+E438*COSTOS!$C$8+F438*COSTOS!$C$9+G438*COSTOS!$C$10)))</f>
        <v/>
      </c>
    </row>
    <row r="439" ht="15.75" customHeight="1" s="153">
      <c r="A439" s="227" t="n"/>
      <c r="B439" s="228" t="n"/>
      <c r="C439" s="229" t="n"/>
      <c r="D439" s="229" t="n"/>
      <c r="E439" s="229" t="n"/>
      <c r="F439" s="230" t="n"/>
      <c r="G439" s="230" t="n"/>
      <c r="H439" s="231" t="n"/>
      <c r="I439" s="232" t="n"/>
      <c r="J439" s="232" t="n"/>
      <c r="K439" s="233" t="n"/>
      <c r="L439" s="233">
        <f>IF(K439&lt;&gt;"",(IF(H439="","",H439-(C439*COSTOS!$C$6+D439*COSTOS!$C$7+E439*COSTOS!$C$8+F439*COSTOS!$C$9+G439*COSTOS!$C$10)))+K439,IF(H439="","",H439-(C439*COSTOS!$C$6+D439*COSTOS!$C$7+E439*COSTOS!$C$8+F439*COSTOS!$C$9+G439*COSTOS!$C$10)))</f>
        <v/>
      </c>
    </row>
    <row r="440" ht="15.75" customHeight="1" s="153">
      <c r="A440" s="237" t="n"/>
      <c r="B440" s="238" t="n"/>
      <c r="C440" s="239" t="n"/>
      <c r="D440" s="239" t="n"/>
      <c r="E440" s="239" t="n"/>
      <c r="F440" s="240" t="n"/>
      <c r="G440" s="240" t="n"/>
      <c r="H440" s="241" t="n"/>
      <c r="I440" s="242" t="n"/>
      <c r="J440" s="242" t="n"/>
      <c r="K440" s="233" t="n"/>
      <c r="L440" s="233">
        <f>IF(K440&lt;&gt;"",(IF(H440="","",H440-(C440*COSTOS!$C$6+D440*COSTOS!$C$7+E440*COSTOS!$C$8+F440*COSTOS!$C$9+G440*COSTOS!$C$10)))+K440,IF(H440="","",H440-(C440*COSTOS!$C$6+D440*COSTOS!$C$7+E440*COSTOS!$C$8+F440*COSTOS!$C$9+G440*COSTOS!$C$10)))</f>
        <v/>
      </c>
    </row>
    <row r="441" ht="15.75" customHeight="1" s="153">
      <c r="A441" s="227" t="n"/>
      <c r="B441" s="228" t="n"/>
      <c r="C441" s="229" t="n"/>
      <c r="D441" s="229" t="n"/>
      <c r="E441" s="229" t="n"/>
      <c r="F441" s="230" t="n"/>
      <c r="G441" s="230" t="n"/>
      <c r="H441" s="231" t="n"/>
      <c r="I441" s="232" t="n"/>
      <c r="J441" s="232" t="n"/>
      <c r="K441" s="233" t="n"/>
      <c r="L441" s="233">
        <f>IF(K441&lt;&gt;"",(IF(H441="","",H441-(C441*COSTOS!$C$6+D441*COSTOS!$C$7+E441*COSTOS!$C$8+F441*COSTOS!$C$9+G441*COSTOS!$C$10)))+K441,IF(H441="","",H441-(C441*COSTOS!$C$6+D441*COSTOS!$C$7+E441*COSTOS!$C$8+F441*COSTOS!$C$9+G441*COSTOS!$C$10)))</f>
        <v/>
      </c>
    </row>
    <row r="442" ht="15.75" customHeight="1" s="153">
      <c r="A442" s="237" t="n"/>
      <c r="B442" s="238" t="n"/>
      <c r="C442" s="239" t="n"/>
      <c r="D442" s="239" t="n"/>
      <c r="E442" s="239" t="n"/>
      <c r="F442" s="240" t="n"/>
      <c r="G442" s="240" t="n"/>
      <c r="H442" s="241" t="n"/>
      <c r="I442" s="242" t="n"/>
      <c r="J442" s="242" t="n"/>
      <c r="K442" s="233" t="n"/>
      <c r="L442" s="233">
        <f>IF(K442&lt;&gt;"",(IF(H442="","",H442-(C442*COSTOS!$C$6+D442*COSTOS!$C$7+E442*COSTOS!$C$8+F442*COSTOS!$C$9+G442*COSTOS!$C$10)))+K442,IF(H442="","",H442-(C442*COSTOS!$C$6+D442*COSTOS!$C$7+E442*COSTOS!$C$8+F442*COSTOS!$C$9+G442*COSTOS!$C$10)))</f>
        <v/>
      </c>
    </row>
    <row r="443" ht="15.75" customHeight="1" s="153">
      <c r="A443" s="227" t="n"/>
      <c r="B443" s="228" t="n"/>
      <c r="C443" s="229" t="n"/>
      <c r="D443" s="229" t="n"/>
      <c r="E443" s="229" t="n"/>
      <c r="F443" s="230" t="n"/>
      <c r="G443" s="230" t="n"/>
      <c r="H443" s="231" t="n"/>
      <c r="I443" s="232" t="n"/>
      <c r="J443" s="232" t="n"/>
      <c r="K443" s="233" t="n"/>
      <c r="L443" s="233">
        <f>IF(K443&lt;&gt;"",(IF(H443="","",H443-(C443*COSTOS!$C$6+D443*COSTOS!$C$7+E443*COSTOS!$C$8+F443*COSTOS!$C$9+G443*COSTOS!$C$10)))+K443,IF(H443="","",H443-(C443*COSTOS!$C$6+D443*COSTOS!$C$7+E443*COSTOS!$C$8+F443*COSTOS!$C$9+G443*COSTOS!$C$10)))</f>
        <v/>
      </c>
    </row>
    <row r="444" ht="15.75" customHeight="1" s="153">
      <c r="A444" s="237" t="n"/>
      <c r="B444" s="238" t="n"/>
      <c r="C444" s="239" t="n"/>
      <c r="D444" s="239" t="n"/>
      <c r="E444" s="239" t="n"/>
      <c r="F444" s="240" t="n"/>
      <c r="G444" s="240" t="n"/>
      <c r="H444" s="241" t="n"/>
      <c r="I444" s="242" t="n"/>
      <c r="J444" s="242" t="n"/>
      <c r="K444" s="233" t="n"/>
      <c r="L444" s="233">
        <f>IF(K444&lt;&gt;"",(IF(H444="","",H444-(C444*COSTOS!$C$6+D444*COSTOS!$C$7+E444*COSTOS!$C$8+F444*COSTOS!$C$9+G444*COSTOS!$C$10)))+K444,IF(H444="","",H444-(C444*COSTOS!$C$6+D444*COSTOS!$C$7+E444*COSTOS!$C$8+F444*COSTOS!$C$9+G444*COSTOS!$C$10)))</f>
        <v/>
      </c>
    </row>
    <row r="445" ht="15.75" customHeight="1" s="153">
      <c r="A445" s="227" t="n"/>
      <c r="B445" s="228" t="n"/>
      <c r="C445" s="229" t="n"/>
      <c r="D445" s="229" t="n"/>
      <c r="E445" s="229" t="n"/>
      <c r="F445" s="230" t="n"/>
      <c r="G445" s="230" t="n"/>
      <c r="H445" s="231" t="n"/>
      <c r="I445" s="232" t="n"/>
      <c r="J445" s="232" t="n"/>
      <c r="K445" s="233" t="n"/>
      <c r="L445" s="233">
        <f>IF(K445&lt;&gt;"",(IF(H445="","",H445-(C445*COSTOS!$C$6+D445*COSTOS!$C$7+E445*COSTOS!$C$8+F445*COSTOS!$C$9+G445*COSTOS!$C$10)))+K445,IF(H445="","",H445-(C445*COSTOS!$C$6+D445*COSTOS!$C$7+E445*COSTOS!$C$8+F445*COSTOS!$C$9+G445*COSTOS!$C$10)))</f>
        <v/>
      </c>
    </row>
    <row r="446" ht="15.75" customHeight="1" s="153">
      <c r="A446" s="237" t="n"/>
      <c r="B446" s="238" t="n"/>
      <c r="C446" s="239" t="n"/>
      <c r="D446" s="239" t="n"/>
      <c r="E446" s="239" t="n"/>
      <c r="F446" s="240" t="n"/>
      <c r="G446" s="240" t="n"/>
      <c r="H446" s="241" t="n"/>
      <c r="I446" s="242" t="n"/>
      <c r="J446" s="242" t="n"/>
      <c r="K446" s="233" t="n"/>
      <c r="L446" s="233">
        <f>IF(K446&lt;&gt;"",(IF(H446="","",H446-(C446*COSTOS!$C$6+D446*COSTOS!$C$7+E446*COSTOS!$C$8+F446*COSTOS!$C$9+G446*COSTOS!$C$10)))+K446,IF(H446="","",H446-(C446*COSTOS!$C$6+D446*COSTOS!$C$7+E446*COSTOS!$C$8+F446*COSTOS!$C$9+G446*COSTOS!$C$10)))</f>
        <v/>
      </c>
    </row>
    <row r="447" ht="15.75" customHeight="1" s="153">
      <c r="A447" s="227" t="n"/>
      <c r="B447" s="228" t="n"/>
      <c r="C447" s="229" t="n"/>
      <c r="D447" s="229" t="n"/>
      <c r="E447" s="229" t="n"/>
      <c r="F447" s="230" t="n"/>
      <c r="G447" s="230" t="n"/>
      <c r="H447" s="231" t="n"/>
      <c r="I447" s="232" t="n"/>
      <c r="J447" s="232" t="n"/>
      <c r="K447" s="233" t="n"/>
      <c r="L447" s="233">
        <f>IF(K447&lt;&gt;"",(IF(H447="","",H447-(C447*COSTOS!$C$6+D447*COSTOS!$C$7+E447*COSTOS!$C$8+F447*COSTOS!$C$9+G447*COSTOS!$C$10)))+K447,IF(H447="","",H447-(C447*COSTOS!$C$6+D447*COSTOS!$C$7+E447*COSTOS!$C$8+F447*COSTOS!$C$9+G447*COSTOS!$C$10)))</f>
        <v/>
      </c>
    </row>
    <row r="448" ht="15.75" customHeight="1" s="153">
      <c r="A448" s="237" t="n"/>
      <c r="B448" s="238" t="n"/>
      <c r="C448" s="239" t="n"/>
      <c r="D448" s="239" t="n"/>
      <c r="E448" s="239" t="n"/>
      <c r="F448" s="240" t="n"/>
      <c r="G448" s="240" t="n"/>
      <c r="H448" s="241" t="n"/>
      <c r="I448" s="242" t="n"/>
      <c r="J448" s="242" t="n"/>
      <c r="K448" s="233" t="n"/>
      <c r="L448" s="233">
        <f>IF(K448&lt;&gt;"",(IF(H448="","",H448-(C448*COSTOS!$C$6+D448*COSTOS!$C$7+E448*COSTOS!$C$8+F448*COSTOS!$C$9+G448*COSTOS!$C$10)))+K448,IF(H448="","",H448-(C448*COSTOS!$C$6+D448*COSTOS!$C$7+E448*COSTOS!$C$8+F448*COSTOS!$C$9+G448*COSTOS!$C$10)))</f>
        <v/>
      </c>
    </row>
    <row r="449" ht="15.75" customHeight="1" s="153">
      <c r="A449" s="227" t="n"/>
      <c r="B449" s="228" t="n"/>
      <c r="C449" s="229" t="n"/>
      <c r="D449" s="229" t="n"/>
      <c r="E449" s="229" t="n"/>
      <c r="F449" s="230" t="n"/>
      <c r="G449" s="230" t="n"/>
      <c r="H449" s="231" t="n"/>
      <c r="I449" s="232" t="n"/>
      <c r="J449" s="232" t="n"/>
      <c r="K449" s="233" t="n"/>
      <c r="L449" s="233">
        <f>IF(K449&lt;&gt;"",(IF(H449="","",H449-(C449*COSTOS!$C$6+D449*COSTOS!$C$7+E449*COSTOS!$C$8+F449*COSTOS!$C$9+G449*COSTOS!$C$10)))+K449,IF(H449="","",H449-(C449*COSTOS!$C$6+D449*COSTOS!$C$7+E449*COSTOS!$C$8+F449*COSTOS!$C$9+G449*COSTOS!$C$10)))</f>
        <v/>
      </c>
    </row>
    <row r="450" ht="15.75" customHeight="1" s="153">
      <c r="A450" s="237" t="n"/>
      <c r="B450" s="238" t="n"/>
      <c r="C450" s="239" t="n"/>
      <c r="D450" s="239" t="n"/>
      <c r="E450" s="239" t="n"/>
      <c r="F450" s="240" t="n"/>
      <c r="G450" s="240" t="n"/>
      <c r="H450" s="241" t="n"/>
      <c r="I450" s="242" t="n"/>
      <c r="J450" s="242" t="n"/>
      <c r="K450" s="233" t="n"/>
      <c r="L450" s="233">
        <f>IF(K450&lt;&gt;"",(IF(H450="","",H450-(C450*COSTOS!$C$6+D450*COSTOS!$C$7+E450*COSTOS!$C$8+F450*COSTOS!$C$9+G450*COSTOS!$C$10)))+K450,IF(H450="","",H450-(C450*COSTOS!$C$6+D450*COSTOS!$C$7+E450*COSTOS!$C$8+F450*COSTOS!$C$9+G450*COSTOS!$C$10)))</f>
        <v/>
      </c>
    </row>
    <row r="451" ht="15.75" customHeight="1" s="153">
      <c r="A451" s="227" t="n"/>
      <c r="B451" s="228" t="n"/>
      <c r="C451" s="229" t="n"/>
      <c r="D451" s="229" t="n"/>
      <c r="E451" s="229" t="n"/>
      <c r="F451" s="230" t="n"/>
      <c r="G451" s="230" t="n"/>
      <c r="H451" s="231" t="n"/>
      <c r="I451" s="232" t="n"/>
      <c r="J451" s="232" t="n"/>
      <c r="K451" s="233" t="n"/>
      <c r="L451" s="233">
        <f>IF(K451&lt;&gt;"",(IF(H451="","",H451-(C451*COSTOS!$C$6+D451*COSTOS!$C$7+E451*COSTOS!$C$8+F451*COSTOS!$C$9+G451*COSTOS!$C$10)))+K451,IF(H451="","",H451-(C451*COSTOS!$C$6+D451*COSTOS!$C$7+E451*COSTOS!$C$8+F451*COSTOS!$C$9+G451*COSTOS!$C$10)))</f>
        <v/>
      </c>
    </row>
    <row r="452" ht="15.75" customHeight="1" s="153">
      <c r="A452" s="237" t="n"/>
      <c r="B452" s="238" t="n"/>
      <c r="C452" s="239" t="n"/>
      <c r="D452" s="239" t="n"/>
      <c r="E452" s="239" t="n"/>
      <c r="F452" s="240" t="n"/>
      <c r="G452" s="240" t="n"/>
      <c r="H452" s="241" t="n"/>
      <c r="I452" s="242" t="n"/>
      <c r="J452" s="242" t="n"/>
      <c r="K452" s="233" t="n"/>
      <c r="L452" s="233">
        <f>IF(K452&lt;&gt;"",(IF(H452="","",H452-(C452*COSTOS!$C$6+D452*COSTOS!$C$7+E452*COSTOS!$C$8+F452*COSTOS!$C$9+G452*COSTOS!$C$10)))+K452,IF(H452="","",H452-(C452*COSTOS!$C$6+D452*COSTOS!$C$7+E452*COSTOS!$C$8+F452*COSTOS!$C$9+G452*COSTOS!$C$10)))</f>
        <v/>
      </c>
    </row>
    <row r="453" ht="15.75" customHeight="1" s="153">
      <c r="A453" s="227" t="n"/>
      <c r="B453" s="228" t="n"/>
      <c r="C453" s="229" t="n"/>
      <c r="D453" s="229" t="n"/>
      <c r="E453" s="229" t="n"/>
      <c r="F453" s="230" t="n"/>
      <c r="G453" s="230" t="n"/>
      <c r="H453" s="231" t="n"/>
      <c r="I453" s="232" t="n"/>
      <c r="J453" s="232" t="n"/>
      <c r="K453" s="233" t="n"/>
      <c r="L453" s="233">
        <f>IF(K453&lt;&gt;"",(IF(H453="","",H453-(C453*COSTOS!$C$6+D453*COSTOS!$C$7+E453*COSTOS!$C$8+F453*COSTOS!$C$9+G453*COSTOS!$C$10)))+K453,IF(H453="","",H453-(C453*COSTOS!$C$6+D453*COSTOS!$C$7+E453*COSTOS!$C$8+F453*COSTOS!$C$9+G453*COSTOS!$C$10)))</f>
        <v/>
      </c>
    </row>
    <row r="454" ht="15.75" customHeight="1" s="153">
      <c r="A454" s="237" t="n"/>
      <c r="B454" s="238" t="n"/>
      <c r="C454" s="239" t="n"/>
      <c r="D454" s="239" t="n"/>
      <c r="E454" s="239" t="n"/>
      <c r="F454" s="240" t="n"/>
      <c r="G454" s="240" t="n"/>
      <c r="H454" s="241" t="n"/>
      <c r="I454" s="242" t="n"/>
      <c r="J454" s="242" t="n"/>
      <c r="K454" s="233" t="n"/>
      <c r="L454" s="233">
        <f>IF(K454&lt;&gt;"",(IF(H454="","",H454-(C454*COSTOS!$C$6+D454*COSTOS!$C$7+E454*COSTOS!$C$8+F454*COSTOS!$C$9+G454*COSTOS!$C$10)))+K454,IF(H454="","",H454-(C454*COSTOS!$C$6+D454*COSTOS!$C$7+E454*COSTOS!$C$8+F454*COSTOS!$C$9+G454*COSTOS!$C$10)))</f>
        <v/>
      </c>
    </row>
    <row r="455" ht="15.75" customHeight="1" s="153">
      <c r="A455" s="227" t="n"/>
      <c r="B455" s="228" t="n"/>
      <c r="C455" s="229" t="n"/>
      <c r="D455" s="229" t="n"/>
      <c r="E455" s="229" t="n"/>
      <c r="F455" s="230" t="n"/>
      <c r="G455" s="230" t="n"/>
      <c r="H455" s="231" t="n"/>
      <c r="I455" s="232" t="n"/>
      <c r="J455" s="232" t="n"/>
      <c r="K455" s="233" t="n"/>
      <c r="L455" s="233">
        <f>IF(K455&lt;&gt;"",(IF(H455="","",H455-(C455*COSTOS!$C$6+D455*COSTOS!$C$7+E455*COSTOS!$C$8+F455*COSTOS!$C$9+G455*COSTOS!$C$10)))+K455,IF(H455="","",H455-(C455*COSTOS!$C$6+D455*COSTOS!$C$7+E455*COSTOS!$C$8+F455*COSTOS!$C$9+G455*COSTOS!$C$10)))</f>
        <v/>
      </c>
    </row>
    <row r="456" ht="15.75" customHeight="1" s="153">
      <c r="A456" s="237" t="n"/>
      <c r="B456" s="238" t="n"/>
      <c r="C456" s="239" t="n"/>
      <c r="D456" s="239" t="n"/>
      <c r="E456" s="239" t="n"/>
      <c r="F456" s="240" t="n"/>
      <c r="G456" s="240" t="n"/>
      <c r="H456" s="241" t="n"/>
      <c r="I456" s="242" t="n"/>
      <c r="J456" s="242" t="n"/>
      <c r="K456" s="233" t="n"/>
      <c r="L456" s="233">
        <f>IF(K456&lt;&gt;"",(IF(H456="","",H456-(C456*COSTOS!$C$6+D456*COSTOS!$C$7+E456*COSTOS!$C$8+F456*COSTOS!$C$9+G456*COSTOS!$C$10)))+K456,IF(H456="","",H456-(C456*COSTOS!$C$6+D456*COSTOS!$C$7+E456*COSTOS!$C$8+F456*COSTOS!$C$9+G456*COSTOS!$C$10)))</f>
        <v/>
      </c>
    </row>
    <row r="457" ht="15.75" customHeight="1" s="153">
      <c r="A457" s="227" t="n"/>
      <c r="B457" s="228" t="n"/>
      <c r="C457" s="229" t="n"/>
      <c r="D457" s="229" t="n"/>
      <c r="E457" s="229" t="n"/>
      <c r="F457" s="230" t="n"/>
      <c r="G457" s="230" t="n"/>
      <c r="H457" s="231" t="n"/>
      <c r="I457" s="232" t="n"/>
      <c r="J457" s="232" t="n"/>
      <c r="K457" s="233" t="n"/>
      <c r="L457" s="233">
        <f>IF(K457&lt;&gt;"",(IF(H457="","",H457-(C457*COSTOS!$C$6+D457*COSTOS!$C$7+E457*COSTOS!$C$8+F457*COSTOS!$C$9+G457*COSTOS!$C$10)))+K457,IF(H457="","",H457-(C457*COSTOS!$C$6+D457*COSTOS!$C$7+E457*COSTOS!$C$8+F457*COSTOS!$C$9+G457*COSTOS!$C$10)))</f>
        <v/>
      </c>
    </row>
    <row r="458" ht="15.75" customHeight="1" s="153">
      <c r="A458" s="237" t="n"/>
      <c r="B458" s="238" t="n"/>
      <c r="C458" s="239" t="n"/>
      <c r="D458" s="239" t="n"/>
      <c r="E458" s="239" t="n"/>
      <c r="F458" s="240" t="n"/>
      <c r="G458" s="240" t="n"/>
      <c r="H458" s="241" t="n"/>
      <c r="I458" s="242" t="n"/>
      <c r="J458" s="242" t="n"/>
      <c r="K458" s="233" t="n"/>
      <c r="L458" s="233">
        <f>IF(K458&lt;&gt;"",(IF(H458="","",H458-(C458*COSTOS!$C$6+D458*COSTOS!$C$7+E458*COSTOS!$C$8+F458*COSTOS!$C$9+G458*COSTOS!$C$10)))+K458,IF(H458="","",H458-(C458*COSTOS!$C$6+D458*COSTOS!$C$7+E458*COSTOS!$C$8+F458*COSTOS!$C$9+G458*COSTOS!$C$10)))</f>
        <v/>
      </c>
    </row>
    <row r="459" ht="15.75" customHeight="1" s="153">
      <c r="A459" s="227" t="n"/>
      <c r="B459" s="228" t="n"/>
      <c r="C459" s="229" t="n"/>
      <c r="D459" s="229" t="n"/>
      <c r="E459" s="229" t="n"/>
      <c r="F459" s="230" t="n"/>
      <c r="G459" s="230" t="n"/>
      <c r="H459" s="231" t="n"/>
      <c r="I459" s="232" t="n"/>
      <c r="J459" s="232" t="n"/>
      <c r="K459" s="233" t="n"/>
      <c r="L459" s="233">
        <f>IF(K459&lt;&gt;"",(IF(H459="","",H459-(C459*COSTOS!$C$6+D459*COSTOS!$C$7+E459*COSTOS!$C$8+F459*COSTOS!$C$9+G459*COSTOS!$C$10)))+K459,IF(H459="","",H459-(C459*COSTOS!$C$6+D459*COSTOS!$C$7+E459*COSTOS!$C$8+F459*COSTOS!$C$9+G459*COSTOS!$C$10)))</f>
        <v/>
      </c>
    </row>
    <row r="460" ht="15.75" customHeight="1" s="153">
      <c r="A460" s="237" t="n"/>
      <c r="B460" s="238" t="n"/>
      <c r="C460" s="239" t="n"/>
      <c r="D460" s="239" t="n"/>
      <c r="E460" s="239" t="n"/>
      <c r="F460" s="240" t="n"/>
      <c r="G460" s="240" t="n"/>
      <c r="H460" s="241" t="n"/>
      <c r="I460" s="242" t="n"/>
      <c r="J460" s="242" t="n"/>
      <c r="K460" s="233" t="n"/>
      <c r="L460" s="233">
        <f>IF(K460&lt;&gt;"",(IF(H460="","",H460-(C460*COSTOS!$C$6+D460*COSTOS!$C$7+E460*COSTOS!$C$8+F460*COSTOS!$C$9+G460*COSTOS!$C$10)))+K460,IF(H460="","",H460-(C460*COSTOS!$C$6+D460*COSTOS!$C$7+E460*COSTOS!$C$8+F460*COSTOS!$C$9+G460*COSTOS!$C$10)))</f>
        <v/>
      </c>
    </row>
    <row r="461" ht="15.75" customHeight="1" s="153">
      <c r="A461" s="227" t="n"/>
      <c r="B461" s="228" t="n"/>
      <c r="C461" s="229" t="n"/>
      <c r="D461" s="229" t="n"/>
      <c r="E461" s="229" t="n"/>
      <c r="F461" s="230" t="n"/>
      <c r="G461" s="230" t="n"/>
      <c r="H461" s="231" t="n"/>
      <c r="I461" s="232" t="n"/>
      <c r="J461" s="232" t="n"/>
      <c r="K461" s="233" t="n"/>
      <c r="L461" s="233">
        <f>IF(K461&lt;&gt;"",(IF(H461="","",H461-(C461*COSTOS!$C$6+D461*COSTOS!$C$7+E461*COSTOS!$C$8+F461*COSTOS!$C$9+G461*COSTOS!$C$10)))+K461,IF(H461="","",H461-(C461*COSTOS!$C$6+D461*COSTOS!$C$7+E461*COSTOS!$C$8+F461*COSTOS!$C$9+G461*COSTOS!$C$10)))</f>
        <v/>
      </c>
    </row>
    <row r="462" ht="15.75" customHeight="1" s="153">
      <c r="A462" s="237" t="n"/>
      <c r="B462" s="238" t="n"/>
      <c r="C462" s="239" t="n"/>
      <c r="D462" s="239" t="n"/>
      <c r="E462" s="239" t="n"/>
      <c r="F462" s="240" t="n"/>
      <c r="G462" s="240" t="n"/>
      <c r="H462" s="241" t="n"/>
      <c r="I462" s="242" t="n"/>
      <c r="J462" s="242" t="n"/>
      <c r="K462" s="233" t="n"/>
      <c r="L462" s="233">
        <f>IF(K462&lt;&gt;"",(IF(H462="","",H462-(C462*COSTOS!$C$6+D462*COSTOS!$C$7+E462*COSTOS!$C$8+F462*COSTOS!$C$9+G462*COSTOS!$C$10)))+K462,IF(H462="","",H462-(C462*COSTOS!$C$6+D462*COSTOS!$C$7+E462*COSTOS!$C$8+F462*COSTOS!$C$9+G462*COSTOS!$C$10)))</f>
        <v/>
      </c>
    </row>
    <row r="463" ht="15.75" customHeight="1" s="153">
      <c r="A463" s="227" t="n"/>
      <c r="B463" s="228" t="n"/>
      <c r="C463" s="229" t="n"/>
      <c r="D463" s="229" t="n"/>
      <c r="E463" s="229" t="n"/>
      <c r="F463" s="230" t="n"/>
      <c r="G463" s="230" t="n"/>
      <c r="H463" s="231" t="n"/>
      <c r="I463" s="232" t="n"/>
      <c r="J463" s="232" t="n"/>
      <c r="K463" s="233" t="n"/>
      <c r="L463" s="233">
        <f>IF(K463&lt;&gt;"",(IF(H463="","",H463-(C463*COSTOS!$C$6+D463*COSTOS!$C$7+E463*COSTOS!$C$8+F463*COSTOS!$C$9+G463*COSTOS!$C$10)))+K463,IF(H463="","",H463-(C463*COSTOS!$C$6+D463*COSTOS!$C$7+E463*COSTOS!$C$8+F463*COSTOS!$C$9+G463*COSTOS!$C$10)))</f>
        <v/>
      </c>
    </row>
    <row r="464" ht="15.75" customHeight="1" s="153">
      <c r="A464" s="237" t="n"/>
      <c r="B464" s="238" t="n"/>
      <c r="C464" s="239" t="n"/>
      <c r="D464" s="239" t="n"/>
      <c r="E464" s="239" t="n"/>
      <c r="F464" s="240" t="n"/>
      <c r="G464" s="240" t="n"/>
      <c r="H464" s="241" t="n"/>
      <c r="I464" s="242" t="n"/>
      <c r="J464" s="242" t="n"/>
      <c r="K464" s="233" t="n"/>
      <c r="L464" s="233">
        <f>IF(K464&lt;&gt;"",(IF(H464="","",H464-(C464*COSTOS!$C$6+D464*COSTOS!$C$7+E464*COSTOS!$C$8+F464*COSTOS!$C$9+G464*COSTOS!$C$10)))+K464,IF(H464="","",H464-(C464*COSTOS!$C$6+D464*COSTOS!$C$7+E464*COSTOS!$C$8+F464*COSTOS!$C$9+G464*COSTOS!$C$10)))</f>
        <v/>
      </c>
    </row>
    <row r="465" ht="15.75" customHeight="1" s="153">
      <c r="A465" s="227" t="n"/>
      <c r="B465" s="228" t="n"/>
      <c r="C465" s="229" t="n"/>
      <c r="D465" s="229" t="n"/>
      <c r="E465" s="229" t="n"/>
      <c r="F465" s="230" t="n"/>
      <c r="G465" s="230" t="n"/>
      <c r="H465" s="231" t="n"/>
      <c r="I465" s="232" t="n"/>
      <c r="J465" s="232" t="n"/>
      <c r="K465" s="233" t="n"/>
      <c r="L465" s="233">
        <f>IF(K465&lt;&gt;"",(IF(H465="","",H465-(C465*COSTOS!$C$6+D465*COSTOS!$C$7+E465*COSTOS!$C$8+F465*COSTOS!$C$9+G465*COSTOS!$C$10)))+K465,IF(H465="","",H465-(C465*COSTOS!$C$6+D465*COSTOS!$C$7+E465*COSTOS!$C$8+F465*COSTOS!$C$9+G465*COSTOS!$C$10)))</f>
        <v/>
      </c>
    </row>
    <row r="466" ht="15.75" customHeight="1" s="153">
      <c r="A466" s="237" t="n"/>
      <c r="B466" s="238" t="n"/>
      <c r="C466" s="239" t="n"/>
      <c r="D466" s="239" t="n"/>
      <c r="E466" s="239" t="n"/>
      <c r="F466" s="240" t="n"/>
      <c r="G466" s="240" t="n"/>
      <c r="H466" s="241" t="n"/>
      <c r="I466" s="242" t="n"/>
      <c r="J466" s="242" t="n"/>
      <c r="K466" s="233" t="n"/>
      <c r="L466" s="233">
        <f>IF(K466&lt;&gt;"",(IF(H466="","",H466-(C466*COSTOS!$C$6+D466*COSTOS!$C$7+E466*COSTOS!$C$8+F466*COSTOS!$C$9+G466*COSTOS!$C$10)))+K466,IF(H466="","",H466-(C466*COSTOS!$C$6+D466*COSTOS!$C$7+E466*COSTOS!$C$8+F466*COSTOS!$C$9+G466*COSTOS!$C$10)))</f>
        <v/>
      </c>
    </row>
    <row r="467" ht="15.75" customHeight="1" s="153">
      <c r="A467" s="227" t="n"/>
      <c r="B467" s="228" t="n"/>
      <c r="C467" s="229" t="n"/>
      <c r="D467" s="229" t="n"/>
      <c r="E467" s="229" t="n"/>
      <c r="F467" s="230" t="n"/>
      <c r="G467" s="230" t="n"/>
      <c r="H467" s="231" t="n"/>
      <c r="I467" s="232" t="n"/>
      <c r="J467" s="232" t="n"/>
      <c r="K467" s="233" t="n"/>
      <c r="L467" s="233">
        <f>IF(K467&lt;&gt;"",(IF(H467="","",H467-(C467*COSTOS!$C$6+D467*COSTOS!$C$7+E467*COSTOS!$C$8+F467*COSTOS!$C$9+G467*COSTOS!$C$10)))+K467,IF(H467="","",H467-(C467*COSTOS!$C$6+D467*COSTOS!$C$7+E467*COSTOS!$C$8+F467*COSTOS!$C$9+G467*COSTOS!$C$10)))</f>
        <v/>
      </c>
    </row>
    <row r="468" ht="15.75" customHeight="1" s="153">
      <c r="A468" s="237" t="n"/>
      <c r="B468" s="238" t="n"/>
      <c r="C468" s="239" t="n"/>
      <c r="D468" s="239" t="n"/>
      <c r="E468" s="239" t="n"/>
      <c r="F468" s="240" t="n"/>
      <c r="G468" s="240" t="n"/>
      <c r="H468" s="241" t="n"/>
      <c r="I468" s="242" t="n"/>
      <c r="J468" s="242" t="n"/>
      <c r="K468" s="233" t="n"/>
      <c r="L468" s="233">
        <f>IF(K468&lt;&gt;"",(IF(H468="","",H468-(C468*COSTOS!$C$6+D468*COSTOS!$C$7+E468*COSTOS!$C$8+F468*COSTOS!$C$9+G468*COSTOS!$C$10)))+K468,IF(H468="","",H468-(C468*COSTOS!$C$6+D468*COSTOS!$C$7+E468*COSTOS!$C$8+F468*COSTOS!$C$9+G468*COSTOS!$C$10)))</f>
        <v/>
      </c>
    </row>
    <row r="469" ht="15.75" customHeight="1" s="153">
      <c r="A469" s="227" t="n"/>
      <c r="B469" s="228" t="n"/>
      <c r="C469" s="229" t="n"/>
      <c r="D469" s="229" t="n"/>
      <c r="E469" s="229" t="n"/>
      <c r="F469" s="230" t="n"/>
      <c r="G469" s="230" t="n"/>
      <c r="H469" s="231" t="n"/>
      <c r="I469" s="232" t="n"/>
      <c r="J469" s="232" t="n"/>
      <c r="K469" s="233" t="n"/>
      <c r="L469" s="233">
        <f>IF(K469&lt;&gt;"",(IF(H469="","",H469-(C469*COSTOS!$C$6+D469*COSTOS!$C$7+E469*COSTOS!$C$8+F469*COSTOS!$C$9+G469*COSTOS!$C$10)))+K469,IF(H469="","",H469-(C469*COSTOS!$C$6+D469*COSTOS!$C$7+E469*COSTOS!$C$8+F469*COSTOS!$C$9+G469*COSTOS!$C$10)))</f>
        <v/>
      </c>
    </row>
    <row r="470" ht="15.75" customHeight="1" s="153">
      <c r="A470" s="237" t="n"/>
      <c r="B470" s="238" t="n"/>
      <c r="C470" s="239" t="n"/>
      <c r="D470" s="239" t="n"/>
      <c r="E470" s="239" t="n"/>
      <c r="F470" s="240" t="n"/>
      <c r="G470" s="240" t="n"/>
      <c r="H470" s="241" t="n"/>
      <c r="I470" s="242" t="n"/>
      <c r="J470" s="242" t="n"/>
      <c r="K470" s="233" t="n"/>
      <c r="L470" s="233">
        <f>IF(K470&lt;&gt;"",(IF(H470="","",H470-(C470*COSTOS!$C$6+D470*COSTOS!$C$7+E470*COSTOS!$C$8+F470*COSTOS!$C$9+G470*COSTOS!$C$10)))+K470,IF(H470="","",H470-(C470*COSTOS!$C$6+D470*COSTOS!$C$7+E470*COSTOS!$C$8+F470*COSTOS!$C$9+G470*COSTOS!$C$10)))</f>
        <v/>
      </c>
    </row>
    <row r="471" ht="15.75" customHeight="1" s="153">
      <c r="A471" s="227" t="n"/>
      <c r="B471" s="228" t="n"/>
      <c r="C471" s="229" t="n"/>
      <c r="D471" s="229" t="n"/>
      <c r="E471" s="229" t="n"/>
      <c r="F471" s="230" t="n"/>
      <c r="G471" s="230" t="n"/>
      <c r="H471" s="231" t="n"/>
      <c r="I471" s="232" t="n"/>
      <c r="J471" s="232" t="n"/>
      <c r="K471" s="233" t="n"/>
      <c r="L471" s="233">
        <f>IF(K471&lt;&gt;"",(IF(H471="","",H471-(C471*COSTOS!$C$6+D471*COSTOS!$C$7+E471*COSTOS!$C$8+F471*COSTOS!$C$9+G471*COSTOS!$C$10)))+K471,IF(H471="","",H471-(C471*COSTOS!$C$6+D471*COSTOS!$C$7+E471*COSTOS!$C$8+F471*COSTOS!$C$9+G471*COSTOS!$C$10)))</f>
        <v/>
      </c>
    </row>
    <row r="472" ht="15.75" customHeight="1" s="153">
      <c r="A472" s="237" t="n"/>
      <c r="B472" s="238" t="n"/>
      <c r="C472" s="239" t="n"/>
      <c r="D472" s="239" t="n"/>
      <c r="E472" s="239" t="n"/>
      <c r="F472" s="240" t="n"/>
      <c r="G472" s="240" t="n"/>
      <c r="H472" s="241" t="n"/>
      <c r="I472" s="242" t="n"/>
      <c r="J472" s="242" t="n"/>
      <c r="K472" s="233" t="n"/>
      <c r="L472" s="233">
        <f>IF(K472&lt;&gt;"",(IF(H472="","",H472-(C472*COSTOS!$C$6+D472*COSTOS!$C$7+E472*COSTOS!$C$8+F472*COSTOS!$C$9+G472*COSTOS!$C$10)))+K472,IF(H472="","",H472-(C472*COSTOS!$C$6+D472*COSTOS!$C$7+E472*COSTOS!$C$8+F472*COSTOS!$C$9+G472*COSTOS!$C$10)))</f>
        <v/>
      </c>
    </row>
    <row r="473" ht="15.75" customHeight="1" s="153">
      <c r="A473" s="227" t="n"/>
      <c r="B473" s="228" t="n"/>
      <c r="C473" s="229" t="n"/>
      <c r="D473" s="229" t="n"/>
      <c r="E473" s="229" t="n"/>
      <c r="F473" s="230" t="n"/>
      <c r="G473" s="230" t="n"/>
      <c r="H473" s="231" t="n"/>
      <c r="I473" s="232" t="n"/>
      <c r="J473" s="232" t="n"/>
      <c r="K473" s="233" t="n"/>
      <c r="L473" s="233">
        <f>IF(K473&lt;&gt;"",(IF(H473="","",H473-(C473*COSTOS!$C$6+D473*COSTOS!$C$7+E473*COSTOS!$C$8+F473*COSTOS!$C$9+G473*COSTOS!$C$10)))+K473,IF(H473="","",H473-(C473*COSTOS!$C$6+D473*COSTOS!$C$7+E473*COSTOS!$C$8+F473*COSTOS!$C$9+G473*COSTOS!$C$10)))</f>
        <v/>
      </c>
    </row>
    <row r="474" ht="15.75" customHeight="1" s="153">
      <c r="A474" s="237" t="n"/>
      <c r="B474" s="238" t="n"/>
      <c r="C474" s="239" t="n"/>
      <c r="D474" s="239" t="n"/>
      <c r="E474" s="239" t="n"/>
      <c r="F474" s="240" t="n"/>
      <c r="G474" s="240" t="n"/>
      <c r="H474" s="241" t="n"/>
      <c r="I474" s="242" t="n"/>
      <c r="J474" s="242" t="n"/>
      <c r="K474" s="233" t="n"/>
      <c r="L474" s="233">
        <f>IF(K474&lt;&gt;"",(IF(H474="","",H474-(C474*COSTOS!$C$6+D474*COSTOS!$C$7+E474*COSTOS!$C$8+F474*COSTOS!$C$9+G474*COSTOS!$C$10)))+K474,IF(H474="","",H474-(C474*COSTOS!$C$6+D474*COSTOS!$C$7+E474*COSTOS!$C$8+F474*COSTOS!$C$9+G474*COSTOS!$C$10)))</f>
        <v/>
      </c>
    </row>
    <row r="475" ht="15.75" customHeight="1" s="153">
      <c r="A475" s="227" t="n"/>
      <c r="B475" s="228" t="n"/>
      <c r="C475" s="229" t="n"/>
      <c r="D475" s="229" t="n"/>
      <c r="E475" s="229" t="n"/>
      <c r="F475" s="230" t="n"/>
      <c r="G475" s="230" t="n"/>
      <c r="H475" s="231" t="n"/>
      <c r="I475" s="232" t="n"/>
      <c r="J475" s="232" t="n"/>
      <c r="K475" s="233" t="n"/>
      <c r="L475" s="233">
        <f>IF(K475&lt;&gt;"",(IF(H475="","",H475-(C475*COSTOS!$C$6+D475*COSTOS!$C$7+E475*COSTOS!$C$8+F475*COSTOS!$C$9+G475*COSTOS!$C$10)))+K475,IF(H475="","",H475-(C475*COSTOS!$C$6+D475*COSTOS!$C$7+E475*COSTOS!$C$8+F475*COSTOS!$C$9+G475*COSTOS!$C$10)))</f>
        <v/>
      </c>
    </row>
    <row r="476" ht="15.75" customHeight="1" s="153">
      <c r="A476" s="237" t="n"/>
      <c r="B476" s="238" t="n"/>
      <c r="C476" s="239" t="n"/>
      <c r="D476" s="239" t="n"/>
      <c r="E476" s="239" t="n"/>
      <c r="F476" s="240" t="n"/>
      <c r="G476" s="240" t="n"/>
      <c r="H476" s="241" t="n"/>
      <c r="I476" s="242" t="n"/>
      <c r="J476" s="242" t="n"/>
      <c r="K476" s="233" t="n"/>
      <c r="L476" s="233">
        <f>IF(K476&lt;&gt;"",(IF(H476="","",H476-(C476*COSTOS!$C$6+D476*COSTOS!$C$7+E476*COSTOS!$C$8+F476*COSTOS!$C$9+G476*COSTOS!$C$10)))+K476,IF(H476="","",H476-(C476*COSTOS!$C$6+D476*COSTOS!$C$7+E476*COSTOS!$C$8+F476*COSTOS!$C$9+G476*COSTOS!$C$10)))</f>
        <v/>
      </c>
    </row>
    <row r="477" ht="15.75" customHeight="1" s="153">
      <c r="A477" s="227" t="n"/>
      <c r="B477" s="228" t="n"/>
      <c r="C477" s="229" t="n"/>
      <c r="D477" s="229" t="n"/>
      <c r="E477" s="229" t="n"/>
      <c r="F477" s="230" t="n"/>
      <c r="G477" s="230" t="n"/>
      <c r="H477" s="231" t="n"/>
      <c r="I477" s="232" t="n"/>
      <c r="J477" s="232" t="n"/>
      <c r="K477" s="233" t="n"/>
      <c r="L477" s="233">
        <f>IF(K477&lt;&gt;"",(IF(H477="","",H477-(C477*COSTOS!$C$6+D477*COSTOS!$C$7+E477*COSTOS!$C$8+F477*COSTOS!$C$9+G477*COSTOS!$C$10)))+K477,IF(H477="","",H477-(C477*COSTOS!$C$6+D477*COSTOS!$C$7+E477*COSTOS!$C$8+F477*COSTOS!$C$9+G477*COSTOS!$C$10)))</f>
        <v/>
      </c>
    </row>
    <row r="478" ht="15.75" customHeight="1" s="153">
      <c r="A478" s="237" t="n"/>
      <c r="B478" s="238" t="n"/>
      <c r="C478" s="239" t="n"/>
      <c r="D478" s="239" t="n"/>
      <c r="E478" s="239" t="n"/>
      <c r="F478" s="240" t="n"/>
      <c r="G478" s="240" t="n"/>
      <c r="H478" s="241" t="n"/>
      <c r="I478" s="242" t="n"/>
      <c r="J478" s="242" t="n"/>
      <c r="K478" s="233" t="n"/>
      <c r="L478" s="233">
        <f>IF(K478&lt;&gt;"",(IF(H478="","",H478-(C478*COSTOS!$C$6+D478*COSTOS!$C$7+E478*COSTOS!$C$8+F478*COSTOS!$C$9+G478*COSTOS!$C$10)))+K478,IF(H478="","",H478-(C478*COSTOS!$C$6+D478*COSTOS!$C$7+E478*COSTOS!$C$8+F478*COSTOS!$C$9+G478*COSTOS!$C$10)))</f>
        <v/>
      </c>
    </row>
    <row r="479" ht="15.75" customHeight="1" s="153">
      <c r="A479" s="227" t="n"/>
      <c r="B479" s="228" t="n"/>
      <c r="C479" s="229" t="n"/>
      <c r="D479" s="229" t="n"/>
      <c r="E479" s="229" t="n"/>
      <c r="F479" s="230" t="n"/>
      <c r="G479" s="230" t="n"/>
      <c r="H479" s="231" t="n"/>
      <c r="I479" s="232" t="n"/>
      <c r="J479" s="232" t="n"/>
      <c r="K479" s="233" t="n"/>
      <c r="L479" s="233">
        <f>IF(K479&lt;&gt;"",(IF(H479="","",H479-(C479*COSTOS!$C$6+D479*COSTOS!$C$7+E479*COSTOS!$C$8+F479*COSTOS!$C$9+G479*COSTOS!$C$10)))+K479,IF(H479="","",H479-(C479*COSTOS!$C$6+D479*COSTOS!$C$7+E479*COSTOS!$C$8+F479*COSTOS!$C$9+G479*COSTOS!$C$10)))</f>
        <v/>
      </c>
    </row>
    <row r="480" ht="15.75" customHeight="1" s="153">
      <c r="A480" s="237" t="n"/>
      <c r="B480" s="238" t="n"/>
      <c r="C480" s="239" t="n"/>
      <c r="D480" s="239" t="n"/>
      <c r="E480" s="239" t="n"/>
      <c r="F480" s="240" t="n"/>
      <c r="G480" s="240" t="n"/>
      <c r="H480" s="241" t="n"/>
      <c r="I480" s="242" t="n"/>
      <c r="J480" s="242" t="n"/>
      <c r="K480" s="233" t="n"/>
      <c r="L480" s="233">
        <f>IF(K480&lt;&gt;"",(IF(H480="","",H480-(C480*COSTOS!$C$6+D480*COSTOS!$C$7+E480*COSTOS!$C$8+F480*COSTOS!$C$9+G480*COSTOS!$C$10)))+K480,IF(H480="","",H480-(C480*COSTOS!$C$6+D480*COSTOS!$C$7+E480*COSTOS!$C$8+F480*COSTOS!$C$9+G480*COSTOS!$C$10)))</f>
        <v/>
      </c>
    </row>
    <row r="481" ht="15.75" customHeight="1" s="153">
      <c r="A481" s="227" t="n"/>
      <c r="B481" s="228" t="n"/>
      <c r="C481" s="229" t="n"/>
      <c r="D481" s="229" t="n"/>
      <c r="E481" s="229" t="n"/>
      <c r="F481" s="230" t="n"/>
      <c r="G481" s="230" t="n"/>
      <c r="H481" s="231" t="n"/>
      <c r="I481" s="232" t="n"/>
      <c r="J481" s="232" t="n"/>
      <c r="K481" s="233" t="n"/>
      <c r="L481" s="233">
        <f>IF(K481&lt;&gt;"",(IF(H481="","",H481-(C481*COSTOS!$C$6+D481*COSTOS!$C$7+E481*COSTOS!$C$8+F481*COSTOS!$C$9+G481*COSTOS!$C$10)))+K481,IF(H481="","",H481-(C481*COSTOS!$C$6+D481*COSTOS!$C$7+E481*COSTOS!$C$8+F481*COSTOS!$C$9+G481*COSTOS!$C$10)))</f>
        <v/>
      </c>
    </row>
    <row r="482" ht="15.75" customHeight="1" s="153">
      <c r="A482" s="237" t="n"/>
      <c r="B482" s="238" t="n"/>
      <c r="C482" s="239" t="n"/>
      <c r="D482" s="239" t="n"/>
      <c r="E482" s="239" t="n"/>
      <c r="F482" s="240" t="n"/>
      <c r="G482" s="240" t="n"/>
      <c r="H482" s="241" t="n"/>
      <c r="I482" s="242" t="n"/>
      <c r="J482" s="242" t="n"/>
      <c r="K482" s="233" t="n"/>
      <c r="L482" s="233">
        <f>IF(K482&lt;&gt;"",(IF(H482="","",H482-(C482*COSTOS!$C$6+D482*COSTOS!$C$7+E482*COSTOS!$C$8+F482*COSTOS!$C$9+G482*COSTOS!$C$10)))+K482,IF(H482="","",H482-(C482*COSTOS!$C$6+D482*COSTOS!$C$7+E482*COSTOS!$C$8+F482*COSTOS!$C$9+G482*COSTOS!$C$10)))</f>
        <v/>
      </c>
    </row>
    <row r="483" ht="15.75" customHeight="1" s="153">
      <c r="A483" s="227" t="n"/>
      <c r="B483" s="228" t="n"/>
      <c r="C483" s="229" t="n"/>
      <c r="D483" s="229" t="n"/>
      <c r="E483" s="229" t="n"/>
      <c r="F483" s="230" t="n"/>
      <c r="G483" s="230" t="n"/>
      <c r="H483" s="231" t="n"/>
      <c r="I483" s="232" t="n"/>
      <c r="J483" s="232" t="n"/>
      <c r="K483" s="233" t="n"/>
      <c r="L483" s="233">
        <f>IF(K483&lt;&gt;"",(IF(H483="","",H483-(C483*COSTOS!$C$6+D483*COSTOS!$C$7+E483*COSTOS!$C$8+F483*COSTOS!$C$9+G483*COSTOS!$C$10)))+K483,IF(H483="","",H483-(C483*COSTOS!$C$6+D483*COSTOS!$C$7+E483*COSTOS!$C$8+F483*COSTOS!$C$9+G483*COSTOS!$C$10)))</f>
        <v/>
      </c>
    </row>
    <row r="484" ht="15.75" customHeight="1" s="153">
      <c r="A484" s="237" t="n"/>
      <c r="B484" s="238" t="n"/>
      <c r="C484" s="239" t="n"/>
      <c r="D484" s="239" t="n"/>
      <c r="E484" s="239" t="n"/>
      <c r="F484" s="240" t="n"/>
      <c r="G484" s="240" t="n"/>
      <c r="H484" s="241" t="n"/>
      <c r="I484" s="242" t="n"/>
      <c r="J484" s="242" t="n"/>
      <c r="K484" s="233" t="n"/>
      <c r="L484" s="233">
        <f>IF(K484&lt;&gt;"",(IF(H484="","",H484-(C484*COSTOS!$C$6+D484*COSTOS!$C$7+E484*COSTOS!$C$8+F484*COSTOS!$C$9+G484*COSTOS!$C$10)))+K484,IF(H484="","",H484-(C484*COSTOS!$C$6+D484*COSTOS!$C$7+E484*COSTOS!$C$8+F484*COSTOS!$C$9+G484*COSTOS!$C$10)))</f>
        <v/>
      </c>
    </row>
    <row r="485" ht="15.75" customHeight="1" s="153">
      <c r="A485" s="227" t="n"/>
      <c r="B485" s="228" t="n"/>
      <c r="C485" s="229" t="n"/>
      <c r="D485" s="229" t="n"/>
      <c r="E485" s="229" t="n"/>
      <c r="F485" s="230" t="n"/>
      <c r="G485" s="230" t="n"/>
      <c r="H485" s="231" t="n"/>
      <c r="I485" s="232" t="n"/>
      <c r="J485" s="232" t="n"/>
      <c r="K485" s="233" t="n"/>
      <c r="L485" s="233">
        <f>IF(K485&lt;&gt;"",(IF(H485="","",H485-(C485*COSTOS!$C$6+D485*COSTOS!$C$7+E485*COSTOS!$C$8+F485*COSTOS!$C$9+G485*COSTOS!$C$10)))+K485,IF(H485="","",H485-(C485*COSTOS!$C$6+D485*COSTOS!$C$7+E485*COSTOS!$C$8+F485*COSTOS!$C$9+G485*COSTOS!$C$10)))</f>
        <v/>
      </c>
    </row>
    <row r="486" ht="15.75" customHeight="1" s="153">
      <c r="A486" s="237" t="n"/>
      <c r="B486" s="238" t="n"/>
      <c r="C486" s="239" t="n"/>
      <c r="D486" s="239" t="n"/>
      <c r="E486" s="239" t="n"/>
      <c r="F486" s="240" t="n"/>
      <c r="G486" s="240" t="n"/>
      <c r="H486" s="241" t="n"/>
      <c r="I486" s="242" t="n"/>
      <c r="J486" s="242" t="n"/>
      <c r="K486" s="233" t="n"/>
      <c r="L486" s="233">
        <f>IF(K486&lt;&gt;"",(IF(H486="","",H486-(C486*COSTOS!$C$6+D486*COSTOS!$C$7+E486*COSTOS!$C$8+F486*COSTOS!$C$9+G486*COSTOS!$C$10)))+K486,IF(H486="","",H486-(C486*COSTOS!$C$6+D486*COSTOS!$C$7+E486*COSTOS!$C$8+F486*COSTOS!$C$9+G486*COSTOS!$C$10)))</f>
        <v/>
      </c>
    </row>
    <row r="487" ht="15.75" customHeight="1" s="153">
      <c r="A487" s="227" t="n"/>
      <c r="B487" s="228" t="n"/>
      <c r="C487" s="229" t="n"/>
      <c r="D487" s="229" t="n"/>
      <c r="E487" s="229" t="n"/>
      <c r="F487" s="230" t="n"/>
      <c r="G487" s="230" t="n"/>
      <c r="H487" s="231" t="n"/>
      <c r="I487" s="232" t="n"/>
      <c r="J487" s="232" t="n"/>
      <c r="K487" s="233" t="n"/>
      <c r="L487" s="233">
        <f>IF(K487&lt;&gt;"",(IF(H487="","",H487-(C487*COSTOS!$C$6+D487*COSTOS!$C$7+E487*COSTOS!$C$8+F487*COSTOS!$C$9+G487*COSTOS!$C$10)))+K487,IF(H487="","",H487-(C487*COSTOS!$C$6+D487*COSTOS!$C$7+E487*COSTOS!$C$8+F487*COSTOS!$C$9+G487*COSTOS!$C$10)))</f>
        <v/>
      </c>
    </row>
    <row r="488" ht="15.75" customHeight="1" s="153">
      <c r="A488" s="237" t="n"/>
      <c r="B488" s="238" t="n"/>
      <c r="C488" s="239" t="n"/>
      <c r="D488" s="239" t="n"/>
      <c r="E488" s="239" t="n"/>
      <c r="F488" s="240" t="n"/>
      <c r="G488" s="240" t="n"/>
      <c r="H488" s="241" t="n"/>
      <c r="I488" s="242" t="n"/>
      <c r="J488" s="242" t="n"/>
      <c r="K488" s="233" t="n"/>
      <c r="L488" s="233">
        <f>IF(K488&lt;&gt;"",(IF(H488="","",H488-(C488*COSTOS!$C$6+D488*COSTOS!$C$7+E488*COSTOS!$C$8+F488*COSTOS!$C$9+G488*COSTOS!$C$10)))+K488,IF(H488="","",H488-(C488*COSTOS!$C$6+D488*COSTOS!$C$7+E488*COSTOS!$C$8+F488*COSTOS!$C$9+G488*COSTOS!$C$10)))</f>
        <v/>
      </c>
    </row>
    <row r="489" ht="15.75" customHeight="1" s="153">
      <c r="A489" s="227" t="n"/>
      <c r="B489" s="228" t="n"/>
      <c r="C489" s="229" t="n"/>
      <c r="D489" s="229" t="n"/>
      <c r="E489" s="229" t="n"/>
      <c r="F489" s="230" t="n"/>
      <c r="G489" s="230" t="n"/>
      <c r="H489" s="231" t="n"/>
      <c r="I489" s="232" t="n"/>
      <c r="J489" s="232" t="n"/>
      <c r="K489" s="233" t="n"/>
      <c r="L489" s="233">
        <f>IF(K489&lt;&gt;"",(IF(H489="","",H489-(C489*COSTOS!$C$6+D489*COSTOS!$C$7+E489*COSTOS!$C$8+F489*COSTOS!$C$9+G489*COSTOS!$C$10)))+K489,IF(H489="","",H489-(C489*COSTOS!$C$6+D489*COSTOS!$C$7+E489*COSTOS!$C$8+F489*COSTOS!$C$9+G489*COSTOS!$C$10)))</f>
        <v/>
      </c>
    </row>
    <row r="490" ht="15.75" customHeight="1" s="153">
      <c r="A490" s="237" t="n"/>
      <c r="B490" s="238" t="n"/>
      <c r="C490" s="239" t="n"/>
      <c r="D490" s="239" t="n"/>
      <c r="E490" s="239" t="n"/>
      <c r="F490" s="240" t="n"/>
      <c r="G490" s="240" t="n"/>
      <c r="H490" s="241" t="n"/>
      <c r="I490" s="242" t="n"/>
      <c r="J490" s="242" t="n"/>
      <c r="K490" s="233" t="n"/>
      <c r="L490" s="233">
        <f>IF(K490&lt;&gt;"",(IF(H490="","",H490-(C490*COSTOS!$C$6+D490*COSTOS!$C$7+E490*COSTOS!$C$8+F490*COSTOS!$C$9+G490*COSTOS!$C$10)))+K490,IF(H490="","",H490-(C490*COSTOS!$C$6+D490*COSTOS!$C$7+E490*COSTOS!$C$8+F490*COSTOS!$C$9+G490*COSTOS!$C$10)))</f>
        <v/>
      </c>
    </row>
    <row r="491" ht="15.75" customHeight="1" s="153">
      <c r="A491" s="227" t="n"/>
      <c r="B491" s="228" t="n"/>
      <c r="C491" s="229" t="n"/>
      <c r="D491" s="229" t="n"/>
      <c r="E491" s="229" t="n"/>
      <c r="F491" s="230" t="n"/>
      <c r="G491" s="230" t="n"/>
      <c r="H491" s="231" t="n"/>
      <c r="I491" s="232" t="n"/>
      <c r="J491" s="232" t="n"/>
      <c r="K491" s="233" t="n"/>
      <c r="L491" s="233">
        <f>IF(K491&lt;&gt;"",(IF(H491="","",H491-(C491*COSTOS!$C$6+D491*COSTOS!$C$7+E491*COSTOS!$C$8+F491*COSTOS!$C$9+G491*COSTOS!$C$10)))+K491,IF(H491="","",H491-(C491*COSTOS!$C$6+D491*COSTOS!$C$7+E491*COSTOS!$C$8+F491*COSTOS!$C$9+G491*COSTOS!$C$10)))</f>
        <v/>
      </c>
    </row>
    <row r="492" ht="15.75" customHeight="1" s="153">
      <c r="A492" s="237" t="n"/>
      <c r="B492" s="238" t="n"/>
      <c r="C492" s="239" t="n"/>
      <c r="D492" s="239" t="n"/>
      <c r="E492" s="239" t="n"/>
      <c r="F492" s="240" t="n"/>
      <c r="G492" s="240" t="n"/>
      <c r="H492" s="241" t="n"/>
      <c r="I492" s="242" t="n"/>
      <c r="J492" s="242" t="n"/>
      <c r="K492" s="233" t="n"/>
      <c r="L492" s="233">
        <f>IF(K492&lt;&gt;"",(IF(H492="","",H492-(C492*COSTOS!$C$6+D492*COSTOS!$C$7+E492*COSTOS!$C$8+F492*COSTOS!$C$9+G492*COSTOS!$C$10)))+K492,IF(H492="","",H492-(C492*COSTOS!$C$6+D492*COSTOS!$C$7+E492*COSTOS!$C$8+F492*COSTOS!$C$9+G492*COSTOS!$C$10)))</f>
        <v/>
      </c>
    </row>
    <row r="493" ht="15.75" customHeight="1" s="153">
      <c r="A493" s="227" t="n"/>
      <c r="B493" s="228" t="n"/>
      <c r="C493" s="229" t="n"/>
      <c r="D493" s="229" t="n"/>
      <c r="E493" s="229" t="n"/>
      <c r="F493" s="230" t="n"/>
      <c r="G493" s="230" t="n"/>
      <c r="H493" s="231" t="n"/>
      <c r="I493" s="232" t="n"/>
      <c r="J493" s="232" t="n"/>
      <c r="K493" s="233" t="n"/>
      <c r="L493" s="233">
        <f>IF(K493&lt;&gt;"",(IF(H493="","",H493-(C493*COSTOS!$C$6+D493*COSTOS!$C$7+E493*COSTOS!$C$8+F493*COSTOS!$C$9+G493*COSTOS!$C$10)))+K493,IF(H493="","",H493-(C493*COSTOS!$C$6+D493*COSTOS!$C$7+E493*COSTOS!$C$8+F493*COSTOS!$C$9+G493*COSTOS!$C$10)))</f>
        <v/>
      </c>
    </row>
    <row r="494" ht="15.75" customHeight="1" s="153">
      <c r="A494" s="237" t="n"/>
      <c r="B494" s="238" t="n"/>
      <c r="C494" s="239" t="n"/>
      <c r="D494" s="239" t="n"/>
      <c r="E494" s="239" t="n"/>
      <c r="F494" s="240" t="n"/>
      <c r="G494" s="240" t="n"/>
      <c r="H494" s="241" t="n"/>
      <c r="I494" s="242" t="n"/>
      <c r="J494" s="242" t="n"/>
      <c r="K494" s="233" t="n"/>
      <c r="L494" s="233">
        <f>IF(K494&lt;&gt;"",(IF(H494="","",H494-(C494*COSTOS!$C$6+D494*COSTOS!$C$7+E494*COSTOS!$C$8+F494*COSTOS!$C$9+G494*COSTOS!$C$10)))+K494,IF(H494="","",H494-(C494*COSTOS!$C$6+D494*COSTOS!$C$7+E494*COSTOS!$C$8+F494*COSTOS!$C$9+G494*COSTOS!$C$10)))</f>
        <v/>
      </c>
    </row>
    <row r="495" ht="15.75" customHeight="1" s="153">
      <c r="A495" s="227" t="n"/>
      <c r="B495" s="228" t="n"/>
      <c r="C495" s="229" t="n"/>
      <c r="D495" s="229" t="n"/>
      <c r="E495" s="229" t="n"/>
      <c r="F495" s="230" t="n"/>
      <c r="G495" s="230" t="n"/>
      <c r="H495" s="231" t="n"/>
      <c r="I495" s="232" t="n"/>
      <c r="J495" s="232" t="n"/>
      <c r="K495" s="233" t="n"/>
      <c r="L495" s="233">
        <f>IF(K495&lt;&gt;"",(IF(H495="","",H495-(C495*COSTOS!$C$6+D495*COSTOS!$C$7+E495*COSTOS!$C$8+F495*COSTOS!$C$9+G495*COSTOS!$C$10)))+K495,IF(H495="","",H495-(C495*COSTOS!$C$6+D495*COSTOS!$C$7+E495*COSTOS!$C$8+F495*COSTOS!$C$9+G495*COSTOS!$C$10)))</f>
        <v/>
      </c>
    </row>
    <row r="496" ht="15.75" customHeight="1" s="153">
      <c r="A496" s="237" t="n"/>
      <c r="B496" s="238" t="n"/>
      <c r="C496" s="239" t="n"/>
      <c r="D496" s="239" t="n"/>
      <c r="E496" s="239" t="n"/>
      <c r="F496" s="240" t="n"/>
      <c r="G496" s="240" t="n"/>
      <c r="H496" s="241" t="n"/>
      <c r="I496" s="242" t="n"/>
      <c r="J496" s="242" t="n"/>
      <c r="K496" s="233" t="n"/>
      <c r="L496" s="233">
        <f>IF(K496&lt;&gt;"",(IF(H496="","",H496-(C496*COSTOS!$C$6+D496*COSTOS!$C$7+E496*COSTOS!$C$8+F496*COSTOS!$C$9+G496*COSTOS!$C$10)))+K496,IF(H496="","",H496-(C496*COSTOS!$C$6+D496*COSTOS!$C$7+E496*COSTOS!$C$8+F496*COSTOS!$C$9+G496*COSTOS!$C$10)))</f>
        <v/>
      </c>
    </row>
    <row r="497" ht="15.75" customHeight="1" s="153">
      <c r="A497" s="227" t="n"/>
      <c r="B497" s="228" t="n"/>
      <c r="C497" s="229" t="n"/>
      <c r="D497" s="229" t="n"/>
      <c r="E497" s="229" t="n"/>
      <c r="F497" s="230" t="n"/>
      <c r="G497" s="230" t="n"/>
      <c r="H497" s="231" t="n"/>
      <c r="I497" s="232" t="n"/>
      <c r="J497" s="232" t="n"/>
      <c r="K497" s="233" t="n"/>
      <c r="L497" s="233">
        <f>IF(K497&lt;&gt;"",(IF(H497="","",H497-(C497*COSTOS!$C$6+D497*COSTOS!$C$7+E497*COSTOS!$C$8+F497*COSTOS!$C$9+G497*COSTOS!$C$10)))+K497,IF(H497="","",H497-(C497*COSTOS!$C$6+D497*COSTOS!$C$7+E497*COSTOS!$C$8+F497*COSTOS!$C$9+G497*COSTOS!$C$10)))</f>
        <v/>
      </c>
    </row>
    <row r="498" ht="15.75" customHeight="1" s="153">
      <c r="A498" s="237" t="n"/>
      <c r="B498" s="238" t="n"/>
      <c r="C498" s="239" t="n"/>
      <c r="D498" s="239" t="n"/>
      <c r="E498" s="239" t="n"/>
      <c r="F498" s="240" t="n"/>
      <c r="G498" s="240" t="n"/>
      <c r="H498" s="241" t="n"/>
      <c r="I498" s="242" t="n"/>
      <c r="J498" s="242" t="n"/>
      <c r="K498" s="233" t="n"/>
      <c r="L498" s="233">
        <f>IF(K498&lt;&gt;"",(IF(H498="","",H498-(C498*COSTOS!$C$6+D498*COSTOS!$C$7+E498*COSTOS!$C$8+F498*COSTOS!$C$9+G498*COSTOS!$C$10)))+K498,IF(H498="","",H498-(C498*COSTOS!$C$6+D498*COSTOS!$C$7+E498*COSTOS!$C$8+F498*COSTOS!$C$9+G498*COSTOS!$C$10)))</f>
        <v/>
      </c>
    </row>
    <row r="499" ht="15.75" customHeight="1" s="153">
      <c r="A499" s="227" t="n"/>
      <c r="B499" s="228" t="n"/>
      <c r="C499" s="229" t="n"/>
      <c r="D499" s="229" t="n"/>
      <c r="E499" s="229" t="n"/>
      <c r="F499" s="230" t="n"/>
      <c r="G499" s="230" t="n"/>
      <c r="H499" s="231" t="n"/>
      <c r="I499" s="232" t="n"/>
      <c r="J499" s="232" t="n"/>
      <c r="K499" s="233" t="n"/>
      <c r="L499" s="233">
        <f>IF(K499&lt;&gt;"",(IF(H499="","",H499-(C499*COSTOS!$C$6+D499*COSTOS!$C$7+E499*COSTOS!$C$8+F499*COSTOS!$C$9+G499*COSTOS!$C$10)))+K499,IF(H499="","",H499-(C499*COSTOS!$C$6+D499*COSTOS!$C$7+E499*COSTOS!$C$8+F499*COSTOS!$C$9+G499*COSTOS!$C$10)))</f>
        <v/>
      </c>
    </row>
    <row r="500" ht="15.75" customHeight="1" s="153">
      <c r="A500" s="237" t="n"/>
      <c r="B500" s="238" t="n"/>
      <c r="C500" s="239" t="n"/>
      <c r="D500" s="239" t="n"/>
      <c r="E500" s="239" t="n"/>
      <c r="F500" s="240" t="n"/>
      <c r="G500" s="240" t="n"/>
      <c r="H500" s="241" t="n"/>
      <c r="I500" s="242" t="n"/>
      <c r="J500" s="242" t="n"/>
      <c r="K500" s="233" t="n"/>
      <c r="L500" s="233">
        <f>IF(K500&lt;&gt;"",(IF(H500="","",H500-(C500*COSTOS!$C$6+D500*COSTOS!$C$7+E500*COSTOS!$C$8+F500*COSTOS!$C$9+G500*COSTOS!$C$10)))+K500,IF(H500="","",H500-(C500*COSTOS!$C$6+D500*COSTOS!$C$7+E500*COSTOS!$C$8+F500*COSTOS!$C$9+G500*COSTOS!$C$10)))</f>
        <v/>
      </c>
    </row>
    <row r="501" ht="21.75" customHeight="1" s="153">
      <c r="A501" s="254" t="inlineStr">
        <is>
          <t>TOTALES DEL MES</t>
        </is>
      </c>
      <c r="C501" s="255">
        <f>IFERROR(SUM(C5:C500),0)</f>
        <v/>
      </c>
      <c r="D501" s="255">
        <f>IFERROR(SUM(D5:D500),0)</f>
        <v/>
      </c>
      <c r="E501" s="255">
        <f>IFERROR(SUM(E5:E500),0)</f>
        <v/>
      </c>
      <c r="F501" s="255">
        <f>IFERROR(SUM(F5:F500),0)</f>
        <v/>
      </c>
      <c r="G501" s="255">
        <f>IFERROR(SUM(G5:G500),0)</f>
        <v/>
      </c>
      <c r="H501" s="256" t="n"/>
      <c r="I501" s="256" t="n"/>
      <c r="J501" s="256" t="n"/>
      <c r="K501" s="256" t="n"/>
    </row>
  </sheetData>
  <autoFilter ref="A4:K4"/>
  <mergeCells count="3">
    <mergeCell ref="A2:K2"/>
    <mergeCell ref="A1:K1"/>
    <mergeCell ref="N4:O4"/>
  </mergeCells>
  <dataValidations count="1">
    <dataValidation sqref="B5:B500" showDropDown="0" showInputMessage="0" showErrorMessage="0" allowBlank="1" type="list" errorStyle="stop" operator="between">
      <formula1>LISTAS!$A$3:$A$676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44444"/>
    <outlinePr summaryBelow="1" summaryRight="1"/>
    <pageSetUpPr fitToPage="0"/>
  </sheetPr>
  <dimension ref="A1:S2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2" min="1" max="1"/>
    <col width="22" customWidth="1" style="152" min="2" max="2"/>
    <col width="16" customWidth="1" style="152" min="3" max="3"/>
    <col width="12" customWidth="1" style="152" min="4" max="4"/>
    <col width="2" customWidth="1" style="152" min="5" max="5"/>
    <col width="13" customWidth="1" style="152" min="6" max="6"/>
    <col width="16" customWidth="1" style="152" min="7" max="7"/>
    <col width="10" customWidth="1" style="152" min="8" max="8"/>
    <col width="2" customWidth="1" style="152" min="9" max="9"/>
    <col width="16" customWidth="1" style="152" min="10" max="10"/>
    <col width="2" customWidth="1" style="152" min="11" max="13"/>
    <col width="13" customWidth="1" style="152" min="15" max="15"/>
    <col width="18" customWidth="1" style="152" min="16" max="16"/>
    <col width="8" customWidth="1" style="152" min="17" max="17"/>
    <col width="16" customWidth="1" style="152" min="18" max="18"/>
    <col width="14" customWidth="1" style="152" min="19" max="19"/>
  </cols>
  <sheetData>
    <row r="1" ht="37.5" customHeight="1" s="153">
      <c r="A1" s="186" t="inlineStr">
        <is>
          <t>GASTOS Y GASOIL 2026 — Registro mensual de egresos</t>
        </is>
      </c>
    </row>
    <row r="2" ht="7.5" customHeight="1" s="153">
      <c r="A2" s="156" t="n"/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</row>
    <row r="3" ht="27.75" customHeight="1" s="153">
      <c r="A3" s="269" t="inlineStr">
        <is>
          <t xml:space="preserve">  ENERO 2026</t>
        </is>
      </c>
      <c r="O3" s="152" t="inlineStr">
        <is>
          <t>INVERSIÓN ENVASES</t>
        </is>
      </c>
    </row>
    <row r="4" ht="21.75" customHeight="1" s="153">
      <c r="A4" s="270" t="inlineStr">
        <is>
          <t>FECHA</t>
        </is>
      </c>
      <c r="B4" s="270" t="inlineStr">
        <is>
          <t>DESCRIPCIÓN</t>
        </is>
      </c>
      <c r="C4" s="270" t="inlineStr">
        <is>
          <t>MONTO ($)</t>
        </is>
      </c>
      <c r="D4" s="270" t="inlineStr">
        <is>
          <t>PAGADO</t>
        </is>
      </c>
      <c r="E4" s="156" t="n"/>
      <c r="F4" s="270" t="inlineStr">
        <is>
          <t>FECHA</t>
        </is>
      </c>
      <c r="G4" s="270" t="inlineStr">
        <is>
          <t>MONTO ($)</t>
        </is>
      </c>
      <c r="H4" s="270" t="inlineStr">
        <is>
          <t>LITROS</t>
        </is>
      </c>
      <c r="I4" s="156" t="n"/>
      <c r="J4" s="170" t="inlineStr">
        <is>
          <t>TOTAL MES ($)</t>
        </is>
      </c>
      <c r="K4" s="156" t="n"/>
      <c r="L4" s="156" t="n"/>
      <c r="M4" s="156" t="n"/>
      <c r="O4" s="152" t="inlineStr">
        <is>
          <t>FECHA</t>
        </is>
      </c>
      <c r="P4" s="152" t="inlineStr">
        <is>
          <t>DESCRIPCIÓN</t>
        </is>
      </c>
      <c r="Q4" s="152" t="inlineStr">
        <is>
          <t>CANT.</t>
        </is>
      </c>
      <c r="R4" s="152" t="inlineStr">
        <is>
          <t>COSTO UNIT. ($)</t>
        </is>
      </c>
      <c r="S4" s="152" t="inlineStr">
        <is>
          <t>TOTAL ($)</t>
        </is>
      </c>
    </row>
    <row r="5" ht="19.5" customHeight="1" s="153">
      <c r="A5" s="271" t="n"/>
      <c r="B5" s="191" t="n"/>
      <c r="C5" s="272" t="n"/>
      <c r="D5" s="265" t="n"/>
      <c r="E5" s="265" t="n"/>
      <c r="F5" s="271" t="n"/>
      <c r="G5" s="272" t="n"/>
      <c r="H5" s="273" t="n"/>
      <c r="I5" s="265" t="n"/>
      <c r="J5" s="265" t="n"/>
      <c r="K5" s="156" t="n"/>
      <c r="L5" s="156" t="n"/>
      <c r="M5" s="156" t="n"/>
      <c r="O5" s="274" t="n">
        <v>46143</v>
      </c>
      <c r="P5" s="152" t="inlineStr">
        <is>
          <t>Cilindro 45kg</t>
        </is>
      </c>
      <c r="Q5" s="152" t="n">
        <v>2</v>
      </c>
      <c r="R5" s="275" t="n">
        <v>60000</v>
      </c>
      <c r="S5" s="275">
        <f>Q5*R5</f>
        <v/>
      </c>
    </row>
    <row r="6" ht="19.5" customHeight="1" s="153">
      <c r="A6" s="276" t="n"/>
      <c r="B6" s="194" t="n"/>
      <c r="C6" s="277" t="n"/>
      <c r="D6" s="278" t="n"/>
      <c r="E6" s="278" t="n"/>
      <c r="F6" s="276" t="n"/>
      <c r="G6" s="277" t="n"/>
      <c r="H6" s="279" t="n"/>
      <c r="I6" s="278" t="n"/>
      <c r="J6" s="278" t="n"/>
      <c r="K6" s="156" t="n"/>
      <c r="L6" s="156" t="n"/>
      <c r="M6" s="156" t="n"/>
    </row>
    <row r="7" ht="19.5" customHeight="1" s="153">
      <c r="A7" s="271" t="n"/>
      <c r="B7" s="191" t="n"/>
      <c r="C7" s="272" t="n"/>
      <c r="D7" s="265" t="n"/>
      <c r="E7" s="265" t="n"/>
      <c r="F7" s="271" t="n"/>
      <c r="G7" s="272" t="n"/>
      <c r="H7" s="273" t="n"/>
      <c r="I7" s="265" t="n"/>
      <c r="J7" s="265" t="n"/>
      <c r="K7" s="156" t="n"/>
      <c r="L7" s="156" t="n"/>
      <c r="M7" s="156" t="n"/>
    </row>
    <row r="8" ht="19.5" customHeight="1" s="153">
      <c r="A8" s="276" t="n"/>
      <c r="B8" s="194" t="n"/>
      <c r="C8" s="277" t="n"/>
      <c r="D8" s="278" t="n"/>
      <c r="E8" s="278" t="n"/>
      <c r="F8" s="276" t="n"/>
      <c r="G8" s="277" t="n"/>
      <c r="H8" s="279" t="n"/>
      <c r="I8" s="278" t="n"/>
      <c r="J8" s="278" t="n"/>
      <c r="K8" s="156" t="n"/>
      <c r="L8" s="156" t="n"/>
      <c r="M8" s="156" t="n"/>
    </row>
    <row r="9" ht="19.5" customHeight="1" s="153">
      <c r="A9" s="271" t="n"/>
      <c r="B9" s="191" t="n"/>
      <c r="C9" s="272" t="n"/>
      <c r="D9" s="265" t="n"/>
      <c r="E9" s="265" t="n"/>
      <c r="F9" s="271" t="n"/>
      <c r="G9" s="272" t="n"/>
      <c r="H9" s="273" t="n"/>
      <c r="I9" s="265" t="n"/>
      <c r="J9" s="265" t="n"/>
      <c r="K9" s="156" t="n"/>
      <c r="L9" s="156" t="n"/>
      <c r="M9" s="156" t="n"/>
    </row>
    <row r="10" ht="19.5" customHeight="1" s="153">
      <c r="A10" s="276" t="n"/>
      <c r="B10" s="194" t="n"/>
      <c r="C10" s="277" t="n"/>
      <c r="D10" s="278" t="n"/>
      <c r="E10" s="278" t="n"/>
      <c r="F10" s="276" t="n"/>
      <c r="G10" s="277" t="n"/>
      <c r="H10" s="279" t="n"/>
      <c r="I10" s="278" t="n"/>
      <c r="J10" s="278" t="n"/>
      <c r="K10" s="156" t="n"/>
      <c r="L10" s="156" t="n"/>
      <c r="M10" s="156" t="n"/>
    </row>
    <row r="11" ht="19.5" customHeight="1" s="153">
      <c r="A11" s="271" t="n"/>
      <c r="B11" s="191" t="n"/>
      <c r="C11" s="272" t="n"/>
      <c r="D11" s="265" t="n"/>
      <c r="E11" s="265" t="n"/>
      <c r="F11" s="271" t="n"/>
      <c r="G11" s="272" t="n"/>
      <c r="H11" s="273" t="n"/>
      <c r="I11" s="265" t="n"/>
      <c r="J11" s="265" t="n"/>
      <c r="K11" s="156" t="n"/>
      <c r="L11" s="156" t="n"/>
      <c r="M11" s="156" t="n"/>
    </row>
    <row r="12" ht="19.5" customHeight="1" s="153">
      <c r="A12" s="276" t="n"/>
      <c r="B12" s="194" t="n"/>
      <c r="C12" s="277" t="n"/>
      <c r="D12" s="278" t="n"/>
      <c r="E12" s="278" t="n"/>
      <c r="F12" s="276" t="n"/>
      <c r="G12" s="277" t="n"/>
      <c r="H12" s="279" t="n"/>
      <c r="I12" s="278" t="n"/>
      <c r="J12" s="278" t="n"/>
      <c r="K12" s="156" t="n"/>
      <c r="L12" s="156" t="n"/>
      <c r="M12" s="156" t="n"/>
    </row>
    <row r="13" ht="19.5" customHeight="1" s="153">
      <c r="A13" s="271" t="n"/>
      <c r="B13" s="191" t="n"/>
      <c r="C13" s="272" t="n"/>
      <c r="D13" s="265" t="n"/>
      <c r="E13" s="265" t="n"/>
      <c r="F13" s="271" t="n"/>
      <c r="G13" s="272" t="n"/>
      <c r="H13" s="273" t="n"/>
      <c r="I13" s="265" t="n"/>
      <c r="J13" s="265" t="n"/>
      <c r="K13" s="156" t="n"/>
      <c r="L13" s="156" t="n"/>
      <c r="M13" s="156" t="n"/>
    </row>
    <row r="14" ht="19.5" customHeight="1" s="153">
      <c r="A14" s="276" t="n"/>
      <c r="B14" s="194" t="n"/>
      <c r="C14" s="277" t="n"/>
      <c r="D14" s="278" t="n"/>
      <c r="E14" s="278" t="n"/>
      <c r="F14" s="276" t="n"/>
      <c r="G14" s="277" t="n"/>
      <c r="H14" s="279" t="n"/>
      <c r="I14" s="278" t="n"/>
      <c r="J14" s="278" t="n"/>
      <c r="K14" s="156" t="n"/>
      <c r="L14" s="156" t="n"/>
      <c r="M14" s="156" t="n"/>
    </row>
    <row r="15" ht="25.5" customHeight="1" s="153">
      <c r="A15" s="280" t="inlineStr">
        <is>
          <t>TOTAL ENERO</t>
        </is>
      </c>
      <c r="C15" s="281">
        <f>IFERROR(SUM(C5:C14),0)</f>
        <v/>
      </c>
      <c r="D15" s="156" t="n"/>
      <c r="E15" s="156" t="n"/>
      <c r="F15" s="156" t="n"/>
      <c r="G15" s="282">
        <f>IFERROR(SUM(G5:G14),0)</f>
        <v/>
      </c>
      <c r="H15" s="283">
        <f>IFERROR(SUM(H5:H14),0)</f>
        <v/>
      </c>
      <c r="I15" s="156" t="n"/>
      <c r="J15" s="256">
        <f>IFERROR(C15+G15,0)</f>
        <v/>
      </c>
      <c r="K15" s="156" t="n"/>
      <c r="L15" s="156" t="n"/>
      <c r="M15" s="156" t="n"/>
    </row>
    <row r="16" ht="15" customHeight="1" s="153">
      <c r="A16" s="156" t="n"/>
      <c r="B16" s="156" t="n"/>
      <c r="C16" s="156" t="n"/>
      <c r="D16" s="156" t="n"/>
      <c r="E16" s="156" t="n"/>
      <c r="F16" s="156" t="n"/>
      <c r="G16" s="156" t="n"/>
      <c r="H16" s="156" t="n"/>
      <c r="I16" s="156" t="n"/>
      <c r="J16" s="156" t="n"/>
      <c r="K16" s="156" t="n"/>
      <c r="L16" s="156" t="n"/>
      <c r="M16" s="156" t="n"/>
    </row>
    <row r="17" ht="27.75" customHeight="1" s="153">
      <c r="A17" s="269" t="inlineStr">
        <is>
          <t xml:space="preserve">  FEBRERO 2026</t>
        </is>
      </c>
    </row>
    <row r="18" ht="21.75" customHeight="1" s="153">
      <c r="A18" s="270" t="inlineStr">
        <is>
          <t>FECHA</t>
        </is>
      </c>
      <c r="B18" s="270" t="inlineStr">
        <is>
          <t>DESCRIPCIÓN</t>
        </is>
      </c>
      <c r="C18" s="270" t="inlineStr">
        <is>
          <t>MONTO ($)</t>
        </is>
      </c>
      <c r="D18" s="270" t="inlineStr">
        <is>
          <t>PAGADO</t>
        </is>
      </c>
      <c r="E18" s="156" t="n"/>
      <c r="F18" s="270" t="inlineStr">
        <is>
          <t>FECHA</t>
        </is>
      </c>
      <c r="G18" s="270" t="inlineStr">
        <is>
          <t>MONTO ($)</t>
        </is>
      </c>
      <c r="H18" s="270" t="inlineStr">
        <is>
          <t>LITROS</t>
        </is>
      </c>
      <c r="I18" s="156" t="n"/>
      <c r="J18" s="170" t="inlineStr">
        <is>
          <t>TOTAL MES ($)</t>
        </is>
      </c>
      <c r="K18" s="156" t="n"/>
      <c r="L18" s="156" t="n"/>
      <c r="M18" s="156" t="n"/>
    </row>
    <row r="19" ht="19.5" customHeight="1" s="153">
      <c r="A19" s="271" t="n"/>
      <c r="B19" s="191" t="n"/>
      <c r="C19" s="272" t="n"/>
      <c r="D19" s="265" t="n"/>
      <c r="E19" s="265" t="n"/>
      <c r="F19" s="271" t="n"/>
      <c r="G19" s="272" t="n"/>
      <c r="H19" s="273" t="n"/>
      <c r="I19" s="265" t="n"/>
      <c r="J19" s="265" t="n"/>
      <c r="K19" s="156" t="n"/>
      <c r="L19" s="156" t="n"/>
      <c r="M19" s="156" t="n"/>
    </row>
    <row r="20" ht="19.5" customHeight="1" s="153">
      <c r="A20" s="276" t="n"/>
      <c r="B20" s="194" t="n"/>
      <c r="C20" s="277" t="n"/>
      <c r="D20" s="278" t="n"/>
      <c r="E20" s="278" t="n"/>
      <c r="F20" s="276" t="n"/>
      <c r="G20" s="277" t="n"/>
      <c r="H20" s="279" t="n"/>
      <c r="I20" s="278" t="n"/>
      <c r="J20" s="278" t="n"/>
      <c r="K20" s="156" t="n"/>
      <c r="L20" s="156" t="n"/>
      <c r="M20" s="156" t="n"/>
    </row>
    <row r="21" ht="19.5" customHeight="1" s="153">
      <c r="A21" s="271" t="n"/>
      <c r="B21" s="191" t="n"/>
      <c r="C21" s="272" t="n"/>
      <c r="D21" s="265" t="n"/>
      <c r="E21" s="265" t="n"/>
      <c r="F21" s="271" t="n"/>
      <c r="G21" s="272" t="n"/>
      <c r="H21" s="273" t="n"/>
      <c r="I21" s="265" t="n"/>
      <c r="J21" s="265" t="n"/>
      <c r="K21" s="156" t="n"/>
      <c r="L21" s="156" t="n"/>
      <c r="M21" s="156" t="n"/>
    </row>
    <row r="22" ht="19.5" customHeight="1" s="153">
      <c r="A22" s="276" t="n"/>
      <c r="B22" s="194" t="n"/>
      <c r="C22" s="277" t="n"/>
      <c r="D22" s="278" t="n"/>
      <c r="E22" s="278" t="n"/>
      <c r="F22" s="276" t="n"/>
      <c r="G22" s="277" t="n"/>
      <c r="H22" s="279" t="n"/>
      <c r="I22" s="278" t="n"/>
      <c r="J22" s="278" t="n"/>
      <c r="K22" s="156" t="n"/>
      <c r="L22" s="156" t="n"/>
      <c r="M22" s="156" t="n"/>
    </row>
    <row r="23" ht="19.5" customHeight="1" s="153">
      <c r="A23" s="271" t="n"/>
      <c r="B23" s="191" t="n"/>
      <c r="C23" s="272" t="n"/>
      <c r="D23" s="265" t="n"/>
      <c r="E23" s="265" t="n"/>
      <c r="F23" s="271" t="n"/>
      <c r="G23" s="272" t="n"/>
      <c r="H23" s="273" t="n"/>
      <c r="I23" s="265" t="n"/>
      <c r="J23" s="265" t="n"/>
      <c r="K23" s="156" t="n"/>
      <c r="L23" s="156" t="n"/>
      <c r="M23" s="156" t="n"/>
    </row>
    <row r="24" ht="19.5" customHeight="1" s="153">
      <c r="A24" s="276" t="n"/>
      <c r="B24" s="194" t="n"/>
      <c r="C24" s="277" t="n"/>
      <c r="D24" s="278" t="n"/>
      <c r="E24" s="278" t="n"/>
      <c r="F24" s="276" t="n"/>
      <c r="G24" s="277" t="n"/>
      <c r="H24" s="279" t="n"/>
      <c r="I24" s="278" t="n"/>
      <c r="J24" s="278" t="n"/>
      <c r="K24" s="156" t="n"/>
      <c r="L24" s="156" t="n"/>
      <c r="M24" s="156" t="n"/>
    </row>
    <row r="25" ht="19.5" customHeight="1" s="153">
      <c r="A25" s="271" t="n"/>
      <c r="B25" s="191" t="n"/>
      <c r="C25" s="272" t="n"/>
      <c r="D25" s="265" t="n"/>
      <c r="E25" s="265" t="n"/>
      <c r="F25" s="271" t="n"/>
      <c r="G25" s="272" t="n"/>
      <c r="H25" s="273" t="n"/>
      <c r="I25" s="265" t="n"/>
      <c r="J25" s="265" t="n"/>
      <c r="K25" s="156" t="n"/>
      <c r="L25" s="156" t="n"/>
      <c r="M25" s="156" t="n"/>
    </row>
    <row r="26" ht="19.5" customHeight="1" s="153">
      <c r="A26" s="276" t="n"/>
      <c r="B26" s="194" t="n"/>
      <c r="C26" s="277" t="n"/>
      <c r="D26" s="278" t="n"/>
      <c r="E26" s="278" t="n"/>
      <c r="F26" s="276" t="n"/>
      <c r="G26" s="277" t="n"/>
      <c r="H26" s="279" t="n"/>
      <c r="I26" s="278" t="n"/>
      <c r="J26" s="278" t="n"/>
      <c r="K26" s="156" t="n"/>
      <c r="L26" s="156" t="n"/>
      <c r="M26" s="156" t="n"/>
    </row>
    <row r="27" ht="19.5" customHeight="1" s="153">
      <c r="A27" s="271" t="n"/>
      <c r="B27" s="191" t="n"/>
      <c r="C27" s="272" t="n"/>
      <c r="D27" s="265" t="n"/>
      <c r="E27" s="265" t="n"/>
      <c r="F27" s="271" t="n"/>
      <c r="G27" s="272" t="n"/>
      <c r="H27" s="273" t="n"/>
      <c r="I27" s="265" t="n"/>
      <c r="J27" s="265" t="n"/>
      <c r="K27" s="156" t="n"/>
      <c r="L27" s="156" t="n"/>
      <c r="M27" s="156" t="n"/>
    </row>
    <row r="28" ht="19.5" customHeight="1" s="153">
      <c r="A28" s="276" t="n"/>
      <c r="B28" s="194" t="n"/>
      <c r="C28" s="277" t="n"/>
      <c r="D28" s="278" t="n"/>
      <c r="E28" s="278" t="n"/>
      <c r="F28" s="276" t="n"/>
      <c r="G28" s="277" t="n"/>
      <c r="H28" s="279" t="n"/>
      <c r="I28" s="278" t="n"/>
      <c r="J28" s="278" t="n"/>
      <c r="K28" s="156" t="n"/>
      <c r="L28" s="156" t="n"/>
      <c r="M28" s="156" t="n"/>
    </row>
    <row r="29" ht="25.5" customHeight="1" s="153">
      <c r="A29" s="280" t="inlineStr">
        <is>
          <t>TOTAL FEBRERO</t>
        </is>
      </c>
      <c r="C29" s="281">
        <f>IFERROR(SUM(C19:C28),0)</f>
        <v/>
      </c>
      <c r="D29" s="156" t="n"/>
      <c r="E29" s="156" t="n"/>
      <c r="F29" s="156" t="n"/>
      <c r="G29" s="282">
        <f>IFERROR(SUM(G19:G28),0)</f>
        <v/>
      </c>
      <c r="H29" s="283">
        <f>IFERROR(SUM(H19:H28),0)</f>
        <v/>
      </c>
      <c r="I29" s="156" t="n"/>
      <c r="J29" s="256">
        <f>IFERROR(C29+G29,0)</f>
        <v/>
      </c>
      <c r="K29" s="156" t="n"/>
      <c r="L29" s="156" t="n"/>
      <c r="M29" s="156" t="n"/>
    </row>
    <row r="30" ht="15" customHeight="1" s="153">
      <c r="A30" s="156" t="n"/>
      <c r="B30" s="156" t="n"/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</row>
    <row r="31" ht="27.75" customHeight="1" s="153">
      <c r="A31" s="269" t="inlineStr">
        <is>
          <t xml:space="preserve">  MARZO 2026</t>
        </is>
      </c>
    </row>
    <row r="32" ht="21.75" customHeight="1" s="153">
      <c r="A32" s="270" t="inlineStr">
        <is>
          <t>FECHA</t>
        </is>
      </c>
      <c r="B32" s="270" t="inlineStr">
        <is>
          <t>DESCRIPCIÓN</t>
        </is>
      </c>
      <c r="C32" s="270" t="inlineStr">
        <is>
          <t>MONTO ($)</t>
        </is>
      </c>
      <c r="D32" s="270" t="inlineStr">
        <is>
          <t>PAGADO</t>
        </is>
      </c>
      <c r="E32" s="156" t="n"/>
      <c r="F32" s="270" t="inlineStr">
        <is>
          <t>FECHA</t>
        </is>
      </c>
      <c r="G32" s="270" t="inlineStr">
        <is>
          <t>MONTO ($)</t>
        </is>
      </c>
      <c r="H32" s="270" t="inlineStr">
        <is>
          <t>LITROS</t>
        </is>
      </c>
      <c r="I32" s="156" t="n"/>
      <c r="J32" s="170" t="inlineStr">
        <is>
          <t>TOTAL MES ($)</t>
        </is>
      </c>
      <c r="K32" s="156" t="n"/>
      <c r="L32" s="156" t="n"/>
      <c r="M32" s="156" t="n"/>
    </row>
    <row r="33" ht="19.5" customHeight="1" s="153">
      <c r="A33" s="271" t="n"/>
      <c r="B33" s="191" t="n"/>
      <c r="C33" s="272" t="n"/>
      <c r="D33" s="265" t="n"/>
      <c r="E33" s="265" t="n"/>
      <c r="F33" s="271" t="n"/>
      <c r="G33" s="272" t="n"/>
      <c r="H33" s="273" t="n"/>
      <c r="I33" s="265" t="n"/>
      <c r="J33" s="265" t="n"/>
      <c r="K33" s="156" t="n"/>
      <c r="L33" s="156" t="n"/>
      <c r="M33" s="156" t="n"/>
    </row>
    <row r="34" ht="19.5" customHeight="1" s="153">
      <c r="A34" s="276" t="n"/>
      <c r="B34" s="194" t="n"/>
      <c r="C34" s="277" t="n"/>
      <c r="D34" s="278" t="n"/>
      <c r="E34" s="278" t="n"/>
      <c r="F34" s="276" t="n"/>
      <c r="G34" s="277" t="n"/>
      <c r="H34" s="279" t="n"/>
      <c r="I34" s="278" t="n"/>
      <c r="J34" s="278" t="n"/>
      <c r="K34" s="156" t="n"/>
      <c r="L34" s="156" t="n"/>
      <c r="M34" s="156" t="n"/>
    </row>
    <row r="35" ht="19.5" customHeight="1" s="153">
      <c r="A35" s="271" t="n"/>
      <c r="B35" s="191" t="n"/>
      <c r="C35" s="272" t="n"/>
      <c r="D35" s="265" t="n"/>
      <c r="E35" s="265" t="n"/>
      <c r="F35" s="271" t="n"/>
      <c r="G35" s="272" t="n"/>
      <c r="H35" s="273" t="n"/>
      <c r="I35" s="265" t="n"/>
      <c r="J35" s="265" t="n"/>
      <c r="K35" s="156" t="n"/>
      <c r="L35" s="156" t="n"/>
      <c r="M35" s="156" t="n"/>
    </row>
    <row r="36" ht="19.5" customHeight="1" s="153">
      <c r="A36" s="276" t="n"/>
      <c r="B36" s="194" t="n"/>
      <c r="C36" s="277" t="n"/>
      <c r="D36" s="278" t="n"/>
      <c r="E36" s="278" t="n"/>
      <c r="F36" s="276" t="n"/>
      <c r="G36" s="277" t="n"/>
      <c r="H36" s="279" t="n"/>
      <c r="I36" s="278" t="n"/>
      <c r="J36" s="278" t="n"/>
      <c r="K36" s="156" t="n"/>
      <c r="L36" s="156" t="n"/>
      <c r="M36" s="156" t="n"/>
    </row>
    <row r="37" ht="19.5" customHeight="1" s="153">
      <c r="A37" s="271" t="n"/>
      <c r="B37" s="191" t="n"/>
      <c r="C37" s="272" t="n"/>
      <c r="D37" s="265" t="n"/>
      <c r="E37" s="265" t="n"/>
      <c r="F37" s="271" t="n"/>
      <c r="G37" s="272" t="n"/>
      <c r="H37" s="273" t="n"/>
      <c r="I37" s="265" t="n"/>
      <c r="J37" s="265" t="n"/>
      <c r="K37" s="156" t="n"/>
      <c r="L37" s="156" t="n"/>
      <c r="M37" s="156" t="n"/>
    </row>
    <row r="38" ht="19.5" customHeight="1" s="153">
      <c r="A38" s="276" t="n"/>
      <c r="B38" s="194" t="n"/>
      <c r="C38" s="277" t="n"/>
      <c r="D38" s="278" t="n"/>
      <c r="E38" s="278" t="n"/>
      <c r="F38" s="276" t="n"/>
      <c r="G38" s="277" t="n"/>
      <c r="H38" s="279" t="n"/>
      <c r="I38" s="278" t="n"/>
      <c r="J38" s="278" t="n"/>
      <c r="K38" s="156" t="n"/>
      <c r="L38" s="156" t="n"/>
      <c r="M38" s="156" t="n"/>
    </row>
    <row r="39" ht="19.5" customHeight="1" s="153">
      <c r="A39" s="271" t="n"/>
      <c r="B39" s="191" t="n"/>
      <c r="C39" s="272" t="n"/>
      <c r="D39" s="265" t="n"/>
      <c r="E39" s="265" t="n"/>
      <c r="F39" s="271" t="n"/>
      <c r="G39" s="272" t="n"/>
      <c r="H39" s="273" t="n"/>
      <c r="I39" s="265" t="n"/>
      <c r="J39" s="265" t="n"/>
      <c r="K39" s="156" t="n"/>
      <c r="L39" s="156" t="n"/>
      <c r="M39" s="156" t="n"/>
    </row>
    <row r="40" ht="19.5" customHeight="1" s="153">
      <c r="A40" s="276" t="n"/>
      <c r="B40" s="194" t="n"/>
      <c r="C40" s="277" t="n"/>
      <c r="D40" s="278" t="n"/>
      <c r="E40" s="278" t="n"/>
      <c r="F40" s="276" t="n"/>
      <c r="G40" s="277" t="n"/>
      <c r="H40" s="279" t="n"/>
      <c r="I40" s="278" t="n"/>
      <c r="J40" s="278" t="n"/>
      <c r="K40" s="156" t="n"/>
      <c r="L40" s="156" t="n"/>
      <c r="M40" s="156" t="n"/>
    </row>
    <row r="41" ht="19.5" customHeight="1" s="153">
      <c r="A41" s="271" t="n"/>
      <c r="B41" s="191" t="n"/>
      <c r="C41" s="272" t="n"/>
      <c r="D41" s="265" t="n"/>
      <c r="E41" s="265" t="n"/>
      <c r="F41" s="271" t="n"/>
      <c r="G41" s="272" t="n"/>
      <c r="H41" s="273" t="n"/>
      <c r="I41" s="265" t="n"/>
      <c r="J41" s="265" t="n"/>
      <c r="K41" s="156" t="n"/>
      <c r="L41" s="156" t="n"/>
      <c r="M41" s="156" t="n"/>
    </row>
    <row r="42" ht="19.5" customHeight="1" s="153">
      <c r="A42" s="276" t="n"/>
      <c r="B42" s="194" t="n"/>
      <c r="C42" s="277" t="n"/>
      <c r="D42" s="278" t="n"/>
      <c r="E42" s="278" t="n"/>
      <c r="F42" s="276" t="n"/>
      <c r="G42" s="277" t="n"/>
      <c r="H42" s="279" t="n"/>
      <c r="I42" s="278" t="n"/>
      <c r="J42" s="278" t="n"/>
      <c r="K42" s="156" t="n"/>
      <c r="L42" s="156" t="n"/>
      <c r="M42" s="156" t="n"/>
    </row>
    <row r="43" ht="25.5" customHeight="1" s="153">
      <c r="A43" s="280" t="inlineStr">
        <is>
          <t>TOTAL MARZO</t>
        </is>
      </c>
      <c r="C43" s="281">
        <f>IFERROR(SUM(C33:C42),0)</f>
        <v/>
      </c>
      <c r="D43" s="156" t="n"/>
      <c r="E43" s="156" t="n"/>
      <c r="F43" s="156" t="n"/>
      <c r="G43" s="282">
        <f>IFERROR(SUM(G33:G42),0)</f>
        <v/>
      </c>
      <c r="H43" s="283">
        <f>IFERROR(SUM(H33:H42),0)</f>
        <v/>
      </c>
      <c r="I43" s="156" t="n"/>
      <c r="J43" s="256">
        <f>IFERROR(C43+G43,0)</f>
        <v/>
      </c>
      <c r="K43" s="156" t="n"/>
      <c r="L43" s="156" t="n"/>
      <c r="M43" s="156" t="n"/>
    </row>
    <row r="44" ht="15" customHeight="1" s="153">
      <c r="A44" s="156" t="n"/>
      <c r="B44" s="156" t="n"/>
      <c r="C44" s="156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156" t="n"/>
    </row>
    <row r="45" ht="27.75" customHeight="1" s="153">
      <c r="A45" s="269" t="inlineStr">
        <is>
          <t xml:space="preserve">  ABRIL 2026</t>
        </is>
      </c>
    </row>
    <row r="46" ht="21.75" customHeight="1" s="153">
      <c r="A46" s="270" t="inlineStr">
        <is>
          <t>FECHA</t>
        </is>
      </c>
      <c r="B46" s="270" t="inlineStr">
        <is>
          <t>DESCRIPCIÓN</t>
        </is>
      </c>
      <c r="C46" s="270" t="inlineStr">
        <is>
          <t>MONTO ($)</t>
        </is>
      </c>
      <c r="D46" s="270" t="inlineStr">
        <is>
          <t>PAGADO</t>
        </is>
      </c>
      <c r="E46" s="156" t="n"/>
      <c r="F46" s="270" t="inlineStr">
        <is>
          <t>FECHA</t>
        </is>
      </c>
      <c r="G46" s="270" t="inlineStr">
        <is>
          <t>MONTO ($)</t>
        </is>
      </c>
      <c r="H46" s="270" t="inlineStr">
        <is>
          <t>LITROS</t>
        </is>
      </c>
      <c r="I46" s="156" t="n"/>
      <c r="J46" s="170" t="inlineStr">
        <is>
          <t>TOTAL MES ($)</t>
        </is>
      </c>
      <c r="K46" s="156" t="n"/>
      <c r="L46" s="156" t="n"/>
      <c r="M46" s="156" t="n"/>
    </row>
    <row r="47" ht="19.5" customHeight="1" s="153">
      <c r="A47" s="271" t="n"/>
      <c r="B47" s="191" t="n"/>
      <c r="C47" s="272" t="n"/>
      <c r="D47" s="265" t="n"/>
      <c r="E47" s="265" t="n"/>
      <c r="F47" s="271" t="n"/>
      <c r="G47" s="272" t="n"/>
      <c r="H47" s="273" t="n"/>
      <c r="I47" s="265" t="n"/>
      <c r="J47" s="265" t="n"/>
      <c r="K47" s="156" t="n"/>
      <c r="L47" s="156" t="n"/>
      <c r="M47" s="156" t="n"/>
    </row>
    <row r="48" ht="19.5" customHeight="1" s="153">
      <c r="A48" s="276" t="n"/>
      <c r="B48" s="194" t="n"/>
      <c r="C48" s="277" t="n"/>
      <c r="D48" s="278" t="n"/>
      <c r="E48" s="278" t="n"/>
      <c r="F48" s="276" t="n"/>
      <c r="G48" s="277" t="n"/>
      <c r="H48" s="279" t="n"/>
      <c r="I48" s="278" t="n"/>
      <c r="J48" s="278" t="n"/>
      <c r="K48" s="156" t="n"/>
      <c r="L48" s="156" t="n"/>
      <c r="M48" s="156" t="n"/>
    </row>
    <row r="49" ht="19.5" customHeight="1" s="153">
      <c r="A49" s="271" t="n"/>
      <c r="B49" s="191" t="n"/>
      <c r="C49" s="272" t="n"/>
      <c r="D49" s="265" t="n"/>
      <c r="E49" s="265" t="n"/>
      <c r="F49" s="271" t="n"/>
      <c r="G49" s="272" t="n"/>
      <c r="H49" s="273" t="n"/>
      <c r="I49" s="265" t="n"/>
      <c r="J49" s="265" t="n"/>
      <c r="K49" s="156" t="n"/>
      <c r="L49" s="156" t="n"/>
      <c r="M49" s="156" t="n"/>
    </row>
    <row r="50" ht="19.5" customHeight="1" s="153">
      <c r="A50" s="276" t="n"/>
      <c r="B50" s="194" t="n"/>
      <c r="C50" s="277" t="n"/>
      <c r="D50" s="278" t="n"/>
      <c r="E50" s="278" t="n"/>
      <c r="F50" s="276" t="n"/>
      <c r="G50" s="277" t="n"/>
      <c r="H50" s="279" t="n"/>
      <c r="I50" s="278" t="n"/>
      <c r="J50" s="278" t="n"/>
      <c r="K50" s="156" t="n"/>
      <c r="L50" s="156" t="n"/>
      <c r="M50" s="156" t="n"/>
    </row>
    <row r="51" ht="19.5" customHeight="1" s="153">
      <c r="A51" s="271" t="n"/>
      <c r="B51" s="191" t="n"/>
      <c r="C51" s="272" t="n"/>
      <c r="D51" s="265" t="n"/>
      <c r="E51" s="265" t="n"/>
      <c r="F51" s="271" t="n"/>
      <c r="G51" s="272" t="n"/>
      <c r="H51" s="273" t="n"/>
      <c r="I51" s="265" t="n"/>
      <c r="J51" s="265" t="n"/>
      <c r="K51" s="156" t="n"/>
      <c r="L51" s="156" t="n"/>
      <c r="M51" s="156" t="n"/>
    </row>
    <row r="52" ht="19.5" customHeight="1" s="153">
      <c r="A52" s="276" t="n"/>
      <c r="B52" s="194" t="n"/>
      <c r="C52" s="277" t="n"/>
      <c r="D52" s="278" t="n"/>
      <c r="E52" s="278" t="n"/>
      <c r="F52" s="276" t="n"/>
      <c r="G52" s="277" t="n"/>
      <c r="H52" s="279" t="n"/>
      <c r="I52" s="278" t="n"/>
      <c r="J52" s="278" t="n"/>
      <c r="K52" s="156" t="n"/>
      <c r="L52" s="156" t="n"/>
      <c r="M52" s="156" t="n"/>
    </row>
    <row r="53" ht="19.5" customHeight="1" s="153">
      <c r="A53" s="271" t="n"/>
      <c r="B53" s="191" t="n"/>
      <c r="C53" s="272" t="n"/>
      <c r="D53" s="265" t="n"/>
      <c r="E53" s="265" t="n"/>
      <c r="F53" s="271" t="n"/>
      <c r="G53" s="272" t="n"/>
      <c r="H53" s="273" t="n"/>
      <c r="I53" s="265" t="n"/>
      <c r="J53" s="265" t="n"/>
      <c r="K53" s="156" t="n"/>
      <c r="L53" s="156" t="n"/>
      <c r="M53" s="156" t="n"/>
    </row>
    <row r="54" ht="19.5" customHeight="1" s="153">
      <c r="A54" s="276" t="n"/>
      <c r="B54" s="194" t="n"/>
      <c r="C54" s="277" t="n"/>
      <c r="D54" s="278" t="n"/>
      <c r="E54" s="278" t="n"/>
      <c r="F54" s="276" t="n"/>
      <c r="G54" s="277" t="n"/>
      <c r="H54" s="279" t="n"/>
      <c r="I54" s="278" t="n"/>
      <c r="J54" s="278" t="n"/>
      <c r="K54" s="156" t="n"/>
      <c r="L54" s="156" t="n"/>
      <c r="M54" s="156" t="n"/>
    </row>
    <row r="55" ht="19.5" customHeight="1" s="153">
      <c r="A55" s="271" t="n"/>
      <c r="B55" s="191" t="n"/>
      <c r="C55" s="272" t="n"/>
      <c r="D55" s="265" t="n"/>
      <c r="E55" s="265" t="n"/>
      <c r="F55" s="271" t="n"/>
      <c r="G55" s="272" t="n"/>
      <c r="H55" s="273" t="n"/>
      <c r="I55" s="265" t="n"/>
      <c r="J55" s="265" t="n"/>
      <c r="K55" s="156" t="n"/>
      <c r="L55" s="156" t="n"/>
      <c r="M55" s="156" t="n"/>
    </row>
    <row r="56" ht="19.5" customHeight="1" s="153">
      <c r="A56" s="276" t="n"/>
      <c r="B56" s="194" t="n"/>
      <c r="C56" s="277" t="n"/>
      <c r="D56" s="278" t="n"/>
      <c r="E56" s="278" t="n"/>
      <c r="F56" s="276" t="n"/>
      <c r="G56" s="277" t="n"/>
      <c r="H56" s="279" t="n"/>
      <c r="I56" s="278" t="n"/>
      <c r="J56" s="278" t="n"/>
      <c r="K56" s="156" t="n"/>
      <c r="L56" s="156" t="n"/>
      <c r="M56" s="156" t="n"/>
    </row>
    <row r="57" ht="25.5" customHeight="1" s="153">
      <c r="A57" s="280" t="inlineStr">
        <is>
          <t>TOTAL ABRIL</t>
        </is>
      </c>
      <c r="C57" s="281">
        <f>IFERROR(SUM(C47:C56),0)</f>
        <v/>
      </c>
      <c r="D57" s="156" t="n"/>
      <c r="E57" s="156" t="n"/>
      <c r="F57" s="156" t="n"/>
      <c r="G57" s="282">
        <f>IFERROR(SUM(G47:G56),0)</f>
        <v/>
      </c>
      <c r="H57" s="283">
        <f>IFERROR(SUM(H47:H56),0)</f>
        <v/>
      </c>
      <c r="I57" s="156" t="n"/>
      <c r="J57" s="256">
        <f>IFERROR(C57+G57,0)</f>
        <v/>
      </c>
      <c r="K57" s="156" t="n"/>
      <c r="L57" s="156" t="n"/>
      <c r="M57" s="156" t="n"/>
    </row>
    <row r="58" ht="15" customHeight="1" s="153">
      <c r="A58" s="156" t="n"/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</row>
    <row r="59" ht="27.75" customHeight="1" s="153">
      <c r="A59" s="269" t="inlineStr">
        <is>
          <t xml:space="preserve">  MAYO 2026</t>
        </is>
      </c>
    </row>
    <row r="60" ht="21.75" customHeight="1" s="153">
      <c r="A60" s="270" t="inlineStr">
        <is>
          <t>FECHA</t>
        </is>
      </c>
      <c r="B60" s="270" t="inlineStr">
        <is>
          <t>DESCRIPCIÓN</t>
        </is>
      </c>
      <c r="C60" s="270" t="inlineStr">
        <is>
          <t>MONTO ($)</t>
        </is>
      </c>
      <c r="D60" s="270" t="inlineStr">
        <is>
          <t>PAGADO</t>
        </is>
      </c>
      <c r="E60" s="156" t="n"/>
      <c r="F60" s="270" t="inlineStr">
        <is>
          <t>FECHA</t>
        </is>
      </c>
      <c r="G60" s="270" t="inlineStr">
        <is>
          <t>MONTO ($)</t>
        </is>
      </c>
      <c r="H60" s="270" t="inlineStr">
        <is>
          <t>LITROS</t>
        </is>
      </c>
      <c r="I60" s="156" t="n"/>
      <c r="J60" s="170" t="inlineStr">
        <is>
          <t>TOTAL MES ($)</t>
        </is>
      </c>
      <c r="K60" s="156" t="n"/>
      <c r="L60" s="156" t="n"/>
      <c r="M60" s="156" t="n"/>
    </row>
    <row r="61" ht="19.5" customHeight="1" s="153">
      <c r="A61" s="271" t="n"/>
      <c r="B61" s="191" t="n"/>
      <c r="C61" s="272" t="n"/>
      <c r="D61" s="265" t="n"/>
      <c r="E61" s="265" t="n"/>
      <c r="F61" s="271" t="n"/>
      <c r="G61" s="272" t="n"/>
      <c r="H61" s="273" t="n"/>
      <c r="I61" s="265" t="n"/>
      <c r="J61" s="265" t="n"/>
      <c r="K61" s="156" t="n"/>
      <c r="L61" s="156" t="n"/>
      <c r="M61" s="156" t="n"/>
    </row>
    <row r="62" ht="19.5" customHeight="1" s="153">
      <c r="A62" s="276" t="n"/>
      <c r="B62" s="194" t="n"/>
      <c r="C62" s="277" t="n"/>
      <c r="D62" s="278" t="n"/>
      <c r="E62" s="278" t="n"/>
      <c r="F62" s="276" t="n"/>
      <c r="G62" s="277" t="n"/>
      <c r="H62" s="279" t="n"/>
      <c r="I62" s="278" t="n"/>
      <c r="J62" s="278" t="n"/>
      <c r="K62" s="156" t="n"/>
      <c r="L62" s="156" t="n"/>
      <c r="M62" s="156" t="n"/>
    </row>
    <row r="63" ht="19.5" customHeight="1" s="153">
      <c r="A63" s="271" t="n"/>
      <c r="B63" s="191" t="n"/>
      <c r="C63" s="272" t="n"/>
      <c r="D63" s="265" t="n"/>
      <c r="E63" s="265" t="n"/>
      <c r="F63" s="271" t="n"/>
      <c r="G63" s="272" t="n"/>
      <c r="H63" s="273" t="n"/>
      <c r="I63" s="265" t="n"/>
      <c r="J63" s="265" t="n"/>
      <c r="K63" s="156" t="n"/>
      <c r="L63" s="156" t="n"/>
      <c r="M63" s="156" t="n"/>
    </row>
    <row r="64" ht="19.5" customHeight="1" s="153">
      <c r="A64" s="276" t="n"/>
      <c r="B64" s="194" t="n"/>
      <c r="C64" s="277" t="n"/>
      <c r="D64" s="278" t="n"/>
      <c r="E64" s="278" t="n"/>
      <c r="F64" s="276" t="n"/>
      <c r="G64" s="277" t="n"/>
      <c r="H64" s="279" t="n"/>
      <c r="I64" s="278" t="n"/>
      <c r="J64" s="278" t="n"/>
      <c r="K64" s="156" t="n"/>
      <c r="L64" s="156" t="n"/>
      <c r="M64" s="156" t="n"/>
    </row>
    <row r="65" ht="19.5" customHeight="1" s="153">
      <c r="A65" s="271" t="n"/>
      <c r="B65" s="191" t="n"/>
      <c r="C65" s="272" t="n"/>
      <c r="D65" s="265" t="n"/>
      <c r="E65" s="265" t="n"/>
      <c r="F65" s="271" t="n"/>
      <c r="G65" s="272" t="n"/>
      <c r="H65" s="273" t="n"/>
      <c r="I65" s="265" t="n"/>
      <c r="J65" s="265" t="n"/>
      <c r="K65" s="156" t="n"/>
      <c r="L65" s="156" t="n"/>
      <c r="M65" s="156" t="n"/>
    </row>
    <row r="66" ht="19.5" customHeight="1" s="153">
      <c r="A66" s="276" t="n"/>
      <c r="B66" s="194" t="n"/>
      <c r="C66" s="277" t="n"/>
      <c r="D66" s="278" t="n"/>
      <c r="E66" s="278" t="n"/>
      <c r="F66" s="276" t="n"/>
      <c r="G66" s="277" t="n"/>
      <c r="H66" s="279" t="n"/>
      <c r="I66" s="278" t="n"/>
      <c r="J66" s="278" t="n"/>
      <c r="K66" s="156" t="n"/>
      <c r="L66" s="156" t="n"/>
      <c r="M66" s="156" t="n"/>
    </row>
    <row r="67" ht="19.5" customHeight="1" s="153">
      <c r="A67" s="271" t="n"/>
      <c r="B67" s="191" t="n"/>
      <c r="C67" s="272" t="n"/>
      <c r="D67" s="265" t="n"/>
      <c r="E67" s="265" t="n"/>
      <c r="F67" s="271" t="n"/>
      <c r="G67" s="272" t="n"/>
      <c r="H67" s="273" t="n"/>
      <c r="I67" s="265" t="n"/>
      <c r="J67" s="265" t="n"/>
      <c r="K67" s="156" t="n"/>
      <c r="L67" s="156" t="n"/>
      <c r="M67" s="156" t="n"/>
    </row>
    <row r="68" ht="19.5" customHeight="1" s="153">
      <c r="A68" s="276" t="n"/>
      <c r="B68" s="194" t="n"/>
      <c r="C68" s="277" t="n"/>
      <c r="D68" s="278" t="n"/>
      <c r="E68" s="278" t="n"/>
      <c r="F68" s="276" t="n"/>
      <c r="G68" s="277" t="n"/>
      <c r="H68" s="279" t="n"/>
      <c r="I68" s="278" t="n"/>
      <c r="J68" s="278" t="n"/>
      <c r="K68" s="156" t="n"/>
      <c r="L68" s="156" t="n"/>
      <c r="M68" s="156" t="n"/>
    </row>
    <row r="69" ht="19.5" customHeight="1" s="153">
      <c r="A69" s="271" t="n"/>
      <c r="B69" s="191" t="n"/>
      <c r="C69" s="272" t="n"/>
      <c r="D69" s="265" t="n"/>
      <c r="E69" s="265" t="n"/>
      <c r="F69" s="271" t="n"/>
      <c r="G69" s="272" t="n"/>
      <c r="H69" s="273" t="n"/>
      <c r="I69" s="265" t="n"/>
      <c r="J69" s="265" t="n"/>
      <c r="K69" s="156" t="n"/>
      <c r="L69" s="156" t="n"/>
      <c r="M69" s="156" t="n"/>
    </row>
    <row r="70" ht="19.5" customHeight="1" s="153">
      <c r="A70" s="276" t="n"/>
      <c r="B70" s="194" t="n"/>
      <c r="C70" s="277" t="n"/>
      <c r="D70" s="278" t="n"/>
      <c r="E70" s="278" t="n"/>
      <c r="F70" s="276" t="n"/>
      <c r="G70" s="277" t="n"/>
      <c r="H70" s="279" t="n"/>
      <c r="I70" s="278" t="n"/>
      <c r="J70" s="278" t="n"/>
      <c r="K70" s="156" t="n"/>
      <c r="L70" s="156" t="n"/>
      <c r="M70" s="156" t="n"/>
    </row>
    <row r="71" ht="25.5" customHeight="1" s="153">
      <c r="A71" s="280" t="inlineStr">
        <is>
          <t>TOTAL MAYO</t>
        </is>
      </c>
      <c r="C71" s="281">
        <f>IFERROR(SUM(C61:C70),0)</f>
        <v/>
      </c>
      <c r="D71" s="156" t="n"/>
      <c r="E71" s="156" t="n"/>
      <c r="F71" s="156" t="n"/>
      <c r="G71" s="282">
        <f>IFERROR(SUM(G61:G70),0)</f>
        <v/>
      </c>
      <c r="H71" s="283">
        <f>IFERROR(SUM(H61:H70),0)</f>
        <v/>
      </c>
      <c r="I71" s="156" t="n"/>
      <c r="J71" s="256">
        <f>IFERROR(C71+G71,0)</f>
        <v/>
      </c>
      <c r="K71" s="156" t="n"/>
      <c r="L71" s="156" t="n"/>
      <c r="M71" s="156" t="n"/>
    </row>
    <row r="72" ht="15" customHeight="1" s="153">
      <c r="A72" s="156" t="n"/>
      <c r="B72" s="156" t="n"/>
      <c r="C72" s="156" t="n"/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56" t="n"/>
      <c r="M72" s="156" t="n"/>
    </row>
    <row r="73" ht="27.75" customHeight="1" s="153">
      <c r="A73" s="269" t="inlineStr">
        <is>
          <t xml:space="preserve">  JUNIO 2026</t>
        </is>
      </c>
    </row>
    <row r="74" ht="21.75" customHeight="1" s="153">
      <c r="A74" s="270" t="inlineStr">
        <is>
          <t>FECHA</t>
        </is>
      </c>
      <c r="B74" s="270" t="inlineStr">
        <is>
          <t>DESCRIPCIÓN</t>
        </is>
      </c>
      <c r="C74" s="270" t="inlineStr">
        <is>
          <t>MONTO ($)</t>
        </is>
      </c>
      <c r="D74" s="270" t="inlineStr">
        <is>
          <t>PAGADO</t>
        </is>
      </c>
      <c r="E74" s="156" t="n"/>
      <c r="F74" s="270" t="inlineStr">
        <is>
          <t>FECHA</t>
        </is>
      </c>
      <c r="G74" s="270" t="inlineStr">
        <is>
          <t>MONTO ($)</t>
        </is>
      </c>
      <c r="H74" s="270" t="inlineStr">
        <is>
          <t>LITROS</t>
        </is>
      </c>
      <c r="I74" s="156" t="n"/>
      <c r="J74" s="170" t="inlineStr">
        <is>
          <t>TOTAL MES ($)</t>
        </is>
      </c>
      <c r="K74" s="156" t="n"/>
      <c r="L74" s="156" t="n"/>
      <c r="M74" s="156" t="n"/>
    </row>
    <row r="75" ht="19.5" customHeight="1" s="153">
      <c r="A75" s="271" t="n"/>
      <c r="B75" s="191" t="n"/>
      <c r="C75" s="272" t="n"/>
      <c r="D75" s="265" t="n"/>
      <c r="E75" s="265" t="n"/>
      <c r="F75" s="271" t="n"/>
      <c r="G75" s="272" t="n"/>
      <c r="H75" s="273" t="n"/>
      <c r="I75" s="265" t="n"/>
      <c r="J75" s="265" t="n"/>
      <c r="K75" s="156" t="n"/>
      <c r="L75" s="156" t="n"/>
      <c r="M75" s="156" t="n"/>
    </row>
    <row r="76" ht="19.5" customHeight="1" s="153">
      <c r="A76" s="276" t="n"/>
      <c r="B76" s="194" t="n"/>
      <c r="C76" s="277" t="n"/>
      <c r="D76" s="278" t="n"/>
      <c r="E76" s="278" t="n"/>
      <c r="F76" s="276" t="n"/>
      <c r="G76" s="277" t="n"/>
      <c r="H76" s="279" t="n"/>
      <c r="I76" s="278" t="n"/>
      <c r="J76" s="278" t="n"/>
      <c r="K76" s="156" t="n"/>
      <c r="L76" s="156" t="n"/>
      <c r="M76" s="156" t="n"/>
    </row>
    <row r="77" ht="19.5" customHeight="1" s="153">
      <c r="A77" s="271" t="n"/>
      <c r="B77" s="191" t="n"/>
      <c r="C77" s="272" t="n"/>
      <c r="D77" s="265" t="n"/>
      <c r="E77" s="265" t="n"/>
      <c r="F77" s="271" t="n"/>
      <c r="G77" s="272" t="n"/>
      <c r="H77" s="273" t="n"/>
      <c r="I77" s="265" t="n"/>
      <c r="J77" s="265" t="n"/>
      <c r="K77" s="156" t="n"/>
      <c r="L77" s="156" t="n"/>
      <c r="M77" s="156" t="n"/>
    </row>
    <row r="78" ht="19.5" customHeight="1" s="153">
      <c r="A78" s="276" t="n"/>
      <c r="B78" s="194" t="n"/>
      <c r="C78" s="277" t="n"/>
      <c r="D78" s="278" t="n"/>
      <c r="E78" s="278" t="n"/>
      <c r="F78" s="276" t="n"/>
      <c r="G78" s="277" t="n"/>
      <c r="H78" s="279" t="n"/>
      <c r="I78" s="278" t="n"/>
      <c r="J78" s="278" t="n"/>
      <c r="K78" s="156" t="n"/>
      <c r="L78" s="156" t="n"/>
      <c r="M78" s="156" t="n"/>
    </row>
    <row r="79" ht="19.5" customHeight="1" s="153">
      <c r="A79" s="271" t="n"/>
      <c r="B79" s="191" t="n"/>
      <c r="C79" s="272" t="n"/>
      <c r="D79" s="265" t="n"/>
      <c r="E79" s="265" t="n"/>
      <c r="F79" s="271" t="n"/>
      <c r="G79" s="272" t="n"/>
      <c r="H79" s="273" t="n"/>
      <c r="I79" s="265" t="n"/>
      <c r="J79" s="265" t="n"/>
      <c r="K79" s="156" t="n"/>
      <c r="L79" s="156" t="n"/>
      <c r="M79" s="156" t="n"/>
    </row>
    <row r="80" ht="19.5" customHeight="1" s="153">
      <c r="A80" s="276" t="n"/>
      <c r="B80" s="194" t="n"/>
      <c r="C80" s="277" t="n"/>
      <c r="D80" s="278" t="n"/>
      <c r="E80" s="278" t="n"/>
      <c r="F80" s="276" t="n"/>
      <c r="G80" s="277" t="n"/>
      <c r="H80" s="279" t="n"/>
      <c r="I80" s="278" t="n"/>
      <c r="J80" s="278" t="n"/>
      <c r="K80" s="156" t="n"/>
      <c r="L80" s="156" t="n"/>
      <c r="M80" s="156" t="n"/>
    </row>
    <row r="81" ht="19.5" customHeight="1" s="153">
      <c r="A81" s="271" t="n"/>
      <c r="B81" s="191" t="n"/>
      <c r="C81" s="272" t="n"/>
      <c r="D81" s="265" t="n"/>
      <c r="E81" s="265" t="n"/>
      <c r="F81" s="271" t="n"/>
      <c r="G81" s="272" t="n"/>
      <c r="H81" s="273" t="n"/>
      <c r="I81" s="265" t="n"/>
      <c r="J81" s="265" t="n"/>
      <c r="K81" s="156" t="n"/>
      <c r="L81" s="156" t="n"/>
      <c r="M81" s="156" t="n"/>
    </row>
    <row r="82" ht="19.5" customHeight="1" s="153">
      <c r="A82" s="276" t="n"/>
      <c r="B82" s="194" t="n"/>
      <c r="C82" s="277" t="n"/>
      <c r="D82" s="278" t="n"/>
      <c r="E82" s="278" t="n"/>
      <c r="F82" s="276" t="n"/>
      <c r="G82" s="277" t="n"/>
      <c r="H82" s="279" t="n"/>
      <c r="I82" s="278" t="n"/>
      <c r="J82" s="278" t="n"/>
      <c r="K82" s="156" t="n"/>
      <c r="L82" s="156" t="n"/>
      <c r="M82" s="156" t="n"/>
    </row>
    <row r="83" ht="19.5" customHeight="1" s="153">
      <c r="A83" s="271" t="n"/>
      <c r="B83" s="191" t="n"/>
      <c r="C83" s="272" t="n"/>
      <c r="D83" s="265" t="n"/>
      <c r="E83" s="265" t="n"/>
      <c r="F83" s="271" t="n"/>
      <c r="G83" s="272" t="n"/>
      <c r="H83" s="273" t="n"/>
      <c r="I83" s="265" t="n"/>
      <c r="J83" s="265" t="n"/>
      <c r="K83" s="156" t="n"/>
      <c r="L83" s="156" t="n"/>
      <c r="M83" s="156" t="n"/>
    </row>
    <row r="84" ht="19.5" customHeight="1" s="153">
      <c r="A84" s="276" t="n"/>
      <c r="B84" s="194" t="n"/>
      <c r="C84" s="277" t="n"/>
      <c r="D84" s="278" t="n"/>
      <c r="E84" s="278" t="n"/>
      <c r="F84" s="276" t="n"/>
      <c r="G84" s="277" t="n"/>
      <c r="H84" s="279" t="n"/>
      <c r="I84" s="278" t="n"/>
      <c r="J84" s="278" t="n"/>
      <c r="K84" s="156" t="n"/>
      <c r="L84" s="156" t="n"/>
      <c r="M84" s="156" t="n"/>
    </row>
    <row r="85" ht="25.5" customHeight="1" s="153">
      <c r="A85" s="280" t="inlineStr">
        <is>
          <t>TOTAL JUNIO</t>
        </is>
      </c>
      <c r="C85" s="281">
        <f>IFERROR(SUM(C75:C84),0)</f>
        <v/>
      </c>
      <c r="D85" s="156" t="n"/>
      <c r="E85" s="156" t="n"/>
      <c r="F85" s="156" t="n"/>
      <c r="G85" s="282">
        <f>IFERROR(SUM(G75:G84),0)</f>
        <v/>
      </c>
      <c r="H85" s="283">
        <f>IFERROR(SUM(H75:H84),0)</f>
        <v/>
      </c>
      <c r="I85" s="156" t="n"/>
      <c r="J85" s="256">
        <f>IFERROR(C85+G85,0)</f>
        <v/>
      </c>
      <c r="K85" s="156" t="n"/>
      <c r="L85" s="156" t="n"/>
      <c r="M85" s="156" t="n"/>
    </row>
    <row r="86" ht="15" customHeight="1" s="153">
      <c r="A86" s="156" t="n"/>
      <c r="B86" s="156" t="n"/>
      <c r="C86" s="156" t="n"/>
      <c r="D86" s="156" t="n"/>
      <c r="E86" s="156" t="n"/>
      <c r="F86" s="156" t="n"/>
      <c r="G86" s="156" t="n"/>
      <c r="H86" s="156" t="n"/>
      <c r="I86" s="156" t="n"/>
      <c r="J86" s="156" t="n"/>
      <c r="K86" s="156" t="n"/>
      <c r="L86" s="156" t="n"/>
      <c r="M86" s="156" t="n"/>
    </row>
    <row r="87" ht="27.75" customHeight="1" s="153">
      <c r="A87" s="269" t="inlineStr">
        <is>
          <t xml:space="preserve">  JULIO 2026</t>
        </is>
      </c>
    </row>
    <row r="88" ht="21.75" customHeight="1" s="153">
      <c r="A88" s="270" t="inlineStr">
        <is>
          <t>FECHA</t>
        </is>
      </c>
      <c r="B88" s="270" t="inlineStr">
        <is>
          <t>DESCRIPCIÓN</t>
        </is>
      </c>
      <c r="C88" s="270" t="inlineStr">
        <is>
          <t>MONTO ($)</t>
        </is>
      </c>
      <c r="D88" s="270" t="inlineStr">
        <is>
          <t>PAGADO</t>
        </is>
      </c>
      <c r="E88" s="156" t="n"/>
      <c r="F88" s="270" t="inlineStr">
        <is>
          <t>FECHA</t>
        </is>
      </c>
      <c r="G88" s="270" t="inlineStr">
        <is>
          <t>MONTO ($)</t>
        </is>
      </c>
      <c r="H88" s="270" t="inlineStr">
        <is>
          <t>LITROS</t>
        </is>
      </c>
      <c r="I88" s="156" t="n"/>
      <c r="J88" s="170" t="inlineStr">
        <is>
          <t>TOTAL MES ($)</t>
        </is>
      </c>
      <c r="K88" s="156" t="n"/>
      <c r="L88" s="156" t="n"/>
      <c r="M88" s="156" t="n"/>
    </row>
    <row r="89" ht="19.5" customHeight="1" s="153">
      <c r="A89" s="271" t="n"/>
      <c r="B89" s="191" t="n"/>
      <c r="C89" s="272" t="n"/>
      <c r="D89" s="265" t="n"/>
      <c r="E89" s="265" t="n"/>
      <c r="F89" s="271" t="n"/>
      <c r="G89" s="272" t="n"/>
      <c r="H89" s="273" t="n"/>
      <c r="I89" s="265" t="n"/>
      <c r="J89" s="265" t="n"/>
      <c r="K89" s="156" t="n"/>
      <c r="L89" s="156" t="n"/>
      <c r="M89" s="156" t="n"/>
    </row>
    <row r="90" ht="19.5" customHeight="1" s="153">
      <c r="A90" s="276" t="n"/>
      <c r="B90" s="194" t="n"/>
      <c r="C90" s="277" t="n"/>
      <c r="D90" s="278" t="n"/>
      <c r="E90" s="278" t="n"/>
      <c r="F90" s="276" t="n"/>
      <c r="G90" s="277" t="n"/>
      <c r="H90" s="279" t="n"/>
      <c r="I90" s="278" t="n"/>
      <c r="J90" s="278" t="n"/>
      <c r="K90" s="156" t="n"/>
      <c r="L90" s="156" t="n"/>
      <c r="M90" s="156" t="n"/>
    </row>
    <row r="91" ht="19.5" customHeight="1" s="153">
      <c r="A91" s="271" t="n"/>
      <c r="B91" s="191" t="n"/>
      <c r="C91" s="272" t="n"/>
      <c r="D91" s="265" t="n"/>
      <c r="E91" s="265" t="n"/>
      <c r="F91" s="271" t="n"/>
      <c r="G91" s="272" t="n"/>
      <c r="H91" s="273" t="n"/>
      <c r="I91" s="265" t="n"/>
      <c r="J91" s="265" t="n"/>
      <c r="K91" s="156" t="n"/>
      <c r="L91" s="156" t="n"/>
      <c r="M91" s="156" t="n"/>
    </row>
    <row r="92" ht="19.5" customHeight="1" s="153">
      <c r="A92" s="276" t="n"/>
      <c r="B92" s="194" t="n"/>
      <c r="C92" s="277" t="n"/>
      <c r="D92" s="278" t="n"/>
      <c r="E92" s="278" t="n"/>
      <c r="F92" s="276" t="n"/>
      <c r="G92" s="277" t="n"/>
      <c r="H92" s="279" t="n"/>
      <c r="I92" s="278" t="n"/>
      <c r="J92" s="278" t="n"/>
      <c r="K92" s="156" t="n"/>
      <c r="L92" s="156" t="n"/>
      <c r="M92" s="156" t="n"/>
    </row>
    <row r="93" ht="19.5" customHeight="1" s="153">
      <c r="A93" s="271" t="n"/>
      <c r="B93" s="191" t="n"/>
      <c r="C93" s="272" t="n"/>
      <c r="D93" s="265" t="n"/>
      <c r="E93" s="265" t="n"/>
      <c r="F93" s="271" t="n"/>
      <c r="G93" s="272" t="n"/>
      <c r="H93" s="273" t="n"/>
      <c r="I93" s="265" t="n"/>
      <c r="J93" s="265" t="n"/>
      <c r="K93" s="156" t="n"/>
      <c r="L93" s="156" t="n"/>
      <c r="M93" s="156" t="n"/>
    </row>
    <row r="94" ht="19.5" customHeight="1" s="153">
      <c r="A94" s="276" t="n"/>
      <c r="B94" s="194" t="n"/>
      <c r="C94" s="277" t="n"/>
      <c r="D94" s="278" t="n"/>
      <c r="E94" s="278" t="n"/>
      <c r="F94" s="276" t="n"/>
      <c r="G94" s="277" t="n"/>
      <c r="H94" s="279" t="n"/>
      <c r="I94" s="278" t="n"/>
      <c r="J94" s="278" t="n"/>
      <c r="K94" s="156" t="n"/>
      <c r="L94" s="156" t="n"/>
      <c r="M94" s="156" t="n"/>
    </row>
    <row r="95" ht="19.5" customHeight="1" s="153">
      <c r="A95" s="271" t="n"/>
      <c r="B95" s="191" t="n"/>
      <c r="C95" s="272" t="n"/>
      <c r="D95" s="265" t="n"/>
      <c r="E95" s="265" t="n"/>
      <c r="F95" s="271" t="n"/>
      <c r="G95" s="272" t="n"/>
      <c r="H95" s="273" t="n"/>
      <c r="I95" s="265" t="n"/>
      <c r="J95" s="265" t="n"/>
      <c r="K95" s="156" t="n"/>
      <c r="L95" s="156" t="n"/>
      <c r="M95" s="156" t="n"/>
    </row>
    <row r="96" ht="19.5" customHeight="1" s="153">
      <c r="A96" s="276" t="n"/>
      <c r="B96" s="194" t="n"/>
      <c r="C96" s="277" t="n"/>
      <c r="D96" s="278" t="n"/>
      <c r="E96" s="278" t="n"/>
      <c r="F96" s="276" t="n"/>
      <c r="G96" s="277" t="n"/>
      <c r="H96" s="279" t="n"/>
      <c r="I96" s="278" t="n"/>
      <c r="J96" s="278" t="n"/>
      <c r="K96" s="156" t="n"/>
      <c r="L96" s="156" t="n"/>
      <c r="M96" s="156" t="n"/>
    </row>
    <row r="97" ht="19.5" customHeight="1" s="153">
      <c r="A97" s="271" t="n"/>
      <c r="B97" s="191" t="n"/>
      <c r="C97" s="272" t="n"/>
      <c r="D97" s="265" t="n"/>
      <c r="E97" s="265" t="n"/>
      <c r="F97" s="271" t="n"/>
      <c r="G97" s="272" t="n"/>
      <c r="H97" s="273" t="n"/>
      <c r="I97" s="265" t="n"/>
      <c r="J97" s="265" t="n"/>
      <c r="K97" s="156" t="n"/>
      <c r="L97" s="156" t="n"/>
      <c r="M97" s="156" t="n"/>
    </row>
    <row r="98" ht="19.5" customHeight="1" s="153">
      <c r="A98" s="276" t="n"/>
      <c r="B98" s="194" t="n"/>
      <c r="C98" s="277" t="n"/>
      <c r="D98" s="278" t="n"/>
      <c r="E98" s="278" t="n"/>
      <c r="F98" s="276" t="n"/>
      <c r="G98" s="277" t="n"/>
      <c r="H98" s="279" t="n"/>
      <c r="I98" s="278" t="n"/>
      <c r="J98" s="278" t="n"/>
      <c r="K98" s="156" t="n"/>
      <c r="L98" s="156" t="n"/>
      <c r="M98" s="156" t="n"/>
    </row>
    <row r="99" ht="25.5" customHeight="1" s="153">
      <c r="A99" s="280" t="inlineStr">
        <is>
          <t>TOTAL JULIO</t>
        </is>
      </c>
      <c r="C99" s="281">
        <f>IFERROR(SUM(C89:C98),0)</f>
        <v/>
      </c>
      <c r="D99" s="156" t="n"/>
      <c r="E99" s="156" t="n"/>
      <c r="F99" s="156" t="n"/>
      <c r="G99" s="282">
        <f>IFERROR(SUM(G89:G98),0)</f>
        <v/>
      </c>
      <c r="H99" s="283">
        <f>IFERROR(SUM(H89:H98),0)</f>
        <v/>
      </c>
      <c r="I99" s="156" t="n"/>
      <c r="J99" s="256">
        <f>IFERROR(C99+G99,0)</f>
        <v/>
      </c>
      <c r="K99" s="156" t="n"/>
      <c r="L99" s="156" t="n"/>
      <c r="M99" s="156" t="n"/>
    </row>
    <row r="100" ht="15" customHeight="1" s="153">
      <c r="A100" s="156" t="n"/>
      <c r="B100" s="156" t="n"/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</row>
    <row r="101" ht="27.75" customHeight="1" s="153">
      <c r="A101" s="269" t="inlineStr">
        <is>
          <t xml:space="preserve">  AGOSTO 2026</t>
        </is>
      </c>
    </row>
    <row r="102" ht="21.75" customHeight="1" s="153">
      <c r="A102" s="270" t="inlineStr">
        <is>
          <t>FECHA</t>
        </is>
      </c>
      <c r="B102" s="270" t="inlineStr">
        <is>
          <t>DESCRIPCIÓN</t>
        </is>
      </c>
      <c r="C102" s="270" t="inlineStr">
        <is>
          <t>MONTO ($)</t>
        </is>
      </c>
      <c r="D102" s="270" t="inlineStr">
        <is>
          <t>PAGADO</t>
        </is>
      </c>
      <c r="E102" s="156" t="n"/>
      <c r="F102" s="270" t="inlineStr">
        <is>
          <t>FECHA</t>
        </is>
      </c>
      <c r="G102" s="270" t="inlineStr">
        <is>
          <t>MONTO ($)</t>
        </is>
      </c>
      <c r="H102" s="270" t="inlineStr">
        <is>
          <t>LITROS</t>
        </is>
      </c>
      <c r="I102" s="156" t="n"/>
      <c r="J102" s="170" t="inlineStr">
        <is>
          <t>TOTAL MES ($)</t>
        </is>
      </c>
      <c r="K102" s="156" t="n"/>
      <c r="L102" s="156" t="n"/>
      <c r="M102" s="156" t="n"/>
    </row>
    <row r="103" ht="19.5" customHeight="1" s="153">
      <c r="A103" s="271" t="n"/>
      <c r="B103" s="191" t="n"/>
      <c r="C103" s="272" t="n"/>
      <c r="D103" s="265" t="n"/>
      <c r="E103" s="265" t="n"/>
      <c r="F103" s="271" t="n"/>
      <c r="G103" s="272" t="n"/>
      <c r="H103" s="273" t="n"/>
      <c r="I103" s="265" t="n"/>
      <c r="J103" s="265" t="n"/>
      <c r="K103" s="156" t="n"/>
      <c r="L103" s="156" t="n"/>
      <c r="M103" s="156" t="n"/>
    </row>
    <row r="104" ht="19.5" customHeight="1" s="153">
      <c r="A104" s="276" t="n"/>
      <c r="B104" s="194" t="n"/>
      <c r="C104" s="277" t="n"/>
      <c r="D104" s="278" t="n"/>
      <c r="E104" s="278" t="n"/>
      <c r="F104" s="276" t="n"/>
      <c r="G104" s="277" t="n"/>
      <c r="H104" s="279" t="n"/>
      <c r="I104" s="278" t="n"/>
      <c r="J104" s="278" t="n"/>
      <c r="K104" s="156" t="n"/>
      <c r="L104" s="156" t="n"/>
      <c r="M104" s="156" t="n"/>
    </row>
    <row r="105" ht="19.5" customHeight="1" s="153">
      <c r="A105" s="271" t="n"/>
      <c r="B105" s="191" t="n"/>
      <c r="C105" s="272" t="n"/>
      <c r="D105" s="265" t="n"/>
      <c r="E105" s="265" t="n"/>
      <c r="F105" s="271" t="n"/>
      <c r="G105" s="272" t="n"/>
      <c r="H105" s="273" t="n"/>
      <c r="I105" s="265" t="n"/>
      <c r="J105" s="265" t="n"/>
      <c r="K105" s="156" t="n"/>
      <c r="L105" s="156" t="n"/>
      <c r="M105" s="156" t="n"/>
    </row>
    <row r="106" ht="19.5" customHeight="1" s="153">
      <c r="A106" s="276" t="n"/>
      <c r="B106" s="194" t="n"/>
      <c r="C106" s="277" t="n"/>
      <c r="D106" s="278" t="n"/>
      <c r="E106" s="278" t="n"/>
      <c r="F106" s="276" t="n"/>
      <c r="G106" s="277" t="n"/>
      <c r="H106" s="279" t="n"/>
      <c r="I106" s="278" t="n"/>
      <c r="J106" s="278" t="n"/>
      <c r="K106" s="156" t="n"/>
      <c r="L106" s="156" t="n"/>
      <c r="M106" s="156" t="n"/>
    </row>
    <row r="107" ht="19.5" customHeight="1" s="153">
      <c r="A107" s="271" t="n"/>
      <c r="B107" s="191" t="n"/>
      <c r="C107" s="272" t="n"/>
      <c r="D107" s="265" t="n"/>
      <c r="E107" s="265" t="n"/>
      <c r="F107" s="271" t="n"/>
      <c r="G107" s="272" t="n"/>
      <c r="H107" s="273" t="n"/>
      <c r="I107" s="265" t="n"/>
      <c r="J107" s="265" t="n"/>
      <c r="K107" s="156" t="n"/>
      <c r="L107" s="156" t="n"/>
      <c r="M107" s="156" t="n"/>
    </row>
    <row r="108" ht="19.5" customHeight="1" s="153">
      <c r="A108" s="276" t="n"/>
      <c r="B108" s="194" t="n"/>
      <c r="C108" s="277" t="n"/>
      <c r="D108" s="278" t="n"/>
      <c r="E108" s="278" t="n"/>
      <c r="F108" s="276" t="n"/>
      <c r="G108" s="277" t="n"/>
      <c r="H108" s="279" t="n"/>
      <c r="I108" s="278" t="n"/>
      <c r="J108" s="278" t="n"/>
      <c r="K108" s="156" t="n"/>
      <c r="L108" s="156" t="n"/>
      <c r="M108" s="156" t="n"/>
    </row>
    <row r="109" ht="19.5" customHeight="1" s="153">
      <c r="A109" s="271" t="n"/>
      <c r="B109" s="191" t="n"/>
      <c r="C109" s="272" t="n"/>
      <c r="D109" s="265" t="n"/>
      <c r="E109" s="265" t="n"/>
      <c r="F109" s="271" t="n"/>
      <c r="G109" s="272" t="n"/>
      <c r="H109" s="273" t="n"/>
      <c r="I109" s="265" t="n"/>
      <c r="J109" s="265" t="n"/>
      <c r="K109" s="156" t="n"/>
      <c r="L109" s="156" t="n"/>
      <c r="M109" s="156" t="n"/>
    </row>
    <row r="110" ht="19.5" customHeight="1" s="153">
      <c r="A110" s="276" t="n"/>
      <c r="B110" s="194" t="n"/>
      <c r="C110" s="277" t="n"/>
      <c r="D110" s="278" t="n"/>
      <c r="E110" s="278" t="n"/>
      <c r="F110" s="276" t="n"/>
      <c r="G110" s="277" t="n"/>
      <c r="H110" s="279" t="n"/>
      <c r="I110" s="278" t="n"/>
      <c r="J110" s="278" t="n"/>
      <c r="K110" s="156" t="n"/>
      <c r="L110" s="156" t="n"/>
      <c r="M110" s="156" t="n"/>
    </row>
    <row r="111" ht="19.5" customHeight="1" s="153">
      <c r="A111" s="271" t="n"/>
      <c r="B111" s="191" t="n"/>
      <c r="C111" s="272" t="n"/>
      <c r="D111" s="265" t="n"/>
      <c r="E111" s="265" t="n"/>
      <c r="F111" s="271" t="n"/>
      <c r="G111" s="272" t="n"/>
      <c r="H111" s="273" t="n"/>
      <c r="I111" s="265" t="n"/>
      <c r="J111" s="265" t="n"/>
      <c r="K111" s="156" t="n"/>
      <c r="L111" s="156" t="n"/>
      <c r="M111" s="156" t="n"/>
    </row>
    <row r="112" ht="19.5" customHeight="1" s="153">
      <c r="A112" s="276" t="n"/>
      <c r="B112" s="194" t="n"/>
      <c r="C112" s="277" t="n"/>
      <c r="D112" s="278" t="n"/>
      <c r="E112" s="278" t="n"/>
      <c r="F112" s="276" t="n"/>
      <c r="G112" s="277" t="n"/>
      <c r="H112" s="279" t="n"/>
      <c r="I112" s="278" t="n"/>
      <c r="J112" s="278" t="n"/>
      <c r="K112" s="156" t="n"/>
      <c r="L112" s="156" t="n"/>
      <c r="M112" s="156" t="n"/>
    </row>
    <row r="113" ht="25.5" customHeight="1" s="153">
      <c r="A113" s="280" t="inlineStr">
        <is>
          <t>TOTAL AGOSTO</t>
        </is>
      </c>
      <c r="C113" s="281">
        <f>IFERROR(SUM(C103:C112),0)</f>
        <v/>
      </c>
      <c r="D113" s="156" t="n"/>
      <c r="E113" s="156" t="n"/>
      <c r="F113" s="156" t="n"/>
      <c r="G113" s="282">
        <f>IFERROR(SUM(G103:G112),0)</f>
        <v/>
      </c>
      <c r="H113" s="283">
        <f>IFERROR(SUM(H103:H112),0)</f>
        <v/>
      </c>
      <c r="I113" s="156" t="n"/>
      <c r="J113" s="256">
        <f>IFERROR(C113+G113,0)</f>
        <v/>
      </c>
      <c r="K113" s="156" t="n"/>
      <c r="L113" s="156" t="n"/>
      <c r="M113" s="156" t="n"/>
    </row>
    <row r="114" ht="15" customHeight="1" s="153">
      <c r="A114" s="156" t="n"/>
      <c r="B114" s="156" t="n"/>
      <c r="C114" s="156" t="n"/>
      <c r="D114" s="156" t="n"/>
      <c r="E114" s="156" t="n"/>
      <c r="F114" s="156" t="n"/>
      <c r="G114" s="156" t="n"/>
      <c r="H114" s="156" t="n"/>
      <c r="I114" s="156" t="n"/>
      <c r="J114" s="156" t="n"/>
      <c r="K114" s="156" t="n"/>
      <c r="L114" s="156" t="n"/>
      <c r="M114" s="156" t="n"/>
    </row>
    <row r="115" ht="27.75" customHeight="1" s="153">
      <c r="A115" s="269" t="inlineStr">
        <is>
          <t xml:space="preserve">  SEPTIEMBRE 2026</t>
        </is>
      </c>
    </row>
    <row r="116" ht="21.75" customHeight="1" s="153">
      <c r="A116" s="270" t="inlineStr">
        <is>
          <t>FECHA</t>
        </is>
      </c>
      <c r="B116" s="270" t="inlineStr">
        <is>
          <t>DESCRIPCIÓN</t>
        </is>
      </c>
      <c r="C116" s="270" t="inlineStr">
        <is>
          <t>MONTO ($)</t>
        </is>
      </c>
      <c r="D116" s="270" t="inlineStr">
        <is>
          <t>PAGADO</t>
        </is>
      </c>
      <c r="E116" s="156" t="n"/>
      <c r="F116" s="270" t="inlineStr">
        <is>
          <t>FECHA</t>
        </is>
      </c>
      <c r="G116" s="270" t="inlineStr">
        <is>
          <t>MONTO ($)</t>
        </is>
      </c>
      <c r="H116" s="270" t="inlineStr">
        <is>
          <t>LITROS</t>
        </is>
      </c>
      <c r="I116" s="156" t="n"/>
      <c r="J116" s="170" t="inlineStr">
        <is>
          <t>TOTAL MES ($)</t>
        </is>
      </c>
      <c r="K116" s="156" t="n"/>
      <c r="L116" s="156" t="n"/>
      <c r="M116" s="156" t="n"/>
    </row>
    <row r="117" ht="19.5" customHeight="1" s="153">
      <c r="A117" s="271" t="n"/>
      <c r="B117" s="191" t="n"/>
      <c r="C117" s="272" t="n"/>
      <c r="D117" s="265" t="n"/>
      <c r="E117" s="265" t="n"/>
      <c r="F117" s="271" t="n"/>
      <c r="G117" s="272" t="n"/>
      <c r="H117" s="273" t="n"/>
      <c r="I117" s="265" t="n"/>
      <c r="J117" s="265" t="n"/>
      <c r="K117" s="156" t="n"/>
      <c r="L117" s="156" t="n"/>
      <c r="M117" s="156" t="n"/>
    </row>
    <row r="118" ht="19.5" customHeight="1" s="153">
      <c r="A118" s="276" t="n"/>
      <c r="B118" s="194" t="n"/>
      <c r="C118" s="277" t="n"/>
      <c r="D118" s="278" t="n"/>
      <c r="E118" s="278" t="n"/>
      <c r="F118" s="276" t="n"/>
      <c r="G118" s="277" t="n"/>
      <c r="H118" s="279" t="n"/>
      <c r="I118" s="278" t="n"/>
      <c r="J118" s="278" t="n"/>
      <c r="K118" s="156" t="n"/>
      <c r="L118" s="156" t="n"/>
      <c r="M118" s="156" t="n"/>
    </row>
    <row r="119" ht="19.5" customHeight="1" s="153">
      <c r="A119" s="271" t="n"/>
      <c r="B119" s="191" t="n"/>
      <c r="C119" s="272" t="n"/>
      <c r="D119" s="265" t="n"/>
      <c r="E119" s="265" t="n"/>
      <c r="F119" s="271" t="n"/>
      <c r="G119" s="272" t="n"/>
      <c r="H119" s="273" t="n"/>
      <c r="I119" s="265" t="n"/>
      <c r="J119" s="265" t="n"/>
      <c r="K119" s="156" t="n"/>
      <c r="L119" s="156" t="n"/>
      <c r="M119" s="156" t="n"/>
    </row>
    <row r="120" ht="19.5" customHeight="1" s="153">
      <c r="A120" s="276" t="n"/>
      <c r="B120" s="194" t="n"/>
      <c r="C120" s="277" t="n"/>
      <c r="D120" s="278" t="n"/>
      <c r="E120" s="278" t="n"/>
      <c r="F120" s="276" t="n"/>
      <c r="G120" s="277" t="n"/>
      <c r="H120" s="279" t="n"/>
      <c r="I120" s="278" t="n"/>
      <c r="J120" s="278" t="n"/>
      <c r="K120" s="156" t="n"/>
      <c r="L120" s="156" t="n"/>
      <c r="M120" s="156" t="n"/>
    </row>
    <row r="121" ht="19.5" customHeight="1" s="153">
      <c r="A121" s="271" t="n"/>
      <c r="B121" s="191" t="n"/>
      <c r="C121" s="272" t="n"/>
      <c r="D121" s="265" t="n"/>
      <c r="E121" s="265" t="n"/>
      <c r="F121" s="271" t="n"/>
      <c r="G121" s="272" t="n"/>
      <c r="H121" s="273" t="n"/>
      <c r="I121" s="265" t="n"/>
      <c r="J121" s="265" t="n"/>
      <c r="K121" s="156" t="n"/>
      <c r="L121" s="156" t="n"/>
      <c r="M121" s="156" t="n"/>
    </row>
    <row r="122" ht="19.5" customHeight="1" s="153">
      <c r="A122" s="276" t="n"/>
      <c r="B122" s="194" t="n"/>
      <c r="C122" s="277" t="n"/>
      <c r="D122" s="278" t="n"/>
      <c r="E122" s="278" t="n"/>
      <c r="F122" s="276" t="n"/>
      <c r="G122" s="277" t="n"/>
      <c r="H122" s="279" t="n"/>
      <c r="I122" s="278" t="n"/>
      <c r="J122" s="278" t="n"/>
      <c r="K122" s="156" t="n"/>
      <c r="L122" s="156" t="n"/>
      <c r="M122" s="156" t="n"/>
    </row>
    <row r="123" ht="19.5" customHeight="1" s="153">
      <c r="A123" s="271" t="n"/>
      <c r="B123" s="191" t="n"/>
      <c r="C123" s="272" t="n"/>
      <c r="D123" s="265" t="n"/>
      <c r="E123" s="265" t="n"/>
      <c r="F123" s="271" t="n"/>
      <c r="G123" s="272" t="n"/>
      <c r="H123" s="273" t="n"/>
      <c r="I123" s="265" t="n"/>
      <c r="J123" s="265" t="n"/>
      <c r="K123" s="156" t="n"/>
      <c r="L123" s="156" t="n"/>
      <c r="M123" s="156" t="n"/>
    </row>
    <row r="124" ht="19.5" customHeight="1" s="153">
      <c r="A124" s="276" t="n"/>
      <c r="B124" s="194" t="n"/>
      <c r="C124" s="277" t="n"/>
      <c r="D124" s="278" t="n"/>
      <c r="E124" s="278" t="n"/>
      <c r="F124" s="276" t="n"/>
      <c r="G124" s="277" t="n"/>
      <c r="H124" s="279" t="n"/>
      <c r="I124" s="278" t="n"/>
      <c r="J124" s="278" t="n"/>
      <c r="K124" s="156" t="n"/>
      <c r="L124" s="156" t="n"/>
      <c r="M124" s="156" t="n"/>
    </row>
    <row r="125" ht="19.5" customHeight="1" s="153">
      <c r="A125" s="271" t="n"/>
      <c r="B125" s="191" t="n"/>
      <c r="C125" s="272" t="n"/>
      <c r="D125" s="265" t="n"/>
      <c r="E125" s="265" t="n"/>
      <c r="F125" s="271" t="n"/>
      <c r="G125" s="272" t="n"/>
      <c r="H125" s="273" t="n"/>
      <c r="I125" s="265" t="n"/>
      <c r="J125" s="265" t="n"/>
      <c r="K125" s="156" t="n"/>
      <c r="L125" s="156" t="n"/>
      <c r="M125" s="156" t="n"/>
    </row>
    <row r="126" ht="19.5" customHeight="1" s="153">
      <c r="A126" s="276" t="n"/>
      <c r="B126" s="194" t="n"/>
      <c r="C126" s="277" t="n"/>
      <c r="D126" s="278" t="n"/>
      <c r="E126" s="278" t="n"/>
      <c r="F126" s="276" t="n"/>
      <c r="G126" s="277" t="n"/>
      <c r="H126" s="279" t="n"/>
      <c r="I126" s="278" t="n"/>
      <c r="J126" s="278" t="n"/>
      <c r="K126" s="156" t="n"/>
      <c r="L126" s="156" t="n"/>
      <c r="M126" s="156" t="n"/>
    </row>
    <row r="127" ht="25.5" customHeight="1" s="153">
      <c r="A127" s="280" t="inlineStr">
        <is>
          <t>TOTAL SEPTIEMBRE</t>
        </is>
      </c>
      <c r="C127" s="281">
        <f>IFERROR(SUM(C117:C126),0)</f>
        <v/>
      </c>
      <c r="D127" s="156" t="n"/>
      <c r="E127" s="156" t="n"/>
      <c r="F127" s="156" t="n"/>
      <c r="G127" s="282">
        <f>IFERROR(SUM(G117:G126),0)</f>
        <v/>
      </c>
      <c r="H127" s="283">
        <f>IFERROR(SUM(H117:H126),0)</f>
        <v/>
      </c>
      <c r="I127" s="156" t="n"/>
      <c r="J127" s="256">
        <f>IFERROR(C127+G127,0)</f>
        <v/>
      </c>
      <c r="K127" s="156" t="n"/>
      <c r="L127" s="156" t="n"/>
      <c r="M127" s="156" t="n"/>
    </row>
    <row r="128" ht="15" customHeight="1" s="153">
      <c r="A128" s="156" t="n"/>
      <c r="B128" s="156" t="n"/>
      <c r="C128" s="156" t="n"/>
      <c r="D128" s="156" t="n"/>
      <c r="E128" s="156" t="n"/>
      <c r="F128" s="156" t="n"/>
      <c r="G128" s="156" t="n"/>
      <c r="H128" s="156" t="n"/>
      <c r="I128" s="156" t="n"/>
      <c r="J128" s="156" t="n"/>
      <c r="K128" s="156" t="n"/>
      <c r="L128" s="156" t="n"/>
      <c r="M128" s="156" t="n"/>
    </row>
    <row r="129" ht="27.75" customHeight="1" s="153">
      <c r="A129" s="269" t="inlineStr">
        <is>
          <t xml:space="preserve">  OCTUBRE 2026</t>
        </is>
      </c>
    </row>
    <row r="130" ht="21.75" customHeight="1" s="153">
      <c r="A130" s="270" t="inlineStr">
        <is>
          <t>FECHA</t>
        </is>
      </c>
      <c r="B130" s="270" t="inlineStr">
        <is>
          <t>DESCRIPCIÓN</t>
        </is>
      </c>
      <c r="C130" s="270" t="inlineStr">
        <is>
          <t>MONTO ($)</t>
        </is>
      </c>
      <c r="D130" s="270" t="inlineStr">
        <is>
          <t>PAGADO</t>
        </is>
      </c>
      <c r="E130" s="156" t="n"/>
      <c r="F130" s="270" t="inlineStr">
        <is>
          <t>FECHA</t>
        </is>
      </c>
      <c r="G130" s="270" t="inlineStr">
        <is>
          <t>MONTO ($)</t>
        </is>
      </c>
      <c r="H130" s="270" t="inlineStr">
        <is>
          <t>LITROS</t>
        </is>
      </c>
      <c r="I130" s="156" t="n"/>
      <c r="J130" s="170" t="inlineStr">
        <is>
          <t>TOTAL MES ($)</t>
        </is>
      </c>
      <c r="K130" s="156" t="n"/>
      <c r="L130" s="156" t="n"/>
      <c r="M130" s="156" t="n"/>
    </row>
    <row r="131" ht="19.5" customHeight="1" s="153">
      <c r="A131" s="271" t="n"/>
      <c r="B131" s="191" t="n"/>
      <c r="C131" s="272" t="n"/>
      <c r="D131" s="265" t="n"/>
      <c r="E131" s="265" t="n"/>
      <c r="F131" s="271" t="n"/>
      <c r="G131" s="272" t="n"/>
      <c r="H131" s="273" t="n"/>
      <c r="I131" s="265" t="n"/>
      <c r="J131" s="265" t="n"/>
      <c r="K131" s="156" t="n"/>
      <c r="L131" s="156" t="n"/>
      <c r="M131" s="156" t="n"/>
    </row>
    <row r="132" ht="19.5" customHeight="1" s="153">
      <c r="A132" s="276" t="n"/>
      <c r="B132" s="194" t="n"/>
      <c r="C132" s="277" t="n"/>
      <c r="D132" s="278" t="n"/>
      <c r="E132" s="278" t="n"/>
      <c r="F132" s="276" t="n"/>
      <c r="G132" s="277" t="n"/>
      <c r="H132" s="279" t="n"/>
      <c r="I132" s="278" t="n"/>
      <c r="J132" s="278" t="n"/>
      <c r="K132" s="156" t="n"/>
      <c r="L132" s="156" t="n"/>
      <c r="M132" s="156" t="n"/>
    </row>
    <row r="133" ht="19.5" customHeight="1" s="153">
      <c r="A133" s="271" t="n"/>
      <c r="B133" s="191" t="n"/>
      <c r="C133" s="272" t="n"/>
      <c r="D133" s="265" t="n"/>
      <c r="E133" s="265" t="n"/>
      <c r="F133" s="271" t="n"/>
      <c r="G133" s="272" t="n"/>
      <c r="H133" s="273" t="n"/>
      <c r="I133" s="265" t="n"/>
      <c r="J133" s="265" t="n"/>
      <c r="K133" s="156" t="n"/>
      <c r="L133" s="156" t="n"/>
      <c r="M133" s="156" t="n"/>
    </row>
    <row r="134" ht="19.5" customHeight="1" s="153">
      <c r="A134" s="276" t="n"/>
      <c r="B134" s="194" t="n"/>
      <c r="C134" s="277" t="n"/>
      <c r="D134" s="278" t="n"/>
      <c r="E134" s="278" t="n"/>
      <c r="F134" s="276" t="n"/>
      <c r="G134" s="277" t="n"/>
      <c r="H134" s="279" t="n"/>
      <c r="I134" s="278" t="n"/>
      <c r="J134" s="278" t="n"/>
      <c r="K134" s="156" t="n"/>
      <c r="L134" s="156" t="n"/>
      <c r="M134" s="156" t="n"/>
    </row>
    <row r="135" ht="19.5" customHeight="1" s="153">
      <c r="A135" s="271" t="n"/>
      <c r="B135" s="191" t="n"/>
      <c r="C135" s="272" t="n"/>
      <c r="D135" s="265" t="n"/>
      <c r="E135" s="265" t="n"/>
      <c r="F135" s="271" t="n"/>
      <c r="G135" s="272" t="n"/>
      <c r="H135" s="273" t="n"/>
      <c r="I135" s="265" t="n"/>
      <c r="J135" s="265" t="n"/>
      <c r="K135" s="156" t="n"/>
      <c r="L135" s="156" t="n"/>
      <c r="M135" s="156" t="n"/>
    </row>
    <row r="136" ht="19.5" customHeight="1" s="153">
      <c r="A136" s="276" t="n"/>
      <c r="B136" s="194" t="n"/>
      <c r="C136" s="277" t="n"/>
      <c r="D136" s="278" t="n"/>
      <c r="E136" s="278" t="n"/>
      <c r="F136" s="276" t="n"/>
      <c r="G136" s="277" t="n"/>
      <c r="H136" s="279" t="n"/>
      <c r="I136" s="278" t="n"/>
      <c r="J136" s="278" t="n"/>
      <c r="K136" s="156" t="n"/>
      <c r="L136" s="156" t="n"/>
      <c r="M136" s="156" t="n"/>
    </row>
    <row r="137" ht="19.5" customHeight="1" s="153">
      <c r="A137" s="271" t="n"/>
      <c r="B137" s="191" t="n"/>
      <c r="C137" s="272" t="n"/>
      <c r="D137" s="265" t="n"/>
      <c r="E137" s="265" t="n"/>
      <c r="F137" s="271" t="n"/>
      <c r="G137" s="272" t="n"/>
      <c r="H137" s="273" t="n"/>
      <c r="I137" s="265" t="n"/>
      <c r="J137" s="265" t="n"/>
      <c r="K137" s="156" t="n"/>
      <c r="L137" s="156" t="n"/>
      <c r="M137" s="156" t="n"/>
    </row>
    <row r="138" ht="19.5" customHeight="1" s="153">
      <c r="A138" s="276" t="n"/>
      <c r="B138" s="194" t="n"/>
      <c r="C138" s="277" t="n"/>
      <c r="D138" s="278" t="n"/>
      <c r="E138" s="278" t="n"/>
      <c r="F138" s="276" t="n"/>
      <c r="G138" s="277" t="n"/>
      <c r="H138" s="279" t="n"/>
      <c r="I138" s="278" t="n"/>
      <c r="J138" s="278" t="n"/>
      <c r="K138" s="156" t="n"/>
      <c r="L138" s="156" t="n"/>
      <c r="M138" s="156" t="n"/>
    </row>
    <row r="139" ht="19.5" customHeight="1" s="153">
      <c r="A139" s="271" t="n"/>
      <c r="B139" s="191" t="n"/>
      <c r="C139" s="272" t="n"/>
      <c r="D139" s="265" t="n"/>
      <c r="E139" s="265" t="n"/>
      <c r="F139" s="271" t="n"/>
      <c r="G139" s="272" t="n"/>
      <c r="H139" s="273" t="n"/>
      <c r="I139" s="265" t="n"/>
      <c r="J139" s="265" t="n"/>
      <c r="K139" s="156" t="n"/>
      <c r="L139" s="156" t="n"/>
      <c r="M139" s="156" t="n"/>
    </row>
    <row r="140" ht="19.5" customHeight="1" s="153">
      <c r="A140" s="276" t="n"/>
      <c r="B140" s="194" t="n"/>
      <c r="C140" s="277" t="n"/>
      <c r="D140" s="278" t="n"/>
      <c r="E140" s="278" t="n"/>
      <c r="F140" s="276" t="n"/>
      <c r="G140" s="277" t="n"/>
      <c r="H140" s="279" t="n"/>
      <c r="I140" s="278" t="n"/>
      <c r="J140" s="278" t="n"/>
      <c r="K140" s="156" t="n"/>
      <c r="L140" s="156" t="n"/>
      <c r="M140" s="156" t="n"/>
    </row>
    <row r="141" ht="25.5" customHeight="1" s="153">
      <c r="A141" s="280" t="inlineStr">
        <is>
          <t>TOTAL OCTUBRE</t>
        </is>
      </c>
      <c r="C141" s="281">
        <f>IFERROR(SUM(C131:C140),0)</f>
        <v/>
      </c>
      <c r="D141" s="156" t="n"/>
      <c r="E141" s="156" t="n"/>
      <c r="F141" s="156" t="n"/>
      <c r="G141" s="282">
        <f>IFERROR(SUM(G131:G140),0)</f>
        <v/>
      </c>
      <c r="H141" s="283">
        <f>IFERROR(SUM(H131:H140),0)</f>
        <v/>
      </c>
      <c r="I141" s="156" t="n"/>
      <c r="J141" s="256">
        <f>IFERROR(C141+G141,0)</f>
        <v/>
      </c>
      <c r="K141" s="156" t="n"/>
      <c r="L141" s="156" t="n"/>
      <c r="M141" s="156" t="n"/>
    </row>
    <row r="142" ht="15" customHeight="1" s="153">
      <c r="A142" s="156" t="n"/>
      <c r="B142" s="156" t="n"/>
      <c r="C142" s="156" t="n"/>
      <c r="D142" s="156" t="n"/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n"/>
    </row>
    <row r="143" ht="27.75" customHeight="1" s="153">
      <c r="A143" s="269" t="inlineStr">
        <is>
          <t xml:space="preserve">  NOVIEMBRE 2026</t>
        </is>
      </c>
    </row>
    <row r="144" ht="21.75" customHeight="1" s="153">
      <c r="A144" s="270" t="inlineStr">
        <is>
          <t>FECHA</t>
        </is>
      </c>
      <c r="B144" s="270" t="inlineStr">
        <is>
          <t>DESCRIPCIÓN</t>
        </is>
      </c>
      <c r="C144" s="270" t="inlineStr">
        <is>
          <t>MONTO ($)</t>
        </is>
      </c>
      <c r="D144" s="270" t="inlineStr">
        <is>
          <t>PAGADO</t>
        </is>
      </c>
      <c r="E144" s="156" t="n"/>
      <c r="F144" s="270" t="inlineStr">
        <is>
          <t>FECHA</t>
        </is>
      </c>
      <c r="G144" s="270" t="inlineStr">
        <is>
          <t>MONTO ($)</t>
        </is>
      </c>
      <c r="H144" s="270" t="inlineStr">
        <is>
          <t>LITROS</t>
        </is>
      </c>
      <c r="I144" s="156" t="n"/>
      <c r="J144" s="170" t="inlineStr">
        <is>
          <t>TOTAL MES ($)</t>
        </is>
      </c>
      <c r="K144" s="156" t="n"/>
      <c r="L144" s="156" t="n"/>
      <c r="M144" s="156" t="n"/>
    </row>
    <row r="145" ht="19.5" customHeight="1" s="153">
      <c r="A145" s="271" t="n"/>
      <c r="B145" s="191" t="n"/>
      <c r="C145" s="272" t="n"/>
      <c r="D145" s="265" t="n"/>
      <c r="E145" s="265" t="n"/>
      <c r="F145" s="271" t="n"/>
      <c r="G145" s="272" t="n"/>
      <c r="H145" s="273" t="n"/>
      <c r="I145" s="265" t="n"/>
      <c r="J145" s="265" t="n"/>
      <c r="K145" s="156" t="n"/>
      <c r="L145" s="156" t="n"/>
      <c r="M145" s="156" t="n"/>
    </row>
    <row r="146" ht="19.5" customHeight="1" s="153">
      <c r="A146" s="276" t="n"/>
      <c r="B146" s="194" t="n"/>
      <c r="C146" s="277" t="n"/>
      <c r="D146" s="278" t="n"/>
      <c r="E146" s="278" t="n"/>
      <c r="F146" s="276" t="n"/>
      <c r="G146" s="277" t="n"/>
      <c r="H146" s="279" t="n"/>
      <c r="I146" s="278" t="n"/>
      <c r="J146" s="278" t="n"/>
      <c r="K146" s="156" t="n"/>
      <c r="L146" s="156" t="n"/>
      <c r="M146" s="156" t="n"/>
    </row>
    <row r="147" ht="19.5" customHeight="1" s="153">
      <c r="A147" s="271" t="n"/>
      <c r="B147" s="191" t="n"/>
      <c r="C147" s="272" t="n"/>
      <c r="D147" s="265" t="n"/>
      <c r="E147" s="265" t="n"/>
      <c r="F147" s="271" t="n"/>
      <c r="G147" s="272" t="n"/>
      <c r="H147" s="273" t="n"/>
      <c r="I147" s="265" t="n"/>
      <c r="J147" s="265" t="n"/>
      <c r="K147" s="156" t="n"/>
      <c r="L147" s="156" t="n"/>
      <c r="M147" s="156" t="n"/>
    </row>
    <row r="148" ht="19.5" customHeight="1" s="153">
      <c r="A148" s="276" t="n"/>
      <c r="B148" s="194" t="n"/>
      <c r="C148" s="277" t="n"/>
      <c r="D148" s="278" t="n"/>
      <c r="E148" s="278" t="n"/>
      <c r="F148" s="276" t="n"/>
      <c r="G148" s="277" t="n"/>
      <c r="H148" s="279" t="n"/>
      <c r="I148" s="278" t="n"/>
      <c r="J148" s="278" t="n"/>
      <c r="K148" s="156" t="n"/>
      <c r="L148" s="156" t="n"/>
      <c r="M148" s="156" t="n"/>
    </row>
    <row r="149" ht="19.5" customHeight="1" s="153">
      <c r="A149" s="271" t="n"/>
      <c r="B149" s="191" t="n"/>
      <c r="C149" s="272" t="n"/>
      <c r="D149" s="265" t="n"/>
      <c r="E149" s="265" t="n"/>
      <c r="F149" s="271" t="n"/>
      <c r="G149" s="272" t="n"/>
      <c r="H149" s="273" t="n"/>
      <c r="I149" s="265" t="n"/>
      <c r="J149" s="265" t="n"/>
      <c r="K149" s="156" t="n"/>
      <c r="L149" s="156" t="n"/>
      <c r="M149" s="156" t="n"/>
    </row>
    <row r="150" ht="19.5" customHeight="1" s="153">
      <c r="A150" s="276" t="n"/>
      <c r="B150" s="194" t="n"/>
      <c r="C150" s="277" t="n"/>
      <c r="D150" s="278" t="n"/>
      <c r="E150" s="278" t="n"/>
      <c r="F150" s="276" t="n"/>
      <c r="G150" s="277" t="n"/>
      <c r="H150" s="279" t="n"/>
      <c r="I150" s="278" t="n"/>
      <c r="J150" s="278" t="n"/>
      <c r="K150" s="156" t="n"/>
      <c r="L150" s="156" t="n"/>
      <c r="M150" s="156" t="n"/>
    </row>
    <row r="151" ht="19.5" customHeight="1" s="153">
      <c r="A151" s="271" t="n"/>
      <c r="B151" s="191" t="n"/>
      <c r="C151" s="272" t="n"/>
      <c r="D151" s="265" t="n"/>
      <c r="E151" s="265" t="n"/>
      <c r="F151" s="271" t="n"/>
      <c r="G151" s="272" t="n"/>
      <c r="H151" s="273" t="n"/>
      <c r="I151" s="265" t="n"/>
      <c r="J151" s="265" t="n"/>
      <c r="K151" s="156" t="n"/>
      <c r="L151" s="156" t="n"/>
      <c r="M151" s="156" t="n"/>
    </row>
    <row r="152" ht="19.5" customHeight="1" s="153">
      <c r="A152" s="276" t="n"/>
      <c r="B152" s="194" t="n"/>
      <c r="C152" s="277" t="n"/>
      <c r="D152" s="278" t="n"/>
      <c r="E152" s="278" t="n"/>
      <c r="F152" s="276" t="n"/>
      <c r="G152" s="277" t="n"/>
      <c r="H152" s="279" t="n"/>
      <c r="I152" s="278" t="n"/>
      <c r="J152" s="278" t="n"/>
      <c r="K152" s="156" t="n"/>
      <c r="L152" s="156" t="n"/>
      <c r="M152" s="156" t="n"/>
    </row>
    <row r="153" ht="19.5" customHeight="1" s="153">
      <c r="A153" s="271" t="n"/>
      <c r="B153" s="191" t="n"/>
      <c r="C153" s="272" t="n"/>
      <c r="D153" s="265" t="n"/>
      <c r="E153" s="265" t="n"/>
      <c r="F153" s="271" t="n"/>
      <c r="G153" s="272" t="n"/>
      <c r="H153" s="273" t="n"/>
      <c r="I153" s="265" t="n"/>
      <c r="J153" s="265" t="n"/>
      <c r="K153" s="156" t="n"/>
      <c r="L153" s="156" t="n"/>
      <c r="M153" s="156" t="n"/>
    </row>
    <row r="154" ht="19.5" customHeight="1" s="153">
      <c r="A154" s="276" t="n"/>
      <c r="B154" s="194" t="n"/>
      <c r="C154" s="277" t="n"/>
      <c r="D154" s="278" t="n"/>
      <c r="E154" s="278" t="n"/>
      <c r="F154" s="276" t="n"/>
      <c r="G154" s="277" t="n"/>
      <c r="H154" s="279" t="n"/>
      <c r="I154" s="278" t="n"/>
      <c r="J154" s="278" t="n"/>
      <c r="K154" s="156" t="n"/>
      <c r="L154" s="156" t="n"/>
      <c r="M154" s="156" t="n"/>
    </row>
    <row r="155" ht="25.5" customHeight="1" s="153">
      <c r="A155" s="280" t="inlineStr">
        <is>
          <t>TOTAL NOVIEMBRE</t>
        </is>
      </c>
      <c r="C155" s="281">
        <f>IFERROR(SUM(C145:C154),0)</f>
        <v/>
      </c>
      <c r="D155" s="156" t="n"/>
      <c r="E155" s="156" t="n"/>
      <c r="F155" s="156" t="n"/>
      <c r="G155" s="282">
        <f>IFERROR(SUM(G145:G154),0)</f>
        <v/>
      </c>
      <c r="H155" s="283">
        <f>IFERROR(SUM(H145:H154),0)</f>
        <v/>
      </c>
      <c r="I155" s="156" t="n"/>
      <c r="J155" s="256">
        <f>IFERROR(C155+G155,0)</f>
        <v/>
      </c>
      <c r="K155" s="156" t="n"/>
      <c r="L155" s="156" t="n"/>
      <c r="M155" s="156" t="n"/>
    </row>
    <row r="156" ht="15" customHeight="1" s="153">
      <c r="A156" s="156" t="n"/>
      <c r="B156" s="156" t="n"/>
      <c r="C156" s="156" t="n"/>
      <c r="D156" s="156" t="n"/>
      <c r="E156" s="156" t="n"/>
      <c r="F156" s="156" t="n"/>
      <c r="G156" s="156" t="n"/>
      <c r="H156" s="156" t="n"/>
      <c r="I156" s="156" t="n"/>
      <c r="J156" s="156" t="n"/>
      <c r="K156" s="156" t="n"/>
      <c r="L156" s="156" t="n"/>
      <c r="M156" s="156" t="n"/>
    </row>
    <row r="157" ht="27.75" customHeight="1" s="153">
      <c r="A157" s="269" t="inlineStr">
        <is>
          <t xml:space="preserve">  DICIEMBRE 2026</t>
        </is>
      </c>
    </row>
    <row r="158" ht="21.75" customHeight="1" s="153">
      <c r="A158" s="270" t="inlineStr">
        <is>
          <t>FECHA</t>
        </is>
      </c>
      <c r="B158" s="270" t="inlineStr">
        <is>
          <t>DESCRIPCIÓN</t>
        </is>
      </c>
      <c r="C158" s="270" t="inlineStr">
        <is>
          <t>MONTO ($)</t>
        </is>
      </c>
      <c r="D158" s="270" t="inlineStr">
        <is>
          <t>PAGADO</t>
        </is>
      </c>
      <c r="E158" s="156" t="n"/>
      <c r="F158" s="270" t="inlineStr">
        <is>
          <t>FECHA</t>
        </is>
      </c>
      <c r="G158" s="270" t="inlineStr">
        <is>
          <t>MONTO ($)</t>
        </is>
      </c>
      <c r="H158" s="270" t="inlineStr">
        <is>
          <t>LITROS</t>
        </is>
      </c>
      <c r="I158" s="156" t="n"/>
      <c r="J158" s="170" t="inlineStr">
        <is>
          <t>TOTAL MES ($)</t>
        </is>
      </c>
      <c r="K158" s="156" t="n"/>
      <c r="L158" s="156" t="n"/>
      <c r="M158" s="156" t="n"/>
    </row>
    <row r="159" ht="19.5" customHeight="1" s="153">
      <c r="A159" s="271" t="n"/>
      <c r="B159" s="191" t="n"/>
      <c r="C159" s="272" t="n"/>
      <c r="D159" s="265" t="n"/>
      <c r="E159" s="265" t="n"/>
      <c r="F159" s="271" t="n"/>
      <c r="G159" s="272" t="n"/>
      <c r="H159" s="273" t="n"/>
      <c r="I159" s="265" t="n"/>
      <c r="J159" s="265" t="n"/>
      <c r="K159" s="156" t="n"/>
      <c r="L159" s="156" t="n"/>
      <c r="M159" s="156" t="n"/>
    </row>
    <row r="160" ht="19.5" customHeight="1" s="153">
      <c r="A160" s="276" t="n"/>
      <c r="B160" s="194" t="n"/>
      <c r="C160" s="277" t="n"/>
      <c r="D160" s="278" t="n"/>
      <c r="E160" s="278" t="n"/>
      <c r="F160" s="276" t="n"/>
      <c r="G160" s="277" t="n"/>
      <c r="H160" s="279" t="n"/>
      <c r="I160" s="278" t="n"/>
      <c r="J160" s="278" t="n"/>
      <c r="K160" s="156" t="n"/>
      <c r="L160" s="156" t="n"/>
      <c r="M160" s="156" t="n"/>
    </row>
    <row r="161" ht="19.5" customHeight="1" s="153">
      <c r="A161" s="271" t="n"/>
      <c r="B161" s="191" t="n"/>
      <c r="C161" s="272" t="n"/>
      <c r="D161" s="265" t="n"/>
      <c r="E161" s="265" t="n"/>
      <c r="F161" s="271" t="n"/>
      <c r="G161" s="272" t="n"/>
      <c r="H161" s="273" t="n"/>
      <c r="I161" s="265" t="n"/>
      <c r="J161" s="265" t="n"/>
      <c r="K161" s="156" t="n"/>
      <c r="L161" s="156" t="n"/>
      <c r="M161" s="156" t="n"/>
    </row>
    <row r="162" ht="19.5" customHeight="1" s="153">
      <c r="A162" s="276" t="n"/>
      <c r="B162" s="194" t="n"/>
      <c r="C162" s="277" t="n"/>
      <c r="D162" s="278" t="n"/>
      <c r="E162" s="278" t="n"/>
      <c r="F162" s="276" t="n"/>
      <c r="G162" s="277" t="n"/>
      <c r="H162" s="279" t="n"/>
      <c r="I162" s="278" t="n"/>
      <c r="J162" s="278" t="n"/>
      <c r="K162" s="156" t="n"/>
      <c r="L162" s="156" t="n"/>
      <c r="M162" s="156" t="n"/>
    </row>
    <row r="163" ht="19.5" customHeight="1" s="153">
      <c r="A163" s="271" t="n"/>
      <c r="B163" s="191" t="n"/>
      <c r="C163" s="272" t="n"/>
      <c r="D163" s="265" t="n"/>
      <c r="E163" s="265" t="n"/>
      <c r="F163" s="271" t="n"/>
      <c r="G163" s="272" t="n"/>
      <c r="H163" s="273" t="n"/>
      <c r="I163" s="265" t="n"/>
      <c r="J163" s="265" t="n"/>
      <c r="K163" s="156" t="n"/>
      <c r="L163" s="156" t="n"/>
      <c r="M163" s="156" t="n"/>
    </row>
    <row r="164" ht="19.5" customHeight="1" s="153">
      <c r="A164" s="276" t="n"/>
      <c r="B164" s="194" t="n"/>
      <c r="C164" s="277" t="n"/>
      <c r="D164" s="278" t="n"/>
      <c r="E164" s="278" t="n"/>
      <c r="F164" s="276" t="n"/>
      <c r="G164" s="277" t="n"/>
      <c r="H164" s="279" t="n"/>
      <c r="I164" s="278" t="n"/>
      <c r="J164" s="278" t="n"/>
      <c r="K164" s="156" t="n"/>
      <c r="L164" s="156" t="n"/>
      <c r="M164" s="156" t="n"/>
    </row>
    <row r="165" ht="19.5" customHeight="1" s="153">
      <c r="A165" s="271" t="n"/>
      <c r="B165" s="191" t="n"/>
      <c r="C165" s="272" t="n"/>
      <c r="D165" s="265" t="n"/>
      <c r="E165" s="265" t="n"/>
      <c r="F165" s="271" t="n"/>
      <c r="G165" s="272" t="n"/>
      <c r="H165" s="273" t="n"/>
      <c r="I165" s="265" t="n"/>
      <c r="J165" s="265" t="n"/>
      <c r="K165" s="156" t="n"/>
      <c r="L165" s="156" t="n"/>
      <c r="M165" s="156" t="n"/>
    </row>
    <row r="166" ht="19.5" customHeight="1" s="153">
      <c r="A166" s="276" t="n"/>
      <c r="B166" s="194" t="n"/>
      <c r="C166" s="277" t="n"/>
      <c r="D166" s="278" t="n"/>
      <c r="E166" s="278" t="n"/>
      <c r="F166" s="276" t="n"/>
      <c r="G166" s="277" t="n"/>
      <c r="H166" s="279" t="n"/>
      <c r="I166" s="278" t="n"/>
      <c r="J166" s="278" t="n"/>
      <c r="K166" s="156" t="n"/>
      <c r="L166" s="156" t="n"/>
      <c r="M166" s="156" t="n"/>
    </row>
    <row r="167" ht="19.5" customHeight="1" s="153">
      <c r="A167" s="271" t="n"/>
      <c r="B167" s="191" t="n"/>
      <c r="C167" s="272" t="n"/>
      <c r="D167" s="265" t="n"/>
      <c r="E167" s="265" t="n"/>
      <c r="F167" s="271" t="n"/>
      <c r="G167" s="272" t="n"/>
      <c r="H167" s="273" t="n"/>
      <c r="I167" s="265" t="n"/>
      <c r="J167" s="265" t="n"/>
      <c r="K167" s="156" t="n"/>
      <c r="L167" s="156" t="n"/>
      <c r="M167" s="156" t="n"/>
    </row>
    <row r="168" ht="19.5" customHeight="1" s="153">
      <c r="A168" s="276" t="n"/>
      <c r="B168" s="194" t="n"/>
      <c r="C168" s="277" t="n"/>
      <c r="D168" s="278" t="n"/>
      <c r="E168" s="278" t="n"/>
      <c r="F168" s="276" t="n"/>
      <c r="G168" s="277" t="n"/>
      <c r="H168" s="279" t="n"/>
      <c r="I168" s="278" t="n"/>
      <c r="J168" s="278" t="n"/>
      <c r="K168" s="156" t="n"/>
      <c r="L168" s="156" t="n"/>
      <c r="M168" s="156" t="n"/>
    </row>
    <row r="169" ht="25.5" customHeight="1" s="153">
      <c r="A169" s="280" t="inlineStr">
        <is>
          <t>TOTAL DICIEMBRE</t>
        </is>
      </c>
      <c r="C169" s="281">
        <f>IFERROR(SUM(C159:C168),0)</f>
        <v/>
      </c>
      <c r="D169" s="156" t="n"/>
      <c r="E169" s="156" t="n"/>
      <c r="F169" s="156" t="n"/>
      <c r="G169" s="282">
        <f>IFERROR(SUM(G159:G168),0)</f>
        <v/>
      </c>
      <c r="H169" s="283">
        <f>IFERROR(SUM(H159:H168),0)</f>
        <v/>
      </c>
      <c r="I169" s="156" t="n"/>
      <c r="J169" s="256">
        <f>IFERROR(C169+G169,0)</f>
        <v/>
      </c>
      <c r="K169" s="156" t="n"/>
      <c r="L169" s="156" t="n"/>
      <c r="M169" s="156" t="n"/>
    </row>
    <row r="170" ht="15" customHeight="1" s="153">
      <c r="A170" s="156" t="n"/>
      <c r="B170" s="156" t="n"/>
      <c r="C170" s="156" t="n"/>
      <c r="D170" s="156" t="n"/>
      <c r="E170" s="156" t="n"/>
      <c r="F170" s="156" t="n"/>
      <c r="G170" s="156" t="n"/>
      <c r="H170" s="156" t="n"/>
      <c r="I170" s="156" t="n"/>
      <c r="J170" s="156" t="n"/>
      <c r="K170" s="156" t="n"/>
      <c r="L170" s="156" t="n"/>
      <c r="M170" s="156" t="n"/>
    </row>
    <row r="171" ht="15" customHeight="1" s="153">
      <c r="A171" s="156" t="n"/>
      <c r="B171" s="156" t="n"/>
      <c r="C171" s="156" t="n"/>
      <c r="D171" s="156" t="n"/>
      <c r="E171" s="156" t="n"/>
      <c r="F171" s="156" t="n"/>
      <c r="G171" s="156" t="n"/>
      <c r="H171" s="156" t="n"/>
      <c r="I171" s="156" t="n"/>
      <c r="J171" s="156" t="n"/>
      <c r="K171" s="156" t="n"/>
      <c r="L171" s="156" t="n"/>
      <c r="M171" s="156" t="n"/>
    </row>
    <row r="172" ht="15" customHeight="1" s="153">
      <c r="A172" s="156" t="n"/>
      <c r="B172" s="156" t="n"/>
      <c r="C172" s="156" t="n"/>
      <c r="D172" s="156" t="n"/>
      <c r="E172" s="156" t="n"/>
      <c r="F172" s="156" t="n"/>
      <c r="G172" s="156" t="n"/>
      <c r="H172" s="156" t="n"/>
      <c r="I172" s="156" t="n"/>
      <c r="J172" s="156" t="n"/>
      <c r="K172" s="156" t="n"/>
      <c r="L172" s="156" t="n"/>
      <c r="M172" s="156" t="n"/>
    </row>
    <row r="173" ht="15" customHeight="1" s="153">
      <c r="A173" s="156" t="n"/>
      <c r="B173" s="156" t="n"/>
      <c r="C173" s="156" t="n"/>
      <c r="D173" s="156" t="n"/>
      <c r="E173" s="156" t="n"/>
      <c r="F173" s="156" t="n"/>
      <c r="G173" s="156" t="n"/>
      <c r="H173" s="156" t="n"/>
      <c r="I173" s="156" t="n"/>
      <c r="J173" s="156" t="n"/>
      <c r="K173" s="156" t="n"/>
      <c r="L173" s="156" t="n"/>
      <c r="M173" s="156" t="n"/>
    </row>
    <row r="174" ht="15" customHeight="1" s="153">
      <c r="A174" s="156" t="n"/>
      <c r="B174" s="156" t="n"/>
      <c r="C174" s="156" t="n"/>
      <c r="D174" s="156" t="n"/>
      <c r="E174" s="156" t="n"/>
      <c r="F174" s="156" t="n"/>
      <c r="G174" s="156" t="n"/>
      <c r="H174" s="156" t="n"/>
      <c r="I174" s="156" t="n"/>
      <c r="J174" s="156" t="n"/>
      <c r="K174" s="156" t="n"/>
      <c r="L174" s="156" t="n"/>
      <c r="M174" s="156" t="n"/>
    </row>
    <row r="175" ht="15" customHeight="1" s="153">
      <c r="A175" s="156" t="n"/>
      <c r="B175" s="156" t="n"/>
      <c r="C175" s="156" t="n"/>
      <c r="D175" s="156" t="n"/>
      <c r="E175" s="156" t="n"/>
      <c r="F175" s="156" t="n"/>
      <c r="G175" s="156" t="n"/>
      <c r="H175" s="156" t="n"/>
      <c r="I175" s="156" t="n"/>
      <c r="J175" s="156" t="n"/>
      <c r="K175" s="156" t="n"/>
      <c r="L175" s="156" t="n"/>
      <c r="M175" s="156" t="n"/>
    </row>
    <row r="176" ht="15" customHeight="1" s="153">
      <c r="A176" s="156" t="n"/>
      <c r="B176" s="156" t="n"/>
      <c r="C176" s="156" t="n"/>
      <c r="D176" s="156" t="n"/>
      <c r="E176" s="156" t="n"/>
      <c r="F176" s="156" t="n"/>
      <c r="G176" s="156" t="n"/>
      <c r="H176" s="156" t="n"/>
      <c r="I176" s="156" t="n"/>
      <c r="J176" s="156" t="n"/>
      <c r="K176" s="156" t="n"/>
      <c r="L176" s="156" t="n"/>
      <c r="M176" s="156" t="n"/>
    </row>
    <row r="177" ht="15" customHeight="1" s="153">
      <c r="A177" s="156" t="n"/>
      <c r="B177" s="156" t="n"/>
      <c r="C177" s="156" t="n"/>
      <c r="D177" s="156" t="n"/>
      <c r="E177" s="156" t="n"/>
      <c r="F177" s="156" t="n"/>
      <c r="G177" s="156" t="n"/>
      <c r="H177" s="156" t="n"/>
      <c r="I177" s="156" t="n"/>
      <c r="J177" s="156" t="n"/>
      <c r="K177" s="156" t="n"/>
      <c r="L177" s="156" t="n"/>
      <c r="M177" s="156" t="n"/>
    </row>
    <row r="178" ht="15" customHeight="1" s="153">
      <c r="A178" s="156" t="n"/>
      <c r="B178" s="156" t="n"/>
      <c r="C178" s="156" t="n"/>
      <c r="D178" s="156" t="n"/>
      <c r="E178" s="156" t="n"/>
      <c r="F178" s="156" t="n"/>
      <c r="G178" s="156" t="n"/>
      <c r="H178" s="156" t="n"/>
      <c r="I178" s="156" t="n"/>
      <c r="J178" s="156" t="n"/>
      <c r="K178" s="156" t="n"/>
      <c r="L178" s="156" t="n"/>
      <c r="M178" s="156" t="n"/>
    </row>
    <row r="179" ht="15" customHeight="1" s="153">
      <c r="A179" s="156" t="n"/>
      <c r="B179" s="156" t="n"/>
      <c r="C179" s="156" t="n"/>
      <c r="D179" s="156" t="n"/>
      <c r="E179" s="156" t="n"/>
      <c r="F179" s="156" t="n"/>
      <c r="G179" s="156" t="n"/>
      <c r="H179" s="156" t="n"/>
      <c r="I179" s="156" t="n"/>
      <c r="J179" s="156" t="n"/>
      <c r="K179" s="156" t="n"/>
      <c r="L179" s="156" t="n"/>
      <c r="M179" s="156" t="n"/>
    </row>
    <row r="180" ht="15" customHeight="1" s="153">
      <c r="A180" s="156" t="n"/>
      <c r="B180" s="156" t="n"/>
      <c r="C180" s="156" t="n"/>
      <c r="D180" s="156" t="n"/>
      <c r="E180" s="156" t="n"/>
      <c r="F180" s="156" t="n"/>
      <c r="G180" s="156" t="n"/>
      <c r="H180" s="156" t="n"/>
      <c r="I180" s="156" t="n"/>
      <c r="J180" s="156" t="n"/>
      <c r="K180" s="156" t="n"/>
      <c r="L180" s="156" t="n"/>
      <c r="M180" s="156" t="n"/>
    </row>
    <row r="181" ht="15" customHeight="1" s="153">
      <c r="A181" s="156" t="n"/>
      <c r="B181" s="156" t="n"/>
      <c r="C181" s="156" t="n"/>
      <c r="D181" s="156" t="n"/>
      <c r="E181" s="156" t="n"/>
      <c r="F181" s="156" t="n"/>
      <c r="G181" s="156" t="n"/>
      <c r="H181" s="156" t="n"/>
      <c r="I181" s="156" t="n"/>
      <c r="J181" s="156" t="n"/>
      <c r="K181" s="156" t="n"/>
      <c r="L181" s="156" t="n"/>
      <c r="M181" s="156" t="n"/>
    </row>
    <row r="182" ht="15" customHeight="1" s="153">
      <c r="A182" s="156" t="n"/>
      <c r="B182" s="156" t="n"/>
      <c r="C182" s="156" t="n"/>
      <c r="D182" s="156" t="n"/>
      <c r="E182" s="156" t="n"/>
      <c r="F182" s="156" t="n"/>
      <c r="G182" s="156" t="n"/>
      <c r="H182" s="156" t="n"/>
      <c r="I182" s="156" t="n"/>
      <c r="J182" s="156" t="n"/>
      <c r="K182" s="156" t="n"/>
      <c r="L182" s="156" t="n"/>
      <c r="M182" s="156" t="n"/>
    </row>
    <row r="183" ht="15" customHeight="1" s="153">
      <c r="A183" s="156" t="n"/>
      <c r="B183" s="156" t="n"/>
      <c r="C183" s="156" t="n"/>
      <c r="D183" s="156" t="n"/>
      <c r="E183" s="156" t="n"/>
      <c r="F183" s="156" t="n"/>
      <c r="G183" s="156" t="n"/>
      <c r="H183" s="156" t="n"/>
      <c r="I183" s="156" t="n"/>
      <c r="J183" s="156" t="n"/>
      <c r="K183" s="156" t="n"/>
      <c r="L183" s="156" t="n"/>
      <c r="M183" s="156" t="n"/>
    </row>
    <row r="184" ht="15" customHeight="1" s="153">
      <c r="A184" s="156" t="n"/>
      <c r="B184" s="156" t="n"/>
      <c r="C184" s="156" t="n"/>
      <c r="D184" s="156" t="n"/>
      <c r="E184" s="156" t="n"/>
      <c r="F184" s="156" t="n"/>
      <c r="G184" s="156" t="n"/>
      <c r="H184" s="156" t="n"/>
      <c r="I184" s="156" t="n"/>
      <c r="J184" s="156" t="n"/>
      <c r="K184" s="156" t="n"/>
      <c r="L184" s="156" t="n"/>
      <c r="M184" s="156" t="n"/>
    </row>
    <row r="185" ht="15" customHeight="1" s="153">
      <c r="A185" s="156" t="n"/>
      <c r="B185" s="156" t="n"/>
      <c r="C185" s="156" t="n"/>
      <c r="D185" s="156" t="n"/>
      <c r="E185" s="156" t="n"/>
      <c r="F185" s="156" t="n"/>
      <c r="G185" s="156" t="n"/>
      <c r="H185" s="156" t="n"/>
      <c r="I185" s="156" t="n"/>
      <c r="J185" s="156" t="n"/>
      <c r="K185" s="156" t="n"/>
      <c r="L185" s="156" t="n"/>
      <c r="M185" s="156" t="n"/>
    </row>
    <row r="186" ht="15" customHeight="1" s="153">
      <c r="A186" s="156" t="n"/>
      <c r="B186" s="156" t="n"/>
      <c r="C186" s="156" t="n"/>
      <c r="D186" s="156" t="n"/>
      <c r="E186" s="156" t="n"/>
      <c r="F186" s="156" t="n"/>
      <c r="G186" s="156" t="n"/>
      <c r="H186" s="156" t="n"/>
      <c r="I186" s="156" t="n"/>
      <c r="J186" s="156" t="n"/>
      <c r="K186" s="156" t="n"/>
      <c r="L186" s="156" t="n"/>
      <c r="M186" s="156" t="n"/>
    </row>
    <row r="187" ht="15" customHeight="1" s="153">
      <c r="A187" s="156" t="n"/>
      <c r="B187" s="156" t="n"/>
      <c r="C187" s="156" t="n"/>
      <c r="D187" s="156" t="n"/>
      <c r="E187" s="156" t="n"/>
      <c r="F187" s="156" t="n"/>
      <c r="G187" s="156" t="n"/>
      <c r="H187" s="156" t="n"/>
      <c r="I187" s="156" t="n"/>
      <c r="J187" s="156" t="n"/>
      <c r="K187" s="156" t="n"/>
      <c r="L187" s="156" t="n"/>
      <c r="M187" s="156" t="n"/>
    </row>
    <row r="188" ht="15" customHeight="1" s="153">
      <c r="A188" s="156" t="n"/>
      <c r="B188" s="156" t="n"/>
      <c r="C188" s="156" t="n"/>
      <c r="D188" s="156" t="n"/>
      <c r="E188" s="156" t="n"/>
      <c r="F188" s="156" t="n"/>
      <c r="G188" s="156" t="n"/>
      <c r="H188" s="156" t="n"/>
      <c r="I188" s="156" t="n"/>
      <c r="J188" s="156" t="n"/>
      <c r="K188" s="156" t="n"/>
      <c r="L188" s="156" t="n"/>
      <c r="M188" s="156" t="n"/>
    </row>
    <row r="189" ht="15" customHeight="1" s="153">
      <c r="A189" s="156" t="n"/>
      <c r="B189" s="156" t="n"/>
      <c r="C189" s="156" t="n"/>
      <c r="D189" s="156" t="n"/>
      <c r="E189" s="156" t="n"/>
      <c r="F189" s="156" t="n"/>
      <c r="G189" s="156" t="n"/>
      <c r="H189" s="156" t="n"/>
      <c r="I189" s="156" t="n"/>
      <c r="J189" s="156" t="n"/>
      <c r="K189" s="156" t="n"/>
      <c r="L189" s="156" t="n"/>
      <c r="M189" s="156" t="n"/>
    </row>
    <row r="190" ht="15" customHeight="1" s="153">
      <c r="A190" s="156" t="n"/>
      <c r="B190" s="156" t="n"/>
      <c r="C190" s="156" t="n"/>
      <c r="D190" s="156" t="n"/>
      <c r="E190" s="156" t="n"/>
      <c r="F190" s="156" t="n"/>
      <c r="G190" s="156" t="n"/>
      <c r="H190" s="156" t="n"/>
      <c r="I190" s="156" t="n"/>
      <c r="J190" s="156" t="n"/>
      <c r="K190" s="156" t="n"/>
      <c r="L190" s="156" t="n"/>
      <c r="M190" s="156" t="n"/>
    </row>
    <row r="191" ht="15" customHeight="1" s="153">
      <c r="A191" s="156" t="n"/>
      <c r="B191" s="156" t="n"/>
      <c r="C191" s="156" t="n"/>
      <c r="D191" s="156" t="n"/>
      <c r="E191" s="156" t="n"/>
      <c r="F191" s="156" t="n"/>
      <c r="G191" s="156" t="n"/>
      <c r="H191" s="156" t="n"/>
      <c r="I191" s="156" t="n"/>
      <c r="J191" s="156" t="n"/>
      <c r="K191" s="156" t="n"/>
      <c r="L191" s="156" t="n"/>
      <c r="M191" s="156" t="n"/>
    </row>
    <row r="192" ht="15" customHeight="1" s="153">
      <c r="A192" s="156" t="n"/>
      <c r="B192" s="156" t="n"/>
      <c r="C192" s="156" t="n"/>
      <c r="D192" s="156" t="n"/>
      <c r="E192" s="156" t="n"/>
      <c r="F192" s="156" t="n"/>
      <c r="G192" s="156" t="n"/>
      <c r="H192" s="156" t="n"/>
      <c r="I192" s="156" t="n"/>
      <c r="J192" s="156" t="n"/>
      <c r="K192" s="156" t="n"/>
      <c r="L192" s="156" t="n"/>
      <c r="M192" s="156" t="n"/>
    </row>
    <row r="193" ht="15" customHeight="1" s="153">
      <c r="A193" s="156" t="n"/>
      <c r="B193" s="156" t="n"/>
      <c r="C193" s="156" t="n"/>
      <c r="D193" s="156" t="n"/>
      <c r="E193" s="156" t="n"/>
      <c r="F193" s="156" t="n"/>
      <c r="G193" s="156" t="n"/>
      <c r="H193" s="156" t="n"/>
      <c r="I193" s="156" t="n"/>
      <c r="J193" s="156" t="n"/>
      <c r="K193" s="156" t="n"/>
      <c r="L193" s="156" t="n"/>
      <c r="M193" s="156" t="n"/>
    </row>
    <row r="194" ht="15" customHeight="1" s="153">
      <c r="A194" s="156" t="n"/>
      <c r="B194" s="156" t="n"/>
      <c r="C194" s="156" t="n"/>
      <c r="D194" s="156" t="n"/>
      <c r="E194" s="156" t="n"/>
      <c r="F194" s="156" t="n"/>
      <c r="G194" s="156" t="n"/>
      <c r="H194" s="156" t="n"/>
      <c r="I194" s="156" t="n"/>
      <c r="J194" s="156" t="n"/>
      <c r="K194" s="156" t="n"/>
      <c r="L194" s="156" t="n"/>
      <c r="M194" s="156" t="n"/>
    </row>
    <row r="195" ht="15" customHeight="1" s="153">
      <c r="A195" s="156" t="n"/>
      <c r="B195" s="156" t="n"/>
      <c r="C195" s="156" t="n"/>
      <c r="D195" s="156" t="n"/>
      <c r="E195" s="156" t="n"/>
      <c r="F195" s="156" t="n"/>
      <c r="G195" s="156" t="n"/>
      <c r="H195" s="156" t="n"/>
      <c r="I195" s="156" t="n"/>
      <c r="J195" s="156" t="n"/>
      <c r="K195" s="156" t="n"/>
      <c r="L195" s="156" t="n"/>
      <c r="M195" s="156" t="n"/>
    </row>
    <row r="196" ht="15" customHeight="1" s="153">
      <c r="A196" s="156" t="n"/>
      <c r="B196" s="156" t="n"/>
      <c r="C196" s="156" t="n"/>
      <c r="D196" s="156" t="n"/>
      <c r="E196" s="156" t="n"/>
      <c r="F196" s="156" t="n"/>
      <c r="G196" s="156" t="n"/>
      <c r="H196" s="156" t="n"/>
      <c r="I196" s="156" t="n"/>
      <c r="J196" s="156" t="n"/>
      <c r="K196" s="156" t="n"/>
      <c r="L196" s="156" t="n"/>
      <c r="M196" s="156" t="n"/>
    </row>
    <row r="197" ht="15" customHeight="1" s="153">
      <c r="A197" s="156" t="n"/>
      <c r="B197" s="156" t="n"/>
      <c r="C197" s="156" t="n"/>
      <c r="D197" s="156" t="n"/>
      <c r="E197" s="156" t="n"/>
      <c r="F197" s="156" t="n"/>
      <c r="G197" s="156" t="n"/>
      <c r="H197" s="156" t="n"/>
      <c r="I197" s="156" t="n"/>
      <c r="J197" s="156" t="n"/>
      <c r="K197" s="156" t="n"/>
      <c r="L197" s="156" t="n"/>
      <c r="M197" s="156" t="n"/>
    </row>
    <row r="198" ht="15" customHeight="1" s="153">
      <c r="A198" s="156" t="n"/>
      <c r="B198" s="156" t="n"/>
      <c r="C198" s="156" t="n"/>
      <c r="D198" s="156" t="n"/>
      <c r="E198" s="156" t="n"/>
      <c r="F198" s="156" t="n"/>
      <c r="G198" s="156" t="n"/>
      <c r="H198" s="156" t="n"/>
      <c r="I198" s="156" t="n"/>
      <c r="J198" s="156" t="n"/>
      <c r="K198" s="156" t="n"/>
      <c r="L198" s="156" t="n"/>
      <c r="M198" s="156" t="n"/>
    </row>
    <row r="199" ht="15" customHeight="1" s="153">
      <c r="A199" s="156" t="n"/>
      <c r="B199" s="156" t="n"/>
      <c r="C199" s="156" t="n"/>
      <c r="D199" s="156" t="n"/>
      <c r="E199" s="156" t="n"/>
      <c r="F199" s="156" t="n"/>
      <c r="G199" s="156" t="n"/>
      <c r="H199" s="156" t="n"/>
      <c r="I199" s="156" t="n"/>
      <c r="J199" s="156" t="n"/>
      <c r="K199" s="156" t="n"/>
      <c r="L199" s="156" t="n"/>
      <c r="M199" s="156" t="n"/>
    </row>
    <row r="200">
      <c r="A200" t="inlineStr">
        <is>
          <t>2026-06-01</t>
        </is>
      </c>
      <c r="B200" t="inlineStr">
        <is>
          <t>Personal/Varios</t>
        </is>
      </c>
      <c r="C200" t="inlineStr">
        <is>
          <t>Gasto diario</t>
        </is>
      </c>
      <c r="D200" t="n">
        <v>5600</v>
      </c>
    </row>
    <row r="201">
      <c r="A201" t="inlineStr">
        <is>
          <t>2026-06-01</t>
        </is>
      </c>
      <c r="B201" t="inlineStr">
        <is>
          <t>Personal/Varios</t>
        </is>
      </c>
      <c r="C201" t="inlineStr">
        <is>
          <t>Gasto diario</t>
        </is>
      </c>
      <c r="D201" t="n">
        <v>24000</v>
      </c>
    </row>
    <row r="202">
      <c r="A202" t="inlineStr">
        <is>
          <t>2026-06-02</t>
        </is>
      </c>
      <c r="B202" t="inlineStr">
        <is>
          <t>Personal/Varios</t>
        </is>
      </c>
      <c r="C202" t="inlineStr">
        <is>
          <t>Gasto diario</t>
        </is>
      </c>
      <c r="D202" t="n">
        <v>20000</v>
      </c>
    </row>
    <row r="203">
      <c r="A203" t="inlineStr">
        <is>
          <t>2026-06-02</t>
        </is>
      </c>
      <c r="B203" t="inlineStr">
        <is>
          <t>Combustible</t>
        </is>
      </c>
      <c r="C203" t="inlineStr">
        <is>
          <t>Gasoil</t>
        </is>
      </c>
      <c r="D203" t="n">
        <v>77000</v>
      </c>
    </row>
    <row r="204">
      <c r="A204" t="inlineStr">
        <is>
          <t>2026-06-02</t>
        </is>
      </c>
      <c r="B204" t="inlineStr">
        <is>
          <t>Salud</t>
        </is>
      </c>
      <c r="C204" t="inlineStr">
        <is>
          <t>Psicologa Paz y Vitto</t>
        </is>
      </c>
      <c r="D204" t="n">
        <v>80000</v>
      </c>
    </row>
    <row r="205">
      <c r="A205" t="inlineStr">
        <is>
          <t>2026-06-02</t>
        </is>
      </c>
      <c r="B205" t="inlineStr">
        <is>
          <t>Personal/Varios</t>
        </is>
      </c>
      <c r="C205" t="inlineStr">
        <is>
          <t>Gasto diario</t>
        </is>
      </c>
      <c r="D205" t="n">
        <v>6000</v>
      </c>
    </row>
    <row r="206">
      <c r="A206" t="inlineStr">
        <is>
          <t>2026-06-03</t>
        </is>
      </c>
      <c r="B206" t="inlineStr">
        <is>
          <t>Combustible</t>
        </is>
      </c>
      <c r="C206" t="inlineStr">
        <is>
          <t>Gasoil</t>
        </is>
      </c>
      <c r="D206" t="n">
        <v>86000</v>
      </c>
    </row>
    <row r="207">
      <c r="A207" t="inlineStr">
        <is>
          <t>2026-06-04</t>
        </is>
      </c>
      <c r="B207" t="inlineStr">
        <is>
          <t>Combustible</t>
        </is>
      </c>
      <c r="C207" t="inlineStr">
        <is>
          <t>Gasoil</t>
        </is>
      </c>
      <c r="D207" t="n">
        <v>100000</v>
      </c>
    </row>
    <row r="208">
      <c r="A208" t="inlineStr">
        <is>
          <t>2026-06-04</t>
        </is>
      </c>
      <c r="B208" t="inlineStr">
        <is>
          <t>Personal/Varios</t>
        </is>
      </c>
      <c r="C208" t="inlineStr">
        <is>
          <t>Gasto Sandra marca particular</t>
        </is>
      </c>
      <c r="D208" t="n">
        <v>20000</v>
      </c>
    </row>
    <row r="209">
      <c r="A209" t="inlineStr">
        <is>
          <t>2026-06-05</t>
        </is>
      </c>
      <c r="B209" t="inlineStr">
        <is>
          <t>Personal/Varios</t>
        </is>
      </c>
      <c r="C209" t="inlineStr">
        <is>
          <t>Gasto diario</t>
        </is>
      </c>
      <c r="D209" t="n">
        <v>3000</v>
      </c>
    </row>
    <row r="210">
      <c r="A210" t="inlineStr">
        <is>
          <t>2026-06-06</t>
        </is>
      </c>
      <c r="B210" t="inlineStr">
        <is>
          <t>Combustible</t>
        </is>
      </c>
      <c r="C210" t="inlineStr">
        <is>
          <t>Gasoil</t>
        </is>
      </c>
      <c r="D210" t="n">
        <v>100000</v>
      </c>
    </row>
    <row r="211">
      <c r="A211" t="inlineStr">
        <is>
          <t>2026-06-06</t>
        </is>
      </c>
      <c r="B211" t="inlineStr">
        <is>
          <t>Personal/Varios</t>
        </is>
      </c>
      <c r="C211" t="inlineStr">
        <is>
          <t>Pantalon personal</t>
        </is>
      </c>
      <c r="D211" t="n">
        <v>55000</v>
      </c>
    </row>
    <row r="212">
      <c r="A212" t="inlineStr">
        <is>
          <t>2026-06-06</t>
        </is>
      </c>
      <c r="B212" t="inlineStr">
        <is>
          <t>Personal/Varios</t>
        </is>
      </c>
      <c r="C212" t="inlineStr">
        <is>
          <t>Comida</t>
        </is>
      </c>
      <c r="D212" t="n">
        <v>48000</v>
      </c>
    </row>
    <row r="213">
      <c r="A213" t="inlineStr">
        <is>
          <t>2026-06-07</t>
        </is>
      </c>
      <c r="B213" t="inlineStr">
        <is>
          <t>Personal/Varios</t>
        </is>
      </c>
      <c r="C213" t="inlineStr">
        <is>
          <t>Gastos diarios</t>
        </is>
      </c>
      <c r="D213" t="n">
        <v>31500</v>
      </c>
    </row>
    <row r="214">
      <c r="A214" t="inlineStr">
        <is>
          <t>2026-06-08</t>
        </is>
      </c>
      <c r="B214" t="inlineStr">
        <is>
          <t>Personal/Varios</t>
        </is>
      </c>
      <c r="C214" t="inlineStr">
        <is>
          <t>Gasto diario</t>
        </is>
      </c>
      <c r="D214" t="n">
        <v>8500</v>
      </c>
    </row>
    <row r="215">
      <c r="A215" t="inlineStr">
        <is>
          <t>2026-06-08</t>
        </is>
      </c>
      <c r="B215" t="inlineStr">
        <is>
          <t>Marketing</t>
        </is>
      </c>
      <c r="C215" t="inlineStr">
        <is>
          <t>Meta Ads</t>
        </is>
      </c>
      <c r="D215" t="n">
        <v>50000</v>
      </c>
    </row>
    <row r="216">
      <c r="A216" t="inlineStr">
        <is>
          <t>2026-06-08</t>
        </is>
      </c>
      <c r="B216" t="inlineStr">
        <is>
          <t>Salud</t>
        </is>
      </c>
      <c r="C216" t="inlineStr">
        <is>
          <t>Psicologa</t>
        </is>
      </c>
      <c r="D216" t="n">
        <v>40000</v>
      </c>
    </row>
    <row r="217">
      <c r="A217" t="inlineStr">
        <is>
          <t>2026-06-08</t>
        </is>
      </c>
      <c r="B217" t="inlineStr">
        <is>
          <t>Servicios</t>
        </is>
      </c>
      <c r="C217" t="inlineStr">
        <is>
          <t>Luz</t>
        </is>
      </c>
      <c r="D217" t="n">
        <v>153000</v>
      </c>
    </row>
    <row r="218">
      <c r="A218" t="inlineStr">
        <is>
          <t>2026-06-08</t>
        </is>
      </c>
      <c r="B218" t="inlineStr">
        <is>
          <t>Personal/Varios</t>
        </is>
      </c>
      <c r="C218" t="inlineStr">
        <is>
          <t>Gasto Sandra</t>
        </is>
      </c>
      <c r="D218" t="n">
        <v>20000</v>
      </c>
    </row>
  </sheetData>
  <mergeCells count="25">
    <mergeCell ref="A15:B15"/>
    <mergeCell ref="A17:M17"/>
    <mergeCell ref="A169:B169"/>
    <mergeCell ref="A115:M115"/>
    <mergeCell ref="A31:M31"/>
    <mergeCell ref="A99:B99"/>
    <mergeCell ref="A143:M143"/>
    <mergeCell ref="A59:M59"/>
    <mergeCell ref="A157:M157"/>
    <mergeCell ref="A73:M73"/>
    <mergeCell ref="A1:M1"/>
    <mergeCell ref="A45:M45"/>
    <mergeCell ref="A57:B57"/>
    <mergeCell ref="A113:B113"/>
    <mergeCell ref="A71:B71"/>
    <mergeCell ref="A85:B85"/>
    <mergeCell ref="A141:B141"/>
    <mergeCell ref="A87:M87"/>
    <mergeCell ref="A29:B29"/>
    <mergeCell ref="A43:B43"/>
    <mergeCell ref="A155:B155"/>
    <mergeCell ref="A3:M3"/>
    <mergeCell ref="A101:M101"/>
    <mergeCell ref="A127:B127"/>
    <mergeCell ref="A129:M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2A2A2A"/>
    <outlinePr summaryBelow="1" summaryRight="1"/>
    <pageSetUpPr fitToPage="0"/>
  </sheetPr>
  <dimension ref="A1:C7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5" customWidth="1" style="152" min="1" max="1"/>
    <col width="18" customWidth="1" style="152" min="2" max="2"/>
  </cols>
  <sheetData>
    <row r="1" ht="27.75" customHeight="1" s="153">
      <c r="A1" s="284" t="inlineStr">
        <is>
          <t>LISTAS DE REFERENCIA — No modificar</t>
        </is>
      </c>
    </row>
    <row r="2" ht="21.75" customHeight="1" s="153">
      <c r="A2" s="189" t="inlineStr">
        <is>
          <t>CLIENTES</t>
        </is>
      </c>
      <c r="B2" s="189" t="inlineStr">
        <is>
          <t>PRODUCTOS</t>
        </is>
      </c>
      <c r="C2" s="156" t="n"/>
    </row>
    <row r="3" ht="15.75" customHeight="1" s="153">
      <c r="A3" s="285" t="inlineStr">
        <is>
          <t>1 DE MAYO 1605</t>
        </is>
      </c>
      <c r="B3" s="286" t="inlineStr">
        <is>
          <t>Garrafa 10</t>
        </is>
      </c>
      <c r="C3" s="156" t="n"/>
    </row>
    <row r="4" ht="15.75" customHeight="1" s="153">
      <c r="A4" s="287" t="inlineStr">
        <is>
          <t>1 DE MAYO 1959 BARSANTA</t>
        </is>
      </c>
      <c r="B4" s="288" t="inlineStr">
        <is>
          <t>Garrafa 15</t>
        </is>
      </c>
      <c r="C4" s="156" t="n"/>
    </row>
    <row r="5" ht="15.75" customHeight="1" s="153">
      <c r="A5" s="285" t="inlineStr">
        <is>
          <t>1 DE MAYO 8361</t>
        </is>
      </c>
      <c r="B5" s="286" t="inlineStr">
        <is>
          <t>Garrafa 45</t>
        </is>
      </c>
      <c r="C5" s="156" t="n"/>
    </row>
    <row r="6" ht="15.75" customHeight="1" s="153">
      <c r="A6" s="287" t="inlineStr">
        <is>
          <t>12 DE INFANTERIA 2148</t>
        </is>
      </c>
      <c r="B6" s="288" t="inlineStr">
        <is>
          <t>Yerba 500gr</t>
        </is>
      </c>
      <c r="C6" s="156" t="n"/>
    </row>
    <row r="7" ht="15.75" customHeight="1" s="153">
      <c r="A7" s="285" t="inlineStr">
        <is>
          <t>20 DE JUNIO Y 9 DE JULIO</t>
        </is>
      </c>
      <c r="B7" s="286" t="inlineStr">
        <is>
          <t>Bidón</t>
        </is>
      </c>
      <c r="C7" s="156" t="n"/>
    </row>
    <row r="8" ht="15.75" customHeight="1" s="153">
      <c r="A8" s="287" t="inlineStr">
        <is>
          <t>25 DE MAYO 2617</t>
        </is>
      </c>
      <c r="B8" s="156" t="n"/>
      <c r="C8" s="156" t="n"/>
    </row>
    <row r="9" ht="15.75" customHeight="1" s="153">
      <c r="A9" s="285" t="inlineStr">
        <is>
          <t>25 DE MAYO 3771</t>
        </is>
      </c>
      <c r="B9" s="156" t="n"/>
      <c r="C9" s="156" t="n"/>
    </row>
    <row r="10" ht="15.75" customHeight="1" s="153">
      <c r="A10" s="287" t="inlineStr">
        <is>
          <t>25 DE MAYO 8347</t>
        </is>
      </c>
      <c r="B10" s="156" t="n"/>
      <c r="C10" s="156" t="n"/>
    </row>
    <row r="11" ht="15.75" customHeight="1" s="153">
      <c r="A11" s="285" t="inlineStr">
        <is>
          <t>4 DE ENERO 1342</t>
        </is>
      </c>
      <c r="B11" s="156" t="n"/>
      <c r="C11" s="156" t="n"/>
    </row>
    <row r="12" ht="15.75" customHeight="1" s="153">
      <c r="A12" s="287" t="inlineStr">
        <is>
          <t>4 DE ENERO 3526</t>
        </is>
      </c>
      <c r="B12" s="156" t="n"/>
      <c r="C12" s="156" t="n"/>
    </row>
    <row r="13" ht="15.75" customHeight="1" s="153">
      <c r="A13" s="285" t="inlineStr">
        <is>
          <t>4 DE ENERO 6625</t>
        </is>
      </c>
      <c r="B13" s="156" t="n"/>
      <c r="C13" s="156" t="n"/>
    </row>
    <row r="14" ht="15.75" customHeight="1" s="153">
      <c r="A14" s="287" t="inlineStr">
        <is>
          <t>7 JEFES 4525</t>
        </is>
      </c>
      <c r="B14" s="156" t="n"/>
      <c r="C14" s="156" t="n"/>
    </row>
    <row r="15" ht="15.75" customHeight="1" s="153">
      <c r="A15" s="285" t="inlineStr">
        <is>
          <t>9 DE JULIO 1144</t>
        </is>
      </c>
      <c r="B15" s="156" t="n"/>
      <c r="C15" s="156" t="n"/>
    </row>
    <row r="16" ht="15.75" customHeight="1" s="153">
      <c r="A16" s="287" t="inlineStr">
        <is>
          <t>9 DE JULIO 1144 BAR</t>
        </is>
      </c>
      <c r="B16" s="156" t="n"/>
      <c r="C16" s="156" t="n"/>
    </row>
    <row r="17" ht="15.75" customHeight="1" s="153">
      <c r="A17" s="285" t="inlineStr">
        <is>
          <t>9 DE JULIO 2109</t>
        </is>
      </c>
      <c r="B17" s="156" t="n"/>
      <c r="C17" s="156" t="n"/>
    </row>
    <row r="18" ht="15.75" customHeight="1" s="153">
      <c r="A18" s="287" t="inlineStr">
        <is>
          <t>9 DE JULIO 2366</t>
        </is>
      </c>
      <c r="B18" s="156" t="n"/>
      <c r="C18" s="156" t="n"/>
    </row>
    <row r="19" ht="15.75" customHeight="1" s="153">
      <c r="A19" s="285" t="inlineStr">
        <is>
          <t>9 DE JULIO 6543</t>
        </is>
      </c>
      <c r="B19" s="156" t="n"/>
      <c r="C19" s="156" t="n"/>
    </row>
    <row r="20" ht="15.75" customHeight="1" s="153">
      <c r="A20" s="287" t="inlineStr">
        <is>
          <t>9 DE JULIO 9244</t>
        </is>
      </c>
      <c r="B20" s="156" t="n"/>
      <c r="C20" s="156" t="n"/>
    </row>
    <row r="21" ht="15.75" customHeight="1" s="153">
      <c r="A21" s="285" t="inlineStr">
        <is>
          <t>A DELGADO 1737</t>
        </is>
      </c>
      <c r="B21" s="156" t="n"/>
      <c r="C21" s="156" t="n"/>
    </row>
    <row r="22" ht="15.75" customHeight="1" s="153">
      <c r="A22" s="287" t="inlineStr">
        <is>
          <t>ABUELA LUCAS</t>
        </is>
      </c>
      <c r="B22" s="156" t="n"/>
      <c r="C22" s="156" t="n"/>
    </row>
    <row r="23" ht="15.75" customHeight="1" s="153">
      <c r="A23" s="285" t="inlineStr">
        <is>
          <t>ABUELA MARGA</t>
        </is>
      </c>
      <c r="B23" s="156" t="n"/>
      <c r="C23" s="156" t="n"/>
    </row>
    <row r="24" ht="15.75" customHeight="1" s="153">
      <c r="A24" s="287" t="inlineStr">
        <is>
          <t>ABUELA TUYA</t>
        </is>
      </c>
      <c r="B24" s="156" t="n"/>
      <c r="C24" s="156" t="n"/>
    </row>
    <row r="25" ht="15.75" customHeight="1" s="153">
      <c r="A25" s="285" t="inlineStr">
        <is>
          <t>ACASIAS 9788</t>
        </is>
      </c>
      <c r="B25" s="156" t="n"/>
      <c r="C25" s="156" t="n"/>
    </row>
    <row r="26" ht="15.75" customHeight="1" s="153">
      <c r="A26" s="287" t="inlineStr">
        <is>
          <t>AGUADO 6970</t>
        </is>
      </c>
      <c r="B26" s="156" t="n"/>
      <c r="C26" s="156" t="n"/>
    </row>
    <row r="27" ht="15.75" customHeight="1" s="153">
      <c r="A27" s="285" t="inlineStr">
        <is>
          <t>AGUADO 8432</t>
        </is>
      </c>
      <c r="B27" s="156" t="n"/>
      <c r="C27" s="156" t="n"/>
    </row>
    <row r="28" ht="15.75" customHeight="1" s="153">
      <c r="A28" s="287" t="inlineStr">
        <is>
          <t>AGUADP 6970</t>
        </is>
      </c>
      <c r="B28" s="156" t="n"/>
      <c r="C28" s="156" t="n"/>
    </row>
    <row r="29" ht="15.75" customHeight="1" s="153">
      <c r="A29" s="285" t="inlineStr">
        <is>
          <t>AGUAYO 3617</t>
        </is>
      </c>
      <c r="B29" s="156" t="n"/>
      <c r="C29" s="156" t="n"/>
    </row>
    <row r="30" ht="15.75" customHeight="1" s="153">
      <c r="A30" s="287" t="inlineStr">
        <is>
          <t>ALBERDI 4649</t>
        </is>
      </c>
      <c r="B30" s="156" t="n"/>
      <c r="C30" s="156" t="n"/>
    </row>
    <row r="31" ht="15.75" customHeight="1" s="153">
      <c r="A31" s="285" t="inlineStr">
        <is>
          <t>ALBERDI 6449</t>
        </is>
      </c>
      <c r="B31" s="156" t="n"/>
      <c r="C31" s="156" t="n"/>
    </row>
    <row r="32" ht="15.75" customHeight="1" s="153">
      <c r="A32" s="287" t="inlineStr">
        <is>
          <t>ALBERDI 6533</t>
        </is>
      </c>
      <c r="B32" s="156" t="n"/>
      <c r="C32" s="156" t="n"/>
    </row>
    <row r="33" ht="15.75" customHeight="1" s="153">
      <c r="A33" s="285" t="inlineStr">
        <is>
          <t>ALBERTI 2865</t>
        </is>
      </c>
      <c r="B33" s="156" t="n"/>
      <c r="C33" s="156" t="n"/>
    </row>
    <row r="34" ht="15.75" customHeight="1" s="153">
      <c r="A34" s="287" t="inlineStr">
        <is>
          <t>ALBERTI 4538</t>
        </is>
      </c>
      <c r="B34" s="156" t="n"/>
      <c r="C34" s="156" t="n"/>
    </row>
    <row r="35" ht="15.75" customHeight="1" s="153">
      <c r="A35" s="285" t="inlineStr">
        <is>
          <t>ALBERTI 4930</t>
        </is>
      </c>
      <c r="B35" s="156" t="n"/>
      <c r="C35" s="156" t="n"/>
    </row>
    <row r="36" ht="15.75" customHeight="1" s="153">
      <c r="A36" s="287" t="inlineStr">
        <is>
          <t>ALBERTI 5122</t>
        </is>
      </c>
      <c r="B36" s="156" t="n"/>
      <c r="C36" s="156" t="n"/>
    </row>
    <row r="37" ht="15.75" customHeight="1" s="153">
      <c r="A37" s="285" t="inlineStr">
        <is>
          <t>ALBERTI 5177</t>
        </is>
      </c>
      <c r="B37" s="156" t="n"/>
      <c r="C37" s="156" t="n"/>
    </row>
    <row r="38" ht="15.75" customHeight="1" s="153">
      <c r="A38" s="287" t="inlineStr">
        <is>
          <t>ALBERTI 5200</t>
        </is>
      </c>
      <c r="B38" s="156" t="n"/>
      <c r="C38" s="156" t="n"/>
    </row>
    <row r="39" ht="15.75" customHeight="1" s="153">
      <c r="A39" s="285" t="inlineStr">
        <is>
          <t>ALBERTI 5251</t>
        </is>
      </c>
      <c r="B39" s="156" t="n"/>
      <c r="C39" s="156" t="n"/>
    </row>
    <row r="40" ht="15.75" customHeight="1" s="153">
      <c r="A40" s="287" t="inlineStr">
        <is>
          <t>ALBERTI 5298</t>
        </is>
      </c>
      <c r="B40" s="156" t="n"/>
      <c r="C40" s="156" t="n"/>
    </row>
    <row r="41" ht="15.75" customHeight="1" s="153">
      <c r="A41" s="285" t="inlineStr">
        <is>
          <t>ALBERTI 5303</t>
        </is>
      </c>
      <c r="B41" s="156" t="n"/>
      <c r="C41" s="156" t="n"/>
    </row>
    <row r="42" ht="15.75" customHeight="1" s="153">
      <c r="A42" s="287" t="inlineStr">
        <is>
          <t>ALBERTI 5315</t>
        </is>
      </c>
      <c r="B42" s="156" t="n"/>
      <c r="C42" s="156" t="n"/>
    </row>
    <row r="43" ht="15.75" customHeight="1" s="153">
      <c r="A43" s="285" t="inlineStr">
        <is>
          <t>ALBERTI 5477</t>
        </is>
      </c>
      <c r="B43" s="156" t="n"/>
      <c r="C43" s="156" t="n"/>
    </row>
    <row r="44" ht="15.75" customHeight="1" s="153">
      <c r="A44" s="287" t="inlineStr">
        <is>
          <t>ALBERTI 5570</t>
        </is>
      </c>
      <c r="B44" s="156" t="n"/>
      <c r="C44" s="156" t="n"/>
    </row>
    <row r="45" ht="15.75" customHeight="1" s="153">
      <c r="A45" s="285" t="inlineStr">
        <is>
          <t>ALBERTI Y GABOTO</t>
        </is>
      </c>
      <c r="B45" s="156" t="n"/>
      <c r="C45" s="156" t="n"/>
    </row>
    <row r="46" ht="15.75" customHeight="1" s="153">
      <c r="A46" s="287" t="inlineStr">
        <is>
          <t>ALE</t>
        </is>
      </c>
      <c r="B46" s="156" t="n"/>
      <c r="C46" s="156" t="n"/>
    </row>
    <row r="47" ht="15.75" customHeight="1" s="153">
      <c r="A47" s="285" t="inlineStr">
        <is>
          <t>ALE RUIZ</t>
        </is>
      </c>
      <c r="B47" s="156" t="n"/>
      <c r="C47" s="156" t="n"/>
    </row>
    <row r="48" ht="15.75" customHeight="1" s="153">
      <c r="A48" s="287" t="inlineStr">
        <is>
          <t>ALELIES 10358</t>
        </is>
      </c>
      <c r="B48" s="156" t="n"/>
      <c r="C48" s="156" t="n"/>
    </row>
    <row r="49" ht="15.75" customHeight="1" s="153">
      <c r="A49" s="285" t="inlineStr">
        <is>
          <t>ALFEREZ MOREIRA 1845</t>
        </is>
      </c>
      <c r="B49" s="156" t="n"/>
      <c r="C49" s="156" t="n"/>
    </row>
    <row r="50" ht="15.75" customHeight="1" s="153">
      <c r="A50" s="287" t="inlineStr">
        <is>
          <t>ALISOS 5837</t>
        </is>
      </c>
      <c r="B50" s="156" t="n"/>
      <c r="C50" s="156" t="n"/>
    </row>
    <row r="51" ht="15.75" customHeight="1" s="153">
      <c r="A51" s="285" t="inlineStr">
        <is>
          <t>ALMOMACID 4615</t>
        </is>
      </c>
      <c r="B51" s="156" t="n"/>
      <c r="C51" s="156" t="n"/>
    </row>
    <row r="52" ht="15.75" customHeight="1" s="153">
      <c r="A52" s="287" t="inlineStr">
        <is>
          <t>ALMONACID 3637</t>
        </is>
      </c>
      <c r="B52" s="156" t="n"/>
      <c r="C52" s="156" t="n"/>
    </row>
    <row r="53" ht="15.75" customHeight="1" s="153">
      <c r="A53" s="285" t="inlineStr">
        <is>
          <t>ALMONACID 4248</t>
        </is>
      </c>
      <c r="B53" s="156" t="n"/>
      <c r="C53" s="156" t="n"/>
    </row>
    <row r="54" ht="15.75" customHeight="1" s="153">
      <c r="A54" s="287" t="inlineStr">
        <is>
          <t>ALSINA 6550</t>
        </is>
      </c>
      <c r="B54" s="156" t="n"/>
      <c r="C54" s="156" t="n"/>
    </row>
    <row r="55" ht="15.75" customHeight="1" s="153">
      <c r="A55" s="285" t="inlineStr">
        <is>
          <t>ALSINA 6601</t>
        </is>
      </c>
      <c r="B55" s="156" t="n"/>
      <c r="C55" s="156" t="n"/>
    </row>
    <row r="56" ht="15.75" customHeight="1" s="153">
      <c r="A56" s="287" t="inlineStr">
        <is>
          <t>ALSINA 6671</t>
        </is>
      </c>
      <c r="B56" s="156" t="n"/>
      <c r="C56" s="156" t="n"/>
    </row>
    <row r="57" ht="15.75" customHeight="1" s="153">
      <c r="A57" s="285" t="inlineStr">
        <is>
          <t>ALSINA 7980</t>
        </is>
      </c>
      <c r="B57" s="156" t="n"/>
      <c r="C57" s="156" t="n"/>
    </row>
    <row r="58" ht="15.75" customHeight="1" s="153">
      <c r="A58" s="287" t="inlineStr">
        <is>
          <t>ALSINA 7981</t>
        </is>
      </c>
      <c r="B58" s="156" t="n"/>
      <c r="C58" s="156" t="n"/>
    </row>
    <row r="59" ht="15.75" customHeight="1" s="153">
      <c r="A59" s="285" t="inlineStr">
        <is>
          <t>ALSINA 9251</t>
        </is>
      </c>
      <c r="B59" s="156" t="n"/>
      <c r="C59" s="156" t="n"/>
    </row>
    <row r="60" ht="15.75" customHeight="1" s="153">
      <c r="A60" s="287" t="inlineStr">
        <is>
          <t>ALSINA 9348</t>
        </is>
      </c>
      <c r="B60" s="156" t="n"/>
      <c r="C60" s="156" t="n"/>
    </row>
    <row r="61" ht="15.75" customHeight="1" s="153">
      <c r="A61" s="285" t="inlineStr">
        <is>
          <t>ALSUNA 7980</t>
        </is>
      </c>
      <c r="B61" s="156" t="n"/>
      <c r="C61" s="156" t="n"/>
    </row>
    <row r="62" ht="15.75" customHeight="1" s="153">
      <c r="A62" s="287" t="inlineStr">
        <is>
          <t>ALVEAR 5135</t>
        </is>
      </c>
      <c r="B62" s="156" t="n"/>
      <c r="C62" s="156" t="n"/>
    </row>
    <row r="63" ht="15.75" customHeight="1" s="153">
      <c r="A63" s="285" t="inlineStr">
        <is>
          <t>ALVEAR 5259</t>
        </is>
      </c>
      <c r="B63" s="156" t="n"/>
      <c r="C63" s="156" t="n"/>
    </row>
    <row r="64" ht="15.75" customHeight="1" s="153">
      <c r="A64" s="287" t="inlineStr">
        <is>
          <t>ALVEAR 8278</t>
        </is>
      </c>
      <c r="B64" s="156" t="n"/>
      <c r="C64" s="156" t="n"/>
    </row>
    <row r="65" ht="15.75" customHeight="1" s="153">
      <c r="A65" s="285" t="inlineStr">
        <is>
          <t>ANA ABDALA</t>
        </is>
      </c>
      <c r="B65" s="156" t="n"/>
      <c r="C65" s="156" t="n"/>
    </row>
    <row r="66" ht="15.75" customHeight="1" s="153">
      <c r="A66" s="287" t="inlineStr">
        <is>
          <t>ANDRE</t>
        </is>
      </c>
      <c r="B66" s="156" t="n"/>
      <c r="C66" s="156" t="n"/>
    </row>
    <row r="67" ht="15.75" customHeight="1" s="153">
      <c r="A67" s="285" t="inlineStr">
        <is>
          <t>ANGEL</t>
        </is>
      </c>
      <c r="B67" s="156" t="n"/>
      <c r="C67" s="156" t="n"/>
    </row>
    <row r="68" ht="15.75" customHeight="1" s="153">
      <c r="A68" s="287" t="inlineStr">
        <is>
          <t>ANREALES 10512</t>
        </is>
      </c>
      <c r="B68" s="156" t="n"/>
      <c r="C68" s="156" t="n"/>
    </row>
    <row r="69" ht="15.75" customHeight="1" s="153">
      <c r="A69" s="285" t="inlineStr">
        <is>
          <t>ARGENTA</t>
        </is>
      </c>
      <c r="B69" s="156" t="n"/>
      <c r="C69" s="156" t="n"/>
    </row>
    <row r="70" ht="15.75" customHeight="1" s="153">
      <c r="A70" s="287" t="inlineStr">
        <is>
          <t>ARGENTA PIZZAS</t>
        </is>
      </c>
      <c r="B70" s="156" t="n"/>
      <c r="C70" s="156" t="n"/>
    </row>
    <row r="71" ht="15.75" customHeight="1" s="153">
      <c r="A71" s="285" t="inlineStr">
        <is>
          <t>ARISTOBULO 4471</t>
        </is>
      </c>
      <c r="B71" s="156" t="n"/>
      <c r="C71" s="156" t="n"/>
    </row>
    <row r="72" ht="15.75" customHeight="1" s="153">
      <c r="A72" s="287" t="inlineStr">
        <is>
          <t>ARISTOBULO 5137</t>
        </is>
      </c>
      <c r="B72" s="156" t="n"/>
      <c r="C72" s="156" t="n"/>
    </row>
    <row r="73" ht="15.75" customHeight="1" s="153">
      <c r="A73" s="285" t="inlineStr">
        <is>
          <t>ARISTOBULO 5879</t>
        </is>
      </c>
      <c r="B73" s="156" t="n"/>
      <c r="C73" s="156" t="n"/>
    </row>
    <row r="74" ht="15.75" customHeight="1" s="153">
      <c r="A74" s="287" t="inlineStr">
        <is>
          <t>ARISTOBULO 6897</t>
        </is>
      </c>
      <c r="B74" s="156" t="n"/>
      <c r="C74" s="156" t="n"/>
    </row>
    <row r="75" ht="15.75" customHeight="1" s="153">
      <c r="A75" s="285" t="inlineStr">
        <is>
          <t>ARISTOBULO 8998</t>
        </is>
      </c>
      <c r="B75" s="156" t="n"/>
      <c r="C75" s="156" t="n"/>
    </row>
    <row r="76" ht="15.75" customHeight="1" s="153">
      <c r="A76" s="287" t="inlineStr">
        <is>
          <t>ARISTOBULO ROTI</t>
        </is>
      </c>
      <c r="B76" s="156" t="n"/>
      <c r="C76" s="156" t="n"/>
    </row>
    <row r="77" ht="15.75" customHeight="1" s="153">
      <c r="A77" s="285" t="inlineStr">
        <is>
          <t>AVELLANEDA 7745</t>
        </is>
      </c>
      <c r="B77" s="156" t="n"/>
      <c r="C77" s="156" t="n"/>
    </row>
    <row r="78" ht="15.75" customHeight="1" s="153">
      <c r="A78" s="287" t="inlineStr">
        <is>
          <t>AYACUCHO 3760</t>
        </is>
      </c>
      <c r="B78" s="156" t="n"/>
      <c r="C78" s="156" t="n"/>
    </row>
    <row r="79" ht="15.75" customHeight="1" s="153">
      <c r="A79" s="285" t="inlineStr">
        <is>
          <t>AYACUCHO 3817</t>
        </is>
      </c>
      <c r="B79" s="156" t="n"/>
      <c r="C79" s="156" t="n"/>
    </row>
    <row r="80" ht="15.75" customHeight="1" s="153">
      <c r="A80" s="287" t="inlineStr">
        <is>
          <t>AYACUCHO 4057</t>
        </is>
      </c>
      <c r="B80" s="156" t="n"/>
      <c r="C80" s="156" t="n"/>
    </row>
    <row r="81" ht="15.75" customHeight="1" s="153">
      <c r="A81" s="285" t="inlineStr">
        <is>
          <t>AYACUCHO 4878</t>
        </is>
      </c>
      <c r="B81" s="156" t="n"/>
      <c r="C81" s="156" t="n"/>
    </row>
    <row r="82" ht="15.75" customHeight="1" s="153">
      <c r="A82" s="287" t="inlineStr">
        <is>
          <t>AYACUCHO 5284</t>
        </is>
      </c>
      <c r="B82" s="156" t="n"/>
      <c r="C82" s="156" t="n"/>
    </row>
    <row r="83" ht="15.75" customHeight="1" s="153">
      <c r="A83" s="285" t="inlineStr">
        <is>
          <t>AYACUCHO 5370</t>
        </is>
      </c>
      <c r="B83" s="156" t="n"/>
      <c r="C83" s="156" t="n"/>
    </row>
    <row r="84" ht="15.75" customHeight="1" s="153">
      <c r="A84" s="287" t="inlineStr">
        <is>
          <t>AYACUCHO 6201</t>
        </is>
      </c>
      <c r="B84" s="156" t="n"/>
      <c r="C84" s="156" t="n"/>
    </row>
    <row r="85" ht="15.75" customHeight="1" s="153">
      <c r="A85" s="285" t="inlineStr">
        <is>
          <t>AZCUEJAGA 5023</t>
        </is>
      </c>
      <c r="B85" s="156" t="n"/>
      <c r="C85" s="156" t="n"/>
    </row>
    <row r="86" ht="15.75" customHeight="1" s="153">
      <c r="A86" s="287" t="inlineStr">
        <is>
          <t>AZCUENAGA 3972</t>
        </is>
      </c>
      <c r="B86" s="156" t="n"/>
      <c r="C86" s="156" t="n"/>
    </row>
    <row r="87" ht="15.75" customHeight="1" s="153">
      <c r="A87" s="285" t="inlineStr">
        <is>
          <t>AZCUENAGA 5023</t>
        </is>
      </c>
      <c r="B87" s="156" t="n"/>
      <c r="C87" s="156" t="n"/>
    </row>
    <row r="88" ht="15.75" customHeight="1" s="153">
      <c r="A88" s="287" t="inlineStr">
        <is>
          <t>AZOPARD0 10560</t>
        </is>
      </c>
      <c r="B88" s="156" t="n"/>
      <c r="C88" s="156" t="n"/>
    </row>
    <row r="89" ht="15.75" customHeight="1" s="153">
      <c r="A89" s="285" t="inlineStr">
        <is>
          <t>AZOPARDO 10529</t>
        </is>
      </c>
      <c r="B89" s="156" t="n"/>
      <c r="C89" s="156" t="n"/>
    </row>
    <row r="90" ht="15.75" customHeight="1" s="153">
      <c r="A90" s="287" t="inlineStr">
        <is>
          <t>AZOPARDO 10560</t>
        </is>
      </c>
      <c r="B90" s="156" t="n"/>
      <c r="C90" s="156" t="n"/>
    </row>
    <row r="91" ht="15.75" customHeight="1" s="153">
      <c r="A91" s="285" t="inlineStr">
        <is>
          <t>AZOPARDO 7218</t>
        </is>
      </c>
      <c r="B91" s="156" t="n"/>
      <c r="C91" s="156" t="n"/>
    </row>
    <row r="92" ht="15.75" customHeight="1" s="153">
      <c r="A92" s="287" t="inlineStr">
        <is>
          <t>AZOPARDO 7219</t>
        </is>
      </c>
      <c r="B92" s="156" t="n"/>
      <c r="C92" s="156" t="n"/>
    </row>
    <row r="93" ht="15.75" customHeight="1" s="153">
      <c r="A93" s="285" t="inlineStr">
        <is>
          <t>AZOPARDO 7263</t>
        </is>
      </c>
      <c r="B93" s="156" t="n"/>
      <c r="C93" s="156" t="n"/>
    </row>
    <row r="94" ht="15.75" customHeight="1" s="153">
      <c r="A94" s="287" t="inlineStr">
        <is>
          <t>AZOPARDO 8443</t>
        </is>
      </c>
      <c r="B94" s="156" t="n"/>
      <c r="C94" s="156" t="n"/>
    </row>
    <row r="95" ht="15.75" customHeight="1" s="153">
      <c r="A95" s="285" t="inlineStr">
        <is>
          <t>AZOPARDO 8505</t>
        </is>
      </c>
      <c r="B95" s="156" t="n"/>
      <c r="C95" s="156" t="n"/>
    </row>
    <row r="96" ht="15.75" customHeight="1" s="153">
      <c r="A96" s="287" t="inlineStr">
        <is>
          <t>B IRIGOYEN 6634</t>
        </is>
      </c>
      <c r="B96" s="156" t="n"/>
      <c r="C96" s="156" t="n"/>
    </row>
    <row r="97" ht="15.75" customHeight="1" s="153">
      <c r="A97" s="285" t="inlineStr">
        <is>
          <t>B IRIGOYEN 6854</t>
        </is>
      </c>
      <c r="B97" s="156" t="n"/>
      <c r="C97" s="156" t="n"/>
    </row>
    <row r="98" ht="15.75" customHeight="1" s="153">
      <c r="A98" s="287" t="inlineStr">
        <is>
          <t>B IRIGOYEN 8383</t>
        </is>
      </c>
      <c r="B98" s="156" t="n"/>
      <c r="C98" s="156" t="n"/>
    </row>
    <row r="99" ht="15.75" customHeight="1" s="153">
      <c r="A99" s="285" t="inlineStr">
        <is>
          <t>B IRIGOYRN 6848</t>
        </is>
      </c>
      <c r="B99" s="156" t="n"/>
      <c r="C99" s="156" t="n"/>
    </row>
    <row r="100" ht="15.75" customHeight="1" s="153">
      <c r="A100" s="287" t="inlineStr">
        <is>
          <t>BAIGORRIA 9350</t>
        </is>
      </c>
      <c r="B100" s="156" t="n"/>
      <c r="C100" s="156" t="n"/>
    </row>
    <row r="101" ht="15.75" customHeight="1" s="153">
      <c r="A101" s="285" t="inlineStr">
        <is>
          <t>BAIGORRIA 9351</t>
        </is>
      </c>
      <c r="B101" s="156" t="n"/>
      <c r="C101" s="156" t="n"/>
    </row>
    <row r="102" ht="15.75" customHeight="1" s="153">
      <c r="A102" s="287" t="inlineStr">
        <is>
          <t>BARRETO 8200</t>
        </is>
      </c>
      <c r="B102" s="156" t="n"/>
      <c r="C102" s="156" t="n"/>
    </row>
    <row r="103" ht="15.75" customHeight="1" s="153">
      <c r="A103" s="285" t="inlineStr">
        <is>
          <t>BARRETO 9261</t>
        </is>
      </c>
      <c r="B103" s="156" t="n"/>
      <c r="C103" s="156" t="n"/>
    </row>
    <row r="104" ht="15.75" customHeight="1" s="153">
      <c r="A104" s="287" t="inlineStr">
        <is>
          <t>BEATRIZ</t>
        </is>
      </c>
      <c r="B104" s="156" t="n"/>
      <c r="C104" s="156" t="n"/>
    </row>
    <row r="105" ht="15.75" customHeight="1" s="153">
      <c r="A105" s="285" t="inlineStr">
        <is>
          <t>BELGRANO 3295</t>
        </is>
      </c>
      <c r="B105" s="156" t="n"/>
      <c r="C105" s="156" t="n"/>
    </row>
    <row r="106" ht="15.75" customHeight="1" s="153">
      <c r="A106" s="287" t="inlineStr">
        <is>
          <t>BELGRANO 6382</t>
        </is>
      </c>
      <c r="B106" s="156" t="n"/>
      <c r="C106" s="156" t="n"/>
    </row>
    <row r="107" ht="15.75" customHeight="1" s="153">
      <c r="A107" s="285" t="inlineStr">
        <is>
          <t>BELGRANO 7972</t>
        </is>
      </c>
      <c r="B107" s="156" t="n"/>
      <c r="C107" s="156" t="n"/>
    </row>
    <row r="108" ht="15.75" customHeight="1" s="153">
      <c r="A108" s="287" t="inlineStr">
        <is>
          <t>BELNGRANO 3881</t>
        </is>
      </c>
      <c r="B108" s="156" t="n"/>
      <c r="C108" s="156" t="n"/>
    </row>
    <row r="109" ht="15.75" customHeight="1" s="153">
      <c r="A109" s="285" t="inlineStr">
        <is>
          <t>BENTEVEOS DAMIAN</t>
        </is>
      </c>
      <c r="B109" s="156" t="n"/>
      <c r="C109" s="156" t="n"/>
    </row>
    <row r="110" ht="15.75" customHeight="1" s="153">
      <c r="A110" s="287" t="inlineStr">
        <is>
          <t>BERUTI 3850</t>
        </is>
      </c>
      <c r="B110" s="156" t="n"/>
      <c r="C110" s="156" t="n"/>
    </row>
    <row r="111" ht="15.75" customHeight="1" s="153">
      <c r="A111" s="285" t="inlineStr">
        <is>
          <t>BERUTI 3850 PANA</t>
        </is>
      </c>
      <c r="B111" s="156" t="n"/>
      <c r="C111" s="156" t="n"/>
    </row>
    <row r="112" ht="15.75" customHeight="1" s="153">
      <c r="A112" s="287" t="inlineStr">
        <is>
          <t>BERUTI 4057</t>
        </is>
      </c>
      <c r="B112" s="156" t="n"/>
      <c r="C112" s="156" t="n"/>
    </row>
    <row r="113" ht="15.75" customHeight="1" s="153">
      <c r="A113" s="285" t="inlineStr">
        <is>
          <t>BERUTI 4075</t>
        </is>
      </c>
      <c r="B113" s="156" t="n"/>
      <c r="C113" s="156" t="n"/>
    </row>
    <row r="114" ht="15.75" customHeight="1" s="153">
      <c r="A114" s="287" t="inlineStr">
        <is>
          <t>BERUTI 5199</t>
        </is>
      </c>
      <c r="B114" s="156" t="n"/>
      <c r="C114" s="156" t="n"/>
    </row>
    <row r="115" ht="15.75" customHeight="1" s="153">
      <c r="A115" s="285" t="inlineStr">
        <is>
          <t>BERUTI 5520</t>
        </is>
      </c>
      <c r="B115" s="156" t="n"/>
      <c r="C115" s="156" t="n"/>
    </row>
    <row r="116" ht="15.75" customHeight="1" s="153">
      <c r="A116" s="287" t="inlineStr">
        <is>
          <t>BERUTI 6400 CASA 88</t>
        </is>
      </c>
      <c r="B116" s="156" t="n"/>
      <c r="C116" s="156" t="n"/>
    </row>
    <row r="117" ht="15.75" customHeight="1" s="153">
      <c r="A117" s="285" t="inlineStr">
        <is>
          <t>BLAS PARERA 5224</t>
        </is>
      </c>
      <c r="B117" s="156" t="n"/>
      <c r="C117" s="156" t="n"/>
    </row>
    <row r="118" ht="15.75" customHeight="1" s="153">
      <c r="A118" s="287" t="inlineStr">
        <is>
          <t>BLAS PARERA 6054</t>
        </is>
      </c>
      <c r="B118" s="156" t="n"/>
      <c r="C118" s="156" t="n"/>
    </row>
    <row r="119" ht="15.75" customHeight="1" s="153">
      <c r="A119" s="285" t="inlineStr">
        <is>
          <t>BLAS PARERA 6372</t>
        </is>
      </c>
      <c r="B119" s="156" t="n"/>
      <c r="C119" s="156" t="n"/>
    </row>
    <row r="120" ht="15.75" customHeight="1" s="153">
      <c r="A120" s="287" t="inlineStr">
        <is>
          <t>BLAS PARERA 6578</t>
        </is>
      </c>
      <c r="B120" s="156" t="n"/>
      <c r="C120" s="156" t="n"/>
    </row>
    <row r="121" ht="15.75" customHeight="1" s="153">
      <c r="A121" s="285" t="inlineStr">
        <is>
          <t>BLAS PARERA 7062</t>
        </is>
      </c>
      <c r="B121" s="156" t="n"/>
      <c r="C121" s="156" t="n"/>
    </row>
    <row r="122" ht="15.75" customHeight="1" s="153">
      <c r="A122" s="287" t="inlineStr">
        <is>
          <t>BLAS PARERA 7162</t>
        </is>
      </c>
      <c r="B122" s="156" t="n"/>
      <c r="C122" s="156" t="n"/>
    </row>
    <row r="123" ht="15.75" customHeight="1" s="153">
      <c r="A123" s="285" t="inlineStr">
        <is>
          <t>BLAS PARERA 9129</t>
        </is>
      </c>
      <c r="B123" s="156" t="n"/>
      <c r="C123" s="156" t="n"/>
    </row>
    <row r="124" ht="15.75" customHeight="1" s="153">
      <c r="A124" s="287" t="inlineStr">
        <is>
          <t>BLAS PARERA 9777</t>
        </is>
      </c>
      <c r="B124" s="156" t="n"/>
      <c r="C124" s="156" t="n"/>
    </row>
    <row r="125" ht="15.75" customHeight="1" s="153">
      <c r="A125" s="285" t="inlineStr">
        <is>
          <t>BLS PARERA 8380</t>
        </is>
      </c>
      <c r="B125" s="156" t="n"/>
      <c r="C125" s="156" t="n"/>
    </row>
    <row r="126" ht="15.75" customHeight="1" s="153">
      <c r="A126" s="287" t="inlineStr">
        <is>
          <t>BOEDO 1637</t>
        </is>
      </c>
      <c r="B126" s="156" t="n"/>
      <c r="C126" s="156" t="n"/>
    </row>
    <row r="127" ht="15.75" customHeight="1" s="153">
      <c r="A127" s="285" t="inlineStr">
        <is>
          <t>BONEO 2625</t>
        </is>
      </c>
      <c r="B127" s="156" t="n"/>
      <c r="C127" s="156" t="n"/>
    </row>
    <row r="128" ht="15.75" customHeight="1" s="153">
      <c r="A128" s="287" t="inlineStr">
        <is>
          <t>BONEO 4054</t>
        </is>
      </c>
      <c r="B128" s="156" t="n"/>
      <c r="C128" s="156" t="n"/>
    </row>
    <row r="129" ht="15.75" customHeight="1" s="153">
      <c r="A129" s="285" t="inlineStr">
        <is>
          <t>BONEO 4646</t>
        </is>
      </c>
      <c r="B129" s="156" t="n"/>
      <c r="C129" s="156" t="n"/>
    </row>
    <row r="130" ht="15.75" customHeight="1" s="153">
      <c r="A130" s="287" t="inlineStr">
        <is>
          <t>BONEO 4821</t>
        </is>
      </c>
      <c r="B130" s="156" t="n"/>
      <c r="C130" s="156" t="n"/>
    </row>
    <row r="131" ht="15.75" customHeight="1" s="153">
      <c r="A131" s="285" t="inlineStr">
        <is>
          <t>BONEO 5315</t>
        </is>
      </c>
      <c r="B131" s="156" t="n"/>
      <c r="C131" s="156" t="n"/>
    </row>
    <row r="132" ht="15.75" customHeight="1" s="153">
      <c r="A132" s="287" t="inlineStr">
        <is>
          <t>BONEO 5363</t>
        </is>
      </c>
      <c r="B132" s="156" t="n"/>
      <c r="C132" s="156" t="n"/>
    </row>
    <row r="133" ht="15.75" customHeight="1" s="153">
      <c r="A133" s="285" t="inlineStr">
        <is>
          <t>BONEO5315</t>
        </is>
      </c>
      <c r="B133" s="156" t="n"/>
      <c r="C133" s="156" t="n"/>
    </row>
    <row r="134" ht="15.75" customHeight="1" s="153">
      <c r="A134" s="287" t="inlineStr">
        <is>
          <t>BRAILE 7173</t>
        </is>
      </c>
      <c r="B134" s="156" t="n"/>
      <c r="C134" s="156" t="n"/>
    </row>
    <row r="135" ht="15.75" customHeight="1" s="153">
      <c r="A135" s="285" t="inlineStr">
        <is>
          <t>BRASERIA</t>
        </is>
      </c>
      <c r="B135" s="156" t="n"/>
      <c r="C135" s="156" t="n"/>
    </row>
    <row r="136" ht="15.75" customHeight="1" s="153">
      <c r="A136" s="287" t="inlineStr">
        <is>
          <t>BRAZIL 4117</t>
        </is>
      </c>
      <c r="B136" s="156" t="n"/>
      <c r="C136" s="156" t="n"/>
    </row>
    <row r="137" ht="15.75" customHeight="1" s="153">
      <c r="A137" s="285" t="inlineStr">
        <is>
          <t>C FUNES 4553</t>
        </is>
      </c>
      <c r="B137" s="156" t="n"/>
      <c r="C137" s="156" t="n"/>
    </row>
    <row r="138" ht="15.75" customHeight="1" s="153">
      <c r="A138" s="287" t="inlineStr">
        <is>
          <t>CAFERATA 9416</t>
        </is>
      </c>
      <c r="B138" s="156" t="n"/>
      <c r="C138" s="156" t="n"/>
    </row>
    <row r="139" ht="15.75" customHeight="1" s="153">
      <c r="A139" s="285" t="inlineStr">
        <is>
          <t>CALLE</t>
        </is>
      </c>
      <c r="B139" s="156" t="n"/>
      <c r="C139" s="156" t="n"/>
    </row>
    <row r="140" ht="15.75" customHeight="1" s="153">
      <c r="A140" s="287" t="inlineStr">
        <is>
          <t>CALLE 12 3856</t>
        </is>
      </c>
      <c r="B140" s="156" t="n"/>
      <c r="C140" s="156" t="n"/>
    </row>
    <row r="141" ht="15.75" customHeight="1" s="153">
      <c r="A141" s="285" t="inlineStr">
        <is>
          <t>CALLEJON AGUIRRE 5255</t>
        </is>
      </c>
      <c r="B141" s="156" t="n"/>
      <c r="C141" s="156" t="n"/>
    </row>
    <row r="142" ht="15.75" customHeight="1" s="153">
      <c r="A142" s="287" t="inlineStr">
        <is>
          <t>CALLEJON FUNES 1883 CARO</t>
        </is>
      </c>
      <c r="B142" s="156" t="n"/>
      <c r="C142" s="156" t="n"/>
    </row>
    <row r="143" ht="15.75" customHeight="1" s="153">
      <c r="A143" s="285" t="inlineStr">
        <is>
          <t>CAMELI 4860</t>
        </is>
      </c>
      <c r="B143" s="156" t="n"/>
      <c r="C143" s="156" t="n"/>
    </row>
    <row r="144" ht="15.75" customHeight="1" s="153">
      <c r="A144" s="287" t="inlineStr">
        <is>
          <t>CANCHA RIVADAVIA</t>
        </is>
      </c>
      <c r="B144" s="156" t="n"/>
      <c r="C144" s="156" t="n"/>
    </row>
    <row r="145" ht="15.75" customHeight="1" s="153">
      <c r="A145" s="285" t="inlineStr">
        <is>
          <t>CANCHAS GRINGO</t>
        </is>
      </c>
      <c r="B145" s="156" t="n"/>
      <c r="C145" s="156" t="n"/>
    </row>
    <row r="146" ht="15.75" customHeight="1" s="153">
      <c r="A146" s="287" t="inlineStr">
        <is>
          <t>CANDIDO PUJATO 2444</t>
        </is>
      </c>
      <c r="B146" s="156" t="n"/>
      <c r="C146" s="156" t="n"/>
    </row>
    <row r="147" ht="15.75" customHeight="1" s="153">
      <c r="A147" s="285" t="inlineStr">
        <is>
          <t>CARCARAES 5820</t>
        </is>
      </c>
      <c r="B147" s="156" t="n"/>
      <c r="C147" s="156" t="n"/>
    </row>
    <row r="148" ht="15.75" customHeight="1" s="153">
      <c r="A148" s="287" t="inlineStr">
        <is>
          <t>CAREN</t>
        </is>
      </c>
      <c r="B148" s="156" t="n"/>
      <c r="C148" s="156" t="n"/>
    </row>
    <row r="149" ht="15.75" customHeight="1" s="153">
      <c r="A149" s="285" t="inlineStr">
        <is>
          <t>CARRASCO 9350</t>
        </is>
      </c>
      <c r="B149" s="156" t="n"/>
      <c r="C149" s="156" t="n"/>
    </row>
    <row r="150" ht="15.75" customHeight="1" s="153">
      <c r="A150" s="287" t="inlineStr">
        <is>
          <t>CARRI FILOMENA</t>
        </is>
      </c>
      <c r="B150" s="156" t="n"/>
      <c r="C150" s="156" t="n"/>
    </row>
    <row r="151" ht="15.75" customHeight="1" s="153">
      <c r="A151" s="285" t="inlineStr">
        <is>
          <t>CASANELLO 2128</t>
        </is>
      </c>
      <c r="B151" s="156" t="n"/>
      <c r="C151" s="156" t="n"/>
    </row>
    <row r="152" ht="15.75" customHeight="1" s="153">
      <c r="A152" s="287" t="inlineStr">
        <is>
          <t>CASANELLO 3463</t>
        </is>
      </c>
      <c r="B152" s="156" t="n"/>
      <c r="C152" s="156" t="n"/>
    </row>
    <row r="153" ht="15.75" customHeight="1" s="153">
      <c r="A153" s="285" t="inlineStr">
        <is>
          <t>CASTAÑADUY 6687</t>
        </is>
      </c>
      <c r="B153" s="156" t="n"/>
      <c r="C153" s="156" t="n"/>
    </row>
    <row r="154" ht="15.75" customHeight="1" s="153">
      <c r="A154" s="287" t="inlineStr">
        <is>
          <t>CASTAÑADUY 7035</t>
        </is>
      </c>
      <c r="B154" s="156" t="n"/>
      <c r="C154" s="156" t="n"/>
    </row>
    <row r="155" ht="15.75" customHeight="1" s="153">
      <c r="A155" s="285" t="inlineStr">
        <is>
          <t>CASTELLI 2219</t>
        </is>
      </c>
      <c r="B155" s="156" t="n"/>
      <c r="C155" s="156" t="n"/>
    </row>
    <row r="156" ht="15.75" customHeight="1" s="153">
      <c r="A156" s="287" t="inlineStr">
        <is>
          <t>CASTELLI 4320</t>
        </is>
      </c>
      <c r="B156" s="156" t="n"/>
      <c r="C156" s="156" t="n"/>
    </row>
    <row r="157" ht="15.75" customHeight="1" s="153">
      <c r="A157" s="285" t="inlineStr">
        <is>
          <t>CASTELLI 5364</t>
        </is>
      </c>
      <c r="B157" s="156" t="n"/>
      <c r="C157" s="156" t="n"/>
    </row>
    <row r="158" ht="15.75" customHeight="1" s="153">
      <c r="A158" s="287" t="inlineStr">
        <is>
          <t>CASTELLI 5406</t>
        </is>
      </c>
      <c r="B158" s="156" t="n"/>
      <c r="C158" s="156" t="n"/>
    </row>
    <row r="159" ht="15.75" customHeight="1" s="153">
      <c r="A159" s="285" t="inlineStr">
        <is>
          <t>CASTELLI 946</t>
        </is>
      </c>
      <c r="B159" s="156" t="n"/>
      <c r="C159" s="156" t="n"/>
    </row>
    <row r="160" ht="15.75" customHeight="1" s="153">
      <c r="A160" s="287" t="inlineStr">
        <is>
          <t>CAYASTA 4887 MARCE</t>
        </is>
      </c>
      <c r="B160" s="156" t="n"/>
      <c r="C160" s="156" t="n"/>
    </row>
    <row r="161" ht="15.75" customHeight="1" s="153">
      <c r="A161" s="285" t="inlineStr">
        <is>
          <t>CERVERA 4748</t>
        </is>
      </c>
      <c r="B161" s="156" t="n"/>
      <c r="C161" s="156" t="n"/>
    </row>
    <row r="162" ht="15.75" customHeight="1" s="153">
      <c r="A162" s="287" t="inlineStr">
        <is>
          <t>CERVERA 6885</t>
        </is>
      </c>
      <c r="B162" s="156" t="n"/>
      <c r="C162" s="156" t="n"/>
    </row>
    <row r="163" ht="15.75" customHeight="1" s="153">
      <c r="A163" s="285" t="inlineStr">
        <is>
          <t>CERVERA 7037</t>
        </is>
      </c>
      <c r="B163" s="156" t="n"/>
      <c r="C163" s="156" t="n"/>
    </row>
    <row r="164" ht="15.75" customHeight="1" s="153">
      <c r="A164" s="287" t="inlineStr">
        <is>
          <t>CHACO 2843</t>
        </is>
      </c>
      <c r="B164" s="156" t="n"/>
      <c r="C164" s="156" t="n"/>
    </row>
    <row r="165" ht="15.75" customHeight="1" s="153">
      <c r="A165" s="285" t="inlineStr">
        <is>
          <t>CHICLAMNA 7325</t>
        </is>
      </c>
      <c r="B165" s="156" t="n"/>
      <c r="C165" s="156" t="n"/>
    </row>
    <row r="166" ht="15.75" customHeight="1" s="153">
      <c r="A166" s="287" t="inlineStr">
        <is>
          <t>CHICLANA 6668</t>
        </is>
      </c>
      <c r="B166" s="156" t="n"/>
      <c r="C166" s="156" t="n"/>
    </row>
    <row r="167" ht="15.75" customHeight="1" s="153">
      <c r="A167" s="285" t="inlineStr">
        <is>
          <t>CHICLANA 72325</t>
        </is>
      </c>
      <c r="B167" s="156" t="n"/>
      <c r="C167" s="156" t="n"/>
    </row>
    <row r="168" ht="15.75" customHeight="1" s="153">
      <c r="A168" s="287" t="inlineStr">
        <is>
          <t>CHICLANA 7325</t>
        </is>
      </c>
      <c r="B168" s="156" t="n"/>
      <c r="C168" s="156" t="n"/>
    </row>
    <row r="169" ht="15.75" customHeight="1" s="153">
      <c r="A169" s="285" t="inlineStr">
        <is>
          <t>CHICLANA 7565</t>
        </is>
      </c>
      <c r="B169" s="156" t="n"/>
      <c r="C169" s="156" t="n"/>
    </row>
    <row r="170" ht="15.75" customHeight="1" s="153">
      <c r="A170" s="287" t="inlineStr">
        <is>
          <t>CHICLANA 7849</t>
        </is>
      </c>
      <c r="B170" s="156" t="n"/>
      <c r="C170" s="156" t="n"/>
    </row>
    <row r="171" ht="15.75" customHeight="1" s="153">
      <c r="A171" s="285" t="inlineStr">
        <is>
          <t>CHICLANA 9671</t>
        </is>
      </c>
      <c r="B171" s="156" t="n"/>
      <c r="C171" s="156" t="n"/>
    </row>
    <row r="172" ht="15.75" customHeight="1" s="153">
      <c r="A172" s="287" t="inlineStr">
        <is>
          <t>CINDI</t>
        </is>
      </c>
      <c r="B172" s="156" t="n"/>
      <c r="C172" s="156" t="n"/>
    </row>
    <row r="173" ht="15.75" customHeight="1" s="153">
      <c r="A173" s="285" t="inlineStr">
        <is>
          <t>CINDO</t>
        </is>
      </c>
      <c r="B173" s="156" t="n"/>
      <c r="C173" s="156" t="n"/>
    </row>
    <row r="174" ht="15.75" customHeight="1" s="153">
      <c r="A174" s="287" t="inlineStr">
        <is>
          <t>CLUB NACIONAL</t>
        </is>
      </c>
      <c r="B174" s="156" t="n"/>
      <c r="C174" s="156" t="n"/>
    </row>
    <row r="175" ht="15.75" customHeight="1" s="153">
      <c r="A175" s="285" t="inlineStr">
        <is>
          <t>COCO ABUELO FACU CACERE</t>
        </is>
      </c>
      <c r="B175" s="156" t="n"/>
      <c r="C175" s="156" t="n"/>
    </row>
    <row r="176" ht="15.75" customHeight="1" s="153">
      <c r="A176" s="287" t="inlineStr">
        <is>
          <t>COGORNO 5520</t>
        </is>
      </c>
      <c r="B176" s="156" t="n"/>
      <c r="C176" s="156" t="n"/>
    </row>
    <row r="177" ht="15.75" customHeight="1" s="153">
      <c r="A177" s="285" t="inlineStr">
        <is>
          <t>COGORNP 5520</t>
        </is>
      </c>
      <c r="B177" s="156" t="n"/>
      <c r="C177" s="156" t="n"/>
    </row>
    <row r="178" ht="15.75" customHeight="1" s="153">
      <c r="A178" s="287" t="inlineStr">
        <is>
          <t>COLODRERO 1200</t>
        </is>
      </c>
      <c r="B178" s="156" t="n"/>
      <c r="C178" s="156" t="n"/>
    </row>
    <row r="179" ht="15.75" customHeight="1" s="153">
      <c r="A179" s="285" t="inlineStr">
        <is>
          <t>CONDOMINIO 3728</t>
        </is>
      </c>
      <c r="B179" s="156" t="n"/>
      <c r="C179" s="156" t="n"/>
    </row>
    <row r="180" ht="15.75" customHeight="1" s="153">
      <c r="A180" s="287" t="inlineStr">
        <is>
          <t>CORDOBA 2753</t>
        </is>
      </c>
      <c r="B180" s="156" t="n"/>
      <c r="C180" s="156" t="n"/>
    </row>
    <row r="181" ht="15.75" customHeight="1" s="153">
      <c r="A181" s="285" t="inlineStr">
        <is>
          <t>D SILVA 4217</t>
        </is>
      </c>
      <c r="B181" s="156" t="n"/>
      <c r="C181" s="156" t="n"/>
    </row>
    <row r="182" ht="15.75" customHeight="1" s="153">
      <c r="A182" s="287" t="inlineStr">
        <is>
          <t>D SILVA4217</t>
        </is>
      </c>
      <c r="B182" s="156" t="n"/>
      <c r="C182" s="156" t="n"/>
    </row>
    <row r="183" ht="15.75" customHeight="1" s="153">
      <c r="A183" s="285" t="inlineStr">
        <is>
          <t>DAMIANOVICH 3190</t>
        </is>
      </c>
      <c r="B183" s="156" t="n"/>
      <c r="C183" s="156" t="n"/>
    </row>
    <row r="184" ht="15.75" customHeight="1" s="153">
      <c r="A184" s="287" t="inlineStr">
        <is>
          <t>DAMIANOVICH 6212</t>
        </is>
      </c>
      <c r="B184" s="156" t="n"/>
      <c r="C184" s="156" t="n"/>
    </row>
    <row r="185" ht="15.75" customHeight="1" s="153">
      <c r="A185" s="285" t="inlineStr">
        <is>
          <t>DANA</t>
        </is>
      </c>
      <c r="B185" s="156" t="n"/>
      <c r="C185" s="156" t="n"/>
    </row>
    <row r="186" ht="15.75" customHeight="1" s="153">
      <c r="A186" s="287" t="inlineStr">
        <is>
          <t>DANI PAPA BRUNO</t>
        </is>
      </c>
      <c r="B186" s="156" t="n"/>
      <c r="C186" s="156" t="n"/>
    </row>
    <row r="187" ht="15.75" customHeight="1" s="153">
      <c r="A187" s="285" t="inlineStr">
        <is>
          <t>DANI TALLER</t>
        </is>
      </c>
      <c r="B187" s="156" t="n"/>
      <c r="C187" s="156" t="n"/>
    </row>
    <row r="188" ht="15.75" customHeight="1" s="153">
      <c r="A188" s="287" t="inlineStr">
        <is>
          <t>DANTE</t>
        </is>
      </c>
      <c r="B188" s="156" t="n"/>
      <c r="C188" s="156" t="n"/>
    </row>
    <row r="189" ht="15.75" customHeight="1" s="153">
      <c r="A189" s="285" t="inlineStr">
        <is>
          <t>DAVID LEIVA Y ALBERTI</t>
        </is>
      </c>
      <c r="B189" s="156" t="n"/>
      <c r="C189" s="156" t="n"/>
    </row>
    <row r="190" ht="15.75" customHeight="1" s="153">
      <c r="A190" s="287" t="inlineStr">
        <is>
          <t>DENIS 6169</t>
        </is>
      </c>
      <c r="B190" s="156" t="n"/>
      <c r="C190" s="156" t="n"/>
    </row>
    <row r="191" ht="15.75" customHeight="1" s="153">
      <c r="A191" s="285" t="inlineStr">
        <is>
          <t>DIOGENES ANTILLES 675</t>
        </is>
      </c>
      <c r="B191" s="156" t="n"/>
      <c r="C191" s="156" t="n"/>
    </row>
    <row r="192" ht="15.75" customHeight="1" s="153">
      <c r="A192" s="287" t="inlineStr">
        <is>
          <t>DOMINGO SILVA 4217</t>
        </is>
      </c>
      <c r="B192" s="156" t="n"/>
      <c r="C192" s="156" t="n"/>
    </row>
    <row r="193" ht="15.75" customHeight="1" s="153">
      <c r="A193" s="285" t="inlineStr">
        <is>
          <t>DOMINGO SIVLA 4217</t>
        </is>
      </c>
      <c r="B193" s="156" t="n"/>
      <c r="C193" s="156" t="n"/>
    </row>
    <row r="194" ht="15.75" customHeight="1" s="153">
      <c r="A194" s="287" t="inlineStr">
        <is>
          <t>DORREGO 5575</t>
        </is>
      </c>
      <c r="B194" s="156" t="n"/>
      <c r="C194" s="156" t="n"/>
    </row>
    <row r="195" ht="15.75" customHeight="1" s="153">
      <c r="A195" s="285" t="inlineStr">
        <is>
          <t>DRAXXO</t>
        </is>
      </c>
      <c r="B195" s="156" t="n"/>
      <c r="C195" s="156" t="n"/>
    </row>
    <row r="196" ht="15.75" customHeight="1" s="153">
      <c r="A196" s="287" t="inlineStr">
        <is>
          <t>DRAXXO COSTA</t>
        </is>
      </c>
      <c r="B196" s="156" t="n"/>
      <c r="C196" s="156" t="n"/>
    </row>
    <row r="197" ht="15.75" customHeight="1" s="153">
      <c r="A197" s="285" t="inlineStr">
        <is>
          <t>DUSO 7678</t>
        </is>
      </c>
      <c r="B197" s="156" t="n"/>
      <c r="C197" s="156" t="n"/>
    </row>
    <row r="198" ht="15.75" customHeight="1" s="153">
      <c r="A198" s="287" t="inlineStr">
        <is>
          <t>DUSSO 6638</t>
        </is>
      </c>
      <c r="B198" s="156" t="n"/>
      <c r="C198" s="156" t="n"/>
    </row>
    <row r="199" ht="15.75" customHeight="1" s="153">
      <c r="A199" s="285" t="inlineStr">
        <is>
          <t>DUSSO 7678</t>
        </is>
      </c>
      <c r="B199" s="156" t="n"/>
      <c r="C199" s="156" t="n"/>
    </row>
    <row r="200" ht="15.75" customHeight="1" s="153">
      <c r="A200" s="287" t="inlineStr">
        <is>
          <t>DUSSOP 7678</t>
        </is>
      </c>
      <c r="B200" s="156" t="n"/>
      <c r="C200" s="156" t="n"/>
    </row>
    <row r="201" ht="15.75" customHeight="1" s="153">
      <c r="A201" s="285" t="inlineStr">
        <is>
          <t>E ISRAEL 4717</t>
        </is>
      </c>
      <c r="B201" s="156" t="n"/>
      <c r="C201" s="156" t="n"/>
    </row>
    <row r="202" ht="15.75" customHeight="1" s="153">
      <c r="A202" s="287" t="inlineStr">
        <is>
          <t>E ZEBALLOS 4875 VIANDA</t>
        </is>
      </c>
      <c r="B202" s="156" t="n"/>
      <c r="C202" s="156" t="n"/>
    </row>
    <row r="203" ht="15.75" customHeight="1" s="153">
      <c r="A203" s="285" t="inlineStr">
        <is>
          <t>E ZEVALLOS 4881</t>
        </is>
      </c>
      <c r="B203" s="156" t="n"/>
      <c r="C203" s="156" t="n"/>
    </row>
    <row r="204" ht="15.75" customHeight="1" s="153">
      <c r="A204" s="287" t="inlineStr">
        <is>
          <t>ECHEVERRAI 5430</t>
        </is>
      </c>
      <c r="B204" s="156" t="n"/>
      <c r="C204" s="156" t="n"/>
    </row>
    <row r="205" ht="15.75" customHeight="1" s="153">
      <c r="A205" s="285" t="inlineStr">
        <is>
          <t>ECUADOR 3626</t>
        </is>
      </c>
      <c r="B205" s="156" t="n"/>
      <c r="C205" s="156" t="n"/>
    </row>
    <row r="206" ht="15.75" customHeight="1" s="153">
      <c r="A206" s="287" t="inlineStr">
        <is>
          <t>ECUADOR 3735</t>
        </is>
      </c>
      <c r="B206" s="156" t="n"/>
      <c r="C206" s="156" t="n"/>
    </row>
    <row r="207" ht="15.75" customHeight="1" s="153">
      <c r="A207" s="285" t="inlineStr">
        <is>
          <t>ECUADOR 4117</t>
        </is>
      </c>
      <c r="B207" s="156" t="n"/>
      <c r="C207" s="156" t="n"/>
    </row>
    <row r="208" ht="15.75" customHeight="1" s="153">
      <c r="A208" s="287" t="inlineStr">
        <is>
          <t>ELI CARRIBAR</t>
        </is>
      </c>
      <c r="B208" s="156" t="n"/>
      <c r="C208" s="156" t="n"/>
    </row>
    <row r="209" ht="15.75" customHeight="1" s="153">
      <c r="A209" s="285" t="inlineStr">
        <is>
          <t>EMA COMBETO PJE MARSENGO</t>
        </is>
      </c>
      <c r="B209" s="156" t="n"/>
      <c r="C209" s="156" t="n"/>
    </row>
    <row r="210" ht="15.75" customHeight="1" s="153">
      <c r="A210" s="287" t="inlineStr">
        <is>
          <t>EMIR</t>
        </is>
      </c>
      <c r="B210" s="156" t="n"/>
      <c r="C210" s="156" t="n"/>
    </row>
    <row r="211" ht="15.75" customHeight="1" s="153">
      <c r="A211" s="285" t="inlineStr">
        <is>
          <t>ESC JUAN DE GARAY</t>
        </is>
      </c>
      <c r="B211" s="156" t="n"/>
      <c r="C211" s="156" t="n"/>
    </row>
    <row r="212" ht="15.75" customHeight="1" s="153">
      <c r="A212" s="287" t="inlineStr">
        <is>
          <t>ESMERALDA 2376</t>
        </is>
      </c>
      <c r="B212" s="156" t="n"/>
      <c r="C212" s="156" t="n"/>
    </row>
    <row r="213" ht="15.75" customHeight="1" s="153">
      <c r="A213" s="285" t="inlineStr">
        <is>
          <t>ESPORA 4321</t>
        </is>
      </c>
      <c r="B213" s="156" t="n"/>
      <c r="C213" s="156" t="n"/>
    </row>
    <row r="214" ht="15.75" customHeight="1" s="153">
      <c r="A214" s="287" t="inlineStr">
        <is>
          <t>ESPORA 4858</t>
        </is>
      </c>
      <c r="B214" s="156" t="n"/>
      <c r="C214" s="156" t="n"/>
    </row>
    <row r="215" ht="15.75" customHeight="1" s="153">
      <c r="A215" s="285" t="inlineStr">
        <is>
          <t>ESPORA 4874</t>
        </is>
      </c>
      <c r="B215" s="156" t="n"/>
      <c r="C215" s="156" t="n"/>
    </row>
    <row r="216" ht="15.75" customHeight="1" s="153">
      <c r="A216" s="287" t="inlineStr">
        <is>
          <t>ESPORA 5335</t>
        </is>
      </c>
      <c r="B216" s="156" t="n"/>
      <c r="C216" s="156" t="n"/>
    </row>
    <row r="217" ht="15.75" customHeight="1" s="153">
      <c r="A217" s="285" t="inlineStr">
        <is>
          <t>ESTADO ISRAEL 5370</t>
        </is>
      </c>
      <c r="B217" s="156" t="n"/>
      <c r="C217" s="156" t="n"/>
    </row>
    <row r="218" ht="15.75" customHeight="1" s="153">
      <c r="A218" s="287" t="inlineStr">
        <is>
          <t>ESTADO ISTRAEL 5370</t>
        </is>
      </c>
      <c r="B218" s="156" t="n"/>
      <c r="C218" s="156" t="n"/>
    </row>
    <row r="219" ht="15.75" customHeight="1" s="153">
      <c r="A219" s="285" t="inlineStr">
        <is>
          <t>ESTANIS DEL CAMPO 1625</t>
        </is>
      </c>
      <c r="B219" s="156" t="n"/>
      <c r="C219" s="156" t="n"/>
    </row>
    <row r="220" ht="15.75" customHeight="1" s="153">
      <c r="A220" s="287" t="inlineStr">
        <is>
          <t>ESTANISLAO DEL CAMPO 1613</t>
        </is>
      </c>
      <c r="B220" s="156" t="n"/>
      <c r="C220" s="156" t="n"/>
    </row>
    <row r="221" ht="15.75" customHeight="1" s="153">
      <c r="A221" s="285" t="inlineStr">
        <is>
          <t>ESTANISLAO ZEBALLOS 4560</t>
        </is>
      </c>
      <c r="B221" s="156" t="n"/>
      <c r="C221" s="156" t="n"/>
    </row>
    <row r="222" ht="15.75" customHeight="1" s="153">
      <c r="A222" s="287" t="inlineStr">
        <is>
          <t>ESTELA PALZA</t>
        </is>
      </c>
      <c r="B222" s="156" t="n"/>
      <c r="C222" s="156" t="n"/>
    </row>
    <row r="223" ht="15.75" customHeight="1" s="153">
      <c r="A223" s="285" t="inlineStr">
        <is>
          <t>ESTELA PARAGUAY</t>
        </is>
      </c>
      <c r="B223" s="156" t="n"/>
      <c r="C223" s="156" t="n"/>
    </row>
    <row r="224" ht="15.75" customHeight="1" s="153">
      <c r="A224" s="287" t="inlineStr">
        <is>
          <t>ESTELA PJE PARAGUAY</t>
        </is>
      </c>
      <c r="B224" s="156" t="n"/>
      <c r="C224" s="156" t="n"/>
    </row>
    <row r="225" ht="15.75" customHeight="1" s="153">
      <c r="A225" s="285" t="inlineStr">
        <is>
          <t>ESTRADA 2198</t>
        </is>
      </c>
      <c r="B225" s="156" t="n"/>
      <c r="C225" s="156" t="n"/>
    </row>
    <row r="226" ht="15.75" customHeight="1" s="153">
      <c r="A226" s="287" t="inlineStr">
        <is>
          <t>EUROPA 6851</t>
        </is>
      </c>
      <c r="B226" s="156" t="n"/>
      <c r="C226" s="156" t="n"/>
    </row>
    <row r="227" ht="15.75" customHeight="1" s="153">
      <c r="A227" s="285" t="inlineStr">
        <is>
          <t>EUROPA 7251</t>
        </is>
      </c>
      <c r="B227" s="156" t="n"/>
      <c r="C227" s="156" t="n"/>
    </row>
    <row r="228" ht="15.75" customHeight="1" s="153">
      <c r="A228" s="287" t="inlineStr">
        <is>
          <t>EUROPA 8762</t>
        </is>
      </c>
      <c r="B228" s="156" t="n"/>
      <c r="C228" s="156" t="n"/>
    </row>
    <row r="229" ht="15.75" customHeight="1" s="153">
      <c r="A229" s="285" t="inlineStr">
        <is>
          <t>EUROPA 9186</t>
        </is>
      </c>
      <c r="B229" s="156" t="n"/>
      <c r="C229" s="156" t="n"/>
    </row>
    <row r="230" ht="15.75" customHeight="1" s="153">
      <c r="A230" s="287" t="inlineStr">
        <is>
          <t>EUROPA 9396</t>
        </is>
      </c>
      <c r="B230" s="156" t="n"/>
      <c r="C230" s="156" t="n"/>
    </row>
    <row r="231" ht="15.75" customHeight="1" s="153">
      <c r="A231" s="285" t="inlineStr">
        <is>
          <t>EX COMBATIENTE 5550</t>
        </is>
      </c>
      <c r="B231" s="156" t="n"/>
      <c r="C231" s="156" t="n"/>
    </row>
    <row r="232" ht="15.75" customHeight="1" s="153">
      <c r="A232" s="287" t="inlineStr">
        <is>
          <t>EX COMBATIENTES 5220</t>
        </is>
      </c>
      <c r="B232" s="156" t="n"/>
      <c r="C232" s="156" t="n"/>
    </row>
    <row r="233" ht="15.75" customHeight="1" s="153">
      <c r="A233" s="285" t="inlineStr">
        <is>
          <t>EX COMBATIENTES 5433</t>
        </is>
      </c>
      <c r="B233" s="156" t="n"/>
      <c r="C233" s="156" t="n"/>
    </row>
    <row r="234" ht="15.75" customHeight="1" s="153">
      <c r="A234" s="287" t="inlineStr">
        <is>
          <t>EX COMBATIENTES 5520</t>
        </is>
      </c>
      <c r="B234" s="156" t="n"/>
      <c r="C234" s="156" t="n"/>
    </row>
    <row r="235" ht="15.75" customHeight="1" s="153">
      <c r="A235" s="285" t="inlineStr">
        <is>
          <t>EX COMBATIENTES 5583</t>
        </is>
      </c>
      <c r="B235" s="156" t="n"/>
      <c r="C235" s="156" t="n"/>
    </row>
    <row r="236" ht="15.75" customHeight="1" s="153">
      <c r="A236" s="287" t="inlineStr">
        <is>
          <t>EX COMBATIENTES 6532</t>
        </is>
      </c>
      <c r="B236" s="156" t="n"/>
      <c r="C236" s="156" t="n"/>
    </row>
    <row r="237" ht="15.75" customHeight="1" s="153">
      <c r="A237" s="285" t="inlineStr">
        <is>
          <t>EXE</t>
        </is>
      </c>
      <c r="B237" s="156" t="n"/>
      <c r="C237" s="156" t="n"/>
    </row>
    <row r="238" ht="15.75" customHeight="1" s="153">
      <c r="A238" s="287" t="inlineStr">
        <is>
          <t>F FERNANDEZ Y VIÑAS</t>
        </is>
      </c>
      <c r="B238" s="156" t="n"/>
      <c r="C238" s="156" t="n"/>
    </row>
    <row r="239" ht="15.75" customHeight="1" s="153">
      <c r="A239" s="285" t="inlineStr">
        <is>
          <t>F ZUVIRIA 7757</t>
        </is>
      </c>
      <c r="B239" s="156" t="n"/>
      <c r="C239" s="156" t="n"/>
    </row>
    <row r="240" ht="15.75" customHeight="1" s="153">
      <c r="A240" s="287" t="inlineStr">
        <is>
          <t>F5 GABOTO</t>
        </is>
      </c>
      <c r="B240" s="156" t="n"/>
      <c r="C240" s="156" t="n"/>
    </row>
    <row r="241" ht="15.75" customHeight="1" s="153">
      <c r="A241" s="285" t="inlineStr">
        <is>
          <t>FABIAN</t>
        </is>
      </c>
      <c r="B241" s="156" t="n"/>
      <c r="C241" s="156" t="n"/>
    </row>
    <row r="242" ht="15.75" customHeight="1" s="153">
      <c r="A242" s="287" t="inlineStr">
        <is>
          <t>FABIAN ALADO VIA NORTE</t>
        </is>
      </c>
      <c r="B242" s="156" t="n"/>
      <c r="C242" s="156" t="n"/>
    </row>
    <row r="243" ht="15.75" customHeight="1" s="153">
      <c r="A243" s="285" t="inlineStr">
        <is>
          <t>FABIAN BLAS PARERA</t>
        </is>
      </c>
      <c r="B243" s="156" t="n"/>
      <c r="C243" s="156" t="n"/>
    </row>
    <row r="244" ht="15.75" customHeight="1" s="153">
      <c r="A244" s="287" t="inlineStr">
        <is>
          <t>FABIAN LUBRICENTRO</t>
        </is>
      </c>
      <c r="B244" s="156" t="n"/>
      <c r="C244" s="156" t="n"/>
    </row>
    <row r="245" ht="15.75" customHeight="1" s="153">
      <c r="A245" s="285" t="inlineStr">
        <is>
          <t>FABIO PARISI</t>
        </is>
      </c>
      <c r="B245" s="156" t="n"/>
      <c r="C245" s="156" t="n"/>
    </row>
    <row r="246" ht="15.75" customHeight="1" s="153">
      <c r="A246" s="287" t="inlineStr">
        <is>
          <t>FACU DONA</t>
        </is>
      </c>
      <c r="B246" s="156" t="n"/>
      <c r="C246" s="156" t="n"/>
    </row>
    <row r="247" ht="15.75" customHeight="1" s="153">
      <c r="A247" s="285" t="inlineStr">
        <is>
          <t>FACUNDO ZUVIRIA 10235</t>
        </is>
      </c>
      <c r="B247" s="156" t="n"/>
      <c r="C247" s="156" t="n"/>
    </row>
    <row r="248" ht="15.75" customHeight="1" s="153">
      <c r="A248" s="287" t="inlineStr">
        <is>
          <t>FILOMEN A</t>
        </is>
      </c>
      <c r="B248" s="156" t="n"/>
      <c r="C248" s="156" t="n"/>
    </row>
    <row r="249" ht="15.75" customHeight="1" s="153">
      <c r="A249" s="285" t="inlineStr">
        <is>
          <t>FILOMENA</t>
        </is>
      </c>
      <c r="B249" s="156" t="n"/>
      <c r="C249" s="156" t="n"/>
    </row>
    <row r="250" ht="15.75" customHeight="1" s="153">
      <c r="A250" s="287" t="inlineStr">
        <is>
          <t>FLORENCIO FERNANDEZ 6033</t>
        </is>
      </c>
      <c r="B250" s="156" t="n"/>
      <c r="C250" s="156" t="n"/>
    </row>
    <row r="251" ht="15.75" customHeight="1" s="153">
      <c r="A251" s="285" t="inlineStr">
        <is>
          <t>FLORENCIO SANCHEZ 4699</t>
        </is>
      </c>
      <c r="B251" s="156" t="n"/>
      <c r="C251" s="156" t="n"/>
    </row>
    <row r="252" ht="15.75" customHeight="1" s="153">
      <c r="A252" s="287" t="inlineStr">
        <is>
          <t>FLORES 1 MON 5 ADENTRO</t>
        </is>
      </c>
      <c r="B252" s="156" t="n"/>
      <c r="C252" s="156" t="n"/>
    </row>
    <row r="253" ht="15.75" customHeight="1" s="153">
      <c r="A253" s="285" t="inlineStr">
        <is>
          <t>FLORES 2 CAS A75</t>
        </is>
      </c>
      <c r="B253" s="156" t="n"/>
      <c r="C253" s="156" t="n"/>
    </row>
    <row r="254" ht="15.75" customHeight="1" s="153">
      <c r="A254" s="287" t="inlineStr">
        <is>
          <t>FLORES 2 TORRE 8</t>
        </is>
      </c>
      <c r="B254" s="156" t="n"/>
      <c r="C254" s="156" t="n"/>
    </row>
    <row r="255" ht="15.75" customHeight="1" s="153">
      <c r="A255" s="285" t="inlineStr">
        <is>
          <t>FLORES 22 CASA 75</t>
        </is>
      </c>
      <c r="B255" s="156" t="n"/>
      <c r="C255" s="156" t="n"/>
    </row>
    <row r="256" ht="15.75" customHeight="1" s="153">
      <c r="A256" s="287" t="inlineStr">
        <is>
          <t>FORMOSA 6058</t>
        </is>
      </c>
      <c r="B256" s="156" t="n"/>
      <c r="C256" s="156" t="n"/>
    </row>
    <row r="257" ht="15.75" customHeight="1" s="153">
      <c r="A257" s="285" t="inlineStr">
        <is>
          <t>FORMOSOA 6058</t>
        </is>
      </c>
      <c r="B257" s="156" t="n"/>
      <c r="C257" s="156" t="n"/>
    </row>
    <row r="258" ht="15.75" customHeight="1" s="153">
      <c r="A258" s="287" t="inlineStr">
        <is>
          <t>FRANCAI 2247</t>
        </is>
      </c>
      <c r="B258" s="156" t="n"/>
      <c r="C258" s="156" t="n"/>
    </row>
    <row r="259" ht="15.75" customHeight="1" s="153">
      <c r="A259" s="285" t="inlineStr">
        <is>
          <t>FRANCIA 1047</t>
        </is>
      </c>
      <c r="B259" s="156" t="n"/>
      <c r="C259" s="156" t="n"/>
    </row>
    <row r="260" ht="15.75" customHeight="1" s="153">
      <c r="A260" s="287" t="inlineStr">
        <is>
          <t>FRANCIA 1872</t>
        </is>
      </c>
      <c r="B260" s="156" t="n"/>
      <c r="C260" s="156" t="n"/>
    </row>
    <row r="261" ht="15.75" customHeight="1" s="153">
      <c r="A261" s="285" t="inlineStr">
        <is>
          <t>FRANCIA 2247</t>
        </is>
      </c>
      <c r="B261" s="156" t="n"/>
      <c r="C261" s="156" t="n"/>
    </row>
    <row r="262" ht="15.75" customHeight="1" s="153">
      <c r="A262" s="287" t="inlineStr">
        <is>
          <t>FRANCIA 9250</t>
        </is>
      </c>
      <c r="B262" s="156" t="n"/>
      <c r="C262" s="156" t="n"/>
    </row>
    <row r="263" ht="15.75" customHeight="1" s="153">
      <c r="A263" s="285" t="inlineStr">
        <is>
          <t>FRATERNIDAD</t>
        </is>
      </c>
      <c r="B263" s="156" t="n"/>
      <c r="C263" s="156" t="n"/>
    </row>
    <row r="264" ht="15.75" customHeight="1" s="153">
      <c r="A264" s="287" t="inlineStr">
        <is>
          <t>FRATERNIDAD GUANELLA</t>
        </is>
      </c>
      <c r="B264" s="156" t="n"/>
      <c r="C264" s="156" t="n"/>
    </row>
    <row r="265" ht="15.75" customHeight="1" s="153">
      <c r="A265" s="285" t="inlineStr">
        <is>
          <t>FRATERNINDAD GUANELIANA</t>
        </is>
      </c>
      <c r="B265" s="156" t="n"/>
      <c r="C265" s="156" t="n"/>
    </row>
    <row r="266" ht="15.75" customHeight="1" s="153">
      <c r="A266" s="287" t="inlineStr">
        <is>
          <t>FRAY CAYETANO 3813</t>
        </is>
      </c>
      <c r="B266" s="156" t="n"/>
      <c r="C266" s="156" t="n"/>
    </row>
    <row r="267" ht="15.75" customHeight="1" s="153">
      <c r="A267" s="285" t="inlineStr">
        <is>
          <t>FRAY CAYETANO 3823</t>
        </is>
      </c>
      <c r="B267" s="156" t="n"/>
      <c r="C267" s="156" t="n"/>
    </row>
    <row r="268" ht="15.75" customHeight="1" s="153">
      <c r="A268" s="287" t="inlineStr">
        <is>
          <t>FRAY CAYETANO 3920</t>
        </is>
      </c>
      <c r="B268" s="156" t="n"/>
      <c r="C268" s="156" t="n"/>
    </row>
    <row r="269" ht="15.75" customHeight="1" s="153">
      <c r="A269" s="285" t="inlineStr">
        <is>
          <t>FREIRE 6181</t>
        </is>
      </c>
      <c r="B269" s="156" t="n"/>
      <c r="C269" s="156" t="n"/>
    </row>
    <row r="270" ht="15.75" customHeight="1" s="153">
      <c r="A270" s="287" t="inlineStr">
        <is>
          <t>FRENCH 2382</t>
        </is>
      </c>
      <c r="B270" s="156" t="n"/>
      <c r="C270" s="156" t="n"/>
    </row>
    <row r="271" ht="15.75" customHeight="1" s="153">
      <c r="A271" s="285" t="inlineStr">
        <is>
          <t>FRENCH BIS 2000 GONZA TORRI</t>
        </is>
      </c>
      <c r="B271" s="156" t="n"/>
      <c r="C271" s="156" t="n"/>
    </row>
    <row r="272" ht="15.75" customHeight="1" s="153">
      <c r="A272" s="287" t="inlineStr">
        <is>
          <t>FRESNO DE LOPEZ 8120</t>
        </is>
      </c>
      <c r="B272" s="156" t="n"/>
      <c r="C272" s="156" t="n"/>
    </row>
    <row r="273" ht="15.75" customHeight="1" s="153">
      <c r="A273" s="285" t="inlineStr">
        <is>
          <t>GABOTO 7102</t>
        </is>
      </c>
      <c r="B273" s="156" t="n"/>
      <c r="C273" s="156" t="n"/>
    </row>
    <row r="274" ht="15.75" customHeight="1" s="153">
      <c r="A274" s="287" t="inlineStr">
        <is>
          <t>GABOTO 7298</t>
        </is>
      </c>
      <c r="B274" s="156" t="n"/>
      <c r="C274" s="156" t="n"/>
    </row>
    <row r="275" ht="15.75" customHeight="1" s="153">
      <c r="A275" s="285" t="inlineStr">
        <is>
          <t>GABOTO 7320</t>
        </is>
      </c>
      <c r="B275" s="156" t="n"/>
      <c r="C275" s="156" t="n"/>
    </row>
    <row r="276" ht="15.75" customHeight="1" s="153">
      <c r="A276" s="287" t="inlineStr">
        <is>
          <t>GABOTO 7445</t>
        </is>
      </c>
      <c r="B276" s="156" t="n"/>
      <c r="C276" s="156" t="n"/>
    </row>
    <row r="277" ht="15.75" customHeight="1" s="153">
      <c r="A277" s="285" t="inlineStr">
        <is>
          <t>GABOTO 7484</t>
        </is>
      </c>
      <c r="B277" s="156" t="n"/>
      <c r="C277" s="156" t="n"/>
    </row>
    <row r="278" ht="15.75" customHeight="1" s="153">
      <c r="A278" s="287" t="inlineStr">
        <is>
          <t>GABOTO 8168</t>
        </is>
      </c>
      <c r="B278" s="156" t="n"/>
      <c r="C278" s="156" t="n"/>
    </row>
    <row r="279" ht="15.75" customHeight="1" s="153">
      <c r="A279" s="285" t="inlineStr">
        <is>
          <t>GARMENDIA 9249</t>
        </is>
      </c>
      <c r="B279" s="156" t="n"/>
      <c r="C279" s="156" t="n"/>
    </row>
    <row r="280" ht="15.75" customHeight="1" s="153">
      <c r="A280" s="287" t="inlineStr">
        <is>
          <t>GARMENDIA 9250</t>
        </is>
      </c>
      <c r="B280" s="156" t="n"/>
      <c r="C280" s="156" t="n"/>
    </row>
    <row r="281" ht="15.75" customHeight="1" s="153">
      <c r="A281" s="285" t="inlineStr">
        <is>
          <t>GASTON AMARAL</t>
        </is>
      </c>
      <c r="B281" s="156" t="n"/>
      <c r="C281" s="156" t="n"/>
    </row>
    <row r="282" ht="15.75" customHeight="1" s="153">
      <c r="A282" s="287" t="inlineStr">
        <is>
          <t>GDOR FREIRE 1047</t>
        </is>
      </c>
      <c r="B282" s="156" t="n"/>
      <c r="C282" s="156" t="n"/>
    </row>
    <row r="283" ht="15.75" customHeight="1" s="153">
      <c r="A283" s="285" t="inlineStr">
        <is>
          <t>GDOR FREIRE 1055</t>
        </is>
      </c>
      <c r="B283" s="156" t="n"/>
      <c r="C283" s="156" t="n"/>
    </row>
    <row r="284" ht="15.75" customHeight="1" s="153">
      <c r="A284" s="287" t="inlineStr">
        <is>
          <t>GDOR FREIRE 6445</t>
        </is>
      </c>
      <c r="B284" s="156" t="n"/>
      <c r="C284" s="156" t="n"/>
    </row>
    <row r="285" ht="15.75" customHeight="1" s="153">
      <c r="A285" s="285" t="inlineStr">
        <is>
          <t>GENEIRO 8164</t>
        </is>
      </c>
      <c r="B285" s="156" t="n"/>
      <c r="C285" s="156" t="n"/>
    </row>
    <row r="286" ht="15.75" customHeight="1" s="153">
      <c r="A286" s="287" t="inlineStr">
        <is>
          <t>GENEIRO 8200</t>
        </is>
      </c>
      <c r="B286" s="156" t="n"/>
      <c r="C286" s="156" t="n"/>
    </row>
    <row r="287" ht="15.75" customHeight="1" s="153">
      <c r="A287" s="285" t="inlineStr">
        <is>
          <t>GENEIRO 8200 CASA 2</t>
        </is>
      </c>
      <c r="B287" s="156" t="n"/>
      <c r="C287" s="156" t="n"/>
    </row>
    <row r="288" ht="15.75" customHeight="1" s="153">
      <c r="A288" s="287" t="inlineStr">
        <is>
          <t>GENEIRO 8249</t>
        </is>
      </c>
      <c r="B288" s="156" t="n"/>
      <c r="C288" s="156" t="n"/>
    </row>
    <row r="289" ht="15.75" customHeight="1" s="153">
      <c r="A289" s="285" t="inlineStr">
        <is>
          <t>GENEIRO 8264</t>
        </is>
      </c>
      <c r="B289" s="156" t="n"/>
      <c r="C289" s="156" t="n"/>
    </row>
    <row r="290" ht="15.75" customHeight="1" s="153">
      <c r="A290" s="287" t="inlineStr">
        <is>
          <t>GENERAL PAZ 6050</t>
        </is>
      </c>
      <c r="B290" s="156" t="n"/>
      <c r="C290" s="156" t="n"/>
    </row>
    <row r="291" ht="15.75" customHeight="1" s="153">
      <c r="A291" s="285" t="inlineStr">
        <is>
          <t>GENERAL PAZ 7826</t>
        </is>
      </c>
      <c r="B291" s="156" t="n"/>
      <c r="C291" s="156" t="n"/>
    </row>
    <row r="292" ht="15.75" customHeight="1" s="153">
      <c r="A292" s="287" t="inlineStr">
        <is>
          <t>GENERAL PAZ 7989</t>
        </is>
      </c>
      <c r="B292" s="156" t="n"/>
      <c r="C292" s="156" t="n"/>
    </row>
    <row r="293" ht="15.75" customHeight="1" s="153">
      <c r="A293" s="285" t="inlineStr">
        <is>
          <t>GISE</t>
        </is>
      </c>
      <c r="B293" s="156" t="n"/>
      <c r="C293" s="156" t="n"/>
    </row>
    <row r="294" ht="15.75" customHeight="1" s="153">
      <c r="A294" s="287" t="inlineStr">
        <is>
          <t>GISE PANA</t>
        </is>
      </c>
      <c r="B294" s="156" t="n"/>
      <c r="C294" s="156" t="n"/>
    </row>
    <row r="295" ht="15.75" customHeight="1" s="153">
      <c r="A295" s="285" t="inlineStr">
        <is>
          <t>GOLD BURGUER</t>
        </is>
      </c>
      <c r="B295" s="156" t="n"/>
      <c r="C295" s="156" t="n"/>
    </row>
    <row r="296" ht="15.75" customHeight="1" s="153">
      <c r="A296" s="287" t="inlineStr">
        <is>
          <t>GOLD COSTA ESTE</t>
        </is>
      </c>
      <c r="B296" s="156" t="n"/>
      <c r="C296" s="156" t="n"/>
    </row>
    <row r="297" ht="15.75" customHeight="1" s="153">
      <c r="A297" s="285" t="inlineStr">
        <is>
          <t>GOLRD BURGER</t>
        </is>
      </c>
      <c r="B297" s="156" t="n"/>
      <c r="C297" s="156" t="n"/>
    </row>
    <row r="298" ht="15.75" customHeight="1" s="153">
      <c r="A298" s="287" t="inlineStr">
        <is>
          <t>GOROSTIAGA 4619</t>
        </is>
      </c>
      <c r="B298" s="156" t="n"/>
      <c r="C298" s="156" t="n"/>
    </row>
    <row r="299" ht="15.75" customHeight="1" s="153">
      <c r="A299" s="285" t="inlineStr">
        <is>
          <t>GOROSTIAGA 4659</t>
        </is>
      </c>
      <c r="B299" s="156" t="n"/>
      <c r="C299" s="156" t="n"/>
    </row>
    <row r="300" ht="15.75" customHeight="1" s="153">
      <c r="A300" s="287" t="inlineStr">
        <is>
          <t>GORRIT 6638</t>
        </is>
      </c>
      <c r="B300" s="156" t="n"/>
      <c r="C300" s="156" t="n"/>
    </row>
    <row r="301" ht="15.75" customHeight="1" s="153">
      <c r="A301" s="285" t="inlineStr">
        <is>
          <t>GORRITI 1418</t>
        </is>
      </c>
      <c r="B301" s="156" t="n"/>
      <c r="C301" s="156" t="n"/>
    </row>
    <row r="302" ht="15.75" customHeight="1" s="153">
      <c r="A302" s="287" t="inlineStr">
        <is>
          <t>GORRITI 1971</t>
        </is>
      </c>
      <c r="B302" s="156" t="n"/>
      <c r="C302" s="156" t="n"/>
    </row>
    <row r="303" ht="15.75" customHeight="1" s="153">
      <c r="A303" s="285" t="inlineStr">
        <is>
          <t>GORRITI 4331</t>
        </is>
      </c>
      <c r="B303" s="156" t="n"/>
      <c r="C303" s="156" t="n"/>
    </row>
    <row r="304" ht="15.75" customHeight="1" s="153">
      <c r="A304" s="287" t="inlineStr">
        <is>
          <t>GORRITI 4600</t>
        </is>
      </c>
      <c r="B304" s="156" t="n"/>
      <c r="C304" s="156" t="n"/>
    </row>
    <row r="305" ht="15.75" customHeight="1" s="153">
      <c r="A305" s="285" t="inlineStr">
        <is>
          <t>GORRITI 4661</t>
        </is>
      </c>
      <c r="B305" s="156" t="n"/>
      <c r="C305" s="156" t="n"/>
    </row>
    <row r="306" ht="15.75" customHeight="1" s="153">
      <c r="A306" s="287" t="inlineStr">
        <is>
          <t>GORRITI 5019</t>
        </is>
      </c>
      <c r="B306" s="156" t="n"/>
      <c r="C306" s="156" t="n"/>
    </row>
    <row r="307" ht="15.75" customHeight="1" s="153">
      <c r="A307" s="285" t="inlineStr">
        <is>
          <t>GORRITI 5376</t>
        </is>
      </c>
      <c r="B307" s="156" t="n"/>
      <c r="C307" s="156" t="n"/>
    </row>
    <row r="308" ht="15.75" customHeight="1" s="153">
      <c r="A308" s="287" t="inlineStr">
        <is>
          <t>GORRITI 6512</t>
        </is>
      </c>
      <c r="B308" s="156" t="n"/>
      <c r="C308" s="156" t="n"/>
    </row>
    <row r="309" ht="15.75" customHeight="1" s="153">
      <c r="A309" s="285" t="inlineStr">
        <is>
          <t>GORRITI 6742</t>
        </is>
      </c>
      <c r="B309" s="156" t="n"/>
      <c r="C309" s="156" t="n"/>
    </row>
    <row r="310" ht="15.75" customHeight="1" s="153">
      <c r="A310" s="287" t="inlineStr">
        <is>
          <t>GRAL PAZ 7826</t>
        </is>
      </c>
      <c r="B310" s="156" t="n"/>
      <c r="C310" s="156" t="n"/>
    </row>
    <row r="311" ht="15.75" customHeight="1" s="153">
      <c r="A311" s="285" t="inlineStr">
        <is>
          <t>GRAL PAZ 7989</t>
        </is>
      </c>
      <c r="B311" s="156" t="n"/>
      <c r="C311" s="156" t="n"/>
    </row>
    <row r="312" ht="15.75" customHeight="1" s="153">
      <c r="A312" s="287" t="inlineStr">
        <is>
          <t>GRINGO ILGATO</t>
        </is>
      </c>
      <c r="B312" s="156" t="n"/>
      <c r="C312" s="156" t="n"/>
    </row>
    <row r="313" ht="15.75" customHeight="1" s="153">
      <c r="A313" s="285" t="inlineStr">
        <is>
          <t>GUANELA 4543</t>
        </is>
      </c>
      <c r="B313" s="156" t="n"/>
      <c r="C313" s="156" t="n"/>
    </row>
    <row r="314" ht="15.75" customHeight="1" s="153">
      <c r="A314" s="287" t="inlineStr">
        <is>
          <t>GUANELLA 4543</t>
        </is>
      </c>
      <c r="B314" s="156" t="n"/>
      <c r="C314" s="156" t="n"/>
    </row>
    <row r="315" ht="15.75" customHeight="1" s="153">
      <c r="A315" s="285" t="inlineStr">
        <is>
          <t>GUEMES 4421</t>
        </is>
      </c>
      <c r="B315" s="156" t="n"/>
      <c r="C315" s="156" t="n"/>
    </row>
    <row r="316" ht="15.75" customHeight="1" s="153">
      <c r="A316" s="287" t="inlineStr">
        <is>
          <t>HERNANDARIAS 5150</t>
        </is>
      </c>
      <c r="B316" s="156" t="n"/>
      <c r="C316" s="156" t="n"/>
    </row>
    <row r="317" ht="15.75" customHeight="1" s="153">
      <c r="A317" s="285" t="inlineStr">
        <is>
          <t>HERNANDARIAS 5211</t>
        </is>
      </c>
      <c r="B317" s="156" t="n"/>
      <c r="C317" s="156" t="n"/>
    </row>
    <row r="318" ht="15.75" customHeight="1" s="153">
      <c r="A318" s="287" t="inlineStr">
        <is>
          <t>HERNANDARIAS 5356</t>
        </is>
      </c>
      <c r="B318" s="156" t="n"/>
      <c r="C318" s="156" t="n"/>
    </row>
    <row r="319" ht="15.75" customHeight="1" s="153">
      <c r="A319" s="285" t="inlineStr">
        <is>
          <t>HNO OTNIEL</t>
        </is>
      </c>
      <c r="B319" s="156" t="n"/>
      <c r="C319" s="156" t="n"/>
    </row>
    <row r="320" ht="15.75" customHeight="1" s="153">
      <c r="A320" s="287" t="inlineStr">
        <is>
          <t>HOTEL ROYAL</t>
        </is>
      </c>
      <c r="B320" s="156" t="n"/>
      <c r="C320" s="156" t="n"/>
    </row>
    <row r="321" ht="15.75" customHeight="1" s="153">
      <c r="A321" s="285" t="inlineStr">
        <is>
          <t>HUERGO 1868</t>
        </is>
      </c>
      <c r="B321" s="156" t="n"/>
      <c r="C321" s="156" t="n"/>
    </row>
    <row r="322" ht="15.75" customHeight="1" s="153">
      <c r="A322" s="287" t="inlineStr">
        <is>
          <t>HUERGO 2487</t>
        </is>
      </c>
      <c r="B322" s="156" t="n"/>
      <c r="C322" s="156" t="n"/>
    </row>
    <row r="323" ht="15.75" customHeight="1" s="153">
      <c r="A323" s="285" t="inlineStr">
        <is>
          <t>HUERGO 4365</t>
        </is>
      </c>
      <c r="B323" s="156" t="n"/>
      <c r="C323" s="156" t="n"/>
    </row>
    <row r="324" ht="15.75" customHeight="1" s="153">
      <c r="A324" s="287" t="inlineStr">
        <is>
          <t>I CRESPO 7337</t>
        </is>
      </c>
      <c r="B324" s="156" t="n"/>
      <c r="C324" s="156" t="n"/>
    </row>
    <row r="325" ht="15.75" customHeight="1" s="153">
      <c r="A325" s="285" t="inlineStr">
        <is>
          <t>I CRESPO 8180</t>
        </is>
      </c>
      <c r="B325" s="156" t="n"/>
      <c r="C325" s="156" t="n"/>
    </row>
    <row r="326" ht="15.75" customHeight="1" s="153">
      <c r="A326" s="287" t="inlineStr">
        <is>
          <t>IGUALDAD</t>
        </is>
      </c>
      <c r="B326" s="156" t="n"/>
      <c r="C326" s="156" t="n"/>
    </row>
    <row r="327" ht="15.75" customHeight="1" s="153">
      <c r="A327" s="285" t="inlineStr">
        <is>
          <t>IL GATO PEPE</t>
        </is>
      </c>
      <c r="B327" s="156" t="n"/>
      <c r="C327" s="156" t="n"/>
    </row>
    <row r="328" ht="15.75" customHeight="1" s="153">
      <c r="A328" s="287" t="inlineStr">
        <is>
          <t>ILGATO</t>
        </is>
      </c>
      <c r="B328" s="156" t="n"/>
      <c r="C328" s="156" t="n"/>
    </row>
    <row r="329" ht="15.75" customHeight="1" s="153">
      <c r="A329" s="285" t="inlineStr">
        <is>
          <t>ILGATO NEGRO CASA</t>
        </is>
      </c>
      <c r="B329" s="156" t="n"/>
      <c r="C329" s="156" t="n"/>
    </row>
    <row r="330" ht="15.75" customHeight="1" s="153">
      <c r="A330" s="287" t="inlineStr">
        <is>
          <t>INGENIERO 6866</t>
        </is>
      </c>
      <c r="B330" s="156" t="n"/>
      <c r="C330" s="156" t="n"/>
    </row>
    <row r="331" ht="15.75" customHeight="1" s="153">
      <c r="A331" s="285" t="inlineStr">
        <is>
          <t>INGENIERO 8364</t>
        </is>
      </c>
      <c r="B331" s="156" t="n"/>
      <c r="C331" s="156" t="n"/>
    </row>
    <row r="332" ht="15.75" customHeight="1" s="153">
      <c r="A332" s="287" t="inlineStr">
        <is>
          <t>INGENIEROS 5501</t>
        </is>
      </c>
      <c r="B332" s="156" t="n"/>
      <c r="C332" s="156" t="n"/>
    </row>
    <row r="333" ht="15.75" customHeight="1" s="153">
      <c r="A333" s="285" t="inlineStr">
        <is>
          <t>INGENIEROS 5511</t>
        </is>
      </c>
      <c r="B333" s="156" t="n"/>
      <c r="C333" s="156" t="n"/>
    </row>
    <row r="334" ht="15.75" customHeight="1" s="153">
      <c r="A334" s="287" t="inlineStr">
        <is>
          <t>IRALA 2865</t>
        </is>
      </c>
      <c r="B334" s="156" t="n"/>
      <c r="C334" s="156" t="n"/>
    </row>
    <row r="335" ht="15.75" customHeight="1" s="153">
      <c r="A335" s="285" t="inlineStr">
        <is>
          <t>IRMA</t>
        </is>
      </c>
      <c r="B335" s="156" t="n"/>
      <c r="C335" s="156" t="n"/>
    </row>
    <row r="336" ht="15.75" customHeight="1" s="153">
      <c r="A336" s="287" t="inlineStr">
        <is>
          <t>IRMA INGENIEROS 5501</t>
        </is>
      </c>
      <c r="B336" s="156" t="n"/>
      <c r="C336" s="156" t="n"/>
    </row>
    <row r="337" ht="15.75" customHeight="1" s="153">
      <c r="A337" s="285" t="inlineStr">
        <is>
          <t>J CAMPILLO 1637</t>
        </is>
      </c>
      <c r="B337" s="156" t="n"/>
      <c r="C337" s="156" t="n"/>
    </row>
    <row r="338" ht="15.75" customHeight="1" s="153">
      <c r="A338" s="287" t="inlineStr">
        <is>
          <t>J CAMPILLO 3481</t>
        </is>
      </c>
      <c r="B338" s="156" t="n"/>
      <c r="C338" s="156" t="n"/>
    </row>
    <row r="339" ht="15.75" customHeight="1" s="153">
      <c r="A339" s="285" t="inlineStr">
        <is>
          <t>J CIBILS 2519</t>
        </is>
      </c>
      <c r="B339" s="156" t="n"/>
      <c r="C339" s="156" t="n"/>
    </row>
    <row r="340" ht="15.75" customHeight="1" s="153">
      <c r="A340" s="287" t="inlineStr">
        <is>
          <t>J D SOLIS 10529</t>
        </is>
      </c>
      <c r="B340" s="156" t="n"/>
      <c r="C340" s="156" t="n"/>
    </row>
    <row r="341" ht="15.75" customHeight="1" s="153">
      <c r="A341" s="285" t="inlineStr">
        <is>
          <t>J DE LA ROSA 459</t>
        </is>
      </c>
      <c r="B341" s="156" t="n"/>
      <c r="C341" s="156" t="n"/>
    </row>
    <row r="342" ht="15.75" customHeight="1" s="153">
      <c r="A342" s="287" t="inlineStr">
        <is>
          <t>J P LOPEZ 1875</t>
        </is>
      </c>
      <c r="B342" s="156" t="n"/>
      <c r="C342" s="156" t="n"/>
    </row>
    <row r="343" ht="15.75" customHeight="1" s="153">
      <c r="A343" s="285" t="inlineStr">
        <is>
          <t>JAURETCHE 10100</t>
        </is>
      </c>
      <c r="B343" s="156" t="n"/>
      <c r="C343" s="156" t="n"/>
    </row>
    <row r="344" ht="15.75" customHeight="1" s="153">
      <c r="A344" s="287" t="inlineStr">
        <is>
          <t>JAVIER DE LA ROSA 2480</t>
        </is>
      </c>
      <c r="B344" s="156" t="n"/>
      <c r="C344" s="156" t="n"/>
    </row>
    <row r="345" ht="15.75" customHeight="1" s="153">
      <c r="A345" s="285" t="inlineStr">
        <is>
          <t>JAVIER DE LA ROSA 459</t>
        </is>
      </c>
      <c r="B345" s="156" t="n"/>
      <c r="C345" s="156" t="n"/>
    </row>
    <row r="346" ht="15.75" customHeight="1" s="153">
      <c r="A346" s="287" t="inlineStr">
        <is>
          <t>JAVIER DE LA ROSA 5767</t>
        </is>
      </c>
      <c r="B346" s="156" t="n"/>
      <c r="C346" s="156" t="n"/>
    </row>
    <row r="347" ht="15.75" customHeight="1" s="153">
      <c r="A347" s="285" t="inlineStr">
        <is>
          <t>JEMA BURGUER</t>
        </is>
      </c>
      <c r="B347" s="156" t="n"/>
      <c r="C347" s="156" t="n"/>
    </row>
    <row r="348" ht="15.75" customHeight="1" s="153">
      <c r="A348" s="287" t="inlineStr">
        <is>
          <t>JJ VALLE 5511</t>
        </is>
      </c>
      <c r="B348" s="156" t="n"/>
      <c r="C348" s="156" t="n"/>
    </row>
    <row r="349" ht="15.75" customHeight="1" s="153">
      <c r="A349" s="285" t="inlineStr">
        <is>
          <t>JM ZUVIRIA 2143</t>
        </is>
      </c>
      <c r="B349" s="156" t="n"/>
      <c r="C349" s="156" t="n"/>
    </row>
    <row r="350" ht="15.75" customHeight="1" s="153">
      <c r="A350" s="287" t="inlineStr">
        <is>
          <t>JM ZUVIRIA 3439</t>
        </is>
      </c>
      <c r="B350" s="156" t="n"/>
      <c r="C350" s="156" t="n"/>
    </row>
    <row r="351" ht="15.75" customHeight="1" s="153">
      <c r="A351" s="285" t="inlineStr">
        <is>
          <t>JORGE VIANDA</t>
        </is>
      </c>
      <c r="B351" s="156" t="n"/>
      <c r="C351" s="156" t="n"/>
    </row>
    <row r="352" ht="15.75" customHeight="1" s="153">
      <c r="A352" s="287" t="inlineStr">
        <is>
          <t>JORGE VIANDAS</t>
        </is>
      </c>
      <c r="B352" s="156" t="n"/>
      <c r="C352" s="156" t="n"/>
    </row>
    <row r="353" ht="15.75" customHeight="1" s="153">
      <c r="A353" s="285" t="inlineStr">
        <is>
          <t>JOSE CIBILS</t>
        </is>
      </c>
      <c r="B353" s="156" t="n"/>
      <c r="C353" s="156" t="n"/>
    </row>
    <row r="354" ht="15.75" customHeight="1" s="153">
      <c r="A354" s="287" t="inlineStr">
        <is>
          <t>JOSE CIBILS 2467</t>
        </is>
      </c>
      <c r="B354" s="156" t="n"/>
      <c r="C354" s="156" t="n"/>
    </row>
    <row r="355" ht="15.75" customHeight="1" s="153">
      <c r="A355" s="285" t="inlineStr">
        <is>
          <t>JOSE MONTEVERA</t>
        </is>
      </c>
      <c r="B355" s="156" t="n"/>
      <c r="C355" s="156" t="n"/>
    </row>
    <row r="356" ht="15.75" customHeight="1" s="153">
      <c r="A356" s="287" t="inlineStr">
        <is>
          <t>JP LOPE 2580</t>
        </is>
      </c>
      <c r="B356" s="156" t="n"/>
      <c r="C356" s="156" t="n"/>
    </row>
    <row r="357" ht="15.75" customHeight="1" s="153">
      <c r="A357" s="285" t="inlineStr">
        <is>
          <t>JP LOPEZ 2045</t>
        </is>
      </c>
      <c r="B357" s="156" t="n"/>
      <c r="C357" s="156" t="n"/>
    </row>
    <row r="358" ht="15.75" customHeight="1" s="153">
      <c r="A358" s="287" t="inlineStr">
        <is>
          <t>JP LOPEZ 2580</t>
        </is>
      </c>
      <c r="B358" s="156" t="n"/>
      <c r="C358" s="156" t="n"/>
    </row>
    <row r="359" ht="15.75" customHeight="1" s="153">
      <c r="A359" s="285" t="inlineStr">
        <is>
          <t>JUAN AZUAGA</t>
        </is>
      </c>
      <c r="B359" s="156" t="n"/>
      <c r="C359" s="156" t="n"/>
    </row>
    <row r="360" ht="15.75" customHeight="1" s="153">
      <c r="A360" s="287" t="inlineStr">
        <is>
          <t>JUAN DE GARAY 3453</t>
        </is>
      </c>
      <c r="B360" s="156" t="n"/>
      <c r="C360" s="156" t="n"/>
    </row>
    <row r="361" ht="15.75" customHeight="1" s="153">
      <c r="A361" s="285" t="inlineStr">
        <is>
          <t>JUJUY 3451</t>
        </is>
      </c>
      <c r="B361" s="156" t="n"/>
      <c r="C361" s="156" t="n"/>
    </row>
    <row r="362" ht="15.75" customHeight="1" s="153">
      <c r="A362" s="287" t="inlineStr">
        <is>
          <t>L Y PLANES 3884</t>
        </is>
      </c>
      <c r="B362" s="156" t="n"/>
      <c r="C362" s="156" t="n"/>
    </row>
    <row r="363" ht="15.75" customHeight="1" s="153">
      <c r="A363" s="285" t="inlineStr">
        <is>
          <t>LA MADRID 2059</t>
        </is>
      </c>
      <c r="B363" s="156" t="n"/>
      <c r="C363" s="156" t="n"/>
    </row>
    <row r="364" ht="15.75" customHeight="1" s="153">
      <c r="A364" s="287" t="inlineStr">
        <is>
          <t>LA MADRID 4736</t>
        </is>
      </c>
      <c r="B364" s="156" t="n"/>
      <c r="C364" s="156" t="n"/>
    </row>
    <row r="365" ht="15.75" customHeight="1" s="153">
      <c r="A365" s="285" t="inlineStr">
        <is>
          <t>LA MADRID 6330</t>
        </is>
      </c>
      <c r="B365" s="156" t="n"/>
      <c r="C365" s="156" t="n"/>
    </row>
    <row r="366" ht="15.75" customHeight="1" s="153">
      <c r="A366" s="287" t="inlineStr">
        <is>
          <t>LA MADRID 7175</t>
        </is>
      </c>
      <c r="B366" s="156" t="n"/>
      <c r="C366" s="156" t="n"/>
    </row>
    <row r="367" ht="15.75" customHeight="1" s="153">
      <c r="A367" s="285" t="inlineStr">
        <is>
          <t>LA PAZ 4556</t>
        </is>
      </c>
      <c r="B367" s="156" t="n"/>
      <c r="C367" s="156" t="n"/>
    </row>
    <row r="368" ht="15.75" customHeight="1" s="153">
      <c r="A368" s="287" t="inlineStr">
        <is>
          <t>LA PLATA 2834</t>
        </is>
      </c>
      <c r="B368" s="156" t="n"/>
      <c r="C368" s="156" t="n"/>
    </row>
    <row r="369" ht="15.75" customHeight="1" s="153">
      <c r="A369" s="285" t="inlineStr">
        <is>
          <t>LA RIOJA 3552</t>
        </is>
      </c>
      <c r="B369" s="156" t="n"/>
      <c r="C369" s="156" t="n"/>
    </row>
    <row r="370" ht="15.75" customHeight="1" s="153">
      <c r="A370" s="287" t="inlineStr">
        <is>
          <t>LA SALLE 3151</t>
        </is>
      </c>
      <c r="B370" s="156" t="n"/>
      <c r="C370" s="156" t="n"/>
    </row>
    <row r="371" ht="15.75" customHeight="1" s="153">
      <c r="A371" s="285" t="inlineStr">
        <is>
          <t>LA SALLE 4625</t>
        </is>
      </c>
      <c r="B371" s="156" t="n"/>
      <c r="C371" s="156" t="n"/>
    </row>
    <row r="372" ht="15.75" customHeight="1" s="153">
      <c r="A372" s="287" t="inlineStr">
        <is>
          <t>LA SALLE 6030</t>
        </is>
      </c>
      <c r="B372" s="156" t="n"/>
      <c r="C372" s="156" t="n"/>
    </row>
    <row r="373" ht="15.75" customHeight="1" s="153">
      <c r="A373" s="285" t="inlineStr">
        <is>
          <t>LA SALLE Y PUBLICO</t>
        </is>
      </c>
      <c r="B373" s="156" t="n"/>
      <c r="C373" s="156" t="n"/>
    </row>
    <row r="374" ht="15.75" customHeight="1" s="153">
      <c r="A374" s="287" t="inlineStr">
        <is>
          <t>LALO</t>
        </is>
      </c>
      <c r="B374" s="156" t="n"/>
      <c r="C374" s="156" t="n"/>
    </row>
    <row r="375" ht="15.75" customHeight="1" s="153">
      <c r="A375" s="285" t="inlineStr">
        <is>
          <t>LAPACHOS 1840</t>
        </is>
      </c>
      <c r="B375" s="156" t="n"/>
      <c r="C375" s="156" t="n"/>
    </row>
    <row r="376" ht="15.75" customHeight="1" s="153">
      <c r="A376" s="287" t="inlineStr">
        <is>
          <t>LARGUIA 6924</t>
        </is>
      </c>
      <c r="B376" s="156" t="n"/>
      <c r="C376" s="156" t="n"/>
    </row>
    <row r="377" ht="15.75" customHeight="1" s="153">
      <c r="A377" s="285" t="inlineStr">
        <is>
          <t>LARGUIA 7150</t>
        </is>
      </c>
      <c r="B377" s="156" t="n"/>
      <c r="C377" s="156" t="n"/>
    </row>
    <row r="378" ht="15.75" customHeight="1" s="153">
      <c r="A378" s="287" t="inlineStr">
        <is>
          <t>LARGUIA 7186</t>
        </is>
      </c>
      <c r="B378" s="156" t="n"/>
      <c r="C378" s="156" t="n"/>
    </row>
    <row r="379" ht="15.75" customHeight="1" s="153">
      <c r="A379" s="285" t="inlineStr">
        <is>
          <t>LARGUIA 7251</t>
        </is>
      </c>
      <c r="B379" s="156" t="n"/>
      <c r="C379" s="156" t="n"/>
    </row>
    <row r="380" ht="15.75" customHeight="1" s="153">
      <c r="A380" s="287" t="inlineStr">
        <is>
          <t>LARGUIA 7287</t>
        </is>
      </c>
      <c r="B380" s="156" t="n"/>
      <c r="C380" s="156" t="n"/>
    </row>
    <row r="381" ht="15.75" customHeight="1" s="153">
      <c r="A381" s="285" t="inlineStr">
        <is>
          <t>LARGUIA 7824</t>
        </is>
      </c>
      <c r="B381" s="156" t="n"/>
      <c r="C381" s="156" t="n"/>
    </row>
    <row r="382" ht="15.75" customHeight="1" s="153">
      <c r="A382" s="287" t="inlineStr">
        <is>
          <t>LARGUIA 8629</t>
        </is>
      </c>
      <c r="B382" s="156" t="n"/>
      <c r="C382" s="156" t="n"/>
    </row>
    <row r="383" ht="15.75" customHeight="1" s="153">
      <c r="A383" s="285" t="inlineStr">
        <is>
          <t>LARGUIA 9655</t>
        </is>
      </c>
      <c r="B383" s="156" t="n"/>
      <c r="C383" s="156" t="n"/>
    </row>
    <row r="384" ht="15.75" customHeight="1" s="153">
      <c r="A384" s="287" t="inlineStr">
        <is>
          <t>LARREA 3164</t>
        </is>
      </c>
      <c r="B384" s="156" t="n"/>
      <c r="C384" s="156" t="n"/>
    </row>
    <row r="385" ht="15.75" customHeight="1" s="153">
      <c r="A385" s="285" t="inlineStr">
        <is>
          <t>LARREA 3339</t>
        </is>
      </c>
      <c r="B385" s="156" t="n"/>
      <c r="C385" s="156" t="n"/>
    </row>
    <row r="386" ht="15.75" customHeight="1" s="153">
      <c r="A386" s="287" t="inlineStr">
        <is>
          <t>LARREA 5068</t>
        </is>
      </c>
      <c r="B386" s="156" t="n"/>
      <c r="C386" s="156" t="n"/>
    </row>
    <row r="387" ht="15.75" customHeight="1" s="153">
      <c r="A387" s="285" t="inlineStr">
        <is>
          <t>LAS FLORES 1 Y MILLAN MEDINA</t>
        </is>
      </c>
      <c r="B387" s="156" t="n"/>
      <c r="C387" s="156" t="n"/>
    </row>
    <row r="388" ht="15.75" customHeight="1" s="153">
      <c r="A388" s="287" t="inlineStr">
        <is>
          <t>LAS HERAS 5471</t>
        </is>
      </c>
      <c r="B388" s="156" t="n"/>
      <c r="C388" s="156" t="n"/>
    </row>
    <row r="389" ht="15.75" customHeight="1" s="153">
      <c r="A389" s="285" t="inlineStr">
        <is>
          <t>LAS HERAS Y GORRITI</t>
        </is>
      </c>
      <c r="B389" s="156" t="n"/>
      <c r="C389" s="156" t="n"/>
    </row>
    <row r="390" ht="15.75" customHeight="1" s="153">
      <c r="A390" s="287" t="inlineStr">
        <is>
          <t>LASAGA 7023</t>
        </is>
      </c>
      <c r="B390" s="156" t="n"/>
      <c r="C390" s="156" t="n"/>
    </row>
    <row r="391" ht="15.75" customHeight="1" s="153">
      <c r="A391" s="285" t="inlineStr">
        <is>
          <t>LAVADERO</t>
        </is>
      </c>
      <c r="B391" s="156" t="n"/>
      <c r="C391" s="156" t="n"/>
    </row>
    <row r="392" ht="15.75" customHeight="1" s="153">
      <c r="A392" s="287" t="inlineStr">
        <is>
          <t>LAVAISE 1074</t>
        </is>
      </c>
      <c r="B392" s="156" t="n"/>
      <c r="C392" s="156" t="n"/>
    </row>
    <row r="393" ht="15.75" customHeight="1" s="153">
      <c r="A393" s="285" t="inlineStr">
        <is>
          <t>LAVAISE 2118</t>
        </is>
      </c>
      <c r="B393" s="156" t="n"/>
      <c r="C393" s="156" t="n"/>
    </row>
    <row r="394" ht="15.75" customHeight="1" s="153">
      <c r="A394" s="287" t="inlineStr">
        <is>
          <t>LAVAISE 3458</t>
        </is>
      </c>
      <c r="B394" s="156" t="n"/>
      <c r="C394" s="156" t="n"/>
    </row>
    <row r="395" ht="15.75" customHeight="1" s="153">
      <c r="A395" s="285" t="inlineStr">
        <is>
          <t>LAVAISE 3786</t>
        </is>
      </c>
      <c r="B395" s="156" t="n"/>
      <c r="C395" s="156" t="n"/>
    </row>
    <row r="396" ht="15.75" customHeight="1" s="153">
      <c r="A396" s="287" t="inlineStr">
        <is>
          <t>LAVAISE 4366</t>
        </is>
      </c>
      <c r="B396" s="156" t="n"/>
      <c r="C396" s="156" t="n"/>
    </row>
    <row r="397" ht="15.75" customHeight="1" s="153">
      <c r="A397" s="285" t="inlineStr">
        <is>
          <t>LEMAN 7856</t>
        </is>
      </c>
      <c r="B397" s="156" t="n"/>
      <c r="C397" s="156" t="n"/>
    </row>
    <row r="398" ht="15.75" customHeight="1" s="153">
      <c r="A398" s="287" t="inlineStr">
        <is>
          <t>LEO MASARA</t>
        </is>
      </c>
      <c r="B398" s="156" t="n"/>
      <c r="C398" s="156" t="n"/>
    </row>
    <row r="399" ht="15.75" customHeight="1" s="153">
      <c r="A399" s="285" t="inlineStr">
        <is>
          <t>LINIERS 3735</t>
        </is>
      </c>
      <c r="B399" s="156" t="n"/>
      <c r="C399" s="156" t="n"/>
    </row>
    <row r="400" ht="15.75" customHeight="1" s="153">
      <c r="A400" s="287" t="inlineStr">
        <is>
          <t>LLERENA 3161</t>
        </is>
      </c>
      <c r="B400" s="156" t="n"/>
      <c r="C400" s="156" t="n"/>
    </row>
    <row r="401" ht="15.75" customHeight="1" s="153">
      <c r="A401" s="285" t="inlineStr">
        <is>
          <t>LLERENA 3746</t>
        </is>
      </c>
      <c r="B401" s="156" t="n"/>
      <c r="C401" s="156" t="n"/>
    </row>
    <row r="402" ht="15.75" customHeight="1" s="153">
      <c r="A402" s="287" t="inlineStr">
        <is>
          <t>LOBATO</t>
        </is>
      </c>
      <c r="B402" s="156" t="n"/>
      <c r="C402" s="156" t="n"/>
    </row>
    <row r="403" ht="15.75" customHeight="1" s="153">
      <c r="A403" s="285" t="inlineStr">
        <is>
          <t>LOBATO BARBARA</t>
        </is>
      </c>
      <c r="B403" s="156" t="n"/>
      <c r="C403" s="156" t="n"/>
    </row>
    <row r="404" ht="15.75" customHeight="1" s="153">
      <c r="A404" s="287" t="inlineStr">
        <is>
          <t>LOBOS</t>
        </is>
      </c>
      <c r="B404" s="156" t="n"/>
      <c r="C404" s="156" t="n"/>
    </row>
    <row r="405" ht="15.75" customHeight="1" s="153">
      <c r="A405" s="285" t="inlineStr">
        <is>
          <t>LOBOS ROCIO</t>
        </is>
      </c>
      <c r="B405" s="156" t="n"/>
      <c r="C405" s="156" t="n"/>
    </row>
    <row r="406" ht="15.75" customHeight="1" s="153">
      <c r="A406" s="287" t="inlineStr">
        <is>
          <t>LOLI</t>
        </is>
      </c>
      <c r="B406" s="156" t="n"/>
      <c r="C406" s="156" t="n"/>
    </row>
    <row r="407" ht="15.75" customHeight="1" s="153">
      <c r="A407" s="285" t="inlineStr">
        <is>
          <t>LOPEZ Y PLANES 4069 CLUB</t>
        </is>
      </c>
      <c r="B407" s="156" t="n"/>
      <c r="C407" s="156" t="n"/>
    </row>
    <row r="408" ht="15.75" customHeight="1" s="153">
      <c r="A408" s="287" t="inlineStr">
        <is>
          <t>LOPEZ Y PLANES 4585</t>
        </is>
      </c>
      <c r="B408" s="156" t="n"/>
      <c r="C408" s="156" t="n"/>
    </row>
    <row r="409" ht="15.75" customHeight="1" s="153">
      <c r="A409" s="285" t="inlineStr">
        <is>
          <t>LOPEZ Y PLANES 4630</t>
        </is>
      </c>
      <c r="B409" s="156" t="n"/>
      <c r="C409" s="156" t="n"/>
    </row>
    <row r="410" ht="15.75" customHeight="1" s="153">
      <c r="A410" s="287" t="inlineStr">
        <is>
          <t>LOPEZ Y PLANES 4765</t>
        </is>
      </c>
      <c r="B410" s="156" t="n"/>
      <c r="C410" s="156" t="n"/>
    </row>
    <row r="411" ht="15.75" customHeight="1" s="153">
      <c r="A411" s="285" t="inlineStr">
        <is>
          <t>LOS PARAISOS 3422</t>
        </is>
      </c>
      <c r="B411" s="156" t="n"/>
      <c r="C411" s="156" t="n"/>
    </row>
    <row r="412" ht="15.75" customHeight="1" s="153">
      <c r="A412" s="287" t="inlineStr">
        <is>
          <t>LOS PORKI</t>
        </is>
      </c>
      <c r="B412" s="156" t="n"/>
      <c r="C412" s="156" t="n"/>
    </row>
    <row r="413" ht="15.75" customHeight="1" s="153">
      <c r="A413" s="285" t="inlineStr">
        <is>
          <t>LUCAS MANSILLA</t>
        </is>
      </c>
      <c r="B413" s="156" t="n"/>
      <c r="C413" s="156" t="n"/>
    </row>
    <row r="414" ht="15.75" customHeight="1" s="153">
      <c r="A414" s="287" t="inlineStr">
        <is>
          <t>LUCHIO</t>
        </is>
      </c>
      <c r="B414" s="156" t="n"/>
      <c r="C414" s="156" t="n"/>
    </row>
    <row r="415" ht="15.75" customHeight="1" s="153">
      <c r="A415" s="285" t="inlineStr">
        <is>
          <t>LUCHO</t>
        </is>
      </c>
      <c r="B415" s="156" t="n"/>
      <c r="C415" s="156" t="n"/>
    </row>
    <row r="416" ht="15.75" customHeight="1" s="153">
      <c r="A416" s="287" t="inlineStr">
        <is>
          <t>LUCHO3</t>
        </is>
      </c>
      <c r="B416" s="156" t="n"/>
      <c r="C416" s="156" t="n"/>
    </row>
    <row r="417" ht="15.75" customHeight="1" s="153">
      <c r="A417" s="285" t="inlineStr">
        <is>
          <t>LUCHOI</t>
        </is>
      </c>
      <c r="B417" s="156" t="n"/>
      <c r="C417" s="156" t="n"/>
    </row>
    <row r="418" ht="15.75" customHeight="1" s="153">
      <c r="A418" s="287" t="inlineStr">
        <is>
          <t>LUCIANDO LEIVA Y ALBERTI</t>
        </is>
      </c>
      <c r="B418" s="156" t="n"/>
      <c r="C418" s="156" t="n"/>
    </row>
    <row r="419" ht="15.75" customHeight="1" s="153">
      <c r="A419" s="285" t="inlineStr">
        <is>
          <t>LUCIANO LEIVA Y ABLERTI</t>
        </is>
      </c>
      <c r="B419" s="156" t="n"/>
      <c r="C419" s="156" t="n"/>
    </row>
    <row r="420" ht="15.75" customHeight="1" s="153">
      <c r="A420" s="287" t="inlineStr">
        <is>
          <t>M CANDIOTI 5256</t>
        </is>
      </c>
      <c r="B420" s="156" t="n"/>
      <c r="C420" s="156" t="n"/>
    </row>
    <row r="421" ht="15.75" customHeight="1" s="153">
      <c r="A421" s="285" t="inlineStr">
        <is>
          <t>M CANDIOTI 5759</t>
        </is>
      </c>
      <c r="B421" s="156" t="n"/>
      <c r="C421" s="156" t="n"/>
    </row>
    <row r="422" ht="15.75" customHeight="1" s="153">
      <c r="A422" s="287" t="inlineStr">
        <is>
          <t>M CANDIOTI 6141</t>
        </is>
      </c>
      <c r="B422" s="156" t="n"/>
      <c r="C422" s="156" t="n"/>
    </row>
    <row r="423" ht="15.75" customHeight="1" s="153">
      <c r="A423" s="285" t="inlineStr">
        <is>
          <t>M CANDIOTI 6281</t>
        </is>
      </c>
      <c r="B423" s="156" t="n"/>
      <c r="C423" s="156" t="n"/>
    </row>
    <row r="424" ht="15.75" customHeight="1" s="153">
      <c r="A424" s="287" t="inlineStr">
        <is>
          <t>M ZAPATA 1328</t>
        </is>
      </c>
      <c r="B424" s="156" t="n"/>
      <c r="C424" s="156" t="n"/>
    </row>
    <row r="425" ht="15.75" customHeight="1" s="153">
      <c r="A425" s="285" t="inlineStr">
        <is>
          <t>M ZAPATA 2101</t>
        </is>
      </c>
      <c r="B425" s="156" t="n"/>
      <c r="C425" s="156" t="n"/>
    </row>
    <row r="426" ht="15.75" customHeight="1" s="153">
      <c r="A426" s="287" t="inlineStr">
        <is>
          <t>M ZAPATA 3304</t>
        </is>
      </c>
      <c r="B426" s="156" t="n"/>
      <c r="C426" s="156" t="n"/>
    </row>
    <row r="427" ht="15.75" customHeight="1" s="153">
      <c r="A427" s="285" t="inlineStr">
        <is>
          <t>MACHUCA RAMONA1</t>
        </is>
      </c>
      <c r="B427" s="156" t="n"/>
      <c r="C427" s="156" t="n"/>
    </row>
    <row r="428" ht="15.75" customHeight="1" s="153">
      <c r="A428" s="287" t="inlineStr">
        <is>
          <t>MADAME CHEESE</t>
        </is>
      </c>
      <c r="B428" s="156" t="n"/>
      <c r="C428" s="156" t="n"/>
    </row>
    <row r="429" ht="15.75" customHeight="1" s="153">
      <c r="A429" s="285" t="inlineStr">
        <is>
          <t>MALAVER 4238</t>
        </is>
      </c>
      <c r="B429" s="156" t="n"/>
      <c r="C429" s="156" t="n"/>
    </row>
    <row r="430" ht="15.75" customHeight="1" s="153">
      <c r="A430" s="287" t="inlineStr">
        <is>
          <t>MAMA NICO BUSTO</t>
        </is>
      </c>
      <c r="B430" s="156" t="n"/>
      <c r="C430" s="156" t="n"/>
    </row>
    <row r="431" ht="15.75" customHeight="1" s="153">
      <c r="A431" s="285" t="inlineStr">
        <is>
          <t>MANTOVANI 6537</t>
        </is>
      </c>
      <c r="B431" s="156" t="n"/>
      <c r="C431" s="156" t="n"/>
    </row>
    <row r="432" ht="15.75" customHeight="1" s="153">
      <c r="A432" s="287" t="inlineStr">
        <is>
          <t>MANTOVANI 6752</t>
        </is>
      </c>
      <c r="B432" s="156" t="n"/>
      <c r="C432" s="156" t="n"/>
    </row>
    <row r="433" ht="15.75" customHeight="1" s="153">
      <c r="A433" s="285" t="inlineStr">
        <is>
          <t>MARCE DUSSO</t>
        </is>
      </c>
      <c r="B433" s="156" t="n"/>
      <c r="C433" s="156" t="n"/>
    </row>
    <row r="434" ht="15.75" customHeight="1" s="153">
      <c r="A434" s="287" t="inlineStr">
        <is>
          <t>MARCIAL CANDIOTI 6141</t>
        </is>
      </c>
      <c r="B434" s="156" t="n"/>
      <c r="C434" s="156" t="n"/>
    </row>
    <row r="435" ht="15.75" customHeight="1" s="153">
      <c r="A435" s="285" t="inlineStr">
        <is>
          <t>MARCIAL CANDIOTI 8968</t>
        </is>
      </c>
      <c r="B435" s="156" t="n"/>
      <c r="C435" s="156" t="n"/>
    </row>
    <row r="436" ht="15.75" customHeight="1" s="153">
      <c r="A436" s="287" t="inlineStr">
        <is>
          <t>MARIANA</t>
        </is>
      </c>
      <c r="B436" s="156" t="n"/>
      <c r="C436" s="156" t="n"/>
    </row>
    <row r="437" ht="15.75" customHeight="1" s="153">
      <c r="A437" s="285" t="inlineStr">
        <is>
          <t>MARIELA</t>
        </is>
      </c>
      <c r="B437" s="156" t="n"/>
      <c r="C437" s="156" t="n"/>
    </row>
    <row r="438" ht="15.75" customHeight="1" s="153">
      <c r="A438" s="287" t="inlineStr">
        <is>
          <t>MARIO</t>
        </is>
      </c>
      <c r="B438" s="156" t="n"/>
      <c r="C438" s="156" t="n"/>
    </row>
    <row r="439" ht="15.75" customHeight="1" s="153">
      <c r="A439" s="285" t="inlineStr">
        <is>
          <t>MARTIN ZAPATA 2101</t>
        </is>
      </c>
      <c r="B439" s="156" t="n"/>
      <c r="C439" s="156" t="n"/>
    </row>
    <row r="440" ht="15.75" customHeight="1" s="153">
      <c r="A440" s="287" t="inlineStr">
        <is>
          <t>MARTIN ZPATA 2101</t>
        </is>
      </c>
      <c r="B440" s="156" t="n"/>
      <c r="C440" s="156" t="n"/>
    </row>
    <row r="441" ht="15.75" customHeight="1" s="153">
      <c r="A441" s="285" t="inlineStr">
        <is>
          <t>MARTINEZ 3221</t>
        </is>
      </c>
      <c r="B441" s="156" t="n"/>
      <c r="C441" s="156" t="n"/>
    </row>
    <row r="442" ht="15.75" customHeight="1" s="153">
      <c r="A442" s="287" t="inlineStr">
        <is>
          <t>MATEU 3378</t>
        </is>
      </c>
      <c r="B442" s="156" t="n"/>
      <c r="C442" s="156" t="n"/>
    </row>
    <row r="443" ht="15.75" customHeight="1" s="153">
      <c r="A443" s="285" t="inlineStr">
        <is>
          <t>MAURITO</t>
        </is>
      </c>
      <c r="B443" s="156" t="n"/>
      <c r="C443" s="156" t="n"/>
    </row>
    <row r="444" ht="15.75" customHeight="1" s="153">
      <c r="A444" s="287" t="inlineStr">
        <is>
          <t>MAURO</t>
        </is>
      </c>
      <c r="B444" s="156" t="n"/>
      <c r="C444" s="156" t="n"/>
    </row>
    <row r="445" ht="15.75" customHeight="1" s="153">
      <c r="A445" s="285" t="inlineStr">
        <is>
          <t>MAXI HERMANO</t>
        </is>
      </c>
      <c r="B445" s="156" t="n"/>
      <c r="C445" s="156" t="n"/>
    </row>
    <row r="446" ht="15.75" customHeight="1" s="153">
      <c r="A446" s="287" t="inlineStr">
        <is>
          <t>MAXI HNO OTNIEL</t>
        </is>
      </c>
      <c r="B446" s="156" t="n"/>
      <c r="C446" s="156" t="n"/>
    </row>
    <row r="447" ht="15.75" customHeight="1" s="153">
      <c r="A447" s="285" t="inlineStr">
        <is>
          <t>MISIONES 5281</t>
        </is>
      </c>
      <c r="B447" s="156" t="n"/>
      <c r="C447" s="156" t="n"/>
    </row>
    <row r="448" ht="15.75" customHeight="1" s="153">
      <c r="A448" s="287" t="inlineStr">
        <is>
          <t>MISIONES 5780</t>
        </is>
      </c>
      <c r="B448" s="156" t="n"/>
      <c r="C448" s="156" t="n"/>
    </row>
    <row r="449" ht="15.75" customHeight="1" s="153">
      <c r="A449" s="285" t="inlineStr">
        <is>
          <t>MISIONES 6381 PANA</t>
        </is>
      </c>
      <c r="B449" s="156" t="n"/>
      <c r="C449" s="156" t="n"/>
    </row>
    <row r="450" ht="15.75" customHeight="1" s="153">
      <c r="A450" s="287" t="inlineStr">
        <is>
          <t>MITRE 4930</t>
        </is>
      </c>
      <c r="B450" s="156" t="n"/>
      <c r="C450" s="156" t="n"/>
    </row>
    <row r="451" ht="15.75" customHeight="1" s="153">
      <c r="A451" s="285" t="inlineStr">
        <is>
          <t>MOLINA FLORES 1</t>
        </is>
      </c>
      <c r="B451" s="156" t="n"/>
      <c r="C451" s="156" t="n"/>
    </row>
    <row r="452" ht="15.75" customHeight="1" s="153">
      <c r="A452" s="287" t="inlineStr">
        <is>
          <t>MOLINERO</t>
        </is>
      </c>
      <c r="B452" s="156" t="n"/>
      <c r="C452" s="156" t="n"/>
    </row>
    <row r="453" ht="15.75" customHeight="1" s="153">
      <c r="A453" s="285" t="inlineStr">
        <is>
          <t>MONTIEL 9165</t>
        </is>
      </c>
      <c r="B453" s="156" t="n"/>
      <c r="C453" s="156" t="n"/>
    </row>
    <row r="454" ht="15.75" customHeight="1" s="153">
      <c r="A454" s="287" t="inlineStr">
        <is>
          <t>NACHI CUEVA</t>
        </is>
      </c>
      <c r="B454" s="156" t="n"/>
      <c r="C454" s="156" t="n"/>
    </row>
    <row r="455" ht="15.75" customHeight="1" s="153">
      <c r="A455" s="285" t="inlineStr">
        <is>
          <t>NACHO</t>
        </is>
      </c>
      <c r="B455" s="156" t="n"/>
      <c r="C455" s="156" t="n"/>
    </row>
    <row r="456" ht="15.75" customHeight="1" s="153">
      <c r="A456" s="287" t="inlineStr">
        <is>
          <t>NACHO CUEVA</t>
        </is>
      </c>
      <c r="B456" s="156" t="n"/>
      <c r="C456" s="156" t="n"/>
    </row>
    <row r="457" ht="15.75" customHeight="1" s="153">
      <c r="A457" s="285" t="inlineStr">
        <is>
          <t>NAMUNCURA 4436</t>
        </is>
      </c>
      <c r="B457" s="156" t="n"/>
      <c r="C457" s="156" t="n"/>
    </row>
    <row r="458" ht="15.75" customHeight="1" s="153">
      <c r="A458" s="287" t="inlineStr">
        <is>
          <t>NAMUNCURA 4439</t>
        </is>
      </c>
      <c r="B458" s="156" t="n"/>
      <c r="C458" s="156" t="n"/>
    </row>
    <row r="459" ht="15.75" customHeight="1" s="153">
      <c r="A459" s="285" t="inlineStr">
        <is>
          <t>NECOCHEA 3837</t>
        </is>
      </c>
      <c r="B459" s="156" t="n"/>
      <c r="C459" s="156" t="n"/>
    </row>
    <row r="460" ht="15.75" customHeight="1" s="153">
      <c r="A460" s="287" t="inlineStr">
        <is>
          <t>NECOCHEA 3933</t>
        </is>
      </c>
      <c r="B460" s="156" t="n"/>
      <c r="C460" s="156" t="n"/>
    </row>
    <row r="461" ht="15.75" customHeight="1" s="153">
      <c r="A461" s="285" t="inlineStr">
        <is>
          <t>NECOCHEA 5587</t>
        </is>
      </c>
      <c r="B461" s="156" t="n"/>
      <c r="C461" s="156" t="n"/>
    </row>
    <row r="462" ht="15.75" customHeight="1" s="153">
      <c r="A462" s="287" t="inlineStr">
        <is>
          <t>NEUQUEN 7046</t>
        </is>
      </c>
      <c r="B462" s="156" t="n"/>
      <c r="C462" s="156" t="n"/>
    </row>
    <row r="463" ht="15.75" customHeight="1" s="153">
      <c r="A463" s="285" t="inlineStr">
        <is>
          <t>NIC OBUSTO</t>
        </is>
      </c>
      <c r="B463" s="156" t="n"/>
      <c r="C463" s="156" t="n"/>
    </row>
    <row r="464" ht="15.75" customHeight="1" s="153">
      <c r="A464" s="287" t="inlineStr">
        <is>
          <t>NINGO HIJA</t>
        </is>
      </c>
      <c r="B464" s="156" t="n"/>
      <c r="C464" s="156" t="n"/>
    </row>
    <row r="465" ht="15.75" customHeight="1" s="153">
      <c r="A465" s="285" t="inlineStr">
        <is>
          <t>NOGALES 2412</t>
        </is>
      </c>
      <c r="B465" s="156" t="n"/>
      <c r="C465" s="156" t="n"/>
    </row>
    <row r="466" ht="15.75" customHeight="1" s="153">
      <c r="A466" s="287" t="inlineStr">
        <is>
          <t>NOGALES 2426</t>
        </is>
      </c>
      <c r="B466" s="156" t="n"/>
      <c r="C466" s="156" t="n"/>
    </row>
    <row r="467" ht="15.75" customHeight="1" s="153">
      <c r="A467" s="285" t="inlineStr">
        <is>
          <t>NOGALES 2651</t>
        </is>
      </c>
      <c r="B467" s="156" t="n"/>
      <c r="C467" s="156" t="n"/>
    </row>
    <row r="468" ht="15.75" customHeight="1" s="153">
      <c r="A468" s="287" t="inlineStr">
        <is>
          <t>NOGALES 3462</t>
        </is>
      </c>
      <c r="B468" s="156" t="n"/>
      <c r="C468" s="156" t="n"/>
    </row>
    <row r="469" ht="15.75" customHeight="1" s="153">
      <c r="A469" s="285" t="inlineStr">
        <is>
          <t>NOGALES2651</t>
        </is>
      </c>
      <c r="B469" s="156" t="n"/>
      <c r="C469" s="156" t="n"/>
    </row>
    <row r="470" ht="15.75" customHeight="1" s="153">
      <c r="A470" s="287" t="inlineStr">
        <is>
          <t>ORREGO Y MENDIETA</t>
        </is>
      </c>
      <c r="B470" s="156" t="n"/>
      <c r="C470" s="156" t="n"/>
    </row>
    <row r="471" ht="15.75" customHeight="1" s="153">
      <c r="A471" s="285" t="inlineStr">
        <is>
          <t>OTNIEL</t>
        </is>
      </c>
      <c r="B471" s="156" t="n"/>
      <c r="C471" s="156" t="n"/>
    </row>
    <row r="472" ht="15.75" customHeight="1" s="153">
      <c r="A472" s="287" t="inlineStr">
        <is>
          <t>P CEBALLOS 8134</t>
        </is>
      </c>
      <c r="B472" s="156" t="n"/>
      <c r="C472" s="156" t="n"/>
    </row>
    <row r="473" ht="15.75" customHeight="1" s="153">
      <c r="A473" s="285" t="inlineStr">
        <is>
          <t>P DE VEGA 1428</t>
        </is>
      </c>
      <c r="B473" s="156" t="n"/>
      <c r="C473" s="156" t="n"/>
    </row>
    <row r="474" ht="15.75" customHeight="1" s="153">
      <c r="A474" s="287" t="inlineStr">
        <is>
          <t>P GENESIO 2128</t>
        </is>
      </c>
      <c r="B474" s="156" t="n"/>
      <c r="C474" s="156" t="n"/>
    </row>
    <row r="475" ht="15.75" customHeight="1" s="153">
      <c r="A475" s="285" t="inlineStr">
        <is>
          <t>P GENESIO 4501</t>
        </is>
      </c>
      <c r="B475" s="156" t="n"/>
      <c r="C475" s="156" t="n"/>
    </row>
    <row r="476" ht="15.75" customHeight="1" s="153">
      <c r="A476" s="287" t="inlineStr">
        <is>
          <t>P GENESIO 5799</t>
        </is>
      </c>
      <c r="B476" s="156" t="n"/>
      <c r="C476" s="156" t="n"/>
    </row>
    <row r="477" ht="15.75" customHeight="1" s="153">
      <c r="A477" s="285" t="inlineStr">
        <is>
          <t>P GENESIO 5851</t>
        </is>
      </c>
      <c r="B477" s="156" t="n"/>
      <c r="C477" s="156" t="n"/>
    </row>
    <row r="478" ht="15.75" customHeight="1" s="153">
      <c r="A478" s="287" t="inlineStr">
        <is>
          <t>PADRE GENESIO 4501</t>
        </is>
      </c>
      <c r="B478" s="156" t="n"/>
      <c r="C478" s="156" t="n"/>
    </row>
    <row r="479" ht="15.75" customHeight="1" s="153">
      <c r="A479" s="285" t="inlineStr">
        <is>
          <t>PALLARES 8200</t>
        </is>
      </c>
      <c r="B479" s="156" t="n"/>
      <c r="C479" s="156" t="n"/>
    </row>
    <row r="480" ht="15.75" customHeight="1" s="153">
      <c r="A480" s="287" t="inlineStr">
        <is>
          <t>PAMPA 4751</t>
        </is>
      </c>
      <c r="B480" s="156" t="n"/>
      <c r="C480" s="156" t="n"/>
    </row>
    <row r="481" ht="15.75" customHeight="1" s="153">
      <c r="A481" s="285" t="inlineStr">
        <is>
          <t>PAMPA 5745</t>
        </is>
      </c>
      <c r="B481" s="156" t="n"/>
      <c r="C481" s="156" t="n"/>
    </row>
    <row r="482" ht="15.75" customHeight="1" s="153">
      <c r="A482" s="287" t="inlineStr">
        <is>
          <t>PANA ALBERTI</t>
        </is>
      </c>
      <c r="B482" s="156" t="n"/>
      <c r="C482" s="156" t="n"/>
    </row>
    <row r="483" ht="15.75" customHeight="1" s="153">
      <c r="A483" s="285" t="inlineStr">
        <is>
          <t>PANA BERUTI</t>
        </is>
      </c>
      <c r="B483" s="156" t="n"/>
      <c r="C483" s="156" t="n"/>
    </row>
    <row r="484" ht="15.75" customHeight="1" s="153">
      <c r="A484" s="287" t="inlineStr">
        <is>
          <t>PANA BERUTI 3850</t>
        </is>
      </c>
      <c r="B484" s="156" t="n"/>
      <c r="C484" s="156" t="n"/>
    </row>
    <row r="485" ht="15.75" customHeight="1" s="153">
      <c r="A485" s="285" t="inlineStr">
        <is>
          <t>PANA BERUTI 6400</t>
        </is>
      </c>
      <c r="B485" s="156" t="n"/>
      <c r="C485" s="156" t="n"/>
    </row>
    <row r="486" ht="15.75" customHeight="1" s="153">
      <c r="A486" s="287" t="inlineStr">
        <is>
          <t>PANA BERUTI 6726</t>
        </is>
      </c>
      <c r="B486" s="156" t="n"/>
      <c r="C486" s="156" t="n"/>
    </row>
    <row r="487" ht="15.75" customHeight="1" s="153">
      <c r="A487" s="285" t="inlineStr">
        <is>
          <t>PANA BONEO</t>
        </is>
      </c>
      <c r="B487" s="156" t="n"/>
      <c r="C487" s="156" t="n"/>
    </row>
    <row r="488" ht="15.75" customHeight="1" s="153">
      <c r="A488" s="287" t="inlineStr">
        <is>
          <t>PANA COLODRERO 1258</t>
        </is>
      </c>
      <c r="B488" s="156" t="n"/>
      <c r="C488" s="156" t="n"/>
    </row>
    <row r="489" ht="15.75" customHeight="1" s="153">
      <c r="A489" s="285" t="inlineStr">
        <is>
          <t>PANA FIGUEROA</t>
        </is>
      </c>
      <c r="B489" s="156" t="n"/>
      <c r="C489" s="156" t="n"/>
    </row>
    <row r="490" ht="15.75" customHeight="1" s="153">
      <c r="A490" s="287" t="inlineStr">
        <is>
          <t>PANA GENESIO</t>
        </is>
      </c>
      <c r="B490" s="156" t="n"/>
      <c r="C490" s="156" t="n"/>
    </row>
    <row r="491" ht="15.75" customHeight="1" s="153">
      <c r="A491" s="285" t="inlineStr">
        <is>
          <t>PANA GISE</t>
        </is>
      </c>
      <c r="B491" s="156" t="n"/>
      <c r="C491" s="156" t="n"/>
    </row>
    <row r="492" ht="15.75" customHeight="1" s="153">
      <c r="A492" s="287" t="inlineStr">
        <is>
          <t>PANA GISELA</t>
        </is>
      </c>
      <c r="B492" s="156" t="n"/>
      <c r="C492" s="156" t="n"/>
    </row>
    <row r="493" ht="15.75" customHeight="1" s="153">
      <c r="A493" s="285" t="inlineStr">
        <is>
          <t>PANA GORRITI</t>
        </is>
      </c>
      <c r="B493" s="156" t="n"/>
      <c r="C493" s="156" t="n"/>
    </row>
    <row r="494" ht="15.75" customHeight="1" s="153">
      <c r="A494" s="287" t="inlineStr">
        <is>
          <t>PANA GORRITI 4600</t>
        </is>
      </c>
      <c r="B494" s="156" t="n"/>
      <c r="C494" s="156" t="n"/>
    </row>
    <row r="495" ht="15.75" customHeight="1" s="153">
      <c r="A495" s="285" t="inlineStr">
        <is>
          <t>PANA HNO FIGUERIOA</t>
        </is>
      </c>
      <c r="B495" s="156" t="n"/>
      <c r="C495" s="156" t="n"/>
    </row>
    <row r="496" ht="15.75" customHeight="1" s="153">
      <c r="A496" s="287" t="inlineStr">
        <is>
          <t>PANA HNO FIGUEROA</t>
        </is>
      </c>
      <c r="B496" s="156" t="n"/>
      <c r="C496" s="156" t="n"/>
    </row>
    <row r="497" ht="15.75" customHeight="1" s="153">
      <c r="A497" s="285" t="inlineStr">
        <is>
          <t>PANA VIEYTE 3800</t>
        </is>
      </c>
      <c r="B497" s="156" t="n"/>
      <c r="C497" s="156" t="n"/>
    </row>
    <row r="498" ht="15.75" customHeight="1" s="153">
      <c r="A498" s="287" t="inlineStr">
        <is>
          <t>PANA VIEYTES</t>
        </is>
      </c>
      <c r="B498" s="156" t="n"/>
      <c r="C498" s="156" t="n"/>
    </row>
    <row r="499" ht="15.75" customHeight="1" s="153">
      <c r="A499" s="285" t="inlineStr">
        <is>
          <t>PANA VIEYTES 3800</t>
        </is>
      </c>
      <c r="B499" s="156" t="n"/>
      <c r="C499" s="156" t="n"/>
    </row>
    <row r="500" ht="15.75" customHeight="1" s="153">
      <c r="A500" s="287" t="inlineStr">
        <is>
          <t>PANA VIEYTES 4500</t>
        </is>
      </c>
      <c r="B500" s="156" t="n"/>
      <c r="C500" s="156" t="n"/>
    </row>
    <row r="501" ht="15.75" customHeight="1" s="153">
      <c r="A501" s="285" t="inlineStr">
        <is>
          <t>PANA VIEYTES GISE</t>
        </is>
      </c>
      <c r="B501" s="156" t="n"/>
      <c r="C501" s="156" t="n"/>
    </row>
    <row r="502" ht="15.75" customHeight="1" s="153">
      <c r="A502" s="287" t="inlineStr">
        <is>
          <t>PANA VIEYTES GISELA</t>
        </is>
      </c>
      <c r="B502" s="156" t="n"/>
      <c r="C502" s="156" t="n"/>
    </row>
    <row r="503" ht="15.75" customHeight="1" s="153">
      <c r="A503" s="285" t="inlineStr">
        <is>
          <t>PANA VOEYTES 4500</t>
        </is>
      </c>
      <c r="B503" s="156" t="n"/>
      <c r="C503" s="156" t="n"/>
    </row>
    <row r="504" ht="15.75" customHeight="1" s="153">
      <c r="A504" s="287" t="inlineStr">
        <is>
          <t>PANAALBERTI</t>
        </is>
      </c>
      <c r="B504" s="156" t="n"/>
      <c r="C504" s="156" t="n"/>
    </row>
    <row r="505" ht="15.75" customHeight="1" s="153">
      <c r="A505" s="285" t="inlineStr">
        <is>
          <t>PANADERIA BAGUETE</t>
        </is>
      </c>
      <c r="B505" s="156" t="n"/>
      <c r="C505" s="156" t="n"/>
    </row>
    <row r="506" ht="15.75" customHeight="1" s="153">
      <c r="A506" s="287" t="inlineStr">
        <is>
          <t>PAPA BRUNO</t>
        </is>
      </c>
      <c r="B506" s="156" t="n"/>
      <c r="C506" s="156" t="n"/>
    </row>
    <row r="507" ht="15.75" customHeight="1" s="153">
      <c r="A507" s="285" t="inlineStr">
        <is>
          <t>PARAGUAY 10333</t>
        </is>
      </c>
      <c r="B507" s="156" t="n"/>
      <c r="C507" s="156" t="n"/>
    </row>
    <row r="508" ht="15.75" customHeight="1" s="153">
      <c r="A508" s="287" t="inlineStr">
        <is>
          <t>PARRI BLAS PARERA</t>
        </is>
      </c>
      <c r="B508" s="156" t="n"/>
      <c r="C508" s="156" t="n"/>
    </row>
    <row r="509" ht="15.75" customHeight="1" s="153">
      <c r="A509" s="285" t="inlineStr">
        <is>
          <t>PARRI GABOTO</t>
        </is>
      </c>
      <c r="B509" s="156" t="n"/>
      <c r="C509" s="156" t="n"/>
    </row>
    <row r="510" ht="15.75" customHeight="1" s="153">
      <c r="A510" s="287" t="inlineStr">
        <is>
          <t>PARRILA BLAS PARERA</t>
        </is>
      </c>
      <c r="B510" s="156" t="n"/>
      <c r="C510" s="156" t="n"/>
    </row>
    <row r="511" ht="15.75" customHeight="1" s="153">
      <c r="A511" s="285" t="inlineStr">
        <is>
          <t>PASAJE QUIROGA 5244</t>
        </is>
      </c>
      <c r="B511" s="156" t="n"/>
      <c r="C511" s="156" t="n"/>
    </row>
    <row r="512" ht="15.75" customHeight="1" s="153">
      <c r="A512" s="287" t="inlineStr">
        <is>
          <t>PASAJE ROCA 6371</t>
        </is>
      </c>
      <c r="B512" s="156" t="n"/>
      <c r="C512" s="156" t="n"/>
    </row>
    <row r="513" ht="15.75" customHeight="1" s="153">
      <c r="A513" s="285" t="inlineStr">
        <is>
          <t>PAULO</t>
        </is>
      </c>
      <c r="B513" s="156" t="n"/>
      <c r="C513" s="156" t="n"/>
    </row>
    <row r="514" ht="15.75" customHeight="1" s="153">
      <c r="A514" s="287" t="inlineStr">
        <is>
          <t>PAVON 2124</t>
        </is>
      </c>
      <c r="B514" s="156" t="n"/>
      <c r="C514" s="156" t="n"/>
    </row>
    <row r="515" ht="15.75" customHeight="1" s="153">
      <c r="A515" s="285" t="inlineStr">
        <is>
          <t>PAVON 2612</t>
        </is>
      </c>
      <c r="B515" s="156" t="n"/>
      <c r="C515" s="156" t="n"/>
    </row>
    <row r="516" ht="15.75" customHeight="1" s="153">
      <c r="A516" s="287" t="inlineStr">
        <is>
          <t>PAVON 3435</t>
        </is>
      </c>
      <c r="B516" s="156" t="n"/>
      <c r="C516" s="156" t="n"/>
    </row>
    <row r="517" ht="15.75" customHeight="1" s="153">
      <c r="A517" s="285" t="inlineStr">
        <is>
          <t>PAVON 4712</t>
        </is>
      </c>
      <c r="B517" s="156" t="n"/>
      <c r="C517" s="156" t="n"/>
    </row>
    <row r="518" ht="15.75" customHeight="1" s="153">
      <c r="A518" s="287" t="inlineStr">
        <is>
          <t>PEDRO CEBALLOS 8134</t>
        </is>
      </c>
      <c r="B518" s="156" t="n"/>
      <c r="C518" s="156" t="n"/>
    </row>
    <row r="519" ht="15.75" customHeight="1" s="153">
      <c r="A519" s="285" t="inlineStr">
        <is>
          <t>PEDRO DE VERGA 1428</t>
        </is>
      </c>
      <c r="B519" s="156" t="n"/>
      <c r="C519" s="156" t="n"/>
    </row>
    <row r="520" ht="15.75" customHeight="1" s="153">
      <c r="A520" s="287" t="inlineStr">
        <is>
          <t>PEDRO ESPINOSA 3169</t>
        </is>
      </c>
      <c r="B520" s="156" t="n"/>
      <c r="C520" s="156" t="n"/>
    </row>
    <row r="521" ht="15.75" customHeight="1" s="153">
      <c r="A521" s="285" t="inlineStr">
        <is>
          <t>PEDRO FERRE 2213</t>
        </is>
      </c>
      <c r="B521" s="156" t="n"/>
      <c r="C521" s="156" t="n"/>
    </row>
    <row r="522" ht="15.75" customHeight="1" s="153">
      <c r="A522" s="287" t="inlineStr">
        <is>
          <t>PEDRO TAPPA 9731</t>
        </is>
      </c>
      <c r="B522" s="156" t="n"/>
      <c r="C522" s="156" t="n"/>
    </row>
    <row r="523" ht="15.75" customHeight="1" s="153">
      <c r="A523" s="285" t="inlineStr">
        <is>
          <t>PEDRO VEGA 4343</t>
        </is>
      </c>
      <c r="B523" s="156" t="n"/>
      <c r="C523" s="156" t="n"/>
    </row>
    <row r="524" ht="15.75" customHeight="1" s="153">
      <c r="A524" s="287" t="inlineStr">
        <is>
          <t>PEDRO ZENTENO</t>
        </is>
      </c>
      <c r="B524" s="156" t="n"/>
      <c r="C524" s="156" t="n"/>
    </row>
    <row r="525" ht="15.75" customHeight="1" s="153">
      <c r="A525" s="285" t="inlineStr">
        <is>
          <t>PEDRO ZENTENO 2744</t>
        </is>
      </c>
      <c r="B525" s="156" t="n"/>
      <c r="C525" s="156" t="n"/>
    </row>
    <row r="526" ht="15.75" customHeight="1" s="153">
      <c r="A526" s="287" t="inlineStr">
        <is>
          <t>PENALOZA 6438</t>
        </is>
      </c>
      <c r="B526" s="156" t="n"/>
      <c r="C526" s="156" t="n"/>
    </row>
    <row r="527" ht="15.75" customHeight="1" s="153">
      <c r="A527" s="285" t="inlineStr">
        <is>
          <t>PENALOZA 7220</t>
        </is>
      </c>
      <c r="B527" s="156" t="n"/>
      <c r="C527" s="156" t="n"/>
    </row>
    <row r="528" ht="15.75" customHeight="1" s="153">
      <c r="A528" s="287" t="inlineStr">
        <is>
          <t>PENALOZA 9757</t>
        </is>
      </c>
      <c r="B528" s="156" t="n"/>
      <c r="C528" s="156" t="n"/>
    </row>
    <row r="529" ht="15.75" customHeight="1" s="153">
      <c r="A529" s="285" t="inlineStr">
        <is>
          <t>PERU 3841</t>
        </is>
      </c>
      <c r="B529" s="156" t="n"/>
      <c r="C529" s="156" t="n"/>
    </row>
    <row r="530" ht="15.75" customHeight="1" s="153">
      <c r="A530" s="287" t="inlineStr">
        <is>
          <t>PEÑALOZA 7716</t>
        </is>
      </c>
      <c r="B530" s="156" t="n"/>
      <c r="C530" s="156" t="n"/>
    </row>
    <row r="531" ht="15.75" customHeight="1" s="153">
      <c r="A531" s="285" t="inlineStr">
        <is>
          <t>PEÑALOZA 9757</t>
        </is>
      </c>
      <c r="B531" s="156" t="n"/>
      <c r="C531" s="156" t="n"/>
    </row>
    <row r="532" ht="15.75" customHeight="1" s="153">
      <c r="A532" s="287" t="inlineStr">
        <is>
          <t>PICHI</t>
        </is>
      </c>
      <c r="B532" s="156" t="n"/>
      <c r="C532" s="156" t="n"/>
    </row>
    <row r="533" ht="15.75" customHeight="1" s="153">
      <c r="A533" s="285" t="inlineStr">
        <is>
          <t>PIEDRABUENA 1927</t>
        </is>
      </c>
      <c r="B533" s="156" t="n"/>
      <c r="C533" s="156" t="n"/>
    </row>
    <row r="534" ht="15.75" customHeight="1" s="153">
      <c r="A534" s="287" t="inlineStr">
        <is>
          <t>PIEDRABUENA 4506</t>
        </is>
      </c>
      <c r="B534" s="156" t="n"/>
      <c r="C534" s="156" t="n"/>
    </row>
    <row r="535" ht="15.75" customHeight="1" s="153">
      <c r="A535" s="285" t="inlineStr">
        <is>
          <t>PIEDRABUENA 4599</t>
        </is>
      </c>
      <c r="B535" s="156" t="n"/>
      <c r="C535" s="156" t="n"/>
    </row>
    <row r="536" ht="15.75" customHeight="1" s="153">
      <c r="A536" s="287" t="inlineStr">
        <is>
          <t>PIO PANDOLFO 9061</t>
        </is>
      </c>
      <c r="B536" s="156" t="n"/>
      <c r="C536" s="156" t="n"/>
    </row>
    <row r="537" ht="15.75" customHeight="1" s="153">
      <c r="A537" s="285" t="inlineStr">
        <is>
          <t>PIRU</t>
        </is>
      </c>
      <c r="B537" s="156" t="n"/>
      <c r="C537" s="156" t="n"/>
    </row>
    <row r="538" ht="15.75" customHeight="1" s="153">
      <c r="A538" s="287" t="inlineStr">
        <is>
          <t>PIZZA TRUCK</t>
        </is>
      </c>
      <c r="B538" s="156" t="n"/>
      <c r="C538" s="156" t="n"/>
    </row>
    <row r="539" ht="15.75" customHeight="1" s="153">
      <c r="A539" s="285" t="inlineStr">
        <is>
          <t>PJE AGUIAR 9340</t>
        </is>
      </c>
      <c r="B539" s="156" t="n"/>
      <c r="C539" s="156" t="n"/>
    </row>
    <row r="540" ht="15.75" customHeight="1" s="153">
      <c r="A540" s="287" t="inlineStr">
        <is>
          <t>PJE GIMNASIA 5186</t>
        </is>
      </c>
      <c r="B540" s="156" t="n"/>
      <c r="C540" s="156" t="n"/>
    </row>
    <row r="541" ht="15.75" customHeight="1" s="153">
      <c r="A541" s="285" t="inlineStr">
        <is>
          <t>PJE LUIS BELTRAN 4362</t>
        </is>
      </c>
      <c r="B541" s="156" t="n"/>
      <c r="C541" s="156" t="n"/>
    </row>
    <row r="542" ht="15.75" customHeight="1" s="153">
      <c r="A542" s="287" t="inlineStr">
        <is>
          <t>PJE MANUE LEIVA 4230</t>
        </is>
      </c>
      <c r="B542" s="156" t="n"/>
      <c r="C542" s="156" t="n"/>
    </row>
    <row r="543" ht="15.75" customHeight="1" s="153">
      <c r="A543" s="285" t="inlineStr">
        <is>
          <t>PJE MITRE 2409</t>
        </is>
      </c>
      <c r="B543" s="156" t="n"/>
      <c r="C543" s="156" t="n"/>
    </row>
    <row r="544" ht="15.75" customHeight="1" s="153">
      <c r="A544" s="287" t="inlineStr">
        <is>
          <t>PJE PAEZ Y 25 MAYO</t>
        </is>
      </c>
      <c r="B544" s="156" t="n"/>
      <c r="C544" s="156" t="n"/>
    </row>
    <row r="545" ht="15.75" customHeight="1" s="153">
      <c r="A545" s="285" t="inlineStr">
        <is>
          <t>PJE PUBLICO  2553</t>
        </is>
      </c>
      <c r="B545" s="156" t="n"/>
      <c r="C545" s="156" t="n"/>
    </row>
    <row r="546" ht="15.75" customHeight="1" s="153">
      <c r="A546" s="287" t="inlineStr">
        <is>
          <t>PJE PUBLICO 2035</t>
        </is>
      </c>
      <c r="B546" s="156" t="n"/>
      <c r="C546" s="156" t="n"/>
    </row>
    <row r="547" ht="15.75" customHeight="1" s="153">
      <c r="A547" s="285" t="inlineStr">
        <is>
          <t>PJE ROCA 6371</t>
        </is>
      </c>
      <c r="B547" s="156" t="n"/>
      <c r="C547" s="156" t="n"/>
    </row>
    <row r="548" ht="15.75" customHeight="1" s="153">
      <c r="A548" s="287" t="inlineStr">
        <is>
          <t>POLLERIA ARISTOBULO</t>
        </is>
      </c>
      <c r="B548" s="156" t="n"/>
      <c r="C548" s="156" t="n"/>
    </row>
    <row r="549" ht="15.75" customHeight="1" s="153">
      <c r="A549" s="285" t="inlineStr">
        <is>
          <t>POLLERIA BLAS PARERA</t>
        </is>
      </c>
      <c r="B549" s="156" t="n"/>
      <c r="C549" s="156" t="n"/>
    </row>
    <row r="550" ht="15.75" customHeight="1" s="153">
      <c r="A550" s="287" t="inlineStr">
        <is>
          <t>POLLERIA BLASPA</t>
        </is>
      </c>
      <c r="B550" s="156" t="n"/>
      <c r="C550" s="156" t="n"/>
    </row>
    <row r="551" ht="15.75" customHeight="1" s="153">
      <c r="A551" s="285" t="inlineStr">
        <is>
          <t>POLLERIA. BLAS PAREA</t>
        </is>
      </c>
      <c r="B551" s="156" t="n"/>
      <c r="C551" s="156" t="n"/>
    </row>
    <row r="552" ht="15.75" customHeight="1" s="153">
      <c r="A552" s="287" t="inlineStr">
        <is>
          <t>PORKIS</t>
        </is>
      </c>
      <c r="B552" s="156" t="n"/>
      <c r="C552" s="156" t="n"/>
    </row>
    <row r="553" ht="15.75" customHeight="1" s="153">
      <c r="A553" s="285" t="inlineStr">
        <is>
          <t>POSTA COLASTINE</t>
        </is>
      </c>
      <c r="B553" s="156" t="n"/>
      <c r="C553" s="156" t="n"/>
    </row>
    <row r="554" ht="15.75" customHeight="1" s="153">
      <c r="A554" s="287" t="inlineStr">
        <is>
          <t>POSTA EL TORO</t>
        </is>
      </c>
      <c r="B554" s="156" t="n"/>
      <c r="C554" s="156" t="n"/>
    </row>
    <row r="555" ht="15.75" customHeight="1" s="153">
      <c r="A555" s="285" t="inlineStr">
        <is>
          <t>PUBLICO 1829</t>
        </is>
      </c>
      <c r="B555" s="156" t="n"/>
      <c r="C555" s="156" t="n"/>
    </row>
    <row r="556" ht="15.75" customHeight="1" s="153">
      <c r="A556" s="287" t="inlineStr">
        <is>
          <t>PUBLICO 2383</t>
        </is>
      </c>
      <c r="B556" s="156" t="n"/>
      <c r="C556" s="156" t="n"/>
    </row>
    <row r="557" ht="15.75" customHeight="1" s="153">
      <c r="A557" s="285" t="inlineStr">
        <is>
          <t>PUBLICO 2454</t>
        </is>
      </c>
      <c r="B557" s="156" t="n"/>
      <c r="C557" s="156" t="n"/>
    </row>
    <row r="558" ht="15.75" customHeight="1" s="153">
      <c r="A558" s="287" t="inlineStr">
        <is>
          <t>PUBLICO 2527</t>
        </is>
      </c>
      <c r="B558" s="156" t="n"/>
      <c r="C558" s="156" t="n"/>
    </row>
    <row r="559" ht="15.75" customHeight="1" s="153">
      <c r="A559" s="285" t="inlineStr">
        <is>
          <t>PUBLICO 2550</t>
        </is>
      </c>
      <c r="B559" s="156" t="n"/>
      <c r="C559" s="156" t="n"/>
    </row>
    <row r="560" ht="15.75" customHeight="1" s="153">
      <c r="A560" s="287" t="inlineStr">
        <is>
          <t>PUBLICO 3640</t>
        </is>
      </c>
      <c r="B560" s="156" t="n"/>
      <c r="C560" s="156" t="n"/>
    </row>
    <row r="561" ht="15.75" customHeight="1" s="153">
      <c r="A561" s="285" t="inlineStr">
        <is>
          <t>PUBLICO 4746</t>
        </is>
      </c>
      <c r="B561" s="156" t="n"/>
      <c r="C561" s="156" t="n"/>
    </row>
    <row r="562" ht="15.75" customHeight="1" s="153">
      <c r="A562" s="287" t="inlineStr">
        <is>
          <t>PUBLICO 5489 Y CAFERATA</t>
        </is>
      </c>
      <c r="B562" s="156" t="n"/>
      <c r="C562" s="156" t="n"/>
    </row>
    <row r="563" ht="15.75" customHeight="1" s="153">
      <c r="A563" s="285" t="inlineStr">
        <is>
          <t>PUBLICO 5712</t>
        </is>
      </c>
      <c r="B563" s="156" t="n"/>
      <c r="C563" s="156" t="n"/>
    </row>
    <row r="564" ht="15.75" customHeight="1" s="153">
      <c r="A564" s="287" t="inlineStr">
        <is>
          <t>PUBLICO 5727</t>
        </is>
      </c>
      <c r="B564" s="156" t="n"/>
      <c r="C564" s="156" t="n"/>
    </row>
    <row r="565" ht="15.75" customHeight="1" s="153">
      <c r="A565" s="285" t="inlineStr">
        <is>
          <t>PUBLICO 5746</t>
        </is>
      </c>
      <c r="B565" s="156" t="n"/>
      <c r="C565" s="156" t="n"/>
    </row>
    <row r="566" ht="15.75" customHeight="1" s="153">
      <c r="A566" s="287" t="inlineStr">
        <is>
          <t>PUBLICO 8193</t>
        </is>
      </c>
      <c r="B566" s="156" t="n"/>
      <c r="C566" s="156" t="n"/>
    </row>
    <row r="567" ht="15.75" customHeight="1" s="153">
      <c r="A567" s="285" t="inlineStr">
        <is>
          <t>PUBLICO 8821</t>
        </is>
      </c>
      <c r="B567" s="156" t="n"/>
      <c r="C567" s="156" t="n"/>
    </row>
    <row r="568" ht="15.75" customHeight="1" s="153">
      <c r="A568" s="287" t="inlineStr">
        <is>
          <t>PUBLICO 9118</t>
        </is>
      </c>
      <c r="B568" s="156" t="n"/>
      <c r="C568" s="156" t="n"/>
    </row>
    <row r="569" ht="15.75" customHeight="1" s="153">
      <c r="A569" s="285" t="inlineStr">
        <is>
          <t>PUESTO PASTELITOS COSTA</t>
        </is>
      </c>
      <c r="B569" s="156" t="n"/>
      <c r="C569" s="156" t="n"/>
    </row>
    <row r="570" ht="15.75" customHeight="1" s="153">
      <c r="A570" s="287" t="inlineStr">
        <is>
          <t>PUESTO TORTAS M ZAPATA</t>
        </is>
      </c>
      <c r="B570" s="156" t="n"/>
      <c r="C570" s="156" t="n"/>
    </row>
    <row r="571" ht="15.75" customHeight="1" s="153">
      <c r="A571" s="285" t="inlineStr">
        <is>
          <t>QUINTANA 2950</t>
        </is>
      </c>
      <c r="B571" s="156" t="n"/>
      <c r="C571" s="156" t="n"/>
    </row>
    <row r="572" ht="15.75" customHeight="1" s="153">
      <c r="A572" s="287" t="inlineStr">
        <is>
          <t>R GODOY 1614</t>
        </is>
      </c>
      <c r="B572" s="156" t="n"/>
      <c r="C572" s="156" t="n"/>
    </row>
    <row r="573" ht="15.75" customHeight="1" s="153">
      <c r="A573" s="285" t="inlineStr">
        <is>
          <t>REIANARES 8257</t>
        </is>
      </c>
      <c r="B573" s="156" t="n"/>
      <c r="C573" s="156" t="n"/>
    </row>
    <row r="574" ht="15.75" customHeight="1" s="153">
      <c r="A574" s="287" t="inlineStr">
        <is>
          <t>RICARDO ALDAO 2427</t>
        </is>
      </c>
      <c r="B574" s="156" t="n"/>
      <c r="C574" s="156" t="n"/>
    </row>
    <row r="575" ht="15.75" customHeight="1" s="153">
      <c r="A575" s="285" t="inlineStr">
        <is>
          <t>RICARDO ALDAO 3082</t>
        </is>
      </c>
      <c r="B575" s="156" t="n"/>
      <c r="C575" s="156" t="n"/>
    </row>
    <row r="576" ht="15.75" customHeight="1" s="153">
      <c r="A576" s="287" t="inlineStr">
        <is>
          <t>RICARDO ALDAO 369</t>
        </is>
      </c>
      <c r="B576" s="156" t="n"/>
      <c r="C576" s="156" t="n"/>
    </row>
    <row r="577" ht="15.75" customHeight="1" s="153">
      <c r="A577" s="285" t="inlineStr">
        <is>
          <t>RIO NEGRO 4464</t>
        </is>
      </c>
      <c r="B577" s="156" t="n"/>
      <c r="C577" s="156" t="n"/>
    </row>
    <row r="578" ht="15.75" customHeight="1" s="153">
      <c r="A578" s="287" t="inlineStr">
        <is>
          <t>RIO NEGRO 6558</t>
        </is>
      </c>
      <c r="B578" s="156" t="n"/>
      <c r="C578" s="156" t="n"/>
    </row>
    <row r="579" ht="15.75" customHeight="1" s="153">
      <c r="A579" s="285" t="inlineStr">
        <is>
          <t>RIO NEGRO 6570</t>
        </is>
      </c>
      <c r="B579" s="156" t="n"/>
      <c r="C579" s="156" t="n"/>
    </row>
    <row r="580" ht="15.75" customHeight="1" s="153">
      <c r="A580" s="287" t="inlineStr">
        <is>
          <t>RIOJA 2934</t>
        </is>
      </c>
      <c r="B580" s="156" t="n"/>
      <c r="C580" s="156" t="n"/>
    </row>
    <row r="581" ht="15.75" customHeight="1" s="153">
      <c r="A581" s="285" t="inlineStr">
        <is>
          <t>RISSO 2239</t>
        </is>
      </c>
      <c r="B581" s="156" t="n"/>
      <c r="C581" s="156" t="n"/>
    </row>
    <row r="582" ht="15.75" customHeight="1" s="153">
      <c r="A582" s="287" t="inlineStr">
        <is>
          <t>RISSO 5454</t>
        </is>
      </c>
      <c r="B582" s="156" t="n"/>
      <c r="C582" s="156" t="n"/>
    </row>
    <row r="583" ht="15.75" customHeight="1" s="153">
      <c r="A583" s="285" t="inlineStr">
        <is>
          <t>RITA</t>
        </is>
      </c>
      <c r="B583" s="156" t="n"/>
      <c r="C583" s="156" t="n"/>
    </row>
    <row r="584" ht="15.75" customHeight="1" s="153">
      <c r="A584" s="287" t="inlineStr">
        <is>
          <t>RIVADAVIA 6330</t>
        </is>
      </c>
      <c r="B584" s="156" t="n"/>
      <c r="C584" s="156" t="n"/>
    </row>
    <row r="585" ht="15.75" customHeight="1" s="153">
      <c r="A585" s="285" t="inlineStr">
        <is>
          <t>RIVADAVIA 6746</t>
        </is>
      </c>
      <c r="B585" s="156" t="n"/>
      <c r="C585" s="156" t="n"/>
    </row>
    <row r="586" ht="15.75" customHeight="1" s="153">
      <c r="A586" s="287" t="inlineStr">
        <is>
          <t>RIVADAVIA 8280</t>
        </is>
      </c>
      <c r="B586" s="156" t="n"/>
      <c r="C586" s="156" t="n"/>
    </row>
    <row r="587" ht="15.75" customHeight="1" s="153">
      <c r="A587" s="285" t="inlineStr">
        <is>
          <t>RIVADAVIA JUNIOR</t>
        </is>
      </c>
      <c r="B587" s="156" t="n"/>
      <c r="C587" s="156" t="n"/>
    </row>
    <row r="588" ht="15.75" customHeight="1" s="153">
      <c r="A588" s="287" t="inlineStr">
        <is>
          <t>RIVADAVIA JUNIORS</t>
        </is>
      </c>
      <c r="B588" s="156" t="n"/>
      <c r="C588" s="156" t="n"/>
    </row>
    <row r="589" ht="15.75" customHeight="1" s="153">
      <c r="A589" s="285" t="inlineStr">
        <is>
          <t>ROQUE S PENA 7668</t>
        </is>
      </c>
      <c r="B589" s="156" t="n"/>
      <c r="C589" s="156" t="n"/>
    </row>
    <row r="590" ht="15.75" customHeight="1" s="153">
      <c r="A590" s="287" t="inlineStr">
        <is>
          <t>ROQUE S PEÑA 3066</t>
        </is>
      </c>
      <c r="B590" s="156" t="n"/>
      <c r="C590" s="156" t="n"/>
    </row>
    <row r="591" ht="15.75" customHeight="1" s="153">
      <c r="A591" s="285" t="inlineStr">
        <is>
          <t>ROQUE SAENZ PENA 7744</t>
        </is>
      </c>
      <c r="B591" s="156" t="n"/>
      <c r="C591" s="156" t="n"/>
    </row>
    <row r="592" ht="15.75" customHeight="1" s="153">
      <c r="A592" s="287" t="inlineStr">
        <is>
          <t>ROTI AGUADO</t>
        </is>
      </c>
      <c r="B592" s="156" t="n"/>
      <c r="C592" s="156" t="n"/>
    </row>
    <row r="593" ht="15.75" customHeight="1" s="153">
      <c r="A593" s="285" t="inlineStr">
        <is>
          <t>ROTI ARISTOBULO</t>
        </is>
      </c>
      <c r="B593" s="156" t="n"/>
      <c r="C593" s="156" t="n"/>
    </row>
    <row r="594" ht="15.75" customHeight="1" s="153">
      <c r="A594" s="287" t="inlineStr">
        <is>
          <t>ROTI ARISTOBULO 5401</t>
        </is>
      </c>
      <c r="B594" s="156" t="n"/>
      <c r="C594" s="156" t="n"/>
    </row>
    <row r="595" ht="15.75" customHeight="1" s="153">
      <c r="A595" s="285" t="inlineStr">
        <is>
          <t>ROTI DOMINGO SILVA</t>
        </is>
      </c>
      <c r="B595" s="156" t="n"/>
      <c r="C595" s="156" t="n"/>
    </row>
    <row r="596" ht="15.75" customHeight="1" s="153">
      <c r="A596" s="287" t="inlineStr">
        <is>
          <t>ROTI ROCA 6371</t>
        </is>
      </c>
      <c r="B596" s="156" t="n"/>
      <c r="C596" s="156" t="n"/>
    </row>
    <row r="597" ht="15.75" customHeight="1" s="153">
      <c r="A597" s="285" t="inlineStr">
        <is>
          <t>ROTI SAN LORENZO</t>
        </is>
      </c>
      <c r="B597" s="156" t="n"/>
      <c r="C597" s="156" t="n"/>
    </row>
    <row r="598" ht="15.75" customHeight="1" s="153">
      <c r="A598" s="287" t="inlineStr">
        <is>
          <t>ROTI VIEYTES</t>
        </is>
      </c>
      <c r="B598" s="156" t="n"/>
      <c r="C598" s="156" t="n"/>
    </row>
    <row r="599" ht="15.75" customHeight="1" s="153">
      <c r="A599" s="285" t="inlineStr">
        <is>
          <t>ROTI VIYTES</t>
        </is>
      </c>
      <c r="B599" s="156" t="n"/>
      <c r="C599" s="156" t="n"/>
    </row>
    <row r="600" ht="15.75" customHeight="1" s="153">
      <c r="A600" s="287" t="inlineStr">
        <is>
          <t>ROTI ZEBALLOS</t>
        </is>
      </c>
      <c r="B600" s="156" t="n"/>
      <c r="C600" s="156" t="n"/>
    </row>
    <row r="601" ht="15.75" customHeight="1" s="153">
      <c r="A601" s="285" t="inlineStr">
        <is>
          <t>RUPERTO GODOY 1278</t>
        </is>
      </c>
      <c r="B601" s="156" t="n"/>
      <c r="C601" s="156" t="n"/>
    </row>
    <row r="602" ht="15.75" customHeight="1" s="153">
      <c r="A602" s="287" t="inlineStr">
        <is>
          <t>RUPERTO GODOY 1676</t>
        </is>
      </c>
      <c r="B602" s="156" t="n"/>
      <c r="C602" s="156" t="n"/>
    </row>
    <row r="603" ht="15.75" customHeight="1" s="153">
      <c r="A603" s="285" t="inlineStr">
        <is>
          <t>RUPERTO GODOY 4484</t>
        </is>
      </c>
      <c r="B603" s="156" t="n"/>
      <c r="C603" s="156" t="n"/>
    </row>
    <row r="604" ht="15.75" customHeight="1" s="153">
      <c r="A604" s="287" t="inlineStr">
        <is>
          <t>S BAYO 7165</t>
        </is>
      </c>
      <c r="B604" s="156" t="n"/>
      <c r="C604" s="156" t="n"/>
    </row>
    <row r="605" ht="15.75" customHeight="1" s="153">
      <c r="A605" s="285" t="inlineStr">
        <is>
          <t>S BAYO 7250</t>
        </is>
      </c>
      <c r="B605" s="156" t="n"/>
      <c r="C605" s="156" t="n"/>
    </row>
    <row r="606" ht="15.75" customHeight="1" s="153">
      <c r="A606" s="287" t="inlineStr">
        <is>
          <t>SABOREAR</t>
        </is>
      </c>
      <c r="B606" s="156" t="n"/>
      <c r="C606" s="156" t="n"/>
    </row>
    <row r="607" ht="15.75" customHeight="1" s="153">
      <c r="A607" s="285" t="inlineStr">
        <is>
          <t>SABOREARTE CARRO</t>
        </is>
      </c>
      <c r="B607" s="156" t="n"/>
      <c r="C607" s="156" t="n"/>
    </row>
    <row r="608" ht="15.75" customHeight="1" s="153">
      <c r="A608" s="287" t="inlineStr">
        <is>
          <t>SABORERAR</t>
        </is>
      </c>
      <c r="B608" s="156" t="n"/>
      <c r="C608" s="156" t="n"/>
    </row>
    <row r="609" ht="15.75" customHeight="1" s="153">
      <c r="A609" s="285" t="inlineStr">
        <is>
          <t>SABORERARTE</t>
        </is>
      </c>
      <c r="B609" s="156" t="n"/>
      <c r="C609" s="156" t="n"/>
    </row>
    <row r="610" ht="15.75" customHeight="1" s="153">
      <c r="A610" s="287" t="inlineStr">
        <is>
          <t>SALTA 2709</t>
        </is>
      </c>
      <c r="B610" s="156" t="n"/>
      <c r="C610" s="156" t="n"/>
    </row>
    <row r="611" ht="15.75" customHeight="1" s="153">
      <c r="A611" s="285" t="inlineStr">
        <is>
          <t>SAMDRA</t>
        </is>
      </c>
      <c r="B611" s="156" t="n"/>
      <c r="C611" s="156" t="n"/>
    </row>
    <row r="612" ht="15.75" customHeight="1" s="153">
      <c r="A612" s="287" t="inlineStr">
        <is>
          <t>SAN AMRTIN 3939</t>
        </is>
      </c>
      <c r="B612" s="156" t="n"/>
      <c r="C612" s="156" t="n"/>
    </row>
    <row r="613" ht="15.75" customHeight="1" s="153">
      <c r="A613" s="285" t="inlineStr">
        <is>
          <t>SAN JERONIMO 6421</t>
        </is>
      </c>
      <c r="B613" s="156" t="n"/>
      <c r="C613" s="156" t="n"/>
    </row>
    <row r="614" ht="15.75" customHeight="1" s="153">
      <c r="A614" s="287" t="inlineStr">
        <is>
          <t>SAN JOSE 5160</t>
        </is>
      </c>
      <c r="B614" s="156" t="n"/>
      <c r="C614" s="156" t="n"/>
    </row>
    <row r="615" ht="15.75" customHeight="1" s="153">
      <c r="A615" s="285" t="inlineStr">
        <is>
          <t>SAN JOSE 7369</t>
        </is>
      </c>
      <c r="B615" s="156" t="n"/>
      <c r="C615" s="156" t="n"/>
    </row>
    <row r="616" ht="15.75" customHeight="1" s="153">
      <c r="A616" s="287" t="inlineStr">
        <is>
          <t>SAN JOSE 8494</t>
        </is>
      </c>
      <c r="B616" s="156" t="n"/>
      <c r="C616" s="156" t="n"/>
    </row>
    <row r="617" ht="15.75" customHeight="1" s="153">
      <c r="A617" s="285" t="inlineStr">
        <is>
          <t>SAN LORENZO 1987</t>
        </is>
      </c>
      <c r="B617" s="156" t="n"/>
      <c r="C617" s="156" t="n"/>
    </row>
    <row r="618" ht="15.75" customHeight="1" s="153">
      <c r="A618" s="287" t="inlineStr">
        <is>
          <t>SAN LORENZO 5081</t>
        </is>
      </c>
      <c r="B618" s="156" t="n"/>
      <c r="C618" s="156" t="n"/>
    </row>
    <row r="619" ht="15.75" customHeight="1" s="153">
      <c r="A619" s="285" t="inlineStr">
        <is>
          <t>SAN LORENZO 5949</t>
        </is>
      </c>
      <c r="B619" s="156" t="n"/>
      <c r="C619" s="156" t="n"/>
    </row>
    <row r="620" ht="15.75" customHeight="1" s="153">
      <c r="A620" s="287" t="inlineStr">
        <is>
          <t>SAN MARTIN 1925</t>
        </is>
      </c>
      <c r="B620" s="156" t="n"/>
      <c r="C620" s="156" t="n"/>
    </row>
    <row r="621" ht="15.75" customHeight="1" s="153">
      <c r="A621" s="285" t="inlineStr">
        <is>
          <t>SAN MARTIN 3518</t>
        </is>
      </c>
      <c r="B621" s="156" t="n"/>
      <c r="C621" s="156" t="n"/>
    </row>
    <row r="622" ht="15.75" customHeight="1" s="153">
      <c r="A622" s="287" t="inlineStr">
        <is>
          <t>SAN MARTIN 8050</t>
        </is>
      </c>
      <c r="B622" s="156" t="n"/>
      <c r="C622" s="156" t="n"/>
    </row>
    <row r="623" ht="15.75" customHeight="1" s="153">
      <c r="A623" s="285" t="inlineStr">
        <is>
          <t>SANDRA</t>
        </is>
      </c>
      <c r="B623" s="156" t="n"/>
      <c r="C623" s="156" t="n"/>
    </row>
    <row r="624" ht="15.75" customHeight="1" s="153">
      <c r="A624" s="287" t="inlineStr">
        <is>
          <t>SANTA CRUZ 3051</t>
        </is>
      </c>
      <c r="B624" s="156" t="n"/>
      <c r="C624" s="156" t="n"/>
    </row>
    <row r="625" ht="15.75" customHeight="1" s="153">
      <c r="A625" s="285" t="inlineStr">
        <is>
          <t>SARSOTI 6567</t>
        </is>
      </c>
      <c r="B625" s="156" t="n"/>
      <c r="C625" s="156" t="n"/>
    </row>
    <row r="626" ht="15.75" customHeight="1" s="153">
      <c r="A626" s="287" t="inlineStr">
        <is>
          <t>SAVEDRA 10125</t>
        </is>
      </c>
      <c r="B626" s="156" t="n"/>
      <c r="C626" s="156" t="n"/>
    </row>
    <row r="627" ht="15.75" customHeight="1" s="153">
      <c r="A627" s="285" t="inlineStr">
        <is>
          <t>SAVEDRA 1683</t>
        </is>
      </c>
      <c r="B627" s="156" t="n"/>
      <c r="C627" s="156" t="n"/>
    </row>
    <row r="628" ht="15.75" customHeight="1" s="153">
      <c r="A628" s="287" t="inlineStr">
        <is>
          <t>SAVEDRA 2799</t>
        </is>
      </c>
      <c r="B628" s="156" t="n"/>
      <c r="C628" s="156" t="n"/>
    </row>
    <row r="629" ht="15.75" customHeight="1" s="153">
      <c r="A629" s="285" t="inlineStr">
        <is>
          <t>SAVEDRA 6445</t>
        </is>
      </c>
      <c r="B629" s="156" t="n"/>
      <c r="C629" s="156" t="n"/>
    </row>
    <row r="630" ht="15.75" customHeight="1" s="153">
      <c r="A630" s="287" t="inlineStr">
        <is>
          <t>SAVEDRA 6545</t>
        </is>
      </c>
      <c r="B630" s="156" t="n"/>
      <c r="C630" s="156" t="n"/>
    </row>
    <row r="631" ht="15.75" customHeight="1" s="153">
      <c r="A631" s="285" t="inlineStr">
        <is>
          <t>SAVEDRA 7701</t>
        </is>
      </c>
      <c r="B631" s="156" t="n"/>
      <c r="C631" s="156" t="n"/>
    </row>
    <row r="632" ht="15.75" customHeight="1" s="153">
      <c r="A632" s="287" t="inlineStr">
        <is>
          <t>SEDLASEK 5347</t>
        </is>
      </c>
      <c r="B632" s="156" t="n"/>
      <c r="C632" s="156" t="n"/>
    </row>
    <row r="633" ht="15.75" customHeight="1" s="153">
      <c r="A633" s="285" t="inlineStr">
        <is>
          <t>SEGUI 1680</t>
        </is>
      </c>
      <c r="B633" s="156" t="n"/>
      <c r="C633" s="156" t="n"/>
    </row>
    <row r="634" ht="15.75" customHeight="1" s="153">
      <c r="A634" s="287" t="inlineStr">
        <is>
          <t>SERBANDO BAYO 6650</t>
        </is>
      </c>
      <c r="B634" s="156" t="n"/>
      <c r="C634" s="156" t="n"/>
    </row>
    <row r="635" ht="15.75" customHeight="1" s="153">
      <c r="A635" s="285" t="inlineStr">
        <is>
          <t>SERBANDO BAYO 6840</t>
        </is>
      </c>
      <c r="B635" s="156" t="n"/>
      <c r="C635" s="156" t="n"/>
    </row>
    <row r="636" ht="15.75" customHeight="1" s="153">
      <c r="A636" s="287" t="inlineStr">
        <is>
          <t>SERBANDO BAYO 7166</t>
        </is>
      </c>
      <c r="B636" s="156" t="n"/>
      <c r="C636" s="156" t="n"/>
    </row>
    <row r="637" ht="15.75" customHeight="1" s="153">
      <c r="A637" s="285" t="inlineStr">
        <is>
          <t>SERBANDO BAYO 7250</t>
        </is>
      </c>
      <c r="B637" s="156" t="n"/>
      <c r="C637" s="156" t="n"/>
    </row>
    <row r="638" ht="15.75" customHeight="1" s="153">
      <c r="A638" s="287" t="inlineStr">
        <is>
          <t>SERBNADO BAY0 7165</t>
        </is>
      </c>
      <c r="B638" s="156" t="n"/>
      <c r="C638" s="156" t="n"/>
    </row>
    <row r="639" ht="15.75" customHeight="1" s="153">
      <c r="A639" s="285" t="inlineStr">
        <is>
          <t>SIR LAKI F5</t>
        </is>
      </c>
      <c r="B639" s="156" t="n"/>
      <c r="C639" s="156" t="n"/>
    </row>
    <row r="640" ht="15.75" customHeight="1" s="153">
      <c r="A640" s="287" t="inlineStr">
        <is>
          <t>SIRLAKI</t>
        </is>
      </c>
      <c r="B640" s="156" t="n"/>
      <c r="C640" s="156" t="n"/>
    </row>
    <row r="641" ht="15.75" customHeight="1" s="153">
      <c r="A641" s="285" t="inlineStr">
        <is>
          <t>TACUARI</t>
        </is>
      </c>
      <c r="B641" s="156" t="n"/>
      <c r="C641" s="156" t="n"/>
    </row>
    <row r="642" ht="15.75" customHeight="1" s="153">
      <c r="A642" s="287" t="inlineStr">
        <is>
          <t>TACUARI 5717</t>
        </is>
      </c>
      <c r="B642" s="156" t="n"/>
      <c r="C642" s="156" t="n"/>
    </row>
    <row r="643" ht="15.75" customHeight="1" s="153">
      <c r="A643" s="285" t="inlineStr">
        <is>
          <t>TACUARI 57171</t>
        </is>
      </c>
      <c r="B643" s="156" t="n"/>
      <c r="C643" s="156" t="n"/>
    </row>
    <row r="644" ht="15.75" customHeight="1" s="153">
      <c r="A644" s="287" t="inlineStr">
        <is>
          <t>TACUARI 5727</t>
        </is>
      </c>
      <c r="B644" s="156" t="n"/>
      <c r="C644" s="156" t="n"/>
    </row>
    <row r="645" ht="15.75" customHeight="1" s="153">
      <c r="A645" s="285" t="inlineStr">
        <is>
          <t>TATU</t>
        </is>
      </c>
      <c r="B645" s="156" t="n"/>
      <c r="C645" s="156" t="n"/>
    </row>
    <row r="646" ht="15.75" customHeight="1" s="153">
      <c r="A646" s="287" t="inlineStr">
        <is>
          <t>TERCER PJE 4771</t>
        </is>
      </c>
      <c r="B646" s="156" t="n"/>
      <c r="C646" s="156" t="n"/>
    </row>
    <row r="647" ht="15.75" customHeight="1" s="153">
      <c r="A647" s="285" t="inlineStr">
        <is>
          <t>TERE</t>
        </is>
      </c>
      <c r="B647" s="156" t="n"/>
      <c r="C647" s="156" t="n"/>
    </row>
    <row r="648" ht="15.75" customHeight="1" s="153">
      <c r="A648" s="287" t="inlineStr">
        <is>
          <t>TERRAZAS</t>
        </is>
      </c>
      <c r="B648" s="156" t="n"/>
      <c r="C648" s="156" t="n"/>
    </row>
    <row r="649" ht="15.75" customHeight="1" s="153">
      <c r="A649" s="285" t="inlineStr">
        <is>
          <t>TERRAZAS DANTE</t>
        </is>
      </c>
      <c r="B649" s="156" t="n"/>
      <c r="C649" s="156" t="n"/>
    </row>
    <row r="650" ht="15.75" customHeight="1" s="153">
      <c r="A650" s="287" t="inlineStr">
        <is>
          <t>TOFFO</t>
        </is>
      </c>
      <c r="B650" s="156" t="n"/>
      <c r="C650" s="156" t="n"/>
    </row>
    <row r="651" ht="15.75" customHeight="1" s="153">
      <c r="A651" s="285" t="inlineStr">
        <is>
          <t>TROPPO</t>
        </is>
      </c>
      <c r="B651" s="156" t="n"/>
      <c r="C651" s="156" t="n"/>
    </row>
    <row r="652" ht="15.75" customHeight="1" s="153">
      <c r="A652" s="287" t="inlineStr">
        <is>
          <t>ULRICO SCHMIT</t>
        </is>
      </c>
      <c r="B652" s="156" t="n"/>
      <c r="C652" s="156" t="n"/>
    </row>
    <row r="653" ht="15.75" customHeight="1" s="153">
      <c r="A653" s="285" t="inlineStr">
        <is>
          <t>URQUIZA 2031</t>
        </is>
      </c>
      <c r="B653" s="156" t="n"/>
      <c r="C653" s="156" t="n"/>
    </row>
    <row r="654" ht="15.75" customHeight="1" s="153">
      <c r="A654" s="287" t="inlineStr">
        <is>
          <t>USUARIO CALLE</t>
        </is>
      </c>
      <c r="B654" s="156" t="n"/>
      <c r="C654" s="156" t="n"/>
    </row>
    <row r="655" ht="15.75" customHeight="1" s="153">
      <c r="A655" s="285" t="inlineStr">
        <is>
          <t>VELEZ SARFIELD 5632</t>
        </is>
      </c>
      <c r="B655" s="156" t="n"/>
      <c r="C655" s="156" t="n"/>
    </row>
    <row r="656" ht="15.75" customHeight="1" s="153">
      <c r="A656" s="287" t="inlineStr">
        <is>
          <t>VERA MUJICA 420</t>
        </is>
      </c>
      <c r="B656" s="156" t="n"/>
      <c r="C656" s="156" t="n"/>
    </row>
    <row r="657" ht="15.75" customHeight="1" s="153">
      <c r="A657" s="285" t="inlineStr">
        <is>
          <t>VIANDA JORGE</t>
        </is>
      </c>
      <c r="B657" s="156" t="n"/>
      <c r="C657" s="156" t="n"/>
    </row>
    <row r="658" ht="15.75" customHeight="1" s="153">
      <c r="A658" s="287" t="inlineStr">
        <is>
          <t>VIANDAS JORGE</t>
        </is>
      </c>
      <c r="B658" s="156" t="n"/>
      <c r="C658" s="156" t="n"/>
    </row>
    <row r="659" ht="15.75" customHeight="1" s="153">
      <c r="A659" s="285" t="inlineStr">
        <is>
          <t>VIANDAS JORGE 1</t>
        </is>
      </c>
      <c r="B659" s="156" t="n"/>
      <c r="C659" s="156" t="n"/>
    </row>
    <row r="660" ht="15.75" customHeight="1" s="153">
      <c r="A660" s="287" t="inlineStr">
        <is>
          <t>VIANDAS ZEBALLOS</t>
        </is>
      </c>
      <c r="B660" s="156" t="n"/>
      <c r="C660" s="156" t="n"/>
    </row>
    <row r="661" ht="15.75" customHeight="1" s="153">
      <c r="A661" s="285" t="inlineStr">
        <is>
          <t>VICTO CAPE DRUGSTORE</t>
        </is>
      </c>
      <c r="B661" s="156" t="n"/>
      <c r="C661" s="156" t="n"/>
    </row>
    <row r="662" ht="15.75" customHeight="1" s="153">
      <c r="A662" s="287" t="inlineStr">
        <is>
          <t>VICTOR CAPE</t>
        </is>
      </c>
      <c r="B662" s="156" t="n"/>
      <c r="C662" s="156" t="n"/>
    </row>
    <row r="663" ht="15.75" customHeight="1" s="153">
      <c r="A663" s="285" t="inlineStr">
        <is>
          <t>VICTORIO</t>
        </is>
      </c>
      <c r="B663" s="156" t="n"/>
      <c r="C663" s="156" t="n"/>
    </row>
    <row r="664" ht="15.75" customHeight="1" s="153">
      <c r="A664" s="287" t="inlineStr">
        <is>
          <t>VIEYTES 4333</t>
        </is>
      </c>
      <c r="B664" s="156" t="n"/>
      <c r="C664" s="156" t="n"/>
    </row>
    <row r="665" ht="15.75" customHeight="1" s="153">
      <c r="A665" s="285" t="inlineStr">
        <is>
          <t>VIEYTES 4476</t>
        </is>
      </c>
      <c r="B665" s="156" t="n"/>
      <c r="C665" s="156" t="n"/>
    </row>
    <row r="666" ht="15.75" customHeight="1" s="153">
      <c r="A666" s="287" t="inlineStr">
        <is>
          <t>VIEYTES 4587</t>
        </is>
      </c>
      <c r="B666" s="156" t="n"/>
      <c r="C666" s="156" t="n"/>
    </row>
    <row r="667" ht="15.75" customHeight="1" s="153">
      <c r="A667" s="285" t="inlineStr">
        <is>
          <t>VIEYTES 5046</t>
        </is>
      </c>
      <c r="B667" s="156" t="n"/>
      <c r="C667" s="156" t="n"/>
    </row>
    <row r="668" ht="15.75" customHeight="1" s="153">
      <c r="A668" s="287" t="inlineStr">
        <is>
          <t>VIEYTES 5168</t>
        </is>
      </c>
      <c r="B668" s="156" t="n"/>
      <c r="C668" s="156" t="n"/>
    </row>
    <row r="669" ht="15.75" customHeight="1" s="153">
      <c r="A669" s="285" t="inlineStr">
        <is>
          <t>VIEYTES 5299</t>
        </is>
      </c>
      <c r="B669" s="156" t="n"/>
      <c r="C669" s="156" t="n"/>
    </row>
    <row r="670" ht="15.75" customHeight="1" s="153">
      <c r="A670" s="287" t="inlineStr">
        <is>
          <t>VIVERO</t>
        </is>
      </c>
      <c r="B670" s="156" t="n"/>
      <c r="C670" s="156" t="n"/>
    </row>
    <row r="671" ht="15.75" customHeight="1" s="153">
      <c r="A671" s="285" t="inlineStr">
        <is>
          <t>VIÑAS Y PAUCKE</t>
        </is>
      </c>
      <c r="B671" s="156" t="n"/>
      <c r="C671" s="156" t="n"/>
    </row>
    <row r="672" ht="15.75" customHeight="1" s="153">
      <c r="A672" s="287" t="inlineStr">
        <is>
          <t>WILLIAN</t>
        </is>
      </c>
      <c r="B672" s="156" t="n"/>
      <c r="C672" s="156" t="n"/>
    </row>
    <row r="673" ht="15.75" customHeight="1" s="153">
      <c r="A673" s="285" t="inlineStr">
        <is>
          <t>ZAVALIA 779</t>
        </is>
      </c>
      <c r="B673" s="156" t="n"/>
      <c r="C673" s="156" t="n"/>
    </row>
    <row r="674" ht="15.75" customHeight="1" s="153">
      <c r="A674" s="287" t="inlineStr">
        <is>
          <t>ZAVALLA 10319</t>
        </is>
      </c>
      <c r="B674" s="156" t="n"/>
      <c r="C674" s="156" t="n"/>
    </row>
    <row r="675" ht="15.75" customHeight="1" s="153">
      <c r="A675" s="285" t="inlineStr">
        <is>
          <t>ZAVALLA 2880</t>
        </is>
      </c>
      <c r="B675" s="156" t="n"/>
      <c r="C675" s="156" t="n"/>
    </row>
    <row r="676" ht="15.75" customHeight="1" s="153">
      <c r="A676" s="287" t="inlineStr">
        <is>
          <t>ZAVALLA 8455</t>
        </is>
      </c>
      <c r="B676" s="156" t="n"/>
      <c r="C676" s="156" t="n"/>
    </row>
    <row r="677" ht="15.75" customHeight="1" s="153">
      <c r="A677" s="285" t="n"/>
      <c r="B677" s="156" t="n"/>
      <c r="C677" s="156" t="n"/>
    </row>
    <row r="678" ht="15.75" customHeight="1" s="153">
      <c r="A678" s="287" t="n"/>
      <c r="B678" s="156" t="n"/>
      <c r="C678" s="156" t="n"/>
    </row>
    <row r="679" ht="15.75" customHeight="1" s="153">
      <c r="A679" s="285" t="n"/>
      <c r="B679" s="156" t="n"/>
      <c r="C679" s="156" t="n"/>
    </row>
    <row r="680" ht="15.75" customHeight="1" s="153">
      <c r="A680" s="287" t="n"/>
      <c r="B680" s="156" t="n"/>
      <c r="C680" s="156" t="n"/>
    </row>
    <row r="681" ht="15.75" customHeight="1" s="153">
      <c r="A681" s="285" t="n"/>
      <c r="B681" s="156" t="n"/>
      <c r="C681" s="156" t="n"/>
    </row>
    <row r="682" ht="15.75" customHeight="1" s="153">
      <c r="A682" s="287" t="n"/>
      <c r="B682" s="156" t="n"/>
      <c r="C682" s="156" t="n"/>
    </row>
    <row r="683" ht="15.75" customHeight="1" s="153">
      <c r="A683" s="285" t="n"/>
      <c r="B683" s="156" t="n"/>
      <c r="C683" s="156" t="n"/>
    </row>
    <row r="684" ht="15.75" customHeight="1" s="153">
      <c r="A684" s="287" t="n"/>
      <c r="B684" s="156" t="n"/>
      <c r="C684" s="156" t="n"/>
    </row>
    <row r="685" ht="15.75" customHeight="1" s="153">
      <c r="A685" s="285" t="n"/>
      <c r="B685" s="156" t="n"/>
      <c r="C685" s="156" t="n"/>
    </row>
    <row r="686" ht="15.75" customHeight="1" s="153">
      <c r="A686" s="287" t="n"/>
      <c r="B686" s="156" t="n"/>
      <c r="C686" s="156" t="n"/>
    </row>
    <row r="687" ht="15.75" customHeight="1" s="153">
      <c r="A687" s="285" t="n"/>
      <c r="B687" s="156" t="n"/>
      <c r="C687" s="156" t="n"/>
    </row>
    <row r="688" ht="15.75" customHeight="1" s="153">
      <c r="A688" s="287" t="n"/>
      <c r="B688" s="156" t="n"/>
      <c r="C688" s="156" t="n"/>
    </row>
    <row r="689" ht="15.75" customHeight="1" s="153">
      <c r="A689" s="285" t="n"/>
      <c r="B689" s="156" t="n"/>
      <c r="C689" s="156" t="n"/>
    </row>
    <row r="690" ht="15.75" customHeight="1" s="153">
      <c r="A690" s="287" t="n"/>
      <c r="B690" s="156" t="n"/>
      <c r="C690" s="156" t="n"/>
    </row>
    <row r="691" ht="15.75" customHeight="1" s="153">
      <c r="A691" s="285" t="n"/>
      <c r="B691" s="156" t="n"/>
      <c r="C691" s="156" t="n"/>
    </row>
    <row r="692" ht="15.75" customHeight="1" s="153">
      <c r="A692" s="287" t="n"/>
      <c r="B692" s="156" t="n"/>
      <c r="C692" s="156" t="n"/>
    </row>
    <row r="693" ht="15.75" customHeight="1" s="153">
      <c r="A693" s="285" t="n"/>
      <c r="B693" s="156" t="n"/>
      <c r="C693" s="156" t="n"/>
    </row>
    <row r="694" ht="15.75" customHeight="1" s="153">
      <c r="A694" s="287" t="n"/>
      <c r="B694" s="156" t="n"/>
      <c r="C694" s="156" t="n"/>
    </row>
    <row r="695" ht="15.75" customHeight="1" s="153">
      <c r="A695" s="285" t="n"/>
      <c r="B695" s="156" t="n"/>
      <c r="C695" s="156" t="n"/>
    </row>
    <row r="696" ht="15.75" customHeight="1" s="153">
      <c r="A696" s="287" t="n"/>
      <c r="B696" s="156" t="n"/>
      <c r="C696" s="156" t="n"/>
    </row>
    <row r="697" ht="15.75" customHeight="1" s="153">
      <c r="A697" s="285" t="n"/>
      <c r="B697" s="156" t="n"/>
      <c r="C697" s="156" t="n"/>
    </row>
    <row r="698" ht="15.75" customHeight="1" s="153">
      <c r="A698" s="287" t="n"/>
      <c r="B698" s="156" t="n"/>
      <c r="C698" s="156" t="n"/>
    </row>
    <row r="699" ht="15.75" customHeight="1" s="153">
      <c r="A699" s="285" t="n"/>
      <c r="B699" s="156" t="n"/>
      <c r="C699" s="156" t="n"/>
    </row>
    <row r="700" ht="15.75" customHeight="1" s="153">
      <c r="A700" s="287" t="n"/>
      <c r="B700" s="156" t="n"/>
      <c r="C700" s="156" t="n"/>
    </row>
    <row r="701" ht="15" customHeight="1" s="153">
      <c r="A701" s="156" t="n"/>
      <c r="B701" s="156" t="n"/>
      <c r="C701" s="156" t="n"/>
    </row>
    <row r="702" ht="15" customHeight="1" s="153">
      <c r="A702" s="156" t="n"/>
      <c r="B702" s="156" t="n"/>
      <c r="C702" s="156" t="n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A1:L19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52" min="1" max="1"/>
    <col width="32" customWidth="1" style="152" min="2" max="2"/>
    <col width="16" customWidth="1" style="152" min="3" max="4"/>
    <col width="9" customWidth="1" style="152" min="5" max="6"/>
    <col width="7" customWidth="1" style="152" min="7" max="11"/>
    <col width="14" customWidth="1" style="152" min="12" max="12"/>
  </cols>
  <sheetData>
    <row r="1" ht="37.5" customHeight="1" s="153">
      <c r="A1" s="289" t="inlineStr">
        <is>
          <t>🏆  RANKING ANUAL DE CLIENTES 2026</t>
        </is>
      </c>
      <c r="B1" s="211" t="n"/>
      <c r="C1" s="211" t="n"/>
      <c r="D1" s="211" t="n"/>
      <c r="E1" s="211" t="n"/>
      <c r="F1" s="211" t="n"/>
      <c r="G1" s="211" t="n"/>
      <c r="H1" s="211" t="n"/>
      <c r="I1" s="211" t="n"/>
      <c r="J1" s="211" t="n"/>
      <c r="K1" s="211" t="n"/>
      <c r="L1" s="211" t="n"/>
    </row>
    <row r="2" ht="27.75" customHeight="1" s="153">
      <c r="A2" s="290" t="inlineStr">
        <is>
          <t>🔍  Para buscar un cliente: usá la flecha ▼ de la columna CLIENTE en la tabla de abajo → destildá "Seleccionar todo" → tildá el cliente que querés.</t>
        </is>
      </c>
      <c r="B2" s="211" t="n"/>
      <c r="C2" s="211" t="n"/>
      <c r="D2" s="211" t="n"/>
      <c r="E2" s="211" t="n"/>
      <c r="F2" s="211" t="n"/>
      <c r="G2" s="211" t="n"/>
      <c r="H2" s="211" t="n"/>
      <c r="I2" s="211" t="n"/>
      <c r="J2" s="211" t="n"/>
      <c r="K2" s="211" t="n"/>
      <c r="L2" s="211" t="n"/>
    </row>
    <row r="3" ht="6" customHeight="1" s="153"/>
    <row r="4" ht="25.5" customHeight="1" s="153">
      <c r="A4" s="291" t="inlineStr">
        <is>
          <t>📊  RANKING ANUAL — ordenado por facturación total</t>
        </is>
      </c>
      <c r="B4" s="211" t="n"/>
      <c r="C4" s="211" t="n"/>
      <c r="D4" s="211" t="n"/>
      <c r="E4" s="211" t="n"/>
      <c r="F4" s="211" t="n"/>
      <c r="G4" s="211" t="n"/>
      <c r="H4" s="211" t="n"/>
      <c r="I4" s="211" t="n"/>
      <c r="J4" s="211" t="n"/>
      <c r="K4" s="211" t="n"/>
      <c r="L4" s="211" t="n"/>
    </row>
    <row r="5" ht="27.75" customHeight="1" s="153">
      <c r="A5" s="292" t="inlineStr">
        <is>
          <t>#</t>
        </is>
      </c>
      <c r="B5" s="292" t="inlineStr">
        <is>
          <t>Cliente</t>
        </is>
      </c>
      <c r="C5" s="292" t="inlineStr">
        <is>
          <t>Facturado ($)</t>
        </is>
      </c>
      <c r="D5" s="292" t="inlineStr">
        <is>
          <t>Ganancia ($)</t>
        </is>
      </c>
      <c r="E5" s="292" t="inlineStr">
        <is>
          <t>Margen %</t>
        </is>
      </c>
      <c r="F5" s="292" t="inlineStr">
        <is>
          <t>Pedidos</t>
        </is>
      </c>
      <c r="G5" s="292" t="inlineStr">
        <is>
          <t>10</t>
        </is>
      </c>
      <c r="H5" s="292" t="inlineStr">
        <is>
          <t>15</t>
        </is>
      </c>
      <c r="I5" s="292" t="inlineStr">
        <is>
          <t>45</t>
        </is>
      </c>
      <c r="J5" s="292" t="inlineStr">
        <is>
          <t>Yerba</t>
        </is>
      </c>
      <c r="K5" s="292" t="inlineStr">
        <is>
          <t>Agua</t>
        </is>
      </c>
      <c r="L5" s="292" t="inlineStr">
        <is>
          <t>Última compra</t>
        </is>
      </c>
    </row>
    <row r="6" ht="15.75" customHeight="1" s="153">
      <c r="A6" s="214" t="inlineStr">
        <is>
          <t>🥇</t>
        </is>
      </c>
      <c r="B6" s="215" t="inlineStr">
        <is>
          <t>OTNIEL</t>
        </is>
      </c>
      <c r="C6" s="216" t="n">
        <v>2968700</v>
      </c>
      <c r="D6" s="216" t="n">
        <v>1110860</v>
      </c>
      <c r="E6" s="293" t="n">
        <v>0.3742</v>
      </c>
      <c r="F6" s="294" t="n">
        <v>48</v>
      </c>
      <c r="G6" s="294" t="n">
        <v>8</v>
      </c>
      <c r="H6" s="294" t="n">
        <v>29</v>
      </c>
      <c r="I6" s="294" t="n">
        <v>20</v>
      </c>
      <c r="J6" s="294" t="n">
        <v>32</v>
      </c>
      <c r="K6" s="294" t="n">
        <v>40</v>
      </c>
      <c r="L6" s="215" t="inlineStr">
        <is>
          <t>31/05/2026</t>
        </is>
      </c>
    </row>
    <row r="7" ht="15.75" customHeight="1" s="153">
      <c r="A7" s="221" t="inlineStr">
        <is>
          <t>🥈</t>
        </is>
      </c>
      <c r="B7" s="215" t="inlineStr">
        <is>
          <t>FILOMENA</t>
        </is>
      </c>
      <c r="C7" s="216" t="n">
        <v>2464500</v>
      </c>
      <c r="D7" s="216" t="n">
        <v>902700</v>
      </c>
      <c r="E7" s="293" t="n">
        <v>0.3663</v>
      </c>
      <c r="F7" s="294" t="n">
        <v>68</v>
      </c>
      <c r="G7" s="294" t="n">
        <v>118</v>
      </c>
      <c r="H7" s="294" t="n"/>
      <c r="I7" s="294" t="n"/>
      <c r="J7" s="294" t="n"/>
      <c r="K7" s="294" t="n"/>
      <c r="L7" s="215" t="inlineStr">
        <is>
          <t>30/05/2026</t>
        </is>
      </c>
    </row>
    <row r="8" ht="15.75" customHeight="1" s="153">
      <c r="A8" s="214" t="inlineStr">
        <is>
          <t>🥉</t>
        </is>
      </c>
      <c r="B8" s="215" t="inlineStr">
        <is>
          <t>LUCHO</t>
        </is>
      </c>
      <c r="C8" s="216" t="n">
        <v>2381800</v>
      </c>
      <c r="D8" s="216" t="n">
        <v>562680</v>
      </c>
      <c r="E8" s="293" t="n">
        <v>0.2362</v>
      </c>
      <c r="F8" s="294" t="n">
        <v>73</v>
      </c>
      <c r="G8" s="294" t="n">
        <v>107</v>
      </c>
      <c r="H8" s="294" t="n">
        <v>18</v>
      </c>
      <c r="I8" s="294" t="n"/>
      <c r="J8" s="294" t="n"/>
      <c r="K8" s="294" t="n"/>
      <c r="L8" s="215" t="inlineStr">
        <is>
          <t>29/05/2026</t>
        </is>
      </c>
    </row>
    <row r="9" ht="15.75" customHeight="1" s="153">
      <c r="A9" s="221" t="n">
        <v>4</v>
      </c>
      <c r="B9" s="215" t="inlineStr">
        <is>
          <t>AZCUENAGA 5023</t>
        </is>
      </c>
      <c r="C9" s="216" t="n">
        <v>2318500</v>
      </c>
      <c r="D9" s="216" t="n">
        <v>496200</v>
      </c>
      <c r="E9" s="293" t="n">
        <v>0.214</v>
      </c>
      <c r="F9" s="294" t="n">
        <v>30</v>
      </c>
      <c r="G9" s="294" t="n">
        <v>123</v>
      </c>
      <c r="H9" s="294" t="n">
        <v>12</v>
      </c>
      <c r="I9" s="294" t="n"/>
      <c r="J9" s="294" t="n"/>
      <c r="K9" s="294" t="n">
        <v>10</v>
      </c>
      <c r="L9" s="215" t="inlineStr">
        <is>
          <t>14/05/2026</t>
        </is>
      </c>
    </row>
    <row r="10" ht="15.75" customHeight="1" s="153">
      <c r="A10" s="214" t="n">
        <v>5</v>
      </c>
      <c r="B10" s="215" t="inlineStr">
        <is>
          <t>CAREN</t>
        </is>
      </c>
      <c r="C10" s="216" t="n">
        <v>2219000</v>
      </c>
      <c r="D10" s="216" t="n">
        <v>671000</v>
      </c>
      <c r="E10" s="293" t="n">
        <v>0.3024</v>
      </c>
      <c r="F10" s="294" t="n">
        <v>29</v>
      </c>
      <c r="G10" s="294" t="n"/>
      <c r="H10" s="294" t="n"/>
      <c r="I10" s="294" t="n">
        <v>29</v>
      </c>
      <c r="J10" s="294" t="n"/>
      <c r="K10" s="294" t="n"/>
      <c r="L10" s="215" t="inlineStr">
        <is>
          <t>30/05/2026</t>
        </is>
      </c>
    </row>
    <row r="11" ht="15.75" customHeight="1" s="153">
      <c r="A11" s="221" t="n">
        <v>6</v>
      </c>
      <c r="B11" s="215" t="inlineStr">
        <is>
          <t>EXE</t>
        </is>
      </c>
      <c r="C11" s="216" t="n">
        <v>2101000</v>
      </c>
      <c r="D11" s="216" t="n">
        <v>631000</v>
      </c>
      <c r="E11" s="293" t="n">
        <v>0.3003</v>
      </c>
      <c r="F11" s="294" t="n">
        <v>26</v>
      </c>
      <c r="G11" s="294" t="n">
        <v>2</v>
      </c>
      <c r="H11" s="294" t="n"/>
      <c r="I11" s="294" t="n">
        <v>27</v>
      </c>
      <c r="J11" s="294" t="n"/>
      <c r="K11" s="294" t="n"/>
      <c r="L11" s="215" t="inlineStr">
        <is>
          <t>27/05/2026</t>
        </is>
      </c>
    </row>
    <row r="12" ht="15.75" customHeight="1" s="153">
      <c r="A12" s="214" t="n">
        <v>7</v>
      </c>
      <c r="B12" s="215" t="inlineStr">
        <is>
          <t>SABOREAR</t>
        </is>
      </c>
      <c r="C12" s="216" t="n">
        <v>1869500</v>
      </c>
      <c r="D12" s="216" t="n">
        <v>625750</v>
      </c>
      <c r="E12" s="293" t="n">
        <v>0.3347</v>
      </c>
      <c r="F12" s="294" t="n">
        <v>44</v>
      </c>
      <c r="G12" s="294" t="n">
        <v>34</v>
      </c>
      <c r="H12" s="294" t="n">
        <v>11</v>
      </c>
      <c r="I12" s="294" t="n">
        <v>11</v>
      </c>
      <c r="J12" s="294" t="n"/>
      <c r="K12" s="294" t="n"/>
      <c r="L12" s="215" t="inlineStr">
        <is>
          <t>30/05/2026</t>
        </is>
      </c>
    </row>
    <row r="13" ht="15.75" customHeight="1" s="153">
      <c r="A13" s="221" t="n">
        <v>8</v>
      </c>
      <c r="B13" s="215" t="inlineStr">
        <is>
          <t>TROPPO</t>
        </is>
      </c>
      <c r="C13" s="216" t="n">
        <v>1858000</v>
      </c>
      <c r="D13" s="216" t="n">
        <v>763600</v>
      </c>
      <c r="E13" s="293" t="n">
        <v>0.411</v>
      </c>
      <c r="F13" s="294" t="n">
        <v>15</v>
      </c>
      <c r="G13" s="294" t="n">
        <v>52</v>
      </c>
      <c r="H13" s="294" t="n"/>
      <c r="I13" s="294" t="n"/>
      <c r="J13" s="294" t="n"/>
      <c r="K13" s="294" t="n"/>
      <c r="L13" s="215" t="inlineStr">
        <is>
          <t>30/05/2026</t>
        </is>
      </c>
    </row>
    <row r="14" ht="15.75" customHeight="1" s="153">
      <c r="A14" s="214" t="n">
        <v>9</v>
      </c>
      <c r="B14" s="215" t="inlineStr">
        <is>
          <t>BRASERIA</t>
        </is>
      </c>
      <c r="C14" s="216" t="n">
        <v>1534000</v>
      </c>
      <c r="D14" s="216" t="n">
        <v>468200</v>
      </c>
      <c r="E14" s="293" t="n">
        <v>0.3052</v>
      </c>
      <c r="F14" s="294" t="n">
        <v>19</v>
      </c>
      <c r="G14" s="294" t="n">
        <v>1</v>
      </c>
      <c r="H14" s="294" t="n"/>
      <c r="I14" s="294" t="n">
        <v>19</v>
      </c>
      <c r="J14" s="294" t="n"/>
      <c r="K14" s="294" t="n"/>
      <c r="L14" s="215" t="inlineStr">
        <is>
          <t>29/05/2026</t>
        </is>
      </c>
    </row>
    <row r="15" ht="15.75" customHeight="1" s="153">
      <c r="A15" s="221" t="n">
        <v>10</v>
      </c>
      <c r="B15" s="215" t="inlineStr">
        <is>
          <t>PANA VIEYTES 4500</t>
        </is>
      </c>
      <c r="C15" s="216" t="n">
        <v>1498000</v>
      </c>
      <c r="D15" s="216" t="n">
        <v>390500</v>
      </c>
      <c r="E15" s="293" t="n">
        <v>0.2607</v>
      </c>
      <c r="F15" s="294" t="n">
        <v>20</v>
      </c>
      <c r="G15" s="294" t="n">
        <v>1</v>
      </c>
      <c r="H15" s="294" t="n"/>
      <c r="I15" s="294" t="n">
        <v>20</v>
      </c>
      <c r="J15" s="294" t="n"/>
      <c r="K15" s="294" t="n"/>
      <c r="L15" s="215" t="inlineStr">
        <is>
          <t>28/05/2026</t>
        </is>
      </c>
    </row>
    <row r="16" ht="15.75" customHeight="1" s="153">
      <c r="A16" s="214" t="n">
        <v>11</v>
      </c>
      <c r="B16" s="215" t="inlineStr">
        <is>
          <t>PANA GENESIO</t>
        </is>
      </c>
      <c r="C16" s="216" t="n">
        <v>1307500</v>
      </c>
      <c r="D16" s="216" t="n">
        <v>386000</v>
      </c>
      <c r="E16" s="293" t="n">
        <v>0.2952</v>
      </c>
      <c r="F16" s="294" t="n">
        <v>20</v>
      </c>
      <c r="G16" s="294" t="n">
        <v>5</v>
      </c>
      <c r="H16" s="294" t="n"/>
      <c r="I16" s="294" t="n">
        <v>17</v>
      </c>
      <c r="J16" s="294" t="n"/>
      <c r="K16" s="294" t="n"/>
      <c r="L16" s="215" t="inlineStr">
        <is>
          <t>27/05/2026</t>
        </is>
      </c>
    </row>
    <row r="17" ht="15.75" customHeight="1" s="153">
      <c r="A17" s="221" t="n">
        <v>12</v>
      </c>
      <c r="B17" s="215" t="inlineStr">
        <is>
          <t>PANA ALBERTI</t>
        </is>
      </c>
      <c r="C17" s="216" t="n">
        <v>1289000</v>
      </c>
      <c r="D17" s="216" t="n">
        <v>391750</v>
      </c>
      <c r="E17" s="293" t="n">
        <v>0.3039</v>
      </c>
      <c r="F17" s="294" t="n">
        <v>18</v>
      </c>
      <c r="G17" s="294" t="n">
        <v>3</v>
      </c>
      <c r="H17" s="294" t="n">
        <v>2</v>
      </c>
      <c r="I17" s="294" t="n">
        <v>15</v>
      </c>
      <c r="J17" s="294" t="n"/>
      <c r="K17" s="294" t="n"/>
      <c r="L17" s="215" t="inlineStr">
        <is>
          <t>28/05/2026</t>
        </is>
      </c>
    </row>
    <row r="18" ht="15.75" customHeight="1" s="153">
      <c r="A18" s="214" t="n">
        <v>13</v>
      </c>
      <c r="B18" s="215" t="inlineStr">
        <is>
          <t>SANDRA</t>
        </is>
      </c>
      <c r="C18" s="216" t="n">
        <v>1119500</v>
      </c>
      <c r="D18" s="216" t="n">
        <v>286810</v>
      </c>
      <c r="E18" s="293" t="n">
        <v>0.2562</v>
      </c>
      <c r="F18" s="294" t="n">
        <v>41</v>
      </c>
      <c r="G18" s="294" t="n">
        <v>50</v>
      </c>
      <c r="H18" s="294" t="n">
        <v>8</v>
      </c>
      <c r="I18" s="294" t="n"/>
      <c r="J18" s="294" t="n">
        <v>2</v>
      </c>
      <c r="K18" s="294" t="n">
        <v>11</v>
      </c>
      <c r="L18" s="215" t="inlineStr">
        <is>
          <t>30/05/2026</t>
        </is>
      </c>
    </row>
    <row r="19" ht="15.75" customHeight="1" s="153">
      <c r="A19" s="221" t="n">
        <v>14</v>
      </c>
      <c r="B19" s="215" t="inlineStr">
        <is>
          <t>DANA</t>
        </is>
      </c>
      <c r="C19" s="216" t="n">
        <v>1034000</v>
      </c>
      <c r="D19" s="216" t="n">
        <v>208800</v>
      </c>
      <c r="E19" s="293" t="n">
        <v>0.2019</v>
      </c>
      <c r="F19" s="294" t="n">
        <v>16</v>
      </c>
      <c r="G19" s="294" t="n">
        <v>48</v>
      </c>
      <c r="H19" s="294" t="n">
        <v>4</v>
      </c>
      <c r="I19" s="294" t="n"/>
      <c r="J19" s="294" t="n"/>
      <c r="K19" s="294" t="n"/>
      <c r="L19" s="215" t="inlineStr">
        <is>
          <t>28/05/2026</t>
        </is>
      </c>
    </row>
    <row r="20" ht="15.75" customHeight="1" s="153">
      <c r="A20" s="214" t="n">
        <v>15</v>
      </c>
      <c r="B20" s="215" t="inlineStr">
        <is>
          <t>ROTI AGUADO</t>
        </is>
      </c>
      <c r="C20" s="216" t="n">
        <v>958000</v>
      </c>
      <c r="D20" s="216" t="n">
        <v>308500</v>
      </c>
      <c r="E20" s="293" t="n">
        <v>0.322</v>
      </c>
      <c r="F20" s="294" t="n">
        <v>14</v>
      </c>
      <c r="G20" s="294" t="n">
        <v>5</v>
      </c>
      <c r="H20" s="294" t="n">
        <v>13</v>
      </c>
      <c r="I20" s="294" t="n">
        <v>6</v>
      </c>
      <c r="J20" s="294" t="n"/>
      <c r="K20" s="294" t="n"/>
      <c r="L20" s="215" t="inlineStr">
        <is>
          <t>28/05/2026</t>
        </is>
      </c>
    </row>
    <row r="21" ht="15.75" customHeight="1" s="153">
      <c r="A21" s="221" t="n">
        <v>16</v>
      </c>
      <c r="B21" s="215" t="inlineStr">
        <is>
          <t>9 DE JULIO 1144</t>
        </is>
      </c>
      <c r="C21" s="216" t="n">
        <v>945000</v>
      </c>
      <c r="D21" s="216" t="n">
        <v>316000</v>
      </c>
      <c r="E21" s="293" t="n">
        <v>0.3344</v>
      </c>
      <c r="F21" s="294" t="n">
        <v>6</v>
      </c>
      <c r="G21" s="294" t="n"/>
      <c r="H21" s="294" t="n"/>
      <c r="I21" s="294" t="n">
        <v>11</v>
      </c>
      <c r="J21" s="294" t="n"/>
      <c r="K21" s="294" t="n"/>
      <c r="L21" s="215" t="inlineStr">
        <is>
          <t>25/05/2026</t>
        </is>
      </c>
    </row>
    <row r="22" ht="15.75" customHeight="1" s="153">
      <c r="A22" s="214" t="n">
        <v>17</v>
      </c>
      <c r="B22" s="215" t="inlineStr">
        <is>
          <t>PAULO</t>
        </is>
      </c>
      <c r="C22" s="216" t="n">
        <v>900000</v>
      </c>
      <c r="D22" s="216" t="n">
        <v>186650</v>
      </c>
      <c r="E22" s="293" t="n">
        <v>0.2074</v>
      </c>
      <c r="F22" s="294" t="n">
        <v>22</v>
      </c>
      <c r="G22" s="294" t="n">
        <v>49</v>
      </c>
      <c r="H22" s="294" t="n">
        <v>3</v>
      </c>
      <c r="I22" s="294" t="n"/>
      <c r="J22" s="294" t="n"/>
      <c r="K22" s="294" t="n"/>
      <c r="L22" s="215" t="inlineStr">
        <is>
          <t>30/05/2026</t>
        </is>
      </c>
    </row>
    <row r="23" ht="15.75" customHeight="1" s="153">
      <c r="A23" s="221" t="n">
        <v>18</v>
      </c>
      <c r="B23" s="215" t="inlineStr">
        <is>
          <t>PANA GORRITI 4600</t>
        </is>
      </c>
      <c r="C23" s="216" t="n">
        <v>869000</v>
      </c>
      <c r="D23" s="216" t="n">
        <v>264000</v>
      </c>
      <c r="E23" s="293" t="n">
        <v>0.3038</v>
      </c>
      <c r="F23" s="294" t="n">
        <v>11</v>
      </c>
      <c r="G23" s="294" t="n"/>
      <c r="H23" s="294" t="n"/>
      <c r="I23" s="294" t="n">
        <v>11</v>
      </c>
      <c r="J23" s="294" t="n"/>
      <c r="K23" s="294" t="n"/>
      <c r="L23" s="215" t="inlineStr">
        <is>
          <t>25/05/2026</t>
        </is>
      </c>
    </row>
    <row r="24" ht="15.75" customHeight="1" s="153">
      <c r="A24" s="214" t="n">
        <v>19</v>
      </c>
      <c r="B24" s="215" t="inlineStr">
        <is>
          <t>DOMINGO SILVA 4217</t>
        </is>
      </c>
      <c r="C24" s="216" t="n">
        <v>765500</v>
      </c>
      <c r="D24" s="216" t="n">
        <v>175950</v>
      </c>
      <c r="E24" s="293" t="n">
        <v>0.2298</v>
      </c>
      <c r="F24" s="294" t="n">
        <v>14</v>
      </c>
      <c r="G24" s="294" t="n">
        <v>33</v>
      </c>
      <c r="H24" s="294" t="n">
        <v>7</v>
      </c>
      <c r="I24" s="294" t="n"/>
      <c r="J24" s="294" t="n"/>
      <c r="K24" s="294" t="n"/>
      <c r="L24" s="215" t="inlineStr">
        <is>
          <t>25/05/2026</t>
        </is>
      </c>
    </row>
    <row r="25" ht="15.75" customHeight="1" s="153">
      <c r="A25" s="221" t="n">
        <v>20</v>
      </c>
      <c r="B25" s="215" t="inlineStr">
        <is>
          <t>ROTI SAN LORENZO</t>
        </is>
      </c>
      <c r="C25" s="216" t="n">
        <v>758500</v>
      </c>
      <c r="D25" s="216" t="n">
        <v>279750</v>
      </c>
      <c r="E25" s="293" t="n">
        <v>0.3688</v>
      </c>
      <c r="F25" s="294" t="n">
        <v>9</v>
      </c>
      <c r="G25" s="294" t="n">
        <v>12</v>
      </c>
      <c r="H25" s="294" t="n">
        <v>10</v>
      </c>
      <c r="I25" s="294" t="n">
        <v>2</v>
      </c>
      <c r="J25" s="294" t="n"/>
      <c r="K25" s="294" t="n"/>
      <c r="L25" s="215" t="inlineStr">
        <is>
          <t>21/05/2026</t>
        </is>
      </c>
    </row>
    <row r="26" ht="15.75" customHeight="1" s="153">
      <c r="A26" s="214" t="n">
        <v>21</v>
      </c>
      <c r="B26" s="215" t="inlineStr">
        <is>
          <t>ROTI VIEYTES</t>
        </is>
      </c>
      <c r="C26" s="216" t="n">
        <v>745000</v>
      </c>
      <c r="D26" s="216" t="n">
        <v>192700</v>
      </c>
      <c r="E26" s="293" t="n">
        <v>0.2587</v>
      </c>
      <c r="F26" s="294" t="n">
        <v>14</v>
      </c>
      <c r="G26" s="294" t="n">
        <v>1</v>
      </c>
      <c r="H26" s="294" t="n">
        <v>26</v>
      </c>
      <c r="I26" s="294" t="n"/>
      <c r="J26" s="294" t="n"/>
      <c r="K26" s="294" t="n"/>
      <c r="L26" s="215" t="inlineStr">
        <is>
          <t>30/05/2026</t>
        </is>
      </c>
    </row>
    <row r="27" ht="15.75" customHeight="1" s="153">
      <c r="A27" s="221" t="n">
        <v>22</v>
      </c>
      <c r="B27" s="215" t="inlineStr">
        <is>
          <t>SANTA BAR 1 MAYO 1959</t>
        </is>
      </c>
      <c r="C27" s="216" t="n">
        <v>629000</v>
      </c>
      <c r="D27" s="216" t="n">
        <v>186000</v>
      </c>
      <c r="E27" s="293" t="n">
        <v>0.2957</v>
      </c>
      <c r="F27" s="294" t="n">
        <v>7</v>
      </c>
      <c r="G27" s="294" t="n">
        <v>1</v>
      </c>
      <c r="H27" s="294" t="n"/>
      <c r="I27" s="294" t="n">
        <v>7</v>
      </c>
      <c r="J27" s="294" t="n"/>
      <c r="K27" s="294" t="n"/>
      <c r="L27" s="215" t="inlineStr">
        <is>
          <t>23/05/2026</t>
        </is>
      </c>
    </row>
    <row r="28" ht="15.75" customHeight="1" s="153">
      <c r="A28" s="214" t="n">
        <v>23</v>
      </c>
      <c r="B28" s="215" t="inlineStr">
        <is>
          <t>COGORNO 5520</t>
        </is>
      </c>
      <c r="C28" s="216" t="n">
        <v>606500</v>
      </c>
      <c r="D28" s="216" t="n">
        <v>139400</v>
      </c>
      <c r="E28" s="293" t="n">
        <v>0.2298</v>
      </c>
      <c r="F28" s="294" t="n">
        <v>7</v>
      </c>
      <c r="G28" s="294" t="n">
        <v>35</v>
      </c>
      <c r="H28" s="294" t="n"/>
      <c r="I28" s="294" t="n"/>
      <c r="J28" s="294" t="n"/>
      <c r="K28" s="294" t="n"/>
      <c r="L28" s="215" t="inlineStr">
        <is>
          <t>22/05/2026</t>
        </is>
      </c>
    </row>
    <row r="29" ht="15.75" customHeight="1" s="153">
      <c r="A29" s="221" t="n">
        <v>24</v>
      </c>
      <c r="B29" s="215" t="inlineStr">
        <is>
          <t>PANA BERUTI 6400</t>
        </is>
      </c>
      <c r="C29" s="216" t="n">
        <v>576000</v>
      </c>
      <c r="D29" s="216" t="n">
        <v>133000</v>
      </c>
      <c r="E29" s="293" t="n">
        <v>0.2309</v>
      </c>
      <c r="F29" s="294" t="n">
        <v>7</v>
      </c>
      <c r="G29" s="294" t="n"/>
      <c r="H29" s="294" t="n"/>
      <c r="I29" s="294" t="n">
        <v>8</v>
      </c>
      <c r="J29" s="294" t="n"/>
      <c r="K29" s="294" t="n"/>
      <c r="L29" s="215" t="inlineStr">
        <is>
          <t>19/05/2026</t>
        </is>
      </c>
    </row>
    <row r="30" ht="15.75" customHeight="1" s="153">
      <c r="A30" s="214" t="n">
        <v>25</v>
      </c>
      <c r="B30" s="215" t="inlineStr">
        <is>
          <t>PANA VIEYTES 3800</t>
        </is>
      </c>
      <c r="C30" s="216" t="n">
        <v>571000</v>
      </c>
      <c r="D30" s="216" t="n">
        <v>170200</v>
      </c>
      <c r="E30" s="293" t="n">
        <v>0.2981</v>
      </c>
      <c r="F30" s="294" t="n">
        <v>7</v>
      </c>
      <c r="G30" s="294" t="n">
        <v>1</v>
      </c>
      <c r="H30" s="294" t="n"/>
      <c r="I30" s="294" t="n">
        <v>7</v>
      </c>
      <c r="J30" s="294" t="n"/>
      <c r="K30" s="294" t="n"/>
      <c r="L30" s="215" t="inlineStr">
        <is>
          <t>22/05/2026</t>
        </is>
      </c>
    </row>
    <row r="31" ht="15.75" customHeight="1" s="153">
      <c r="A31" s="221" t="n">
        <v>26</v>
      </c>
      <c r="B31" s="215" t="inlineStr">
        <is>
          <t>MARTINEZ 3221</t>
        </is>
      </c>
      <c r="C31" s="216" t="n">
        <v>469000</v>
      </c>
      <c r="D31" s="216" t="n">
        <v>174000</v>
      </c>
      <c r="E31" s="293" t="n">
        <v>0.371</v>
      </c>
      <c r="F31" s="294" t="n">
        <v>4</v>
      </c>
      <c r="G31" s="294" t="n">
        <v>5</v>
      </c>
      <c r="H31" s="294" t="n"/>
      <c r="I31" s="294" t="n">
        <v>4</v>
      </c>
      <c r="J31" s="294" t="n"/>
      <c r="K31" s="294" t="n"/>
      <c r="L31" s="215" t="inlineStr">
        <is>
          <t>27/05/2026</t>
        </is>
      </c>
    </row>
    <row r="32" ht="15.75" customHeight="1" s="153">
      <c r="A32" s="214" t="n">
        <v>27</v>
      </c>
      <c r="B32" s="215" t="inlineStr">
        <is>
          <t>LOBOS</t>
        </is>
      </c>
      <c r="C32" s="216" t="n">
        <v>457000</v>
      </c>
      <c r="D32" s="216" t="n">
        <v>159600</v>
      </c>
      <c r="E32" s="293" t="n">
        <v>0.3492</v>
      </c>
      <c r="F32" s="294" t="n">
        <v>4</v>
      </c>
      <c r="G32" s="294" t="n">
        <v>5</v>
      </c>
      <c r="H32" s="294" t="n">
        <v>2</v>
      </c>
      <c r="I32" s="294" t="n">
        <v>3</v>
      </c>
      <c r="J32" s="294" t="n"/>
      <c r="K32" s="294" t="n"/>
      <c r="L32" s="215" t="inlineStr">
        <is>
          <t>29/05/2026</t>
        </is>
      </c>
    </row>
    <row r="33" ht="15.75" customHeight="1" s="153">
      <c r="A33" s="221" t="n">
        <v>28</v>
      </c>
      <c r="B33" s="215" t="inlineStr">
        <is>
          <t>NACHO</t>
        </is>
      </c>
      <c r="C33" s="216" t="n">
        <v>449000</v>
      </c>
      <c r="D33" s="216" t="n">
        <v>144500</v>
      </c>
      <c r="E33" s="293" t="n">
        <v>0.3218</v>
      </c>
      <c r="F33" s="294" t="n">
        <v>18</v>
      </c>
      <c r="G33" s="294" t="n">
        <v>14</v>
      </c>
      <c r="H33" s="294" t="n">
        <v>7</v>
      </c>
      <c r="I33" s="294" t="n"/>
      <c r="J33" s="294" t="n"/>
      <c r="K33" s="294" t="n"/>
      <c r="L33" s="215" t="inlineStr">
        <is>
          <t>02/04/2026</t>
        </is>
      </c>
    </row>
    <row r="34" ht="15.75" customHeight="1" s="153">
      <c r="A34" s="214" t="n">
        <v>29</v>
      </c>
      <c r="B34" s="215" t="inlineStr">
        <is>
          <t>VIANDAS JORGE</t>
        </is>
      </c>
      <c r="C34" s="216" t="n">
        <v>423000</v>
      </c>
      <c r="D34" s="216" t="n">
        <v>132300</v>
      </c>
      <c r="E34" s="293" t="n">
        <v>0.3128</v>
      </c>
      <c r="F34" s="294" t="n">
        <v>19</v>
      </c>
      <c r="G34" s="294" t="n">
        <v>19</v>
      </c>
      <c r="H34" s="294" t="n"/>
      <c r="I34" s="294" t="n"/>
      <c r="J34" s="294" t="n"/>
      <c r="K34" s="294" t="n"/>
      <c r="L34" s="215" t="inlineStr">
        <is>
          <t>30/05/2026</t>
        </is>
      </c>
    </row>
    <row r="35" ht="15.75" customHeight="1" s="153">
      <c r="A35" s="221" t="n">
        <v>30</v>
      </c>
      <c r="B35" s="215" t="inlineStr">
        <is>
          <t>ASCUÉNAGA 5023</t>
        </is>
      </c>
      <c r="C35" s="216" t="n">
        <v>408500</v>
      </c>
      <c r="D35" s="216" t="n">
        <v>88200</v>
      </c>
      <c r="E35" s="293" t="n">
        <v>0.2159</v>
      </c>
      <c r="F35" s="294" t="n">
        <v>4</v>
      </c>
      <c r="G35" s="294" t="n">
        <v>16</v>
      </c>
      <c r="H35" s="294" t="n">
        <v>3</v>
      </c>
      <c r="I35" s="294" t="n"/>
      <c r="J35" s="294" t="n"/>
      <c r="K35" s="294" t="n"/>
      <c r="L35" s="215" t="inlineStr">
        <is>
          <t>29/05/2026</t>
        </is>
      </c>
    </row>
    <row r="36" ht="15.75" customHeight="1" s="153">
      <c r="A36" s="214" t="n">
        <v>31</v>
      </c>
      <c r="B36" s="215" t="inlineStr">
        <is>
          <t>CHICLANA 7325</t>
        </is>
      </c>
      <c r="C36" s="216" t="n">
        <v>405500</v>
      </c>
      <c r="D36" s="216" t="n">
        <v>84200</v>
      </c>
      <c r="E36" s="293" t="n">
        <v>0.2076</v>
      </c>
      <c r="F36" s="294" t="n">
        <v>17</v>
      </c>
      <c r="G36" s="294" t="n">
        <v>23</v>
      </c>
      <c r="H36" s="294" t="n"/>
      <c r="I36" s="294" t="n"/>
      <c r="J36" s="294" t="n"/>
      <c r="K36" s="294" t="n"/>
      <c r="L36" s="215" t="inlineStr">
        <is>
          <t>28/05/2026</t>
        </is>
      </c>
    </row>
    <row r="37" ht="15.75" customHeight="1" s="153">
      <c r="A37" s="221" t="n">
        <v>32</v>
      </c>
      <c r="B37" s="215" t="inlineStr">
        <is>
          <t>LOS PRIMOS</t>
        </is>
      </c>
      <c r="C37" s="216" t="n">
        <v>404000</v>
      </c>
      <c r="D37" s="216" t="n">
        <v>167000</v>
      </c>
      <c r="E37" s="293" t="n">
        <v>0.4134</v>
      </c>
      <c r="F37" s="294" t="n">
        <v>6</v>
      </c>
      <c r="G37" s="294" t="n">
        <v>12</v>
      </c>
      <c r="H37" s="294" t="n">
        <v>2</v>
      </c>
      <c r="I37" s="294" t="n"/>
      <c r="J37" s="294" t="n"/>
      <c r="K37" s="294" t="n"/>
      <c r="L37" s="215" t="inlineStr">
        <is>
          <t>31/05/2026</t>
        </is>
      </c>
    </row>
    <row r="38" ht="15.75" customHeight="1" s="153">
      <c r="A38" s="214" t="n">
        <v>33</v>
      </c>
      <c r="B38" s="215" t="inlineStr">
        <is>
          <t>GENERAL PAZ 7826</t>
        </is>
      </c>
      <c r="C38" s="216" t="n">
        <v>387000</v>
      </c>
      <c r="D38" s="216" t="n">
        <v>146000</v>
      </c>
      <c r="E38" s="293" t="n">
        <v>0.3773</v>
      </c>
      <c r="F38" s="294" t="n">
        <v>7</v>
      </c>
      <c r="G38" s="294" t="n">
        <v>6</v>
      </c>
      <c r="H38" s="294" t="n"/>
      <c r="I38" s="294" t="n">
        <v>3</v>
      </c>
      <c r="J38" s="294" t="n"/>
      <c r="K38" s="294" t="n"/>
      <c r="L38" s="215" t="inlineStr">
        <is>
          <t>14/05/2026</t>
        </is>
      </c>
    </row>
    <row r="39" ht="15.75" customHeight="1" s="153">
      <c r="A39" s="221" t="n">
        <v>34</v>
      </c>
      <c r="B39" s="215" t="inlineStr">
        <is>
          <t>SAVEDRA 10125</t>
        </is>
      </c>
      <c r="C39" s="216" t="n">
        <v>383000</v>
      </c>
      <c r="D39" s="216" t="n">
        <v>141300</v>
      </c>
      <c r="E39" s="293" t="n">
        <v>0.3689</v>
      </c>
      <c r="F39" s="294" t="n">
        <v>4</v>
      </c>
      <c r="G39" s="294" t="n"/>
      <c r="H39" s="294" t="n">
        <v>1</v>
      </c>
      <c r="I39" s="294" t="n">
        <v>4</v>
      </c>
      <c r="J39" s="294" t="n"/>
      <c r="K39" s="294" t="n"/>
      <c r="L39" s="215" t="inlineStr">
        <is>
          <t>15/05/2026</t>
        </is>
      </c>
    </row>
    <row r="40" ht="15.75" customHeight="1" s="153">
      <c r="A40" s="214" t="n">
        <v>35</v>
      </c>
      <c r="B40" s="215" t="inlineStr">
        <is>
          <t xml:space="preserve">ROTI VIEYTES </t>
        </is>
      </c>
      <c r="C40" s="216" t="n">
        <v>355000</v>
      </c>
      <c r="D40" s="216" t="n">
        <v>85000</v>
      </c>
      <c r="E40" s="293" t="n">
        <v>0.2394</v>
      </c>
      <c r="F40" s="294" t="n">
        <v>6</v>
      </c>
      <c r="G40" s="294" t="n"/>
      <c r="H40" s="294" t="n">
        <v>14</v>
      </c>
      <c r="I40" s="294" t="n"/>
      <c r="J40" s="294" t="n"/>
      <c r="K40" s="294" t="n"/>
      <c r="L40" s="215" t="inlineStr">
        <is>
          <t>17/04/2026</t>
        </is>
      </c>
    </row>
    <row r="41" ht="15.75" customHeight="1" s="153">
      <c r="A41" s="221" t="n">
        <v>36</v>
      </c>
      <c r="B41" s="215" t="inlineStr">
        <is>
          <t>RIO NEGRO 6558</t>
        </is>
      </c>
      <c r="C41" s="216" t="n">
        <v>347000</v>
      </c>
      <c r="D41" s="216" t="n">
        <v>253000</v>
      </c>
      <c r="E41" s="293" t="n">
        <v>0.7291</v>
      </c>
      <c r="F41" s="294" t="n">
        <v>2</v>
      </c>
      <c r="G41" s="294" t="n"/>
      <c r="H41" s="294" t="n"/>
      <c r="I41" s="294" t="n">
        <v>2</v>
      </c>
      <c r="J41" s="294" t="n"/>
      <c r="K41" s="294" t="n"/>
      <c r="L41" s="215" t="inlineStr">
        <is>
          <t>13/02/2026</t>
        </is>
      </c>
    </row>
    <row r="42" ht="15.75" customHeight="1" s="153">
      <c r="A42" s="214" t="n">
        <v>37</v>
      </c>
      <c r="B42" s="215" t="inlineStr">
        <is>
          <t>GOLD BURGER</t>
        </is>
      </c>
      <c r="C42" s="216" t="n">
        <v>347000</v>
      </c>
      <c r="D42" s="216" t="n">
        <v>141600</v>
      </c>
      <c r="E42" s="293" t="n">
        <v>0.4081</v>
      </c>
      <c r="F42" s="294" t="n">
        <v>3</v>
      </c>
      <c r="G42" s="294" t="n">
        <v>13</v>
      </c>
      <c r="H42" s="294" t="n"/>
      <c r="I42" s="294" t="n"/>
      <c r="J42" s="294" t="n"/>
      <c r="K42" s="294" t="n"/>
      <c r="L42" s="215" t="inlineStr">
        <is>
          <t>23/05/2026</t>
        </is>
      </c>
    </row>
    <row r="43" ht="15.75" customHeight="1" s="153">
      <c r="A43" s="221" t="n">
        <v>38</v>
      </c>
      <c r="B43" s="215" t="inlineStr">
        <is>
          <t>D SILVA 4217</t>
        </is>
      </c>
      <c r="C43" s="216" t="n">
        <v>345500</v>
      </c>
      <c r="D43" s="216" t="n">
        <v>74750</v>
      </c>
      <c r="E43" s="293" t="n">
        <v>0.2164</v>
      </c>
      <c r="F43" s="294" t="n">
        <v>7</v>
      </c>
      <c r="G43" s="294" t="n">
        <v>20</v>
      </c>
      <c r="H43" s="294" t="n">
        <v>1</v>
      </c>
      <c r="I43" s="294" t="n"/>
      <c r="J43" s="294" t="n"/>
      <c r="K43" s="294" t="n"/>
      <c r="L43" s="215" t="inlineStr">
        <is>
          <t>11/04/2026</t>
        </is>
      </c>
    </row>
    <row r="44" ht="15.75" customHeight="1" s="153">
      <c r="A44" s="214" t="n">
        <v>39</v>
      </c>
      <c r="B44" s="215" t="inlineStr">
        <is>
          <t>MARIO</t>
        </is>
      </c>
      <c r="C44" s="216" t="n">
        <v>335500</v>
      </c>
      <c r="D44" s="216" t="n">
        <v>69300</v>
      </c>
      <c r="E44" s="293" t="n">
        <v>0.2066</v>
      </c>
      <c r="F44" s="294" t="n">
        <v>6</v>
      </c>
      <c r="G44" s="294" t="n">
        <v>14</v>
      </c>
      <c r="H44" s="294" t="n">
        <v>2</v>
      </c>
      <c r="I44" s="294" t="n"/>
      <c r="J44" s="294" t="n"/>
      <c r="K44" s="294" t="n"/>
      <c r="L44" s="215" t="inlineStr">
        <is>
          <t>30/05/2026</t>
        </is>
      </c>
    </row>
    <row r="45" ht="15.75" customHeight="1" s="153">
      <c r="A45" s="221" t="n">
        <v>40</v>
      </c>
      <c r="B45" s="215" t="inlineStr">
        <is>
          <t>BERUTI 4075</t>
        </is>
      </c>
      <c r="C45" s="216" t="n">
        <v>334000</v>
      </c>
      <c r="D45" s="216" t="n">
        <v>116000</v>
      </c>
      <c r="E45" s="293" t="n">
        <v>0.3473</v>
      </c>
      <c r="F45" s="294" t="n">
        <v>2</v>
      </c>
      <c r="G45" s="294" t="n"/>
      <c r="H45" s="294" t="n"/>
      <c r="I45" s="294" t="n">
        <v>4</v>
      </c>
      <c r="J45" s="294" t="n"/>
      <c r="K45" s="294" t="n"/>
      <c r="L45" s="215" t="inlineStr">
        <is>
          <t>04/05/2026</t>
        </is>
      </c>
    </row>
    <row r="46" ht="15.75" customHeight="1" s="153">
      <c r="A46" s="214" t="n">
        <v>41</v>
      </c>
      <c r="B46" s="215" t="inlineStr">
        <is>
          <t>NAMUNCURA 4436</t>
        </is>
      </c>
      <c r="C46" s="216" t="n">
        <v>326000</v>
      </c>
      <c r="D46" s="216" t="n">
        <v>110000</v>
      </c>
      <c r="E46" s="293" t="n">
        <v>0.3374</v>
      </c>
      <c r="F46" s="294" t="n">
        <v>4</v>
      </c>
      <c r="G46" s="294" t="n"/>
      <c r="H46" s="294" t="n"/>
      <c r="I46" s="294" t="n">
        <v>4</v>
      </c>
      <c r="J46" s="294" t="n"/>
      <c r="K46" s="294" t="n"/>
      <c r="L46" s="215" t="inlineStr">
        <is>
          <t>05/05/2026</t>
        </is>
      </c>
    </row>
    <row r="47" ht="15.75" customHeight="1" s="153">
      <c r="A47" s="221" t="n">
        <v>42</v>
      </c>
      <c r="B47" s="215" t="inlineStr">
        <is>
          <t>GOLD BURGUER</t>
        </is>
      </c>
      <c r="C47" s="216" t="n">
        <v>322000</v>
      </c>
      <c r="D47" s="216" t="n">
        <v>134000</v>
      </c>
      <c r="E47" s="293" t="n">
        <v>0.4161</v>
      </c>
      <c r="F47" s="294" t="n">
        <v>2</v>
      </c>
      <c r="G47" s="294" t="n"/>
      <c r="H47" s="294" t="n"/>
      <c r="I47" s="294" t="n">
        <v>4</v>
      </c>
      <c r="J47" s="294" t="n">
        <v>6</v>
      </c>
      <c r="K47" s="294" t="n"/>
      <c r="L47" s="215" t="inlineStr">
        <is>
          <t>09/02/2026</t>
        </is>
      </c>
    </row>
    <row r="48" ht="15.75" customHeight="1" s="153">
      <c r="A48" s="214" t="n">
        <v>43</v>
      </c>
      <c r="B48" s="215" t="inlineStr">
        <is>
          <t xml:space="preserve">GOLD BURGUER </t>
        </is>
      </c>
      <c r="C48" s="216" t="n">
        <v>322000</v>
      </c>
      <c r="D48" s="216" t="n">
        <v>134000</v>
      </c>
      <c r="E48" s="293" t="n">
        <v>0.4161</v>
      </c>
      <c r="F48" s="294" t="n">
        <v>2</v>
      </c>
      <c r="G48" s="294" t="n"/>
      <c r="H48" s="294" t="n"/>
      <c r="I48" s="294" t="n">
        <v>4</v>
      </c>
      <c r="J48" s="294" t="n">
        <v>22</v>
      </c>
      <c r="K48" s="294" t="n"/>
      <c r="L48" s="215" t="inlineStr">
        <is>
          <t>20/02/2026</t>
        </is>
      </c>
    </row>
    <row r="49" ht="15.75" customHeight="1" s="153">
      <c r="A49" s="221" t="n">
        <v>44</v>
      </c>
      <c r="B49" s="215" t="inlineStr">
        <is>
          <t>PANA BERUTI 3850</t>
        </is>
      </c>
      <c r="C49" s="216" t="n">
        <v>317000</v>
      </c>
      <c r="D49" s="216" t="n">
        <v>77000</v>
      </c>
      <c r="E49" s="293" t="n">
        <v>0.2429</v>
      </c>
      <c r="F49" s="294" t="n">
        <v>3</v>
      </c>
      <c r="G49" s="294" t="n">
        <v>4</v>
      </c>
      <c r="H49" s="294" t="n"/>
      <c r="I49" s="294" t="n">
        <v>3</v>
      </c>
      <c r="J49" s="294" t="n"/>
      <c r="K49" s="294" t="n"/>
      <c r="L49" s="215" t="inlineStr">
        <is>
          <t>25/04/2026</t>
        </is>
      </c>
    </row>
    <row r="50" ht="15.75" customHeight="1" s="153">
      <c r="A50" s="214" t="n">
        <v>45</v>
      </c>
      <c r="B50" s="215" t="inlineStr">
        <is>
          <t>LOLI</t>
        </is>
      </c>
      <c r="C50" s="216" t="n">
        <v>313000</v>
      </c>
      <c r="D50" s="216" t="n">
        <v>120400</v>
      </c>
      <c r="E50" s="293" t="n">
        <v>0.3847</v>
      </c>
      <c r="F50" s="294" t="n">
        <v>6</v>
      </c>
      <c r="G50" s="294" t="n">
        <v>3</v>
      </c>
      <c r="H50" s="294" t="n">
        <v>1</v>
      </c>
      <c r="I50" s="294" t="n">
        <v>1</v>
      </c>
      <c r="J50" s="294" t="n">
        <v>2</v>
      </c>
      <c r="K50" s="294" t="n"/>
      <c r="L50" s="215" t="inlineStr">
        <is>
          <t>27/05/2026</t>
        </is>
      </c>
    </row>
    <row r="51" ht="15.75" customHeight="1" s="153">
      <c r="A51" s="221" t="n">
        <v>46</v>
      </c>
      <c r="B51" s="215" t="inlineStr">
        <is>
          <t xml:space="preserve">BRASERIA </t>
        </is>
      </c>
      <c r="C51" s="216" t="n">
        <v>303000</v>
      </c>
      <c r="D51" s="216" t="n">
        <v>100000</v>
      </c>
      <c r="E51" s="293" t="n">
        <v>0.33</v>
      </c>
      <c r="F51" s="294" t="n">
        <v>4</v>
      </c>
      <c r="G51" s="294" t="n"/>
      <c r="H51" s="294" t="n"/>
      <c r="I51" s="294" t="n">
        <v>4</v>
      </c>
      <c r="J51" s="294" t="n"/>
      <c r="K51" s="294" t="n"/>
      <c r="L51" s="215" t="inlineStr">
        <is>
          <t>04/04/2026</t>
        </is>
      </c>
    </row>
    <row r="52" ht="15.75" customHeight="1" s="153">
      <c r="A52" s="214" t="n">
        <v>47</v>
      </c>
      <c r="B52" s="215" t="inlineStr">
        <is>
          <t>PANA VIEYTES GISELA</t>
        </is>
      </c>
      <c r="C52" s="216" t="n">
        <v>290800</v>
      </c>
      <c r="D52" s="216" t="n">
        <v>106500</v>
      </c>
      <c r="E52" s="293" t="n">
        <v>0.3662</v>
      </c>
      <c r="F52" s="294" t="n">
        <v>14</v>
      </c>
      <c r="G52" s="294" t="n">
        <v>13</v>
      </c>
      <c r="H52" s="294" t="n"/>
      <c r="I52" s="294" t="n"/>
      <c r="J52" s="294" t="n"/>
      <c r="K52" s="294" t="n"/>
      <c r="L52" s="215" t="inlineStr">
        <is>
          <t>28/05/2026</t>
        </is>
      </c>
    </row>
    <row r="53" ht="15.75" customHeight="1" s="153">
      <c r="A53" s="221" t="n">
        <v>48</v>
      </c>
      <c r="B53" s="215" t="inlineStr">
        <is>
          <t>ALSINA 9251</t>
        </is>
      </c>
      <c r="C53" s="216" t="n">
        <v>278000</v>
      </c>
      <c r="D53" s="216" t="n">
        <v>106500</v>
      </c>
      <c r="E53" s="293" t="n">
        <v>0.3831</v>
      </c>
      <c r="F53" s="294" t="n">
        <v>3</v>
      </c>
      <c r="G53" s="294" t="n">
        <v>1</v>
      </c>
      <c r="H53" s="294" t="n"/>
      <c r="I53" s="294" t="n">
        <v>3</v>
      </c>
      <c r="J53" s="294" t="n"/>
      <c r="K53" s="294" t="n"/>
      <c r="L53" s="215" t="inlineStr">
        <is>
          <t>30/05/2026</t>
        </is>
      </c>
    </row>
    <row r="54" ht="15.75" customHeight="1" s="153">
      <c r="A54" s="214" t="n">
        <v>49</v>
      </c>
      <c r="B54" s="215" t="inlineStr">
        <is>
          <t>GABOTO 8168</t>
        </is>
      </c>
      <c r="C54" s="216" t="n">
        <v>266000</v>
      </c>
      <c r="D54" s="216" t="n">
        <v>84000</v>
      </c>
      <c r="E54" s="293" t="n">
        <v>0.3158</v>
      </c>
      <c r="F54" s="294" t="n">
        <v>3</v>
      </c>
      <c r="G54" s="294" t="n"/>
      <c r="H54" s="294" t="n"/>
      <c r="I54" s="294" t="n">
        <v>3</v>
      </c>
      <c r="J54" s="294" t="n"/>
      <c r="K54" s="294" t="n"/>
      <c r="L54" s="215" t="inlineStr">
        <is>
          <t>28/05/2026</t>
        </is>
      </c>
    </row>
    <row r="55" ht="15.75" customHeight="1" s="153">
      <c r="A55" s="221" t="n">
        <v>50</v>
      </c>
      <c r="B55" s="215" t="inlineStr">
        <is>
          <t>LAVAISE 3786</t>
        </is>
      </c>
      <c r="C55" s="216" t="n">
        <v>263500</v>
      </c>
      <c r="D55" s="216" t="n">
        <v>114200</v>
      </c>
      <c r="E55" s="293" t="n">
        <v>0.4334</v>
      </c>
      <c r="F55" s="294" t="n">
        <v>6</v>
      </c>
      <c r="G55" s="294" t="n">
        <v>7</v>
      </c>
      <c r="H55" s="294" t="n">
        <v>3</v>
      </c>
      <c r="I55" s="294" t="n"/>
      <c r="J55" s="294" t="n"/>
      <c r="K55" s="294" t="n"/>
      <c r="L55" s="215" t="inlineStr">
        <is>
          <t>27/05/2026</t>
        </is>
      </c>
    </row>
    <row r="56" ht="15.75" customHeight="1" s="153">
      <c r="A56" s="214" t="n">
        <v>51</v>
      </c>
      <c r="B56" s="215" t="inlineStr">
        <is>
          <t>GASTON AMARAL</t>
        </is>
      </c>
      <c r="C56" s="216" t="n">
        <v>263000</v>
      </c>
      <c r="D56" s="216" t="n">
        <v>89400</v>
      </c>
      <c r="E56" s="293" t="n">
        <v>0.3399</v>
      </c>
      <c r="F56" s="294" t="n">
        <v>3</v>
      </c>
      <c r="G56" s="294" t="n"/>
      <c r="H56" s="294" t="n"/>
      <c r="I56" s="294" t="n">
        <v>3</v>
      </c>
      <c r="J56" s="294" t="n"/>
      <c r="K56" s="294" t="n"/>
      <c r="L56" s="215" t="inlineStr">
        <is>
          <t>14/05/2026</t>
        </is>
      </c>
    </row>
    <row r="57" ht="15.75" customHeight="1" s="153">
      <c r="A57" s="221" t="n">
        <v>52</v>
      </c>
      <c r="B57" s="215" t="inlineStr">
        <is>
          <t>TACUARI 5717</t>
        </is>
      </c>
      <c r="C57" s="216" t="n">
        <v>255000</v>
      </c>
      <c r="D57" s="216" t="n">
        <v>110900</v>
      </c>
      <c r="E57" s="293" t="n">
        <v>0.4349</v>
      </c>
      <c r="F57" s="294" t="n">
        <v>10</v>
      </c>
      <c r="G57" s="294" t="n">
        <v>11</v>
      </c>
      <c r="H57" s="294" t="n"/>
      <c r="I57" s="294" t="n"/>
      <c r="J57" s="294" t="n"/>
      <c r="K57" s="294" t="n"/>
      <c r="L57" s="215" t="inlineStr">
        <is>
          <t>16/05/2026</t>
        </is>
      </c>
    </row>
    <row r="58" ht="15.75" customHeight="1" s="153">
      <c r="A58" s="214" t="n">
        <v>53</v>
      </c>
      <c r="B58" s="215" t="inlineStr">
        <is>
          <t>NOGALES 2412</t>
        </is>
      </c>
      <c r="C58" s="216" t="n">
        <v>255000</v>
      </c>
      <c r="D58" s="216" t="n">
        <v>97000</v>
      </c>
      <c r="E58" s="293" t="n">
        <v>0.3804</v>
      </c>
      <c r="F58" s="294" t="n">
        <v>3</v>
      </c>
      <c r="G58" s="294" t="n"/>
      <c r="H58" s="294" t="n"/>
      <c r="I58" s="294" t="n">
        <v>3</v>
      </c>
      <c r="J58" s="294" t="n"/>
      <c r="K58" s="294" t="n"/>
      <c r="L58" s="215" t="inlineStr">
        <is>
          <t>09/05/2026</t>
        </is>
      </c>
    </row>
    <row r="59" ht="15.75" customHeight="1" s="153">
      <c r="A59" s="221" t="n">
        <v>54</v>
      </c>
      <c r="B59" s="215" t="inlineStr">
        <is>
          <t>ESMERALDA 2376</t>
        </is>
      </c>
      <c r="C59" s="216" t="n">
        <v>246000</v>
      </c>
      <c r="D59" s="216" t="n">
        <v>77000</v>
      </c>
      <c r="E59" s="293" t="n">
        <v>0.313</v>
      </c>
      <c r="F59" s="294" t="n">
        <v>3</v>
      </c>
      <c r="G59" s="294" t="n"/>
      <c r="H59" s="294" t="n"/>
      <c r="I59" s="294" t="n">
        <v>3</v>
      </c>
      <c r="J59" s="294" t="n">
        <v>20</v>
      </c>
      <c r="K59" s="294" t="n"/>
      <c r="L59" s="215" t="inlineStr">
        <is>
          <t>18/05/2026</t>
        </is>
      </c>
    </row>
    <row r="60" ht="15.75" customHeight="1" s="153">
      <c r="A60" s="214" t="n">
        <v>55</v>
      </c>
      <c r="B60" s="215" t="inlineStr">
        <is>
          <t>PORKIS</t>
        </is>
      </c>
      <c r="C60" s="216" t="n">
        <v>241500</v>
      </c>
      <c r="D60" s="216" t="n">
        <v>78600</v>
      </c>
      <c r="E60" s="293" t="n">
        <v>0.3255</v>
      </c>
      <c r="F60" s="294" t="n">
        <v>7</v>
      </c>
      <c r="G60" s="294" t="n">
        <v>7</v>
      </c>
      <c r="H60" s="294" t="n"/>
      <c r="I60" s="294" t="n">
        <v>1</v>
      </c>
      <c r="J60" s="294" t="n"/>
      <c r="K60" s="294" t="n"/>
      <c r="L60" s="215" t="inlineStr">
        <is>
          <t>24/05/2026</t>
        </is>
      </c>
    </row>
    <row r="61" ht="15.75" customHeight="1" s="153">
      <c r="A61" s="221" t="n">
        <v>56</v>
      </c>
      <c r="B61" s="215" t="inlineStr">
        <is>
          <t>GOLD COSTA ESTE</t>
        </is>
      </c>
      <c r="C61" s="216" t="n">
        <v>231000</v>
      </c>
      <c r="D61" s="216" t="n">
        <v>90000</v>
      </c>
      <c r="E61" s="293" t="n">
        <v>0.3896</v>
      </c>
      <c r="F61" s="294" t="n">
        <v>1</v>
      </c>
      <c r="G61" s="294" t="n"/>
      <c r="H61" s="294" t="n"/>
      <c r="I61" s="294" t="n">
        <v>3</v>
      </c>
      <c r="J61" s="294" t="n"/>
      <c r="K61" s="294" t="n"/>
      <c r="L61" s="215" t="inlineStr">
        <is>
          <t>06/01/2026</t>
        </is>
      </c>
    </row>
    <row r="62" ht="15.75" customHeight="1" s="153">
      <c r="A62" s="214" t="n">
        <v>57</v>
      </c>
      <c r="B62" s="215" t="inlineStr">
        <is>
          <t>SANTA CRUZ 3051</t>
        </is>
      </c>
      <c r="C62" s="216" t="n">
        <v>231000</v>
      </c>
      <c r="D62" s="216" t="n">
        <v>51000</v>
      </c>
      <c r="E62" s="293" t="n">
        <v>0.2208</v>
      </c>
      <c r="F62" s="294" t="n">
        <v>3</v>
      </c>
      <c r="G62" s="294" t="n"/>
      <c r="H62" s="294" t="n"/>
      <c r="I62" s="294" t="n">
        <v>3</v>
      </c>
      <c r="J62" s="294" t="n"/>
      <c r="K62" s="294" t="n"/>
      <c r="L62" s="215" t="inlineStr">
        <is>
          <t>03/05/2026</t>
        </is>
      </c>
    </row>
    <row r="63" ht="15.75" customHeight="1" s="153">
      <c r="A63" s="221" t="n">
        <v>58</v>
      </c>
      <c r="B63" s="215" t="inlineStr">
        <is>
          <t>PEDRO CEBALLOS 8134</t>
        </is>
      </c>
      <c r="C63" s="216" t="n">
        <v>229000</v>
      </c>
      <c r="D63" s="216" t="n">
        <v>48800</v>
      </c>
      <c r="E63" s="293" t="n">
        <v>0.2131</v>
      </c>
      <c r="F63" s="294" t="n">
        <v>5</v>
      </c>
      <c r="G63" s="294" t="n">
        <v>13</v>
      </c>
      <c r="H63" s="294" t="n"/>
      <c r="I63" s="294" t="n"/>
      <c r="J63" s="294" t="n"/>
      <c r="K63" s="294" t="n"/>
      <c r="L63" s="215" t="inlineStr">
        <is>
          <t>18/05/2026</t>
        </is>
      </c>
    </row>
    <row r="64" ht="15.75" customHeight="1" s="153">
      <c r="A64" s="214" t="n">
        <v>59</v>
      </c>
      <c r="B64" s="215" t="inlineStr">
        <is>
          <t>MARIELA</t>
        </is>
      </c>
      <c r="C64" s="216" t="n">
        <v>219000</v>
      </c>
      <c r="D64" s="216" t="n">
        <v>53000</v>
      </c>
      <c r="E64" s="293" t="n">
        <v>0.242</v>
      </c>
      <c r="F64" s="294" t="n">
        <v>1</v>
      </c>
      <c r="G64" s="294" t="n"/>
      <c r="H64" s="294" t="n"/>
      <c r="I64" s="294" t="n">
        <v>2</v>
      </c>
      <c r="J64" s="294" t="n"/>
      <c r="K64" s="294" t="n">
        <v>5</v>
      </c>
      <c r="L64" s="215" t="inlineStr">
        <is>
          <t>25/03/2026</t>
        </is>
      </c>
    </row>
    <row r="65" ht="15.75" customHeight="1" s="153">
      <c r="A65" s="221" t="n">
        <v>60</v>
      </c>
      <c r="B65" s="215" t="inlineStr">
        <is>
          <t xml:space="preserve">PANA GENESIO </t>
        </is>
      </c>
      <c r="C65" s="216" t="n">
        <v>207000</v>
      </c>
      <c r="D65" s="216" t="n">
        <v>66000</v>
      </c>
      <c r="E65" s="293" t="n">
        <v>0.3188</v>
      </c>
      <c r="F65" s="294" t="n">
        <v>3</v>
      </c>
      <c r="G65" s="294" t="n"/>
      <c r="H65" s="294" t="n"/>
      <c r="I65" s="294" t="n">
        <v>3</v>
      </c>
      <c r="J65" s="294" t="n"/>
      <c r="K65" s="294" t="n"/>
      <c r="L65" s="215" t="inlineStr">
        <is>
          <t>27/02/2026</t>
        </is>
      </c>
    </row>
    <row r="66" ht="15.75" customHeight="1" s="153">
      <c r="A66" s="214" t="n">
        <v>61</v>
      </c>
      <c r="B66" s="215" t="inlineStr">
        <is>
          <t>LO DE NICO</t>
        </is>
      </c>
      <c r="C66" s="216" t="n">
        <v>205000</v>
      </c>
      <c r="D66" s="216" t="n">
        <v>47000</v>
      </c>
      <c r="E66" s="293" t="n">
        <v>0.2293</v>
      </c>
      <c r="F66" s="294" t="n">
        <v>3</v>
      </c>
      <c r="G66" s="294" t="n">
        <v>10</v>
      </c>
      <c r="H66" s="294" t="n"/>
      <c r="I66" s="294" t="n"/>
      <c r="J66" s="294" t="n"/>
      <c r="K66" s="294" t="n"/>
      <c r="L66" s="215" t="inlineStr">
        <is>
          <t>28/05/2026</t>
        </is>
      </c>
    </row>
    <row r="67" ht="15.75" customHeight="1" s="153">
      <c r="A67" s="221" t="n">
        <v>62</v>
      </c>
      <c r="B67" s="215" t="inlineStr">
        <is>
          <t>ALBERTI 4930</t>
        </is>
      </c>
      <c r="C67" s="216" t="n">
        <v>201000</v>
      </c>
      <c r="D67" s="216" t="n">
        <v>87900</v>
      </c>
      <c r="E67" s="293" t="n">
        <v>0.4373</v>
      </c>
      <c r="F67" s="294" t="n">
        <v>5</v>
      </c>
      <c r="G67" s="294" t="n"/>
      <c r="H67" s="294" t="n"/>
      <c r="I67" s="294" t="n">
        <v>2</v>
      </c>
      <c r="J67" s="294" t="n"/>
      <c r="K67" s="294" t="n"/>
      <c r="L67" s="215" t="inlineStr">
        <is>
          <t>29/04/2026</t>
        </is>
      </c>
    </row>
    <row r="68" ht="15.75" customHeight="1" s="153">
      <c r="A68" s="214" t="n">
        <v>63</v>
      </c>
      <c r="B68" s="215" t="inlineStr">
        <is>
          <t>LAVADERO</t>
        </is>
      </c>
      <c r="C68" s="216" t="n">
        <v>200000</v>
      </c>
      <c r="D68" s="216" t="n">
        <v>45800</v>
      </c>
      <c r="E68" s="293" t="n">
        <v>0.229</v>
      </c>
      <c r="F68" s="294" t="n">
        <v>9</v>
      </c>
      <c r="G68" s="294" t="n">
        <v>8</v>
      </c>
      <c r="H68" s="294" t="n">
        <v>3</v>
      </c>
      <c r="I68" s="294" t="n"/>
      <c r="J68" s="294" t="n"/>
      <c r="K68" s="294" t="n"/>
      <c r="L68" s="215" t="inlineStr">
        <is>
          <t>20/05/2026</t>
        </is>
      </c>
    </row>
    <row r="69" ht="15.75" customHeight="1" s="153">
      <c r="A69" s="221" t="n">
        <v>64</v>
      </c>
      <c r="B69" s="215" t="inlineStr">
        <is>
          <t>GABOTO 7320</t>
        </is>
      </c>
      <c r="C69" s="216" t="n">
        <v>196000</v>
      </c>
      <c r="D69" s="216" t="n">
        <v>59000</v>
      </c>
      <c r="E69" s="293" t="n">
        <v>0.301</v>
      </c>
      <c r="F69" s="294" t="n">
        <v>2</v>
      </c>
      <c r="G69" s="294" t="n">
        <v>1</v>
      </c>
      <c r="H69" s="294" t="n"/>
      <c r="I69" s="294" t="n">
        <v>2</v>
      </c>
      <c r="J69" s="294" t="n"/>
      <c r="K69" s="294" t="n"/>
      <c r="L69" s="215" t="inlineStr">
        <is>
          <t>16/05/2026</t>
        </is>
      </c>
    </row>
    <row r="70" ht="15.75" customHeight="1" s="153">
      <c r="A70" s="214" t="n">
        <v>65</v>
      </c>
      <c r="B70" s="215" t="inlineStr">
        <is>
          <t>COSTA ESTE 1980</t>
        </is>
      </c>
      <c r="C70" s="216" t="n">
        <v>196000</v>
      </c>
      <c r="D70" s="216" t="n">
        <v>85400</v>
      </c>
      <c r="E70" s="293" t="n">
        <v>0.4357</v>
      </c>
      <c r="F70" s="294" t="n">
        <v>2</v>
      </c>
      <c r="G70" s="294" t="n">
        <v>7</v>
      </c>
      <c r="H70" s="294" t="n"/>
      <c r="I70" s="294" t="n"/>
      <c r="J70" s="294" t="n"/>
      <c r="K70" s="294" t="n"/>
      <c r="L70" s="215" t="inlineStr">
        <is>
          <t>23/05/2026</t>
        </is>
      </c>
    </row>
    <row r="71" ht="15.75" customHeight="1" s="153">
      <c r="A71" s="221" t="n">
        <v>66</v>
      </c>
      <c r="B71" s="215" t="inlineStr">
        <is>
          <t>LARGUIA 6924</t>
        </is>
      </c>
      <c r="C71" s="216" t="n">
        <v>194500</v>
      </c>
      <c r="D71" s="216" t="n">
        <v>78100</v>
      </c>
      <c r="E71" s="293" t="n">
        <v>0.4015</v>
      </c>
      <c r="F71" s="294" t="n">
        <v>7</v>
      </c>
      <c r="G71" s="294" t="n">
        <v>8</v>
      </c>
      <c r="H71" s="294" t="n"/>
      <c r="I71" s="294" t="n"/>
      <c r="J71" s="294" t="n"/>
      <c r="K71" s="294" t="n"/>
      <c r="L71" s="215" t="inlineStr">
        <is>
          <t>27/05/2026</t>
        </is>
      </c>
    </row>
    <row r="72" ht="15.75" customHeight="1" s="153">
      <c r="A72" s="214" t="n">
        <v>67</v>
      </c>
      <c r="B72" s="215" t="inlineStr">
        <is>
          <t>PAVÓN 3435</t>
        </is>
      </c>
      <c r="C72" s="216" t="n">
        <v>194500</v>
      </c>
      <c r="D72" s="216" t="n">
        <v>61400</v>
      </c>
      <c r="E72" s="293" t="n">
        <v>0.3157</v>
      </c>
      <c r="F72" s="294" t="n">
        <v>3</v>
      </c>
      <c r="G72" s="294" t="n"/>
      <c r="H72" s="294" t="n">
        <v>3</v>
      </c>
      <c r="I72" s="294" t="n">
        <v>1</v>
      </c>
      <c r="J72" s="294" t="n"/>
      <c r="K72" s="294" t="n"/>
      <c r="L72" s="215" t="inlineStr">
        <is>
          <t>31/05/2026</t>
        </is>
      </c>
    </row>
    <row r="73" ht="15.75" customHeight="1" s="153">
      <c r="A73" s="221" t="n">
        <v>68</v>
      </c>
      <c r="B73" s="215" t="inlineStr">
        <is>
          <t>PUBLICO 2527</t>
        </is>
      </c>
      <c r="C73" s="216" t="n">
        <v>188000</v>
      </c>
      <c r="D73" s="216" t="n">
        <v>76050</v>
      </c>
      <c r="E73" s="293" t="n">
        <v>0.4045</v>
      </c>
      <c r="F73" s="294" t="n">
        <v>4</v>
      </c>
      <c r="G73" s="294" t="n">
        <v>3</v>
      </c>
      <c r="H73" s="294" t="n">
        <v>3</v>
      </c>
      <c r="I73" s="294" t="n"/>
      <c r="J73" s="294" t="n"/>
      <c r="K73" s="294" t="n"/>
      <c r="L73" s="215" t="inlineStr">
        <is>
          <t>28/05/2026</t>
        </is>
      </c>
    </row>
    <row r="74" ht="15.75" customHeight="1" s="153">
      <c r="A74" s="214" t="n">
        <v>69</v>
      </c>
      <c r="B74" s="215" t="inlineStr">
        <is>
          <t>FREY AROCA 9560 ESCUELA</t>
        </is>
      </c>
      <c r="C74" s="216" t="n">
        <v>187900</v>
      </c>
      <c r="D74" s="216" t="n">
        <v>67900</v>
      </c>
      <c r="E74" s="293" t="n">
        <v>0.3614</v>
      </c>
      <c r="F74" s="294" t="n">
        <v>1</v>
      </c>
      <c r="G74" s="294" t="n"/>
      <c r="H74" s="294" t="n"/>
      <c r="I74" s="294" t="n">
        <v>2</v>
      </c>
      <c r="J74" s="294" t="n"/>
      <c r="K74" s="294" t="n"/>
      <c r="L74" s="215" t="inlineStr">
        <is>
          <t>24/04/2026</t>
        </is>
      </c>
    </row>
    <row r="75" ht="15.75" customHeight="1" s="153">
      <c r="A75" s="221" t="n">
        <v>70</v>
      </c>
      <c r="B75" s="215" t="inlineStr">
        <is>
          <t>BAIGORRIA 9351</t>
        </is>
      </c>
      <c r="C75" s="216" t="n">
        <v>185000</v>
      </c>
      <c r="D75" s="216" t="n">
        <v>65000</v>
      </c>
      <c r="E75" s="293" t="n">
        <v>0.3514</v>
      </c>
      <c r="F75" s="294" t="n">
        <v>2</v>
      </c>
      <c r="G75" s="294" t="n"/>
      <c r="H75" s="294" t="n"/>
      <c r="I75" s="294" t="n">
        <v>2</v>
      </c>
      <c r="J75" s="294" t="n"/>
      <c r="K75" s="294" t="n"/>
      <c r="L75" s="215" t="inlineStr">
        <is>
          <t>06/05/2026</t>
        </is>
      </c>
    </row>
    <row r="76" ht="15.75" customHeight="1" s="153">
      <c r="A76" s="214" t="n">
        <v>71</v>
      </c>
      <c r="B76" s="215" t="inlineStr">
        <is>
          <t>FLORENCIO FERNANDEZ 6196</t>
        </is>
      </c>
      <c r="C76" s="216" t="n">
        <v>185000</v>
      </c>
      <c r="D76" s="216" t="n">
        <v>35000</v>
      </c>
      <c r="E76" s="293" t="n">
        <v>0.1892</v>
      </c>
      <c r="F76" s="294" t="n">
        <v>1</v>
      </c>
      <c r="G76" s="294" t="n">
        <v>10</v>
      </c>
      <c r="H76" s="294" t="n"/>
      <c r="I76" s="294" t="n"/>
      <c r="J76" s="294" t="n"/>
      <c r="K76" s="294" t="n"/>
      <c r="L76" s="215" t="inlineStr">
        <is>
          <t>02/05/2026</t>
        </is>
      </c>
    </row>
    <row r="77" ht="15.75" customHeight="1" s="153">
      <c r="A77" s="221" t="n">
        <v>72</v>
      </c>
      <c r="B77" s="215" t="inlineStr">
        <is>
          <t>VIEYTES 4361</t>
        </is>
      </c>
      <c r="C77" s="216" t="n">
        <v>180000</v>
      </c>
      <c r="D77" s="216" t="n">
        <v>71000</v>
      </c>
      <c r="E77" s="293" t="n">
        <v>0.3944</v>
      </c>
      <c r="F77" s="294" t="n">
        <v>4</v>
      </c>
      <c r="G77" s="294" t="n">
        <v>7</v>
      </c>
      <c r="H77" s="294" t="n"/>
      <c r="I77" s="294" t="n"/>
      <c r="J77" s="294" t="n"/>
      <c r="K77" s="294" t="n"/>
      <c r="L77" s="215" t="inlineStr">
        <is>
          <t>28/05/2026</t>
        </is>
      </c>
    </row>
    <row r="78" ht="15.75" customHeight="1" s="153">
      <c r="A78" s="214" t="n">
        <v>73</v>
      </c>
      <c r="B78" s="215" t="inlineStr">
        <is>
          <t>REMEDIO DE ESCALADA</t>
        </is>
      </c>
      <c r="C78" s="216" t="n">
        <v>180000</v>
      </c>
      <c r="D78" s="216" t="n">
        <v>60000</v>
      </c>
      <c r="E78" s="293" t="n">
        <v>0.3333</v>
      </c>
      <c r="F78" s="294" t="n">
        <v>1</v>
      </c>
      <c r="G78" s="294" t="n"/>
      <c r="H78" s="294" t="n"/>
      <c r="I78" s="294" t="n">
        <v>2</v>
      </c>
      <c r="J78" s="294" t="n"/>
      <c r="K78" s="294" t="n"/>
      <c r="L78" s="215" t="inlineStr">
        <is>
          <t>02/05/2026</t>
        </is>
      </c>
    </row>
    <row r="79" ht="15.75" customHeight="1" s="153">
      <c r="A79" s="221" t="n">
        <v>74</v>
      </c>
      <c r="B79" s="215" t="inlineStr">
        <is>
          <t>AZCUENAGA 6551</t>
        </is>
      </c>
      <c r="C79" s="216" t="n">
        <v>179500</v>
      </c>
      <c r="D79" s="216" t="n">
        <v>35400</v>
      </c>
      <c r="E79" s="293" t="n">
        <v>0.1972</v>
      </c>
      <c r="F79" s="294" t="n">
        <v>3</v>
      </c>
      <c r="G79" s="294" t="n">
        <v>8</v>
      </c>
      <c r="H79" s="294" t="n">
        <v>1</v>
      </c>
      <c r="I79" s="294" t="n"/>
      <c r="J79" s="294" t="n"/>
      <c r="K79" s="294" t="n"/>
      <c r="L79" s="215" t="inlineStr">
        <is>
          <t>23/05/2026</t>
        </is>
      </c>
    </row>
    <row r="80" ht="15.75" customHeight="1" s="153">
      <c r="A80" s="214" t="n">
        <v>75</v>
      </c>
      <c r="B80" s="215" t="inlineStr">
        <is>
          <t>DUSO 7678</t>
        </is>
      </c>
      <c r="C80" s="216" t="n">
        <v>178500</v>
      </c>
      <c r="D80" s="216" t="n">
        <v>36750</v>
      </c>
      <c r="E80" s="293" t="n">
        <v>0.2059</v>
      </c>
      <c r="F80" s="294" t="n">
        <v>1</v>
      </c>
      <c r="G80" s="294" t="n">
        <v>9</v>
      </c>
      <c r="H80" s="294" t="n">
        <v>1</v>
      </c>
      <c r="I80" s="294" t="n"/>
      <c r="J80" s="294" t="n"/>
      <c r="K80" s="294" t="n"/>
      <c r="L80" s="215" t="inlineStr">
        <is>
          <t>22/03/2026</t>
        </is>
      </c>
    </row>
    <row r="81" ht="15.75" customHeight="1" s="153">
      <c r="A81" s="221" t="n">
        <v>76</v>
      </c>
      <c r="B81" s="215" t="inlineStr">
        <is>
          <t>GRAL PAZ 7826</t>
        </is>
      </c>
      <c r="C81" s="216" t="n">
        <v>178000</v>
      </c>
      <c r="D81" s="216" t="n">
        <v>69500</v>
      </c>
      <c r="E81" s="293" t="n">
        <v>0.3904</v>
      </c>
      <c r="F81" s="294" t="n">
        <v>2</v>
      </c>
      <c r="G81" s="294" t="n">
        <v>1</v>
      </c>
      <c r="H81" s="294" t="n"/>
      <c r="I81" s="294" t="n">
        <v>2</v>
      </c>
      <c r="J81" s="294" t="n"/>
      <c r="K81" s="294" t="n"/>
      <c r="L81" s="215" t="inlineStr">
        <is>
          <t>14/03/2026</t>
        </is>
      </c>
    </row>
    <row r="82" ht="15.75" customHeight="1" s="153">
      <c r="A82" s="214" t="n">
        <v>77</v>
      </c>
      <c r="B82" s="215" t="inlineStr">
        <is>
          <t>ANGEL</t>
        </is>
      </c>
      <c r="C82" s="216" t="n">
        <v>175000</v>
      </c>
      <c r="D82" s="216" t="n">
        <v>33250</v>
      </c>
      <c r="E82" s="293" t="n">
        <v>0.19</v>
      </c>
      <c r="F82" s="294" t="n">
        <v>7</v>
      </c>
      <c r="G82" s="294" t="n">
        <v>7</v>
      </c>
      <c r="H82" s="294" t="n">
        <v>2</v>
      </c>
      <c r="I82" s="294" t="n"/>
      <c r="J82" s="294" t="n"/>
      <c r="K82" s="294" t="n"/>
      <c r="L82" s="215" t="inlineStr">
        <is>
          <t>29/04/2026</t>
        </is>
      </c>
    </row>
    <row r="83" ht="15.75" customHeight="1" s="153">
      <c r="A83" s="221" t="n">
        <v>78</v>
      </c>
      <c r="B83" s="215" t="inlineStr">
        <is>
          <t>MARCE DUSO</t>
        </is>
      </c>
      <c r="C83" s="216" t="n">
        <v>174000</v>
      </c>
      <c r="D83" s="216" t="n">
        <v>43300</v>
      </c>
      <c r="E83" s="293" t="n">
        <v>0.2489</v>
      </c>
      <c r="F83" s="294" t="n">
        <v>2</v>
      </c>
      <c r="G83" s="294" t="n">
        <v>3</v>
      </c>
      <c r="H83" s="294" t="n">
        <v>1</v>
      </c>
      <c r="I83" s="294" t="n">
        <v>1</v>
      </c>
      <c r="J83" s="294" t="n"/>
      <c r="K83" s="294" t="n"/>
      <c r="L83" s="215" t="inlineStr">
        <is>
          <t>22/05/2026</t>
        </is>
      </c>
    </row>
    <row r="84" ht="15.75" customHeight="1" s="153">
      <c r="A84" s="214" t="n">
        <v>79</v>
      </c>
      <c r="B84" s="215" t="inlineStr">
        <is>
          <t>PANA GORRITI 6500</t>
        </is>
      </c>
      <c r="C84" s="216" t="n">
        <v>173000</v>
      </c>
      <c r="D84" s="216" t="n">
        <v>51000</v>
      </c>
      <c r="E84" s="293" t="n">
        <v>0.2948</v>
      </c>
      <c r="F84" s="294" t="n">
        <v>2</v>
      </c>
      <c r="G84" s="294" t="n"/>
      <c r="H84" s="294" t="n"/>
      <c r="I84" s="294" t="n">
        <v>2</v>
      </c>
      <c r="J84" s="294" t="n"/>
      <c r="K84" s="294" t="n"/>
      <c r="L84" s="215" t="inlineStr">
        <is>
          <t>15/05/2026</t>
        </is>
      </c>
    </row>
    <row r="85" ht="15.75" customHeight="1" s="153">
      <c r="A85" s="221" t="n">
        <v>80</v>
      </c>
      <c r="B85" s="215" t="inlineStr">
        <is>
          <t>TERE</t>
        </is>
      </c>
      <c r="C85" s="216" t="n">
        <v>172000</v>
      </c>
      <c r="D85" s="216" t="n">
        <v>52000</v>
      </c>
      <c r="E85" s="293" t="n">
        <v>0.3023</v>
      </c>
      <c r="F85" s="294" t="n">
        <v>1</v>
      </c>
      <c r="G85" s="294" t="n"/>
      <c r="H85" s="294" t="n"/>
      <c r="I85" s="294" t="n">
        <v>2</v>
      </c>
      <c r="J85" s="294" t="n"/>
      <c r="K85" s="294" t="n"/>
      <c r="L85" s="215" t="inlineStr">
        <is>
          <t>02/04/2026</t>
        </is>
      </c>
    </row>
    <row r="86" ht="15.75" customHeight="1" s="153">
      <c r="A86" s="214" t="n">
        <v>81</v>
      </c>
      <c r="B86" s="215" t="inlineStr">
        <is>
          <t>ARENALES 10625</t>
        </is>
      </c>
      <c r="C86" s="216" t="n">
        <v>172000</v>
      </c>
      <c r="D86" s="216" t="n">
        <v>31000</v>
      </c>
      <c r="E86" s="293" t="n">
        <v>0.1802</v>
      </c>
      <c r="F86" s="294" t="n">
        <v>3</v>
      </c>
      <c r="G86" s="294" t="n">
        <v>5</v>
      </c>
      <c r="H86" s="294" t="n"/>
      <c r="I86" s="294" t="n">
        <v>1</v>
      </c>
      <c r="J86" s="294" t="n"/>
      <c r="K86" s="294" t="n"/>
      <c r="L86" s="215" t="inlineStr">
        <is>
          <t>23/05/2026</t>
        </is>
      </c>
    </row>
    <row r="87" ht="15.75" customHeight="1" s="153">
      <c r="A87" s="221" t="n">
        <v>82</v>
      </c>
      <c r="B87" s="215" t="inlineStr">
        <is>
          <t>LARGUIA 7186</t>
        </is>
      </c>
      <c r="C87" s="216" t="n">
        <v>171000</v>
      </c>
      <c r="D87" s="216" t="n">
        <v>49000</v>
      </c>
      <c r="E87" s="293" t="n">
        <v>0.2865</v>
      </c>
      <c r="F87" s="294" t="n">
        <v>2</v>
      </c>
      <c r="G87" s="294" t="n"/>
      <c r="H87" s="294" t="n"/>
      <c r="I87" s="294" t="n">
        <v>2</v>
      </c>
      <c r="J87" s="294" t="n"/>
      <c r="K87" s="294" t="n"/>
      <c r="L87" s="215" t="inlineStr">
        <is>
          <t>16/05/2026</t>
        </is>
      </c>
    </row>
    <row r="88" ht="15.75" customHeight="1" s="153">
      <c r="A88" s="214" t="n">
        <v>83</v>
      </c>
      <c r="B88" s="215" t="inlineStr">
        <is>
          <t>HUERGO 3961</t>
        </is>
      </c>
      <c r="C88" s="216" t="n">
        <v>170000</v>
      </c>
      <c r="D88" s="216" t="n">
        <v>46000</v>
      </c>
      <c r="E88" s="293" t="n">
        <v>0.2706</v>
      </c>
      <c r="F88" s="294" t="n">
        <v>1</v>
      </c>
      <c r="G88" s="294" t="n"/>
      <c r="H88" s="294" t="n"/>
      <c r="I88" s="294" t="n">
        <v>2</v>
      </c>
      <c r="J88" s="294" t="n"/>
      <c r="K88" s="294" t="n"/>
      <c r="L88" s="215" t="inlineStr">
        <is>
          <t>22/05/2026</t>
        </is>
      </c>
    </row>
    <row r="89" ht="15.75" customHeight="1" s="153">
      <c r="A89" s="221" t="n">
        <v>84</v>
      </c>
      <c r="B89" s="215" t="inlineStr">
        <is>
          <t xml:space="preserve">ROTI SAN LORENZO </t>
        </is>
      </c>
      <c r="C89" s="216" t="n">
        <v>168000</v>
      </c>
      <c r="D89" s="216" t="n">
        <v>66750</v>
      </c>
      <c r="E89" s="293" t="n">
        <v>0.3973</v>
      </c>
      <c r="F89" s="294" t="n">
        <v>2</v>
      </c>
      <c r="G89" s="294" t="n">
        <v>3</v>
      </c>
      <c r="H89" s="294" t="n">
        <v>3</v>
      </c>
      <c r="I89" s="294" t="n"/>
      <c r="J89" s="294" t="n"/>
      <c r="K89" s="294" t="n"/>
      <c r="L89" s="215" t="inlineStr">
        <is>
          <t>15/04/2026</t>
        </is>
      </c>
    </row>
    <row r="90" ht="15.75" customHeight="1" s="153">
      <c r="A90" s="214" t="n">
        <v>85</v>
      </c>
      <c r="B90" s="215" t="inlineStr">
        <is>
          <t>MARCIAL CANDIOTI 8968</t>
        </is>
      </c>
      <c r="C90" s="216" t="n">
        <v>168000</v>
      </c>
      <c r="D90" s="216" t="n">
        <v>59000</v>
      </c>
      <c r="E90" s="293" t="n">
        <v>0.3512</v>
      </c>
      <c r="F90" s="294" t="n">
        <v>2</v>
      </c>
      <c r="G90" s="294" t="n"/>
      <c r="H90" s="294" t="n"/>
      <c r="I90" s="294" t="n">
        <v>2</v>
      </c>
      <c r="J90" s="294" t="n"/>
      <c r="K90" s="294" t="n"/>
      <c r="L90" s="215" t="inlineStr">
        <is>
          <t>09/05/2026</t>
        </is>
      </c>
    </row>
    <row r="91" ht="15.75" customHeight="1" s="153">
      <c r="A91" s="221" t="n">
        <v>86</v>
      </c>
      <c r="B91" s="215" t="inlineStr">
        <is>
          <t>RIVADAVIA 8280</t>
        </is>
      </c>
      <c r="C91" s="216" t="n">
        <v>168000</v>
      </c>
      <c r="D91" s="216" t="n">
        <v>61000</v>
      </c>
      <c r="E91" s="293" t="n">
        <v>0.3631</v>
      </c>
      <c r="F91" s="294" t="n">
        <v>2</v>
      </c>
      <c r="G91" s="294" t="n"/>
      <c r="H91" s="294" t="n"/>
      <c r="I91" s="294" t="n">
        <v>2</v>
      </c>
      <c r="J91" s="294" t="n"/>
      <c r="K91" s="294" t="n"/>
      <c r="L91" s="215" t="inlineStr">
        <is>
          <t>01/05/2026</t>
        </is>
      </c>
    </row>
    <row r="92" ht="15.75" customHeight="1" s="153">
      <c r="A92" s="214" t="n">
        <v>87</v>
      </c>
      <c r="B92" s="215" t="inlineStr">
        <is>
          <t>PIEDRABUENA 4506</t>
        </is>
      </c>
      <c r="C92" s="216" t="n">
        <v>168000</v>
      </c>
      <c r="D92" s="216" t="n">
        <v>59000</v>
      </c>
      <c r="E92" s="293" t="n">
        <v>0.3512</v>
      </c>
      <c r="F92" s="294" t="n">
        <v>2</v>
      </c>
      <c r="G92" s="294" t="n"/>
      <c r="H92" s="294" t="n"/>
      <c r="I92" s="294" t="n">
        <v>2</v>
      </c>
      <c r="J92" s="294" t="n"/>
      <c r="K92" s="294" t="n"/>
      <c r="L92" s="215" t="inlineStr">
        <is>
          <t>01/05/2026</t>
        </is>
      </c>
    </row>
    <row r="93" ht="15.75" customHeight="1" s="153">
      <c r="A93" s="221" t="n">
        <v>88</v>
      </c>
      <c r="B93" s="215" t="inlineStr">
        <is>
          <t>GOROSTIAGA 4659</t>
        </is>
      </c>
      <c r="C93" s="216" t="n">
        <v>168000</v>
      </c>
      <c r="D93" s="216" t="n">
        <v>57000</v>
      </c>
      <c r="E93" s="293" t="n">
        <v>0.3393</v>
      </c>
      <c r="F93" s="294" t="n">
        <v>2</v>
      </c>
      <c r="G93" s="294" t="n"/>
      <c r="H93" s="294" t="n"/>
      <c r="I93" s="294" t="n">
        <v>2</v>
      </c>
      <c r="J93" s="294" t="n"/>
      <c r="K93" s="294" t="n"/>
      <c r="L93" s="215" t="inlineStr">
        <is>
          <t>15/05/2026</t>
        </is>
      </c>
    </row>
    <row r="94" ht="15.75" customHeight="1" s="153">
      <c r="A94" s="214" t="n">
        <v>89</v>
      </c>
      <c r="B94" s="215" t="inlineStr">
        <is>
          <t>DAMIANOVICH 6212</t>
        </is>
      </c>
      <c r="C94" s="216" t="n">
        <v>167000</v>
      </c>
      <c r="D94" s="216" t="n">
        <v>58000</v>
      </c>
      <c r="E94" s="293" t="n">
        <v>0.3473</v>
      </c>
      <c r="F94" s="294" t="n">
        <v>2</v>
      </c>
      <c r="G94" s="294" t="n"/>
      <c r="H94" s="294" t="n"/>
      <c r="I94" s="294" t="n">
        <v>2</v>
      </c>
      <c r="J94" s="294" t="n"/>
      <c r="K94" s="294" t="n"/>
      <c r="L94" s="215" t="inlineStr">
        <is>
          <t>14/05/2026</t>
        </is>
      </c>
    </row>
    <row r="95" ht="15.75" customHeight="1" s="153">
      <c r="A95" s="221" t="n">
        <v>90</v>
      </c>
      <c r="B95" s="215" t="inlineStr">
        <is>
          <t>ALSINA 7980</t>
        </is>
      </c>
      <c r="C95" s="216" t="n">
        <v>167000</v>
      </c>
      <c r="D95" s="216" t="n">
        <v>63700</v>
      </c>
      <c r="E95" s="293" t="n">
        <v>0.3814</v>
      </c>
      <c r="F95" s="294" t="n">
        <v>4</v>
      </c>
      <c r="G95" s="294" t="n">
        <v>3</v>
      </c>
      <c r="H95" s="294" t="n"/>
      <c r="I95" s="294" t="n">
        <v>1</v>
      </c>
      <c r="J95" s="294" t="n"/>
      <c r="K95" s="294" t="n"/>
      <c r="L95" s="215" t="inlineStr">
        <is>
          <t>09/05/2026</t>
        </is>
      </c>
    </row>
    <row r="96" ht="15.75" customHeight="1" s="153">
      <c r="A96" s="214" t="n">
        <v>91</v>
      </c>
      <c r="B96" s="215" t="inlineStr">
        <is>
          <t>PUBLICO 8821</t>
        </is>
      </c>
      <c r="C96" s="216" t="n">
        <v>166000</v>
      </c>
      <c r="D96" s="216" t="n">
        <v>57000</v>
      </c>
      <c r="E96" s="293" t="n">
        <v>0.3434</v>
      </c>
      <c r="F96" s="294" t="n">
        <v>2</v>
      </c>
      <c r="G96" s="294" t="n"/>
      <c r="H96" s="294" t="n"/>
      <c r="I96" s="294" t="n">
        <v>2</v>
      </c>
      <c r="J96" s="294" t="n"/>
      <c r="K96" s="294" t="n"/>
      <c r="L96" s="215" t="inlineStr">
        <is>
          <t>13/05/2026</t>
        </is>
      </c>
    </row>
    <row r="97" ht="15.75" customHeight="1" s="153">
      <c r="A97" s="221" t="n">
        <v>92</v>
      </c>
      <c r="B97" s="215" t="inlineStr">
        <is>
          <t>J D SOLIS 10529</t>
        </is>
      </c>
      <c r="C97" s="216" t="n">
        <v>166000</v>
      </c>
      <c r="D97" s="216" t="n">
        <v>68000</v>
      </c>
      <c r="E97" s="293" t="n">
        <v>0.4096</v>
      </c>
      <c r="F97" s="294" t="n">
        <v>1</v>
      </c>
      <c r="G97" s="294" t="n"/>
      <c r="H97" s="294" t="n"/>
      <c r="I97" s="294" t="n">
        <v>2</v>
      </c>
      <c r="J97" s="294" t="n"/>
      <c r="K97" s="294" t="n"/>
      <c r="L97" s="215" t="inlineStr">
        <is>
          <t>14/03/2026</t>
        </is>
      </c>
    </row>
    <row r="98" ht="15.75" customHeight="1" s="153">
      <c r="A98" s="214" t="n">
        <v>93</v>
      </c>
      <c r="B98" s="215" t="inlineStr">
        <is>
          <t>ALBERTI 5570</t>
        </is>
      </c>
      <c r="C98" s="216" t="n">
        <v>166000</v>
      </c>
      <c r="D98" s="216" t="n">
        <v>46000</v>
      </c>
      <c r="E98" s="293" t="n">
        <v>0.2771</v>
      </c>
      <c r="F98" s="294" t="n">
        <v>1</v>
      </c>
      <c r="G98" s="294" t="n"/>
      <c r="H98" s="294" t="n"/>
      <c r="I98" s="294" t="n">
        <v>2</v>
      </c>
      <c r="J98" s="294" t="n"/>
      <c r="K98" s="294" t="n"/>
      <c r="L98" s="215" t="inlineStr">
        <is>
          <t>01/04/2026</t>
        </is>
      </c>
    </row>
    <row r="99" ht="15.75" customHeight="1" s="153">
      <c r="A99" s="221" t="n">
        <v>94</v>
      </c>
      <c r="B99" s="215" t="inlineStr">
        <is>
          <t>MONTIEL 9165</t>
        </is>
      </c>
      <c r="C99" s="216" t="n">
        <v>163000</v>
      </c>
      <c r="D99" s="216" t="n">
        <v>54000</v>
      </c>
      <c r="E99" s="293" t="n">
        <v>0.3313</v>
      </c>
      <c r="F99" s="294" t="n">
        <v>2</v>
      </c>
      <c r="G99" s="294" t="n"/>
      <c r="H99" s="294" t="n"/>
      <c r="I99" s="294" t="n">
        <v>2</v>
      </c>
      <c r="J99" s="294" t="n"/>
      <c r="K99" s="294" t="n"/>
      <c r="L99" s="215" t="inlineStr">
        <is>
          <t>17/05/2026</t>
        </is>
      </c>
    </row>
    <row r="100" ht="15.75" customHeight="1" s="153">
      <c r="A100" s="214" t="n">
        <v>95</v>
      </c>
      <c r="B100" s="215" t="inlineStr">
        <is>
          <t>ÁNGEL</t>
        </is>
      </c>
      <c r="C100" s="216" t="n">
        <v>161500</v>
      </c>
      <c r="D100" s="216" t="n">
        <v>28400</v>
      </c>
      <c r="E100" s="293" t="n">
        <v>0.1759</v>
      </c>
      <c r="F100" s="294" t="n">
        <v>5</v>
      </c>
      <c r="G100" s="294" t="n">
        <v>1</v>
      </c>
      <c r="H100" s="294" t="n">
        <v>5</v>
      </c>
      <c r="I100" s="294" t="n"/>
      <c r="J100" s="294" t="n"/>
      <c r="K100" s="294" t="n"/>
      <c r="L100" s="215" t="inlineStr">
        <is>
          <t>14/05/2026</t>
        </is>
      </c>
    </row>
    <row r="101" ht="15.75" customHeight="1" s="153">
      <c r="A101" s="221" t="n">
        <v>96</v>
      </c>
      <c r="B101" s="215" t="inlineStr">
        <is>
          <t>ALSINA 7981</t>
        </is>
      </c>
      <c r="C101" s="216" t="n">
        <v>161000</v>
      </c>
      <c r="D101" s="216" t="n">
        <v>54000</v>
      </c>
      <c r="E101" s="293" t="n">
        <v>0.3354</v>
      </c>
      <c r="F101" s="294" t="n">
        <v>2</v>
      </c>
      <c r="G101" s="294" t="n"/>
      <c r="H101" s="294" t="n"/>
      <c r="I101" s="294" t="n">
        <v>2</v>
      </c>
      <c r="J101" s="294" t="n"/>
      <c r="K101" s="294" t="n"/>
      <c r="L101" s="215" t="inlineStr">
        <is>
          <t>02/05/2026</t>
        </is>
      </c>
    </row>
    <row r="102" ht="15.75" customHeight="1" s="153">
      <c r="A102" s="214" t="n">
        <v>97</v>
      </c>
      <c r="B102" s="215" t="inlineStr">
        <is>
          <t>BLAS PARERA 6372</t>
        </is>
      </c>
      <c r="C102" s="216" t="n">
        <v>161000</v>
      </c>
      <c r="D102" s="216" t="n">
        <v>52000</v>
      </c>
      <c r="E102" s="293" t="n">
        <v>0.323</v>
      </c>
      <c r="F102" s="294" t="n">
        <v>2</v>
      </c>
      <c r="G102" s="294" t="n"/>
      <c r="H102" s="294" t="n"/>
      <c r="I102" s="294" t="n">
        <v>2</v>
      </c>
      <c r="J102" s="294" t="n"/>
      <c r="K102" s="294" t="n"/>
      <c r="L102" s="215" t="inlineStr">
        <is>
          <t>29/04/2026</t>
        </is>
      </c>
    </row>
    <row r="103" ht="15.75" customHeight="1" s="153">
      <c r="A103" s="221" t="n">
        <v>98</v>
      </c>
      <c r="B103" s="215" t="inlineStr">
        <is>
          <t>VERBENA</t>
        </is>
      </c>
      <c r="C103" s="216" t="n">
        <v>159000</v>
      </c>
      <c r="D103" s="216" t="n">
        <v>65800</v>
      </c>
      <c r="E103" s="293" t="n">
        <v>0.4138</v>
      </c>
      <c r="F103" s="294" t="n">
        <v>2</v>
      </c>
      <c r="G103" s="294" t="n">
        <v>6</v>
      </c>
      <c r="H103" s="294" t="n"/>
      <c r="I103" s="294" t="n"/>
      <c r="J103" s="294" t="n"/>
      <c r="K103" s="294" t="n"/>
      <c r="L103" s="215" t="inlineStr">
        <is>
          <t>21/05/2026</t>
        </is>
      </c>
    </row>
    <row r="104" ht="15.75" customHeight="1" s="153">
      <c r="A104" s="214" t="n">
        <v>99</v>
      </c>
      <c r="B104" s="215" t="inlineStr">
        <is>
          <t>BLAS PARERA 5224</t>
        </is>
      </c>
      <c r="C104" s="216" t="n">
        <v>158500</v>
      </c>
      <c r="D104" s="216" t="n">
        <v>51500</v>
      </c>
      <c r="E104" s="293" t="n">
        <v>0.3249</v>
      </c>
      <c r="F104" s="294" t="n">
        <v>2</v>
      </c>
      <c r="G104" s="294" t="n"/>
      <c r="H104" s="294" t="n"/>
      <c r="I104" s="294" t="n">
        <v>2</v>
      </c>
      <c r="J104" s="294" t="n"/>
      <c r="K104" s="294" t="n"/>
      <c r="L104" s="215" t="inlineStr">
        <is>
          <t>09/04/2026</t>
        </is>
      </c>
    </row>
    <row r="105" ht="15.75" customHeight="1" s="153">
      <c r="A105" s="221" t="n">
        <v>100</v>
      </c>
      <c r="B105" s="215" t="inlineStr">
        <is>
          <t xml:space="preserve">9 DE JULIO 1144 </t>
        </is>
      </c>
      <c r="C105" s="216" t="n">
        <v>158000</v>
      </c>
      <c r="D105" s="216" t="n">
        <v>60000</v>
      </c>
      <c r="E105" s="293" t="n">
        <v>0.3797</v>
      </c>
      <c r="F105" s="294" t="n">
        <v>1</v>
      </c>
      <c r="G105" s="294" t="n"/>
      <c r="H105" s="294" t="n"/>
      <c r="I105" s="294" t="n">
        <v>2</v>
      </c>
      <c r="J105" s="294" t="n"/>
      <c r="K105" s="294" t="n"/>
      <c r="L105" s="215" t="inlineStr">
        <is>
          <t>06/03/2026</t>
        </is>
      </c>
    </row>
    <row r="106" ht="15.75" customHeight="1" s="153">
      <c r="A106" s="214" t="n">
        <v>101</v>
      </c>
      <c r="B106" s="215" t="inlineStr">
        <is>
          <t>URQUIZA 9309</t>
        </is>
      </c>
      <c r="C106" s="216" t="n">
        <v>156500</v>
      </c>
      <c r="D106" s="216" t="n">
        <v>36500</v>
      </c>
      <c r="E106" s="293" t="n">
        <v>0.2332</v>
      </c>
      <c r="F106" s="294" t="n">
        <v>2</v>
      </c>
      <c r="G106" s="294" t="n">
        <v>5</v>
      </c>
      <c r="H106" s="294" t="n">
        <v>2</v>
      </c>
      <c r="I106" s="294" t="n"/>
      <c r="J106" s="294" t="n"/>
      <c r="K106" s="294" t="n"/>
      <c r="L106" s="215" t="inlineStr">
        <is>
          <t>02/05/2026</t>
        </is>
      </c>
    </row>
    <row r="107" ht="15.75" customHeight="1" s="153">
      <c r="A107" s="221" t="n">
        <v>102</v>
      </c>
      <c r="B107" s="215" t="inlineStr">
        <is>
          <t>20 DE JUNIO Y 9 DE JULIO</t>
        </is>
      </c>
      <c r="C107" s="216" t="n">
        <v>156000</v>
      </c>
      <c r="D107" s="216" t="n">
        <v>62000</v>
      </c>
      <c r="E107" s="293" t="n">
        <v>0.3974</v>
      </c>
      <c r="F107" s="294" t="n">
        <v>1</v>
      </c>
      <c r="G107" s="294" t="n"/>
      <c r="H107" s="294" t="n"/>
      <c r="I107" s="294" t="n">
        <v>2</v>
      </c>
      <c r="J107" s="294" t="n"/>
      <c r="K107" s="294" t="n"/>
      <c r="L107" s="215" t="inlineStr">
        <is>
          <t>17/02/2026</t>
        </is>
      </c>
    </row>
    <row r="108" ht="15.75" customHeight="1" s="153">
      <c r="A108" s="214" t="n">
        <v>103</v>
      </c>
      <c r="B108" s="215" t="inlineStr">
        <is>
          <t>PANA COLODRERO 1258</t>
        </is>
      </c>
      <c r="C108" s="216" t="n">
        <v>156000</v>
      </c>
      <c r="D108" s="216" t="n">
        <v>36000</v>
      </c>
      <c r="E108" s="293" t="n">
        <v>0.2308</v>
      </c>
      <c r="F108" s="294" t="n">
        <v>2</v>
      </c>
      <c r="G108" s="294" t="n"/>
      <c r="H108" s="294" t="n"/>
      <c r="I108" s="294" t="n">
        <v>2</v>
      </c>
      <c r="J108" s="294" t="n"/>
      <c r="K108" s="294" t="n"/>
      <c r="L108" s="215" t="inlineStr">
        <is>
          <t>28/04/2026</t>
        </is>
      </c>
    </row>
    <row r="109" ht="15.75" customHeight="1" s="153">
      <c r="A109" s="221" t="n">
        <v>104</v>
      </c>
      <c r="B109" s="215" t="inlineStr">
        <is>
          <t>ROTI ARISTÓBULO</t>
        </is>
      </c>
      <c r="C109" s="216" t="n">
        <v>155500</v>
      </c>
      <c r="D109" s="216" t="n">
        <v>54000</v>
      </c>
      <c r="E109" s="293" t="n">
        <v>0.3473</v>
      </c>
      <c r="F109" s="294" t="n">
        <v>4</v>
      </c>
      <c r="G109" s="294" t="n">
        <v>2</v>
      </c>
      <c r="H109" s="294" t="n">
        <v>3</v>
      </c>
      <c r="I109" s="294" t="n"/>
      <c r="J109" s="294" t="n"/>
      <c r="K109" s="294" t="n"/>
      <c r="L109" s="215" t="inlineStr">
        <is>
          <t>23/05/2026</t>
        </is>
      </c>
    </row>
    <row r="110" ht="15.75" customHeight="1" s="153">
      <c r="A110" s="214" t="n">
        <v>105</v>
      </c>
      <c r="B110" s="215" t="inlineStr">
        <is>
          <t>MOLINA FLORES 1</t>
        </is>
      </c>
      <c r="C110" s="216" t="n">
        <v>155000</v>
      </c>
      <c r="D110" s="216" t="n">
        <v>59000</v>
      </c>
      <c r="E110" s="293" t="n">
        <v>0.3806</v>
      </c>
      <c r="F110" s="294" t="n">
        <v>2</v>
      </c>
      <c r="G110" s="294" t="n"/>
      <c r="H110" s="294" t="n"/>
      <c r="I110" s="294" t="n">
        <v>2</v>
      </c>
      <c r="J110" s="294" t="n"/>
      <c r="K110" s="294" t="n"/>
      <c r="L110" s="215" t="inlineStr">
        <is>
          <t>22/03/2026</t>
        </is>
      </c>
    </row>
    <row r="111" ht="15.75" customHeight="1" s="153">
      <c r="A111" s="221" t="n">
        <v>106</v>
      </c>
      <c r="B111" s="215" t="inlineStr">
        <is>
          <t>DUSSO 7678</t>
        </is>
      </c>
      <c r="C111" s="216" t="n">
        <v>155000</v>
      </c>
      <c r="D111" s="216" t="n">
        <v>34250</v>
      </c>
      <c r="E111" s="293" t="n">
        <v>0.221</v>
      </c>
      <c r="F111" s="294" t="n">
        <v>2</v>
      </c>
      <c r="G111" s="294" t="n">
        <v>4</v>
      </c>
      <c r="H111" s="294" t="n">
        <v>3</v>
      </c>
      <c r="I111" s="294" t="n"/>
      <c r="J111" s="294" t="n"/>
      <c r="K111" s="294" t="n"/>
      <c r="L111" s="215" t="inlineStr">
        <is>
          <t>04/04/2026</t>
        </is>
      </c>
    </row>
    <row r="112" ht="15.75" customHeight="1" s="153">
      <c r="A112" s="214" t="n">
        <v>107</v>
      </c>
      <c r="B112" s="215" t="inlineStr">
        <is>
          <t>BAIGORRIA 9350</t>
        </is>
      </c>
      <c r="C112" s="216" t="n">
        <v>154000</v>
      </c>
      <c r="D112" s="216" t="n">
        <v>60000</v>
      </c>
      <c r="E112" s="293" t="n">
        <v>0.3896</v>
      </c>
      <c r="F112" s="294" t="n">
        <v>2</v>
      </c>
      <c r="G112" s="294" t="n"/>
      <c r="H112" s="294" t="n"/>
      <c r="I112" s="294" t="n">
        <v>2</v>
      </c>
      <c r="J112" s="294" t="n"/>
      <c r="K112" s="294" t="n"/>
      <c r="L112" s="215" t="inlineStr">
        <is>
          <t>24/02/2026</t>
        </is>
      </c>
    </row>
    <row r="113" ht="15.75" customHeight="1" s="153">
      <c r="A113" s="221" t="n">
        <v>108</v>
      </c>
      <c r="B113" s="215" t="inlineStr">
        <is>
          <t>SABORERARTE</t>
        </is>
      </c>
      <c r="C113" s="216" t="n">
        <v>153500</v>
      </c>
      <c r="D113" s="216" t="n">
        <v>59250</v>
      </c>
      <c r="E113" s="293" t="n">
        <v>0.386</v>
      </c>
      <c r="F113" s="294" t="n">
        <v>4</v>
      </c>
      <c r="G113" s="294" t="n">
        <v>3</v>
      </c>
      <c r="H113" s="294" t="n">
        <v>1</v>
      </c>
      <c r="I113" s="294" t="n">
        <v>1</v>
      </c>
      <c r="J113" s="294" t="n"/>
      <c r="K113" s="294" t="n"/>
      <c r="L113" s="215" t="inlineStr">
        <is>
          <t>26/02/2026</t>
        </is>
      </c>
    </row>
    <row r="114" ht="15.75" customHeight="1" s="153">
      <c r="A114" s="214" t="n">
        <v>109</v>
      </c>
      <c r="B114" s="215" t="inlineStr">
        <is>
          <t>LALO</t>
        </is>
      </c>
      <c r="C114" s="216" t="n">
        <v>153000</v>
      </c>
      <c r="D114" s="216" t="n">
        <v>59000</v>
      </c>
      <c r="E114" s="293" t="n">
        <v>0.3856</v>
      </c>
      <c r="F114" s="294" t="n">
        <v>2</v>
      </c>
      <c r="G114" s="294" t="n"/>
      <c r="H114" s="294" t="n"/>
      <c r="I114" s="294" t="n">
        <v>2</v>
      </c>
      <c r="J114" s="294" t="n"/>
      <c r="K114" s="294" t="n"/>
      <c r="L114" s="215" t="inlineStr">
        <is>
          <t>27/02/2026</t>
        </is>
      </c>
    </row>
    <row r="115" ht="15.75" customHeight="1" s="153">
      <c r="A115" s="221" t="n">
        <v>110</v>
      </c>
      <c r="B115" s="215" t="inlineStr">
        <is>
          <t>PUBLICO 2550</t>
        </is>
      </c>
      <c r="C115" s="216" t="n">
        <v>153000</v>
      </c>
      <c r="D115" s="216" t="n">
        <v>57000</v>
      </c>
      <c r="E115" s="293" t="n">
        <v>0.3725</v>
      </c>
      <c r="F115" s="294" t="n">
        <v>2</v>
      </c>
      <c r="G115" s="294" t="n"/>
      <c r="H115" s="294" t="n"/>
      <c r="I115" s="294" t="n">
        <v>2</v>
      </c>
      <c r="J115" s="294" t="n"/>
      <c r="K115" s="294" t="n"/>
      <c r="L115" s="215" t="inlineStr">
        <is>
          <t>24/03/2026</t>
        </is>
      </c>
    </row>
    <row r="116" ht="15.75" customHeight="1" s="153">
      <c r="A116" s="214" t="n">
        <v>111</v>
      </c>
      <c r="B116" s="215" t="inlineStr">
        <is>
          <t>9 DE JULIO 1144 BAR</t>
        </is>
      </c>
      <c r="C116" s="216" t="n">
        <v>152000</v>
      </c>
      <c r="D116" s="216" t="n">
        <v>58000</v>
      </c>
      <c r="E116" s="293" t="n">
        <v>0.3816</v>
      </c>
      <c r="F116" s="294" t="n">
        <v>1</v>
      </c>
      <c r="G116" s="294" t="n"/>
      <c r="H116" s="294" t="n"/>
      <c r="I116" s="294" t="n">
        <v>2</v>
      </c>
      <c r="J116" s="294" t="n"/>
      <c r="K116" s="294" t="n"/>
      <c r="L116" s="215" t="inlineStr">
        <is>
          <t>20/01/2026</t>
        </is>
      </c>
    </row>
    <row r="117" ht="15.75" customHeight="1" s="153">
      <c r="A117" s="221" t="n">
        <v>112</v>
      </c>
      <c r="B117" s="215" t="inlineStr">
        <is>
          <t>PANA BERUTI</t>
        </is>
      </c>
      <c r="C117" s="216" t="n">
        <v>152000</v>
      </c>
      <c r="D117" s="216" t="n">
        <v>41000</v>
      </c>
      <c r="E117" s="293" t="n">
        <v>0.2697</v>
      </c>
      <c r="F117" s="294" t="n">
        <v>2</v>
      </c>
      <c r="G117" s="294" t="n"/>
      <c r="H117" s="294" t="n"/>
      <c r="I117" s="294" t="n">
        <v>2</v>
      </c>
      <c r="J117" s="294" t="n"/>
      <c r="K117" s="294" t="n"/>
      <c r="L117" s="215" t="inlineStr">
        <is>
          <t>27/05/2026</t>
        </is>
      </c>
    </row>
    <row r="118" ht="15.75" customHeight="1" s="153">
      <c r="A118" s="214" t="n">
        <v>113</v>
      </c>
      <c r="B118" s="215" t="inlineStr">
        <is>
          <t>P CEBALLOS 8134</t>
        </is>
      </c>
      <c r="C118" s="216" t="n">
        <v>151000</v>
      </c>
      <c r="D118" s="216" t="n">
        <v>26500</v>
      </c>
      <c r="E118" s="293" t="n">
        <v>0.1755</v>
      </c>
      <c r="F118" s="294" t="n">
        <v>3</v>
      </c>
      <c r="G118" s="294" t="n">
        <v>7</v>
      </c>
      <c r="H118" s="294" t="n">
        <v>2</v>
      </c>
      <c r="I118" s="294" t="n"/>
      <c r="J118" s="294" t="n"/>
      <c r="K118" s="294" t="n"/>
      <c r="L118" s="215" t="inlineStr">
        <is>
          <t>17/03/2026</t>
        </is>
      </c>
    </row>
    <row r="119" ht="15.75" customHeight="1" s="153">
      <c r="A119" s="221" t="n">
        <v>114</v>
      </c>
      <c r="B119" s="215" t="inlineStr">
        <is>
          <t>PANADERIA BAGUETE</t>
        </is>
      </c>
      <c r="C119" s="216" t="n">
        <v>150000</v>
      </c>
      <c r="D119" s="216" t="n">
        <v>30000</v>
      </c>
      <c r="E119" s="293" t="n">
        <v>0.2</v>
      </c>
      <c r="F119" s="294" t="n">
        <v>2</v>
      </c>
      <c r="G119" s="294" t="n"/>
      <c r="H119" s="294" t="n"/>
      <c r="I119" s="294" t="n">
        <v>2</v>
      </c>
      <c r="J119" s="294" t="n"/>
      <c r="K119" s="294" t="n"/>
      <c r="L119" s="215" t="inlineStr">
        <is>
          <t>22/04/2026</t>
        </is>
      </c>
    </row>
    <row r="120" ht="15.75" customHeight="1" s="153">
      <c r="A120" s="214" t="n">
        <v>115</v>
      </c>
      <c r="B120" s="215" t="inlineStr">
        <is>
          <t>BAGUETTE</t>
        </is>
      </c>
      <c r="C120" s="216" t="n">
        <v>150000</v>
      </c>
      <c r="D120" s="216" t="n">
        <v>30000</v>
      </c>
      <c r="E120" s="293" t="n">
        <v>0.2</v>
      </c>
      <c r="F120" s="294" t="n">
        <v>2</v>
      </c>
      <c r="G120" s="294" t="n"/>
      <c r="H120" s="294" t="n"/>
      <c r="I120" s="294" t="n">
        <v>2</v>
      </c>
      <c r="J120" s="294" t="n"/>
      <c r="K120" s="294" t="n"/>
      <c r="L120" s="215" t="inlineStr">
        <is>
          <t>04/05/2026</t>
        </is>
      </c>
    </row>
    <row r="121" ht="15.75" customHeight="1" s="153">
      <c r="A121" s="221" t="n">
        <v>116</v>
      </c>
      <c r="B121" s="215" t="inlineStr">
        <is>
          <t>RIVADAVIA JUNIORS</t>
        </is>
      </c>
      <c r="C121" s="216" t="n">
        <v>149000</v>
      </c>
      <c r="D121" s="216" t="n">
        <v>63500</v>
      </c>
      <c r="E121" s="293" t="n">
        <v>0.4262</v>
      </c>
      <c r="F121" s="294" t="n">
        <v>3</v>
      </c>
      <c r="G121" s="294" t="n">
        <v>6</v>
      </c>
      <c r="H121" s="294" t="n"/>
      <c r="I121" s="294" t="n"/>
      <c r="J121" s="294" t="n"/>
      <c r="K121" s="294" t="n"/>
      <c r="L121" s="215" t="inlineStr">
        <is>
          <t>02/05/2026</t>
        </is>
      </c>
    </row>
    <row r="122" ht="15.75" customHeight="1" s="153">
      <c r="A122" s="214" t="n">
        <v>117</v>
      </c>
      <c r="B122" s="215" t="inlineStr">
        <is>
          <t>PANA VIEYTE 3800</t>
        </is>
      </c>
      <c r="C122" s="216" t="n">
        <v>148000</v>
      </c>
      <c r="D122" s="216" t="n">
        <v>50000</v>
      </c>
      <c r="E122" s="293" t="n">
        <v>0.3378</v>
      </c>
      <c r="F122" s="294" t="n">
        <v>1</v>
      </c>
      <c r="G122" s="294" t="n"/>
      <c r="H122" s="294" t="n"/>
      <c r="I122" s="294" t="n">
        <v>2</v>
      </c>
      <c r="J122" s="294" t="n">
        <v>40</v>
      </c>
      <c r="K122" s="294" t="n"/>
      <c r="L122" s="215" t="inlineStr">
        <is>
          <t>05/03/2026</t>
        </is>
      </c>
    </row>
    <row r="123" ht="15.75" customHeight="1" s="153">
      <c r="A123" s="221" t="n">
        <v>118</v>
      </c>
      <c r="B123" s="215" t="inlineStr">
        <is>
          <t>LOS PORKI</t>
        </is>
      </c>
      <c r="C123" s="216" t="n">
        <v>146000</v>
      </c>
      <c r="D123" s="216" t="n">
        <v>50000</v>
      </c>
      <c r="E123" s="293" t="n">
        <v>0.3425</v>
      </c>
      <c r="F123" s="294" t="n">
        <v>2</v>
      </c>
      <c r="G123" s="294" t="n"/>
      <c r="H123" s="294" t="n"/>
      <c r="I123" s="294" t="n">
        <v>2</v>
      </c>
      <c r="J123" s="294" t="n"/>
      <c r="K123" s="294" t="n"/>
      <c r="L123" s="215" t="inlineStr">
        <is>
          <t>23/03/2026</t>
        </is>
      </c>
    </row>
    <row r="124" ht="15.75" customHeight="1" s="153">
      <c r="A124" s="214" t="n">
        <v>119</v>
      </c>
      <c r="B124" s="215" t="inlineStr">
        <is>
          <t>ARISTOBULO 5879</t>
        </is>
      </c>
      <c r="C124" s="216" t="n">
        <v>146000</v>
      </c>
      <c r="D124" s="216" t="n">
        <v>71750</v>
      </c>
      <c r="E124" s="293" t="n">
        <v>0.4914</v>
      </c>
      <c r="F124" s="294" t="n">
        <v>4</v>
      </c>
      <c r="G124" s="294" t="n"/>
      <c r="H124" s="294" t="n">
        <v>4</v>
      </c>
      <c r="I124" s="294" t="n"/>
      <c r="J124" s="294" t="n"/>
      <c r="K124" s="294" t="n"/>
      <c r="L124" s="215" t="inlineStr">
        <is>
          <t>29/04/2026</t>
        </is>
      </c>
    </row>
    <row r="125" ht="15.75" customHeight="1" s="153">
      <c r="A125" s="221" t="n">
        <v>120</v>
      </c>
      <c r="B125" s="215" t="inlineStr">
        <is>
          <t>PANA VOEYTES 4500</t>
        </is>
      </c>
      <c r="C125" s="216" t="n">
        <v>146000</v>
      </c>
      <c r="D125" s="216" t="n">
        <v>37000</v>
      </c>
      <c r="E125" s="293" t="n">
        <v>0.2534</v>
      </c>
      <c r="F125" s="294" t="n">
        <v>2</v>
      </c>
      <c r="G125" s="294" t="n"/>
      <c r="H125" s="294" t="n"/>
      <c r="I125" s="294" t="n">
        <v>2</v>
      </c>
      <c r="J125" s="294" t="n"/>
      <c r="K125" s="294" t="n"/>
      <c r="L125" s="215" t="inlineStr">
        <is>
          <t>04/04/2026</t>
        </is>
      </c>
    </row>
    <row r="126" ht="15.75" customHeight="1" s="153">
      <c r="A126" s="214" t="n">
        <v>121</v>
      </c>
      <c r="B126" s="215" t="inlineStr">
        <is>
          <t>CASANELLO 3463</t>
        </is>
      </c>
      <c r="C126" s="216" t="n">
        <v>145000</v>
      </c>
      <c r="D126" s="216" t="n">
        <v>57150</v>
      </c>
      <c r="E126" s="293" t="n">
        <v>0.3941</v>
      </c>
      <c r="F126" s="294" t="n">
        <v>4</v>
      </c>
      <c r="G126" s="294" t="n">
        <v>3</v>
      </c>
      <c r="H126" s="294" t="n">
        <v>2</v>
      </c>
      <c r="I126" s="294" t="n"/>
      <c r="J126" s="294" t="n"/>
      <c r="K126" s="294" t="n"/>
      <c r="L126" s="215" t="inlineStr">
        <is>
          <t>23/05/2026</t>
        </is>
      </c>
    </row>
    <row r="127" ht="15.75" customHeight="1" s="153">
      <c r="A127" s="221" t="n">
        <v>122</v>
      </c>
      <c r="B127" s="215" t="inlineStr">
        <is>
          <t xml:space="preserve">PANA ALBERTI </t>
        </is>
      </c>
      <c r="C127" s="216" t="n">
        <v>140000</v>
      </c>
      <c r="D127" s="216" t="n">
        <v>46000</v>
      </c>
      <c r="E127" s="293" t="n">
        <v>0.3286</v>
      </c>
      <c r="F127" s="294" t="n">
        <v>2</v>
      </c>
      <c r="G127" s="294" t="n"/>
      <c r="H127" s="294" t="n"/>
      <c r="I127" s="294" t="n">
        <v>2</v>
      </c>
      <c r="J127" s="294" t="n"/>
      <c r="K127" s="294" t="n"/>
      <c r="L127" s="215" t="inlineStr">
        <is>
          <t>04/02/2026</t>
        </is>
      </c>
    </row>
    <row r="128" ht="15.75" customHeight="1" s="153">
      <c r="A128" s="214" t="n">
        <v>123</v>
      </c>
      <c r="B128" s="215" t="inlineStr">
        <is>
          <t>PASTELERIA GLADYS</t>
        </is>
      </c>
      <c r="C128" s="216" t="n">
        <v>140000</v>
      </c>
      <c r="D128" s="216" t="n">
        <v>20000</v>
      </c>
      <c r="E128" s="293" t="n">
        <v>0.1429</v>
      </c>
      <c r="F128" s="294" t="n">
        <v>1</v>
      </c>
      <c r="G128" s="294" t="n"/>
      <c r="H128" s="294" t="n"/>
      <c r="I128" s="294" t="n">
        <v>2</v>
      </c>
      <c r="J128" s="294" t="n"/>
      <c r="K128" s="294" t="n"/>
      <c r="L128" s="215" t="inlineStr">
        <is>
          <t>29/03/2026</t>
        </is>
      </c>
    </row>
    <row r="129" ht="15.75" customHeight="1" s="153">
      <c r="A129" s="221" t="n">
        <v>124</v>
      </c>
      <c r="B129" s="215" t="inlineStr">
        <is>
          <t>ALISOS 5837</t>
        </is>
      </c>
      <c r="C129" s="216" t="n">
        <v>139500</v>
      </c>
      <c r="D129" s="216" t="n">
        <v>129000</v>
      </c>
      <c r="E129" s="293" t="n">
        <v>0.9247</v>
      </c>
      <c r="F129" s="294" t="n">
        <v>1</v>
      </c>
      <c r="G129" s="294" t="n">
        <v>1</v>
      </c>
      <c r="H129" s="294" t="n"/>
      <c r="I129" s="294" t="n"/>
      <c r="J129" s="294" t="n"/>
      <c r="K129" s="294" t="n"/>
      <c r="L129" s="215" t="inlineStr">
        <is>
          <t>04/01/2026</t>
        </is>
      </c>
    </row>
    <row r="130" ht="15.75" customHeight="1" s="153">
      <c r="A130" s="214" t="n">
        <v>125</v>
      </c>
      <c r="B130" s="215" t="inlineStr">
        <is>
          <t>FABIO PARISI</t>
        </is>
      </c>
      <c r="C130" s="216" t="n">
        <v>135700</v>
      </c>
      <c r="D130" s="216" t="n">
        <v>43200</v>
      </c>
      <c r="E130" s="293" t="n">
        <v>0.3183</v>
      </c>
      <c r="F130" s="294" t="n">
        <v>2</v>
      </c>
      <c r="G130" s="294" t="n"/>
      <c r="H130" s="294" t="n"/>
      <c r="I130" s="294" t="n"/>
      <c r="J130" s="294" t="n"/>
      <c r="K130" s="294" t="n"/>
      <c r="L130" s="215" t="inlineStr">
        <is>
          <t>15/05/2026</t>
        </is>
      </c>
    </row>
    <row r="131" ht="15.75" customHeight="1" s="153">
      <c r="A131" s="221" t="n">
        <v>126</v>
      </c>
      <c r="B131" s="215" t="inlineStr">
        <is>
          <t>PIRU</t>
        </is>
      </c>
      <c r="C131" s="216" t="n">
        <v>135000</v>
      </c>
      <c r="D131" s="216" t="n">
        <v>59550</v>
      </c>
      <c r="E131" s="293" t="n">
        <v>0.4411</v>
      </c>
      <c r="F131" s="294" t="n">
        <v>4</v>
      </c>
      <c r="G131" s="294" t="n"/>
      <c r="H131" s="294" t="n">
        <v>4</v>
      </c>
      <c r="I131" s="294" t="n"/>
      <c r="J131" s="294" t="n"/>
      <c r="K131" s="294" t="n"/>
      <c r="L131" s="215" t="inlineStr">
        <is>
          <t>08/05/2026</t>
        </is>
      </c>
    </row>
    <row r="132" ht="15.75" customHeight="1" s="153">
      <c r="A132" s="214" t="n">
        <v>127</v>
      </c>
      <c r="B132" s="215" t="inlineStr">
        <is>
          <t>ROTI ARISTOBULO</t>
        </is>
      </c>
      <c r="C132" s="216" t="n">
        <v>134000</v>
      </c>
      <c r="D132" s="216" t="n">
        <v>44000</v>
      </c>
      <c r="E132" s="293" t="n">
        <v>0.3284</v>
      </c>
      <c r="F132" s="294" t="n">
        <v>4</v>
      </c>
      <c r="G132" s="294" t="n"/>
      <c r="H132" s="294" t="n">
        <v>4</v>
      </c>
      <c r="I132" s="294" t="n"/>
      <c r="J132" s="294" t="n"/>
      <c r="K132" s="294" t="n"/>
      <c r="L132" s="215" t="inlineStr">
        <is>
          <t>30/04/2026</t>
        </is>
      </c>
    </row>
    <row r="133" ht="15.75" customHeight="1" s="153">
      <c r="A133" s="221" t="n">
        <v>128</v>
      </c>
      <c r="B133" s="215" t="inlineStr">
        <is>
          <t>M ZAPATA 2101</t>
        </is>
      </c>
      <c r="C133" s="216" t="n">
        <v>133500</v>
      </c>
      <c r="D133" s="216" t="n">
        <v>31400</v>
      </c>
      <c r="E133" s="293" t="n">
        <v>0.2352</v>
      </c>
      <c r="F133" s="294" t="n">
        <v>3</v>
      </c>
      <c r="G133" s="294" t="n">
        <v>7</v>
      </c>
      <c r="H133" s="294" t="n"/>
      <c r="I133" s="294" t="n"/>
      <c r="J133" s="294" t="n"/>
      <c r="K133" s="294" t="n"/>
      <c r="L133" s="215" t="inlineStr">
        <is>
          <t>26/05/2026</t>
        </is>
      </c>
    </row>
    <row r="134" ht="15.75" customHeight="1" s="153">
      <c r="A134" s="214" t="n">
        <v>129</v>
      </c>
      <c r="B134" s="215" t="inlineStr">
        <is>
          <t>OSCAR FLORES 1 BLASPA</t>
        </is>
      </c>
      <c r="C134" s="216" t="n">
        <v>133000</v>
      </c>
      <c r="D134" s="216" t="n">
        <v>52200</v>
      </c>
      <c r="E134" s="293" t="n">
        <v>0.3925</v>
      </c>
      <c r="F134" s="294" t="n">
        <v>1</v>
      </c>
      <c r="G134" s="294" t="n">
        <v>1</v>
      </c>
      <c r="H134" s="294" t="n"/>
      <c r="I134" s="294" t="n"/>
      <c r="J134" s="294" t="n"/>
      <c r="K134" s="294" t="n"/>
      <c r="L134" s="215" t="inlineStr">
        <is>
          <t>15/05/2026</t>
        </is>
      </c>
    </row>
    <row r="135" ht="15.75" customHeight="1" s="153">
      <c r="A135" s="221" t="n">
        <v>130</v>
      </c>
      <c r="B135" s="215" t="inlineStr">
        <is>
          <t>MARCE DUSSO</t>
        </is>
      </c>
      <c r="C135" s="216" t="n">
        <v>132000</v>
      </c>
      <c r="D135" s="216" t="n">
        <v>29000</v>
      </c>
      <c r="E135" s="293" t="n">
        <v>0.2197</v>
      </c>
      <c r="F135" s="294" t="n">
        <v>1</v>
      </c>
      <c r="G135" s="294" t="n">
        <v>4</v>
      </c>
      <c r="H135" s="294" t="n"/>
      <c r="I135" s="294" t="n">
        <v>1</v>
      </c>
      <c r="J135" s="294" t="n"/>
      <c r="K135" s="294" t="n"/>
      <c r="L135" s="215" t="inlineStr">
        <is>
          <t>10/03/2026</t>
        </is>
      </c>
    </row>
    <row r="136" ht="15.75" customHeight="1" s="153">
      <c r="A136" s="214" t="n">
        <v>131</v>
      </c>
      <c r="B136" s="215" t="inlineStr">
        <is>
          <t>LARGUIA 7287</t>
        </is>
      </c>
      <c r="C136" s="216" t="n">
        <v>132000</v>
      </c>
      <c r="D136" s="216" t="n">
        <v>42000</v>
      </c>
      <c r="E136" s="293" t="n">
        <v>0.3182</v>
      </c>
      <c r="F136" s="294" t="n">
        <v>1</v>
      </c>
      <c r="G136" s="294" t="n">
        <v>2</v>
      </c>
      <c r="H136" s="294" t="n"/>
      <c r="I136" s="294" t="n">
        <v>1</v>
      </c>
      <c r="J136" s="294" t="n"/>
      <c r="K136" s="294" t="n"/>
      <c r="L136" s="215" t="inlineStr">
        <is>
          <t>20/04/2026</t>
        </is>
      </c>
    </row>
    <row r="137" ht="15.75" customHeight="1" s="153">
      <c r="A137" s="221" t="n">
        <v>132</v>
      </c>
      <c r="B137" s="215" t="inlineStr">
        <is>
          <t>PEÑALOZA 9757</t>
        </is>
      </c>
      <c r="C137" s="216" t="n">
        <v>130000</v>
      </c>
      <c r="D137" s="216" t="n">
        <v>52600</v>
      </c>
      <c r="E137" s="293" t="n">
        <v>0.4046</v>
      </c>
      <c r="F137" s="294" t="n">
        <v>4</v>
      </c>
      <c r="G137" s="294" t="n">
        <v>5</v>
      </c>
      <c r="H137" s="294" t="n"/>
      <c r="I137" s="294" t="n"/>
      <c r="J137" s="294" t="n"/>
      <c r="K137" s="294" t="n"/>
      <c r="L137" s="215" t="inlineStr">
        <is>
          <t>23/05/2026</t>
        </is>
      </c>
    </row>
    <row r="138" ht="15.75" customHeight="1" s="153">
      <c r="A138" s="214" t="n">
        <v>133</v>
      </c>
      <c r="B138" s="215" t="inlineStr">
        <is>
          <t>ALBERTI 5251</t>
        </is>
      </c>
      <c r="C138" s="216" t="n">
        <v>128000</v>
      </c>
      <c r="D138" s="216" t="n">
        <v>49900</v>
      </c>
      <c r="E138" s="293" t="n">
        <v>0.3898</v>
      </c>
      <c r="F138" s="294" t="n">
        <v>4</v>
      </c>
      <c r="G138" s="294" t="n">
        <v>4</v>
      </c>
      <c r="H138" s="294" t="n">
        <v>1</v>
      </c>
      <c r="I138" s="294" t="n"/>
      <c r="J138" s="294" t="n"/>
      <c r="K138" s="294" t="n"/>
      <c r="L138" s="215" t="inlineStr">
        <is>
          <t>28/05/2026</t>
        </is>
      </c>
    </row>
    <row r="139" ht="15.75" customHeight="1" s="153">
      <c r="A139" s="221" t="n">
        <v>134</v>
      </c>
      <c r="B139" s="215" t="inlineStr">
        <is>
          <t>CALLEJON FUNES 4659</t>
        </is>
      </c>
      <c r="C139" s="216" t="n">
        <v>128000</v>
      </c>
      <c r="D139" s="216" t="n">
        <v>47200</v>
      </c>
      <c r="E139" s="293" t="n">
        <v>0.3688</v>
      </c>
      <c r="F139" s="294" t="n">
        <v>1</v>
      </c>
      <c r="G139" s="294" t="n">
        <v>1</v>
      </c>
      <c r="H139" s="294" t="n"/>
      <c r="I139" s="294" t="n"/>
      <c r="J139" s="294" t="n"/>
      <c r="K139" s="294" t="n"/>
      <c r="L139" s="215" t="inlineStr">
        <is>
          <t>16/05/2026</t>
        </is>
      </c>
    </row>
    <row r="140" ht="15.75" customHeight="1" s="153">
      <c r="A140" s="214" t="n">
        <v>135</v>
      </c>
      <c r="B140" s="215" t="inlineStr">
        <is>
          <t>URQUIZA 9396</t>
        </is>
      </c>
      <c r="C140" s="216" t="n">
        <v>128000</v>
      </c>
      <c r="D140" s="216" t="n">
        <v>47200</v>
      </c>
      <c r="E140" s="293" t="n">
        <v>0.3688</v>
      </c>
      <c r="F140" s="294" t="n">
        <v>1</v>
      </c>
      <c r="G140" s="294" t="n">
        <v>1</v>
      </c>
      <c r="H140" s="294" t="n"/>
      <c r="I140" s="294" t="n"/>
      <c r="J140" s="294" t="n"/>
      <c r="K140" s="294" t="n"/>
      <c r="L140" s="215" t="inlineStr">
        <is>
          <t>18/05/2026</t>
        </is>
      </c>
    </row>
    <row r="141" ht="15.75" customHeight="1" s="153">
      <c r="A141" s="221" t="n">
        <v>136</v>
      </c>
      <c r="B141" s="215" t="inlineStr">
        <is>
          <t>PAVON 3320</t>
        </is>
      </c>
      <c r="C141" s="216" t="n">
        <v>128000</v>
      </c>
      <c r="D141" s="216" t="n">
        <v>47200</v>
      </c>
      <c r="E141" s="293" t="n">
        <v>0.3688</v>
      </c>
      <c r="F141" s="294" t="n">
        <v>1</v>
      </c>
      <c r="G141" s="294" t="n">
        <v>1</v>
      </c>
      <c r="H141" s="294" t="n"/>
      <c r="I141" s="294" t="n"/>
      <c r="J141" s="294" t="n"/>
      <c r="K141" s="294" t="n"/>
      <c r="L141" s="215" t="inlineStr">
        <is>
          <t>20/05/2026</t>
        </is>
      </c>
    </row>
    <row r="142" ht="15.75" customHeight="1" s="153">
      <c r="A142" s="214" t="n">
        <v>137</v>
      </c>
      <c r="B142" s="215" t="inlineStr">
        <is>
          <t>MADAME CHEESE</t>
        </is>
      </c>
      <c r="C142" s="216" t="n">
        <v>127000</v>
      </c>
      <c r="D142" s="216" t="n">
        <v>43550</v>
      </c>
      <c r="E142" s="293" t="n">
        <v>0.3429</v>
      </c>
      <c r="F142" s="294" t="n">
        <v>4</v>
      </c>
      <c r="G142" s="294" t="n">
        <v>1</v>
      </c>
      <c r="H142" s="294" t="n">
        <v>3</v>
      </c>
      <c r="I142" s="294" t="n"/>
      <c r="J142" s="294" t="n"/>
      <c r="K142" s="294" t="n"/>
      <c r="L142" s="215" t="inlineStr">
        <is>
          <t>27/05/2026</t>
        </is>
      </c>
    </row>
    <row r="143" ht="15.75" customHeight="1" s="153">
      <c r="A143" s="221" t="n">
        <v>138</v>
      </c>
      <c r="B143" s="215" t="inlineStr">
        <is>
          <t>FLORENCIO FERNÁNDEZ 6195</t>
        </is>
      </c>
      <c r="C143" s="216" t="n">
        <v>126000</v>
      </c>
      <c r="D143" s="216" t="n">
        <v>23300</v>
      </c>
      <c r="E143" s="293" t="n">
        <v>0.1849</v>
      </c>
      <c r="F143" s="294" t="n">
        <v>1</v>
      </c>
      <c r="G143" s="294" t="n">
        <v>5</v>
      </c>
      <c r="H143" s="294" t="n">
        <v>1</v>
      </c>
      <c r="I143" s="294" t="n"/>
      <c r="J143" s="294" t="n"/>
      <c r="K143" s="294" t="n"/>
      <c r="L143" s="215" t="inlineStr">
        <is>
          <t>19/05/2026</t>
        </is>
      </c>
    </row>
    <row r="144" ht="15.75" customHeight="1" s="153">
      <c r="A144" s="214" t="n">
        <v>139</v>
      </c>
      <c r="B144" s="215" t="inlineStr">
        <is>
          <t>SAN JOSÉ 8494</t>
        </is>
      </c>
      <c r="C144" s="216" t="n">
        <v>126000</v>
      </c>
      <c r="D144" s="216" t="n">
        <v>48200</v>
      </c>
      <c r="E144" s="293" t="n">
        <v>0.3825</v>
      </c>
      <c r="F144" s="294" t="n">
        <v>1</v>
      </c>
      <c r="G144" s="294" t="n">
        <v>1</v>
      </c>
      <c r="H144" s="294" t="n"/>
      <c r="I144" s="294" t="n">
        <v>1</v>
      </c>
      <c r="J144" s="294" t="n"/>
      <c r="K144" s="294" t="n"/>
      <c r="L144" s="215" t="inlineStr">
        <is>
          <t>30/05/2026</t>
        </is>
      </c>
    </row>
    <row r="145" ht="15.75" customHeight="1" s="153">
      <c r="A145" s="221" t="n">
        <v>140</v>
      </c>
      <c r="B145" s="215" t="inlineStr">
        <is>
          <t>EUROPA 9186</t>
        </is>
      </c>
      <c r="C145" s="216" t="n">
        <v>125500</v>
      </c>
      <c r="D145" s="216" t="n">
        <v>43000</v>
      </c>
      <c r="E145" s="293" t="n">
        <v>0.3426</v>
      </c>
      <c r="F145" s="294" t="n">
        <v>2</v>
      </c>
      <c r="G145" s="294" t="n"/>
      <c r="H145" s="294" t="n">
        <v>1</v>
      </c>
      <c r="I145" s="294" t="n">
        <v>1</v>
      </c>
      <c r="J145" s="294" t="n"/>
      <c r="K145" s="294" t="n"/>
      <c r="L145" s="215" t="inlineStr">
        <is>
          <t>04/04/2026</t>
        </is>
      </c>
    </row>
    <row r="146" ht="15.75" customHeight="1" s="153">
      <c r="A146" s="214" t="n">
        <v>141</v>
      </c>
      <c r="B146" s="215" t="inlineStr">
        <is>
          <t>BELGRANO 7944</t>
        </is>
      </c>
      <c r="C146" s="216" t="n">
        <v>125000</v>
      </c>
      <c r="D146" s="216" t="n">
        <v>44200</v>
      </c>
      <c r="E146" s="293" t="n">
        <v>0.3536</v>
      </c>
      <c r="F146" s="294" t="n">
        <v>1</v>
      </c>
      <c r="G146" s="294" t="n">
        <v>1</v>
      </c>
      <c r="H146" s="294" t="n"/>
      <c r="I146" s="294" t="n"/>
      <c r="J146" s="294" t="n"/>
      <c r="K146" s="294" t="n"/>
      <c r="L146" s="215" t="inlineStr">
        <is>
          <t>17/05/2026</t>
        </is>
      </c>
    </row>
    <row r="147" ht="15.75" customHeight="1" s="153">
      <c r="A147" s="221" t="n">
        <v>142</v>
      </c>
      <c r="B147" s="215" t="inlineStr">
        <is>
          <t>PAVÓN 6035</t>
        </is>
      </c>
      <c r="C147" s="216" t="n">
        <v>125000</v>
      </c>
      <c r="D147" s="216" t="n">
        <v>44200</v>
      </c>
      <c r="E147" s="293" t="n">
        <v>0.3536</v>
      </c>
      <c r="F147" s="294" t="n">
        <v>1</v>
      </c>
      <c r="G147" s="294" t="n">
        <v>1</v>
      </c>
      <c r="H147" s="294" t="n"/>
      <c r="I147" s="294" t="n"/>
      <c r="J147" s="294" t="n"/>
      <c r="K147" s="294" t="n"/>
      <c r="L147" s="215" t="inlineStr">
        <is>
          <t>19/05/2026</t>
        </is>
      </c>
    </row>
    <row r="148" ht="15.75" customHeight="1" s="153">
      <c r="A148" s="214" t="n">
        <v>143</v>
      </c>
      <c r="B148" s="215" t="inlineStr">
        <is>
          <t>9 DE JULIO 2833</t>
        </is>
      </c>
      <c r="C148" s="216" t="n">
        <v>125000</v>
      </c>
      <c r="D148" s="216" t="n">
        <v>44200</v>
      </c>
      <c r="E148" s="293" t="n">
        <v>0.3536</v>
      </c>
      <c r="F148" s="294" t="n">
        <v>1</v>
      </c>
      <c r="G148" s="294" t="n">
        <v>1</v>
      </c>
      <c r="H148" s="294" t="n"/>
      <c r="I148" s="294" t="n"/>
      <c r="J148" s="294" t="n"/>
      <c r="K148" s="294" t="n">
        <v>15</v>
      </c>
      <c r="L148" s="215" t="inlineStr">
        <is>
          <t>29/05/2026</t>
        </is>
      </c>
    </row>
    <row r="149" ht="15.75" customHeight="1" s="153">
      <c r="A149" s="221" t="n">
        <v>144</v>
      </c>
      <c r="B149" s="215" t="inlineStr">
        <is>
          <t>DOMINGO SIVLA 4217</t>
        </is>
      </c>
      <c r="C149" s="216" t="n">
        <v>124000</v>
      </c>
      <c r="D149" s="216" t="n">
        <v>25750</v>
      </c>
      <c r="E149" s="293" t="n">
        <v>0.2077</v>
      </c>
      <c r="F149" s="294" t="n">
        <v>2</v>
      </c>
      <c r="G149" s="294" t="n">
        <v>7</v>
      </c>
      <c r="H149" s="294" t="n">
        <v>1</v>
      </c>
      <c r="I149" s="294" t="n"/>
      <c r="J149" s="294" t="n"/>
      <c r="K149" s="294" t="n"/>
      <c r="L149" s="215" t="inlineStr">
        <is>
          <t>09/03/2026</t>
        </is>
      </c>
    </row>
    <row r="150" ht="15.75" customHeight="1" s="153">
      <c r="A150" s="214" t="n">
        <v>145</v>
      </c>
      <c r="B150" s="215" t="inlineStr">
        <is>
          <t>TOFFO</t>
        </is>
      </c>
      <c r="C150" s="216" t="n">
        <v>123000</v>
      </c>
      <c r="D150" s="216" t="n">
        <v>47250</v>
      </c>
      <c r="E150" s="293" t="n">
        <v>0.3841</v>
      </c>
      <c r="F150" s="294" t="n">
        <v>2</v>
      </c>
      <c r="G150" s="294" t="n"/>
      <c r="H150" s="294" t="n">
        <v>1</v>
      </c>
      <c r="I150" s="294" t="n">
        <v>1</v>
      </c>
      <c r="J150" s="294" t="n"/>
      <c r="K150" s="294" t="n">
        <v>14</v>
      </c>
      <c r="L150" s="215" t="inlineStr">
        <is>
          <t>22/04/2026</t>
        </is>
      </c>
    </row>
    <row r="151" ht="15.75" customHeight="1" s="153">
      <c r="A151" s="221" t="n">
        <v>146</v>
      </c>
      <c r="B151" s="215" t="inlineStr">
        <is>
          <t>JOSÉ MONTEVERA</t>
        </is>
      </c>
      <c r="C151" s="216" t="n">
        <v>122000</v>
      </c>
      <c r="D151" s="216" t="n">
        <v>44200</v>
      </c>
      <c r="E151" s="293" t="n">
        <v>0.3623</v>
      </c>
      <c r="F151" s="294" t="n">
        <v>1</v>
      </c>
      <c r="G151" s="294" t="n">
        <v>1</v>
      </c>
      <c r="H151" s="294" t="n"/>
      <c r="I151" s="294" t="n">
        <v>1</v>
      </c>
      <c r="J151" s="294" t="n"/>
      <c r="K151" s="294" t="n"/>
      <c r="L151" s="215" t="inlineStr">
        <is>
          <t>10/05/2026</t>
        </is>
      </c>
    </row>
    <row r="152" ht="15.75" customHeight="1" s="153">
      <c r="A152" s="214" t="n">
        <v>147</v>
      </c>
      <c r="B152" s="215" t="inlineStr">
        <is>
          <t>NAMUNCURA 4439</t>
        </is>
      </c>
      <c r="C152" s="216" t="n">
        <v>121500</v>
      </c>
      <c r="D152" s="216" t="n">
        <v>51600</v>
      </c>
      <c r="E152" s="293" t="n">
        <v>0.4247</v>
      </c>
      <c r="F152" s="294" t="n">
        <v>2</v>
      </c>
      <c r="G152" s="294" t="n"/>
      <c r="H152" s="294" t="n">
        <v>3</v>
      </c>
      <c r="I152" s="294" t="n"/>
      <c r="J152" s="294" t="n"/>
      <c r="K152" s="294" t="n"/>
      <c r="L152" s="215" t="inlineStr">
        <is>
          <t>30/05/2026</t>
        </is>
      </c>
    </row>
    <row r="153" ht="15.75" customHeight="1" s="153">
      <c r="A153" s="221" t="n">
        <v>148</v>
      </c>
      <c r="B153" s="215" t="inlineStr">
        <is>
          <t>ANA ABDALA</t>
        </is>
      </c>
      <c r="C153" s="216" t="n">
        <v>121000</v>
      </c>
      <c r="D153" s="216" t="n">
        <v>56500</v>
      </c>
      <c r="E153" s="293" t="n">
        <v>0.4669</v>
      </c>
      <c r="F153" s="294" t="n">
        <v>5</v>
      </c>
      <c r="G153" s="294" t="n">
        <v>5</v>
      </c>
      <c r="H153" s="294" t="n"/>
      <c r="I153" s="294" t="n"/>
      <c r="J153" s="294" t="n"/>
      <c r="K153" s="294" t="n"/>
      <c r="L153" s="215" t="inlineStr">
        <is>
          <t>21/04/2026</t>
        </is>
      </c>
    </row>
    <row r="154" ht="15.75" customHeight="1" s="153">
      <c r="A154" s="214" t="n">
        <v>149</v>
      </c>
      <c r="B154" s="215" t="inlineStr">
        <is>
          <t>BONEO 4054</t>
        </is>
      </c>
      <c r="C154" s="216" t="n">
        <v>120000</v>
      </c>
      <c r="D154" s="216" t="n">
        <v>56250</v>
      </c>
      <c r="E154" s="293" t="n">
        <v>0.4688</v>
      </c>
      <c r="F154" s="294" t="n">
        <v>2</v>
      </c>
      <c r="G154" s="294" t="n">
        <v>2</v>
      </c>
      <c r="H154" s="294" t="n">
        <v>2</v>
      </c>
      <c r="I154" s="294" t="n"/>
      <c r="J154" s="294" t="n"/>
      <c r="K154" s="294" t="n"/>
      <c r="L154" s="215" t="inlineStr">
        <is>
          <t>11/04/2026</t>
        </is>
      </c>
    </row>
    <row r="155" ht="15.75" customHeight="1" s="153">
      <c r="A155" s="221" t="n">
        <v>150</v>
      </c>
      <c r="B155" s="215" t="inlineStr">
        <is>
          <t>CHICLANA 6630</t>
        </is>
      </c>
      <c r="C155" s="216" t="n">
        <v>120000</v>
      </c>
      <c r="D155" s="216" t="n">
        <v>39200</v>
      </c>
      <c r="E155" s="293" t="n">
        <v>0.3267</v>
      </c>
      <c r="F155" s="294" t="n">
        <v>1</v>
      </c>
      <c r="G155" s="294" t="n">
        <v>1</v>
      </c>
      <c r="H155" s="294" t="n"/>
      <c r="I155" s="294" t="n"/>
      <c r="J155" s="294" t="n"/>
      <c r="K155" s="294" t="n">
        <v>4</v>
      </c>
      <c r="L155" s="215" t="inlineStr">
        <is>
          <t>11/05/2026</t>
        </is>
      </c>
    </row>
    <row r="156" ht="15.75" customHeight="1" s="153">
      <c r="A156" s="214" t="n">
        <v>151</v>
      </c>
      <c r="B156" s="215" t="inlineStr">
        <is>
          <t>FLORENCIO FERNÁNDEZ 6196</t>
        </is>
      </c>
      <c r="C156" s="216" t="n">
        <v>120000</v>
      </c>
      <c r="D156" s="216" t="n">
        <v>25200</v>
      </c>
      <c r="E156" s="293" t="n">
        <v>0.21</v>
      </c>
      <c r="F156" s="294" t="n">
        <v>1</v>
      </c>
      <c r="G156" s="294" t="n">
        <v>6</v>
      </c>
      <c r="H156" s="294" t="n"/>
      <c r="I156" s="294" t="n"/>
      <c r="J156" s="294" t="n"/>
      <c r="K156" s="294" t="n"/>
      <c r="L156" s="215" t="inlineStr">
        <is>
          <t>25/05/2026</t>
        </is>
      </c>
    </row>
    <row r="157" ht="15.75" customHeight="1" s="153">
      <c r="A157" s="221" t="n">
        <v>152</v>
      </c>
      <c r="B157" s="215" t="inlineStr">
        <is>
          <t>GRANDOLI 7655</t>
        </is>
      </c>
      <c r="C157" s="216" t="n">
        <v>120000</v>
      </c>
      <c r="D157" s="216" t="n">
        <v>48900</v>
      </c>
      <c r="E157" s="293" t="n">
        <v>0.4075</v>
      </c>
      <c r="F157" s="294" t="n">
        <v>1</v>
      </c>
      <c r="G157" s="294" t="n"/>
      <c r="H157" s="294" t="n">
        <v>3</v>
      </c>
      <c r="I157" s="294" t="n"/>
      <c r="J157" s="294" t="n"/>
      <c r="K157" s="294" t="n"/>
      <c r="L157" s="215" t="inlineStr">
        <is>
          <t>26/05/2026</t>
        </is>
      </c>
    </row>
    <row r="158" ht="15.75" customHeight="1" s="153">
      <c r="A158" s="214" t="n">
        <v>153</v>
      </c>
      <c r="B158" s="215" t="inlineStr">
        <is>
          <t>PEDRONI 6521</t>
        </is>
      </c>
      <c r="C158" s="216" t="n">
        <v>119000</v>
      </c>
      <c r="D158" s="216" t="n">
        <v>25800</v>
      </c>
      <c r="E158" s="293" t="n">
        <v>0.2168</v>
      </c>
      <c r="F158" s="294" t="n">
        <v>3</v>
      </c>
      <c r="G158" s="294" t="n">
        <v>6</v>
      </c>
      <c r="H158" s="294" t="n"/>
      <c r="I158" s="294" t="n"/>
      <c r="J158" s="294" t="n"/>
      <c r="K158" s="294" t="n"/>
      <c r="L158" s="215" t="inlineStr">
        <is>
          <t>30/05/2026</t>
        </is>
      </c>
    </row>
    <row r="159" ht="15.75" customHeight="1" s="153">
      <c r="A159" s="221" t="n">
        <v>154</v>
      </c>
      <c r="B159" s="215" t="inlineStr">
        <is>
          <t xml:space="preserve">FILOMENA </t>
        </is>
      </c>
      <c r="C159" s="216" t="n">
        <v>118000</v>
      </c>
      <c r="D159" s="216" t="n">
        <v>46000</v>
      </c>
      <c r="E159" s="293" t="n">
        <v>0.3898</v>
      </c>
      <c r="F159" s="294" t="n">
        <v>4</v>
      </c>
      <c r="G159" s="294" t="n">
        <v>6</v>
      </c>
      <c r="H159" s="294" t="n"/>
      <c r="I159" s="294" t="n"/>
      <c r="J159" s="294" t="n"/>
      <c r="K159" s="294" t="n"/>
      <c r="L159" s="215" t="inlineStr">
        <is>
          <t>01/04/2026</t>
        </is>
      </c>
    </row>
    <row r="160" ht="15.75" customHeight="1" s="153">
      <c r="A160" s="214" t="n">
        <v>155</v>
      </c>
      <c r="B160" s="215" t="inlineStr">
        <is>
          <t>PUBLICO 5727</t>
        </is>
      </c>
      <c r="C160" s="216" t="n">
        <v>118000</v>
      </c>
      <c r="D160" s="216" t="n">
        <v>54250</v>
      </c>
      <c r="E160" s="293" t="n">
        <v>0.4597</v>
      </c>
      <c r="F160" s="294" t="n">
        <v>2</v>
      </c>
      <c r="G160" s="294" t="n">
        <v>2</v>
      </c>
      <c r="H160" s="294" t="n">
        <v>2</v>
      </c>
      <c r="I160" s="294" t="n"/>
      <c r="J160" s="294" t="n"/>
      <c r="K160" s="294" t="n"/>
      <c r="L160" s="215" t="inlineStr">
        <is>
          <t>20/04/2026</t>
        </is>
      </c>
    </row>
    <row r="161" ht="15.75" customHeight="1" s="153">
      <c r="A161" s="221" t="n">
        <v>156</v>
      </c>
      <c r="B161" s="215" t="inlineStr">
        <is>
          <t>AYACUCHO 5370</t>
        </is>
      </c>
      <c r="C161" s="216" t="n">
        <v>116500</v>
      </c>
      <c r="D161" s="216" t="n">
        <v>88300</v>
      </c>
      <c r="E161" s="293" t="n">
        <v>0.7579</v>
      </c>
      <c r="F161" s="294" t="n">
        <v>9</v>
      </c>
      <c r="G161" s="294" t="n"/>
      <c r="H161" s="294" t="n">
        <v>1</v>
      </c>
      <c r="I161" s="294" t="n"/>
      <c r="J161" s="294" t="n"/>
      <c r="K161" s="294" t="n">
        <v>9</v>
      </c>
      <c r="L161" s="215" t="inlineStr">
        <is>
          <t>07/05/2026</t>
        </is>
      </c>
    </row>
    <row r="162" ht="15.75" customHeight="1" s="153">
      <c r="A162" s="214" t="n">
        <v>157</v>
      </c>
      <c r="B162" s="215" t="inlineStr">
        <is>
          <t>PANA VIEYTES</t>
        </is>
      </c>
      <c r="C162" s="216" t="n">
        <v>116000</v>
      </c>
      <c r="D162" s="216" t="n">
        <v>37500</v>
      </c>
      <c r="E162" s="293" t="n">
        <v>0.3233</v>
      </c>
      <c r="F162" s="294" t="n">
        <v>4</v>
      </c>
      <c r="G162" s="294" t="n">
        <v>3</v>
      </c>
      <c r="H162" s="294" t="n"/>
      <c r="I162" s="294" t="n">
        <v>1</v>
      </c>
      <c r="J162" s="294" t="n"/>
      <c r="K162" s="294" t="n"/>
      <c r="L162" s="215" t="inlineStr">
        <is>
          <t>16/01/2026</t>
        </is>
      </c>
    </row>
    <row r="163" ht="15.75" customHeight="1" s="153">
      <c r="A163" s="221" t="n">
        <v>158</v>
      </c>
      <c r="B163" s="215" t="inlineStr">
        <is>
          <t>BEATRIZ</t>
        </is>
      </c>
      <c r="C163" s="216" t="n">
        <v>115500</v>
      </c>
      <c r="D163" s="216" t="n">
        <v>77530</v>
      </c>
      <c r="E163" s="293" t="n">
        <v>0.6713</v>
      </c>
      <c r="F163" s="294" t="n">
        <v>13</v>
      </c>
      <c r="G163" s="294" t="n">
        <v>1</v>
      </c>
      <c r="H163" s="294" t="n">
        <v>1</v>
      </c>
      <c r="I163" s="294" t="n"/>
      <c r="J163" s="294" t="n"/>
      <c r="K163" s="294" t="n"/>
      <c r="L163" s="215" t="inlineStr">
        <is>
          <t>13/05/2026</t>
        </is>
      </c>
    </row>
    <row r="164" ht="15.75" customHeight="1" s="153">
      <c r="A164" s="214" t="n">
        <v>159</v>
      </c>
      <c r="B164" s="215" t="inlineStr">
        <is>
          <t>GOLRD BURGER</t>
        </is>
      </c>
      <c r="C164" s="216" t="n">
        <v>115000</v>
      </c>
      <c r="D164" s="216" t="n">
        <v>40000</v>
      </c>
      <c r="E164" s="293" t="n">
        <v>0.3478</v>
      </c>
      <c r="F164" s="294" t="n">
        <v>1</v>
      </c>
      <c r="G164" s="294" t="n">
        <v>5</v>
      </c>
      <c r="H164" s="294" t="n"/>
      <c r="I164" s="294" t="n"/>
      <c r="J164" s="294" t="n"/>
      <c r="K164" s="294" t="n"/>
      <c r="L164" s="215" t="inlineStr">
        <is>
          <t>04/04/2026</t>
        </is>
      </c>
    </row>
    <row r="165" ht="15.75" customHeight="1" s="153">
      <c r="A165" s="221" t="n">
        <v>160</v>
      </c>
      <c r="B165" s="215" t="inlineStr">
        <is>
          <t>COGORNP 5520</t>
        </is>
      </c>
      <c r="C165" s="216" t="n">
        <v>114000</v>
      </c>
      <c r="D165" s="216" t="n">
        <v>24000</v>
      </c>
      <c r="E165" s="293" t="n">
        <v>0.2105</v>
      </c>
      <c r="F165" s="294" t="n">
        <v>1</v>
      </c>
      <c r="G165" s="294" t="n">
        <v>6</v>
      </c>
      <c r="H165" s="294" t="n"/>
      <c r="I165" s="294" t="n"/>
      <c r="J165" s="294" t="n"/>
      <c r="K165" s="294" t="n"/>
      <c r="L165" s="215" t="inlineStr">
        <is>
          <t>18/04/2026</t>
        </is>
      </c>
    </row>
    <row r="166" ht="15.75" customHeight="1" s="153">
      <c r="A166" s="214" t="n">
        <v>161</v>
      </c>
      <c r="B166" s="215" t="inlineStr">
        <is>
          <t>BONEO 5315</t>
        </is>
      </c>
      <c r="C166" s="216" t="n">
        <v>113000</v>
      </c>
      <c r="D166" s="216" t="n">
        <v>47700</v>
      </c>
      <c r="E166" s="293" t="n">
        <v>0.4221</v>
      </c>
      <c r="F166" s="294" t="n">
        <v>4</v>
      </c>
      <c r="G166" s="294" t="n">
        <v>5</v>
      </c>
      <c r="H166" s="294" t="n"/>
      <c r="I166" s="294" t="n"/>
      <c r="J166" s="294" t="n"/>
      <c r="K166" s="294" t="n"/>
      <c r="L166" s="215" t="inlineStr">
        <is>
          <t>15/05/2026</t>
        </is>
      </c>
    </row>
    <row r="167" ht="15.75" customHeight="1" s="153">
      <c r="A167" s="221" t="n">
        <v>162</v>
      </c>
      <c r="B167" s="215" t="inlineStr">
        <is>
          <t>1980 LEMON</t>
        </is>
      </c>
      <c r="C167" s="216" t="n">
        <v>112000</v>
      </c>
      <c r="D167" s="216" t="n">
        <v>48800</v>
      </c>
      <c r="E167" s="293" t="n">
        <v>0.4357</v>
      </c>
      <c r="F167" s="294" t="n">
        <v>1</v>
      </c>
      <c r="G167" s="294" t="n">
        <v>4</v>
      </c>
      <c r="H167" s="294" t="n"/>
      <c r="I167" s="294" t="n"/>
      <c r="J167" s="294" t="n"/>
      <c r="K167" s="294" t="n"/>
      <c r="L167" s="215" t="inlineStr">
        <is>
          <t>24/05/2026</t>
        </is>
      </c>
    </row>
    <row r="168" ht="15.75" customHeight="1" s="153">
      <c r="A168" s="214" t="n">
        <v>163</v>
      </c>
      <c r="B168" s="215" t="inlineStr">
        <is>
          <t>GARMENDIA 9250</t>
        </is>
      </c>
      <c r="C168" s="216" t="n">
        <v>111600</v>
      </c>
      <c r="D168" s="216" t="n">
        <v>48300</v>
      </c>
      <c r="E168" s="293" t="n">
        <v>0.4328</v>
      </c>
      <c r="F168" s="294" t="n">
        <v>3</v>
      </c>
      <c r="G168" s="294" t="n"/>
      <c r="H168" s="294" t="n"/>
      <c r="I168" s="294" t="n">
        <v>1</v>
      </c>
      <c r="J168" s="294" t="n"/>
      <c r="K168" s="294" t="n"/>
      <c r="L168" s="215" t="inlineStr">
        <is>
          <t>17/04/2026</t>
        </is>
      </c>
    </row>
    <row r="169" ht="15.75" customHeight="1" s="153">
      <c r="A169" s="221" t="n">
        <v>164</v>
      </c>
      <c r="B169" s="215" t="inlineStr">
        <is>
          <t>NOGALES 3419</t>
        </is>
      </c>
      <c r="C169" s="216" t="n">
        <v>111000</v>
      </c>
      <c r="D169" s="216" t="n">
        <v>35200</v>
      </c>
      <c r="E169" s="293" t="n">
        <v>0.3171</v>
      </c>
      <c r="F169" s="294" t="n">
        <v>2</v>
      </c>
      <c r="G169" s="294" t="n">
        <v>1</v>
      </c>
      <c r="H169" s="294" t="n"/>
      <c r="I169" s="294" t="n">
        <v>1</v>
      </c>
      <c r="J169" s="294" t="n"/>
      <c r="K169" s="294" t="n"/>
      <c r="L169" s="215" t="inlineStr">
        <is>
          <t>20/05/2026</t>
        </is>
      </c>
    </row>
    <row r="170" ht="15.75" customHeight="1" s="153">
      <c r="A170" s="214" t="n">
        <v>165</v>
      </c>
      <c r="B170" s="215" t="inlineStr">
        <is>
          <t>TUYA ABUELA</t>
        </is>
      </c>
      <c r="C170" s="216" t="n">
        <v>108000</v>
      </c>
      <c r="D170" s="216" t="n">
        <v>46000</v>
      </c>
      <c r="E170" s="293" t="n">
        <v>0.4259</v>
      </c>
      <c r="F170" s="294" t="n">
        <v>2</v>
      </c>
      <c r="G170" s="294" t="n">
        <v>1</v>
      </c>
      <c r="H170" s="294" t="n">
        <v>2</v>
      </c>
      <c r="I170" s="294" t="n"/>
      <c r="J170" s="294" t="n"/>
      <c r="K170" s="294" t="n"/>
      <c r="L170" s="215" t="inlineStr">
        <is>
          <t>24/05/2026</t>
        </is>
      </c>
    </row>
    <row r="171" ht="15.75" customHeight="1" s="153">
      <c r="A171" s="221" t="n">
        <v>166</v>
      </c>
      <c r="B171" s="215" t="inlineStr">
        <is>
          <t>VALDIVIESO 2475</t>
        </is>
      </c>
      <c r="C171" s="216" t="n">
        <v>108000</v>
      </c>
      <c r="D171" s="216" t="n">
        <v>30200</v>
      </c>
      <c r="E171" s="293" t="n">
        <v>0.2796</v>
      </c>
      <c r="F171" s="294" t="n">
        <v>1</v>
      </c>
      <c r="G171" s="294" t="n">
        <v>1</v>
      </c>
      <c r="H171" s="294" t="n"/>
      <c r="I171" s="294" t="n">
        <v>1</v>
      </c>
      <c r="J171" s="294" t="n"/>
      <c r="K171" s="294" t="n"/>
      <c r="L171" s="215" t="inlineStr">
        <is>
          <t>22/05/2026</t>
        </is>
      </c>
    </row>
    <row r="172" ht="15.75" customHeight="1" s="153">
      <c r="A172" s="214" t="n">
        <v>167</v>
      </c>
      <c r="B172" s="215" t="inlineStr">
        <is>
          <t>AGUADO 9067</t>
        </is>
      </c>
      <c r="C172" s="216" t="n">
        <v>107500</v>
      </c>
      <c r="D172" s="216" t="n">
        <v>44300</v>
      </c>
      <c r="E172" s="293" t="n">
        <v>0.4121</v>
      </c>
      <c r="F172" s="294" t="n">
        <v>2</v>
      </c>
      <c r="G172" s="294" t="n">
        <v>1</v>
      </c>
      <c r="H172" s="294" t="n">
        <v>2</v>
      </c>
      <c r="I172" s="294" t="n"/>
      <c r="J172" s="294" t="n"/>
      <c r="K172" s="294" t="n"/>
      <c r="L172" s="215" t="inlineStr">
        <is>
          <t>31/05/2026</t>
        </is>
      </c>
    </row>
    <row r="173" ht="15.75" customHeight="1" s="153">
      <c r="A173" s="221" t="n">
        <v>168</v>
      </c>
      <c r="B173" s="215" t="inlineStr">
        <is>
          <t>ARISTÓBULO 5137</t>
        </is>
      </c>
      <c r="C173" s="216" t="n">
        <v>107000</v>
      </c>
      <c r="D173" s="216" t="n">
        <v>43800</v>
      </c>
      <c r="E173" s="293" t="n">
        <v>0.4093</v>
      </c>
      <c r="F173" s="294" t="n">
        <v>3</v>
      </c>
      <c r="G173" s="294" t="n">
        <v>1</v>
      </c>
      <c r="H173" s="294" t="n">
        <v>2</v>
      </c>
      <c r="I173" s="294" t="n"/>
      <c r="J173" s="294" t="n"/>
      <c r="K173" s="294" t="n"/>
      <c r="L173" s="215" t="inlineStr">
        <is>
          <t>31/05/2026</t>
        </is>
      </c>
    </row>
    <row r="174" ht="15.75" customHeight="1" s="153">
      <c r="A174" s="214" t="n">
        <v>169</v>
      </c>
      <c r="B174" s="215" t="inlineStr">
        <is>
          <t>PANA BERUTI 6700</t>
        </is>
      </c>
      <c r="C174" s="216" t="n">
        <v>107000</v>
      </c>
      <c r="D174" s="216" t="n">
        <v>29200</v>
      </c>
      <c r="E174" s="293" t="n">
        <v>0.2729</v>
      </c>
      <c r="F174" s="294" t="n">
        <v>1</v>
      </c>
      <c r="G174" s="294" t="n">
        <v>1</v>
      </c>
      <c r="H174" s="294" t="n"/>
      <c r="I174" s="294" t="n">
        <v>1</v>
      </c>
      <c r="J174" s="294" t="n"/>
      <c r="K174" s="294" t="n"/>
      <c r="L174" s="215" t="inlineStr">
        <is>
          <t>15/05/2026</t>
        </is>
      </c>
    </row>
    <row r="175" ht="15.75" customHeight="1" s="153">
      <c r="A175" s="221" t="n">
        <v>170</v>
      </c>
      <c r="B175" s="215" t="inlineStr">
        <is>
          <t>LARREA 3164</t>
        </is>
      </c>
      <c r="C175" s="216" t="n">
        <v>105900</v>
      </c>
      <c r="D175" s="216" t="n">
        <v>41100</v>
      </c>
      <c r="E175" s="293" t="n">
        <v>0.3881</v>
      </c>
      <c r="F175" s="294" t="n">
        <v>2</v>
      </c>
      <c r="G175" s="294" t="n">
        <v>1</v>
      </c>
      <c r="H175" s="294" t="n"/>
      <c r="I175" s="294" t="n">
        <v>1</v>
      </c>
      <c r="J175" s="294" t="n"/>
      <c r="K175" s="294" t="n"/>
      <c r="L175" s="215" t="inlineStr">
        <is>
          <t>25/05/2026</t>
        </is>
      </c>
    </row>
    <row r="176" ht="15.75" customHeight="1" s="153">
      <c r="A176" s="214" t="n">
        <v>171</v>
      </c>
      <c r="B176" s="215" t="inlineStr">
        <is>
          <t>CANCHA RIVADAVIA</t>
        </is>
      </c>
      <c r="C176" s="216" t="n">
        <v>105000</v>
      </c>
      <c r="D176" s="216" t="n">
        <v>30000</v>
      </c>
      <c r="E176" s="293" t="n">
        <v>0.2857</v>
      </c>
      <c r="F176" s="294" t="n">
        <v>1</v>
      </c>
      <c r="G176" s="294" t="n">
        <v>1</v>
      </c>
      <c r="H176" s="294" t="n"/>
      <c r="I176" s="294" t="n">
        <v>1</v>
      </c>
      <c r="J176" s="294" t="n"/>
      <c r="K176" s="294" t="n"/>
      <c r="L176" s="215" t="inlineStr">
        <is>
          <t>11/04/2026</t>
        </is>
      </c>
    </row>
    <row r="177" ht="15.75" customHeight="1" s="153">
      <c r="A177" s="221" t="n">
        <v>172</v>
      </c>
      <c r="B177" s="215" t="inlineStr">
        <is>
          <t>FACUNDO ZUVIRIA 10235</t>
        </is>
      </c>
      <c r="C177" s="216" t="n">
        <v>104000</v>
      </c>
      <c r="D177" s="216" t="n">
        <v>47700</v>
      </c>
      <c r="E177" s="293" t="n">
        <v>0.4587</v>
      </c>
      <c r="F177" s="294" t="n">
        <v>4</v>
      </c>
      <c r="G177" s="294" t="n">
        <v>4</v>
      </c>
      <c r="H177" s="294" t="n"/>
      <c r="I177" s="294" t="n"/>
      <c r="J177" s="294" t="n"/>
      <c r="K177" s="294" t="n"/>
      <c r="L177" s="215" t="inlineStr">
        <is>
          <t>19/05/2026</t>
        </is>
      </c>
    </row>
    <row r="178" ht="15.75" customHeight="1" s="153">
      <c r="A178" s="214" t="n">
        <v>173</v>
      </c>
      <c r="B178" s="215" t="inlineStr">
        <is>
          <t>FORMOSA 6058</t>
        </is>
      </c>
      <c r="C178" s="216" t="n">
        <v>104000</v>
      </c>
      <c r="D178" s="216" t="n">
        <v>70790</v>
      </c>
      <c r="E178" s="293" t="n">
        <v>0.6807</v>
      </c>
      <c r="F178" s="294" t="n">
        <v>3</v>
      </c>
      <c r="G178" s="294" t="n">
        <v>2</v>
      </c>
      <c r="H178" s="294" t="n"/>
      <c r="I178" s="294" t="n"/>
      <c r="J178" s="294" t="n"/>
      <c r="K178" s="294" t="n"/>
      <c r="L178" s="215" t="inlineStr">
        <is>
          <t>10/05/2026</t>
        </is>
      </c>
    </row>
    <row r="179" ht="15.75" customHeight="1" s="153">
      <c r="A179" s="221" t="n">
        <v>174</v>
      </c>
      <c r="B179" s="215" t="inlineStr">
        <is>
          <t>PUBLICO 2383</t>
        </is>
      </c>
      <c r="C179" s="216" t="n">
        <v>104000</v>
      </c>
      <c r="D179" s="216" t="n">
        <v>41500</v>
      </c>
      <c r="E179" s="293" t="n">
        <v>0.399</v>
      </c>
      <c r="F179" s="294" t="n">
        <v>1</v>
      </c>
      <c r="G179" s="294" t="n">
        <v>1</v>
      </c>
      <c r="H179" s="294" t="n"/>
      <c r="I179" s="294" t="n">
        <v>1</v>
      </c>
      <c r="J179" s="294" t="n"/>
      <c r="K179" s="294" t="n"/>
      <c r="L179" s="215" t="inlineStr">
        <is>
          <t>11/03/2026</t>
        </is>
      </c>
    </row>
    <row r="180" ht="15.75" customHeight="1" s="153">
      <c r="A180" s="214" t="n">
        <v>175</v>
      </c>
      <c r="B180" s="215" t="inlineStr">
        <is>
          <t>LAS HERAS 5471</t>
        </is>
      </c>
      <c r="C180" s="216" t="n">
        <v>104000</v>
      </c>
      <c r="D180" s="216" t="n">
        <v>51400</v>
      </c>
      <c r="E180" s="293" t="n">
        <v>0.4942</v>
      </c>
      <c r="F180" s="294" t="n">
        <v>2</v>
      </c>
      <c r="G180" s="294" t="n">
        <v>4</v>
      </c>
      <c r="H180" s="294" t="n"/>
      <c r="I180" s="294" t="n"/>
      <c r="J180" s="294" t="n"/>
      <c r="K180" s="294" t="n"/>
      <c r="L180" s="215" t="inlineStr">
        <is>
          <t>10/05/2026</t>
        </is>
      </c>
    </row>
    <row r="181" ht="15.75" customHeight="1" s="153">
      <c r="A181" s="221" t="n">
        <v>176</v>
      </c>
      <c r="B181" s="215" t="inlineStr">
        <is>
          <t>M POLONIA 3065</t>
        </is>
      </c>
      <c r="C181" s="216" t="n">
        <v>104000</v>
      </c>
      <c r="D181" s="216" t="n">
        <v>40800</v>
      </c>
      <c r="E181" s="293" t="n">
        <v>0.3923</v>
      </c>
      <c r="F181" s="294" t="n">
        <v>1</v>
      </c>
      <c r="G181" s="294" t="n">
        <v>4</v>
      </c>
      <c r="H181" s="294" t="n"/>
      <c r="I181" s="294" t="n"/>
      <c r="J181" s="294" t="n"/>
      <c r="K181" s="294" t="n"/>
      <c r="L181" s="215" t="inlineStr">
        <is>
          <t>12/05/2026</t>
        </is>
      </c>
    </row>
    <row r="182" ht="15.75" customHeight="1" s="153">
      <c r="A182" s="214" t="n">
        <v>177</v>
      </c>
      <c r="B182" s="215" t="inlineStr">
        <is>
          <t>PARRI GABOTO</t>
        </is>
      </c>
      <c r="C182" s="216" t="n">
        <v>103000</v>
      </c>
      <c r="D182" s="216" t="n">
        <v>44500</v>
      </c>
      <c r="E182" s="293" t="n">
        <v>0.432</v>
      </c>
      <c r="F182" s="294" t="n">
        <v>4</v>
      </c>
      <c r="G182" s="294" t="n">
        <v>5</v>
      </c>
      <c r="H182" s="294" t="n"/>
      <c r="I182" s="294" t="n"/>
      <c r="J182" s="294" t="n"/>
      <c r="K182" s="294" t="n"/>
      <c r="L182" s="215" t="inlineStr">
        <is>
          <t>22/03/2026</t>
        </is>
      </c>
    </row>
    <row r="183" ht="15.75" customHeight="1" s="153">
      <c r="A183" s="221" t="n">
        <v>178</v>
      </c>
      <c r="B183" s="215" t="inlineStr">
        <is>
          <t xml:space="preserve">POSTA COLASTINE </t>
        </is>
      </c>
      <c r="C183" s="216" t="n">
        <v>100000</v>
      </c>
      <c r="D183" s="216" t="n">
        <v>25000</v>
      </c>
      <c r="E183" s="293" t="n">
        <v>0.25</v>
      </c>
      <c r="F183" s="294" t="n">
        <v>1</v>
      </c>
      <c r="G183" s="294" t="n">
        <v>5</v>
      </c>
      <c r="H183" s="294" t="n"/>
      <c r="I183" s="294" t="n"/>
      <c r="J183" s="294" t="n"/>
      <c r="K183" s="294" t="n"/>
      <c r="L183" s="215" t="inlineStr">
        <is>
          <t>04/04/2026</t>
        </is>
      </c>
    </row>
    <row r="184" ht="15.75" customHeight="1" s="153">
      <c r="A184" s="214" t="n">
        <v>179</v>
      </c>
      <c r="B184" s="215" t="inlineStr">
        <is>
          <t>ASCUÉNAGA 6551</t>
        </is>
      </c>
      <c r="C184" s="216" t="n">
        <v>100000</v>
      </c>
      <c r="D184" s="216" t="n">
        <v>21000</v>
      </c>
      <c r="E184" s="293" t="n">
        <v>0.21</v>
      </c>
      <c r="F184" s="294" t="n">
        <v>1</v>
      </c>
      <c r="G184" s="294" t="n">
        <v>5</v>
      </c>
      <c r="H184" s="294" t="n"/>
      <c r="I184" s="294" t="n"/>
      <c r="J184" s="294" t="n"/>
      <c r="K184" s="294" t="n"/>
      <c r="L184" s="215" t="inlineStr">
        <is>
          <t>10/05/2026</t>
        </is>
      </c>
    </row>
    <row r="185" ht="15.75" customHeight="1" s="153">
      <c r="A185" s="221" t="n">
        <v>180</v>
      </c>
      <c r="B185" s="215" t="inlineStr">
        <is>
          <t>GRINGO ILGATO</t>
        </is>
      </c>
      <c r="C185" s="216" t="n">
        <v>99000</v>
      </c>
      <c r="D185" s="216" t="n">
        <v>41500</v>
      </c>
      <c r="E185" s="293" t="n">
        <v>0.4192</v>
      </c>
      <c r="F185" s="294" t="n">
        <v>1</v>
      </c>
      <c r="G185" s="294" t="n">
        <v>1</v>
      </c>
      <c r="H185" s="294" t="n"/>
      <c r="I185" s="294" t="n">
        <v>1</v>
      </c>
      <c r="J185" s="294" t="n"/>
      <c r="K185" s="294" t="n"/>
      <c r="L185" s="215" t="inlineStr">
        <is>
          <t>08/02/2026</t>
        </is>
      </c>
    </row>
    <row r="186" ht="15.75" customHeight="1" s="153">
      <c r="A186" s="214" t="n">
        <v>181</v>
      </c>
      <c r="B186" s="215" t="inlineStr">
        <is>
          <t>LARREA 3339</t>
        </is>
      </c>
      <c r="C186" s="216" t="n">
        <v>98000</v>
      </c>
      <c r="D186" s="216" t="n">
        <v>23000</v>
      </c>
      <c r="E186" s="293" t="n">
        <v>0.2347</v>
      </c>
      <c r="F186" s="294" t="n">
        <v>2</v>
      </c>
      <c r="G186" s="294" t="n">
        <v>6</v>
      </c>
      <c r="H186" s="294" t="n"/>
      <c r="I186" s="294" t="n"/>
      <c r="J186" s="294" t="n"/>
      <c r="K186" s="294" t="n"/>
      <c r="L186" s="215" t="inlineStr">
        <is>
          <t>23/03/2026</t>
        </is>
      </c>
    </row>
    <row r="187" ht="15.75" customHeight="1" s="153">
      <c r="A187" s="221" t="n">
        <v>182</v>
      </c>
      <c r="B187" s="215" t="inlineStr">
        <is>
          <t>NOE SAROMÉ</t>
        </is>
      </c>
      <c r="C187" s="216" t="n">
        <v>98000</v>
      </c>
      <c r="D187" s="216" t="n">
        <v>36000</v>
      </c>
      <c r="E187" s="293" t="n">
        <v>0.3673</v>
      </c>
      <c r="F187" s="294" t="n">
        <v>1</v>
      </c>
      <c r="G187" s="294" t="n"/>
      <c r="H187" s="294" t="n"/>
      <c r="I187" s="294" t="n">
        <v>1</v>
      </c>
      <c r="J187" s="294" t="n"/>
      <c r="K187" s="294" t="n"/>
      <c r="L187" s="215" t="inlineStr">
        <is>
          <t>31/05/2026</t>
        </is>
      </c>
    </row>
    <row r="188" ht="15.75" customHeight="1" s="153">
      <c r="A188" s="214" t="n">
        <v>183</v>
      </c>
      <c r="B188" s="215" t="inlineStr">
        <is>
          <t>CASTELLI 5406</t>
        </is>
      </c>
      <c r="C188" s="216" t="n">
        <v>97000</v>
      </c>
      <c r="D188" s="216" t="n">
        <v>42550</v>
      </c>
      <c r="E188" s="293" t="n">
        <v>0.4387</v>
      </c>
      <c r="F188" s="294" t="n">
        <v>3</v>
      </c>
      <c r="G188" s="294" t="n">
        <v>1</v>
      </c>
      <c r="H188" s="294" t="n">
        <v>2</v>
      </c>
      <c r="I188" s="294" t="n"/>
      <c r="J188" s="294" t="n"/>
      <c r="K188" s="294" t="n"/>
      <c r="L188" s="215" t="inlineStr">
        <is>
          <t>19/05/2026</t>
        </is>
      </c>
    </row>
    <row r="189" ht="15.75" customHeight="1" s="153">
      <c r="A189" s="221" t="n">
        <v>184</v>
      </c>
      <c r="B189" s="215" t="inlineStr">
        <is>
          <t>1 DE MAYO 8361</t>
        </is>
      </c>
      <c r="C189" s="216" t="n">
        <v>97000</v>
      </c>
      <c r="D189" s="216" t="n">
        <v>42200</v>
      </c>
      <c r="E189" s="293" t="n">
        <v>0.4351</v>
      </c>
      <c r="F189" s="294" t="n">
        <v>4</v>
      </c>
      <c r="G189" s="294" t="n">
        <v>4</v>
      </c>
      <c r="H189" s="294" t="n"/>
      <c r="I189" s="294" t="n"/>
      <c r="J189" s="294" t="n"/>
      <c r="K189" s="294" t="n"/>
      <c r="L189" s="215" t="inlineStr">
        <is>
          <t>27/05/2026</t>
        </is>
      </c>
    </row>
    <row r="190" ht="15.75" customHeight="1" s="153">
      <c r="A190" s="214" t="n">
        <v>185</v>
      </c>
      <c r="B190" s="215" t="inlineStr">
        <is>
          <t>FRENCH BIS 2000 GONZA TORRI</t>
        </is>
      </c>
      <c r="C190" s="216" t="n">
        <v>97000</v>
      </c>
      <c r="D190" s="216" t="n">
        <v>48000</v>
      </c>
      <c r="E190" s="293" t="n">
        <v>0.4948</v>
      </c>
      <c r="F190" s="294" t="n">
        <v>1</v>
      </c>
      <c r="G190" s="294" t="n"/>
      <c r="H190" s="294" t="n"/>
      <c r="I190" s="294" t="n">
        <v>1</v>
      </c>
      <c r="J190" s="294" t="n"/>
      <c r="K190" s="294" t="n"/>
      <c r="L190" s="215" t="inlineStr">
        <is>
          <t>07/03/2026</t>
        </is>
      </c>
    </row>
    <row r="191" ht="15.75" customHeight="1" s="153">
      <c r="A191" s="221" t="n">
        <v>186</v>
      </c>
      <c r="B191" s="215" t="inlineStr">
        <is>
          <t>VIEYTES 4333</t>
        </is>
      </c>
      <c r="C191" s="216" t="n">
        <v>96500</v>
      </c>
      <c r="D191" s="216" t="n">
        <v>34100</v>
      </c>
      <c r="E191" s="293" t="n">
        <v>0.3534</v>
      </c>
      <c r="F191" s="294" t="n">
        <v>3</v>
      </c>
      <c r="G191" s="294" t="n">
        <v>4</v>
      </c>
      <c r="H191" s="294" t="n"/>
      <c r="I191" s="294" t="n"/>
      <c r="J191" s="294" t="n"/>
      <c r="K191" s="294" t="n"/>
      <c r="L191" s="215" t="inlineStr">
        <is>
          <t>30/05/2026</t>
        </is>
      </c>
    </row>
    <row r="192" ht="15.75" customHeight="1" s="153">
      <c r="A192" s="214" t="n">
        <v>187</v>
      </c>
      <c r="B192" s="215" t="inlineStr">
        <is>
          <t>FREIRE 6181</t>
        </is>
      </c>
      <c r="C192" s="216" t="n">
        <v>96000</v>
      </c>
      <c r="D192" s="216" t="n">
        <v>36000</v>
      </c>
      <c r="E192" s="293" t="n">
        <v>0.375</v>
      </c>
      <c r="F192" s="294" t="n">
        <v>1</v>
      </c>
      <c r="G192" s="294" t="n"/>
      <c r="H192" s="294" t="n"/>
      <c r="I192" s="294" t="n">
        <v>1</v>
      </c>
      <c r="J192" s="294" t="n"/>
      <c r="K192" s="294" t="n"/>
      <c r="L192" s="215" t="inlineStr">
        <is>
          <t>06/04/2026</t>
        </is>
      </c>
    </row>
    <row r="193" ht="15.75" customHeight="1" s="153">
      <c r="A193" s="221" t="n">
        <v>188</v>
      </c>
      <c r="B193" s="215" t="inlineStr">
        <is>
          <t>EMIR SIMÓN</t>
        </is>
      </c>
      <c r="C193" s="216" t="n">
        <v>96000</v>
      </c>
      <c r="D193" s="216" t="n">
        <v>34000</v>
      </c>
      <c r="E193" s="293" t="n">
        <v>0.3542</v>
      </c>
      <c r="F193" s="294" t="n">
        <v>1</v>
      </c>
      <c r="G193" s="294" t="n"/>
      <c r="H193" s="294" t="n"/>
      <c r="I193" s="294" t="n">
        <v>1</v>
      </c>
      <c r="J193" s="294" t="n"/>
      <c r="K193" s="294" t="n"/>
      <c r="L193" s="215" t="inlineStr">
        <is>
          <t>29/05/2026</t>
        </is>
      </c>
    </row>
    <row r="194" ht="15.75" customHeight="1" s="153">
      <c r="A194" s="214" t="n">
        <v>189</v>
      </c>
      <c r="B194" s="215" t="inlineStr">
        <is>
          <t>PUBLICO 8252</t>
        </is>
      </c>
      <c r="C194" s="216" t="n">
        <v>96000</v>
      </c>
      <c r="D194" s="216" t="n">
        <v>34000</v>
      </c>
      <c r="E194" s="293" t="n">
        <v>0.3542</v>
      </c>
      <c r="F194" s="294" t="n">
        <v>1</v>
      </c>
      <c r="G194" s="294" t="n"/>
      <c r="H194" s="294" t="n"/>
      <c r="I194" s="294" t="n">
        <v>1</v>
      </c>
      <c r="J194" s="294" t="n"/>
      <c r="K194" s="294" t="n"/>
      <c r="L194" s="215" t="inlineStr">
        <is>
          <t>31/05/2026</t>
        </is>
      </c>
    </row>
    <row r="195" ht="15.75" customHeight="1" s="153">
      <c r="A195" s="221" t="n">
        <v>190</v>
      </c>
      <c r="B195" s="215" t="inlineStr">
        <is>
          <t>FELIX BARRETO 9127</t>
        </is>
      </c>
      <c r="C195" s="216" t="n">
        <v>96000</v>
      </c>
      <c r="D195" s="216" t="n">
        <v>34000</v>
      </c>
      <c r="E195" s="293" t="n">
        <v>0.3542</v>
      </c>
      <c r="F195" s="294" t="n">
        <v>1</v>
      </c>
      <c r="G195" s="294" t="n"/>
      <c r="H195" s="294" t="n"/>
      <c r="I195" s="294" t="n">
        <v>1</v>
      </c>
      <c r="J195" s="294" t="n"/>
      <c r="K195" s="294" t="n"/>
      <c r="L195" s="215" t="inlineStr">
        <is>
          <t>31/05/2026</t>
        </is>
      </c>
    </row>
    <row r="196" ht="15.75" customHeight="1" s="153">
      <c r="A196" s="214" t="n">
        <v>191</v>
      </c>
      <c r="B196" s="215" t="inlineStr">
        <is>
          <t xml:space="preserve">SANDRA </t>
        </is>
      </c>
      <c r="C196" s="216" t="n">
        <v>95000</v>
      </c>
      <c r="D196" s="216" t="n">
        <v>20000</v>
      </c>
      <c r="E196" s="293" t="n">
        <v>0.2105</v>
      </c>
      <c r="F196" s="294" t="n">
        <v>1</v>
      </c>
      <c r="G196" s="294" t="n">
        <v>2</v>
      </c>
      <c r="H196" s="294" t="n">
        <v>2</v>
      </c>
      <c r="I196" s="294" t="n"/>
      <c r="J196" s="294" t="n"/>
      <c r="K196" s="294" t="n"/>
      <c r="L196" s="215" t="inlineStr">
        <is>
          <t>08/04/2026</t>
        </is>
      </c>
    </row>
    <row r="197" ht="15.75" customHeight="1" s="153">
      <c r="A197" s="221" t="n">
        <v>192</v>
      </c>
      <c r="B197" s="215" t="inlineStr">
        <is>
          <t>ESTRADA 2198</t>
        </is>
      </c>
      <c r="C197" s="216" t="n">
        <v>95000</v>
      </c>
      <c r="D197" s="216" t="n">
        <v>35000</v>
      </c>
      <c r="E197" s="293" t="n">
        <v>0.3684</v>
      </c>
      <c r="F197" s="294" t="n">
        <v>1</v>
      </c>
      <c r="G197" s="294" t="n"/>
      <c r="H197" s="294" t="n"/>
      <c r="I197" s="294" t="n">
        <v>1</v>
      </c>
      <c r="J197" s="294" t="n"/>
      <c r="K197" s="294" t="n"/>
      <c r="L197" s="215" t="inlineStr">
        <is>
          <t>10/04/2026</t>
        </is>
      </c>
    </row>
    <row r="198" ht="15.75" customHeight="1" s="153">
      <c r="A198" s="214" t="n">
        <v>193</v>
      </c>
      <c r="B198" s="215" t="inlineStr">
        <is>
          <t>5TO PASAJE 9681</t>
        </is>
      </c>
      <c r="C198" s="216" t="n">
        <v>95000</v>
      </c>
      <c r="D198" s="216" t="n">
        <v>35000</v>
      </c>
      <c r="E198" s="293" t="n">
        <v>0.3684</v>
      </c>
      <c r="F198" s="294" t="n">
        <v>1</v>
      </c>
      <c r="G198" s="294" t="n"/>
      <c r="H198" s="294" t="n"/>
      <c r="I198" s="294" t="n">
        <v>1</v>
      </c>
      <c r="J198" s="294" t="n"/>
      <c r="K198" s="294" t="n"/>
      <c r="L198" s="215" t="inlineStr">
        <is>
          <t>01/05/2026</t>
        </is>
      </c>
    </row>
    <row r="199" ht="15.75" customHeight="1" s="153">
      <c r="A199" s="221" t="n">
        <v>194</v>
      </c>
      <c r="B199" s="215" t="inlineStr">
        <is>
          <t>JOSÉ 6529</t>
        </is>
      </c>
      <c r="C199" s="216" t="n">
        <v>95000</v>
      </c>
      <c r="D199" s="216" t="n">
        <v>35000</v>
      </c>
      <c r="E199" s="293" t="n">
        <v>0.3684</v>
      </c>
      <c r="F199" s="294" t="n">
        <v>1</v>
      </c>
      <c r="G199" s="294" t="n"/>
      <c r="H199" s="294" t="n"/>
      <c r="I199" s="294" t="n">
        <v>1</v>
      </c>
      <c r="J199" s="294" t="n"/>
      <c r="K199" s="294" t="n"/>
      <c r="L199" s="215" t="inlineStr">
        <is>
          <t>03/05/2026</t>
        </is>
      </c>
    </row>
    <row r="200" ht="15.75" customHeight="1" s="153">
      <c r="A200" s="214" t="n">
        <v>195</v>
      </c>
      <c r="B200" s="215" t="inlineStr">
        <is>
          <t>JULIO ALBERTI</t>
        </is>
      </c>
      <c r="C200" s="216" t="n">
        <v>95000</v>
      </c>
      <c r="D200" s="216" t="n">
        <v>35000</v>
      </c>
      <c r="E200" s="293" t="n">
        <v>0.3684</v>
      </c>
      <c r="F200" s="294" t="n">
        <v>1</v>
      </c>
      <c r="G200" s="294" t="n"/>
      <c r="H200" s="294" t="n"/>
      <c r="I200" s="294" t="n">
        <v>1</v>
      </c>
      <c r="J200" s="294" t="n"/>
      <c r="K200" s="294" t="n"/>
      <c r="L200" s="215" t="inlineStr">
        <is>
          <t>04/05/2026</t>
        </is>
      </c>
    </row>
    <row r="201" ht="15.75" customHeight="1" s="153">
      <c r="A201" s="221" t="n">
        <v>196</v>
      </c>
      <c r="B201" s="215" t="inlineStr">
        <is>
          <t>MISIONES 5280</t>
        </is>
      </c>
      <c r="C201" s="216" t="n">
        <v>95000</v>
      </c>
      <c r="D201" s="216" t="n">
        <v>35000</v>
      </c>
      <c r="E201" s="293" t="n">
        <v>0.3684</v>
      </c>
      <c r="F201" s="294" t="n">
        <v>1</v>
      </c>
      <c r="G201" s="294" t="n"/>
      <c r="H201" s="294" t="n"/>
      <c r="I201" s="294" t="n">
        <v>1</v>
      </c>
      <c r="J201" s="294" t="n"/>
      <c r="K201" s="294" t="n"/>
      <c r="L201" s="215" t="inlineStr">
        <is>
          <t>06/05/2026</t>
        </is>
      </c>
    </row>
    <row r="202" ht="15.75" customHeight="1" s="153">
      <c r="A202" s="214" t="n">
        <v>197</v>
      </c>
      <c r="B202" s="215" t="inlineStr">
        <is>
          <t>SARA FAISAL 1723</t>
        </is>
      </c>
      <c r="C202" s="216" t="n">
        <v>95000</v>
      </c>
      <c r="D202" s="216" t="n">
        <v>35000</v>
      </c>
      <c r="E202" s="293" t="n">
        <v>0.3684</v>
      </c>
      <c r="F202" s="294" t="n">
        <v>1</v>
      </c>
      <c r="G202" s="294" t="n"/>
      <c r="H202" s="294" t="n"/>
      <c r="I202" s="294" t="n">
        <v>1</v>
      </c>
      <c r="J202" s="294" t="n"/>
      <c r="K202" s="294" t="n"/>
      <c r="L202" s="215" t="inlineStr">
        <is>
          <t>07/05/2026</t>
        </is>
      </c>
    </row>
    <row r="203" ht="15.75" customHeight="1" s="153">
      <c r="A203" s="221" t="n">
        <v>198</v>
      </c>
      <c r="B203" s="215" t="inlineStr">
        <is>
          <t>GRINGO IL GATO</t>
        </is>
      </c>
      <c r="C203" s="216" t="n">
        <v>95000</v>
      </c>
      <c r="D203" s="216" t="n">
        <v>33000</v>
      </c>
      <c r="E203" s="293" t="n">
        <v>0.3474</v>
      </c>
      <c r="F203" s="294" t="n">
        <v>1</v>
      </c>
      <c r="G203" s="294" t="n"/>
      <c r="H203" s="294" t="n"/>
      <c r="I203" s="294" t="n">
        <v>1</v>
      </c>
      <c r="J203" s="294" t="n"/>
      <c r="K203" s="294" t="n"/>
      <c r="L203" s="215" t="inlineStr">
        <is>
          <t>10/05/2026</t>
        </is>
      </c>
    </row>
    <row r="204" ht="15.75" customHeight="1" s="153">
      <c r="A204" s="214" t="n">
        <v>199</v>
      </c>
      <c r="B204" s="215" t="inlineStr">
        <is>
          <t>DAMIÁN BENTEVEOS</t>
        </is>
      </c>
      <c r="C204" s="216" t="n">
        <v>95000</v>
      </c>
      <c r="D204" s="216" t="n">
        <v>33000</v>
      </c>
      <c r="E204" s="293" t="n">
        <v>0.3474</v>
      </c>
      <c r="F204" s="294" t="n">
        <v>1</v>
      </c>
      <c r="G204" s="294" t="n"/>
      <c r="H204" s="294" t="n"/>
      <c r="I204" s="294" t="n">
        <v>1</v>
      </c>
      <c r="J204" s="294" t="n"/>
      <c r="K204" s="294" t="n"/>
      <c r="L204" s="215" t="inlineStr">
        <is>
          <t>11/05/2026</t>
        </is>
      </c>
    </row>
    <row r="205" ht="15.75" customHeight="1" s="153">
      <c r="A205" s="221" t="n">
        <v>200</v>
      </c>
      <c r="B205" s="215" t="inlineStr">
        <is>
          <t>MARTÍN TATU</t>
        </is>
      </c>
      <c r="C205" s="216" t="n">
        <v>95000</v>
      </c>
      <c r="D205" s="216" t="n">
        <v>33000</v>
      </c>
      <c r="E205" s="293" t="n">
        <v>0.3474</v>
      </c>
      <c r="F205" s="294" t="n">
        <v>1</v>
      </c>
      <c r="G205" s="294" t="n"/>
      <c r="H205" s="294" t="n"/>
      <c r="I205" s="294" t="n">
        <v>1</v>
      </c>
      <c r="J205" s="294" t="n"/>
      <c r="K205" s="294" t="n"/>
      <c r="L205" s="215" t="inlineStr">
        <is>
          <t>20/05/2026</t>
        </is>
      </c>
    </row>
    <row r="206" ht="15.75" customHeight="1" s="153">
      <c r="A206" s="214" t="n">
        <v>201</v>
      </c>
      <c r="B206" s="215" t="inlineStr">
        <is>
          <t>CASTAÑADUY 7019</t>
        </is>
      </c>
      <c r="C206" s="216" t="n">
        <v>95000</v>
      </c>
      <c r="D206" s="216" t="n">
        <v>33000</v>
      </c>
      <c r="E206" s="293" t="n">
        <v>0.3474</v>
      </c>
      <c r="F206" s="294" t="n">
        <v>1</v>
      </c>
      <c r="G206" s="294" t="n"/>
      <c r="H206" s="294" t="n"/>
      <c r="I206" s="294" t="n">
        <v>1</v>
      </c>
      <c r="J206" s="294" t="n"/>
      <c r="K206" s="294" t="n"/>
      <c r="L206" s="215" t="inlineStr">
        <is>
          <t>20/05/2026</t>
        </is>
      </c>
    </row>
    <row r="207" ht="15.75" customHeight="1" s="153">
      <c r="A207" s="221" t="n">
        <v>202</v>
      </c>
      <c r="B207" s="215" t="inlineStr">
        <is>
          <t>RICARDO ALDAO 362</t>
        </is>
      </c>
      <c r="C207" s="216" t="n">
        <v>94000</v>
      </c>
      <c r="D207" s="216" t="n">
        <v>34000</v>
      </c>
      <c r="E207" s="293" t="n">
        <v>0.3617</v>
      </c>
      <c r="F207" s="294" t="n">
        <v>1</v>
      </c>
      <c r="G207" s="294" t="n"/>
      <c r="H207" s="294" t="n"/>
      <c r="I207" s="294" t="n">
        <v>1</v>
      </c>
      <c r="J207" s="294" t="n"/>
      <c r="K207" s="294" t="n"/>
      <c r="L207" s="215" t="inlineStr">
        <is>
          <t>07/05/2026</t>
        </is>
      </c>
    </row>
    <row r="208" ht="15.75" customHeight="1" s="153">
      <c r="A208" s="214" t="n">
        <v>203</v>
      </c>
      <c r="B208" s="215" t="inlineStr">
        <is>
          <t>GRIERSON 8369</t>
        </is>
      </c>
      <c r="C208" s="216" t="n">
        <v>94000</v>
      </c>
      <c r="D208" s="216" t="n">
        <v>32000</v>
      </c>
      <c r="E208" s="293" t="n">
        <v>0.3404</v>
      </c>
      <c r="F208" s="294" t="n">
        <v>1</v>
      </c>
      <c r="G208" s="294" t="n"/>
      <c r="H208" s="294" t="n"/>
      <c r="I208" s="294" t="n">
        <v>1</v>
      </c>
      <c r="J208" s="294" t="n"/>
      <c r="K208" s="294" t="n"/>
      <c r="L208" s="215" t="inlineStr">
        <is>
          <t>17/05/2026</t>
        </is>
      </c>
    </row>
    <row r="209" ht="15.75" customHeight="1" s="153">
      <c r="A209" s="221" t="n">
        <v>204</v>
      </c>
      <c r="B209" s="215" t="inlineStr">
        <is>
          <t>CHICLANA 8727</t>
        </is>
      </c>
      <c r="C209" s="216" t="n">
        <v>94000</v>
      </c>
      <c r="D209" s="216" t="n">
        <v>32000</v>
      </c>
      <c r="E209" s="293" t="n">
        <v>0.3404</v>
      </c>
      <c r="F209" s="294" t="n">
        <v>1</v>
      </c>
      <c r="G209" s="294" t="n"/>
      <c r="H209" s="294" t="n"/>
      <c r="I209" s="294" t="n">
        <v>1</v>
      </c>
      <c r="J209" s="294" t="n"/>
      <c r="K209" s="294" t="n"/>
      <c r="L209" s="215" t="inlineStr">
        <is>
          <t>18/05/2026</t>
        </is>
      </c>
    </row>
    <row r="210" ht="15.75" customHeight="1" s="153">
      <c r="A210" s="214" t="n">
        <v>205</v>
      </c>
      <c r="B210" s="215" t="inlineStr">
        <is>
          <t>MISIONES 6381 PANA</t>
        </is>
      </c>
      <c r="C210" s="216" t="n">
        <v>93000</v>
      </c>
      <c r="D210" s="216" t="n">
        <v>35500</v>
      </c>
      <c r="E210" s="293" t="n">
        <v>0.3817</v>
      </c>
      <c r="F210" s="294" t="n">
        <v>1</v>
      </c>
      <c r="G210" s="294" t="n">
        <v>1</v>
      </c>
      <c r="H210" s="294" t="n"/>
      <c r="I210" s="294" t="n">
        <v>1</v>
      </c>
      <c r="J210" s="294" t="n"/>
      <c r="K210" s="294" t="n"/>
      <c r="L210" s="215" t="inlineStr">
        <is>
          <t>12/02/2026</t>
        </is>
      </c>
    </row>
    <row r="211" ht="15.75" customHeight="1" s="153">
      <c r="A211" s="221" t="n">
        <v>206</v>
      </c>
      <c r="B211" s="215" t="inlineStr">
        <is>
          <t>ARENALES 9100 CASA 5</t>
        </is>
      </c>
      <c r="C211" s="216" t="n">
        <v>93000</v>
      </c>
      <c r="D211" s="216" t="n">
        <v>31000</v>
      </c>
      <c r="E211" s="293" t="n">
        <v>0.3333</v>
      </c>
      <c r="F211" s="294" t="n">
        <v>1</v>
      </c>
      <c r="G211" s="294" t="n"/>
      <c r="H211" s="294" t="n"/>
      <c r="I211" s="294" t="n">
        <v>1</v>
      </c>
      <c r="J211" s="294" t="n"/>
      <c r="K211" s="294" t="n"/>
      <c r="L211" s="215" t="inlineStr">
        <is>
          <t>10/05/2026</t>
        </is>
      </c>
    </row>
    <row r="212" ht="15.75" customHeight="1" s="153">
      <c r="A212" s="214" t="n">
        <v>207</v>
      </c>
      <c r="B212" s="215" t="inlineStr">
        <is>
          <t>EUROPA 9369</t>
        </is>
      </c>
      <c r="C212" s="216" t="n">
        <v>93000</v>
      </c>
      <c r="D212" s="216" t="n">
        <v>31000</v>
      </c>
      <c r="E212" s="293" t="n">
        <v>0.3333</v>
      </c>
      <c r="F212" s="294" t="n">
        <v>1</v>
      </c>
      <c r="G212" s="294" t="n"/>
      <c r="H212" s="294" t="n"/>
      <c r="I212" s="294" t="n">
        <v>1</v>
      </c>
      <c r="J212" s="294" t="n"/>
      <c r="K212" s="294" t="n"/>
      <c r="L212" s="215" t="inlineStr">
        <is>
          <t>23/05/2026</t>
        </is>
      </c>
    </row>
    <row r="213" ht="15.75" customHeight="1" s="153">
      <c r="A213" s="221" t="n">
        <v>208</v>
      </c>
      <c r="B213" s="215" t="inlineStr">
        <is>
          <t>ILGATO</t>
        </is>
      </c>
      <c r="C213" s="216" t="n">
        <v>92000</v>
      </c>
      <c r="D213" s="216" t="n">
        <v>32000</v>
      </c>
      <c r="E213" s="293" t="n">
        <v>0.3478</v>
      </c>
      <c r="F213" s="294" t="n">
        <v>1</v>
      </c>
      <c r="G213" s="294" t="n"/>
      <c r="H213" s="294" t="n"/>
      <c r="I213" s="294" t="n">
        <v>1</v>
      </c>
      <c r="J213" s="294" t="n"/>
      <c r="K213" s="294" t="n"/>
      <c r="L213" s="215" t="inlineStr">
        <is>
          <t>12/04/2026</t>
        </is>
      </c>
    </row>
    <row r="214" ht="15.75" customHeight="1" s="153">
      <c r="A214" s="214" t="n">
        <v>209</v>
      </c>
      <c r="B214" s="215" t="inlineStr">
        <is>
          <t>VIÑAS 9420</t>
        </is>
      </c>
      <c r="C214" s="216" t="n">
        <v>92000</v>
      </c>
      <c r="D214" s="216" t="n">
        <v>32000</v>
      </c>
      <c r="E214" s="293" t="n">
        <v>0.3478</v>
      </c>
      <c r="F214" s="294" t="n">
        <v>1</v>
      </c>
      <c r="G214" s="294" t="n"/>
      <c r="H214" s="294" t="n"/>
      <c r="I214" s="294" t="n">
        <v>1</v>
      </c>
      <c r="J214" s="294" t="n"/>
      <c r="K214" s="294" t="n"/>
      <c r="L214" s="215" t="inlineStr">
        <is>
          <t>02/05/2026</t>
        </is>
      </c>
    </row>
    <row r="215" ht="15.75" customHeight="1" s="153">
      <c r="A215" s="221" t="n">
        <v>210</v>
      </c>
      <c r="B215" s="215" t="inlineStr">
        <is>
          <t>LEHMANN 9357</t>
        </is>
      </c>
      <c r="C215" s="216" t="n">
        <v>92000</v>
      </c>
      <c r="D215" s="216" t="n">
        <v>30000</v>
      </c>
      <c r="E215" s="293" t="n">
        <v>0.3261</v>
      </c>
      <c r="F215" s="294" t="n">
        <v>1</v>
      </c>
      <c r="G215" s="294" t="n"/>
      <c r="H215" s="294" t="n"/>
      <c r="I215" s="294" t="n">
        <v>1</v>
      </c>
      <c r="J215" s="294" t="n"/>
      <c r="K215" s="294" t="n"/>
      <c r="L215" s="215" t="inlineStr">
        <is>
          <t>10/05/2026</t>
        </is>
      </c>
    </row>
    <row r="216" ht="15.75" customHeight="1" s="153">
      <c r="A216" s="214" t="n">
        <v>211</v>
      </c>
      <c r="B216" s="215" t="inlineStr">
        <is>
          <t>JM ZUVIRIA 1852</t>
        </is>
      </c>
      <c r="C216" s="216" t="n">
        <v>92000</v>
      </c>
      <c r="D216" s="216" t="n">
        <v>30000</v>
      </c>
      <c r="E216" s="293" t="n">
        <v>0.3261</v>
      </c>
      <c r="F216" s="294" t="n">
        <v>1</v>
      </c>
      <c r="G216" s="294" t="n"/>
      <c r="H216" s="294" t="n"/>
      <c r="I216" s="294" t="n">
        <v>1</v>
      </c>
      <c r="J216" s="294" t="n"/>
      <c r="K216" s="294" t="n"/>
      <c r="L216" s="215" t="inlineStr">
        <is>
          <t>13/05/2026</t>
        </is>
      </c>
    </row>
    <row r="217" ht="15.75" customHeight="1" s="153">
      <c r="A217" s="221" t="n">
        <v>212</v>
      </c>
      <c r="B217" s="215" t="inlineStr">
        <is>
          <t>TENIENTE LOZA 6053</t>
        </is>
      </c>
      <c r="C217" s="216" t="n">
        <v>92000</v>
      </c>
      <c r="D217" s="216" t="n">
        <v>30000</v>
      </c>
      <c r="E217" s="293" t="n">
        <v>0.3261</v>
      </c>
      <c r="F217" s="294" t="n">
        <v>1</v>
      </c>
      <c r="G217" s="294" t="n"/>
      <c r="H217" s="294" t="n"/>
      <c r="I217" s="294" t="n">
        <v>1</v>
      </c>
      <c r="J217" s="294" t="n"/>
      <c r="K217" s="294" t="n"/>
      <c r="L217" s="215" t="inlineStr">
        <is>
          <t>18/05/2026</t>
        </is>
      </c>
    </row>
    <row r="218" ht="15.75" customHeight="1" s="153">
      <c r="A218" s="214" t="n">
        <v>213</v>
      </c>
      <c r="B218" s="215" t="inlineStr">
        <is>
          <t>RÍO NEGRO 6570</t>
        </is>
      </c>
      <c r="C218" s="216" t="n">
        <v>92000</v>
      </c>
      <c r="D218" s="216" t="n">
        <v>30000</v>
      </c>
      <c r="E218" s="293" t="n">
        <v>0.3261</v>
      </c>
      <c r="F218" s="294" t="n">
        <v>1</v>
      </c>
      <c r="G218" s="294" t="n"/>
      <c r="H218" s="294" t="n"/>
      <c r="I218" s="294" t="n">
        <v>1</v>
      </c>
      <c r="J218" s="294" t="n"/>
      <c r="K218" s="294" t="n"/>
      <c r="L218" s="215" t="inlineStr">
        <is>
          <t>18/05/2026</t>
        </is>
      </c>
    </row>
    <row r="219" ht="15.75" customHeight="1" s="153">
      <c r="A219" s="221" t="n">
        <v>214</v>
      </c>
      <c r="B219" s="215" t="inlineStr">
        <is>
          <t>IL GATO</t>
        </is>
      </c>
      <c r="C219" s="216" t="n">
        <v>92000</v>
      </c>
      <c r="D219" s="216" t="n">
        <v>30000</v>
      </c>
      <c r="E219" s="293" t="n">
        <v>0.3261</v>
      </c>
      <c r="F219" s="294" t="n">
        <v>1</v>
      </c>
      <c r="G219" s="294" t="n"/>
      <c r="H219" s="294" t="n"/>
      <c r="I219" s="294" t="n">
        <v>1</v>
      </c>
      <c r="J219" s="294" t="n"/>
      <c r="K219" s="294" t="n"/>
      <c r="L219" s="215" t="inlineStr">
        <is>
          <t>19/05/2026</t>
        </is>
      </c>
    </row>
    <row r="220" ht="15.75" customHeight="1" s="153">
      <c r="A220" s="214" t="n">
        <v>215</v>
      </c>
      <c r="B220" s="215" t="inlineStr">
        <is>
          <t>SEGUI 1680</t>
        </is>
      </c>
      <c r="C220" s="216" t="n">
        <v>91500</v>
      </c>
      <c r="D220" s="216" t="n">
        <v>42750</v>
      </c>
      <c r="E220" s="293" t="n">
        <v>0.4672</v>
      </c>
      <c r="F220" s="294" t="n">
        <v>3</v>
      </c>
      <c r="G220" s="294" t="n">
        <v>1</v>
      </c>
      <c r="H220" s="294" t="n">
        <v>2</v>
      </c>
      <c r="I220" s="294" t="n"/>
      <c r="J220" s="294" t="n"/>
      <c r="K220" s="294" t="n"/>
      <c r="L220" s="215" t="inlineStr">
        <is>
          <t>25/03/2026</t>
        </is>
      </c>
    </row>
    <row r="221" ht="15.75" customHeight="1" s="153">
      <c r="A221" s="221" t="n">
        <v>216</v>
      </c>
      <c r="B221" s="215" t="inlineStr">
        <is>
          <t>BERUTI 3850</t>
        </is>
      </c>
      <c r="C221" s="216" t="n">
        <v>91500</v>
      </c>
      <c r="D221" s="216" t="n">
        <v>16500</v>
      </c>
      <c r="E221" s="293" t="n">
        <v>0.1803</v>
      </c>
      <c r="F221" s="294" t="n">
        <v>1</v>
      </c>
      <c r="G221" s="294" t="n">
        <v>1</v>
      </c>
      <c r="H221" s="294" t="n"/>
      <c r="I221" s="294" t="n">
        <v>1</v>
      </c>
      <c r="J221" s="294" t="n"/>
      <c r="K221" s="294" t="n"/>
      <c r="L221" s="215" t="inlineStr">
        <is>
          <t>26/03/2026</t>
        </is>
      </c>
    </row>
    <row r="222" ht="15.75" customHeight="1" s="153">
      <c r="A222" s="214" t="n">
        <v>217</v>
      </c>
      <c r="B222" s="215" t="inlineStr">
        <is>
          <t>JOSE CIBILS 6789</t>
        </is>
      </c>
      <c r="C222" s="216" t="n">
        <v>91000</v>
      </c>
      <c r="D222" s="216" t="n">
        <v>31000</v>
      </c>
      <c r="E222" s="293" t="n">
        <v>0.3407</v>
      </c>
      <c r="F222" s="294" t="n">
        <v>1</v>
      </c>
      <c r="G222" s="294" t="n"/>
      <c r="H222" s="294" t="n"/>
      <c r="I222" s="294" t="n">
        <v>1</v>
      </c>
      <c r="J222" s="294" t="n"/>
      <c r="K222" s="294" t="n"/>
      <c r="L222" s="215" t="inlineStr">
        <is>
          <t>02/05/2026</t>
        </is>
      </c>
    </row>
    <row r="223" ht="15.75" customHeight="1" s="153">
      <c r="A223" s="221" t="n">
        <v>218</v>
      </c>
      <c r="B223" s="215" t="inlineStr">
        <is>
          <t>CALLE 14 3363</t>
        </is>
      </c>
      <c r="C223" s="216" t="n">
        <v>91000</v>
      </c>
      <c r="D223" s="216" t="n">
        <v>31000</v>
      </c>
      <c r="E223" s="293" t="n">
        <v>0.3407</v>
      </c>
      <c r="F223" s="294" t="n">
        <v>1</v>
      </c>
      <c r="G223" s="294" t="n"/>
      <c r="H223" s="294" t="n"/>
      <c r="I223" s="294" t="n">
        <v>1</v>
      </c>
      <c r="J223" s="294" t="n"/>
      <c r="K223" s="294" t="n"/>
      <c r="L223" s="215" t="inlineStr">
        <is>
          <t>02/05/2026</t>
        </is>
      </c>
    </row>
    <row r="224" ht="15.75" customHeight="1" s="153">
      <c r="A224" s="214" t="n">
        <v>219</v>
      </c>
      <c r="B224" s="215" t="inlineStr">
        <is>
          <t>SAN JUAN 1963</t>
        </is>
      </c>
      <c r="C224" s="216" t="n">
        <v>91000</v>
      </c>
      <c r="D224" s="216" t="n">
        <v>31000</v>
      </c>
      <c r="E224" s="293" t="n">
        <v>0.3407</v>
      </c>
      <c r="F224" s="294" t="n">
        <v>1</v>
      </c>
      <c r="G224" s="294" t="n"/>
      <c r="H224" s="294" t="n"/>
      <c r="I224" s="294" t="n">
        <v>1</v>
      </c>
      <c r="J224" s="294" t="n"/>
      <c r="K224" s="294" t="n"/>
      <c r="L224" s="215" t="inlineStr">
        <is>
          <t>02/05/2026</t>
        </is>
      </c>
    </row>
    <row r="225" ht="15.75" customHeight="1" s="153">
      <c r="A225" s="221" t="n">
        <v>220</v>
      </c>
      <c r="B225" s="215" t="inlineStr">
        <is>
          <t>MISIONES 4693</t>
        </is>
      </c>
      <c r="C225" s="216" t="n">
        <v>91000</v>
      </c>
      <c r="D225" s="216" t="n">
        <v>31000</v>
      </c>
      <c r="E225" s="293" t="n">
        <v>0.3407</v>
      </c>
      <c r="F225" s="294" t="n">
        <v>1</v>
      </c>
      <c r="G225" s="294" t="n"/>
      <c r="H225" s="294" t="n"/>
      <c r="I225" s="294" t="n">
        <v>1</v>
      </c>
      <c r="J225" s="294" t="n"/>
      <c r="K225" s="294" t="n"/>
      <c r="L225" s="215" t="inlineStr">
        <is>
          <t>02/05/2026</t>
        </is>
      </c>
    </row>
    <row r="226" ht="15.75" customHeight="1" s="153">
      <c r="A226" s="214" t="n">
        <v>221</v>
      </c>
      <c r="B226" s="215" t="inlineStr">
        <is>
          <t>CÓRDOBA 2753</t>
        </is>
      </c>
      <c r="C226" s="216" t="n">
        <v>91000</v>
      </c>
      <c r="D226" s="216" t="n">
        <v>31000</v>
      </c>
      <c r="E226" s="293" t="n">
        <v>0.3407</v>
      </c>
      <c r="F226" s="294" t="n">
        <v>1</v>
      </c>
      <c r="G226" s="294" t="n"/>
      <c r="H226" s="294" t="n"/>
      <c r="I226" s="294" t="n">
        <v>1</v>
      </c>
      <c r="J226" s="294" t="n"/>
      <c r="K226" s="294" t="n"/>
      <c r="L226" s="215" t="inlineStr">
        <is>
          <t>03/05/2026</t>
        </is>
      </c>
    </row>
    <row r="227" ht="15.75" customHeight="1" s="153">
      <c r="A227" s="221" t="n">
        <v>222</v>
      </c>
      <c r="B227" s="215" t="inlineStr">
        <is>
          <t>AYACUCHO 5644</t>
        </is>
      </c>
      <c r="C227" s="216" t="n">
        <v>91000</v>
      </c>
      <c r="D227" s="216" t="n">
        <v>31000</v>
      </c>
      <c r="E227" s="293" t="n">
        <v>0.3407</v>
      </c>
      <c r="F227" s="294" t="n">
        <v>1</v>
      </c>
      <c r="G227" s="294" t="n"/>
      <c r="H227" s="294" t="n"/>
      <c r="I227" s="294" t="n">
        <v>1</v>
      </c>
      <c r="J227" s="294" t="n"/>
      <c r="K227" s="294" t="n"/>
      <c r="L227" s="215" t="inlineStr">
        <is>
          <t>03/05/2026</t>
        </is>
      </c>
    </row>
    <row r="228" ht="15.75" customHeight="1" s="153">
      <c r="A228" s="214" t="n">
        <v>223</v>
      </c>
      <c r="B228" s="215" t="inlineStr">
        <is>
          <t>SERVANDO 6858</t>
        </is>
      </c>
      <c r="C228" s="216" t="n">
        <v>91000</v>
      </c>
      <c r="D228" s="216" t="n">
        <v>31000</v>
      </c>
      <c r="E228" s="293" t="n">
        <v>0.3407</v>
      </c>
      <c r="F228" s="294" t="n">
        <v>1</v>
      </c>
      <c r="G228" s="294" t="n"/>
      <c r="H228" s="294" t="n"/>
      <c r="I228" s="294" t="n">
        <v>1</v>
      </c>
      <c r="J228" s="294" t="n"/>
      <c r="K228" s="294" t="n"/>
      <c r="L228" s="215" t="inlineStr">
        <is>
          <t>03/05/2026</t>
        </is>
      </c>
    </row>
    <row r="229" ht="15.75" customHeight="1" s="153">
      <c r="A229" s="221" t="n">
        <v>224</v>
      </c>
      <c r="B229" s="215" t="inlineStr">
        <is>
          <t>AZOPARDO 6965</t>
        </is>
      </c>
      <c r="C229" s="216" t="n">
        <v>91000</v>
      </c>
      <c r="D229" s="216" t="n">
        <v>31000</v>
      </c>
      <c r="E229" s="293" t="n">
        <v>0.3407</v>
      </c>
      <c r="F229" s="294" t="n">
        <v>1</v>
      </c>
      <c r="G229" s="294" t="n"/>
      <c r="H229" s="294" t="n"/>
      <c r="I229" s="294" t="n">
        <v>1</v>
      </c>
      <c r="J229" s="294" t="n"/>
      <c r="K229" s="294" t="n"/>
      <c r="L229" s="215" t="inlineStr">
        <is>
          <t>03/05/2026</t>
        </is>
      </c>
    </row>
    <row r="230" ht="15.75" customHeight="1" s="153">
      <c r="A230" s="214" t="n">
        <v>225</v>
      </c>
      <c r="B230" s="215" t="inlineStr">
        <is>
          <t>FLORES 1 MOLINA</t>
        </is>
      </c>
      <c r="C230" s="216" t="n">
        <v>91000</v>
      </c>
      <c r="D230" s="216" t="n">
        <v>31000</v>
      </c>
      <c r="E230" s="293" t="n">
        <v>0.3407</v>
      </c>
      <c r="F230" s="294" t="n">
        <v>1</v>
      </c>
      <c r="G230" s="294" t="n"/>
      <c r="H230" s="294" t="n"/>
      <c r="I230" s="294" t="n">
        <v>1</v>
      </c>
      <c r="J230" s="294" t="n"/>
      <c r="K230" s="294" t="n"/>
      <c r="L230" s="215" t="inlineStr">
        <is>
          <t>04/05/2026</t>
        </is>
      </c>
    </row>
    <row r="231" ht="15.75" customHeight="1" s="153">
      <c r="A231" s="221" t="n">
        <v>226</v>
      </c>
      <c r="B231" s="215" t="inlineStr">
        <is>
          <t>NECOCHEA 7314</t>
        </is>
      </c>
      <c r="C231" s="216" t="n">
        <v>91000</v>
      </c>
      <c r="D231" s="216" t="n">
        <v>31000</v>
      </c>
      <c r="E231" s="293" t="n">
        <v>0.3407</v>
      </c>
      <c r="F231" s="294" t="n">
        <v>1</v>
      </c>
      <c r="G231" s="294" t="n"/>
      <c r="H231" s="294" t="n"/>
      <c r="I231" s="294" t="n">
        <v>1</v>
      </c>
      <c r="J231" s="294" t="n"/>
      <c r="K231" s="294" t="n"/>
      <c r="L231" s="215" t="inlineStr">
        <is>
          <t>04/05/2026</t>
        </is>
      </c>
    </row>
    <row r="232" ht="15.75" customHeight="1" s="153">
      <c r="A232" s="214" t="n">
        <v>227</v>
      </c>
      <c r="B232" s="215" t="inlineStr">
        <is>
          <t>BERUTI 2430</t>
        </is>
      </c>
      <c r="C232" s="216" t="n">
        <v>91000</v>
      </c>
      <c r="D232" s="216" t="n">
        <v>31000</v>
      </c>
      <c r="E232" s="293" t="n">
        <v>0.3407</v>
      </c>
      <c r="F232" s="294" t="n">
        <v>1</v>
      </c>
      <c r="G232" s="294" t="n"/>
      <c r="H232" s="294" t="n"/>
      <c r="I232" s="294" t="n">
        <v>1</v>
      </c>
      <c r="J232" s="294" t="n"/>
      <c r="K232" s="294" t="n"/>
      <c r="L232" s="215" t="inlineStr">
        <is>
          <t>06/05/2026</t>
        </is>
      </c>
    </row>
    <row r="233" ht="15.75" customHeight="1" s="153">
      <c r="A233" s="221" t="n">
        <v>228</v>
      </c>
      <c r="B233" s="215" t="inlineStr">
        <is>
          <t>MARCIAL CANDIOTI 8846</t>
        </is>
      </c>
      <c r="C233" s="216" t="n">
        <v>91000</v>
      </c>
      <c r="D233" s="216" t="n">
        <v>29000</v>
      </c>
      <c r="E233" s="293" t="n">
        <v>0.3187</v>
      </c>
      <c r="F233" s="294" t="n">
        <v>1</v>
      </c>
      <c r="G233" s="294" t="n"/>
      <c r="H233" s="294" t="n"/>
      <c r="I233" s="294" t="n">
        <v>1</v>
      </c>
      <c r="J233" s="294" t="n"/>
      <c r="K233" s="294" t="n"/>
      <c r="L233" s="215" t="inlineStr">
        <is>
          <t>08/05/2026</t>
        </is>
      </c>
    </row>
    <row r="234" ht="15.75" customHeight="1" s="153">
      <c r="A234" s="214" t="n">
        <v>229</v>
      </c>
      <c r="B234" s="215" t="inlineStr">
        <is>
          <t>SAAVEDRA 5820</t>
        </is>
      </c>
      <c r="C234" s="216" t="n">
        <v>91000</v>
      </c>
      <c r="D234" s="216" t="n">
        <v>29000</v>
      </c>
      <c r="E234" s="293" t="n">
        <v>0.3187</v>
      </c>
      <c r="F234" s="294" t="n">
        <v>1</v>
      </c>
      <c r="G234" s="294" t="n"/>
      <c r="H234" s="294" t="n"/>
      <c r="I234" s="294" t="n">
        <v>1</v>
      </c>
      <c r="J234" s="294" t="n"/>
      <c r="K234" s="294" t="n"/>
      <c r="L234" s="215" t="inlineStr">
        <is>
          <t>08/05/2026</t>
        </is>
      </c>
    </row>
    <row r="235" ht="15.75" customHeight="1" s="153">
      <c r="A235" s="221" t="n">
        <v>230</v>
      </c>
      <c r="B235" s="215" t="inlineStr">
        <is>
          <t>ARIEL IMPRENTA</t>
        </is>
      </c>
      <c r="C235" s="216" t="n">
        <v>91000</v>
      </c>
      <c r="D235" s="216" t="n">
        <v>29000</v>
      </c>
      <c r="E235" s="293" t="n">
        <v>0.3187</v>
      </c>
      <c r="F235" s="294" t="n">
        <v>1</v>
      </c>
      <c r="G235" s="294" t="n"/>
      <c r="H235" s="294" t="n"/>
      <c r="I235" s="294" t="n">
        <v>1</v>
      </c>
      <c r="J235" s="294" t="n"/>
      <c r="K235" s="294" t="n"/>
      <c r="L235" s="215" t="inlineStr">
        <is>
          <t>09/05/2026</t>
        </is>
      </c>
    </row>
    <row r="236" ht="15.75" customHeight="1" s="153">
      <c r="A236" s="214" t="n">
        <v>231</v>
      </c>
      <c r="B236" s="215" t="inlineStr">
        <is>
          <t>PUBLICO 8251</t>
        </is>
      </c>
      <c r="C236" s="216" t="n">
        <v>91000</v>
      </c>
      <c r="D236" s="216" t="n">
        <v>29000</v>
      </c>
      <c r="E236" s="293" t="n">
        <v>0.3187</v>
      </c>
      <c r="F236" s="294" t="n">
        <v>1</v>
      </c>
      <c r="G236" s="294" t="n"/>
      <c r="H236" s="294" t="n"/>
      <c r="I236" s="294" t="n">
        <v>1</v>
      </c>
      <c r="J236" s="294" t="n"/>
      <c r="K236" s="294" t="n"/>
      <c r="L236" s="215" t="inlineStr">
        <is>
          <t>10/05/2026</t>
        </is>
      </c>
    </row>
    <row r="237" ht="15.75" customHeight="1" s="153">
      <c r="A237" s="221" t="n">
        <v>232</v>
      </c>
      <c r="B237" s="215" t="inlineStr">
        <is>
          <t>MALAVER 3793</t>
        </is>
      </c>
      <c r="C237" s="216" t="n">
        <v>91000</v>
      </c>
      <c r="D237" s="216" t="n">
        <v>29000</v>
      </c>
      <c r="E237" s="293" t="n">
        <v>0.3187</v>
      </c>
      <c r="F237" s="294" t="n">
        <v>1</v>
      </c>
      <c r="G237" s="294" t="n"/>
      <c r="H237" s="294" t="n"/>
      <c r="I237" s="294" t="n">
        <v>1</v>
      </c>
      <c r="J237" s="294" t="n"/>
      <c r="K237" s="294" t="n"/>
      <c r="L237" s="215" t="inlineStr">
        <is>
          <t>11/05/2026</t>
        </is>
      </c>
    </row>
    <row r="238" ht="15.75" customHeight="1" s="153">
      <c r="A238" s="214" t="n">
        <v>233</v>
      </c>
      <c r="B238" s="215" t="inlineStr">
        <is>
          <t>JJ PASO 3905</t>
        </is>
      </c>
      <c r="C238" s="216" t="n">
        <v>91000</v>
      </c>
      <c r="D238" s="216" t="n">
        <v>35700</v>
      </c>
      <c r="E238" s="293" t="n">
        <v>0.3923</v>
      </c>
      <c r="F238" s="294" t="n">
        <v>1</v>
      </c>
      <c r="G238" s="294" t="n">
        <v>2</v>
      </c>
      <c r="H238" s="294" t="n">
        <v>1</v>
      </c>
      <c r="I238" s="294" t="n"/>
      <c r="J238" s="294" t="n"/>
      <c r="K238" s="294" t="n"/>
      <c r="L238" s="215" t="inlineStr">
        <is>
          <t>12/05/2026</t>
        </is>
      </c>
    </row>
    <row r="239" ht="15.75" customHeight="1" s="153">
      <c r="A239" s="221" t="n">
        <v>234</v>
      </c>
      <c r="B239" s="215" t="inlineStr">
        <is>
          <t>VALDIVIESO 6832</t>
        </is>
      </c>
      <c r="C239" s="216" t="n">
        <v>91000</v>
      </c>
      <c r="D239" s="216" t="n">
        <v>29000</v>
      </c>
      <c r="E239" s="293" t="n">
        <v>0.3187</v>
      </c>
      <c r="F239" s="294" t="n">
        <v>1</v>
      </c>
      <c r="G239" s="294" t="n"/>
      <c r="H239" s="294" t="n"/>
      <c r="I239" s="294" t="n">
        <v>1</v>
      </c>
      <c r="J239" s="294" t="n"/>
      <c r="K239" s="294" t="n"/>
      <c r="L239" s="215" t="inlineStr">
        <is>
          <t>14/05/2026</t>
        </is>
      </c>
    </row>
    <row r="240" ht="15.75" customHeight="1" s="153">
      <c r="A240" s="214" t="n">
        <v>235</v>
      </c>
      <c r="B240" s="215" t="inlineStr">
        <is>
          <t>PASAJE MAIPU 3315</t>
        </is>
      </c>
      <c r="C240" s="216" t="n">
        <v>91000</v>
      </c>
      <c r="D240" s="216" t="n">
        <v>29000</v>
      </c>
      <c r="E240" s="293" t="n">
        <v>0.3187</v>
      </c>
      <c r="F240" s="294" t="n">
        <v>1</v>
      </c>
      <c r="G240" s="294" t="n"/>
      <c r="H240" s="294" t="n"/>
      <c r="I240" s="294" t="n">
        <v>1</v>
      </c>
      <c r="J240" s="294" t="n"/>
      <c r="K240" s="294" t="n"/>
      <c r="L240" s="215" t="inlineStr">
        <is>
          <t>14/05/2026</t>
        </is>
      </c>
    </row>
    <row r="241" ht="15.75" customHeight="1" s="153">
      <c r="A241" s="221" t="n">
        <v>236</v>
      </c>
      <c r="B241" s="215" t="inlineStr">
        <is>
          <t>GENERAL PAZ 7651</t>
        </is>
      </c>
      <c r="C241" s="216" t="n">
        <v>91000</v>
      </c>
      <c r="D241" s="216" t="n">
        <v>29000</v>
      </c>
      <c r="E241" s="293" t="n">
        <v>0.3187</v>
      </c>
      <c r="F241" s="294" t="n">
        <v>1</v>
      </c>
      <c r="G241" s="294" t="n"/>
      <c r="H241" s="294" t="n"/>
      <c r="I241" s="294" t="n">
        <v>1</v>
      </c>
      <c r="J241" s="294" t="n"/>
      <c r="K241" s="294" t="n"/>
      <c r="L241" s="215" t="inlineStr">
        <is>
          <t>14/05/2026</t>
        </is>
      </c>
    </row>
    <row r="242" ht="15.75" customHeight="1" s="153">
      <c r="A242" s="214" t="n">
        <v>237</v>
      </c>
      <c r="B242" s="215" t="inlineStr">
        <is>
          <t>FRENCH 1912</t>
        </is>
      </c>
      <c r="C242" s="216" t="n">
        <v>91000</v>
      </c>
      <c r="D242" s="216" t="n">
        <v>29000</v>
      </c>
      <c r="E242" s="293" t="n">
        <v>0.3187</v>
      </c>
      <c r="F242" s="294" t="n">
        <v>1</v>
      </c>
      <c r="G242" s="294" t="n"/>
      <c r="H242" s="294" t="n"/>
      <c r="I242" s="294" t="n">
        <v>1</v>
      </c>
      <c r="J242" s="294" t="n"/>
      <c r="K242" s="294" t="n"/>
      <c r="L242" s="215" t="inlineStr">
        <is>
          <t>15/05/2026</t>
        </is>
      </c>
    </row>
    <row r="243" ht="15.75" customHeight="1" s="153">
      <c r="A243" s="221" t="n">
        <v>238</v>
      </c>
      <c r="B243" s="215" t="inlineStr">
        <is>
          <t>AZOPARDO 8350</t>
        </is>
      </c>
      <c r="C243" s="216" t="n">
        <v>91000</v>
      </c>
      <c r="D243" s="216" t="n">
        <v>29000</v>
      </c>
      <c r="E243" s="293" t="n">
        <v>0.3187</v>
      </c>
      <c r="F243" s="294" t="n">
        <v>1</v>
      </c>
      <c r="G243" s="294" t="n"/>
      <c r="H243" s="294" t="n"/>
      <c r="I243" s="294" t="n">
        <v>1</v>
      </c>
      <c r="J243" s="294" t="n"/>
      <c r="K243" s="294" t="n"/>
      <c r="L243" s="215" t="inlineStr">
        <is>
          <t>15/05/2026</t>
        </is>
      </c>
    </row>
    <row r="244" ht="15.75" customHeight="1" s="153">
      <c r="A244" s="214" t="n">
        <v>239</v>
      </c>
      <c r="B244" s="215" t="inlineStr">
        <is>
          <t>BARRETO 9161</t>
        </is>
      </c>
      <c r="C244" s="216" t="n">
        <v>91000</v>
      </c>
      <c r="D244" s="216" t="n">
        <v>29000</v>
      </c>
      <c r="E244" s="293" t="n">
        <v>0.3187</v>
      </c>
      <c r="F244" s="294" t="n">
        <v>1</v>
      </c>
      <c r="G244" s="294" t="n"/>
      <c r="H244" s="294" t="n"/>
      <c r="I244" s="294" t="n">
        <v>1</v>
      </c>
      <c r="J244" s="294" t="n"/>
      <c r="K244" s="294" t="n"/>
      <c r="L244" s="215" t="inlineStr">
        <is>
          <t>16/05/2026</t>
        </is>
      </c>
    </row>
    <row r="245" ht="15.75" customHeight="1" s="153">
      <c r="A245" s="221" t="n">
        <v>240</v>
      </c>
      <c r="B245" s="215" t="inlineStr">
        <is>
          <t>LA SALLE 3706</t>
        </is>
      </c>
      <c r="C245" s="216" t="n">
        <v>91000</v>
      </c>
      <c r="D245" s="216" t="n">
        <v>29000</v>
      </c>
      <c r="E245" s="293" t="n">
        <v>0.3187</v>
      </c>
      <c r="F245" s="294" t="n">
        <v>1</v>
      </c>
      <c r="G245" s="294" t="n"/>
      <c r="H245" s="294" t="n"/>
      <c r="I245" s="294" t="n">
        <v>1</v>
      </c>
      <c r="J245" s="294" t="n"/>
      <c r="K245" s="294" t="n"/>
      <c r="L245" s="215" t="inlineStr">
        <is>
          <t>16/05/2026</t>
        </is>
      </c>
    </row>
    <row r="246" ht="15.75" customHeight="1" s="153">
      <c r="A246" s="214" t="n">
        <v>241</v>
      </c>
      <c r="B246" s="215" t="inlineStr">
        <is>
          <t>ROMERO 9331</t>
        </is>
      </c>
      <c r="C246" s="216" t="n">
        <v>91000</v>
      </c>
      <c r="D246" s="216" t="n">
        <v>29000</v>
      </c>
      <c r="E246" s="293" t="n">
        <v>0.3187</v>
      </c>
      <c r="F246" s="294" t="n">
        <v>1</v>
      </c>
      <c r="G246" s="294" t="n"/>
      <c r="H246" s="294" t="n"/>
      <c r="I246" s="294" t="n">
        <v>1</v>
      </c>
      <c r="J246" s="294" t="n"/>
      <c r="K246" s="294" t="n"/>
      <c r="L246" s="215" t="inlineStr">
        <is>
          <t>16/05/2026</t>
        </is>
      </c>
    </row>
    <row r="247" ht="15.75" customHeight="1" s="153">
      <c r="A247" s="221" t="n">
        <v>242</v>
      </c>
      <c r="B247" s="215" t="inlineStr">
        <is>
          <t>PUBLICO 2152</t>
        </is>
      </c>
      <c r="C247" s="216" t="n">
        <v>91000</v>
      </c>
      <c r="D247" s="216" t="n">
        <v>29000</v>
      </c>
      <c r="E247" s="293" t="n">
        <v>0.3187</v>
      </c>
      <c r="F247" s="294" t="n">
        <v>1</v>
      </c>
      <c r="G247" s="294" t="n"/>
      <c r="H247" s="294" t="n"/>
      <c r="I247" s="294" t="n">
        <v>1</v>
      </c>
      <c r="J247" s="294" t="n"/>
      <c r="K247" s="294" t="n"/>
      <c r="L247" s="215" t="inlineStr">
        <is>
          <t>17/05/2026</t>
        </is>
      </c>
    </row>
    <row r="248" ht="15.75" customHeight="1" s="153">
      <c r="A248" s="214" t="n">
        <v>243</v>
      </c>
      <c r="B248" s="215" t="inlineStr">
        <is>
          <t>CACIQUE ANDRESITO 9133</t>
        </is>
      </c>
      <c r="C248" s="216" t="n">
        <v>91000</v>
      </c>
      <c r="D248" s="216" t="n">
        <v>29000</v>
      </c>
      <c r="E248" s="293" t="n">
        <v>0.3187</v>
      </c>
      <c r="F248" s="294" t="n">
        <v>1</v>
      </c>
      <c r="G248" s="294" t="n"/>
      <c r="H248" s="294" t="n"/>
      <c r="I248" s="294" t="n">
        <v>1</v>
      </c>
      <c r="J248" s="294" t="n"/>
      <c r="K248" s="294" t="n"/>
      <c r="L248" s="215" t="inlineStr">
        <is>
          <t>22/05/2026</t>
        </is>
      </c>
    </row>
    <row r="249" ht="15.75" customHeight="1" s="153">
      <c r="A249" s="221" t="n">
        <v>244</v>
      </c>
      <c r="B249" s="215" t="inlineStr">
        <is>
          <t>PANDOLFO 9078</t>
        </is>
      </c>
      <c r="C249" s="216" t="n">
        <v>91000</v>
      </c>
      <c r="D249" s="216" t="n">
        <v>29000</v>
      </c>
      <c r="E249" s="293" t="n">
        <v>0.3187</v>
      </c>
      <c r="F249" s="294" t="n">
        <v>1</v>
      </c>
      <c r="G249" s="294" t="n"/>
      <c r="H249" s="294" t="n"/>
      <c r="I249" s="294" t="n">
        <v>1</v>
      </c>
      <c r="J249" s="294" t="n"/>
      <c r="K249" s="294" t="n"/>
      <c r="L249" s="215" t="inlineStr">
        <is>
          <t>22/05/2026</t>
        </is>
      </c>
    </row>
    <row r="250" ht="15.75" customHeight="1" s="153">
      <c r="A250" s="214" t="n">
        <v>245</v>
      </c>
      <c r="B250" s="215" t="inlineStr">
        <is>
          <t>PARAISOS 3491</t>
        </is>
      </c>
      <c r="C250" s="216" t="n">
        <v>91000</v>
      </c>
      <c r="D250" s="216" t="n">
        <v>29000</v>
      </c>
      <c r="E250" s="293" t="n">
        <v>0.3187</v>
      </c>
      <c r="F250" s="294" t="n">
        <v>1</v>
      </c>
      <c r="G250" s="294" t="n"/>
      <c r="H250" s="294" t="n"/>
      <c r="I250" s="294" t="n">
        <v>1</v>
      </c>
      <c r="J250" s="294" t="n"/>
      <c r="K250" s="294" t="n"/>
      <c r="L250" s="215" t="inlineStr">
        <is>
          <t>23/05/2026</t>
        </is>
      </c>
    </row>
    <row r="251" ht="15.75" customHeight="1" s="153">
      <c r="A251" s="221" t="n">
        <v>246</v>
      </c>
      <c r="B251" s="215" t="inlineStr">
        <is>
          <t>MISIONES 2146</t>
        </is>
      </c>
      <c r="C251" s="216" t="n">
        <v>91000</v>
      </c>
      <c r="D251" s="216" t="n">
        <v>29000</v>
      </c>
      <c r="E251" s="293" t="n">
        <v>0.3187</v>
      </c>
      <c r="F251" s="294" t="n">
        <v>1</v>
      </c>
      <c r="G251" s="294" t="n"/>
      <c r="H251" s="294" t="n"/>
      <c r="I251" s="294" t="n">
        <v>1</v>
      </c>
      <c r="J251" s="294" t="n"/>
      <c r="K251" s="294" t="n"/>
      <c r="L251" s="215" t="inlineStr">
        <is>
          <t>24/05/2026</t>
        </is>
      </c>
    </row>
    <row r="252" ht="15.75" customHeight="1" s="153">
      <c r="A252" s="214" t="n">
        <v>247</v>
      </c>
      <c r="B252" s="215" t="inlineStr">
        <is>
          <t>CALLEJON AGUIRRE 1974</t>
        </is>
      </c>
      <c r="C252" s="216" t="n">
        <v>91000</v>
      </c>
      <c r="D252" s="216" t="n">
        <v>29000</v>
      </c>
      <c r="E252" s="293" t="n">
        <v>0.3187</v>
      </c>
      <c r="F252" s="294" t="n">
        <v>1</v>
      </c>
      <c r="G252" s="294" t="n"/>
      <c r="H252" s="294" t="n"/>
      <c r="I252" s="294" t="n">
        <v>1</v>
      </c>
      <c r="J252" s="294" t="n"/>
      <c r="K252" s="294" t="n"/>
      <c r="L252" s="215" t="inlineStr">
        <is>
          <t>24/05/2026</t>
        </is>
      </c>
    </row>
    <row r="253" ht="15.75" customHeight="1" s="153">
      <c r="A253" s="221" t="n">
        <v>248</v>
      </c>
      <c r="B253" s="215" t="inlineStr">
        <is>
          <t>BERNARDO IRIGOYEN 8381</t>
        </is>
      </c>
      <c r="C253" s="216" t="n">
        <v>91000</v>
      </c>
      <c r="D253" s="216" t="n">
        <v>29000</v>
      </c>
      <c r="E253" s="293" t="n">
        <v>0.3187</v>
      </c>
      <c r="F253" s="294" t="n">
        <v>1</v>
      </c>
      <c r="G253" s="294" t="n"/>
      <c r="H253" s="294" t="n"/>
      <c r="I253" s="294" t="n">
        <v>1</v>
      </c>
      <c r="J253" s="294" t="n"/>
      <c r="K253" s="294" t="n"/>
      <c r="L253" s="215" t="inlineStr">
        <is>
          <t>24/05/2026</t>
        </is>
      </c>
    </row>
    <row r="254" ht="15.75" customHeight="1" s="153">
      <c r="A254" s="214" t="n">
        <v>249</v>
      </c>
      <c r="B254" s="215" t="inlineStr">
        <is>
          <t>RICARDO ALDAO 3750</t>
        </is>
      </c>
      <c r="C254" s="216" t="n">
        <v>91000</v>
      </c>
      <c r="D254" s="216" t="n">
        <v>29000</v>
      </c>
      <c r="E254" s="293" t="n">
        <v>0.3187</v>
      </c>
      <c r="F254" s="294" t="n">
        <v>1</v>
      </c>
      <c r="G254" s="294" t="n"/>
      <c r="H254" s="294" t="n"/>
      <c r="I254" s="294" t="n">
        <v>1</v>
      </c>
      <c r="J254" s="294" t="n"/>
      <c r="K254" s="294" t="n"/>
      <c r="L254" s="215" t="inlineStr">
        <is>
          <t>26/05/2026</t>
        </is>
      </c>
    </row>
    <row r="255" ht="15.75" customHeight="1" s="153">
      <c r="A255" s="221" t="n">
        <v>250</v>
      </c>
      <c r="B255" s="215" t="inlineStr">
        <is>
          <t>SERBANDO BAYO 6782</t>
        </is>
      </c>
      <c r="C255" s="216" t="n">
        <v>91000</v>
      </c>
      <c r="D255" s="216" t="n">
        <v>29000</v>
      </c>
      <c r="E255" s="293" t="n">
        <v>0.3187</v>
      </c>
      <c r="F255" s="294" t="n">
        <v>1</v>
      </c>
      <c r="G255" s="294" t="n"/>
      <c r="H255" s="294" t="n"/>
      <c r="I255" s="294" t="n">
        <v>1</v>
      </c>
      <c r="J255" s="294" t="n"/>
      <c r="K255" s="294" t="n"/>
      <c r="L255" s="215" t="inlineStr">
        <is>
          <t>28/05/2026</t>
        </is>
      </c>
    </row>
    <row r="256" ht="15.75" customHeight="1" s="153">
      <c r="A256" s="214" t="n">
        <v>251</v>
      </c>
      <c r="B256" s="215" t="inlineStr">
        <is>
          <t>VICTOR CAPE</t>
        </is>
      </c>
      <c r="C256" s="216" t="n">
        <v>90500</v>
      </c>
      <c r="D256" s="216" t="n">
        <v>38700</v>
      </c>
      <c r="E256" s="293" t="n">
        <v>0.4276</v>
      </c>
      <c r="F256" s="294" t="n">
        <v>3</v>
      </c>
      <c r="G256" s="294" t="n">
        <v>1</v>
      </c>
      <c r="H256" s="294" t="n">
        <v>2</v>
      </c>
      <c r="I256" s="294" t="n"/>
      <c r="J256" s="294" t="n"/>
      <c r="K256" s="294" t="n"/>
      <c r="L256" s="215" t="inlineStr">
        <is>
          <t>16/05/2026</t>
        </is>
      </c>
    </row>
    <row r="257" ht="15.75" customHeight="1" s="153">
      <c r="A257" s="221" t="n">
        <v>252</v>
      </c>
      <c r="B257" s="215" t="inlineStr">
        <is>
          <t>AZCUEJAGA 5023</t>
        </is>
      </c>
      <c r="C257" s="216" t="n">
        <v>90000</v>
      </c>
      <c r="D257" s="216" t="n">
        <v>27000</v>
      </c>
      <c r="E257" s="293" t="n">
        <v>0.3</v>
      </c>
      <c r="F257" s="294" t="n">
        <v>1</v>
      </c>
      <c r="G257" s="294" t="n">
        <v>6</v>
      </c>
      <c r="H257" s="294" t="n"/>
      <c r="I257" s="294" t="n"/>
      <c r="J257" s="294" t="n"/>
      <c r="K257" s="294" t="n"/>
      <c r="L257" s="215" t="inlineStr">
        <is>
          <t>27/02/2026</t>
        </is>
      </c>
    </row>
    <row r="258" ht="15.75" customHeight="1" s="153">
      <c r="A258" s="214" t="n">
        <v>253</v>
      </c>
      <c r="B258" s="215" t="inlineStr">
        <is>
          <t>NERUDA Y GANDHI</t>
        </is>
      </c>
      <c r="C258" s="216" t="n">
        <v>90000</v>
      </c>
      <c r="D258" s="216" t="n">
        <v>30000</v>
      </c>
      <c r="E258" s="293" t="n">
        <v>0.3333</v>
      </c>
      <c r="F258" s="294" t="n">
        <v>1</v>
      </c>
      <c r="G258" s="294" t="n"/>
      <c r="H258" s="294" t="n"/>
      <c r="I258" s="294" t="n">
        <v>1</v>
      </c>
      <c r="J258" s="294" t="n"/>
      <c r="K258" s="294" t="n"/>
      <c r="L258" s="215" t="inlineStr">
        <is>
          <t>31/03/2026</t>
        </is>
      </c>
    </row>
    <row r="259" ht="15.75" customHeight="1" s="153">
      <c r="A259" s="221" t="n">
        <v>254</v>
      </c>
      <c r="B259" s="215" t="inlineStr">
        <is>
          <t>TAMBOR TACUARI</t>
        </is>
      </c>
      <c r="C259" s="216" t="n">
        <v>90000</v>
      </c>
      <c r="D259" s="216" t="n">
        <v>30000</v>
      </c>
      <c r="E259" s="293" t="n">
        <v>0.3333</v>
      </c>
      <c r="F259" s="294" t="n">
        <v>1</v>
      </c>
      <c r="G259" s="294" t="n"/>
      <c r="H259" s="294" t="n"/>
      <c r="I259" s="294" t="n">
        <v>1</v>
      </c>
      <c r="J259" s="294" t="n"/>
      <c r="K259" s="294" t="n"/>
      <c r="L259" s="215" t="inlineStr">
        <is>
          <t>31/03/2026</t>
        </is>
      </c>
    </row>
    <row r="260" ht="15.75" customHeight="1" s="153">
      <c r="A260" s="214" t="n">
        <v>255</v>
      </c>
      <c r="B260" s="215" t="inlineStr">
        <is>
          <t>GORRITI 1418</t>
        </is>
      </c>
      <c r="C260" s="216" t="n">
        <v>90000</v>
      </c>
      <c r="D260" s="216" t="n">
        <v>43000</v>
      </c>
      <c r="E260" s="293" t="n">
        <v>0.4778</v>
      </c>
      <c r="F260" s="294" t="n">
        <v>1</v>
      </c>
      <c r="G260" s="294" t="n"/>
      <c r="H260" s="294" t="n"/>
      <c r="I260" s="294" t="n">
        <v>1</v>
      </c>
      <c r="J260" s="294" t="n"/>
      <c r="K260" s="294" t="n"/>
      <c r="L260" s="215" t="inlineStr">
        <is>
          <t>05/02/2026</t>
        </is>
      </c>
    </row>
    <row r="261" ht="15.75" customHeight="1" s="153">
      <c r="A261" s="221" t="n">
        <v>256</v>
      </c>
      <c r="B261" s="215" t="inlineStr">
        <is>
          <t>LA PLATA 2834</t>
        </is>
      </c>
      <c r="C261" s="216" t="n">
        <v>90000</v>
      </c>
      <c r="D261" s="216" t="n">
        <v>43000</v>
      </c>
      <c r="E261" s="293" t="n">
        <v>0.4778</v>
      </c>
      <c r="F261" s="294" t="n">
        <v>1</v>
      </c>
      <c r="G261" s="294" t="n"/>
      <c r="H261" s="294" t="n"/>
      <c r="I261" s="294" t="n">
        <v>1</v>
      </c>
      <c r="J261" s="294" t="n"/>
      <c r="K261" s="294" t="n"/>
      <c r="L261" s="215" t="inlineStr">
        <is>
          <t>05/02/2026</t>
        </is>
      </c>
    </row>
    <row r="262" ht="15.75" customHeight="1" s="153">
      <c r="A262" s="214" t="n">
        <v>257</v>
      </c>
      <c r="B262" s="215" t="inlineStr">
        <is>
          <t>MARIANA</t>
        </is>
      </c>
      <c r="C262" s="216" t="n">
        <v>90000</v>
      </c>
      <c r="D262" s="216" t="n">
        <v>30000</v>
      </c>
      <c r="E262" s="293" t="n">
        <v>0.3333</v>
      </c>
      <c r="F262" s="294" t="n">
        <v>1</v>
      </c>
      <c r="G262" s="294" t="n"/>
      <c r="H262" s="294" t="n"/>
      <c r="I262" s="294" t="n">
        <v>1</v>
      </c>
      <c r="J262" s="294" t="n"/>
      <c r="K262" s="294" t="n"/>
      <c r="L262" s="215" t="inlineStr">
        <is>
          <t>08/04/2026</t>
        </is>
      </c>
    </row>
    <row r="263" ht="15.75" customHeight="1" s="153">
      <c r="A263" s="221" t="n">
        <v>258</v>
      </c>
      <c r="B263" s="215" t="inlineStr">
        <is>
          <t>PEDRO VEGA 4343</t>
        </is>
      </c>
      <c r="C263" s="216" t="n">
        <v>90000</v>
      </c>
      <c r="D263" s="216" t="n">
        <v>30000</v>
      </c>
      <c r="E263" s="293" t="n">
        <v>0.3333</v>
      </c>
      <c r="F263" s="294" t="n">
        <v>1</v>
      </c>
      <c r="G263" s="294" t="n"/>
      <c r="H263" s="294" t="n"/>
      <c r="I263" s="294" t="n">
        <v>1</v>
      </c>
      <c r="J263" s="294" t="n"/>
      <c r="K263" s="294" t="n"/>
      <c r="L263" s="215" t="inlineStr">
        <is>
          <t>09/04/2026</t>
        </is>
      </c>
    </row>
    <row r="264" ht="15.75" customHeight="1" s="153">
      <c r="A264" s="214" t="n">
        <v>259</v>
      </c>
      <c r="B264" s="215" t="inlineStr">
        <is>
          <t>ARISTOBULO 6897</t>
        </is>
      </c>
      <c r="C264" s="216" t="n">
        <v>90000</v>
      </c>
      <c r="D264" s="216" t="n">
        <v>30000</v>
      </c>
      <c r="E264" s="293" t="n">
        <v>0.3333</v>
      </c>
      <c r="F264" s="294" t="n">
        <v>1</v>
      </c>
      <c r="G264" s="294" t="n"/>
      <c r="H264" s="294" t="n"/>
      <c r="I264" s="294" t="n">
        <v>1</v>
      </c>
      <c r="J264" s="294" t="n"/>
      <c r="K264" s="294" t="n"/>
      <c r="L264" s="215" t="inlineStr">
        <is>
          <t>11/04/2026</t>
        </is>
      </c>
    </row>
    <row r="265" ht="15.75" customHeight="1" s="153">
      <c r="A265" s="221" t="n">
        <v>260</v>
      </c>
      <c r="B265" s="215" t="inlineStr">
        <is>
          <t>FRAY CAYETANO 3813</t>
        </is>
      </c>
      <c r="C265" s="216" t="n">
        <v>90000</v>
      </c>
      <c r="D265" s="216" t="n">
        <v>30000</v>
      </c>
      <c r="E265" s="293" t="n">
        <v>0.3333</v>
      </c>
      <c r="F265" s="294" t="n">
        <v>1</v>
      </c>
      <c r="G265" s="294" t="n"/>
      <c r="H265" s="294" t="n"/>
      <c r="I265" s="294" t="n">
        <v>1</v>
      </c>
      <c r="J265" s="294" t="n"/>
      <c r="K265" s="294" t="n"/>
      <c r="L265" s="215" t="inlineStr">
        <is>
          <t>19/04/2026</t>
        </is>
      </c>
    </row>
    <row r="266" ht="15.75" customHeight="1" s="153">
      <c r="A266" s="214" t="n">
        <v>261</v>
      </c>
      <c r="B266" s="215" t="inlineStr">
        <is>
          <t>SUPER SERATO</t>
        </is>
      </c>
      <c r="C266" s="216" t="n">
        <v>90000</v>
      </c>
      <c r="D266" s="216" t="n">
        <v>30000</v>
      </c>
      <c r="E266" s="293" t="n">
        <v>0.3333</v>
      </c>
      <c r="F266" s="294" t="n">
        <v>1</v>
      </c>
      <c r="G266" s="294" t="n"/>
      <c r="H266" s="294" t="n"/>
      <c r="I266" s="294" t="n">
        <v>1</v>
      </c>
      <c r="J266" s="294" t="n"/>
      <c r="K266" s="294" t="n"/>
      <c r="L266" s="215" t="inlineStr">
        <is>
          <t>25/04/2026</t>
        </is>
      </c>
    </row>
    <row r="267" ht="15.75" customHeight="1" s="153">
      <c r="A267" s="221" t="n">
        <v>262</v>
      </c>
      <c r="B267" s="215" t="inlineStr">
        <is>
          <t>PALLARES 8200 CASA 104</t>
        </is>
      </c>
      <c r="C267" s="216" t="n">
        <v>90000</v>
      </c>
      <c r="D267" s="216" t="n">
        <v>30000</v>
      </c>
      <c r="E267" s="293" t="n">
        <v>0.3333</v>
      </c>
      <c r="F267" s="294" t="n">
        <v>1</v>
      </c>
      <c r="G267" s="294" t="n"/>
      <c r="H267" s="294" t="n"/>
      <c r="I267" s="294" t="n">
        <v>1</v>
      </c>
      <c r="J267" s="294" t="n"/>
      <c r="K267" s="294" t="n"/>
      <c r="L267" s="215" t="inlineStr">
        <is>
          <t>27/04/2026</t>
        </is>
      </c>
    </row>
    <row r="268" ht="15.75" customHeight="1" s="153">
      <c r="A268" s="214" t="n">
        <v>263</v>
      </c>
      <c r="B268" s="215" t="inlineStr">
        <is>
          <t>BONEO 5564</t>
        </is>
      </c>
      <c r="C268" s="216" t="n">
        <v>90000</v>
      </c>
      <c r="D268" s="216" t="n">
        <v>30000</v>
      </c>
      <c r="E268" s="293" t="n">
        <v>0.3333</v>
      </c>
      <c r="F268" s="294" t="n">
        <v>1</v>
      </c>
      <c r="G268" s="294" t="n"/>
      <c r="H268" s="294" t="n"/>
      <c r="I268" s="294" t="n">
        <v>1</v>
      </c>
      <c r="J268" s="294" t="n"/>
      <c r="K268" s="294" t="n"/>
      <c r="L268" s="215" t="inlineStr">
        <is>
          <t>27/04/2026</t>
        </is>
      </c>
    </row>
    <row r="269" ht="15.75" customHeight="1" s="153">
      <c r="A269" s="221" t="n">
        <v>264</v>
      </c>
      <c r="B269" s="215" t="inlineStr">
        <is>
          <t>CHICLANA 7345</t>
        </is>
      </c>
      <c r="C269" s="216" t="n">
        <v>90000</v>
      </c>
      <c r="D269" s="216" t="n">
        <v>30000</v>
      </c>
      <c r="E269" s="293" t="n">
        <v>0.3333</v>
      </c>
      <c r="F269" s="294" t="n">
        <v>1</v>
      </c>
      <c r="G269" s="294" t="n"/>
      <c r="H269" s="294" t="n"/>
      <c r="I269" s="294" t="n">
        <v>1</v>
      </c>
      <c r="J269" s="294" t="n"/>
      <c r="K269" s="294" t="n"/>
      <c r="L269" s="215" t="inlineStr">
        <is>
          <t>28/04/2026</t>
        </is>
      </c>
    </row>
    <row r="270" ht="15.75" customHeight="1" s="153">
      <c r="A270" s="214" t="n">
        <v>265</v>
      </c>
      <c r="B270" s="215" t="inlineStr">
        <is>
          <t>ARENALES 9203</t>
        </is>
      </c>
      <c r="C270" s="216" t="n">
        <v>90000</v>
      </c>
      <c r="D270" s="216" t="n">
        <v>30000</v>
      </c>
      <c r="E270" s="293" t="n">
        <v>0.3333</v>
      </c>
      <c r="F270" s="294" t="n">
        <v>1</v>
      </c>
      <c r="G270" s="294" t="n"/>
      <c r="H270" s="294" t="n"/>
      <c r="I270" s="294" t="n">
        <v>1</v>
      </c>
      <c r="J270" s="294" t="n"/>
      <c r="K270" s="294" t="n"/>
      <c r="L270" s="215" t="inlineStr">
        <is>
          <t>30/04/2026</t>
        </is>
      </c>
    </row>
    <row r="271" ht="15.75" customHeight="1" s="153">
      <c r="A271" s="221" t="n">
        <v>266</v>
      </c>
      <c r="B271" s="215" t="inlineStr">
        <is>
          <t>PEDRONI 6704</t>
        </is>
      </c>
      <c r="C271" s="216" t="n">
        <v>90000</v>
      </c>
      <c r="D271" s="216" t="n">
        <v>30000</v>
      </c>
      <c r="E271" s="293" t="n">
        <v>0.3333</v>
      </c>
      <c r="F271" s="294" t="n">
        <v>1</v>
      </c>
      <c r="G271" s="294" t="n"/>
      <c r="H271" s="294" t="n"/>
      <c r="I271" s="294" t="n">
        <v>1</v>
      </c>
      <c r="J271" s="294" t="n"/>
      <c r="K271" s="294" t="n"/>
      <c r="L271" s="215" t="inlineStr">
        <is>
          <t>03/05/2026</t>
        </is>
      </c>
    </row>
    <row r="272" ht="15.75" customHeight="1" s="153">
      <c r="A272" s="214" t="n">
        <v>267</v>
      </c>
      <c r="B272" s="215" t="inlineStr">
        <is>
          <t>PARAGUAY 5234</t>
        </is>
      </c>
      <c r="C272" s="216" t="n">
        <v>90000</v>
      </c>
      <c r="D272" s="216" t="n">
        <v>28000</v>
      </c>
      <c r="E272" s="293" t="n">
        <v>0.3111</v>
      </c>
      <c r="F272" s="294" t="n">
        <v>1</v>
      </c>
      <c r="G272" s="294" t="n"/>
      <c r="H272" s="294" t="n"/>
      <c r="I272" s="294" t="n">
        <v>1</v>
      </c>
      <c r="J272" s="294" t="n"/>
      <c r="K272" s="294" t="n"/>
      <c r="L272" s="215" t="inlineStr">
        <is>
          <t>20/05/2026</t>
        </is>
      </c>
    </row>
    <row r="273" ht="15.75" customHeight="1" s="153">
      <c r="A273" s="221" t="n">
        <v>268</v>
      </c>
      <c r="B273" s="215" t="inlineStr">
        <is>
          <t>ALMONACID 4485</t>
        </is>
      </c>
      <c r="C273" s="216" t="n">
        <v>89000</v>
      </c>
      <c r="D273" s="216" t="n">
        <v>29000</v>
      </c>
      <c r="E273" s="293" t="n">
        <v>0.3258</v>
      </c>
      <c r="F273" s="294" t="n">
        <v>1</v>
      </c>
      <c r="G273" s="294" t="n"/>
      <c r="H273" s="294" t="n"/>
      <c r="I273" s="294" t="n">
        <v>1</v>
      </c>
      <c r="J273" s="294" t="n"/>
      <c r="K273" s="294" t="n"/>
      <c r="L273" s="215" t="inlineStr">
        <is>
          <t>30/03/2026</t>
        </is>
      </c>
    </row>
    <row r="274" ht="15.75" customHeight="1" s="153">
      <c r="A274" s="214" t="n">
        <v>269</v>
      </c>
      <c r="B274" s="215" t="inlineStr">
        <is>
          <t>S BAYO 7165</t>
        </is>
      </c>
      <c r="C274" s="216" t="n">
        <v>89000</v>
      </c>
      <c r="D274" s="216" t="n">
        <v>29000</v>
      </c>
      <c r="E274" s="293" t="n">
        <v>0.3258</v>
      </c>
      <c r="F274" s="294" t="n">
        <v>1</v>
      </c>
      <c r="G274" s="294" t="n"/>
      <c r="H274" s="294" t="n"/>
      <c r="I274" s="294" t="n">
        <v>1</v>
      </c>
      <c r="J274" s="294" t="n"/>
      <c r="K274" s="294" t="n"/>
      <c r="L274" s="215" t="inlineStr">
        <is>
          <t>17/04/2026</t>
        </is>
      </c>
    </row>
    <row r="275" ht="15.75" customHeight="1" s="153">
      <c r="A275" s="221" t="n">
        <v>270</v>
      </c>
      <c r="B275" s="215" t="inlineStr">
        <is>
          <t>DEL SOL Y LUCIERNAGAS</t>
        </is>
      </c>
      <c r="C275" s="216" t="n">
        <v>89000</v>
      </c>
      <c r="D275" s="216" t="n">
        <v>29000</v>
      </c>
      <c r="E275" s="293" t="n">
        <v>0.3258</v>
      </c>
      <c r="F275" s="294" t="n">
        <v>1</v>
      </c>
      <c r="G275" s="294" t="n"/>
      <c r="H275" s="294" t="n"/>
      <c r="I275" s="294" t="n">
        <v>1</v>
      </c>
      <c r="J275" s="294" t="n"/>
      <c r="K275" s="294" t="n"/>
      <c r="L275" s="215" t="inlineStr">
        <is>
          <t>26/04/2026</t>
        </is>
      </c>
    </row>
    <row r="276" ht="15.75" customHeight="1" s="153">
      <c r="A276" s="214" t="n">
        <v>271</v>
      </c>
      <c r="B276" s="215" t="inlineStr">
        <is>
          <t>AGUADO 6766</t>
        </is>
      </c>
      <c r="C276" s="216" t="n">
        <v>89000</v>
      </c>
      <c r="D276" s="216" t="n">
        <v>29000</v>
      </c>
      <c r="E276" s="293" t="n">
        <v>0.3258</v>
      </c>
      <c r="F276" s="294" t="n">
        <v>1</v>
      </c>
      <c r="G276" s="294" t="n"/>
      <c r="H276" s="294" t="n"/>
      <c r="I276" s="294" t="n">
        <v>1</v>
      </c>
      <c r="J276" s="294" t="n"/>
      <c r="K276" s="294" t="n"/>
      <c r="L276" s="215" t="inlineStr">
        <is>
          <t>06/05/2026</t>
        </is>
      </c>
    </row>
    <row r="277" ht="15.75" customHeight="1" s="153">
      <c r="A277" s="221" t="n">
        <v>272</v>
      </c>
      <c r="B277" s="215" t="inlineStr">
        <is>
          <t>PUBLICO 2371</t>
        </is>
      </c>
      <c r="C277" s="216" t="n">
        <v>89000</v>
      </c>
      <c r="D277" s="216" t="n">
        <v>27000</v>
      </c>
      <c r="E277" s="293" t="n">
        <v>0.3034</v>
      </c>
      <c r="F277" s="294" t="n">
        <v>1</v>
      </c>
      <c r="G277" s="294" t="n"/>
      <c r="H277" s="294" t="n"/>
      <c r="I277" s="294" t="n">
        <v>1</v>
      </c>
      <c r="J277" s="294" t="n"/>
      <c r="K277" s="294" t="n"/>
      <c r="L277" s="215" t="inlineStr">
        <is>
          <t>11/05/2026</t>
        </is>
      </c>
    </row>
    <row r="278" ht="15.75" customHeight="1" s="153">
      <c r="A278" s="214" t="n">
        <v>273</v>
      </c>
      <c r="B278" s="215" t="inlineStr">
        <is>
          <t>PANDOLFO 8845</t>
        </is>
      </c>
      <c r="C278" s="216" t="n">
        <v>89000</v>
      </c>
      <c r="D278" s="216" t="n">
        <v>27000</v>
      </c>
      <c r="E278" s="293" t="n">
        <v>0.3034</v>
      </c>
      <c r="F278" s="294" t="n">
        <v>1</v>
      </c>
      <c r="G278" s="294" t="n"/>
      <c r="H278" s="294" t="n"/>
      <c r="I278" s="294" t="n">
        <v>1</v>
      </c>
      <c r="J278" s="294" t="n"/>
      <c r="K278" s="294" t="n"/>
      <c r="L278" s="215" t="inlineStr">
        <is>
          <t>12/05/2026</t>
        </is>
      </c>
    </row>
    <row r="279" ht="15.75" customHeight="1" s="153">
      <c r="A279" s="221" t="n">
        <v>274</v>
      </c>
      <c r="B279" s="215" t="inlineStr">
        <is>
          <t>LA SALLE 3904</t>
        </is>
      </c>
      <c r="C279" s="216" t="n">
        <v>89000</v>
      </c>
      <c r="D279" s="216" t="n">
        <v>27000</v>
      </c>
      <c r="E279" s="293" t="n">
        <v>0.3034</v>
      </c>
      <c r="F279" s="294" t="n">
        <v>1</v>
      </c>
      <c r="G279" s="294" t="n"/>
      <c r="H279" s="294" t="n"/>
      <c r="I279" s="294" t="n">
        <v>1</v>
      </c>
      <c r="J279" s="294" t="n"/>
      <c r="K279" s="294" t="n"/>
      <c r="L279" s="215" t="inlineStr">
        <is>
          <t>12/05/2026</t>
        </is>
      </c>
    </row>
    <row r="280" ht="15.75" customHeight="1" s="153">
      <c r="A280" s="214" t="n">
        <v>275</v>
      </c>
      <c r="B280" s="215" t="inlineStr">
        <is>
          <t>CAFERATA 8877</t>
        </is>
      </c>
      <c r="C280" s="216" t="n">
        <v>89000</v>
      </c>
      <c r="D280" s="216" t="n">
        <v>27000</v>
      </c>
      <c r="E280" s="293" t="n">
        <v>0.3034</v>
      </c>
      <c r="F280" s="294" t="n">
        <v>1</v>
      </c>
      <c r="G280" s="294" t="n"/>
      <c r="H280" s="294" t="n"/>
      <c r="I280" s="294" t="n">
        <v>1</v>
      </c>
      <c r="J280" s="294" t="n"/>
      <c r="K280" s="294" t="n"/>
      <c r="L280" s="215" t="inlineStr">
        <is>
          <t>31/05/2026</t>
        </is>
      </c>
    </row>
    <row r="281" ht="15.75" customHeight="1" s="153">
      <c r="A281" s="221" t="n">
        <v>276</v>
      </c>
      <c r="B281" s="215" t="inlineStr">
        <is>
          <t>GOROSTIAGA 4619</t>
        </is>
      </c>
      <c r="C281" s="216" t="n">
        <v>88000</v>
      </c>
      <c r="D281" s="216" t="n">
        <v>28000</v>
      </c>
      <c r="E281" s="293" t="n">
        <v>0.3182</v>
      </c>
      <c r="F281" s="294" t="n">
        <v>1</v>
      </c>
      <c r="G281" s="294" t="n"/>
      <c r="H281" s="294" t="n"/>
      <c r="I281" s="294" t="n">
        <v>1</v>
      </c>
      <c r="J281" s="294" t="n"/>
      <c r="K281" s="294" t="n"/>
      <c r="L281" s="215" t="inlineStr">
        <is>
          <t>02/04/2026</t>
        </is>
      </c>
    </row>
    <row r="282" ht="15.75" customHeight="1" s="153">
      <c r="A282" s="214" t="n">
        <v>277</v>
      </c>
      <c r="B282" s="215" t="inlineStr">
        <is>
          <t>PUBLICO 9118</t>
        </is>
      </c>
      <c r="C282" s="216" t="n">
        <v>88000</v>
      </c>
      <c r="D282" s="216" t="n">
        <v>28000</v>
      </c>
      <c r="E282" s="293" t="n">
        <v>0.3182</v>
      </c>
      <c r="F282" s="294" t="n">
        <v>1</v>
      </c>
      <c r="G282" s="294" t="n"/>
      <c r="H282" s="294" t="n"/>
      <c r="I282" s="294" t="n">
        <v>1</v>
      </c>
      <c r="J282" s="294" t="n"/>
      <c r="K282" s="294" t="n"/>
      <c r="L282" s="215" t="inlineStr">
        <is>
          <t>15/04/2026</t>
        </is>
      </c>
    </row>
    <row r="283" ht="15.75" customHeight="1" s="153">
      <c r="A283" s="221" t="n">
        <v>278</v>
      </c>
      <c r="B283" s="215" t="inlineStr">
        <is>
          <t>5TO PASAJE 3750</t>
        </is>
      </c>
      <c r="C283" s="216" t="n">
        <v>88000</v>
      </c>
      <c r="D283" s="216" t="n">
        <v>28000</v>
      </c>
      <c r="E283" s="293" t="n">
        <v>0.3182</v>
      </c>
      <c r="F283" s="294" t="n">
        <v>1</v>
      </c>
      <c r="G283" s="294" t="n"/>
      <c r="H283" s="294" t="n"/>
      <c r="I283" s="294" t="n">
        <v>1</v>
      </c>
      <c r="J283" s="294" t="n"/>
      <c r="K283" s="294" t="n"/>
      <c r="L283" s="215" t="inlineStr">
        <is>
          <t>30/04/2026</t>
        </is>
      </c>
    </row>
    <row r="284" ht="15.75" customHeight="1" s="153">
      <c r="A284" s="214" t="n">
        <v>279</v>
      </c>
      <c r="B284" s="215" t="inlineStr">
        <is>
          <t>NICO PIRIZ SIR LAKI</t>
        </is>
      </c>
      <c r="C284" s="216" t="n">
        <v>88000</v>
      </c>
      <c r="D284" s="216" t="n">
        <v>26000</v>
      </c>
      <c r="E284" s="293" t="n">
        <v>0.2955</v>
      </c>
      <c r="F284" s="294" t="n">
        <v>1</v>
      </c>
      <c r="G284" s="294" t="n"/>
      <c r="H284" s="294" t="n"/>
      <c r="I284" s="294" t="n">
        <v>1</v>
      </c>
      <c r="J284" s="294" t="n"/>
      <c r="K284" s="294" t="n"/>
      <c r="L284" s="215" t="inlineStr">
        <is>
          <t>15/05/2026</t>
        </is>
      </c>
    </row>
    <row r="285" ht="15.75" customHeight="1" s="153">
      <c r="A285" s="221" t="n">
        <v>280</v>
      </c>
      <c r="B285" s="215" t="inlineStr">
        <is>
          <t>MONI ALBERTI</t>
        </is>
      </c>
      <c r="C285" s="216" t="n">
        <v>88000</v>
      </c>
      <c r="D285" s="216" t="n">
        <v>26000</v>
      </c>
      <c r="E285" s="293" t="n">
        <v>0.2955</v>
      </c>
      <c r="F285" s="294" t="n">
        <v>1</v>
      </c>
      <c r="G285" s="294" t="n"/>
      <c r="H285" s="294" t="n"/>
      <c r="I285" s="294" t="n">
        <v>1</v>
      </c>
      <c r="J285" s="294" t="n"/>
      <c r="K285" s="294" t="n"/>
      <c r="L285" s="215" t="inlineStr">
        <is>
          <t>19/05/2026</t>
        </is>
      </c>
    </row>
    <row r="286" ht="15.75" customHeight="1" s="153">
      <c r="A286" s="214" t="n">
        <v>281</v>
      </c>
      <c r="B286" s="215" t="inlineStr">
        <is>
          <t>GENERAL PAZ 7869</t>
        </is>
      </c>
      <c r="C286" s="216" t="n">
        <v>88000</v>
      </c>
      <c r="D286" s="216" t="n">
        <v>26000</v>
      </c>
      <c r="E286" s="293" t="n">
        <v>0.2955</v>
      </c>
      <c r="F286" s="294" t="n">
        <v>1</v>
      </c>
      <c r="G286" s="294" t="n"/>
      <c r="H286" s="294" t="n"/>
      <c r="I286" s="294" t="n">
        <v>1</v>
      </c>
      <c r="J286" s="294" t="n"/>
      <c r="K286" s="294" t="n"/>
      <c r="L286" s="215" t="inlineStr">
        <is>
          <t>22/05/2026</t>
        </is>
      </c>
    </row>
    <row r="287" ht="15.75" customHeight="1" s="153">
      <c r="A287" s="221" t="n">
        <v>282</v>
      </c>
      <c r="B287" s="215" t="inlineStr">
        <is>
          <t>GRACIELA DALBUSO</t>
        </is>
      </c>
      <c r="C287" s="216" t="n">
        <v>88000</v>
      </c>
      <c r="D287" s="216" t="n">
        <v>26000</v>
      </c>
      <c r="E287" s="293" t="n">
        <v>0.2955</v>
      </c>
      <c r="F287" s="294" t="n">
        <v>1</v>
      </c>
      <c r="G287" s="294" t="n"/>
      <c r="H287" s="294" t="n"/>
      <c r="I287" s="294" t="n">
        <v>1</v>
      </c>
      <c r="J287" s="294" t="n"/>
      <c r="K287" s="294" t="n"/>
      <c r="L287" s="215" t="inlineStr">
        <is>
          <t>27/05/2026</t>
        </is>
      </c>
    </row>
    <row r="288" ht="15.75" customHeight="1" s="153">
      <c r="A288" s="214" t="n">
        <v>283</v>
      </c>
      <c r="B288" s="215" t="inlineStr">
        <is>
          <t>LAVAISE 2118</t>
        </is>
      </c>
      <c r="C288" s="216" t="n">
        <v>87000</v>
      </c>
      <c r="D288" s="216" t="n">
        <v>40000</v>
      </c>
      <c r="E288" s="293" t="n">
        <v>0.4598</v>
      </c>
      <c r="F288" s="294" t="n">
        <v>1</v>
      </c>
      <c r="G288" s="294" t="n"/>
      <c r="H288" s="294" t="n"/>
      <c r="I288" s="294" t="n">
        <v>1</v>
      </c>
      <c r="J288" s="294" t="n"/>
      <c r="K288" s="294" t="n"/>
      <c r="L288" s="215" t="inlineStr">
        <is>
          <t>05/02/2026</t>
        </is>
      </c>
    </row>
    <row r="289" ht="15.75" customHeight="1" s="153">
      <c r="A289" s="221" t="n">
        <v>284</v>
      </c>
      <c r="B289" s="215" t="inlineStr">
        <is>
          <t>AVELLANEDA 4448</t>
        </is>
      </c>
      <c r="C289" s="216" t="n">
        <v>87000</v>
      </c>
      <c r="D289" s="216" t="n">
        <v>27000</v>
      </c>
      <c r="E289" s="293" t="n">
        <v>0.3103</v>
      </c>
      <c r="F289" s="294" t="n">
        <v>1</v>
      </c>
      <c r="G289" s="294" t="n"/>
      <c r="H289" s="294" t="n"/>
      <c r="I289" s="294" t="n">
        <v>1</v>
      </c>
      <c r="J289" s="294" t="n"/>
      <c r="K289" s="294" t="n"/>
      <c r="L289" s="215" t="inlineStr">
        <is>
          <t>03/05/2026</t>
        </is>
      </c>
    </row>
    <row r="290" ht="15.75" customHeight="1" s="153">
      <c r="A290" s="214" t="n">
        <v>285</v>
      </c>
      <c r="B290" s="215" t="inlineStr">
        <is>
          <t>AZCUENAGA 4800</t>
        </is>
      </c>
      <c r="C290" s="216" t="n">
        <v>87000</v>
      </c>
      <c r="D290" s="216" t="n">
        <v>25000</v>
      </c>
      <c r="E290" s="293" t="n">
        <v>0.2874</v>
      </c>
      <c r="F290" s="294" t="n">
        <v>1</v>
      </c>
      <c r="G290" s="294" t="n"/>
      <c r="H290" s="294" t="n"/>
      <c r="I290" s="294" t="n">
        <v>1</v>
      </c>
      <c r="J290" s="294" t="n"/>
      <c r="K290" s="294" t="n"/>
      <c r="L290" s="215" t="inlineStr">
        <is>
          <t>16/05/2026</t>
        </is>
      </c>
    </row>
    <row r="291" ht="15.75" customHeight="1" s="153">
      <c r="A291" s="221" t="n">
        <v>286</v>
      </c>
      <c r="B291" s="215" t="inlineStr">
        <is>
          <t>FACUNDO ZUVIRIA 4176</t>
        </is>
      </c>
      <c r="C291" s="216" t="n">
        <v>87000</v>
      </c>
      <c r="D291" s="216" t="n">
        <v>25000</v>
      </c>
      <c r="E291" s="293" t="n">
        <v>0.2874</v>
      </c>
      <c r="F291" s="294" t="n">
        <v>1</v>
      </c>
      <c r="G291" s="294" t="n"/>
      <c r="H291" s="294" t="n"/>
      <c r="I291" s="294" t="n">
        <v>1</v>
      </c>
      <c r="J291" s="294" t="n"/>
      <c r="K291" s="294" t="n"/>
      <c r="L291" s="215" t="inlineStr">
        <is>
          <t>26/05/2026</t>
        </is>
      </c>
    </row>
    <row r="292" ht="15.75" customHeight="1" s="153">
      <c r="A292" s="214" t="n">
        <v>287</v>
      </c>
      <c r="B292" s="215" t="inlineStr">
        <is>
          <t>RIVADAVIA 6330</t>
        </is>
      </c>
      <c r="C292" s="216" t="n">
        <v>86000</v>
      </c>
      <c r="D292" s="216" t="n">
        <v>34950</v>
      </c>
      <c r="E292" s="293" t="n">
        <v>0.4064</v>
      </c>
      <c r="F292" s="294" t="n">
        <v>3</v>
      </c>
      <c r="G292" s="294" t="n">
        <v>2</v>
      </c>
      <c r="H292" s="294" t="n">
        <v>1</v>
      </c>
      <c r="I292" s="294" t="n"/>
      <c r="J292" s="294" t="n"/>
      <c r="K292" s="294" t="n"/>
      <c r="L292" s="215" t="inlineStr">
        <is>
          <t>14/05/2026</t>
        </is>
      </c>
    </row>
    <row r="293" ht="15.75" customHeight="1" s="153">
      <c r="A293" s="221" t="n">
        <v>288</v>
      </c>
      <c r="B293" s="215" t="inlineStr">
        <is>
          <t>AZCUENAGA 5800 CASA 13</t>
        </is>
      </c>
      <c r="C293" s="216" t="n">
        <v>86000</v>
      </c>
      <c r="D293" s="216" t="n">
        <v>26000</v>
      </c>
      <c r="E293" s="293" t="n">
        <v>0.3023</v>
      </c>
      <c r="F293" s="294" t="n">
        <v>1</v>
      </c>
      <c r="G293" s="294" t="n"/>
      <c r="H293" s="294" t="n"/>
      <c r="I293" s="294" t="n">
        <v>1</v>
      </c>
      <c r="J293" s="294" t="n"/>
      <c r="K293" s="294" t="n"/>
      <c r="L293" s="215" t="inlineStr">
        <is>
          <t>30/03/2026</t>
        </is>
      </c>
    </row>
    <row r="294" ht="15.75" customHeight="1" s="153">
      <c r="A294" s="214" t="n">
        <v>289</v>
      </c>
      <c r="B294" s="215" t="inlineStr">
        <is>
          <t>LAPACHOS 1840</t>
        </is>
      </c>
      <c r="C294" s="216" t="n">
        <v>86000</v>
      </c>
      <c r="D294" s="216" t="n">
        <v>26000</v>
      </c>
      <c r="E294" s="293" t="n">
        <v>0.3023</v>
      </c>
      <c r="F294" s="294" t="n">
        <v>1</v>
      </c>
      <c r="G294" s="294" t="n"/>
      <c r="H294" s="294" t="n"/>
      <c r="I294" s="294" t="n">
        <v>1</v>
      </c>
      <c r="J294" s="294" t="n"/>
      <c r="K294" s="294" t="n"/>
      <c r="L294" s="215" t="inlineStr">
        <is>
          <t>04/04/2026</t>
        </is>
      </c>
    </row>
    <row r="295" ht="15.75" customHeight="1" s="153">
      <c r="A295" s="221" t="n">
        <v>290</v>
      </c>
      <c r="B295" s="215" t="inlineStr">
        <is>
          <t>LOS PARAISOS 3422</t>
        </is>
      </c>
      <c r="C295" s="216" t="n">
        <v>86000</v>
      </c>
      <c r="D295" s="216" t="n">
        <v>39000</v>
      </c>
      <c r="E295" s="293" t="n">
        <v>0.4535</v>
      </c>
      <c r="F295" s="294" t="n">
        <v>1</v>
      </c>
      <c r="G295" s="294" t="n"/>
      <c r="H295" s="294" t="n"/>
      <c r="I295" s="294" t="n">
        <v>1</v>
      </c>
      <c r="J295" s="294" t="n"/>
      <c r="K295" s="294" t="n"/>
      <c r="L295" s="215" t="inlineStr">
        <is>
          <t>05/02/2026</t>
        </is>
      </c>
    </row>
    <row r="296" ht="15.75" customHeight="1" s="153">
      <c r="A296" s="214" t="n">
        <v>291</v>
      </c>
      <c r="B296" s="215" t="inlineStr">
        <is>
          <t>LA SALLE 6030</t>
        </is>
      </c>
      <c r="C296" s="216" t="n">
        <v>86000</v>
      </c>
      <c r="D296" s="216" t="n">
        <v>26000</v>
      </c>
      <c r="E296" s="293" t="n">
        <v>0.3023</v>
      </c>
      <c r="F296" s="294" t="n">
        <v>1</v>
      </c>
      <c r="G296" s="294" t="n"/>
      <c r="H296" s="294" t="n"/>
      <c r="I296" s="294" t="n">
        <v>1</v>
      </c>
      <c r="J296" s="294" t="n"/>
      <c r="K296" s="294" t="n"/>
      <c r="L296" s="215" t="inlineStr">
        <is>
          <t>06/04/2026</t>
        </is>
      </c>
    </row>
    <row r="297" ht="15.75" customHeight="1" s="153">
      <c r="A297" s="221" t="n">
        <v>292</v>
      </c>
      <c r="B297" s="215" t="inlineStr">
        <is>
          <t>PIEDRABUENA 1927</t>
        </is>
      </c>
      <c r="C297" s="216" t="n">
        <v>86000</v>
      </c>
      <c r="D297" s="216" t="n">
        <v>26000</v>
      </c>
      <c r="E297" s="293" t="n">
        <v>0.3023</v>
      </c>
      <c r="F297" s="294" t="n">
        <v>1</v>
      </c>
      <c r="G297" s="294" t="n"/>
      <c r="H297" s="294" t="n"/>
      <c r="I297" s="294" t="n">
        <v>1</v>
      </c>
      <c r="J297" s="294" t="n"/>
      <c r="K297" s="294" t="n"/>
      <c r="L297" s="215" t="inlineStr">
        <is>
          <t>09/04/2026</t>
        </is>
      </c>
    </row>
    <row r="298" ht="15.75" customHeight="1" s="153">
      <c r="A298" s="214" t="n">
        <v>293</v>
      </c>
      <c r="B298" s="215" t="inlineStr">
        <is>
          <t>FRANCIA 1864</t>
        </is>
      </c>
      <c r="C298" s="216" t="n">
        <v>86000</v>
      </c>
      <c r="D298" s="216" t="n">
        <v>26000</v>
      </c>
      <c r="E298" s="293" t="n">
        <v>0.3023</v>
      </c>
      <c r="F298" s="294" t="n">
        <v>1</v>
      </c>
      <c r="G298" s="294" t="n"/>
      <c r="H298" s="294" t="n"/>
      <c r="I298" s="294" t="n">
        <v>1</v>
      </c>
      <c r="J298" s="294" t="n"/>
      <c r="K298" s="294" t="n"/>
      <c r="L298" s="215" t="inlineStr">
        <is>
          <t>24/04/2026</t>
        </is>
      </c>
    </row>
    <row r="299" ht="15.75" customHeight="1" s="153">
      <c r="A299" s="221" t="n">
        <v>294</v>
      </c>
      <c r="B299" s="215" t="inlineStr">
        <is>
          <t>MITRE 4241</t>
        </is>
      </c>
      <c r="C299" s="216" t="n">
        <v>86000</v>
      </c>
      <c r="D299" s="216" t="n">
        <v>26000</v>
      </c>
      <c r="E299" s="293" t="n">
        <v>0.3023</v>
      </c>
      <c r="F299" s="294" t="n">
        <v>1</v>
      </c>
      <c r="G299" s="294" t="n"/>
      <c r="H299" s="294" t="n"/>
      <c r="I299" s="294" t="n">
        <v>1</v>
      </c>
      <c r="J299" s="294" t="n"/>
      <c r="K299" s="294" t="n"/>
      <c r="L299" s="215" t="inlineStr">
        <is>
          <t>26/04/2026</t>
        </is>
      </c>
    </row>
    <row r="300" ht="15.75" customHeight="1" s="153">
      <c r="A300" s="214" t="n">
        <v>295</v>
      </c>
      <c r="B300" s="215" t="inlineStr">
        <is>
          <t>ACACIAS 10301</t>
        </is>
      </c>
      <c r="C300" s="216" t="n">
        <v>86000</v>
      </c>
      <c r="D300" s="216" t="n">
        <v>26000</v>
      </c>
      <c r="E300" s="293" t="n">
        <v>0.3023</v>
      </c>
      <c r="F300" s="294" t="n">
        <v>1</v>
      </c>
      <c r="G300" s="294" t="n"/>
      <c r="H300" s="294" t="n"/>
      <c r="I300" s="294" t="n">
        <v>1</v>
      </c>
      <c r="J300" s="294" t="n"/>
      <c r="K300" s="294" t="n"/>
      <c r="L300" s="215" t="inlineStr">
        <is>
          <t>27/04/2026</t>
        </is>
      </c>
    </row>
    <row r="301" ht="15.75" customHeight="1" s="153">
      <c r="A301" s="221" t="n">
        <v>296</v>
      </c>
      <c r="B301" s="215" t="inlineStr">
        <is>
          <t>SAN MARTIN 8400 LULI</t>
        </is>
      </c>
      <c r="C301" s="216" t="n">
        <v>86000</v>
      </c>
      <c r="D301" s="216" t="n">
        <v>26000</v>
      </c>
      <c r="E301" s="293" t="n">
        <v>0.3023</v>
      </c>
      <c r="F301" s="294" t="n">
        <v>1</v>
      </c>
      <c r="G301" s="294" t="n"/>
      <c r="H301" s="294" t="n"/>
      <c r="I301" s="294" t="n">
        <v>1</v>
      </c>
      <c r="J301" s="294" t="n"/>
      <c r="K301" s="294" t="n"/>
      <c r="L301" s="215" t="inlineStr">
        <is>
          <t>27/04/2026</t>
        </is>
      </c>
    </row>
    <row r="302" ht="15.75" customHeight="1" s="153">
      <c r="A302" s="214" t="n">
        <v>297</v>
      </c>
      <c r="B302" s="215" t="inlineStr">
        <is>
          <t>F ZUVIRIA 7757</t>
        </is>
      </c>
      <c r="C302" s="216" t="n">
        <v>85000</v>
      </c>
      <c r="D302" s="216" t="n">
        <v>25000</v>
      </c>
      <c r="E302" s="293" t="n">
        <v>0.2941</v>
      </c>
      <c r="F302" s="294" t="n">
        <v>1</v>
      </c>
      <c r="G302" s="294" t="n"/>
      <c r="H302" s="294" t="n"/>
      <c r="I302" s="294" t="n">
        <v>1</v>
      </c>
      <c r="J302" s="294" t="n"/>
      <c r="K302" s="294" t="n"/>
      <c r="L302" s="215" t="inlineStr">
        <is>
          <t>07/04/2026</t>
        </is>
      </c>
    </row>
    <row r="303" ht="15.75" customHeight="1" s="153">
      <c r="A303" s="221" t="n">
        <v>298</v>
      </c>
      <c r="B303" s="215" t="inlineStr">
        <is>
          <t>EX COMBATIENTES 5433</t>
        </is>
      </c>
      <c r="C303" s="216" t="n">
        <v>85000</v>
      </c>
      <c r="D303" s="216" t="n">
        <v>25000</v>
      </c>
      <c r="E303" s="293" t="n">
        <v>0.2941</v>
      </c>
      <c r="F303" s="294" t="n">
        <v>1</v>
      </c>
      <c r="G303" s="294" t="n"/>
      <c r="H303" s="294" t="n"/>
      <c r="I303" s="294" t="n">
        <v>1</v>
      </c>
      <c r="J303" s="294" t="n"/>
      <c r="K303" s="294" t="n"/>
      <c r="L303" s="215" t="inlineStr">
        <is>
          <t>07/04/2026</t>
        </is>
      </c>
    </row>
    <row r="304" ht="15.75" customHeight="1" s="153">
      <c r="A304" s="214" t="n">
        <v>299</v>
      </c>
      <c r="B304" s="215" t="inlineStr">
        <is>
          <t>URQUIZA 2031</t>
        </is>
      </c>
      <c r="C304" s="216" t="n">
        <v>85000</v>
      </c>
      <c r="D304" s="216" t="n">
        <v>25000</v>
      </c>
      <c r="E304" s="293" t="n">
        <v>0.2941</v>
      </c>
      <c r="F304" s="294" t="n">
        <v>1</v>
      </c>
      <c r="G304" s="294" t="n"/>
      <c r="H304" s="294" t="n"/>
      <c r="I304" s="294" t="n">
        <v>1</v>
      </c>
      <c r="J304" s="294" t="n"/>
      <c r="K304" s="294" t="n"/>
      <c r="L304" s="215" t="inlineStr">
        <is>
          <t>09/04/2026</t>
        </is>
      </c>
    </row>
    <row r="305" ht="15.75" customHeight="1" s="153">
      <c r="A305" s="221" t="n">
        <v>300</v>
      </c>
      <c r="B305" s="215" t="inlineStr">
        <is>
          <t>CASTAÑADUY 7035</t>
        </is>
      </c>
      <c r="C305" s="216" t="n">
        <v>85000</v>
      </c>
      <c r="D305" s="216" t="n">
        <v>25000</v>
      </c>
      <c r="E305" s="293" t="n">
        <v>0.2941</v>
      </c>
      <c r="F305" s="294" t="n">
        <v>1</v>
      </c>
      <c r="G305" s="294" t="n"/>
      <c r="H305" s="294" t="n"/>
      <c r="I305" s="294" t="n">
        <v>1</v>
      </c>
      <c r="J305" s="294" t="n"/>
      <c r="K305" s="294" t="n"/>
      <c r="L305" s="215" t="inlineStr">
        <is>
          <t>09/04/2026</t>
        </is>
      </c>
    </row>
    <row r="306" ht="15.75" customHeight="1" s="153">
      <c r="A306" s="214" t="n">
        <v>301</v>
      </c>
      <c r="B306" s="215" t="inlineStr">
        <is>
          <t>LOBATO</t>
        </is>
      </c>
      <c r="C306" s="216" t="n">
        <v>85000</v>
      </c>
      <c r="D306" s="216" t="n">
        <v>25000</v>
      </c>
      <c r="E306" s="293" t="n">
        <v>0.2941</v>
      </c>
      <c r="F306" s="294" t="n">
        <v>1</v>
      </c>
      <c r="G306" s="294" t="n"/>
      <c r="H306" s="294" t="n"/>
      <c r="I306" s="294" t="n">
        <v>1</v>
      </c>
      <c r="J306" s="294" t="n"/>
      <c r="K306" s="294" t="n"/>
      <c r="L306" s="215" t="inlineStr">
        <is>
          <t>13/04/2026</t>
        </is>
      </c>
    </row>
    <row r="307" ht="15.75" customHeight="1" s="153">
      <c r="A307" s="221" t="n">
        <v>302</v>
      </c>
      <c r="B307" s="215" t="inlineStr">
        <is>
          <t>CALLEJON FUNES 1883 CARO</t>
        </is>
      </c>
      <c r="C307" s="216" t="n">
        <v>85000</v>
      </c>
      <c r="D307" s="216" t="n">
        <v>25000</v>
      </c>
      <c r="E307" s="293" t="n">
        <v>0.2941</v>
      </c>
      <c r="F307" s="294" t="n">
        <v>1</v>
      </c>
      <c r="G307" s="294" t="n"/>
      <c r="H307" s="294" t="n"/>
      <c r="I307" s="294" t="n">
        <v>1</v>
      </c>
      <c r="J307" s="294" t="n"/>
      <c r="K307" s="294" t="n"/>
      <c r="L307" s="215" t="inlineStr">
        <is>
          <t>17/04/2026</t>
        </is>
      </c>
    </row>
    <row r="308" ht="15.75" customHeight="1" s="153">
      <c r="A308" s="214" t="n">
        <v>303</v>
      </c>
      <c r="B308" s="215" t="inlineStr">
        <is>
          <t>VIEYTES 5046</t>
        </is>
      </c>
      <c r="C308" s="216" t="n">
        <v>85000</v>
      </c>
      <c r="D308" s="216" t="n">
        <v>25000</v>
      </c>
      <c r="E308" s="293" t="n">
        <v>0.2941</v>
      </c>
      <c r="F308" s="294" t="n">
        <v>1</v>
      </c>
      <c r="G308" s="294" t="n"/>
      <c r="H308" s="294" t="n"/>
      <c r="I308" s="294" t="n">
        <v>1</v>
      </c>
      <c r="J308" s="294" t="n"/>
      <c r="K308" s="294" t="n"/>
      <c r="L308" s="215" t="inlineStr">
        <is>
          <t>17/04/2026</t>
        </is>
      </c>
    </row>
    <row r="309" ht="15.75" customHeight="1" s="153">
      <c r="A309" s="221" t="n">
        <v>304</v>
      </c>
      <c r="B309" s="215" t="inlineStr">
        <is>
          <t>LLERENA 3746</t>
        </is>
      </c>
      <c r="C309" s="216" t="n">
        <v>85000</v>
      </c>
      <c r="D309" s="216" t="n">
        <v>25000</v>
      </c>
      <c r="E309" s="293" t="n">
        <v>0.2941</v>
      </c>
      <c r="F309" s="294" t="n">
        <v>1</v>
      </c>
      <c r="G309" s="294" t="n"/>
      <c r="H309" s="294" t="n"/>
      <c r="I309" s="294" t="n">
        <v>1</v>
      </c>
      <c r="J309" s="294" t="n"/>
      <c r="K309" s="294" t="n"/>
      <c r="L309" s="215" t="inlineStr">
        <is>
          <t>20/04/2026</t>
        </is>
      </c>
    </row>
    <row r="310" ht="15.75" customHeight="1" s="153">
      <c r="A310" s="214" t="n">
        <v>305</v>
      </c>
      <c r="B310" s="215" t="inlineStr">
        <is>
          <t>ARISTOBULO 5119</t>
        </is>
      </c>
      <c r="C310" s="216" t="n">
        <v>85000</v>
      </c>
      <c r="D310" s="216" t="n">
        <v>25000</v>
      </c>
      <c r="E310" s="293" t="n">
        <v>0.2941</v>
      </c>
      <c r="F310" s="294" t="n">
        <v>1</v>
      </c>
      <c r="G310" s="294" t="n"/>
      <c r="H310" s="294" t="n"/>
      <c r="I310" s="294" t="n">
        <v>1</v>
      </c>
      <c r="J310" s="294" t="n"/>
      <c r="K310" s="294" t="n"/>
      <c r="L310" s="215" t="inlineStr">
        <is>
          <t>26/04/2026</t>
        </is>
      </c>
    </row>
    <row r="311" ht="15.75" customHeight="1" s="153">
      <c r="A311" s="221" t="n">
        <v>306</v>
      </c>
      <c r="B311" s="215" t="inlineStr">
        <is>
          <t>CHICLANA 9671</t>
        </is>
      </c>
      <c r="C311" s="216" t="n">
        <v>84000</v>
      </c>
      <c r="D311" s="216" t="n">
        <v>37000</v>
      </c>
      <c r="E311" s="293" t="n">
        <v>0.4405</v>
      </c>
      <c r="F311" s="294" t="n">
        <v>1</v>
      </c>
      <c r="G311" s="294" t="n"/>
      <c r="H311" s="294" t="n"/>
      <c r="I311" s="294" t="n">
        <v>1</v>
      </c>
      <c r="J311" s="294" t="n"/>
      <c r="K311" s="294" t="n"/>
      <c r="L311" s="215" t="inlineStr">
        <is>
          <t>03/01/2026</t>
        </is>
      </c>
    </row>
    <row r="312" ht="15.75" customHeight="1" s="153">
      <c r="A312" s="214" t="n">
        <v>307</v>
      </c>
      <c r="B312" s="215" t="inlineStr">
        <is>
          <t>JOSE CIBILS 2467</t>
        </is>
      </c>
      <c r="C312" s="216" t="n">
        <v>84000</v>
      </c>
      <c r="D312" s="216" t="n">
        <v>24000</v>
      </c>
      <c r="E312" s="293" t="n">
        <v>0.2857</v>
      </c>
      <c r="F312" s="294" t="n">
        <v>1</v>
      </c>
      <c r="G312" s="294" t="n"/>
      <c r="H312" s="294" t="n"/>
      <c r="I312" s="294" t="n">
        <v>1</v>
      </c>
      <c r="J312" s="294" t="n"/>
      <c r="K312" s="294" t="n"/>
      <c r="L312" s="215" t="inlineStr">
        <is>
          <t>04/04/2026</t>
        </is>
      </c>
    </row>
    <row r="313" ht="15.75" customHeight="1" s="153">
      <c r="A313" s="221" t="n">
        <v>308</v>
      </c>
      <c r="B313" s="215" t="inlineStr">
        <is>
          <t>LA SALLE Y PUBLICO</t>
        </is>
      </c>
      <c r="C313" s="216" t="n">
        <v>84000</v>
      </c>
      <c r="D313" s="216" t="n">
        <v>24000</v>
      </c>
      <c r="E313" s="293" t="n">
        <v>0.2857</v>
      </c>
      <c r="F313" s="294" t="n">
        <v>1</v>
      </c>
      <c r="G313" s="294" t="n"/>
      <c r="H313" s="294" t="n"/>
      <c r="I313" s="294" t="n">
        <v>1</v>
      </c>
      <c r="J313" s="294" t="n"/>
      <c r="K313" s="294" t="n"/>
      <c r="L313" s="215" t="inlineStr">
        <is>
          <t>04/04/2026</t>
        </is>
      </c>
    </row>
    <row r="314" ht="15.75" customHeight="1" s="153">
      <c r="A314" s="214" t="n">
        <v>309</v>
      </c>
      <c r="B314" s="215" t="inlineStr">
        <is>
          <t>PUBLICO 8193</t>
        </is>
      </c>
      <c r="C314" s="216" t="n">
        <v>84000</v>
      </c>
      <c r="D314" s="216" t="n">
        <v>24000</v>
      </c>
      <c r="E314" s="293" t="n">
        <v>0.2857</v>
      </c>
      <c r="F314" s="294" t="n">
        <v>1</v>
      </c>
      <c r="G314" s="294" t="n"/>
      <c r="H314" s="294" t="n"/>
      <c r="I314" s="294" t="n">
        <v>1</v>
      </c>
      <c r="J314" s="294" t="n"/>
      <c r="K314" s="294" t="n"/>
      <c r="L314" s="215" t="inlineStr">
        <is>
          <t>07/04/2026</t>
        </is>
      </c>
    </row>
    <row r="315" ht="15.75" customHeight="1" s="153">
      <c r="A315" s="221" t="n">
        <v>310</v>
      </c>
      <c r="B315" s="215" t="inlineStr">
        <is>
          <t>9 DE JULIO 9244</t>
        </is>
      </c>
      <c r="C315" s="216" t="n">
        <v>84000</v>
      </c>
      <c r="D315" s="216" t="n">
        <v>24000</v>
      </c>
      <c r="E315" s="293" t="n">
        <v>0.2857</v>
      </c>
      <c r="F315" s="294" t="n">
        <v>1</v>
      </c>
      <c r="G315" s="294" t="n"/>
      <c r="H315" s="294" t="n"/>
      <c r="I315" s="294" t="n">
        <v>1</v>
      </c>
      <c r="J315" s="294" t="n"/>
      <c r="K315" s="294" t="n"/>
      <c r="L315" s="215" t="inlineStr">
        <is>
          <t>12/04/2026</t>
        </is>
      </c>
    </row>
    <row r="316" ht="15.75" customHeight="1" s="153">
      <c r="A316" s="214" t="n">
        <v>311</v>
      </c>
      <c r="B316" s="215" t="inlineStr">
        <is>
          <t>FRANCIA 9250</t>
        </is>
      </c>
      <c r="C316" s="216" t="n">
        <v>84000</v>
      </c>
      <c r="D316" s="216" t="n">
        <v>24000</v>
      </c>
      <c r="E316" s="293" t="n">
        <v>0.2857</v>
      </c>
      <c r="F316" s="294" t="n">
        <v>1</v>
      </c>
      <c r="G316" s="294" t="n"/>
      <c r="H316" s="294" t="n"/>
      <c r="I316" s="294" t="n">
        <v>1</v>
      </c>
      <c r="J316" s="294" t="n"/>
      <c r="K316" s="294" t="n"/>
      <c r="L316" s="215" t="inlineStr">
        <is>
          <t>13/04/2026</t>
        </is>
      </c>
    </row>
    <row r="317" ht="15.75" customHeight="1" s="153">
      <c r="A317" s="221" t="n">
        <v>312</v>
      </c>
      <c r="B317" s="215" t="inlineStr">
        <is>
          <t>7 JEFES 4525</t>
        </is>
      </c>
      <c r="C317" s="216" t="n">
        <v>84000</v>
      </c>
      <c r="D317" s="216" t="n">
        <v>24000</v>
      </c>
      <c r="E317" s="293" t="n">
        <v>0.2857</v>
      </c>
      <c r="F317" s="294" t="n">
        <v>1</v>
      </c>
      <c r="G317" s="294" t="n"/>
      <c r="H317" s="294" t="n"/>
      <c r="I317" s="294" t="n">
        <v>1</v>
      </c>
      <c r="J317" s="294" t="n"/>
      <c r="K317" s="294" t="n"/>
      <c r="L317" s="215" t="inlineStr">
        <is>
          <t>17/04/2026</t>
        </is>
      </c>
    </row>
    <row r="318" ht="15.75" customHeight="1" s="153">
      <c r="A318" s="214" t="n">
        <v>313</v>
      </c>
      <c r="B318" s="215" t="inlineStr">
        <is>
          <t>PEDRO ESPINOSA 3169</t>
        </is>
      </c>
      <c r="C318" s="216" t="n">
        <v>84000</v>
      </c>
      <c r="D318" s="216" t="n">
        <v>24000</v>
      </c>
      <c r="E318" s="293" t="n">
        <v>0.2857</v>
      </c>
      <c r="F318" s="294" t="n">
        <v>1</v>
      </c>
      <c r="G318" s="294" t="n"/>
      <c r="H318" s="294" t="n"/>
      <c r="I318" s="294" t="n">
        <v>1</v>
      </c>
      <c r="J318" s="294" t="n"/>
      <c r="K318" s="294" t="n"/>
      <c r="L318" s="215" t="inlineStr">
        <is>
          <t>17/04/2026</t>
        </is>
      </c>
    </row>
    <row r="319" ht="15.75" customHeight="1" s="153">
      <c r="A319" s="221" t="n">
        <v>314</v>
      </c>
      <c r="B319" s="215" t="inlineStr">
        <is>
          <t>LA SALLE 4625</t>
        </is>
      </c>
      <c r="C319" s="216" t="n">
        <v>83000</v>
      </c>
      <c r="D319" s="216" t="n">
        <v>34000</v>
      </c>
      <c r="E319" s="293" t="n">
        <v>0.4096</v>
      </c>
      <c r="F319" s="294" t="n">
        <v>1</v>
      </c>
      <c r="G319" s="294" t="n"/>
      <c r="H319" s="294" t="n"/>
      <c r="I319" s="294" t="n">
        <v>1</v>
      </c>
      <c r="J319" s="294" t="n"/>
      <c r="K319" s="294" t="n"/>
      <c r="L319" s="215" t="inlineStr">
        <is>
          <t>16/03/2026</t>
        </is>
      </c>
    </row>
    <row r="320" ht="15.75" customHeight="1" s="153">
      <c r="A320" s="214" t="n">
        <v>315</v>
      </c>
      <c r="B320" s="215" t="inlineStr">
        <is>
          <t>INGENIERO 8364</t>
        </is>
      </c>
      <c r="C320" s="216" t="n">
        <v>83000</v>
      </c>
      <c r="D320" s="216" t="n">
        <v>34000</v>
      </c>
      <c r="E320" s="293" t="n">
        <v>0.4096</v>
      </c>
      <c r="F320" s="294" t="n">
        <v>1</v>
      </c>
      <c r="G320" s="294" t="n"/>
      <c r="H320" s="294" t="n"/>
      <c r="I320" s="294" t="n">
        <v>1</v>
      </c>
      <c r="J320" s="294" t="n"/>
      <c r="K320" s="294" t="n"/>
      <c r="L320" s="215" t="inlineStr">
        <is>
          <t>17/03/2026</t>
        </is>
      </c>
    </row>
    <row r="321" ht="15.75" customHeight="1" s="153">
      <c r="A321" s="221" t="n">
        <v>316</v>
      </c>
      <c r="B321" s="215" t="inlineStr">
        <is>
          <t>JOSE MONTEVERA</t>
        </is>
      </c>
      <c r="C321" s="216" t="n">
        <v>83000</v>
      </c>
      <c r="D321" s="216" t="n">
        <v>34000</v>
      </c>
      <c r="E321" s="293" t="n">
        <v>0.4096</v>
      </c>
      <c r="F321" s="294" t="n">
        <v>1</v>
      </c>
      <c r="G321" s="294" t="n"/>
      <c r="H321" s="294" t="n"/>
      <c r="I321" s="294" t="n">
        <v>1</v>
      </c>
      <c r="J321" s="294" t="n"/>
      <c r="K321" s="294" t="n"/>
      <c r="L321" s="215" t="inlineStr">
        <is>
          <t>18/03/2026</t>
        </is>
      </c>
    </row>
    <row r="322" ht="15.75" customHeight="1" s="153">
      <c r="A322" s="214" t="n">
        <v>317</v>
      </c>
      <c r="B322" s="215" t="inlineStr">
        <is>
          <t>TATU</t>
        </is>
      </c>
      <c r="C322" s="216" t="n">
        <v>83000</v>
      </c>
      <c r="D322" s="216" t="n">
        <v>34000</v>
      </c>
      <c r="E322" s="293" t="n">
        <v>0.4096</v>
      </c>
      <c r="F322" s="294" t="n">
        <v>1</v>
      </c>
      <c r="G322" s="294" t="n"/>
      <c r="H322" s="294" t="n"/>
      <c r="I322" s="294" t="n">
        <v>1</v>
      </c>
      <c r="J322" s="294" t="n"/>
      <c r="K322" s="294" t="n"/>
      <c r="L322" s="215" t="inlineStr">
        <is>
          <t>21/03/2026</t>
        </is>
      </c>
    </row>
    <row r="323" ht="15.75" customHeight="1" s="153">
      <c r="A323" s="221" t="n">
        <v>318</v>
      </c>
      <c r="B323" s="215" t="inlineStr">
        <is>
          <t>ALVEAR 5135</t>
        </is>
      </c>
      <c r="C323" s="216" t="n">
        <v>83000</v>
      </c>
      <c r="D323" s="216" t="n">
        <v>34000</v>
      </c>
      <c r="E323" s="293" t="n">
        <v>0.4096</v>
      </c>
      <c r="F323" s="294" t="n">
        <v>1</v>
      </c>
      <c r="G323" s="294" t="n"/>
      <c r="H323" s="294" t="n"/>
      <c r="I323" s="294" t="n">
        <v>1</v>
      </c>
      <c r="J323" s="294" t="n"/>
      <c r="K323" s="294" t="n"/>
      <c r="L323" s="215" t="inlineStr">
        <is>
          <t>23/03/2026</t>
        </is>
      </c>
    </row>
    <row r="324" ht="15.75" customHeight="1" s="153">
      <c r="A324" s="214" t="n">
        <v>319</v>
      </c>
      <c r="B324" s="215" t="inlineStr">
        <is>
          <t>RICARDO ALDAO 369</t>
        </is>
      </c>
      <c r="C324" s="216" t="n">
        <v>83000</v>
      </c>
      <c r="D324" s="216" t="n">
        <v>34000</v>
      </c>
      <c r="E324" s="293" t="n">
        <v>0.4096</v>
      </c>
      <c r="F324" s="294" t="n">
        <v>1</v>
      </c>
      <c r="G324" s="294" t="n"/>
      <c r="H324" s="294" t="n"/>
      <c r="I324" s="294" t="n">
        <v>1</v>
      </c>
      <c r="J324" s="294" t="n"/>
      <c r="K324" s="294" t="n"/>
      <c r="L324" s="215" t="inlineStr">
        <is>
          <t>24/03/2026</t>
        </is>
      </c>
    </row>
    <row r="325" ht="15.75" customHeight="1" s="153">
      <c r="A325" s="221" t="n">
        <v>320</v>
      </c>
      <c r="B325" s="215" t="inlineStr">
        <is>
          <t>CHACO 2843</t>
        </is>
      </c>
      <c r="C325" s="216" t="n">
        <v>83000</v>
      </c>
      <c r="D325" s="216" t="n">
        <v>36000</v>
      </c>
      <c r="E325" s="293" t="n">
        <v>0.4337</v>
      </c>
      <c r="F325" s="294" t="n">
        <v>1</v>
      </c>
      <c r="G325" s="294" t="n"/>
      <c r="H325" s="294" t="n"/>
      <c r="I325" s="294" t="n">
        <v>1</v>
      </c>
      <c r="J325" s="294" t="n"/>
      <c r="K325" s="294" t="n"/>
      <c r="L325" s="215" t="inlineStr">
        <is>
          <t>05/02/2026</t>
        </is>
      </c>
    </row>
    <row r="326" ht="15.75" customHeight="1" s="153">
      <c r="A326" s="214" t="n">
        <v>321</v>
      </c>
      <c r="B326" s="215" t="inlineStr">
        <is>
          <t>CALLE 12 3856</t>
        </is>
      </c>
      <c r="C326" s="216" t="n">
        <v>83000</v>
      </c>
      <c r="D326" s="216" t="n">
        <v>23000</v>
      </c>
      <c r="E326" s="293" t="n">
        <v>0.2771</v>
      </c>
      <c r="F326" s="294" t="n">
        <v>1</v>
      </c>
      <c r="G326" s="294" t="n"/>
      <c r="H326" s="294" t="n"/>
      <c r="I326" s="294" t="n">
        <v>1</v>
      </c>
      <c r="J326" s="294" t="n"/>
      <c r="K326" s="294" t="n"/>
      <c r="L326" s="215" t="inlineStr">
        <is>
          <t>08/04/2026</t>
        </is>
      </c>
    </row>
    <row r="327" ht="15.75" customHeight="1" s="153">
      <c r="A327" s="221" t="n">
        <v>322</v>
      </c>
      <c r="B327" s="215" t="inlineStr">
        <is>
          <t xml:space="preserve">PANA BONEO </t>
        </is>
      </c>
      <c r="C327" s="216" t="n">
        <v>82500</v>
      </c>
      <c r="D327" s="216" t="n">
        <v>25000</v>
      </c>
      <c r="E327" s="293" t="n">
        <v>0.303</v>
      </c>
      <c r="F327" s="294" t="n">
        <v>1</v>
      </c>
      <c r="G327" s="294" t="n">
        <v>1</v>
      </c>
      <c r="H327" s="294" t="n"/>
      <c r="I327" s="294" t="n">
        <v>1</v>
      </c>
      <c r="J327" s="294" t="n"/>
      <c r="K327" s="294" t="n"/>
      <c r="L327" s="215" t="inlineStr">
        <is>
          <t>16/02/2026</t>
        </is>
      </c>
    </row>
    <row r="328" ht="15.75" customHeight="1" s="153">
      <c r="A328" s="214" t="n">
        <v>323</v>
      </c>
      <c r="B328" s="215" t="inlineStr">
        <is>
          <t>P GENESIO 2128</t>
        </is>
      </c>
      <c r="C328" s="216" t="n">
        <v>82000</v>
      </c>
      <c r="D328" s="216" t="n">
        <v>33000</v>
      </c>
      <c r="E328" s="293" t="n">
        <v>0.4024</v>
      </c>
      <c r="F328" s="294" t="n">
        <v>1</v>
      </c>
      <c r="G328" s="294" t="n"/>
      <c r="H328" s="294" t="n"/>
      <c r="I328" s="294" t="n">
        <v>1</v>
      </c>
      <c r="J328" s="294" t="n"/>
      <c r="K328" s="294" t="n"/>
      <c r="L328" s="215" t="inlineStr">
        <is>
          <t>15/03/2026</t>
        </is>
      </c>
    </row>
    <row r="329" ht="15.75" customHeight="1" s="153">
      <c r="A329" s="221" t="n">
        <v>324</v>
      </c>
      <c r="B329" s="215" t="inlineStr">
        <is>
          <t>NEUQUEN 2531</t>
        </is>
      </c>
      <c r="C329" s="216" t="n">
        <v>82000</v>
      </c>
      <c r="D329" s="216" t="n">
        <v>22000</v>
      </c>
      <c r="E329" s="293" t="n">
        <v>0.2683</v>
      </c>
      <c r="F329" s="294" t="n">
        <v>1</v>
      </c>
      <c r="G329" s="294" t="n"/>
      <c r="H329" s="294" t="n"/>
      <c r="I329" s="294" t="n">
        <v>1</v>
      </c>
      <c r="J329" s="294" t="n"/>
      <c r="K329" s="294" t="n"/>
      <c r="L329" s="215" t="inlineStr">
        <is>
          <t>28/03/2026</t>
        </is>
      </c>
    </row>
    <row r="330" ht="15.75" customHeight="1" s="153">
      <c r="A330" s="214" t="n">
        <v>325</v>
      </c>
      <c r="B330" s="215" t="inlineStr">
        <is>
          <t>SAN MARTIN 8515</t>
        </is>
      </c>
      <c r="C330" s="216" t="n">
        <v>82000</v>
      </c>
      <c r="D330" s="216" t="n">
        <v>22000</v>
      </c>
      <c r="E330" s="293" t="n">
        <v>0.2683</v>
      </c>
      <c r="F330" s="294" t="n">
        <v>1</v>
      </c>
      <c r="G330" s="294" t="n"/>
      <c r="H330" s="294" t="n"/>
      <c r="I330" s="294" t="n">
        <v>1</v>
      </c>
      <c r="J330" s="294" t="n"/>
      <c r="K330" s="294" t="n"/>
      <c r="L330" s="215" t="inlineStr">
        <is>
          <t>28/03/2026</t>
        </is>
      </c>
    </row>
    <row r="331" ht="15.75" customHeight="1" s="153">
      <c r="A331" s="221" t="n">
        <v>326</v>
      </c>
      <c r="B331" s="215" t="inlineStr">
        <is>
          <t>DRUGSTORE LO DE NICO</t>
        </is>
      </c>
      <c r="C331" s="216" t="n">
        <v>82000</v>
      </c>
      <c r="D331" s="216" t="n">
        <v>18800</v>
      </c>
      <c r="E331" s="293" t="n">
        <v>0.2293</v>
      </c>
      <c r="F331" s="294" t="n">
        <v>1</v>
      </c>
      <c r="G331" s="294" t="n">
        <v>4</v>
      </c>
      <c r="H331" s="294" t="n"/>
      <c r="I331" s="294" t="n"/>
      <c r="J331" s="294" t="n"/>
      <c r="K331" s="294" t="n"/>
      <c r="L331" s="215" t="inlineStr">
        <is>
          <t>12/05/2026</t>
        </is>
      </c>
    </row>
    <row r="332" ht="15.75" customHeight="1" s="153">
      <c r="A332" s="214" t="n">
        <v>327</v>
      </c>
      <c r="B332" s="215" t="inlineStr">
        <is>
          <t>PICHI</t>
        </is>
      </c>
      <c r="C332" s="216" t="n">
        <v>81000</v>
      </c>
      <c r="D332" s="216" t="n">
        <v>29200</v>
      </c>
      <c r="E332" s="293" t="n">
        <v>0.3605</v>
      </c>
      <c r="F332" s="294" t="n">
        <v>4</v>
      </c>
      <c r="G332" s="294" t="n">
        <v>4</v>
      </c>
      <c r="H332" s="294" t="n"/>
      <c r="I332" s="294" t="n"/>
      <c r="J332" s="294" t="n"/>
      <c r="K332" s="294" t="n"/>
      <c r="L332" s="215" t="inlineStr">
        <is>
          <t>14/05/2026</t>
        </is>
      </c>
    </row>
    <row r="333" ht="15.75" customHeight="1" s="153">
      <c r="A333" s="221" t="n">
        <v>328</v>
      </c>
      <c r="B333" s="215" t="inlineStr">
        <is>
          <t>GENERAL LOPEZ 2614 LOS PRIMOS</t>
        </is>
      </c>
      <c r="C333" s="216" t="n">
        <v>81000</v>
      </c>
      <c r="D333" s="216" t="n">
        <v>36000</v>
      </c>
      <c r="E333" s="293" t="n">
        <v>0.4444</v>
      </c>
      <c r="F333" s="294" t="n">
        <v>1</v>
      </c>
      <c r="G333" s="294" t="n">
        <v>3</v>
      </c>
      <c r="H333" s="294" t="n"/>
      <c r="I333" s="294" t="n"/>
      <c r="J333" s="294" t="n"/>
      <c r="K333" s="294" t="n"/>
      <c r="L333" s="215" t="inlineStr">
        <is>
          <t>24/04/2026</t>
        </is>
      </c>
    </row>
    <row r="334" ht="15.75" customHeight="1" s="153">
      <c r="A334" s="214" t="n">
        <v>329</v>
      </c>
      <c r="B334" s="215" t="inlineStr">
        <is>
          <t>LA CUEVA</t>
        </is>
      </c>
      <c r="C334" s="216" t="n">
        <v>81000</v>
      </c>
      <c r="D334" s="216" t="n">
        <v>25700</v>
      </c>
      <c r="E334" s="293" t="n">
        <v>0.3173</v>
      </c>
      <c r="F334" s="294" t="n">
        <v>3</v>
      </c>
      <c r="G334" s="294" t="n">
        <v>2</v>
      </c>
      <c r="H334" s="294" t="n">
        <v>1</v>
      </c>
      <c r="I334" s="294" t="n"/>
      <c r="J334" s="294" t="n"/>
      <c r="K334" s="294" t="n"/>
      <c r="L334" s="215" t="inlineStr">
        <is>
          <t>29/05/2026</t>
        </is>
      </c>
    </row>
    <row r="335" ht="15.75" customHeight="1" s="153">
      <c r="A335" s="221" t="n">
        <v>330</v>
      </c>
      <c r="B335" s="215" t="inlineStr">
        <is>
          <t>ALBERTI 5298</t>
        </is>
      </c>
      <c r="C335" s="216" t="n">
        <v>80000</v>
      </c>
      <c r="D335" s="216" t="n">
        <v>27400</v>
      </c>
      <c r="E335" s="293" t="n">
        <v>0.3425</v>
      </c>
      <c r="F335" s="294" t="n">
        <v>2</v>
      </c>
      <c r="G335" s="294" t="n">
        <v>4</v>
      </c>
      <c r="H335" s="294" t="n"/>
      <c r="I335" s="294" t="n"/>
      <c r="J335" s="294" t="n"/>
      <c r="K335" s="294" t="n"/>
      <c r="L335" s="215" t="inlineStr">
        <is>
          <t>24/05/2026</t>
        </is>
      </c>
    </row>
    <row r="336" ht="15.75" customHeight="1" s="153">
      <c r="A336" s="214" t="n">
        <v>331</v>
      </c>
      <c r="B336" s="215" t="inlineStr">
        <is>
          <t>BLAS PARERA 9777</t>
        </is>
      </c>
      <c r="C336" s="216" t="n">
        <v>80000</v>
      </c>
      <c r="D336" s="216" t="n">
        <v>31000</v>
      </c>
      <c r="E336" s="293" t="n">
        <v>0.3875</v>
      </c>
      <c r="F336" s="294" t="n">
        <v>1</v>
      </c>
      <c r="G336" s="294" t="n"/>
      <c r="H336" s="294" t="n"/>
      <c r="I336" s="294" t="n">
        <v>1</v>
      </c>
      <c r="J336" s="294" t="n"/>
      <c r="K336" s="294" t="n"/>
      <c r="L336" s="215" t="inlineStr">
        <is>
          <t>14/03/2026</t>
        </is>
      </c>
    </row>
    <row r="337" ht="15.75" customHeight="1" s="153">
      <c r="A337" s="221" t="n">
        <v>332</v>
      </c>
      <c r="B337" s="215" t="inlineStr">
        <is>
          <t>FRANCIA 1872</t>
        </is>
      </c>
      <c r="C337" s="216" t="n">
        <v>80000</v>
      </c>
      <c r="D337" s="216" t="n">
        <v>31000</v>
      </c>
      <c r="E337" s="293" t="n">
        <v>0.3875</v>
      </c>
      <c r="F337" s="294" t="n">
        <v>1</v>
      </c>
      <c r="G337" s="294" t="n"/>
      <c r="H337" s="294" t="n"/>
      <c r="I337" s="294" t="n">
        <v>1</v>
      </c>
      <c r="J337" s="294" t="n"/>
      <c r="K337" s="294" t="n"/>
      <c r="L337" s="215" t="inlineStr">
        <is>
          <t>15/03/2026</t>
        </is>
      </c>
    </row>
    <row r="338" ht="15.75" customHeight="1" s="153">
      <c r="A338" s="214" t="n">
        <v>333</v>
      </c>
      <c r="B338" s="215" t="inlineStr">
        <is>
          <t>BONEO 2625</t>
        </is>
      </c>
      <c r="C338" s="216" t="n">
        <v>80000</v>
      </c>
      <c r="D338" s="216" t="n">
        <v>31000</v>
      </c>
      <c r="E338" s="293" t="n">
        <v>0.3875</v>
      </c>
      <c r="F338" s="294" t="n">
        <v>1</v>
      </c>
      <c r="G338" s="294" t="n"/>
      <c r="H338" s="294" t="n"/>
      <c r="I338" s="294" t="n">
        <v>1</v>
      </c>
      <c r="J338" s="294" t="n"/>
      <c r="K338" s="294" t="n"/>
      <c r="L338" s="215" t="inlineStr">
        <is>
          <t>16/03/2026</t>
        </is>
      </c>
    </row>
    <row r="339" ht="15.75" customHeight="1" s="153">
      <c r="A339" s="221" t="n">
        <v>334</v>
      </c>
      <c r="B339" s="215" t="inlineStr">
        <is>
          <t>BERUTI 5199</t>
        </is>
      </c>
      <c r="C339" s="216" t="n">
        <v>80000</v>
      </c>
      <c r="D339" s="216" t="n">
        <v>31000</v>
      </c>
      <c r="E339" s="293" t="n">
        <v>0.3875</v>
      </c>
      <c r="F339" s="294" t="n">
        <v>1</v>
      </c>
      <c r="G339" s="294" t="n"/>
      <c r="H339" s="294" t="n"/>
      <c r="I339" s="294" t="n">
        <v>1</v>
      </c>
      <c r="J339" s="294" t="n"/>
      <c r="K339" s="294" t="n"/>
      <c r="L339" s="215" t="inlineStr">
        <is>
          <t>18/03/2026</t>
        </is>
      </c>
    </row>
    <row r="340" ht="15.75" customHeight="1" s="153">
      <c r="A340" s="214" t="n">
        <v>335</v>
      </c>
      <c r="B340" s="215" t="inlineStr">
        <is>
          <t>LOPEZ Y PLANES 4630</t>
        </is>
      </c>
      <c r="C340" s="216" t="n">
        <v>80000</v>
      </c>
      <c r="D340" s="216" t="n">
        <v>31000</v>
      </c>
      <c r="E340" s="293" t="n">
        <v>0.3875</v>
      </c>
      <c r="F340" s="294" t="n">
        <v>1</v>
      </c>
      <c r="G340" s="294" t="n"/>
      <c r="H340" s="294" t="n"/>
      <c r="I340" s="294" t="n">
        <v>1</v>
      </c>
      <c r="J340" s="294" t="n"/>
      <c r="K340" s="294" t="n"/>
      <c r="L340" s="215" t="inlineStr">
        <is>
          <t>19/03/2026</t>
        </is>
      </c>
    </row>
    <row r="341" ht="15.75" customHeight="1" s="153">
      <c r="A341" s="221" t="n">
        <v>336</v>
      </c>
      <c r="B341" s="215" t="inlineStr">
        <is>
          <t>NOGALES 2651</t>
        </is>
      </c>
      <c r="C341" s="216" t="n">
        <v>80000</v>
      </c>
      <c r="D341" s="216" t="n">
        <v>31000</v>
      </c>
      <c r="E341" s="293" t="n">
        <v>0.3875</v>
      </c>
      <c r="F341" s="294" t="n">
        <v>1</v>
      </c>
      <c r="G341" s="294" t="n"/>
      <c r="H341" s="294" t="n"/>
      <c r="I341" s="294" t="n">
        <v>1</v>
      </c>
      <c r="J341" s="294" t="n"/>
      <c r="K341" s="294" t="n"/>
      <c r="L341" s="215" t="inlineStr">
        <is>
          <t>20/03/2026</t>
        </is>
      </c>
    </row>
    <row r="342" ht="15.75" customHeight="1" s="153">
      <c r="A342" s="214" t="n">
        <v>337</v>
      </c>
      <c r="B342" s="215" t="inlineStr">
        <is>
          <t>LARGUIA 7824</t>
        </is>
      </c>
      <c r="C342" s="216" t="n">
        <v>80000</v>
      </c>
      <c r="D342" s="216" t="n">
        <v>31000</v>
      </c>
      <c r="E342" s="293" t="n">
        <v>0.3875</v>
      </c>
      <c r="F342" s="294" t="n">
        <v>1</v>
      </c>
      <c r="G342" s="294" t="n"/>
      <c r="H342" s="294" t="n"/>
      <c r="I342" s="294" t="n">
        <v>1</v>
      </c>
      <c r="J342" s="294" t="n"/>
      <c r="K342" s="294" t="n"/>
      <c r="L342" s="215" t="inlineStr">
        <is>
          <t>23/03/2026</t>
        </is>
      </c>
    </row>
    <row r="343" ht="15.75" customHeight="1" s="153">
      <c r="A343" s="221" t="n">
        <v>338</v>
      </c>
      <c r="B343" s="215" t="inlineStr">
        <is>
          <t>ECUADOR 4117</t>
        </is>
      </c>
      <c r="C343" s="216" t="n">
        <v>80000</v>
      </c>
      <c r="D343" s="216" t="n">
        <v>31000</v>
      </c>
      <c r="E343" s="293" t="n">
        <v>0.3875</v>
      </c>
      <c r="F343" s="294" t="n">
        <v>1</v>
      </c>
      <c r="G343" s="294" t="n"/>
      <c r="H343" s="294" t="n"/>
      <c r="I343" s="294" t="n">
        <v>1</v>
      </c>
      <c r="J343" s="294" t="n"/>
      <c r="K343" s="294" t="n"/>
      <c r="L343" s="215" t="inlineStr">
        <is>
          <t>23/03/2026</t>
        </is>
      </c>
    </row>
    <row r="344" ht="15.75" customHeight="1" s="153">
      <c r="A344" s="214" t="n">
        <v>339</v>
      </c>
      <c r="B344" s="215" t="inlineStr">
        <is>
          <t>PJE PUBLICO 2035</t>
        </is>
      </c>
      <c r="C344" s="216" t="n">
        <v>80000</v>
      </c>
      <c r="D344" s="216" t="n">
        <v>31000</v>
      </c>
      <c r="E344" s="293" t="n">
        <v>0.3875</v>
      </c>
      <c r="F344" s="294" t="n">
        <v>1</v>
      </c>
      <c r="G344" s="294" t="n"/>
      <c r="H344" s="294" t="n"/>
      <c r="I344" s="294" t="n">
        <v>1</v>
      </c>
      <c r="J344" s="294" t="n"/>
      <c r="K344" s="294" t="n"/>
      <c r="L344" s="215" t="inlineStr">
        <is>
          <t>24/03/2026</t>
        </is>
      </c>
    </row>
    <row r="345" ht="15.75" customHeight="1" s="153">
      <c r="A345" s="221" t="n">
        <v>340</v>
      </c>
      <c r="B345" s="215" t="inlineStr">
        <is>
          <t>ULRICO SCHMIT</t>
        </is>
      </c>
      <c r="C345" s="216" t="n">
        <v>80000</v>
      </c>
      <c r="D345" s="216" t="n">
        <v>31000</v>
      </c>
      <c r="E345" s="293" t="n">
        <v>0.3875</v>
      </c>
      <c r="F345" s="294" t="n">
        <v>1</v>
      </c>
      <c r="G345" s="294" t="n"/>
      <c r="H345" s="294" t="n"/>
      <c r="I345" s="294" t="n">
        <v>1</v>
      </c>
      <c r="J345" s="294" t="n"/>
      <c r="K345" s="294" t="n"/>
      <c r="L345" s="215" t="inlineStr">
        <is>
          <t>24/03/2026</t>
        </is>
      </c>
    </row>
    <row r="346" ht="15.75" customHeight="1" s="153">
      <c r="A346" s="214" t="n">
        <v>341</v>
      </c>
      <c r="B346" s="215" t="inlineStr">
        <is>
          <t>VIEYTES 5168</t>
        </is>
      </c>
      <c r="C346" s="216" t="n">
        <v>80000</v>
      </c>
      <c r="D346" s="216" t="n">
        <v>20000</v>
      </c>
      <c r="E346" s="293" t="n">
        <v>0.25</v>
      </c>
      <c r="F346" s="294" t="n">
        <v>1</v>
      </c>
      <c r="G346" s="294" t="n"/>
      <c r="H346" s="294" t="n"/>
      <c r="I346" s="294" t="n">
        <v>1</v>
      </c>
      <c r="J346" s="294" t="n"/>
      <c r="K346" s="294" t="n"/>
      <c r="L346" s="215" t="inlineStr">
        <is>
          <t>25/03/2026</t>
        </is>
      </c>
    </row>
    <row r="347" ht="15.75" customHeight="1" s="153">
      <c r="A347" s="221" t="n">
        <v>342</v>
      </c>
      <c r="B347" s="215" t="inlineStr">
        <is>
          <t>ESTANISLAO ZEBALLOS 5278</t>
        </is>
      </c>
      <c r="C347" s="216" t="n">
        <v>80000</v>
      </c>
      <c r="D347" s="216" t="n">
        <v>20000</v>
      </c>
      <c r="E347" s="293" t="n">
        <v>0.25</v>
      </c>
      <c r="F347" s="294" t="n">
        <v>1</v>
      </c>
      <c r="G347" s="294" t="n"/>
      <c r="H347" s="294" t="n"/>
      <c r="I347" s="294" t="n">
        <v>1</v>
      </c>
      <c r="J347" s="294" t="n"/>
      <c r="K347" s="294" t="n"/>
      <c r="L347" s="215" t="inlineStr">
        <is>
          <t>26/03/2026</t>
        </is>
      </c>
    </row>
    <row r="348" ht="15.75" customHeight="1" s="153">
      <c r="A348" s="214" t="n">
        <v>343</v>
      </c>
      <c r="B348" s="215" t="inlineStr">
        <is>
          <t>12 INFANTERIA 3982</t>
        </is>
      </c>
      <c r="C348" s="216" t="n">
        <v>80000</v>
      </c>
      <c r="D348" s="216" t="n">
        <v>20000</v>
      </c>
      <c r="E348" s="293" t="n">
        <v>0.25</v>
      </c>
      <c r="F348" s="294" t="n">
        <v>1</v>
      </c>
      <c r="G348" s="294" t="n"/>
      <c r="H348" s="294" t="n"/>
      <c r="I348" s="294" t="n">
        <v>1</v>
      </c>
      <c r="J348" s="294" t="n"/>
      <c r="K348" s="294" t="n"/>
      <c r="L348" s="215" t="inlineStr">
        <is>
          <t>27/03/2026</t>
        </is>
      </c>
    </row>
    <row r="349" ht="15.75" customHeight="1" s="153">
      <c r="A349" s="221" t="n">
        <v>344</v>
      </c>
      <c r="B349" s="215" t="inlineStr">
        <is>
          <t>SIRLAKI</t>
        </is>
      </c>
      <c r="C349" s="216" t="n">
        <v>80000</v>
      </c>
      <c r="D349" s="216" t="n">
        <v>20000</v>
      </c>
      <c r="E349" s="293" t="n">
        <v>0.25</v>
      </c>
      <c r="F349" s="294" t="n">
        <v>1</v>
      </c>
      <c r="G349" s="294" t="n"/>
      <c r="H349" s="294" t="n"/>
      <c r="I349" s="294" t="n">
        <v>1</v>
      </c>
      <c r="J349" s="294" t="n"/>
      <c r="K349" s="294" t="n"/>
      <c r="L349" s="215" t="inlineStr">
        <is>
          <t>02/04/2026</t>
        </is>
      </c>
    </row>
    <row r="350" ht="15.75" customHeight="1" s="153">
      <c r="A350" s="214" t="n">
        <v>345</v>
      </c>
      <c r="B350" s="215" t="inlineStr">
        <is>
          <t>ALBERTI 5315</t>
        </is>
      </c>
      <c r="C350" s="216" t="n">
        <v>80000</v>
      </c>
      <c r="D350" s="216" t="n">
        <v>20000</v>
      </c>
      <c r="E350" s="293" t="n">
        <v>0.25</v>
      </c>
      <c r="F350" s="294" t="n">
        <v>1</v>
      </c>
      <c r="G350" s="294" t="n"/>
      <c r="H350" s="294" t="n"/>
      <c r="I350" s="294" t="n">
        <v>1</v>
      </c>
      <c r="J350" s="294" t="n"/>
      <c r="K350" s="294" t="n"/>
      <c r="L350" s="215" t="inlineStr">
        <is>
          <t>04/04/2026</t>
        </is>
      </c>
    </row>
    <row r="351" ht="15.75" customHeight="1" s="153">
      <c r="A351" s="221" t="n">
        <v>346</v>
      </c>
      <c r="B351" s="215" t="inlineStr">
        <is>
          <t>NECOCHEA 3933</t>
        </is>
      </c>
      <c r="C351" s="216" t="n">
        <v>80000</v>
      </c>
      <c r="D351" s="216" t="n">
        <v>20000</v>
      </c>
      <c r="E351" s="293" t="n">
        <v>0.25</v>
      </c>
      <c r="F351" s="294" t="n">
        <v>1</v>
      </c>
      <c r="G351" s="294" t="n"/>
      <c r="H351" s="294" t="n"/>
      <c r="I351" s="294" t="n">
        <v>1</v>
      </c>
      <c r="J351" s="294" t="n"/>
      <c r="K351" s="294" t="n"/>
      <c r="L351" s="215" t="inlineStr">
        <is>
          <t>12/04/2026</t>
        </is>
      </c>
    </row>
    <row r="352" ht="15.75" customHeight="1" s="153">
      <c r="A352" s="214" t="n">
        <v>347</v>
      </c>
      <c r="B352" s="215" t="inlineStr">
        <is>
          <t>ALSINA 6601</t>
        </is>
      </c>
      <c r="C352" s="216" t="n">
        <v>80000</v>
      </c>
      <c r="D352" s="216" t="n">
        <v>20000</v>
      </c>
      <c r="E352" s="293" t="n">
        <v>0.25</v>
      </c>
      <c r="F352" s="294" t="n">
        <v>1</v>
      </c>
      <c r="G352" s="294" t="n"/>
      <c r="H352" s="294" t="n"/>
      <c r="I352" s="294" t="n">
        <v>1</v>
      </c>
      <c r="J352" s="294" t="n"/>
      <c r="K352" s="294" t="n"/>
      <c r="L352" s="215" t="inlineStr">
        <is>
          <t>22/04/2026</t>
        </is>
      </c>
    </row>
    <row r="353" ht="15.75" customHeight="1" s="153">
      <c r="A353" s="221" t="n">
        <v>348</v>
      </c>
      <c r="B353" s="215" t="inlineStr">
        <is>
          <t>GABOTO 7484</t>
        </is>
      </c>
      <c r="C353" s="216" t="n">
        <v>79900</v>
      </c>
      <c r="D353" s="216" t="n">
        <v>30900</v>
      </c>
      <c r="E353" s="293" t="n">
        <v>0.3867</v>
      </c>
      <c r="F353" s="294" t="n">
        <v>1</v>
      </c>
      <c r="G353" s="294" t="n"/>
      <c r="H353" s="294" t="n"/>
      <c r="I353" s="294" t="n">
        <v>1</v>
      </c>
      <c r="J353" s="294" t="n"/>
      <c r="K353" s="294" t="n"/>
      <c r="L353" s="215" t="inlineStr">
        <is>
          <t>13/03/2026</t>
        </is>
      </c>
    </row>
    <row r="354" ht="15.75" customHeight="1" s="153">
      <c r="A354" s="214" t="n">
        <v>349</v>
      </c>
      <c r="B354" s="215" t="inlineStr">
        <is>
          <t>L Y PLANES 3884</t>
        </is>
      </c>
      <c r="C354" s="216" t="n">
        <v>79900</v>
      </c>
      <c r="D354" s="216" t="n">
        <v>30900</v>
      </c>
      <c r="E354" s="293" t="n">
        <v>0.3867</v>
      </c>
      <c r="F354" s="294" t="n">
        <v>1</v>
      </c>
      <c r="G354" s="294" t="n"/>
      <c r="H354" s="294" t="n"/>
      <c r="I354" s="294" t="n">
        <v>1</v>
      </c>
      <c r="J354" s="294" t="n"/>
      <c r="K354" s="294" t="n"/>
      <c r="L354" s="215" t="inlineStr">
        <is>
          <t>13/03/2026</t>
        </is>
      </c>
    </row>
    <row r="355" ht="15.75" customHeight="1" s="153">
      <c r="A355" s="221" t="n">
        <v>350</v>
      </c>
      <c r="B355" s="215" t="inlineStr">
        <is>
          <t>PJE LUIS BELTRAN 4362</t>
        </is>
      </c>
      <c r="C355" s="216" t="n">
        <v>79900</v>
      </c>
      <c r="D355" s="216" t="n">
        <v>30900</v>
      </c>
      <c r="E355" s="293" t="n">
        <v>0.3867</v>
      </c>
      <c r="F355" s="294" t="n">
        <v>1</v>
      </c>
      <c r="G355" s="294" t="n"/>
      <c r="H355" s="294" t="n"/>
      <c r="I355" s="294" t="n">
        <v>1</v>
      </c>
      <c r="J355" s="294" t="n"/>
      <c r="K355" s="294" t="n"/>
      <c r="L355" s="215" t="inlineStr">
        <is>
          <t>14/03/2026</t>
        </is>
      </c>
    </row>
    <row r="356" ht="15.75" customHeight="1" s="153">
      <c r="A356" s="214" t="n">
        <v>351</v>
      </c>
      <c r="B356" s="215" t="inlineStr">
        <is>
          <t>SAN JOSE 8494</t>
        </is>
      </c>
      <c r="C356" s="216" t="n">
        <v>79000</v>
      </c>
      <c r="D356" s="216" t="n">
        <v>32000</v>
      </c>
      <c r="E356" s="293" t="n">
        <v>0.4051</v>
      </c>
      <c r="F356" s="294" t="n">
        <v>1</v>
      </c>
      <c r="G356" s="294" t="n"/>
      <c r="H356" s="294" t="n"/>
      <c r="I356" s="294" t="n">
        <v>1</v>
      </c>
      <c r="J356" s="294" t="n"/>
      <c r="K356" s="294" t="n"/>
      <c r="L356" s="215" t="inlineStr">
        <is>
          <t>08/02/2026</t>
        </is>
      </c>
    </row>
    <row r="357" ht="15.75" customHeight="1" s="153">
      <c r="A357" s="221" t="n">
        <v>352</v>
      </c>
      <c r="B357" s="215" t="inlineStr">
        <is>
          <t xml:space="preserve">ORREGO Y MENDIETA </t>
        </is>
      </c>
      <c r="C357" s="216" t="n">
        <v>79000</v>
      </c>
      <c r="D357" s="216" t="n">
        <v>32000</v>
      </c>
      <c r="E357" s="293" t="n">
        <v>0.4051</v>
      </c>
      <c r="F357" s="294" t="n">
        <v>1</v>
      </c>
      <c r="G357" s="294" t="n"/>
      <c r="H357" s="294" t="n"/>
      <c r="I357" s="294" t="n">
        <v>1</v>
      </c>
      <c r="J357" s="294" t="n"/>
      <c r="K357" s="294" t="n"/>
      <c r="L357" s="215" t="inlineStr">
        <is>
          <t>27/02/2026</t>
        </is>
      </c>
    </row>
    <row r="358" ht="15.75" customHeight="1" s="153">
      <c r="A358" s="214" t="n">
        <v>353</v>
      </c>
      <c r="B358" s="215" t="inlineStr">
        <is>
          <t>RIO NEGRO 6570</t>
        </is>
      </c>
      <c r="C358" s="216" t="n">
        <v>79000</v>
      </c>
      <c r="D358" s="216" t="n">
        <v>32000</v>
      </c>
      <c r="E358" s="293" t="n">
        <v>0.4051</v>
      </c>
      <c r="F358" s="294" t="n">
        <v>1</v>
      </c>
      <c r="G358" s="294" t="n"/>
      <c r="H358" s="294" t="n"/>
      <c r="I358" s="294" t="n">
        <v>1</v>
      </c>
      <c r="J358" s="294" t="n"/>
      <c r="K358" s="294" t="n"/>
      <c r="L358" s="215" t="inlineStr">
        <is>
          <t>28/02/2026</t>
        </is>
      </c>
    </row>
    <row r="359" ht="15.75" customHeight="1" s="153">
      <c r="A359" s="221" t="n">
        <v>354</v>
      </c>
      <c r="B359" s="215" t="inlineStr">
        <is>
          <t>FRAY CAYETANO 3823</t>
        </is>
      </c>
      <c r="C359" s="216" t="n">
        <v>79000</v>
      </c>
      <c r="D359" s="216" t="n">
        <v>30000</v>
      </c>
      <c r="E359" s="293" t="n">
        <v>0.3797</v>
      </c>
      <c r="F359" s="294" t="n">
        <v>1</v>
      </c>
      <c r="G359" s="294" t="n"/>
      <c r="H359" s="294" t="n"/>
      <c r="I359" s="294" t="n">
        <v>1</v>
      </c>
      <c r="J359" s="294" t="n"/>
      <c r="K359" s="294" t="n"/>
      <c r="L359" s="215" t="inlineStr">
        <is>
          <t>07/03/2026</t>
        </is>
      </c>
    </row>
    <row r="360" ht="15.75" customHeight="1" s="153">
      <c r="A360" s="214" t="n">
        <v>355</v>
      </c>
      <c r="B360" s="215" t="inlineStr">
        <is>
          <t>ARISTOBULO 8998</t>
        </is>
      </c>
      <c r="C360" s="216" t="n">
        <v>79000</v>
      </c>
      <c r="D360" s="216" t="n">
        <v>30000</v>
      </c>
      <c r="E360" s="293" t="n">
        <v>0.3797</v>
      </c>
      <c r="F360" s="294" t="n">
        <v>1</v>
      </c>
      <c r="G360" s="294" t="n"/>
      <c r="H360" s="294" t="n"/>
      <c r="I360" s="294" t="n">
        <v>1</v>
      </c>
      <c r="J360" s="294" t="n"/>
      <c r="K360" s="294" t="n"/>
      <c r="L360" s="215" t="inlineStr">
        <is>
          <t>21/03/2026</t>
        </is>
      </c>
    </row>
    <row r="361" ht="15.75" customHeight="1" s="153">
      <c r="A361" s="221" t="n">
        <v>356</v>
      </c>
      <c r="B361" s="215" t="inlineStr">
        <is>
          <t>REIANARES 8257</t>
        </is>
      </c>
      <c r="C361" s="216" t="n">
        <v>79000</v>
      </c>
      <c r="D361" s="216" t="n">
        <v>30000</v>
      </c>
      <c r="E361" s="293" t="n">
        <v>0.3797</v>
      </c>
      <c r="F361" s="294" t="n">
        <v>1</v>
      </c>
      <c r="G361" s="294" t="n"/>
      <c r="H361" s="294" t="n"/>
      <c r="I361" s="294" t="n">
        <v>1</v>
      </c>
      <c r="J361" s="294" t="n"/>
      <c r="K361" s="294" t="n"/>
      <c r="L361" s="215" t="inlineStr">
        <is>
          <t>22/03/2026</t>
        </is>
      </c>
    </row>
    <row r="362" ht="15.75" customHeight="1" s="153">
      <c r="A362" s="214" t="n">
        <v>357</v>
      </c>
      <c r="B362" s="215" t="inlineStr">
        <is>
          <t>ANREALES 10512</t>
        </is>
      </c>
      <c r="C362" s="216" t="n">
        <v>79000</v>
      </c>
      <c r="D362" s="216" t="n">
        <v>30000</v>
      </c>
      <c r="E362" s="293" t="n">
        <v>0.3797</v>
      </c>
      <c r="F362" s="294" t="n">
        <v>1</v>
      </c>
      <c r="G362" s="294" t="n"/>
      <c r="H362" s="294" t="n"/>
      <c r="I362" s="294" t="n">
        <v>1</v>
      </c>
      <c r="J362" s="294" t="n"/>
      <c r="K362" s="294" t="n"/>
      <c r="L362" s="215" t="inlineStr">
        <is>
          <t>24/03/2026</t>
        </is>
      </c>
    </row>
    <row r="363" ht="15.75" customHeight="1" s="153">
      <c r="A363" s="221" t="n">
        <v>358</v>
      </c>
      <c r="B363" s="215" t="inlineStr">
        <is>
          <t>ALMONACID 4248</t>
        </is>
      </c>
      <c r="C363" s="216" t="n">
        <v>79000</v>
      </c>
      <c r="D363" s="216" t="n">
        <v>33200</v>
      </c>
      <c r="E363" s="293" t="n">
        <v>0.4203</v>
      </c>
      <c r="F363" s="294" t="n">
        <v>3</v>
      </c>
      <c r="G363" s="294" t="n">
        <v>3</v>
      </c>
      <c r="H363" s="294" t="n"/>
      <c r="I363" s="294" t="n"/>
      <c r="J363" s="294" t="n"/>
      <c r="K363" s="294" t="n"/>
      <c r="L363" s="215" t="inlineStr">
        <is>
          <t>18/05/2026</t>
        </is>
      </c>
    </row>
    <row r="364" ht="15.75" customHeight="1" s="153">
      <c r="A364" s="214" t="n">
        <v>359</v>
      </c>
      <c r="B364" s="215" t="inlineStr">
        <is>
          <t>BENTEVEOS DAMIAN</t>
        </is>
      </c>
      <c r="C364" s="216" t="n">
        <v>78000</v>
      </c>
      <c r="D364" s="216" t="n">
        <v>31000</v>
      </c>
      <c r="E364" s="293" t="n">
        <v>0.3974</v>
      </c>
      <c r="F364" s="294" t="n">
        <v>1</v>
      </c>
      <c r="G364" s="294" t="n"/>
      <c r="H364" s="294" t="n"/>
      <c r="I364" s="294" t="n">
        <v>1</v>
      </c>
      <c r="J364" s="294" t="n"/>
      <c r="K364" s="294" t="n"/>
      <c r="L364" s="215" t="inlineStr">
        <is>
          <t>11/01/2026</t>
        </is>
      </c>
    </row>
    <row r="365" ht="15.75" customHeight="1" s="153">
      <c r="A365" s="221" t="n">
        <v>360</v>
      </c>
      <c r="B365" s="215" t="inlineStr">
        <is>
          <t>BONEO 5363</t>
        </is>
      </c>
      <c r="C365" s="216" t="n">
        <v>78000</v>
      </c>
      <c r="D365" s="216" t="n">
        <v>31000</v>
      </c>
      <c r="E365" s="293" t="n">
        <v>0.3974</v>
      </c>
      <c r="F365" s="294" t="n">
        <v>1</v>
      </c>
      <c r="G365" s="294" t="n"/>
      <c r="H365" s="294" t="n"/>
      <c r="I365" s="294" t="n">
        <v>1</v>
      </c>
      <c r="J365" s="294" t="n"/>
      <c r="K365" s="294" t="n"/>
      <c r="L365" s="215" t="inlineStr">
        <is>
          <t>16/01/2026</t>
        </is>
      </c>
    </row>
    <row r="366" ht="15.75" customHeight="1" s="153">
      <c r="A366" s="214" t="n">
        <v>361</v>
      </c>
      <c r="B366" s="215" t="inlineStr">
        <is>
          <t>IL GATO PEPE</t>
        </is>
      </c>
      <c r="C366" s="216" t="n">
        <v>78000</v>
      </c>
      <c r="D366" s="216" t="n">
        <v>31000</v>
      </c>
      <c r="E366" s="293" t="n">
        <v>0.3974</v>
      </c>
      <c r="F366" s="294" t="n">
        <v>1</v>
      </c>
      <c r="G366" s="294" t="n"/>
      <c r="H366" s="294" t="n"/>
      <c r="I366" s="294" t="n">
        <v>1</v>
      </c>
      <c r="J366" s="294" t="n"/>
      <c r="K366" s="294" t="n"/>
      <c r="L366" s="215" t="inlineStr">
        <is>
          <t>17/02/2026</t>
        </is>
      </c>
    </row>
    <row r="367" ht="15.75" customHeight="1" s="153">
      <c r="A367" s="221" t="n">
        <v>362</v>
      </c>
      <c r="B367" s="215" t="inlineStr">
        <is>
          <t>TERCER PJE 4771</t>
        </is>
      </c>
      <c r="C367" s="216" t="n">
        <v>78000</v>
      </c>
      <c r="D367" s="216" t="n">
        <v>29000</v>
      </c>
      <c r="E367" s="293" t="n">
        <v>0.3718</v>
      </c>
      <c r="F367" s="294" t="n">
        <v>1</v>
      </c>
      <c r="G367" s="294" t="n"/>
      <c r="H367" s="294" t="n"/>
      <c r="I367" s="294" t="n">
        <v>1</v>
      </c>
      <c r="J367" s="294" t="n"/>
      <c r="K367" s="294" t="n"/>
      <c r="L367" s="215" t="inlineStr">
        <is>
          <t>18/03/2026</t>
        </is>
      </c>
    </row>
    <row r="368" ht="15.75" customHeight="1" s="153">
      <c r="A368" s="214" t="n">
        <v>363</v>
      </c>
      <c r="B368" s="215" t="inlineStr">
        <is>
          <t>PAVON 3435</t>
        </is>
      </c>
      <c r="C368" s="216" t="n">
        <v>78000</v>
      </c>
      <c r="D368" s="216" t="n">
        <v>18000</v>
      </c>
      <c r="E368" s="293" t="n">
        <v>0.2308</v>
      </c>
      <c r="F368" s="294" t="n">
        <v>1</v>
      </c>
      <c r="G368" s="294" t="n"/>
      <c r="H368" s="294" t="n"/>
      <c r="I368" s="294" t="n">
        <v>1</v>
      </c>
      <c r="J368" s="294" t="n"/>
      <c r="K368" s="294" t="n"/>
      <c r="L368" s="215" t="inlineStr">
        <is>
          <t>13/04/2026</t>
        </is>
      </c>
    </row>
    <row r="369" ht="15.75" customHeight="1" s="153">
      <c r="A369" s="221" t="n">
        <v>364</v>
      </c>
      <c r="B369" s="215" t="inlineStr">
        <is>
          <t>AZCUENAGA 3972</t>
        </is>
      </c>
      <c r="C369" s="216" t="n">
        <v>78000</v>
      </c>
      <c r="D369" s="216" t="n">
        <v>18000</v>
      </c>
      <c r="E369" s="293" t="n">
        <v>0.2308</v>
      </c>
      <c r="F369" s="294" t="n">
        <v>1</v>
      </c>
      <c r="G369" s="294" t="n"/>
      <c r="H369" s="294" t="n"/>
      <c r="I369" s="294" t="n">
        <v>1</v>
      </c>
      <c r="J369" s="294" t="n"/>
      <c r="K369" s="294" t="n"/>
      <c r="L369" s="215" t="inlineStr">
        <is>
          <t>16/04/2026</t>
        </is>
      </c>
    </row>
    <row r="370" ht="15.75" customHeight="1" s="153">
      <c r="A370" s="214" t="n">
        <v>365</v>
      </c>
      <c r="B370" s="215" t="inlineStr">
        <is>
          <t xml:space="preserve">PANA BERUTI 6726 </t>
        </is>
      </c>
      <c r="C370" s="216" t="n">
        <v>78000</v>
      </c>
      <c r="D370" s="216" t="n">
        <v>18000</v>
      </c>
      <c r="E370" s="293" t="n">
        <v>0.2308</v>
      </c>
      <c r="F370" s="294" t="n">
        <v>1</v>
      </c>
      <c r="G370" s="294" t="n"/>
      <c r="H370" s="294" t="n"/>
      <c r="I370" s="294" t="n">
        <v>1</v>
      </c>
      <c r="J370" s="294" t="n"/>
      <c r="K370" s="294" t="n"/>
      <c r="L370" s="215" t="inlineStr">
        <is>
          <t>22/04/2026</t>
        </is>
      </c>
    </row>
    <row r="371" ht="15.75" customHeight="1" s="153">
      <c r="A371" s="221" t="n">
        <v>366</v>
      </c>
      <c r="B371" s="215" t="inlineStr">
        <is>
          <t>CONDOMINIO MIRLOS RINCON</t>
        </is>
      </c>
      <c r="C371" s="216" t="n">
        <v>78000</v>
      </c>
      <c r="D371" s="216" t="n">
        <v>33000</v>
      </c>
      <c r="E371" s="293" t="n">
        <v>0.4231</v>
      </c>
      <c r="F371" s="294" t="n">
        <v>1</v>
      </c>
      <c r="G371" s="294" t="n">
        <v>3</v>
      </c>
      <c r="H371" s="294" t="n"/>
      <c r="I371" s="294" t="n"/>
      <c r="J371" s="294" t="n"/>
      <c r="K371" s="294" t="n"/>
      <c r="L371" s="215" t="inlineStr">
        <is>
          <t>26/04/2026</t>
        </is>
      </c>
    </row>
    <row r="372" ht="15.75" customHeight="1" s="153">
      <c r="A372" s="214" t="n">
        <v>367</v>
      </c>
      <c r="B372" s="215" t="inlineStr">
        <is>
          <t>PANADERÍA CAFERATA 8877</t>
        </is>
      </c>
      <c r="C372" s="216" t="n">
        <v>78000</v>
      </c>
      <c r="D372" s="216" t="n">
        <v>18000</v>
      </c>
      <c r="E372" s="293" t="n">
        <v>0.2308</v>
      </c>
      <c r="F372" s="294" t="n">
        <v>1</v>
      </c>
      <c r="G372" s="294" t="n"/>
      <c r="H372" s="294" t="n"/>
      <c r="I372" s="294" t="n">
        <v>1</v>
      </c>
      <c r="J372" s="294" t="n"/>
      <c r="K372" s="294" t="n"/>
      <c r="L372" s="215" t="inlineStr">
        <is>
          <t>06/05/2026</t>
        </is>
      </c>
    </row>
    <row r="373" ht="15.75" customHeight="1" s="153">
      <c r="A373" s="221" t="n">
        <v>368</v>
      </c>
      <c r="B373" s="215" t="inlineStr">
        <is>
          <t>FRANCIA 3285</t>
        </is>
      </c>
      <c r="C373" s="216" t="n">
        <v>78000</v>
      </c>
      <c r="D373" s="216" t="n">
        <v>30600</v>
      </c>
      <c r="E373" s="293" t="n">
        <v>0.3923</v>
      </c>
      <c r="F373" s="294" t="n">
        <v>1</v>
      </c>
      <c r="G373" s="294" t="n">
        <v>3</v>
      </c>
      <c r="H373" s="294" t="n"/>
      <c r="I373" s="294" t="n"/>
      <c r="J373" s="294" t="n"/>
      <c r="K373" s="294" t="n"/>
      <c r="L373" s="215" t="inlineStr">
        <is>
          <t>12/05/2026</t>
        </is>
      </c>
    </row>
    <row r="374" ht="15.75" customHeight="1" s="153">
      <c r="A374" s="214" t="n">
        <v>369</v>
      </c>
      <c r="B374" s="215" t="inlineStr">
        <is>
          <t>HERNANDARIAS 3445</t>
        </is>
      </c>
      <c r="C374" s="216" t="n">
        <v>78000</v>
      </c>
      <c r="D374" s="216" t="n">
        <v>30600</v>
      </c>
      <c r="E374" s="293" t="n">
        <v>0.3923</v>
      </c>
      <c r="F374" s="294" t="n">
        <v>3</v>
      </c>
      <c r="G374" s="294" t="n">
        <v>3</v>
      </c>
      <c r="H374" s="294" t="n"/>
      <c r="I374" s="294" t="n"/>
      <c r="J374" s="294" t="n"/>
      <c r="K374" s="294" t="n"/>
      <c r="L374" s="215" t="inlineStr">
        <is>
          <t>26/05/2026</t>
        </is>
      </c>
    </row>
    <row r="375" ht="15.75" customHeight="1" s="153">
      <c r="A375" s="221" t="n">
        <v>370</v>
      </c>
      <c r="B375" s="215" t="inlineStr">
        <is>
          <t>SAVEDRA 2799</t>
        </is>
      </c>
      <c r="C375" s="216" t="n">
        <v>77500</v>
      </c>
      <c r="D375" s="216" t="n">
        <v>36200</v>
      </c>
      <c r="E375" s="293" t="n">
        <v>0.4671</v>
      </c>
      <c r="F375" s="294" t="n">
        <v>3</v>
      </c>
      <c r="G375" s="294" t="n">
        <v>3</v>
      </c>
      <c r="H375" s="294" t="n"/>
      <c r="I375" s="294" t="n"/>
      <c r="J375" s="294" t="n"/>
      <c r="K375" s="294" t="n"/>
      <c r="L375" s="215" t="inlineStr">
        <is>
          <t>23/05/2026</t>
        </is>
      </c>
    </row>
    <row r="376" ht="15.75" customHeight="1" s="153">
      <c r="A376" s="214" t="n">
        <v>371</v>
      </c>
      <c r="B376" s="215" t="inlineStr">
        <is>
          <t>ESPORA 5335</t>
        </is>
      </c>
      <c r="C376" s="216" t="n">
        <v>77000</v>
      </c>
      <c r="D376" s="216" t="n">
        <v>30000</v>
      </c>
      <c r="E376" s="293" t="n">
        <v>0.3896</v>
      </c>
      <c r="F376" s="294" t="n">
        <v>1</v>
      </c>
      <c r="G376" s="294" t="n"/>
      <c r="H376" s="294" t="n"/>
      <c r="I376" s="294" t="n">
        <v>1</v>
      </c>
      <c r="J376" s="294" t="n"/>
      <c r="K376" s="294" t="n"/>
      <c r="L376" s="215" t="inlineStr">
        <is>
          <t>07/01/2026</t>
        </is>
      </c>
    </row>
    <row r="377" ht="15.75" customHeight="1" s="153">
      <c r="A377" s="221" t="n">
        <v>372</v>
      </c>
      <c r="B377" s="215" t="inlineStr">
        <is>
          <t xml:space="preserve">JOSE MONTEVERA </t>
        </is>
      </c>
      <c r="C377" s="216" t="n">
        <v>77000</v>
      </c>
      <c r="D377" s="216" t="n">
        <v>30000</v>
      </c>
      <c r="E377" s="293" t="n">
        <v>0.3896</v>
      </c>
      <c r="F377" s="294" t="n">
        <v>1</v>
      </c>
      <c r="G377" s="294" t="n"/>
      <c r="H377" s="294" t="n"/>
      <c r="I377" s="294" t="n">
        <v>1</v>
      </c>
      <c r="J377" s="294" t="n"/>
      <c r="K377" s="294" t="n"/>
      <c r="L377" s="215" t="inlineStr">
        <is>
          <t>14/01/2026</t>
        </is>
      </c>
    </row>
    <row r="378" ht="15.75" customHeight="1" s="153">
      <c r="A378" s="214" t="n">
        <v>373</v>
      </c>
      <c r="B378" s="215" t="inlineStr">
        <is>
          <t>MISIONES 5281</t>
        </is>
      </c>
      <c r="C378" s="216" t="n">
        <v>77000</v>
      </c>
      <c r="D378" s="216" t="n">
        <v>30000</v>
      </c>
      <c r="E378" s="293" t="n">
        <v>0.3896</v>
      </c>
      <c r="F378" s="294" t="n">
        <v>1</v>
      </c>
      <c r="G378" s="294" t="n"/>
      <c r="H378" s="294" t="n"/>
      <c r="I378" s="294" t="n">
        <v>1</v>
      </c>
      <c r="J378" s="294" t="n"/>
      <c r="K378" s="294" t="n"/>
      <c r="L378" s="215" t="inlineStr">
        <is>
          <t>20/01/2026</t>
        </is>
      </c>
    </row>
    <row r="379" ht="15.75" customHeight="1" s="153">
      <c r="A379" s="221" t="n">
        <v>374</v>
      </c>
      <c r="B379" s="215" t="inlineStr">
        <is>
          <t>LOBOS ROCIO</t>
        </is>
      </c>
      <c r="C379" s="216" t="n">
        <v>77000</v>
      </c>
      <c r="D379" s="216" t="n">
        <v>30000</v>
      </c>
      <c r="E379" s="293" t="n">
        <v>0.3896</v>
      </c>
      <c r="F379" s="294" t="n">
        <v>1</v>
      </c>
      <c r="G379" s="294" t="n"/>
      <c r="H379" s="294" t="n"/>
      <c r="I379" s="294" t="n">
        <v>1</v>
      </c>
      <c r="J379" s="294" t="n"/>
      <c r="K379" s="294" t="n"/>
      <c r="L379" s="215" t="inlineStr">
        <is>
          <t>27/01/2026</t>
        </is>
      </c>
    </row>
    <row r="380" ht="15.75" customHeight="1" s="153">
      <c r="A380" s="214" t="n">
        <v>375</v>
      </c>
      <c r="B380" s="215" t="inlineStr">
        <is>
          <t>HOTEL ROYAL</t>
        </is>
      </c>
      <c r="C380" s="216" t="n">
        <v>77000</v>
      </c>
      <c r="D380" s="216" t="n">
        <v>30000</v>
      </c>
      <c r="E380" s="293" t="n">
        <v>0.3896</v>
      </c>
      <c r="F380" s="294" t="n">
        <v>1</v>
      </c>
      <c r="G380" s="294" t="n"/>
      <c r="H380" s="294" t="n"/>
      <c r="I380" s="294" t="n">
        <v>1</v>
      </c>
      <c r="J380" s="294" t="n"/>
      <c r="K380" s="294" t="n"/>
      <c r="L380" s="215" t="inlineStr">
        <is>
          <t>13/02/2026</t>
        </is>
      </c>
    </row>
    <row r="381" ht="15.75" customHeight="1" s="153">
      <c r="A381" s="221" t="n">
        <v>376</v>
      </c>
      <c r="B381" s="215" t="inlineStr">
        <is>
          <t>PJE ROCA 6371</t>
        </is>
      </c>
      <c r="C381" s="216" t="n">
        <v>77000</v>
      </c>
      <c r="D381" s="216" t="n">
        <v>28000</v>
      </c>
      <c r="E381" s="293" t="n">
        <v>0.3636</v>
      </c>
      <c r="F381" s="294" t="n">
        <v>1</v>
      </c>
      <c r="G381" s="294" t="n"/>
      <c r="H381" s="294" t="n"/>
      <c r="I381" s="294" t="n">
        <v>1</v>
      </c>
      <c r="J381" s="294" t="n"/>
      <c r="K381" s="294" t="n"/>
      <c r="L381" s="215" t="inlineStr">
        <is>
          <t>14/03/2026</t>
        </is>
      </c>
    </row>
    <row r="382" ht="15.75" customHeight="1" s="153">
      <c r="A382" s="214" t="n">
        <v>377</v>
      </c>
      <c r="B382" s="215" t="inlineStr">
        <is>
          <t>25 DE MAYO 2617</t>
        </is>
      </c>
      <c r="C382" s="216" t="n">
        <v>76500</v>
      </c>
      <c r="D382" s="216" t="n">
        <v>32550</v>
      </c>
      <c r="E382" s="293" t="n">
        <v>0.4255</v>
      </c>
      <c r="F382" s="294" t="n">
        <v>2</v>
      </c>
      <c r="G382" s="294" t="n"/>
      <c r="H382" s="294" t="n">
        <v>2</v>
      </c>
      <c r="I382" s="294" t="n"/>
      <c r="J382" s="294" t="n"/>
      <c r="K382" s="294" t="n"/>
      <c r="L382" s="215" t="inlineStr">
        <is>
          <t>18/05/2026</t>
        </is>
      </c>
    </row>
    <row r="383" ht="15.75" customHeight="1" s="153">
      <c r="A383" s="221" t="n">
        <v>378</v>
      </c>
      <c r="B383" s="215" t="inlineStr">
        <is>
          <t>DIOGENES ANTILLES 675</t>
        </is>
      </c>
      <c r="C383" s="216" t="n">
        <v>76000</v>
      </c>
      <c r="D383" s="216" t="n">
        <v>29000</v>
      </c>
      <c r="E383" s="293" t="n">
        <v>0.3816</v>
      </c>
      <c r="F383" s="294" t="n">
        <v>1</v>
      </c>
      <c r="G383" s="294" t="n"/>
      <c r="H383" s="294" t="n"/>
      <c r="I383" s="294" t="n">
        <v>1</v>
      </c>
      <c r="J383" s="294" t="n"/>
      <c r="K383" s="294" t="n"/>
      <c r="L383" s="215" t="inlineStr">
        <is>
          <t>03/01/2026</t>
        </is>
      </c>
    </row>
    <row r="384" ht="15.75" customHeight="1" s="153">
      <c r="A384" s="214" t="n">
        <v>379</v>
      </c>
      <c r="B384" s="215" t="inlineStr">
        <is>
          <t>ACASIAS 9788</t>
        </is>
      </c>
      <c r="C384" s="216" t="n">
        <v>76000</v>
      </c>
      <c r="D384" s="216" t="n">
        <v>29000</v>
      </c>
      <c r="E384" s="293" t="n">
        <v>0.3816</v>
      </c>
      <c r="F384" s="294" t="n">
        <v>1</v>
      </c>
      <c r="G384" s="294" t="n"/>
      <c r="H384" s="294" t="n"/>
      <c r="I384" s="294" t="n">
        <v>1</v>
      </c>
      <c r="J384" s="294" t="n"/>
      <c r="K384" s="294" t="n"/>
      <c r="L384" s="215" t="inlineStr">
        <is>
          <t>17/02/2026</t>
        </is>
      </c>
    </row>
    <row r="385" ht="15.75" customHeight="1" s="153">
      <c r="A385" s="221" t="n">
        <v>380</v>
      </c>
      <c r="B385" s="215" t="inlineStr">
        <is>
          <t>BERUTI 6400 CASA 88</t>
        </is>
      </c>
      <c r="C385" s="216" t="n">
        <v>76000</v>
      </c>
      <c r="D385" s="216" t="n">
        <v>29000</v>
      </c>
      <c r="E385" s="293" t="n">
        <v>0.3816</v>
      </c>
      <c r="F385" s="294" t="n">
        <v>1</v>
      </c>
      <c r="G385" s="294" t="n"/>
      <c r="H385" s="294" t="n"/>
      <c r="I385" s="294" t="n">
        <v>1</v>
      </c>
      <c r="J385" s="294" t="n"/>
      <c r="K385" s="294" t="n"/>
      <c r="L385" s="215" t="inlineStr">
        <is>
          <t>17/02/2026</t>
        </is>
      </c>
    </row>
    <row r="386" ht="15.75" customHeight="1" s="153">
      <c r="A386" s="214" t="n">
        <v>381</v>
      </c>
      <c r="B386" s="215" t="inlineStr">
        <is>
          <t>RUPERTO GODOY 4484</t>
        </is>
      </c>
      <c r="C386" s="216" t="n">
        <v>76000</v>
      </c>
      <c r="D386" s="216" t="n">
        <v>29000</v>
      </c>
      <c r="E386" s="293" t="n">
        <v>0.3816</v>
      </c>
      <c r="F386" s="294" t="n">
        <v>1</v>
      </c>
      <c r="G386" s="294" t="n"/>
      <c r="H386" s="294" t="n"/>
      <c r="I386" s="294" t="n">
        <v>1</v>
      </c>
      <c r="J386" s="294" t="n"/>
      <c r="K386" s="294" t="n"/>
      <c r="L386" s="215" t="inlineStr">
        <is>
          <t>21/02/2026</t>
        </is>
      </c>
    </row>
    <row r="387" ht="15.75" customHeight="1" s="153">
      <c r="A387" s="221" t="n">
        <v>382</v>
      </c>
      <c r="B387" s="215" t="inlineStr">
        <is>
          <t>NOGALES2651</t>
        </is>
      </c>
      <c r="C387" s="216" t="n">
        <v>76000</v>
      </c>
      <c r="D387" s="216" t="n">
        <v>29000</v>
      </c>
      <c r="E387" s="293" t="n">
        <v>0.3816</v>
      </c>
      <c r="F387" s="294" t="n">
        <v>1</v>
      </c>
      <c r="G387" s="294" t="n"/>
      <c r="H387" s="294" t="n"/>
      <c r="I387" s="294" t="n">
        <v>1</v>
      </c>
      <c r="J387" s="294" t="n"/>
      <c r="K387" s="294" t="n"/>
      <c r="L387" s="215" t="inlineStr">
        <is>
          <t>21/02/2026</t>
        </is>
      </c>
    </row>
    <row r="388" ht="15.75" customHeight="1" s="153">
      <c r="A388" s="214" t="n">
        <v>383</v>
      </c>
      <c r="B388" s="215" t="inlineStr">
        <is>
          <t>EUROPA 9396</t>
        </is>
      </c>
      <c r="C388" s="216" t="n">
        <v>76000</v>
      </c>
      <c r="D388" s="216" t="n">
        <v>29000</v>
      </c>
      <c r="E388" s="293" t="n">
        <v>0.3816</v>
      </c>
      <c r="F388" s="294" t="n">
        <v>1</v>
      </c>
      <c r="G388" s="294" t="n"/>
      <c r="H388" s="294" t="n"/>
      <c r="I388" s="294" t="n">
        <v>1</v>
      </c>
      <c r="J388" s="294" t="n"/>
      <c r="K388" s="294" t="n"/>
      <c r="L388" s="215" t="inlineStr">
        <is>
          <t>23/02/2026</t>
        </is>
      </c>
    </row>
    <row r="389" ht="15.75" customHeight="1" s="153">
      <c r="A389" s="221" t="n">
        <v>384</v>
      </c>
      <c r="B389" s="215" t="inlineStr">
        <is>
          <t>AYACUCHO 4057</t>
        </is>
      </c>
      <c r="C389" s="216" t="n">
        <v>76000</v>
      </c>
      <c r="D389" s="216" t="n">
        <v>29000</v>
      </c>
      <c r="E389" s="293" t="n">
        <v>0.3816</v>
      </c>
      <c r="F389" s="294" t="n">
        <v>1</v>
      </c>
      <c r="G389" s="294" t="n"/>
      <c r="H389" s="294" t="n"/>
      <c r="I389" s="294" t="n">
        <v>1</v>
      </c>
      <c r="J389" s="294" t="n"/>
      <c r="K389" s="294" t="n"/>
      <c r="L389" s="215" t="inlineStr">
        <is>
          <t>25/02/2026</t>
        </is>
      </c>
    </row>
    <row r="390" ht="15.75" customHeight="1" s="153">
      <c r="A390" s="214" t="n">
        <v>385</v>
      </c>
      <c r="B390" s="215" t="inlineStr">
        <is>
          <t>JOSE CIBILS</t>
        </is>
      </c>
      <c r="C390" s="216" t="n">
        <v>76000</v>
      </c>
      <c r="D390" s="216" t="n">
        <v>27000</v>
      </c>
      <c r="E390" s="293" t="n">
        <v>0.3553</v>
      </c>
      <c r="F390" s="294" t="n">
        <v>1</v>
      </c>
      <c r="G390" s="294" t="n"/>
      <c r="H390" s="294" t="n"/>
      <c r="I390" s="294" t="n">
        <v>1</v>
      </c>
      <c r="J390" s="294" t="n"/>
      <c r="K390" s="294" t="n"/>
      <c r="L390" s="215" t="inlineStr">
        <is>
          <t>01/03/2026</t>
        </is>
      </c>
    </row>
    <row r="391" ht="15.75" customHeight="1" s="153">
      <c r="A391" s="221" t="n">
        <v>386</v>
      </c>
      <c r="B391" s="215" t="inlineStr">
        <is>
          <t>PUBLICO 1829</t>
        </is>
      </c>
      <c r="C391" s="216" t="n">
        <v>76000</v>
      </c>
      <c r="D391" s="216" t="n">
        <v>27000</v>
      </c>
      <c r="E391" s="293" t="n">
        <v>0.3553</v>
      </c>
      <c r="F391" s="294" t="n">
        <v>1</v>
      </c>
      <c r="G391" s="294" t="n"/>
      <c r="H391" s="294" t="n"/>
      <c r="I391" s="294" t="n">
        <v>1</v>
      </c>
      <c r="J391" s="294" t="n"/>
      <c r="K391" s="294" t="n"/>
      <c r="L391" s="215" t="inlineStr">
        <is>
          <t>06/03/2026</t>
        </is>
      </c>
    </row>
    <row r="392" ht="15.75" customHeight="1" s="153">
      <c r="A392" s="214" t="n">
        <v>387</v>
      </c>
      <c r="B392" s="215" t="inlineStr">
        <is>
          <t>BRAZIL 4117</t>
        </is>
      </c>
      <c r="C392" s="216" t="n">
        <v>76000</v>
      </c>
      <c r="D392" s="216" t="n">
        <v>27000</v>
      </c>
      <c r="E392" s="293" t="n">
        <v>0.3553</v>
      </c>
      <c r="F392" s="294" t="n">
        <v>1</v>
      </c>
      <c r="G392" s="294" t="n"/>
      <c r="H392" s="294" t="n"/>
      <c r="I392" s="294" t="n">
        <v>1</v>
      </c>
      <c r="J392" s="294" t="n"/>
      <c r="K392" s="294" t="n"/>
      <c r="L392" s="215" t="inlineStr">
        <is>
          <t>10/03/2026</t>
        </is>
      </c>
    </row>
    <row r="393" ht="15.75" customHeight="1" s="153">
      <c r="A393" s="221" t="n">
        <v>388</v>
      </c>
      <c r="B393" s="215" t="inlineStr">
        <is>
          <t>PIEDRABUENA 4599</t>
        </is>
      </c>
      <c r="C393" s="216" t="n">
        <v>76000</v>
      </c>
      <c r="D393" s="216" t="n">
        <v>27000</v>
      </c>
      <c r="E393" s="293" t="n">
        <v>0.3553</v>
      </c>
      <c r="F393" s="294" t="n">
        <v>1</v>
      </c>
      <c r="G393" s="294" t="n"/>
      <c r="H393" s="294" t="n"/>
      <c r="I393" s="294" t="n">
        <v>1</v>
      </c>
      <c r="J393" s="294" t="n"/>
      <c r="K393" s="294" t="n"/>
      <c r="L393" s="215" t="inlineStr">
        <is>
          <t>10/03/2026</t>
        </is>
      </c>
    </row>
    <row r="394" ht="15.75" customHeight="1" s="153">
      <c r="A394" s="214" t="n">
        <v>389</v>
      </c>
      <c r="B394" s="215" t="inlineStr">
        <is>
          <t>LOBATO BARBARA</t>
        </is>
      </c>
      <c r="C394" s="216" t="n">
        <v>75000</v>
      </c>
      <c r="D394" s="216" t="n">
        <v>28000</v>
      </c>
      <c r="E394" s="293" t="n">
        <v>0.3733</v>
      </c>
      <c r="F394" s="294" t="n">
        <v>1</v>
      </c>
      <c r="G394" s="294" t="n"/>
      <c r="H394" s="294" t="n"/>
      <c r="I394" s="294" t="n">
        <v>1</v>
      </c>
      <c r="J394" s="294" t="n"/>
      <c r="K394" s="294" t="n"/>
      <c r="L394" s="215" t="inlineStr">
        <is>
          <t>09/01/2026</t>
        </is>
      </c>
    </row>
    <row r="395" ht="15.75" customHeight="1" s="153">
      <c r="A395" s="221" t="n">
        <v>390</v>
      </c>
      <c r="B395" s="215" t="inlineStr">
        <is>
          <t>PUBLICO 4746</t>
        </is>
      </c>
      <c r="C395" s="216" t="n">
        <v>75000</v>
      </c>
      <c r="D395" s="216" t="n">
        <v>28000</v>
      </c>
      <c r="E395" s="293" t="n">
        <v>0.3733</v>
      </c>
      <c r="F395" s="294" t="n">
        <v>1</v>
      </c>
      <c r="G395" s="294" t="n"/>
      <c r="H395" s="294" t="n"/>
      <c r="I395" s="294" t="n">
        <v>1</v>
      </c>
      <c r="J395" s="294" t="n"/>
      <c r="K395" s="294" t="n"/>
      <c r="L395" s="215" t="inlineStr">
        <is>
          <t>10/01/2026</t>
        </is>
      </c>
    </row>
    <row r="396" ht="15.75" customHeight="1" s="153">
      <c r="A396" s="214" t="n">
        <v>391</v>
      </c>
      <c r="B396" s="215" t="inlineStr">
        <is>
          <t>B IRIGOYEN 8383</t>
        </is>
      </c>
      <c r="C396" s="216" t="n">
        <v>75000</v>
      </c>
      <c r="D396" s="216" t="n">
        <v>28000</v>
      </c>
      <c r="E396" s="293" t="n">
        <v>0.3733</v>
      </c>
      <c r="F396" s="294" t="n">
        <v>1</v>
      </c>
      <c r="G396" s="294" t="n"/>
      <c r="H396" s="294" t="n"/>
      <c r="I396" s="294" t="n">
        <v>1</v>
      </c>
      <c r="J396" s="294" t="n"/>
      <c r="K396" s="294" t="n"/>
      <c r="L396" s="215" t="inlineStr">
        <is>
          <t>18/01/2026</t>
        </is>
      </c>
    </row>
    <row r="397" ht="15.75" customHeight="1" s="153">
      <c r="A397" s="221" t="n">
        <v>392</v>
      </c>
      <c r="B397" s="215" t="inlineStr">
        <is>
          <t>FLORENCIO FERNANDEZ 6033</t>
        </is>
      </c>
      <c r="C397" s="216" t="n">
        <v>75000</v>
      </c>
      <c r="D397" s="216" t="n">
        <v>28000</v>
      </c>
      <c r="E397" s="293" t="n">
        <v>0.3733</v>
      </c>
      <c r="F397" s="294" t="n">
        <v>1</v>
      </c>
      <c r="G397" s="294" t="n"/>
      <c r="H397" s="294" t="n"/>
      <c r="I397" s="294" t="n">
        <v>1</v>
      </c>
      <c r="J397" s="294" t="n"/>
      <c r="K397" s="294" t="n"/>
      <c r="L397" s="215" t="inlineStr">
        <is>
          <t>19/01/2026</t>
        </is>
      </c>
    </row>
    <row r="398" ht="15.75" customHeight="1" s="153">
      <c r="A398" s="214" t="n">
        <v>393</v>
      </c>
      <c r="B398" s="215" t="inlineStr">
        <is>
          <t>MACHUCA RAMONA1</t>
        </is>
      </c>
      <c r="C398" s="216" t="n">
        <v>75000</v>
      </c>
      <c r="D398" s="216" t="n">
        <v>28000</v>
      </c>
      <c r="E398" s="293" t="n">
        <v>0.3733</v>
      </c>
      <c r="F398" s="294" t="n">
        <v>1</v>
      </c>
      <c r="G398" s="294" t="n"/>
      <c r="H398" s="294" t="n"/>
      <c r="I398" s="294" t="n">
        <v>1</v>
      </c>
      <c r="J398" s="294" t="n"/>
      <c r="K398" s="294" t="n"/>
      <c r="L398" s="215" t="inlineStr">
        <is>
          <t>23/01/2026</t>
        </is>
      </c>
    </row>
    <row r="399" ht="15.75" customHeight="1" s="153">
      <c r="A399" s="221" t="n">
        <v>394</v>
      </c>
      <c r="B399" s="215" t="inlineStr">
        <is>
          <t>ALVEAR 8278</t>
        </is>
      </c>
      <c r="C399" s="216" t="n">
        <v>75000</v>
      </c>
      <c r="D399" s="216" t="n">
        <v>28000</v>
      </c>
      <c r="E399" s="293" t="n">
        <v>0.3733</v>
      </c>
      <c r="F399" s="294" t="n">
        <v>1</v>
      </c>
      <c r="G399" s="294" t="n"/>
      <c r="H399" s="294" t="n"/>
      <c r="I399" s="294" t="n">
        <v>1</v>
      </c>
      <c r="J399" s="294" t="n"/>
      <c r="K399" s="294" t="n"/>
      <c r="L399" s="215" t="inlineStr">
        <is>
          <t>26/01/2026</t>
        </is>
      </c>
    </row>
    <row r="400" ht="15.75" customHeight="1" s="153">
      <c r="A400" s="214" t="n">
        <v>395</v>
      </c>
      <c r="B400" s="215" t="inlineStr">
        <is>
          <t>ALBERTI 5122</t>
        </is>
      </c>
      <c r="C400" s="216" t="n">
        <v>75000</v>
      </c>
      <c r="D400" s="216" t="n">
        <v>28000</v>
      </c>
      <c r="E400" s="293" t="n">
        <v>0.3733</v>
      </c>
      <c r="F400" s="294" t="n">
        <v>1</v>
      </c>
      <c r="G400" s="294" t="n"/>
      <c r="H400" s="294" t="n"/>
      <c r="I400" s="294" t="n">
        <v>1</v>
      </c>
      <c r="J400" s="294" t="n"/>
      <c r="K400" s="294" t="n"/>
      <c r="L400" s="215" t="inlineStr">
        <is>
          <t>04/02/2026</t>
        </is>
      </c>
    </row>
    <row r="401" ht="15.75" customHeight="1" s="153">
      <c r="A401" s="221" t="n">
        <v>396</v>
      </c>
      <c r="B401" s="215" t="inlineStr">
        <is>
          <t>SIR LAKI F5</t>
        </is>
      </c>
      <c r="C401" s="216" t="n">
        <v>75000</v>
      </c>
      <c r="D401" s="216" t="n">
        <v>28000</v>
      </c>
      <c r="E401" s="293" t="n">
        <v>0.3733</v>
      </c>
      <c r="F401" s="294" t="n">
        <v>1</v>
      </c>
      <c r="G401" s="294" t="n"/>
      <c r="H401" s="294" t="n"/>
      <c r="I401" s="294" t="n">
        <v>1</v>
      </c>
      <c r="J401" s="294" t="n"/>
      <c r="K401" s="294" t="n"/>
      <c r="L401" s="215" t="inlineStr">
        <is>
          <t>06/02/2026</t>
        </is>
      </c>
    </row>
    <row r="402" ht="15.75" customHeight="1" s="153">
      <c r="A402" s="214" t="n">
        <v>397</v>
      </c>
      <c r="B402" s="215" t="inlineStr">
        <is>
          <t>ARISTOBULO 4471</t>
        </is>
      </c>
      <c r="C402" s="216" t="n">
        <v>75000</v>
      </c>
      <c r="D402" s="216" t="n">
        <v>28000</v>
      </c>
      <c r="E402" s="293" t="n">
        <v>0.3733</v>
      </c>
      <c r="F402" s="294" t="n">
        <v>1</v>
      </c>
      <c r="G402" s="294" t="n"/>
      <c r="H402" s="294" t="n"/>
      <c r="I402" s="294" t="n">
        <v>1</v>
      </c>
      <c r="J402" s="294" t="n"/>
      <c r="K402" s="294" t="n"/>
      <c r="L402" s="215" t="inlineStr">
        <is>
          <t>18/02/2026</t>
        </is>
      </c>
    </row>
    <row r="403" ht="15.75" customHeight="1" s="153">
      <c r="A403" s="221" t="n">
        <v>398</v>
      </c>
      <c r="B403" s="215" t="inlineStr">
        <is>
          <t>LAS HERAS Y GORRITI</t>
        </is>
      </c>
      <c r="C403" s="216" t="n">
        <v>75000</v>
      </c>
      <c r="D403" s="216" t="n">
        <v>26000</v>
      </c>
      <c r="E403" s="293" t="n">
        <v>0.3467</v>
      </c>
      <c r="F403" s="294" t="n">
        <v>1</v>
      </c>
      <c r="G403" s="294" t="n"/>
      <c r="H403" s="294" t="n"/>
      <c r="I403" s="294" t="n">
        <v>1</v>
      </c>
      <c r="J403" s="294" t="n"/>
      <c r="K403" s="294" t="n"/>
      <c r="L403" s="215" t="inlineStr">
        <is>
          <t>01/03/2026</t>
        </is>
      </c>
    </row>
    <row r="404" ht="15.75" customHeight="1" s="153">
      <c r="A404" s="214" t="n">
        <v>399</v>
      </c>
      <c r="B404" s="215" t="inlineStr">
        <is>
          <t>ESPORA 4874</t>
        </is>
      </c>
      <c r="C404" s="216" t="n">
        <v>75000</v>
      </c>
      <c r="D404" s="216" t="n">
        <v>32250</v>
      </c>
      <c r="E404" s="293" t="n">
        <v>0.43</v>
      </c>
      <c r="F404" s="294" t="n">
        <v>2</v>
      </c>
      <c r="G404" s="294" t="n"/>
      <c r="H404" s="294" t="n">
        <v>2</v>
      </c>
      <c r="I404" s="294" t="n"/>
      <c r="J404" s="294" t="n"/>
      <c r="K404" s="294" t="n"/>
      <c r="L404" s="215" t="inlineStr">
        <is>
          <t>06/05/2026</t>
        </is>
      </c>
    </row>
    <row r="405" ht="15.75" customHeight="1" s="153">
      <c r="A405" s="221" t="n">
        <v>400</v>
      </c>
      <c r="B405" s="215" t="inlineStr">
        <is>
          <t>PARAGUAY 10333</t>
        </is>
      </c>
      <c r="C405" s="216" t="n">
        <v>75000</v>
      </c>
      <c r="D405" s="216" t="n">
        <v>26000</v>
      </c>
      <c r="E405" s="293" t="n">
        <v>0.3467</v>
      </c>
      <c r="F405" s="294" t="n">
        <v>1</v>
      </c>
      <c r="G405" s="294" t="n"/>
      <c r="H405" s="294" t="n"/>
      <c r="I405" s="294" t="n">
        <v>1</v>
      </c>
      <c r="J405" s="294" t="n"/>
      <c r="K405" s="294" t="n"/>
      <c r="L405" s="215" t="inlineStr">
        <is>
          <t>05/03/2026</t>
        </is>
      </c>
    </row>
    <row r="406" ht="15.75" customHeight="1" s="153">
      <c r="A406" s="214" t="n">
        <v>401</v>
      </c>
      <c r="B406" s="215" t="inlineStr">
        <is>
          <t>SAN LORENZO 1987</t>
        </is>
      </c>
      <c r="C406" s="216" t="n">
        <v>75000</v>
      </c>
      <c r="D406" s="216" t="n">
        <v>26000</v>
      </c>
      <c r="E406" s="293" t="n">
        <v>0.3467</v>
      </c>
      <c r="F406" s="294" t="n">
        <v>1</v>
      </c>
      <c r="G406" s="294" t="n"/>
      <c r="H406" s="294" t="n"/>
      <c r="I406" s="294" t="n">
        <v>1</v>
      </c>
      <c r="J406" s="294" t="n"/>
      <c r="K406" s="294" t="n"/>
      <c r="L406" s="215" t="inlineStr">
        <is>
          <t>05/03/2026</t>
        </is>
      </c>
    </row>
    <row r="407" ht="15.75" customHeight="1" s="153">
      <c r="A407" s="221" t="n">
        <v>402</v>
      </c>
      <c r="B407" s="215" t="inlineStr">
        <is>
          <t>BERUTI 4057</t>
        </is>
      </c>
      <c r="C407" s="216" t="n">
        <v>75000</v>
      </c>
      <c r="D407" s="216" t="n">
        <v>26000</v>
      </c>
      <c r="E407" s="293" t="n">
        <v>0.3467</v>
      </c>
      <c r="F407" s="294" t="n">
        <v>1</v>
      </c>
      <c r="G407" s="294" t="n"/>
      <c r="H407" s="294" t="n"/>
      <c r="I407" s="294" t="n">
        <v>1</v>
      </c>
      <c r="J407" s="294" t="n"/>
      <c r="K407" s="294" t="n"/>
      <c r="L407" s="215" t="inlineStr">
        <is>
          <t>05/03/2026</t>
        </is>
      </c>
    </row>
    <row r="408" ht="15.75" customHeight="1" s="153">
      <c r="A408" s="214" t="n">
        <v>403</v>
      </c>
      <c r="B408" s="215" t="inlineStr">
        <is>
          <t>SAVEDRA 7701</t>
        </is>
      </c>
      <c r="C408" s="216" t="n">
        <v>75000</v>
      </c>
      <c r="D408" s="216" t="n">
        <v>26000</v>
      </c>
      <c r="E408" s="293" t="n">
        <v>0.3467</v>
      </c>
      <c r="F408" s="294" t="n">
        <v>1</v>
      </c>
      <c r="G408" s="294" t="n"/>
      <c r="H408" s="294" t="n"/>
      <c r="I408" s="294" t="n">
        <v>1</v>
      </c>
      <c r="J408" s="294" t="n"/>
      <c r="K408" s="294" t="n"/>
      <c r="L408" s="215" t="inlineStr">
        <is>
          <t>06/03/2026</t>
        </is>
      </c>
    </row>
    <row r="409" ht="15.75" customHeight="1" s="153">
      <c r="A409" s="221" t="n">
        <v>404</v>
      </c>
      <c r="B409" s="215" t="inlineStr">
        <is>
          <t>CORDOBA 2753</t>
        </is>
      </c>
      <c r="C409" s="216" t="n">
        <v>75000</v>
      </c>
      <c r="D409" s="216" t="n">
        <v>26000</v>
      </c>
      <c r="E409" s="293" t="n">
        <v>0.3467</v>
      </c>
      <c r="F409" s="294" t="n">
        <v>1</v>
      </c>
      <c r="G409" s="294" t="n"/>
      <c r="H409" s="294" t="n"/>
      <c r="I409" s="294" t="n">
        <v>1</v>
      </c>
      <c r="J409" s="294" t="n"/>
      <c r="K409" s="294" t="n"/>
      <c r="L409" s="215" t="inlineStr">
        <is>
          <t>10/03/2026</t>
        </is>
      </c>
    </row>
    <row r="410" ht="15.75" customHeight="1" s="153">
      <c r="A410" s="214" t="n">
        <v>405</v>
      </c>
      <c r="B410" s="215" t="inlineStr">
        <is>
          <t>CASTELLI 5364</t>
        </is>
      </c>
      <c r="C410" s="216" t="n">
        <v>75000</v>
      </c>
      <c r="D410" s="216" t="n">
        <v>26000</v>
      </c>
      <c r="E410" s="293" t="n">
        <v>0.3467</v>
      </c>
      <c r="F410" s="294" t="n">
        <v>1</v>
      </c>
      <c r="G410" s="294" t="n"/>
      <c r="H410" s="294" t="n"/>
      <c r="I410" s="294" t="n">
        <v>1</v>
      </c>
      <c r="J410" s="294" t="n"/>
      <c r="K410" s="294" t="n"/>
      <c r="L410" s="215" t="inlineStr">
        <is>
          <t>12/03/2026</t>
        </is>
      </c>
    </row>
    <row r="411" ht="15.75" customHeight="1" s="153">
      <c r="A411" s="221" t="n">
        <v>406</v>
      </c>
      <c r="B411" s="215" t="inlineStr">
        <is>
          <t>BAGUETT</t>
        </is>
      </c>
      <c r="C411" s="216" t="n">
        <v>75000</v>
      </c>
      <c r="D411" s="216" t="n">
        <v>15000</v>
      </c>
      <c r="E411" s="293" t="n">
        <v>0.2</v>
      </c>
      <c r="F411" s="294" t="n">
        <v>1</v>
      </c>
      <c r="G411" s="294" t="n"/>
      <c r="H411" s="294" t="n"/>
      <c r="I411" s="294" t="n">
        <v>1</v>
      </c>
      <c r="J411" s="294" t="n"/>
      <c r="K411" s="294" t="n"/>
      <c r="L411" s="215" t="inlineStr">
        <is>
          <t>24/04/2026</t>
        </is>
      </c>
    </row>
    <row r="412" ht="15.75" customHeight="1" s="153">
      <c r="A412" s="214" t="n">
        <v>407</v>
      </c>
      <c r="B412" s="215" t="inlineStr">
        <is>
          <t>CASTAÑADUY 6687</t>
        </is>
      </c>
      <c r="C412" s="216" t="n">
        <v>74000</v>
      </c>
      <c r="D412" s="216" t="n">
        <v>27000</v>
      </c>
      <c r="E412" s="293" t="n">
        <v>0.3649</v>
      </c>
      <c r="F412" s="294" t="n">
        <v>1</v>
      </c>
      <c r="G412" s="294" t="n"/>
      <c r="H412" s="294" t="n"/>
      <c r="I412" s="294" t="n">
        <v>1</v>
      </c>
      <c r="J412" s="294" t="n"/>
      <c r="K412" s="294" t="n"/>
      <c r="L412" s="215" t="inlineStr">
        <is>
          <t>26/02/2026</t>
        </is>
      </c>
    </row>
    <row r="413" ht="15.75" customHeight="1" s="153">
      <c r="A413" s="221" t="n">
        <v>408</v>
      </c>
      <c r="B413" s="215" t="inlineStr">
        <is>
          <t>PENALOZA 7220</t>
        </is>
      </c>
      <c r="C413" s="216" t="n">
        <v>74000</v>
      </c>
      <c r="D413" s="216" t="n">
        <v>25000</v>
      </c>
      <c r="E413" s="293" t="n">
        <v>0.3378</v>
      </c>
      <c r="F413" s="294" t="n">
        <v>1</v>
      </c>
      <c r="G413" s="294" t="n"/>
      <c r="H413" s="294" t="n"/>
      <c r="I413" s="294" t="n">
        <v>1</v>
      </c>
      <c r="J413" s="294" t="n"/>
      <c r="K413" s="294" t="n"/>
      <c r="L413" s="215" t="inlineStr">
        <is>
          <t>09/03/2026</t>
        </is>
      </c>
    </row>
    <row r="414" ht="15.75" customHeight="1" s="153">
      <c r="A414" s="214" t="n">
        <v>409</v>
      </c>
      <c r="B414" s="215" t="inlineStr">
        <is>
          <t>BERUTI 3850 PANA</t>
        </is>
      </c>
      <c r="C414" s="216" t="n">
        <v>74000</v>
      </c>
      <c r="D414" s="216" t="n">
        <v>25000</v>
      </c>
      <c r="E414" s="293" t="n">
        <v>0.3378</v>
      </c>
      <c r="F414" s="294" t="n">
        <v>1</v>
      </c>
      <c r="G414" s="294" t="n"/>
      <c r="H414" s="294" t="n"/>
      <c r="I414" s="294" t="n">
        <v>1</v>
      </c>
      <c r="J414" s="294" t="n"/>
      <c r="K414" s="294" t="n"/>
      <c r="L414" s="215" t="inlineStr">
        <is>
          <t>22/03/2026</t>
        </is>
      </c>
    </row>
    <row r="415" ht="15.75" customHeight="1" s="153">
      <c r="A415" s="221" t="n">
        <v>410</v>
      </c>
      <c r="B415" s="215" t="inlineStr">
        <is>
          <t>LA SALLE 3151</t>
        </is>
      </c>
      <c r="C415" s="216" t="n">
        <v>73500</v>
      </c>
      <c r="D415" s="216" t="n">
        <v>26500</v>
      </c>
      <c r="E415" s="293" t="n">
        <v>0.3605</v>
      </c>
      <c r="F415" s="294" t="n">
        <v>1</v>
      </c>
      <c r="G415" s="294" t="n"/>
      <c r="H415" s="294" t="n"/>
      <c r="I415" s="294" t="n">
        <v>1</v>
      </c>
      <c r="J415" s="294" t="n"/>
      <c r="K415" s="294" t="n"/>
      <c r="L415" s="215" t="inlineStr">
        <is>
          <t>03/02/2026</t>
        </is>
      </c>
    </row>
    <row r="416" ht="15.75" customHeight="1" s="153">
      <c r="A416" s="214" t="n">
        <v>411</v>
      </c>
      <c r="B416" s="215" t="inlineStr">
        <is>
          <t>GORRITI 6742</t>
        </is>
      </c>
      <c r="C416" s="216" t="n">
        <v>73500</v>
      </c>
      <c r="D416" s="216" t="n">
        <v>32200</v>
      </c>
      <c r="E416" s="293" t="n">
        <v>0.4381</v>
      </c>
      <c r="F416" s="294" t="n">
        <v>3</v>
      </c>
      <c r="G416" s="294" t="n">
        <v>3</v>
      </c>
      <c r="H416" s="294" t="n"/>
      <c r="I416" s="294" t="n"/>
      <c r="J416" s="294" t="n"/>
      <c r="K416" s="294" t="n"/>
      <c r="L416" s="215" t="inlineStr">
        <is>
          <t>17/05/2026</t>
        </is>
      </c>
    </row>
    <row r="417" ht="15.75" customHeight="1" s="153">
      <c r="A417" s="221" t="n">
        <v>412</v>
      </c>
      <c r="B417" s="215" t="inlineStr">
        <is>
          <t>HERNANDARIAS 5150</t>
        </is>
      </c>
      <c r="C417" s="216" t="n">
        <v>73000</v>
      </c>
      <c r="D417" s="216" t="n">
        <v>26000</v>
      </c>
      <c r="E417" s="293" t="n">
        <v>0.3562</v>
      </c>
      <c r="F417" s="294" t="n">
        <v>1</v>
      </c>
      <c r="G417" s="294" t="n"/>
      <c r="H417" s="294" t="n"/>
      <c r="I417" s="294" t="n">
        <v>1</v>
      </c>
      <c r="J417" s="294" t="n"/>
      <c r="K417" s="294" t="n"/>
      <c r="L417" s="215" t="inlineStr">
        <is>
          <t>12/01/2026</t>
        </is>
      </c>
    </row>
    <row r="418" ht="15.75" customHeight="1" s="153">
      <c r="A418" s="214" t="n">
        <v>413</v>
      </c>
      <c r="B418" s="215" t="inlineStr">
        <is>
          <t>ALELIES 10358</t>
        </is>
      </c>
      <c r="C418" s="216" t="n">
        <v>73000</v>
      </c>
      <c r="D418" s="216" t="n">
        <v>26000</v>
      </c>
      <c r="E418" s="293" t="n">
        <v>0.3562</v>
      </c>
      <c r="F418" s="294" t="n">
        <v>1</v>
      </c>
      <c r="G418" s="294" t="n"/>
      <c r="H418" s="294" t="n"/>
      <c r="I418" s="294" t="n">
        <v>1</v>
      </c>
      <c r="J418" s="294" t="n"/>
      <c r="K418" s="294" t="n"/>
      <c r="L418" s="215" t="inlineStr">
        <is>
          <t>23/01/2026</t>
        </is>
      </c>
    </row>
    <row r="419" ht="15.75" customHeight="1" s="153">
      <c r="A419" s="221" t="n">
        <v>414</v>
      </c>
      <c r="B419" s="215" t="inlineStr">
        <is>
          <t>CARCARAES 5820</t>
        </is>
      </c>
      <c r="C419" s="216" t="n">
        <v>73000</v>
      </c>
      <c r="D419" s="216" t="n">
        <v>26000</v>
      </c>
      <c r="E419" s="293" t="n">
        <v>0.3562</v>
      </c>
      <c r="F419" s="294" t="n">
        <v>1</v>
      </c>
      <c r="G419" s="294" t="n"/>
      <c r="H419" s="294" t="n"/>
      <c r="I419" s="294" t="n">
        <v>1</v>
      </c>
      <c r="J419" s="294" t="n"/>
      <c r="K419" s="294" t="n"/>
      <c r="L419" s="215" t="inlineStr">
        <is>
          <t>27/02/2026</t>
        </is>
      </c>
    </row>
    <row r="420" ht="15.75" customHeight="1" s="153">
      <c r="A420" s="214" t="n">
        <v>415</v>
      </c>
      <c r="B420" s="215" t="inlineStr">
        <is>
          <t>ALSINA 6550</t>
        </is>
      </c>
      <c r="C420" s="216" t="n">
        <v>73000</v>
      </c>
      <c r="D420" s="216" t="n">
        <v>29050</v>
      </c>
      <c r="E420" s="293" t="n">
        <v>0.3979</v>
      </c>
      <c r="F420" s="294" t="n">
        <v>2</v>
      </c>
      <c r="G420" s="294" t="n"/>
      <c r="H420" s="294" t="n">
        <v>2</v>
      </c>
      <c r="I420" s="294" t="n"/>
      <c r="J420" s="294" t="n">
        <v>20</v>
      </c>
      <c r="K420" s="294" t="n"/>
      <c r="L420" s="215" t="inlineStr">
        <is>
          <t>10/05/2026</t>
        </is>
      </c>
    </row>
    <row r="421" ht="15.75" customHeight="1" s="153">
      <c r="A421" s="221" t="n">
        <v>416</v>
      </c>
      <c r="B421" s="215" t="inlineStr">
        <is>
          <t>GENEIRO 8249</t>
        </is>
      </c>
      <c r="C421" s="216" t="n">
        <v>73000</v>
      </c>
      <c r="D421" s="216" t="n">
        <v>28700</v>
      </c>
      <c r="E421" s="293" t="n">
        <v>0.3932</v>
      </c>
      <c r="F421" s="294" t="n">
        <v>3</v>
      </c>
      <c r="G421" s="294" t="n">
        <v>3</v>
      </c>
      <c r="H421" s="294" t="n"/>
      <c r="I421" s="294" t="n"/>
      <c r="J421" s="294" t="n"/>
      <c r="K421" s="294" t="n"/>
      <c r="L421" s="215" t="inlineStr">
        <is>
          <t>25/05/2026</t>
        </is>
      </c>
    </row>
    <row r="422" ht="15.75" customHeight="1" s="153">
      <c r="A422" s="214" t="n">
        <v>417</v>
      </c>
      <c r="B422" s="215" t="inlineStr">
        <is>
          <t>ROQUE S PENA 7668</t>
        </is>
      </c>
      <c r="C422" s="216" t="n">
        <v>73000</v>
      </c>
      <c r="D422" s="216" t="n">
        <v>24000</v>
      </c>
      <c r="E422" s="293" t="n">
        <v>0.3288</v>
      </c>
      <c r="F422" s="294" t="n">
        <v>1</v>
      </c>
      <c r="G422" s="294" t="n"/>
      <c r="H422" s="294" t="n"/>
      <c r="I422" s="294" t="n">
        <v>1</v>
      </c>
      <c r="J422" s="294" t="n"/>
      <c r="K422" s="294" t="n"/>
      <c r="L422" s="215" t="inlineStr">
        <is>
          <t>03/03/2026</t>
        </is>
      </c>
    </row>
    <row r="423" ht="15.75" customHeight="1" s="153">
      <c r="A423" s="221" t="n">
        <v>418</v>
      </c>
      <c r="B423" s="215" t="inlineStr">
        <is>
          <t>GORRITI 4661</t>
        </is>
      </c>
      <c r="C423" s="216" t="n">
        <v>72500</v>
      </c>
      <c r="D423" s="216" t="n">
        <v>33500</v>
      </c>
      <c r="E423" s="293" t="n">
        <v>0.4621</v>
      </c>
      <c r="F423" s="294" t="n">
        <v>3</v>
      </c>
      <c r="G423" s="294" t="n">
        <v>3</v>
      </c>
      <c r="H423" s="294" t="n"/>
      <c r="I423" s="294" t="n"/>
      <c r="J423" s="294" t="n"/>
      <c r="K423" s="294" t="n"/>
      <c r="L423" s="215" t="inlineStr">
        <is>
          <t>02/05/2026</t>
        </is>
      </c>
    </row>
    <row r="424" ht="15.75" customHeight="1" s="153">
      <c r="A424" s="214" t="n">
        <v>419</v>
      </c>
      <c r="B424" s="215" t="inlineStr">
        <is>
          <t>RUPERTO GODOY 1278</t>
        </is>
      </c>
      <c r="C424" s="216" t="n">
        <v>72500</v>
      </c>
      <c r="D424" s="216" t="n">
        <v>25500</v>
      </c>
      <c r="E424" s="293" t="n">
        <v>0.3517</v>
      </c>
      <c r="F424" s="294" t="n">
        <v>1</v>
      </c>
      <c r="G424" s="294" t="n"/>
      <c r="H424" s="294" t="n"/>
      <c r="I424" s="294" t="n">
        <v>1</v>
      </c>
      <c r="J424" s="294" t="n"/>
      <c r="K424" s="294" t="n"/>
      <c r="L424" s="215" t="inlineStr">
        <is>
          <t>03/02/2026</t>
        </is>
      </c>
    </row>
    <row r="425" ht="15.75" customHeight="1" s="153">
      <c r="A425" s="221" t="n">
        <v>420</v>
      </c>
      <c r="B425" s="215" t="inlineStr">
        <is>
          <t>BARRETO 9261</t>
        </is>
      </c>
      <c r="C425" s="216" t="n">
        <v>72500</v>
      </c>
      <c r="D425" s="216" t="n">
        <v>41000</v>
      </c>
      <c r="E425" s="293" t="n">
        <v>0.5655</v>
      </c>
      <c r="F425" s="294" t="n">
        <v>2</v>
      </c>
      <c r="G425" s="294" t="n"/>
      <c r="H425" s="294" t="n">
        <v>2</v>
      </c>
      <c r="I425" s="294" t="n"/>
      <c r="J425" s="294" t="n"/>
      <c r="K425" s="294" t="n"/>
      <c r="L425" s="215" t="inlineStr">
        <is>
          <t>11/02/2026</t>
        </is>
      </c>
    </row>
    <row r="426" ht="15.75" customHeight="1" s="153">
      <c r="A426" s="214" t="n">
        <v>421</v>
      </c>
      <c r="B426" s="215" t="inlineStr">
        <is>
          <t>J CIBILS 2519</t>
        </is>
      </c>
      <c r="C426" s="216" t="n">
        <v>72000</v>
      </c>
      <c r="D426" s="216" t="n">
        <v>25000</v>
      </c>
      <c r="E426" s="293" t="n">
        <v>0.3472</v>
      </c>
      <c r="F426" s="294" t="n">
        <v>1</v>
      </c>
      <c r="G426" s="294" t="n"/>
      <c r="H426" s="294" t="n"/>
      <c r="I426" s="294" t="n">
        <v>1</v>
      </c>
      <c r="J426" s="294" t="n"/>
      <c r="K426" s="294" t="n"/>
      <c r="L426" s="215" t="inlineStr">
        <is>
          <t>04/01/2026</t>
        </is>
      </c>
    </row>
    <row r="427" ht="15.75" customHeight="1" s="153">
      <c r="A427" s="221" t="n">
        <v>422</v>
      </c>
      <c r="B427" s="215" t="inlineStr">
        <is>
          <t>SAVEDRA 6445</t>
        </is>
      </c>
      <c r="C427" s="216" t="n">
        <v>72000</v>
      </c>
      <c r="D427" s="216" t="n">
        <v>25000</v>
      </c>
      <c r="E427" s="293" t="n">
        <v>0.3472</v>
      </c>
      <c r="F427" s="294" t="n">
        <v>1</v>
      </c>
      <c r="G427" s="294" t="n"/>
      <c r="H427" s="294" t="n"/>
      <c r="I427" s="294" t="n">
        <v>1</v>
      </c>
      <c r="J427" s="294" t="n"/>
      <c r="K427" s="294" t="n"/>
      <c r="L427" s="215" t="inlineStr">
        <is>
          <t>06/01/2026</t>
        </is>
      </c>
    </row>
    <row r="428" ht="15.75" customHeight="1" s="153">
      <c r="A428" s="214" t="n">
        <v>423</v>
      </c>
      <c r="B428" s="215" t="inlineStr">
        <is>
          <t>PANA GORRITI</t>
        </is>
      </c>
      <c r="C428" s="216" t="n">
        <v>72000</v>
      </c>
      <c r="D428" s="216" t="n">
        <v>25000</v>
      </c>
      <c r="E428" s="293" t="n">
        <v>0.3472</v>
      </c>
      <c r="F428" s="294" t="n">
        <v>1</v>
      </c>
      <c r="G428" s="294" t="n"/>
      <c r="H428" s="294" t="n"/>
      <c r="I428" s="294" t="n">
        <v>1</v>
      </c>
      <c r="J428" s="294" t="n"/>
      <c r="K428" s="294" t="n"/>
      <c r="L428" s="215" t="inlineStr">
        <is>
          <t>10/01/2026</t>
        </is>
      </c>
    </row>
    <row r="429" ht="15.75" customHeight="1" s="153">
      <c r="A429" s="221" t="n">
        <v>424</v>
      </c>
      <c r="B429" s="215" t="inlineStr">
        <is>
          <t xml:space="preserve">PANA GORRITI </t>
        </is>
      </c>
      <c r="C429" s="216" t="n">
        <v>72000</v>
      </c>
      <c r="D429" s="216" t="n">
        <v>25000</v>
      </c>
      <c r="E429" s="293" t="n">
        <v>0.3472</v>
      </c>
      <c r="F429" s="294" t="n">
        <v>1</v>
      </c>
      <c r="G429" s="294" t="n"/>
      <c r="H429" s="294" t="n"/>
      <c r="I429" s="294" t="n">
        <v>1</v>
      </c>
      <c r="J429" s="294" t="n"/>
      <c r="K429" s="294" t="n"/>
      <c r="L429" s="215" t="inlineStr">
        <is>
          <t>12/01/2026</t>
        </is>
      </c>
    </row>
    <row r="430" ht="15.75" customHeight="1" s="153">
      <c r="A430" s="214" t="n">
        <v>425</v>
      </c>
      <c r="B430" s="215" t="inlineStr">
        <is>
          <t>PAVON 2124</t>
        </is>
      </c>
      <c r="C430" s="216" t="n">
        <v>72000</v>
      </c>
      <c r="D430" s="216" t="n">
        <v>33750</v>
      </c>
      <c r="E430" s="293" t="n">
        <v>0.4688</v>
      </c>
      <c r="F430" s="294" t="n">
        <v>2</v>
      </c>
      <c r="G430" s="294" t="n"/>
      <c r="H430" s="294" t="n">
        <v>2</v>
      </c>
      <c r="I430" s="294" t="n"/>
      <c r="J430" s="294" t="n"/>
      <c r="K430" s="294" t="n"/>
      <c r="L430" s="215" t="inlineStr">
        <is>
          <t>03/04/2026</t>
        </is>
      </c>
    </row>
    <row r="431" ht="15.75" customHeight="1" s="153">
      <c r="A431" s="221" t="n">
        <v>426</v>
      </c>
      <c r="B431" s="215" t="inlineStr">
        <is>
          <t>ALFEREZ MOREIRA 1845</t>
        </is>
      </c>
      <c r="C431" s="216" t="n">
        <v>72000</v>
      </c>
      <c r="D431" s="216" t="n">
        <v>25000</v>
      </c>
      <c r="E431" s="293" t="n">
        <v>0.3472</v>
      </c>
      <c r="F431" s="294" t="n">
        <v>1</v>
      </c>
      <c r="G431" s="294" t="n"/>
      <c r="H431" s="294" t="n"/>
      <c r="I431" s="294" t="n">
        <v>1</v>
      </c>
      <c r="J431" s="294" t="n"/>
      <c r="K431" s="294" t="n"/>
      <c r="L431" s="215" t="inlineStr">
        <is>
          <t>23/01/2026</t>
        </is>
      </c>
    </row>
    <row r="432" ht="15.75" customHeight="1" s="153">
      <c r="A432" s="214" t="n">
        <v>427</v>
      </c>
      <c r="B432" s="215" t="inlineStr">
        <is>
          <t>GORRITI 6512</t>
        </is>
      </c>
      <c r="C432" s="216" t="n">
        <v>72000</v>
      </c>
      <c r="D432" s="216" t="n">
        <v>25000</v>
      </c>
      <c r="E432" s="293" t="n">
        <v>0.3472</v>
      </c>
      <c r="F432" s="294" t="n">
        <v>1</v>
      </c>
      <c r="G432" s="294" t="n"/>
      <c r="H432" s="294" t="n"/>
      <c r="I432" s="294" t="n">
        <v>1</v>
      </c>
      <c r="J432" s="294" t="n"/>
      <c r="K432" s="294" t="n"/>
      <c r="L432" s="215" t="inlineStr">
        <is>
          <t>24/01/2026</t>
        </is>
      </c>
    </row>
    <row r="433" ht="15.75" customHeight="1" s="153">
      <c r="A433" s="221" t="n">
        <v>428</v>
      </c>
      <c r="B433" s="215" t="inlineStr">
        <is>
          <t>GORRITI 4600</t>
        </is>
      </c>
      <c r="C433" s="216" t="n">
        <v>72000</v>
      </c>
      <c r="D433" s="216" t="n">
        <v>25000</v>
      </c>
      <c r="E433" s="293" t="n">
        <v>0.3472</v>
      </c>
      <c r="F433" s="294" t="n">
        <v>1</v>
      </c>
      <c r="G433" s="294" t="n"/>
      <c r="H433" s="294" t="n"/>
      <c r="I433" s="294" t="n">
        <v>1</v>
      </c>
      <c r="J433" s="294" t="n"/>
      <c r="K433" s="294" t="n"/>
      <c r="L433" s="215" t="inlineStr">
        <is>
          <t>31/01/2026</t>
        </is>
      </c>
    </row>
    <row r="434" ht="15.75" customHeight="1" s="153">
      <c r="A434" s="214" t="n">
        <v>429</v>
      </c>
      <c r="B434" s="215" t="inlineStr">
        <is>
          <t>ALBERTI 5477</t>
        </is>
      </c>
      <c r="C434" s="216" t="n">
        <v>72000</v>
      </c>
      <c r="D434" s="216" t="n">
        <v>25000</v>
      </c>
      <c r="E434" s="293" t="n">
        <v>0.3472</v>
      </c>
      <c r="F434" s="294" t="n">
        <v>1</v>
      </c>
      <c r="G434" s="294" t="n"/>
      <c r="H434" s="294" t="n"/>
      <c r="I434" s="294" t="n">
        <v>1</v>
      </c>
      <c r="J434" s="294" t="n"/>
      <c r="K434" s="294" t="n"/>
      <c r="L434" s="215" t="inlineStr">
        <is>
          <t>17/02/2026</t>
        </is>
      </c>
    </row>
    <row r="435" ht="15.75" customHeight="1" s="153">
      <c r="A435" s="221" t="n">
        <v>430</v>
      </c>
      <c r="B435" s="215" t="inlineStr">
        <is>
          <t>1 DE MAYO 1605</t>
        </is>
      </c>
      <c r="C435" s="216" t="n">
        <v>72000</v>
      </c>
      <c r="D435" s="216" t="n">
        <v>33750</v>
      </c>
      <c r="E435" s="293" t="n">
        <v>0.4688</v>
      </c>
      <c r="F435" s="294" t="n">
        <v>2</v>
      </c>
      <c r="G435" s="294" t="n"/>
      <c r="H435" s="294" t="n">
        <v>2</v>
      </c>
      <c r="I435" s="294" t="n"/>
      <c r="J435" s="294" t="n"/>
      <c r="K435" s="294" t="n"/>
      <c r="L435" s="215" t="inlineStr">
        <is>
          <t>23/04/2026</t>
        </is>
      </c>
    </row>
    <row r="436" ht="15.75" customHeight="1" s="153">
      <c r="A436" s="214" t="n">
        <v>431</v>
      </c>
      <c r="B436" s="215" t="inlineStr">
        <is>
          <t>AZOPARDO 8443</t>
        </is>
      </c>
      <c r="C436" s="216" t="n">
        <v>72000</v>
      </c>
      <c r="D436" s="216" t="n">
        <v>30700</v>
      </c>
      <c r="E436" s="293" t="n">
        <v>0.4264</v>
      </c>
      <c r="F436" s="294" t="n">
        <v>3</v>
      </c>
      <c r="G436" s="294" t="n">
        <v>3</v>
      </c>
      <c r="H436" s="294" t="n"/>
      <c r="I436" s="294" t="n"/>
      <c r="J436" s="294" t="n"/>
      <c r="K436" s="294" t="n"/>
      <c r="L436" s="215" t="inlineStr">
        <is>
          <t>14/05/2026</t>
        </is>
      </c>
    </row>
    <row r="437" ht="15.75" customHeight="1" s="153">
      <c r="A437" s="221" t="n">
        <v>432</v>
      </c>
      <c r="B437" s="215" t="inlineStr">
        <is>
          <t>CAFERATA 9416</t>
        </is>
      </c>
      <c r="C437" s="216" t="n">
        <v>72000</v>
      </c>
      <c r="D437" s="216" t="n">
        <v>29250</v>
      </c>
      <c r="E437" s="293" t="n">
        <v>0.4062</v>
      </c>
      <c r="F437" s="294" t="n">
        <v>2</v>
      </c>
      <c r="G437" s="294" t="n"/>
      <c r="H437" s="294" t="n">
        <v>2</v>
      </c>
      <c r="I437" s="294" t="n"/>
      <c r="J437" s="294" t="n"/>
      <c r="K437" s="294" t="n"/>
      <c r="L437" s="215" t="inlineStr">
        <is>
          <t>28/04/2026</t>
        </is>
      </c>
    </row>
    <row r="438" ht="15.75" customHeight="1" s="153">
      <c r="A438" s="214" t="n">
        <v>433</v>
      </c>
      <c r="B438" s="215" t="inlineStr">
        <is>
          <t>CONDOMINIO 3728</t>
        </is>
      </c>
      <c r="C438" s="216" t="n">
        <v>71000</v>
      </c>
      <c r="D438" s="216" t="n">
        <v>24000</v>
      </c>
      <c r="E438" s="293" t="n">
        <v>0.338</v>
      </c>
      <c r="F438" s="294" t="n">
        <v>1</v>
      </c>
      <c r="G438" s="294" t="n"/>
      <c r="H438" s="294" t="n"/>
      <c r="I438" s="294" t="n">
        <v>1</v>
      </c>
      <c r="J438" s="294" t="n">
        <v>10</v>
      </c>
      <c r="K438" s="294" t="n"/>
      <c r="L438" s="215" t="inlineStr">
        <is>
          <t>24/01/2026</t>
        </is>
      </c>
    </row>
    <row r="439" ht="15.75" customHeight="1" s="153">
      <c r="A439" s="221" t="n">
        <v>434</v>
      </c>
      <c r="B439" s="215" t="inlineStr">
        <is>
          <t>ALBERTI 4538</t>
        </is>
      </c>
      <c r="C439" s="216" t="n">
        <v>70500</v>
      </c>
      <c r="D439" s="216" t="n">
        <v>32250</v>
      </c>
      <c r="E439" s="293" t="n">
        <v>0.4574</v>
      </c>
      <c r="F439" s="294" t="n">
        <v>2</v>
      </c>
      <c r="G439" s="294" t="n"/>
      <c r="H439" s="294" t="n">
        <v>2</v>
      </c>
      <c r="I439" s="294" t="n"/>
      <c r="J439" s="294" t="n"/>
      <c r="K439" s="294" t="n"/>
      <c r="L439" s="215" t="inlineStr">
        <is>
          <t>25/03/2026</t>
        </is>
      </c>
    </row>
    <row r="440" ht="15.75" customHeight="1" s="153">
      <c r="A440" s="214" t="n">
        <v>435</v>
      </c>
      <c r="B440" s="215" t="inlineStr">
        <is>
          <t>PUBLICO 5712</t>
        </is>
      </c>
      <c r="C440" s="216" t="n">
        <v>70500</v>
      </c>
      <c r="D440" s="216" t="n">
        <v>32250</v>
      </c>
      <c r="E440" s="293" t="n">
        <v>0.4574</v>
      </c>
      <c r="F440" s="294" t="n">
        <v>2</v>
      </c>
      <c r="G440" s="294" t="n"/>
      <c r="H440" s="294" t="n">
        <v>2</v>
      </c>
      <c r="I440" s="294" t="n"/>
      <c r="J440" s="294" t="n"/>
      <c r="K440" s="294" t="n"/>
      <c r="L440" s="215" t="inlineStr">
        <is>
          <t>20/04/2026</t>
        </is>
      </c>
    </row>
    <row r="441" ht="15.75" customHeight="1" s="153">
      <c r="A441" s="221" t="n">
        <v>436</v>
      </c>
      <c r="B441" s="215" t="inlineStr">
        <is>
          <t>PENALOZA 9757</t>
        </is>
      </c>
      <c r="C441" s="216" t="n">
        <v>70500</v>
      </c>
      <c r="D441" s="216" t="n">
        <v>36000</v>
      </c>
      <c r="E441" s="293" t="n">
        <v>0.5106000000000001</v>
      </c>
      <c r="F441" s="294" t="n">
        <v>3</v>
      </c>
      <c r="G441" s="294" t="n">
        <v>3</v>
      </c>
      <c r="H441" s="294" t="n"/>
      <c r="I441" s="294" t="n"/>
      <c r="J441" s="294" t="n"/>
      <c r="K441" s="294" t="n"/>
      <c r="L441" s="215" t="inlineStr">
        <is>
          <t>14/03/2026</t>
        </is>
      </c>
    </row>
    <row r="442" ht="15.75" customHeight="1" s="153">
      <c r="A442" s="214" t="n">
        <v>437</v>
      </c>
      <c r="B442" s="215" t="inlineStr">
        <is>
          <t xml:space="preserve">NACHO CUEVA </t>
        </is>
      </c>
      <c r="C442" s="216" t="n">
        <v>70000</v>
      </c>
      <c r="D442" s="216" t="n">
        <v>28000</v>
      </c>
      <c r="E442" s="293" t="n">
        <v>0.4</v>
      </c>
      <c r="F442" s="294" t="n">
        <v>2</v>
      </c>
      <c r="G442" s="294" t="n">
        <v>4</v>
      </c>
      <c r="H442" s="294" t="n"/>
      <c r="I442" s="294" t="n"/>
      <c r="J442" s="294" t="n"/>
      <c r="K442" s="294" t="n"/>
      <c r="L442" s="215" t="inlineStr">
        <is>
          <t>28/01/2026</t>
        </is>
      </c>
    </row>
    <row r="443" ht="15.75" customHeight="1" s="153">
      <c r="A443" s="221" t="n">
        <v>438</v>
      </c>
      <c r="B443" s="215" t="inlineStr">
        <is>
          <t>DAMIANOVICH 3190</t>
        </is>
      </c>
      <c r="C443" s="216" t="n">
        <v>70000</v>
      </c>
      <c r="D443" s="216" t="n">
        <v>31750</v>
      </c>
      <c r="E443" s="293" t="n">
        <v>0.4536</v>
      </c>
      <c r="F443" s="294" t="n">
        <v>2</v>
      </c>
      <c r="G443" s="294" t="n"/>
      <c r="H443" s="294" t="n">
        <v>2</v>
      </c>
      <c r="I443" s="294" t="n"/>
      <c r="J443" s="294" t="n"/>
      <c r="K443" s="294" t="n">
        <v>6</v>
      </c>
      <c r="L443" s="215" t="inlineStr">
        <is>
          <t>25/04/2026</t>
        </is>
      </c>
    </row>
    <row r="444" ht="15.75" customHeight="1" s="153">
      <c r="A444" s="214" t="n">
        <v>439</v>
      </c>
      <c r="B444" s="215" t="inlineStr">
        <is>
          <t>PANA HNO FIGUEROA</t>
        </is>
      </c>
      <c r="C444" s="216" t="n">
        <v>70000</v>
      </c>
      <c r="D444" s="216" t="n">
        <v>21000</v>
      </c>
      <c r="E444" s="293" t="n">
        <v>0.3</v>
      </c>
      <c r="F444" s="294" t="n">
        <v>1</v>
      </c>
      <c r="G444" s="294" t="n"/>
      <c r="H444" s="294" t="n"/>
      <c r="I444" s="294" t="n">
        <v>1</v>
      </c>
      <c r="J444" s="294" t="n"/>
      <c r="K444" s="294" t="n"/>
      <c r="L444" s="215" t="inlineStr">
        <is>
          <t>13/03/2026</t>
        </is>
      </c>
    </row>
    <row r="445" ht="15.75" customHeight="1" s="153">
      <c r="A445" s="221" t="n">
        <v>440</v>
      </c>
      <c r="B445" s="215" t="inlineStr">
        <is>
          <t>PANA FIGUEROA</t>
        </is>
      </c>
      <c r="C445" s="216" t="n">
        <v>70000</v>
      </c>
      <c r="D445" s="216" t="n">
        <v>10000</v>
      </c>
      <c r="E445" s="293" t="n">
        <v>0.1429</v>
      </c>
      <c r="F445" s="294" t="n">
        <v>1</v>
      </c>
      <c r="G445" s="294" t="n"/>
      <c r="H445" s="294" t="n"/>
      <c r="I445" s="294" t="n">
        <v>1</v>
      </c>
      <c r="J445" s="294" t="n"/>
      <c r="K445" s="294" t="n"/>
      <c r="L445" s="215" t="inlineStr">
        <is>
          <t>26/03/2026</t>
        </is>
      </c>
    </row>
    <row r="446" ht="15.75" customHeight="1" s="153">
      <c r="A446" s="214" t="n">
        <v>441</v>
      </c>
      <c r="B446" s="215" t="inlineStr">
        <is>
          <t>GARMENDIA 9249</t>
        </is>
      </c>
      <c r="C446" s="216" t="n">
        <v>69500</v>
      </c>
      <c r="D446" s="216" t="n">
        <v>31250</v>
      </c>
      <c r="E446" s="293" t="n">
        <v>0.4496</v>
      </c>
      <c r="F446" s="294" t="n">
        <v>2</v>
      </c>
      <c r="G446" s="294" t="n"/>
      <c r="H446" s="294" t="n">
        <v>2</v>
      </c>
      <c r="I446" s="294" t="n"/>
      <c r="J446" s="294" t="n"/>
      <c r="K446" s="294" t="n"/>
      <c r="L446" s="215" t="inlineStr">
        <is>
          <t>08/04/2026</t>
        </is>
      </c>
    </row>
    <row r="447" ht="15.75" customHeight="1" s="153">
      <c r="A447" s="221" t="n">
        <v>442</v>
      </c>
      <c r="B447" s="215" t="inlineStr">
        <is>
          <t>C FUNES 4553</t>
        </is>
      </c>
      <c r="C447" s="216" t="n">
        <v>69000</v>
      </c>
      <c r="D447" s="216" t="n">
        <v>22000</v>
      </c>
      <c r="E447" s="293" t="n">
        <v>0.3188</v>
      </c>
      <c r="F447" s="294" t="n">
        <v>1</v>
      </c>
      <c r="G447" s="294" t="n"/>
      <c r="H447" s="294" t="n"/>
      <c r="I447" s="294" t="n">
        <v>1</v>
      </c>
      <c r="J447" s="294" t="n"/>
      <c r="K447" s="294" t="n"/>
      <c r="L447" s="215" t="inlineStr">
        <is>
          <t>04/01/2026</t>
        </is>
      </c>
    </row>
    <row r="448" ht="15.75" customHeight="1" s="153">
      <c r="A448" s="214" t="n">
        <v>443</v>
      </c>
      <c r="B448" s="215" t="inlineStr">
        <is>
          <t>BLAS PARERA 6054</t>
        </is>
      </c>
      <c r="C448" s="216" t="n">
        <v>69000</v>
      </c>
      <c r="D448" s="216" t="n">
        <v>22000</v>
      </c>
      <c r="E448" s="293" t="n">
        <v>0.3188</v>
      </c>
      <c r="F448" s="294" t="n">
        <v>1</v>
      </c>
      <c r="G448" s="294" t="n"/>
      <c r="H448" s="294" t="n"/>
      <c r="I448" s="294" t="n">
        <v>1</v>
      </c>
      <c r="J448" s="294" t="n"/>
      <c r="K448" s="294" t="n"/>
      <c r="L448" s="215" t="inlineStr">
        <is>
          <t>08/01/2026</t>
        </is>
      </c>
    </row>
    <row r="449" ht="15.75" customHeight="1" s="153">
      <c r="A449" s="221" t="n">
        <v>444</v>
      </c>
      <c r="B449" s="215" t="inlineStr">
        <is>
          <t>PAVON 2612</t>
        </is>
      </c>
      <c r="C449" s="216" t="n">
        <v>68000</v>
      </c>
      <c r="D449" s="216" t="n">
        <v>21000</v>
      </c>
      <c r="E449" s="293" t="n">
        <v>0.3088</v>
      </c>
      <c r="F449" s="294" t="n">
        <v>1</v>
      </c>
      <c r="G449" s="294" t="n"/>
      <c r="H449" s="294" t="n"/>
      <c r="I449" s="294" t="n">
        <v>1</v>
      </c>
      <c r="J449" s="294" t="n"/>
      <c r="K449" s="294" t="n"/>
      <c r="L449" s="215" t="inlineStr">
        <is>
          <t>21/02/2026</t>
        </is>
      </c>
    </row>
    <row r="450" ht="15.75" customHeight="1" s="153">
      <c r="A450" s="214" t="n">
        <v>445</v>
      </c>
      <c r="B450" s="215" t="inlineStr">
        <is>
          <t>CAMELI 4860</t>
        </is>
      </c>
      <c r="C450" s="216" t="n">
        <v>68000</v>
      </c>
      <c r="D450" s="216" t="n">
        <v>26000</v>
      </c>
      <c r="E450" s="293" t="n">
        <v>0.3824</v>
      </c>
      <c r="F450" s="294" t="n">
        <v>2</v>
      </c>
      <c r="G450" s="294" t="n">
        <v>3</v>
      </c>
      <c r="H450" s="294" t="n"/>
      <c r="I450" s="294" t="n"/>
      <c r="J450" s="294" t="n"/>
      <c r="K450" s="294" t="n"/>
      <c r="L450" s="215" t="inlineStr">
        <is>
          <t>17/04/2026</t>
        </is>
      </c>
    </row>
    <row r="451" ht="15.75" customHeight="1" s="153">
      <c r="A451" s="221" t="n">
        <v>446</v>
      </c>
      <c r="B451" s="215" t="inlineStr">
        <is>
          <t>ANDRE</t>
        </is>
      </c>
      <c r="C451" s="216" t="n">
        <v>68000</v>
      </c>
      <c r="D451" s="216" t="n">
        <v>22000</v>
      </c>
      <c r="E451" s="293" t="n">
        <v>0.3235</v>
      </c>
      <c r="F451" s="294" t="n">
        <v>1</v>
      </c>
      <c r="G451" s="294" t="n"/>
      <c r="H451" s="294" t="n"/>
      <c r="I451" s="294" t="n"/>
      <c r="J451" s="294" t="n"/>
      <c r="K451" s="294" t="n"/>
      <c r="L451" s="215" t="inlineStr">
        <is>
          <t>16/03/2026</t>
        </is>
      </c>
    </row>
    <row r="452" ht="15.75" customHeight="1" s="153">
      <c r="A452" s="214" t="n">
        <v>447</v>
      </c>
      <c r="B452" s="215" t="inlineStr">
        <is>
          <t>ESPORA 4846</t>
        </is>
      </c>
      <c r="C452" s="216" t="n">
        <v>68000</v>
      </c>
      <c r="D452" s="216" t="n">
        <v>28500</v>
      </c>
      <c r="E452" s="293" t="n">
        <v>0.4191</v>
      </c>
      <c r="F452" s="294" t="n">
        <v>1</v>
      </c>
      <c r="G452" s="294" t="n">
        <v>1</v>
      </c>
      <c r="H452" s="294" t="n">
        <v>1</v>
      </c>
      <c r="I452" s="294" t="n"/>
      <c r="J452" s="294" t="n"/>
      <c r="K452" s="294" t="n"/>
      <c r="L452" s="215" t="inlineStr">
        <is>
          <t>22/05/2026</t>
        </is>
      </c>
    </row>
    <row r="453" ht="15.75" customHeight="1" s="153">
      <c r="A453" s="221" t="n">
        <v>448</v>
      </c>
      <c r="B453" s="215" t="inlineStr">
        <is>
          <t>MATEU 4059</t>
        </is>
      </c>
      <c r="C453" s="216" t="n">
        <v>67500</v>
      </c>
      <c r="D453" s="216" t="n">
        <v>21300</v>
      </c>
      <c r="E453" s="293" t="n">
        <v>0.3156</v>
      </c>
      <c r="F453" s="294" t="n">
        <v>2</v>
      </c>
      <c r="G453" s="294" t="n"/>
      <c r="H453" s="294" t="n">
        <v>2</v>
      </c>
      <c r="I453" s="294" t="n"/>
      <c r="J453" s="294" t="n"/>
      <c r="K453" s="294" t="n"/>
      <c r="L453" s="215" t="inlineStr">
        <is>
          <t>08/05/2026</t>
        </is>
      </c>
    </row>
    <row r="454" ht="15.75" customHeight="1" s="153">
      <c r="A454" s="214" t="n">
        <v>449</v>
      </c>
      <c r="B454" s="215" t="inlineStr">
        <is>
          <t>MARIO ALBERTI Y GABOTO</t>
        </is>
      </c>
      <c r="C454" s="216" t="n">
        <v>67500</v>
      </c>
      <c r="D454" s="216" t="n">
        <v>12200</v>
      </c>
      <c r="E454" s="293" t="n">
        <v>0.1807</v>
      </c>
      <c r="F454" s="294" t="n">
        <v>1</v>
      </c>
      <c r="G454" s="294" t="n">
        <v>2</v>
      </c>
      <c r="H454" s="294" t="n">
        <v>1</v>
      </c>
      <c r="I454" s="294" t="n"/>
      <c r="J454" s="294" t="n"/>
      <c r="K454" s="294" t="n"/>
      <c r="L454" s="215" t="inlineStr">
        <is>
          <t>09/05/2026</t>
        </is>
      </c>
    </row>
    <row r="455" ht="15.75" customHeight="1" s="153">
      <c r="A455" s="221" t="n">
        <v>450</v>
      </c>
      <c r="B455" s="215" t="inlineStr">
        <is>
          <t>PAPA BRUNO</t>
        </is>
      </c>
      <c r="C455" s="216" t="n">
        <v>66500</v>
      </c>
      <c r="D455" s="216" t="n">
        <v>27050</v>
      </c>
      <c r="E455" s="293" t="n">
        <v>0.4068</v>
      </c>
      <c r="F455" s="294" t="n">
        <v>2</v>
      </c>
      <c r="G455" s="294" t="n"/>
      <c r="H455" s="294" t="n">
        <v>2</v>
      </c>
      <c r="I455" s="294" t="n"/>
      <c r="J455" s="294" t="n"/>
      <c r="K455" s="294" t="n"/>
      <c r="L455" s="215" t="inlineStr">
        <is>
          <t>14/05/2026</t>
        </is>
      </c>
    </row>
    <row r="456" ht="15.75" customHeight="1" s="153">
      <c r="A456" s="214" t="n">
        <v>451</v>
      </c>
      <c r="B456" s="215" t="inlineStr">
        <is>
          <t>9 DE JULIO 1356</t>
        </is>
      </c>
      <c r="C456" s="216" t="n">
        <v>66500</v>
      </c>
      <c r="D456" s="216" t="n">
        <v>27800</v>
      </c>
      <c r="E456" s="293" t="n">
        <v>0.418</v>
      </c>
      <c r="F456" s="294" t="n">
        <v>2</v>
      </c>
      <c r="G456" s="294" t="n">
        <v>1</v>
      </c>
      <c r="H456" s="294" t="n">
        <v>1</v>
      </c>
      <c r="I456" s="294" t="n"/>
      <c r="J456" s="294" t="n"/>
      <c r="K456" s="294" t="n"/>
      <c r="L456" s="215" t="inlineStr">
        <is>
          <t>19/05/2026</t>
        </is>
      </c>
    </row>
    <row r="457" ht="15.75" customHeight="1" s="153">
      <c r="A457" s="221" t="n">
        <v>452</v>
      </c>
      <c r="B457" s="215" t="inlineStr">
        <is>
          <t>DANI PAPA BRUNO</t>
        </is>
      </c>
      <c r="C457" s="216" t="n">
        <v>66000</v>
      </c>
      <c r="D457" s="216" t="n">
        <v>27750</v>
      </c>
      <c r="E457" s="293" t="n">
        <v>0.4205</v>
      </c>
      <c r="F457" s="294" t="n">
        <v>2</v>
      </c>
      <c r="G457" s="294" t="n"/>
      <c r="H457" s="294" t="n">
        <v>2</v>
      </c>
      <c r="I457" s="294" t="n"/>
      <c r="J457" s="294" t="n"/>
      <c r="K457" s="294" t="n"/>
      <c r="L457" s="215" t="inlineStr">
        <is>
          <t>28/04/2026</t>
        </is>
      </c>
    </row>
    <row r="458" ht="15.75" customHeight="1" s="153">
      <c r="A458" s="214" t="n">
        <v>453</v>
      </c>
      <c r="B458" s="215" t="inlineStr">
        <is>
          <t>DUSSO 6638</t>
        </is>
      </c>
      <c r="C458" s="216" t="n">
        <v>65000</v>
      </c>
      <c r="D458" s="216" t="n">
        <v>18000</v>
      </c>
      <c r="E458" s="293" t="n">
        <v>0.2769</v>
      </c>
      <c r="F458" s="294" t="n">
        <v>1</v>
      </c>
      <c r="G458" s="294" t="n"/>
      <c r="H458" s="294" t="n"/>
      <c r="I458" s="294" t="n">
        <v>1</v>
      </c>
      <c r="J458" s="294" t="n"/>
      <c r="K458" s="294" t="n"/>
      <c r="L458" s="215" t="inlineStr">
        <is>
          <t>02/01/2026</t>
        </is>
      </c>
    </row>
    <row r="459" ht="15.75" customHeight="1" s="153">
      <c r="A459" s="221" t="n">
        <v>454</v>
      </c>
      <c r="B459" s="215" t="inlineStr">
        <is>
          <t>PANA HNO FIGUERIOA</t>
        </is>
      </c>
      <c r="C459" s="216" t="n">
        <v>65000</v>
      </c>
      <c r="D459" s="216" t="n">
        <v>18000</v>
      </c>
      <c r="E459" s="293" t="n">
        <v>0.2769</v>
      </c>
      <c r="F459" s="294" t="n">
        <v>1</v>
      </c>
      <c r="G459" s="294" t="n"/>
      <c r="H459" s="294" t="n"/>
      <c r="I459" s="294" t="n">
        <v>1</v>
      </c>
      <c r="J459" s="294" t="n"/>
      <c r="K459" s="294" t="n"/>
      <c r="L459" s="215" t="inlineStr">
        <is>
          <t>07/01/2026</t>
        </is>
      </c>
    </row>
    <row r="460" ht="15.75" customHeight="1" s="153">
      <c r="A460" s="214" t="n">
        <v>455</v>
      </c>
      <c r="B460" s="215" t="inlineStr">
        <is>
          <t>4 DE ENERO 1342</t>
        </is>
      </c>
      <c r="C460" s="216" t="n">
        <v>65000</v>
      </c>
      <c r="D460" s="216" t="n">
        <v>27500</v>
      </c>
      <c r="E460" s="293" t="n">
        <v>0.4231</v>
      </c>
      <c r="F460" s="294" t="n">
        <v>1</v>
      </c>
      <c r="G460" s="294" t="n">
        <v>1</v>
      </c>
      <c r="H460" s="294" t="n">
        <v>1</v>
      </c>
      <c r="I460" s="294" t="n"/>
      <c r="J460" s="294" t="n"/>
      <c r="K460" s="294" t="n"/>
      <c r="L460" s="215" t="inlineStr">
        <is>
          <t>21/04/2026</t>
        </is>
      </c>
    </row>
    <row r="461" ht="15.75" customHeight="1" s="153">
      <c r="A461" s="221" t="n">
        <v>456</v>
      </c>
      <c r="B461" s="215" t="inlineStr">
        <is>
          <t>IGUALDAD</t>
        </is>
      </c>
      <c r="C461" s="216" t="n">
        <v>64000</v>
      </c>
      <c r="D461" s="216" t="n">
        <v>22000</v>
      </c>
      <c r="E461" s="293" t="n">
        <v>0.3438</v>
      </c>
      <c r="F461" s="294" t="n">
        <v>3</v>
      </c>
      <c r="G461" s="294" t="n">
        <v>3</v>
      </c>
      <c r="H461" s="294" t="n"/>
      <c r="I461" s="294" t="n"/>
      <c r="J461" s="294" t="n"/>
      <c r="K461" s="294" t="n"/>
      <c r="L461" s="215" t="inlineStr">
        <is>
          <t>10/04/2026</t>
        </is>
      </c>
    </row>
    <row r="462" ht="15.75" customHeight="1" s="153">
      <c r="A462" s="214" t="n">
        <v>457</v>
      </c>
      <c r="B462" s="215" t="inlineStr">
        <is>
          <t>GORRITI 5019</t>
        </is>
      </c>
      <c r="C462" s="216" t="n">
        <v>64000</v>
      </c>
      <c r="D462" s="216" t="n">
        <v>10000</v>
      </c>
      <c r="E462" s="293" t="n">
        <v>0.1562</v>
      </c>
      <c r="F462" s="294" t="n">
        <v>1</v>
      </c>
      <c r="G462" s="294" t="n">
        <v>4</v>
      </c>
      <c r="H462" s="294" t="n"/>
      <c r="I462" s="294" t="n"/>
      <c r="J462" s="294" t="n"/>
      <c r="K462" s="294" t="n"/>
      <c r="L462" s="215" t="inlineStr">
        <is>
          <t>24/03/2026</t>
        </is>
      </c>
    </row>
    <row r="463" ht="15.75" customHeight="1" s="153">
      <c r="A463" s="221" t="n">
        <v>458</v>
      </c>
      <c r="B463" s="215" t="inlineStr">
        <is>
          <t>JUAN DE GARAY 3810</t>
        </is>
      </c>
      <c r="C463" s="216" t="n">
        <v>63500</v>
      </c>
      <c r="D463" s="216" t="n">
        <v>26000</v>
      </c>
      <c r="E463" s="293" t="n">
        <v>0.4094</v>
      </c>
      <c r="F463" s="294" t="n">
        <v>1</v>
      </c>
      <c r="G463" s="294" t="n">
        <v>1</v>
      </c>
      <c r="H463" s="294" t="n">
        <v>1</v>
      </c>
      <c r="I463" s="294" t="n"/>
      <c r="J463" s="294" t="n"/>
      <c r="K463" s="294" t="n"/>
      <c r="L463" s="215" t="inlineStr">
        <is>
          <t>06/05/2026</t>
        </is>
      </c>
    </row>
    <row r="464" ht="15.75" customHeight="1" s="153">
      <c r="A464" s="214" t="n">
        <v>459</v>
      </c>
      <c r="B464" s="215" t="inlineStr">
        <is>
          <t>RIVADAVIA JUNIOR</t>
        </is>
      </c>
      <c r="C464" s="216" t="n">
        <v>63000</v>
      </c>
      <c r="D464" s="216" t="n">
        <v>27000</v>
      </c>
      <c r="E464" s="293" t="n">
        <v>0.4286</v>
      </c>
      <c r="F464" s="294" t="n">
        <v>2</v>
      </c>
      <c r="G464" s="294" t="n">
        <v>1</v>
      </c>
      <c r="H464" s="294" t="n">
        <v>1</v>
      </c>
      <c r="I464" s="294" t="n"/>
      <c r="J464" s="294" t="n"/>
      <c r="K464" s="294" t="n"/>
      <c r="L464" s="215" t="inlineStr">
        <is>
          <t>16/04/2026</t>
        </is>
      </c>
    </row>
    <row r="465" ht="15.75" customHeight="1" s="153">
      <c r="A465" s="221" t="n">
        <v>460</v>
      </c>
      <c r="B465" s="215" t="inlineStr">
        <is>
          <t>CASANELLO 2128</t>
        </is>
      </c>
      <c r="C465" s="216" t="n">
        <v>63000</v>
      </c>
      <c r="D465" s="216" t="n">
        <v>24700</v>
      </c>
      <c r="E465" s="293" t="n">
        <v>0.3921</v>
      </c>
      <c r="F465" s="294" t="n">
        <v>2</v>
      </c>
      <c r="G465" s="294" t="n">
        <v>1</v>
      </c>
      <c r="H465" s="294" t="n">
        <v>1</v>
      </c>
      <c r="I465" s="294" t="n"/>
      <c r="J465" s="294" t="n"/>
      <c r="K465" s="294" t="n"/>
      <c r="L465" s="215" t="inlineStr">
        <is>
          <t>22/05/2026</t>
        </is>
      </c>
    </row>
    <row r="466" ht="15.75" customHeight="1" s="153">
      <c r="A466" s="214" t="n">
        <v>461</v>
      </c>
      <c r="B466" s="215" t="inlineStr">
        <is>
          <t>ESPORA 4858</t>
        </is>
      </c>
      <c r="C466" s="216" t="n">
        <v>62000</v>
      </c>
      <c r="D466" s="216" t="n">
        <v>21500</v>
      </c>
      <c r="E466" s="293" t="n">
        <v>0.3468</v>
      </c>
      <c r="F466" s="294" t="n">
        <v>1</v>
      </c>
      <c r="G466" s="294" t="n"/>
      <c r="H466" s="294" t="n">
        <v>2</v>
      </c>
      <c r="I466" s="294" t="n"/>
      <c r="J466" s="294" t="n"/>
      <c r="K466" s="294" t="n"/>
      <c r="L466" s="215" t="inlineStr">
        <is>
          <t>13/03/2026</t>
        </is>
      </c>
    </row>
    <row r="467" ht="15.75" customHeight="1" s="153">
      <c r="A467" s="221" t="n">
        <v>462</v>
      </c>
      <c r="B467" s="215" t="inlineStr">
        <is>
          <t>JAVIER DE LA ROSA 459</t>
        </is>
      </c>
      <c r="C467" s="216" t="n">
        <v>61500</v>
      </c>
      <c r="D467" s="216" t="n">
        <v>24000</v>
      </c>
      <c r="E467" s="293" t="n">
        <v>0.3902</v>
      </c>
      <c r="F467" s="294" t="n">
        <v>1</v>
      </c>
      <c r="G467" s="294" t="n">
        <v>1</v>
      </c>
      <c r="H467" s="294" t="n">
        <v>1</v>
      </c>
      <c r="I467" s="294" t="n"/>
      <c r="J467" s="294" t="n"/>
      <c r="K467" s="294" t="n"/>
      <c r="L467" s="215" t="inlineStr">
        <is>
          <t>15/04/2026</t>
        </is>
      </c>
    </row>
    <row r="468" ht="15.75" customHeight="1" s="153">
      <c r="A468" s="214" t="n">
        <v>463</v>
      </c>
      <c r="B468" s="215" t="inlineStr">
        <is>
          <t>MAMA NICO BUSTO</t>
        </is>
      </c>
      <c r="C468" s="216" t="n">
        <v>61000</v>
      </c>
      <c r="D468" s="216" t="n">
        <v>23000</v>
      </c>
      <c r="E468" s="293" t="n">
        <v>0.377</v>
      </c>
      <c r="F468" s="294" t="n">
        <v>1</v>
      </c>
      <c r="G468" s="294" t="n">
        <v>1</v>
      </c>
      <c r="H468" s="294" t="n"/>
      <c r="I468" s="294" t="n"/>
      <c r="J468" s="294" t="n"/>
      <c r="K468" s="294" t="n"/>
      <c r="L468" s="215" t="inlineStr">
        <is>
          <t>01/04/2026</t>
        </is>
      </c>
    </row>
    <row r="469" ht="15.75" customHeight="1" s="153">
      <c r="A469" s="221" t="n">
        <v>464</v>
      </c>
      <c r="B469" s="215" t="inlineStr">
        <is>
          <t>PAVON 4712</t>
        </is>
      </c>
      <c r="C469" s="216" t="n">
        <v>59500</v>
      </c>
      <c r="D469" s="216" t="n">
        <v>22000</v>
      </c>
      <c r="E469" s="293" t="n">
        <v>0.3697</v>
      </c>
      <c r="F469" s="294" t="n">
        <v>2</v>
      </c>
      <c r="G469" s="294" t="n">
        <v>1</v>
      </c>
      <c r="H469" s="294" t="n">
        <v>1</v>
      </c>
      <c r="I469" s="294" t="n"/>
      <c r="J469" s="294" t="n"/>
      <c r="K469" s="294" t="n"/>
      <c r="L469" s="215" t="inlineStr">
        <is>
          <t>02/05/2026</t>
        </is>
      </c>
    </row>
    <row r="470" ht="15.75" customHeight="1" s="153">
      <c r="A470" s="214" t="n">
        <v>465</v>
      </c>
      <c r="B470" s="215" t="inlineStr">
        <is>
          <t>DRUGSTORE LODENICO</t>
        </is>
      </c>
      <c r="C470" s="216" t="n">
        <v>58500</v>
      </c>
      <c r="D470" s="216" t="n">
        <v>13500</v>
      </c>
      <c r="E470" s="293" t="n">
        <v>0.2308</v>
      </c>
      <c r="F470" s="294" t="n">
        <v>1</v>
      </c>
      <c r="G470" s="294" t="n">
        <v>3</v>
      </c>
      <c r="H470" s="294" t="n"/>
      <c r="I470" s="294" t="n"/>
      <c r="J470" s="294" t="n"/>
      <c r="K470" s="294" t="n"/>
      <c r="L470" s="215" t="inlineStr">
        <is>
          <t>04/05/2026</t>
        </is>
      </c>
    </row>
    <row r="471" ht="15.75" customHeight="1" s="153">
      <c r="A471" s="221" t="n">
        <v>466</v>
      </c>
      <c r="B471" s="215" t="inlineStr">
        <is>
          <t>AGUAYO 3617</t>
        </is>
      </c>
      <c r="C471" s="216" t="n">
        <v>58000</v>
      </c>
      <c r="D471" s="216" t="n">
        <v>27250</v>
      </c>
      <c r="E471" s="293" t="n">
        <v>0.4698</v>
      </c>
      <c r="F471" s="294" t="n">
        <v>2</v>
      </c>
      <c r="G471" s="294" t="n">
        <v>1</v>
      </c>
      <c r="H471" s="294" t="n">
        <v>1</v>
      </c>
      <c r="I471" s="294" t="n"/>
      <c r="J471" s="294" t="n"/>
      <c r="K471" s="294" t="n"/>
      <c r="L471" s="215" t="inlineStr">
        <is>
          <t>26/03/2026</t>
        </is>
      </c>
    </row>
    <row r="472" ht="15.75" customHeight="1" s="153">
      <c r="A472" s="214" t="n">
        <v>467</v>
      </c>
      <c r="B472" s="215" t="inlineStr">
        <is>
          <t>BLAS PARERA 7162</t>
        </is>
      </c>
      <c r="C472" s="216" t="n">
        <v>58000</v>
      </c>
      <c r="D472" s="216" t="n">
        <v>22000</v>
      </c>
      <c r="E472" s="293" t="n">
        <v>0.3793</v>
      </c>
      <c r="F472" s="294" t="n">
        <v>2</v>
      </c>
      <c r="G472" s="294" t="n">
        <v>1</v>
      </c>
      <c r="H472" s="294" t="n">
        <v>1</v>
      </c>
      <c r="I472" s="294" t="n"/>
      <c r="J472" s="294" t="n"/>
      <c r="K472" s="294" t="n"/>
      <c r="L472" s="215" t="inlineStr">
        <is>
          <t>27/04/2026</t>
        </is>
      </c>
    </row>
    <row r="473" ht="15.75" customHeight="1" s="153">
      <c r="A473" s="221" t="n">
        <v>468</v>
      </c>
      <c r="B473" s="215" t="inlineStr">
        <is>
          <t>LAVAISE 1074</t>
        </is>
      </c>
      <c r="C473" s="216" t="n">
        <v>57200</v>
      </c>
      <c r="D473" s="216" t="n">
        <v>41800</v>
      </c>
      <c r="E473" s="293" t="n">
        <v>0.7308</v>
      </c>
      <c r="F473" s="294" t="n">
        <v>3</v>
      </c>
      <c r="G473" s="294" t="n">
        <v>1</v>
      </c>
      <c r="H473" s="294" t="n"/>
      <c r="I473" s="294" t="n"/>
      <c r="J473" s="294" t="n"/>
      <c r="K473" s="294" t="n"/>
      <c r="L473" s="215" t="inlineStr">
        <is>
          <t>05/03/2026</t>
        </is>
      </c>
    </row>
    <row r="474" ht="15.75" customHeight="1" s="153">
      <c r="A474" s="214" t="n">
        <v>469</v>
      </c>
      <c r="B474" s="215" t="inlineStr">
        <is>
          <t>HERNANDARIAS 5356</t>
        </is>
      </c>
      <c r="C474" s="216" t="n">
        <v>57000</v>
      </c>
      <c r="D474" s="216" t="n">
        <v>26250</v>
      </c>
      <c r="E474" s="293" t="n">
        <v>0.4605</v>
      </c>
      <c r="F474" s="294" t="n">
        <v>2</v>
      </c>
      <c r="G474" s="294" t="n">
        <v>1</v>
      </c>
      <c r="H474" s="294" t="n">
        <v>1</v>
      </c>
      <c r="I474" s="294" t="n"/>
      <c r="J474" s="294" t="n"/>
      <c r="K474" s="294" t="n"/>
      <c r="L474" s="215" t="inlineStr">
        <is>
          <t>07/04/2026</t>
        </is>
      </c>
    </row>
    <row r="475" ht="15.75" customHeight="1" s="153">
      <c r="A475" s="221" t="n">
        <v>470</v>
      </c>
      <c r="B475" s="215" t="inlineStr">
        <is>
          <t>PARRI BLAS PARERA</t>
        </is>
      </c>
      <c r="C475" s="216" t="n">
        <v>57000</v>
      </c>
      <c r="D475" s="216" t="n">
        <v>21000</v>
      </c>
      <c r="E475" s="293" t="n">
        <v>0.3684</v>
      </c>
      <c r="F475" s="294" t="n">
        <v>3</v>
      </c>
      <c r="G475" s="294" t="n">
        <v>3</v>
      </c>
      <c r="H475" s="294" t="n"/>
      <c r="I475" s="294" t="n"/>
      <c r="J475" s="294" t="n"/>
      <c r="K475" s="294" t="n"/>
      <c r="L475" s="215" t="inlineStr">
        <is>
          <t>25/04/2026</t>
        </is>
      </c>
    </row>
    <row r="476" ht="15.75" customHeight="1" s="153">
      <c r="A476" s="214" t="n">
        <v>471</v>
      </c>
      <c r="B476" s="215" t="inlineStr">
        <is>
          <t xml:space="preserve">ALBERTI Y GABOTO </t>
        </is>
      </c>
      <c r="C476" s="216" t="n">
        <v>57000</v>
      </c>
      <c r="D476" s="216" t="n">
        <v>12000</v>
      </c>
      <c r="E476" s="293" t="n">
        <v>0.2105</v>
      </c>
      <c r="F476" s="294" t="n">
        <v>1</v>
      </c>
      <c r="G476" s="294" t="n">
        <v>3</v>
      </c>
      <c r="H476" s="294" t="n"/>
      <c r="I476" s="294" t="n"/>
      <c r="J476" s="294" t="n"/>
      <c r="K476" s="294" t="n"/>
      <c r="L476" s="215" t="inlineStr">
        <is>
          <t>09/04/2026</t>
        </is>
      </c>
    </row>
    <row r="477" ht="15.75" customHeight="1" s="153">
      <c r="A477" s="221" t="n">
        <v>472</v>
      </c>
      <c r="B477" s="215" t="inlineStr">
        <is>
          <t>50 Y 23</t>
        </is>
      </c>
      <c r="C477" s="216" t="n">
        <v>57000</v>
      </c>
      <c r="D477" s="216" t="n">
        <v>12000</v>
      </c>
      <c r="E477" s="293" t="n">
        <v>0.2105</v>
      </c>
      <c r="F477" s="294" t="n">
        <v>1</v>
      </c>
      <c r="G477" s="294" t="n">
        <v>3</v>
      </c>
      <c r="H477" s="294" t="n"/>
      <c r="I477" s="294" t="n"/>
      <c r="J477" s="294" t="n"/>
      <c r="K477" s="294" t="n"/>
      <c r="L477" s="215" t="inlineStr">
        <is>
          <t>03/05/2026</t>
        </is>
      </c>
    </row>
    <row r="478" ht="15.75" customHeight="1" s="153">
      <c r="A478" s="214" t="n">
        <v>473</v>
      </c>
      <c r="B478" s="215" t="inlineStr">
        <is>
          <t>ESTELA PJE PARAGUAY</t>
        </is>
      </c>
      <c r="C478" s="216" t="n">
        <v>56000</v>
      </c>
      <c r="D478" s="216" t="n">
        <v>14000</v>
      </c>
      <c r="E478" s="293" t="n">
        <v>0.25</v>
      </c>
      <c r="F478" s="294" t="n">
        <v>1</v>
      </c>
      <c r="G478" s="294" t="n">
        <v>4</v>
      </c>
      <c r="H478" s="294" t="n"/>
      <c r="I478" s="294" t="n"/>
      <c r="J478" s="294" t="n"/>
      <c r="K478" s="294" t="n"/>
      <c r="L478" s="215" t="inlineStr">
        <is>
          <t>18/01/2026</t>
        </is>
      </c>
    </row>
    <row r="479" ht="15.75" customHeight="1" s="153">
      <c r="A479" s="221" t="n">
        <v>474</v>
      </c>
      <c r="B479" s="215" t="inlineStr">
        <is>
          <t>SERBANDO BAYO 6840</t>
        </is>
      </c>
      <c r="C479" s="216" t="n">
        <v>55000</v>
      </c>
      <c r="D479" s="216" t="n">
        <v>28750</v>
      </c>
      <c r="E479" s="293" t="n">
        <v>0.5227000000000001</v>
      </c>
      <c r="F479" s="294" t="n">
        <v>2</v>
      </c>
      <c r="G479" s="294" t="n">
        <v>1</v>
      </c>
      <c r="H479" s="294" t="n">
        <v>1</v>
      </c>
      <c r="I479" s="294" t="n"/>
      <c r="J479" s="294" t="n"/>
      <c r="K479" s="294" t="n"/>
      <c r="L479" s="215" t="inlineStr">
        <is>
          <t>26/02/2026</t>
        </is>
      </c>
    </row>
    <row r="480" ht="15.75" customHeight="1" s="153">
      <c r="A480" s="214" t="n">
        <v>475</v>
      </c>
      <c r="B480" s="215" t="inlineStr">
        <is>
          <t>AGUADP 6970</t>
        </is>
      </c>
      <c r="C480" s="216" t="n">
        <v>54000</v>
      </c>
      <c r="D480" s="216" t="n">
        <v>24750</v>
      </c>
      <c r="E480" s="293" t="n">
        <v>0.4583</v>
      </c>
      <c r="F480" s="294" t="n">
        <v>2</v>
      </c>
      <c r="G480" s="294" t="n">
        <v>1</v>
      </c>
      <c r="H480" s="294" t="n">
        <v>1</v>
      </c>
      <c r="I480" s="294" t="n"/>
      <c r="J480" s="294" t="n"/>
      <c r="K480" s="294" t="n"/>
      <c r="L480" s="215" t="inlineStr">
        <is>
          <t>10/03/2026</t>
        </is>
      </c>
    </row>
    <row r="481" ht="15.75" customHeight="1" s="153">
      <c r="A481" s="221" t="n">
        <v>476</v>
      </c>
      <c r="B481" s="215" t="inlineStr">
        <is>
          <t>CACO</t>
        </is>
      </c>
      <c r="C481" s="216" t="n">
        <v>54000</v>
      </c>
      <c r="D481" s="216" t="n">
        <v>24000</v>
      </c>
      <c r="E481" s="293" t="n">
        <v>0.4444</v>
      </c>
      <c r="F481" s="294" t="n">
        <v>2</v>
      </c>
      <c r="G481" s="294" t="n">
        <v>2</v>
      </c>
      <c r="H481" s="294" t="n"/>
      <c r="I481" s="294" t="n"/>
      <c r="J481" s="294" t="n"/>
      <c r="K481" s="294" t="n"/>
      <c r="L481" s="215" t="inlineStr">
        <is>
          <t>07/05/2026</t>
        </is>
      </c>
    </row>
    <row r="482" ht="15.75" customHeight="1" s="153">
      <c r="A482" s="214" t="n">
        <v>477</v>
      </c>
      <c r="B482" s="215" t="inlineStr">
        <is>
          <t>BELNGRANO 3881</t>
        </is>
      </c>
      <c r="C482" s="216" t="n">
        <v>54000</v>
      </c>
      <c r="D482" s="216" t="n">
        <v>24000</v>
      </c>
      <c r="E482" s="293" t="n">
        <v>0.4444</v>
      </c>
      <c r="F482" s="294" t="n">
        <v>1</v>
      </c>
      <c r="G482" s="294" t="n">
        <v>2</v>
      </c>
      <c r="H482" s="294" t="n"/>
      <c r="I482" s="294" t="n"/>
      <c r="J482" s="294" t="n"/>
      <c r="K482" s="294" t="n"/>
      <c r="L482" s="215" t="inlineStr">
        <is>
          <t>02/04/2026</t>
        </is>
      </c>
    </row>
    <row r="483" ht="15.75" customHeight="1" s="153">
      <c r="A483" s="221" t="n">
        <v>478</v>
      </c>
      <c r="B483" s="215" t="inlineStr">
        <is>
          <t>TERRAZAS</t>
        </is>
      </c>
      <c r="C483" s="216" t="n">
        <v>54000</v>
      </c>
      <c r="D483" s="216" t="n">
        <v>24000</v>
      </c>
      <c r="E483" s="293" t="n">
        <v>0.4444</v>
      </c>
      <c r="F483" s="294" t="n">
        <v>1</v>
      </c>
      <c r="G483" s="294" t="n">
        <v>2</v>
      </c>
      <c r="H483" s="294" t="n"/>
      <c r="I483" s="294" t="n"/>
      <c r="J483" s="294" t="n"/>
      <c r="K483" s="294" t="n"/>
      <c r="L483" s="215" t="inlineStr">
        <is>
          <t>04/04/2026</t>
        </is>
      </c>
    </row>
    <row r="484" ht="15.75" customHeight="1" s="153">
      <c r="A484" s="214" t="n">
        <v>479</v>
      </c>
      <c r="B484" s="215" t="inlineStr">
        <is>
          <t xml:space="preserve">DANTE </t>
        </is>
      </c>
      <c r="C484" s="216" t="n">
        <v>54000</v>
      </c>
      <c r="D484" s="216" t="n">
        <v>24000</v>
      </c>
      <c r="E484" s="293" t="n">
        <v>0.4444</v>
      </c>
      <c r="F484" s="294" t="n">
        <v>1</v>
      </c>
      <c r="G484" s="294" t="n">
        <v>2</v>
      </c>
      <c r="H484" s="294" t="n"/>
      <c r="I484" s="294" t="n"/>
      <c r="J484" s="294" t="n"/>
      <c r="K484" s="294" t="n"/>
      <c r="L484" s="215" t="inlineStr">
        <is>
          <t>09/04/2026</t>
        </is>
      </c>
    </row>
    <row r="485" ht="15.75" customHeight="1" s="153">
      <c r="A485" s="221" t="n">
        <v>480</v>
      </c>
      <c r="B485" s="215" t="inlineStr">
        <is>
          <t>DANTE</t>
        </is>
      </c>
      <c r="C485" s="216" t="n">
        <v>54000</v>
      </c>
      <c r="D485" s="216" t="n">
        <v>24000</v>
      </c>
      <c r="E485" s="293" t="n">
        <v>0.4444</v>
      </c>
      <c r="F485" s="294" t="n">
        <v>1</v>
      </c>
      <c r="G485" s="294" t="n">
        <v>2</v>
      </c>
      <c r="H485" s="294" t="n"/>
      <c r="I485" s="294" t="n"/>
      <c r="J485" s="294" t="n"/>
      <c r="K485" s="294" t="n"/>
      <c r="L485" s="215" t="inlineStr">
        <is>
          <t>12/04/2026</t>
        </is>
      </c>
    </row>
    <row r="486" ht="15.75" customHeight="1" s="153">
      <c r="A486" s="214" t="n">
        <v>481</v>
      </c>
      <c r="B486" s="215" t="inlineStr">
        <is>
          <t>MILENIO DE POLONIA 2819</t>
        </is>
      </c>
      <c r="C486" s="216" t="n">
        <v>54000</v>
      </c>
      <c r="D486" s="216" t="n">
        <v>24000</v>
      </c>
      <c r="E486" s="293" t="n">
        <v>0.4444</v>
      </c>
      <c r="F486" s="294" t="n">
        <v>1</v>
      </c>
      <c r="G486" s="294" t="n">
        <v>2</v>
      </c>
      <c r="H486" s="294" t="n"/>
      <c r="I486" s="294" t="n"/>
      <c r="J486" s="294" t="n"/>
      <c r="K486" s="294" t="n"/>
      <c r="L486" s="215" t="inlineStr">
        <is>
          <t>26/04/2026</t>
        </is>
      </c>
    </row>
    <row r="487" ht="15.75" customHeight="1" s="153">
      <c r="A487" s="221" t="n">
        <v>482</v>
      </c>
      <c r="B487" s="215" t="inlineStr">
        <is>
          <t>JP LOPEZ 2322</t>
        </is>
      </c>
      <c r="C487" s="216" t="n">
        <v>54000</v>
      </c>
      <c r="D487" s="216" t="n">
        <v>23200</v>
      </c>
      <c r="E487" s="293" t="n">
        <v>0.4296</v>
      </c>
      <c r="F487" s="294" t="n">
        <v>2</v>
      </c>
      <c r="G487" s="294" t="n">
        <v>2</v>
      </c>
      <c r="H487" s="294" t="n"/>
      <c r="I487" s="294" t="n"/>
      <c r="J487" s="294" t="n"/>
      <c r="K487" s="294" t="n"/>
      <c r="L487" s="215" t="inlineStr">
        <is>
          <t>31/05/2026</t>
        </is>
      </c>
    </row>
    <row r="488" ht="15.75" customHeight="1" s="153">
      <c r="A488" s="214" t="n">
        <v>483</v>
      </c>
      <c r="B488" s="215" t="inlineStr">
        <is>
          <t>ACSIAS 10301</t>
        </is>
      </c>
      <c r="C488" s="216" t="n">
        <v>54000</v>
      </c>
      <c r="D488" s="216" t="n">
        <v>22400</v>
      </c>
      <c r="E488" s="293" t="n">
        <v>0.4148</v>
      </c>
      <c r="F488" s="294" t="n">
        <v>1</v>
      </c>
      <c r="G488" s="294" t="n">
        <v>2</v>
      </c>
      <c r="H488" s="294" t="n"/>
      <c r="I488" s="294" t="n"/>
      <c r="J488" s="294" t="n"/>
      <c r="K488" s="294" t="n"/>
      <c r="L488" s="215" t="inlineStr">
        <is>
          <t>13/05/2026</t>
        </is>
      </c>
    </row>
    <row r="489" ht="15.75" customHeight="1" s="153">
      <c r="A489" s="221" t="n">
        <v>484</v>
      </c>
      <c r="B489" s="215" t="inlineStr">
        <is>
          <t>FRAY M PEREZ 648</t>
        </is>
      </c>
      <c r="C489" s="216" t="n">
        <v>54000</v>
      </c>
      <c r="D489" s="216" t="n">
        <v>22400</v>
      </c>
      <c r="E489" s="293" t="n">
        <v>0.4148</v>
      </c>
      <c r="F489" s="294" t="n">
        <v>1</v>
      </c>
      <c r="G489" s="294" t="n">
        <v>2</v>
      </c>
      <c r="H489" s="294" t="n"/>
      <c r="I489" s="294" t="n"/>
      <c r="J489" s="294" t="n"/>
      <c r="K489" s="294" t="n"/>
      <c r="L489" s="215" t="inlineStr">
        <is>
          <t>16/05/2026</t>
        </is>
      </c>
    </row>
    <row r="490" ht="15.75" customHeight="1" s="153">
      <c r="A490" s="214" t="n">
        <v>485</v>
      </c>
      <c r="B490" s="215" t="inlineStr">
        <is>
          <t>IRMA</t>
        </is>
      </c>
      <c r="C490" s="216" t="n">
        <v>54000</v>
      </c>
      <c r="D490" s="216" t="n">
        <v>22400</v>
      </c>
      <c r="E490" s="293" t="n">
        <v>0.4148</v>
      </c>
      <c r="F490" s="294" t="n">
        <v>2</v>
      </c>
      <c r="G490" s="294" t="n">
        <v>2</v>
      </c>
      <c r="H490" s="294" t="n"/>
      <c r="I490" s="294" t="n"/>
      <c r="J490" s="294" t="n"/>
      <c r="K490" s="294" t="n"/>
      <c r="L490" s="215" t="inlineStr">
        <is>
          <t>28/05/2026</t>
        </is>
      </c>
    </row>
    <row r="491" ht="15.75" customHeight="1" s="153">
      <c r="A491" s="221" t="n">
        <v>486</v>
      </c>
      <c r="B491" s="215" t="inlineStr">
        <is>
          <t>FACU MANTARAS</t>
        </is>
      </c>
      <c r="C491" s="216" t="n">
        <v>54000</v>
      </c>
      <c r="D491" s="216" t="n">
        <v>22400</v>
      </c>
      <c r="E491" s="293" t="n">
        <v>0.4148</v>
      </c>
      <c r="F491" s="294" t="n">
        <v>1</v>
      </c>
      <c r="G491" s="294" t="n">
        <v>2</v>
      </c>
      <c r="H491" s="294" t="n"/>
      <c r="I491" s="294" t="n"/>
      <c r="J491" s="294" t="n"/>
      <c r="K491" s="294" t="n"/>
      <c r="L491" s="215" t="inlineStr">
        <is>
          <t>21/05/2026</t>
        </is>
      </c>
    </row>
    <row r="492" ht="15.75" customHeight="1" s="153">
      <c r="A492" s="214" t="n">
        <v>487</v>
      </c>
      <c r="B492" s="215" t="inlineStr">
        <is>
          <t>SAN MARTÍN 1925</t>
        </is>
      </c>
      <c r="C492" s="216" t="n">
        <v>53500</v>
      </c>
      <c r="D492" s="216" t="n">
        <v>22700</v>
      </c>
      <c r="E492" s="293" t="n">
        <v>0.4243</v>
      </c>
      <c r="F492" s="294" t="n">
        <v>2</v>
      </c>
      <c r="G492" s="294" t="n">
        <v>2</v>
      </c>
      <c r="H492" s="294" t="n"/>
      <c r="I492" s="294" t="n"/>
      <c r="J492" s="294" t="n"/>
      <c r="K492" s="294" t="n"/>
      <c r="L492" s="215" t="inlineStr">
        <is>
          <t>16/05/2026</t>
        </is>
      </c>
    </row>
    <row r="493" ht="15.75" customHeight="1" s="153">
      <c r="A493" s="221" t="n">
        <v>488</v>
      </c>
      <c r="B493" s="215" t="inlineStr">
        <is>
          <t>4TO PASAJE 3782</t>
        </is>
      </c>
      <c r="C493" s="216" t="n">
        <v>53000</v>
      </c>
      <c r="D493" s="216" t="n">
        <v>23000</v>
      </c>
      <c r="E493" s="293" t="n">
        <v>0.434</v>
      </c>
      <c r="F493" s="294" t="n">
        <v>2</v>
      </c>
      <c r="G493" s="294" t="n">
        <v>2</v>
      </c>
      <c r="H493" s="294" t="n"/>
      <c r="I493" s="294" t="n"/>
      <c r="J493" s="294" t="n"/>
      <c r="K493" s="294" t="n"/>
      <c r="L493" s="215" t="inlineStr">
        <is>
          <t>30/04/2026</t>
        </is>
      </c>
    </row>
    <row r="494" ht="15.75" customHeight="1" s="153">
      <c r="A494" s="214" t="n">
        <v>489</v>
      </c>
      <c r="B494" s="215" t="inlineStr">
        <is>
          <t>BLAS PARERA 9129</t>
        </is>
      </c>
      <c r="C494" s="216" t="n">
        <v>53000</v>
      </c>
      <c r="D494" s="216" t="n">
        <v>22200</v>
      </c>
      <c r="E494" s="293" t="n">
        <v>0.4189</v>
      </c>
      <c r="F494" s="294" t="n">
        <v>2</v>
      </c>
      <c r="G494" s="294" t="n">
        <v>2</v>
      </c>
      <c r="H494" s="294" t="n"/>
      <c r="I494" s="294" t="n"/>
      <c r="J494" s="294" t="n"/>
      <c r="K494" s="294" t="n"/>
      <c r="L494" s="215" t="inlineStr">
        <is>
          <t>27/05/2026</t>
        </is>
      </c>
    </row>
    <row r="495" ht="15.75" customHeight="1" s="153">
      <c r="A495" s="221" t="n">
        <v>490</v>
      </c>
      <c r="B495" s="215" t="inlineStr">
        <is>
          <t>ESTANISLAO DEL CAMPO 1613</t>
        </is>
      </c>
      <c r="C495" s="216" t="n">
        <v>53000</v>
      </c>
      <c r="D495" s="216" t="n">
        <v>22200</v>
      </c>
      <c r="E495" s="293" t="n">
        <v>0.4189</v>
      </c>
      <c r="F495" s="294" t="n">
        <v>2</v>
      </c>
      <c r="G495" s="294" t="n">
        <v>2</v>
      </c>
      <c r="H495" s="294" t="n"/>
      <c r="I495" s="294" t="n"/>
      <c r="J495" s="294" t="n"/>
      <c r="K495" s="294" t="n"/>
      <c r="L495" s="215" t="inlineStr">
        <is>
          <t>12/05/2026</t>
        </is>
      </c>
    </row>
    <row r="496" ht="15.75" customHeight="1" s="153">
      <c r="A496" s="214" t="n">
        <v>491</v>
      </c>
      <c r="B496" s="215" t="inlineStr">
        <is>
          <t>LA RIOJA 3730</t>
        </is>
      </c>
      <c r="C496" s="216" t="n">
        <v>53000</v>
      </c>
      <c r="D496" s="216" t="n">
        <v>21400</v>
      </c>
      <c r="E496" s="293" t="n">
        <v>0.4038</v>
      </c>
      <c r="F496" s="294" t="n">
        <v>2</v>
      </c>
      <c r="G496" s="294" t="n">
        <v>2</v>
      </c>
      <c r="H496" s="294" t="n"/>
      <c r="I496" s="294" t="n"/>
      <c r="J496" s="294" t="n"/>
      <c r="K496" s="294" t="n"/>
      <c r="L496" s="215" t="inlineStr">
        <is>
          <t>26/05/2026</t>
        </is>
      </c>
    </row>
    <row r="497" ht="15.75" customHeight="1" s="153">
      <c r="A497" s="221" t="n">
        <v>492</v>
      </c>
      <c r="B497" s="215" t="inlineStr">
        <is>
          <t>BAR DEL SUR</t>
        </is>
      </c>
      <c r="C497" s="216" t="n">
        <v>53000</v>
      </c>
      <c r="D497" s="216" t="n">
        <v>21400</v>
      </c>
      <c r="E497" s="293" t="n">
        <v>0.4038</v>
      </c>
      <c r="F497" s="294" t="n">
        <v>2</v>
      </c>
      <c r="G497" s="294" t="n">
        <v>2</v>
      </c>
      <c r="H497" s="294" t="n"/>
      <c r="I497" s="294" t="n"/>
      <c r="J497" s="294" t="n"/>
      <c r="K497" s="294" t="n"/>
      <c r="L497" s="215" t="inlineStr">
        <is>
          <t>24/05/2026</t>
        </is>
      </c>
    </row>
    <row r="498" ht="15.75" customHeight="1" s="153">
      <c r="A498" s="214" t="n">
        <v>493</v>
      </c>
      <c r="B498" s="215" t="inlineStr">
        <is>
          <t>IRALA 2865</t>
        </is>
      </c>
      <c r="C498" s="216" t="n">
        <v>52500</v>
      </c>
      <c r="D498" s="216" t="n">
        <v>21700</v>
      </c>
      <c r="E498" s="293" t="n">
        <v>0.4133</v>
      </c>
      <c r="F498" s="294" t="n">
        <v>2</v>
      </c>
      <c r="G498" s="294" t="n">
        <v>2</v>
      </c>
      <c r="H498" s="294" t="n"/>
      <c r="I498" s="294" t="n"/>
      <c r="J498" s="294" t="n"/>
      <c r="K498" s="294" t="n"/>
      <c r="L498" s="215" t="inlineStr">
        <is>
          <t>23/05/2026</t>
        </is>
      </c>
    </row>
    <row r="499" ht="15.75" customHeight="1" s="153">
      <c r="A499" s="221" t="n">
        <v>494</v>
      </c>
      <c r="B499" s="215" t="inlineStr">
        <is>
          <t xml:space="preserve">ROTI DOMINGO SILVA </t>
        </is>
      </c>
      <c r="C499" s="216" t="n">
        <v>52000</v>
      </c>
      <c r="D499" s="216" t="n">
        <v>10000</v>
      </c>
      <c r="E499" s="293" t="n">
        <v>0.1923</v>
      </c>
      <c r="F499" s="294" t="n">
        <v>1</v>
      </c>
      <c r="G499" s="294" t="n">
        <v>4</v>
      </c>
      <c r="H499" s="294" t="n"/>
      <c r="I499" s="294" t="n"/>
      <c r="J499" s="294" t="n"/>
      <c r="K499" s="294" t="n"/>
      <c r="L499" s="215" t="inlineStr">
        <is>
          <t>06/01/2026</t>
        </is>
      </c>
    </row>
    <row r="500" ht="15.75" customHeight="1" s="153">
      <c r="A500" s="214" t="n">
        <v>495</v>
      </c>
      <c r="B500" s="215" t="inlineStr">
        <is>
          <t>NECOCHEA 3837</t>
        </is>
      </c>
      <c r="C500" s="216" t="n">
        <v>52000</v>
      </c>
      <c r="D500" s="216" t="n">
        <v>22000</v>
      </c>
      <c r="E500" s="293" t="n">
        <v>0.4231</v>
      </c>
      <c r="F500" s="294" t="n">
        <v>1</v>
      </c>
      <c r="G500" s="294" t="n">
        <v>2</v>
      </c>
      <c r="H500" s="294" t="n"/>
      <c r="I500" s="294" t="n"/>
      <c r="J500" s="294" t="n"/>
      <c r="K500" s="294" t="n"/>
      <c r="L500" s="215" t="inlineStr">
        <is>
          <t>08/04/2026</t>
        </is>
      </c>
    </row>
    <row r="501" ht="15.75" customHeight="1" s="153">
      <c r="A501" s="221" t="n">
        <v>496</v>
      </c>
      <c r="B501" s="215" t="inlineStr">
        <is>
          <t>FRANCIA 2247</t>
        </is>
      </c>
      <c r="C501" s="216" t="n">
        <v>52000</v>
      </c>
      <c r="D501" s="216" t="n">
        <v>22000</v>
      </c>
      <c r="E501" s="293" t="n">
        <v>0.4231</v>
      </c>
      <c r="F501" s="294" t="n">
        <v>2</v>
      </c>
      <c r="G501" s="294" t="n">
        <v>2</v>
      </c>
      <c r="H501" s="294" t="n"/>
      <c r="I501" s="294" t="n"/>
      <c r="J501" s="294" t="n"/>
      <c r="K501" s="294" t="n"/>
      <c r="L501" s="215" t="inlineStr">
        <is>
          <t>16/04/2026</t>
        </is>
      </c>
    </row>
    <row r="502" ht="15.75" customHeight="1" s="153">
      <c r="A502" s="214" t="n">
        <v>497</v>
      </c>
      <c r="B502" s="215" t="inlineStr">
        <is>
          <t>ARGENTA</t>
        </is>
      </c>
      <c r="C502" s="216" t="n">
        <v>52000</v>
      </c>
      <c r="D502" s="216" t="n">
        <v>21200</v>
      </c>
      <c r="E502" s="293" t="n">
        <v>0.4077</v>
      </c>
      <c r="F502" s="294" t="n">
        <v>2</v>
      </c>
      <c r="G502" s="294" t="n">
        <v>2</v>
      </c>
      <c r="H502" s="294" t="n"/>
      <c r="I502" s="294" t="n"/>
      <c r="J502" s="294" t="n"/>
      <c r="K502" s="294" t="n"/>
      <c r="L502" s="215" t="inlineStr">
        <is>
          <t>23/05/2026</t>
        </is>
      </c>
    </row>
    <row r="503" ht="15.75" customHeight="1" s="153">
      <c r="A503" s="221" t="n">
        <v>498</v>
      </c>
      <c r="B503" s="215" t="inlineStr">
        <is>
          <t>AZOPARDO 10560</t>
        </is>
      </c>
      <c r="C503" s="216" t="n">
        <v>52000</v>
      </c>
      <c r="D503" s="216" t="n">
        <v>21200</v>
      </c>
      <c r="E503" s="293" t="n">
        <v>0.4077</v>
      </c>
      <c r="F503" s="294" t="n">
        <v>2</v>
      </c>
      <c r="G503" s="294" t="n">
        <v>2</v>
      </c>
      <c r="H503" s="294" t="n"/>
      <c r="I503" s="294" t="n"/>
      <c r="J503" s="294" t="n"/>
      <c r="K503" s="294" t="n"/>
      <c r="L503" s="215" t="inlineStr">
        <is>
          <t>18/05/2026</t>
        </is>
      </c>
    </row>
    <row r="504" ht="15.75" customHeight="1" s="153">
      <c r="A504" s="214" t="n">
        <v>499</v>
      </c>
      <c r="B504" s="215" t="inlineStr">
        <is>
          <t>EX COMBATIENTES 5520</t>
        </is>
      </c>
      <c r="C504" s="216" t="n">
        <v>52000</v>
      </c>
      <c r="D504" s="216" t="n">
        <v>22000</v>
      </c>
      <c r="E504" s="293" t="n">
        <v>0.4231</v>
      </c>
      <c r="F504" s="294" t="n">
        <v>1</v>
      </c>
      <c r="G504" s="294" t="n">
        <v>2</v>
      </c>
      <c r="H504" s="294" t="n"/>
      <c r="I504" s="294" t="n"/>
      <c r="J504" s="294" t="n"/>
      <c r="K504" s="294" t="n"/>
      <c r="L504" s="215" t="inlineStr">
        <is>
          <t>21/04/2026</t>
        </is>
      </c>
    </row>
    <row r="505" ht="15.75" customHeight="1" s="153">
      <c r="A505" s="221" t="n">
        <v>500</v>
      </c>
      <c r="B505" s="215" t="inlineStr">
        <is>
          <t>MAMA NICO BUSTOS</t>
        </is>
      </c>
      <c r="C505" s="216" t="n">
        <v>52000</v>
      </c>
      <c r="D505" s="216" t="n">
        <v>20400</v>
      </c>
      <c r="E505" s="293" t="n">
        <v>0.3923</v>
      </c>
      <c r="F505" s="294" t="n">
        <v>1</v>
      </c>
      <c r="G505" s="294" t="n">
        <v>2</v>
      </c>
      <c r="H505" s="294" t="n"/>
      <c r="I505" s="294" t="n"/>
      <c r="J505" s="294" t="n"/>
      <c r="K505" s="294" t="n"/>
      <c r="L505" s="215" t="inlineStr">
        <is>
          <t>11/05/2026</t>
        </is>
      </c>
    </row>
    <row r="506" ht="15.75" customHeight="1" s="153">
      <c r="A506" s="214" t="n">
        <v>501</v>
      </c>
      <c r="B506" s="215" t="inlineStr">
        <is>
          <t>PAVON 2946</t>
        </is>
      </c>
      <c r="C506" s="216" t="n">
        <v>52000</v>
      </c>
      <c r="D506" s="216" t="n">
        <v>20400</v>
      </c>
      <c r="E506" s="293" t="n">
        <v>0.3923</v>
      </c>
      <c r="F506" s="294" t="n">
        <v>2</v>
      </c>
      <c r="G506" s="294" t="n">
        <v>2</v>
      </c>
      <c r="H506" s="294" t="n"/>
      <c r="I506" s="294" t="n"/>
      <c r="J506" s="294" t="n"/>
      <c r="K506" s="294" t="n"/>
      <c r="L506" s="215" t="inlineStr">
        <is>
          <t>24/05/2026</t>
        </is>
      </c>
    </row>
    <row r="507" ht="15.75" customHeight="1" s="153">
      <c r="A507" s="221" t="n">
        <v>502</v>
      </c>
      <c r="B507" s="215" t="inlineStr">
        <is>
          <t>ENTRE RÍOS 3350</t>
        </is>
      </c>
      <c r="C507" s="216" t="n">
        <v>52000</v>
      </c>
      <c r="D507" s="216" t="n">
        <v>20400</v>
      </c>
      <c r="E507" s="293" t="n">
        <v>0.3923</v>
      </c>
      <c r="F507" s="294" t="n">
        <v>2</v>
      </c>
      <c r="G507" s="294" t="n">
        <v>2</v>
      </c>
      <c r="H507" s="294" t="n"/>
      <c r="I507" s="294" t="n"/>
      <c r="J507" s="294" t="n"/>
      <c r="K507" s="294" t="n"/>
      <c r="L507" s="215" t="inlineStr">
        <is>
          <t>24/05/2026</t>
        </is>
      </c>
    </row>
    <row r="508" ht="15.75" customHeight="1" s="153">
      <c r="A508" s="214" t="n">
        <v>503</v>
      </c>
      <c r="B508" s="215" t="inlineStr">
        <is>
          <t>PAVON 3941</t>
        </is>
      </c>
      <c r="C508" s="216" t="n">
        <v>52000</v>
      </c>
      <c r="D508" s="216" t="n">
        <v>20400</v>
      </c>
      <c r="E508" s="293" t="n">
        <v>0.3923</v>
      </c>
      <c r="F508" s="294" t="n">
        <v>2</v>
      </c>
      <c r="G508" s="294" t="n">
        <v>2</v>
      </c>
      <c r="H508" s="294" t="n"/>
      <c r="I508" s="294" t="n"/>
      <c r="J508" s="294" t="n"/>
      <c r="K508" s="294" t="n"/>
      <c r="L508" s="215" t="inlineStr">
        <is>
          <t>26/05/2026</t>
        </is>
      </c>
    </row>
    <row r="509" ht="15.75" customHeight="1" s="153">
      <c r="A509" s="221" t="n">
        <v>504</v>
      </c>
      <c r="B509" s="215" t="inlineStr">
        <is>
          <t>ITURRASPE 962</t>
        </is>
      </c>
      <c r="C509" s="216" t="n">
        <v>52000</v>
      </c>
      <c r="D509" s="216" t="n">
        <v>20400</v>
      </c>
      <c r="E509" s="293" t="n">
        <v>0.3923</v>
      </c>
      <c r="F509" s="294" t="n">
        <v>2</v>
      </c>
      <c r="G509" s="294" t="n">
        <v>2</v>
      </c>
      <c r="H509" s="294" t="n"/>
      <c r="I509" s="294" t="n"/>
      <c r="J509" s="294" t="n"/>
      <c r="K509" s="294" t="n"/>
      <c r="L509" s="215" t="inlineStr">
        <is>
          <t>28/05/2026</t>
        </is>
      </c>
    </row>
    <row r="510" ht="15.75" customHeight="1" s="153">
      <c r="A510" s="214" t="n">
        <v>505</v>
      </c>
      <c r="B510" s="215" t="inlineStr">
        <is>
          <t>EUROPA 10419</t>
        </is>
      </c>
      <c r="C510" s="216" t="n">
        <v>52000</v>
      </c>
      <c r="D510" s="216" t="n">
        <v>20400</v>
      </c>
      <c r="E510" s="293" t="n">
        <v>0.3923</v>
      </c>
      <c r="F510" s="294" t="n">
        <v>1</v>
      </c>
      <c r="G510" s="294" t="n">
        <v>2</v>
      </c>
      <c r="H510" s="294" t="n"/>
      <c r="I510" s="294" t="n"/>
      <c r="J510" s="294" t="n"/>
      <c r="K510" s="294" t="n"/>
      <c r="L510" s="215" t="inlineStr">
        <is>
          <t>23/05/2026</t>
        </is>
      </c>
    </row>
    <row r="511" ht="15.75" customHeight="1" s="153">
      <c r="A511" s="221" t="n">
        <v>506</v>
      </c>
      <c r="B511" s="215" t="inlineStr">
        <is>
          <t>ARENALES 7850</t>
        </is>
      </c>
      <c r="C511" s="216" t="n">
        <v>52000</v>
      </c>
      <c r="D511" s="216" t="n">
        <v>20400</v>
      </c>
      <c r="E511" s="293" t="n">
        <v>0.3923</v>
      </c>
      <c r="F511" s="294" t="n">
        <v>1</v>
      </c>
      <c r="G511" s="294" t="n">
        <v>2</v>
      </c>
      <c r="H511" s="294" t="n"/>
      <c r="I511" s="294" t="n"/>
      <c r="J511" s="294" t="n"/>
      <c r="K511" s="294" t="n"/>
      <c r="L511" s="215" t="inlineStr">
        <is>
          <t>26/05/2026</t>
        </is>
      </c>
    </row>
    <row r="512" ht="15.75" customHeight="1" s="153">
      <c r="A512" s="214" t="n">
        <v>507</v>
      </c>
      <c r="B512" s="215" t="inlineStr">
        <is>
          <t>DUSSOP 7678</t>
        </is>
      </c>
      <c r="C512" s="216" t="n">
        <v>51500</v>
      </c>
      <c r="D512" s="216" t="n">
        <v>14750</v>
      </c>
      <c r="E512" s="293" t="n">
        <v>0.2864</v>
      </c>
      <c r="F512" s="294" t="n">
        <v>1</v>
      </c>
      <c r="G512" s="294" t="n">
        <v>2</v>
      </c>
      <c r="H512" s="294" t="n">
        <v>1</v>
      </c>
      <c r="I512" s="294" t="n"/>
      <c r="J512" s="294" t="n"/>
      <c r="K512" s="294" t="n"/>
      <c r="L512" s="215" t="inlineStr">
        <is>
          <t>25/02/2026</t>
        </is>
      </c>
    </row>
    <row r="513" ht="15.75" customHeight="1" s="153">
      <c r="A513" s="221" t="n">
        <v>508</v>
      </c>
      <c r="B513" s="215" t="inlineStr">
        <is>
          <t>BELGRANO 7972</t>
        </is>
      </c>
      <c r="C513" s="216" t="n">
        <v>51500</v>
      </c>
      <c r="D513" s="216" t="n">
        <v>22200</v>
      </c>
      <c r="E513" s="293" t="n">
        <v>0.4311</v>
      </c>
      <c r="F513" s="294" t="n">
        <v>2</v>
      </c>
      <c r="G513" s="294" t="n">
        <v>2</v>
      </c>
      <c r="H513" s="294" t="n"/>
      <c r="I513" s="294" t="n"/>
      <c r="J513" s="294" t="n"/>
      <c r="K513" s="294" t="n"/>
      <c r="L513" s="215" t="inlineStr">
        <is>
          <t>08/05/2026</t>
        </is>
      </c>
    </row>
    <row r="514" ht="15.75" customHeight="1" s="153">
      <c r="A514" s="214" t="n">
        <v>509</v>
      </c>
      <c r="B514" s="215" t="inlineStr">
        <is>
          <t>PERU 3841</t>
        </is>
      </c>
      <c r="C514" s="216" t="n">
        <v>51500</v>
      </c>
      <c r="D514" s="216" t="n">
        <v>21500</v>
      </c>
      <c r="E514" s="293" t="n">
        <v>0.4175</v>
      </c>
      <c r="F514" s="294" t="n">
        <v>2</v>
      </c>
      <c r="G514" s="294" t="n">
        <v>2</v>
      </c>
      <c r="H514" s="294" t="n"/>
      <c r="I514" s="294" t="n"/>
      <c r="J514" s="294" t="n"/>
      <c r="K514" s="294" t="n"/>
      <c r="L514" s="215" t="inlineStr">
        <is>
          <t>07/05/2026</t>
        </is>
      </c>
    </row>
    <row r="515" ht="15.75" customHeight="1" s="153">
      <c r="A515" s="221" t="n">
        <v>510</v>
      </c>
      <c r="B515" s="215" t="inlineStr">
        <is>
          <t>LUCHO3</t>
        </is>
      </c>
      <c r="C515" s="216" t="n">
        <v>51000</v>
      </c>
      <c r="D515" s="216" t="n">
        <v>10500</v>
      </c>
      <c r="E515" s="293" t="n">
        <v>0.2059</v>
      </c>
      <c r="F515" s="294" t="n">
        <v>1</v>
      </c>
      <c r="G515" s="294" t="n">
        <v>3</v>
      </c>
      <c r="H515" s="294" t="n"/>
      <c r="I515" s="294" t="n"/>
      <c r="J515" s="294" t="n"/>
      <c r="K515" s="294" t="n"/>
      <c r="L515" s="215" t="inlineStr">
        <is>
          <t>13/03/2026</t>
        </is>
      </c>
    </row>
    <row r="516" ht="15.75" customHeight="1" s="153">
      <c r="A516" s="214" t="n">
        <v>511</v>
      </c>
      <c r="B516" s="215" t="inlineStr">
        <is>
          <t>D SILVA4217</t>
        </is>
      </c>
      <c r="C516" s="216" t="n">
        <v>51000</v>
      </c>
      <c r="D516" s="216" t="n">
        <v>10500</v>
      </c>
      <c r="E516" s="293" t="n">
        <v>0.2059</v>
      </c>
      <c r="F516" s="294" t="n">
        <v>1</v>
      </c>
      <c r="G516" s="294" t="n">
        <v>3</v>
      </c>
      <c r="H516" s="294" t="n"/>
      <c r="I516" s="294" t="n"/>
      <c r="J516" s="294" t="n"/>
      <c r="K516" s="294" t="n"/>
      <c r="L516" s="215" t="inlineStr">
        <is>
          <t>15/03/2026</t>
        </is>
      </c>
    </row>
    <row r="517" ht="15.75" customHeight="1" s="153">
      <c r="A517" s="221" t="n">
        <v>512</v>
      </c>
      <c r="B517" s="215" t="inlineStr">
        <is>
          <t>TERRAZAS DANTE</t>
        </is>
      </c>
      <c r="C517" s="216" t="n">
        <v>51000</v>
      </c>
      <c r="D517" s="216" t="n">
        <v>24000</v>
      </c>
      <c r="E517" s="293" t="n">
        <v>0.4706</v>
      </c>
      <c r="F517" s="294" t="n">
        <v>1</v>
      </c>
      <c r="G517" s="294" t="n">
        <v>2</v>
      </c>
      <c r="H517" s="294" t="n"/>
      <c r="I517" s="294" t="n"/>
      <c r="J517" s="294" t="n"/>
      <c r="K517" s="294" t="n"/>
      <c r="L517" s="215" t="inlineStr">
        <is>
          <t>22/03/2026</t>
        </is>
      </c>
    </row>
    <row r="518" ht="15.75" customHeight="1" s="153">
      <c r="A518" s="214" t="n">
        <v>513</v>
      </c>
      <c r="B518" s="215" t="inlineStr">
        <is>
          <t>CARRASCO 9330</t>
        </is>
      </c>
      <c r="C518" s="216" t="n">
        <v>51000</v>
      </c>
      <c r="D518" s="216" t="n">
        <v>20200</v>
      </c>
      <c r="E518" s="293" t="n">
        <v>0.3961</v>
      </c>
      <c r="F518" s="294" t="n">
        <v>2</v>
      </c>
      <c r="G518" s="294" t="n">
        <v>2</v>
      </c>
      <c r="H518" s="294" t="n"/>
      <c r="I518" s="294" t="n"/>
      <c r="J518" s="294" t="n"/>
      <c r="K518" s="294" t="n"/>
      <c r="L518" s="215" t="inlineStr">
        <is>
          <t>25/05/2026</t>
        </is>
      </c>
    </row>
    <row r="519" ht="15.75" customHeight="1" s="153">
      <c r="A519" s="221" t="n">
        <v>514</v>
      </c>
      <c r="B519" s="215" t="inlineStr">
        <is>
          <t>EUROPA 8762</t>
        </is>
      </c>
      <c r="C519" s="216" t="n">
        <v>50500</v>
      </c>
      <c r="D519" s="216" t="n">
        <v>21200</v>
      </c>
      <c r="E519" s="293" t="n">
        <v>0.4198</v>
      </c>
      <c r="F519" s="294" t="n">
        <v>2</v>
      </c>
      <c r="G519" s="294" t="n">
        <v>2</v>
      </c>
      <c r="H519" s="294" t="n"/>
      <c r="I519" s="294" t="n"/>
      <c r="J519" s="294" t="n"/>
      <c r="K519" s="294" t="n"/>
      <c r="L519" s="215" t="inlineStr">
        <is>
          <t>18/05/2026</t>
        </is>
      </c>
    </row>
    <row r="520" ht="15.75" customHeight="1" s="153">
      <c r="A520" s="214" t="n">
        <v>515</v>
      </c>
      <c r="B520" s="215" t="inlineStr">
        <is>
          <t xml:space="preserve">FABIAN BLAS PARERA </t>
        </is>
      </c>
      <c r="C520" s="216" t="n">
        <v>50000</v>
      </c>
      <c r="D520" s="216" t="n">
        <v>23750</v>
      </c>
      <c r="E520" s="293" t="n">
        <v>0.475</v>
      </c>
      <c r="F520" s="294" t="n">
        <v>1</v>
      </c>
      <c r="G520" s="294" t="n">
        <v>1</v>
      </c>
      <c r="H520" s="294" t="n">
        <v>1</v>
      </c>
      <c r="I520" s="294" t="n"/>
      <c r="J520" s="294" t="n"/>
      <c r="K520" s="294" t="n"/>
      <c r="L520" s="215" t="inlineStr">
        <is>
          <t>03/02/2026</t>
        </is>
      </c>
    </row>
    <row r="521" ht="15.75" customHeight="1" s="153">
      <c r="A521" s="221" t="n">
        <v>516</v>
      </c>
      <c r="B521" s="215" t="inlineStr">
        <is>
          <t>GISE PANA</t>
        </is>
      </c>
      <c r="C521" s="216" t="n">
        <v>50000</v>
      </c>
      <c r="D521" s="216" t="n">
        <v>19100</v>
      </c>
      <c r="E521" s="293" t="n">
        <v>0.382</v>
      </c>
      <c r="F521" s="294" t="n">
        <v>2</v>
      </c>
      <c r="G521" s="294" t="n">
        <v>2</v>
      </c>
      <c r="H521" s="294" t="n"/>
      <c r="I521" s="294" t="n"/>
      <c r="J521" s="294" t="n"/>
      <c r="K521" s="294" t="n"/>
      <c r="L521" s="215" t="inlineStr">
        <is>
          <t>24/05/2026</t>
        </is>
      </c>
    </row>
    <row r="522" ht="15.75" customHeight="1" s="153">
      <c r="A522" s="214" t="n">
        <v>517</v>
      </c>
      <c r="B522" s="215" t="inlineStr">
        <is>
          <t>ROTI VIYTES</t>
        </is>
      </c>
      <c r="C522" s="216" t="n">
        <v>50000</v>
      </c>
      <c r="D522" s="216" t="n">
        <v>9500</v>
      </c>
      <c r="E522" s="293" t="n">
        <v>0.19</v>
      </c>
      <c r="F522" s="294" t="n">
        <v>1</v>
      </c>
      <c r="G522" s="294" t="n"/>
      <c r="H522" s="294" t="n">
        <v>2</v>
      </c>
      <c r="I522" s="294" t="n"/>
      <c r="J522" s="294" t="n"/>
      <c r="K522" s="294" t="n"/>
      <c r="L522" s="215" t="inlineStr">
        <is>
          <t>19/03/2026</t>
        </is>
      </c>
    </row>
    <row r="523" ht="15.75" customHeight="1" s="153">
      <c r="A523" s="221" t="n">
        <v>518</v>
      </c>
      <c r="B523" s="215" t="inlineStr">
        <is>
          <t>JM ZUVIRIA 3439</t>
        </is>
      </c>
      <c r="C523" s="216" t="n">
        <v>50000</v>
      </c>
      <c r="D523" s="216" t="n">
        <v>21500</v>
      </c>
      <c r="E523" s="293" t="n">
        <v>0.43</v>
      </c>
      <c r="F523" s="294" t="n">
        <v>2</v>
      </c>
      <c r="G523" s="294" t="n">
        <v>2</v>
      </c>
      <c r="H523" s="294" t="n"/>
      <c r="I523" s="294" t="n"/>
      <c r="J523" s="294" t="n"/>
      <c r="K523" s="294" t="n"/>
      <c r="L523" s="215" t="inlineStr">
        <is>
          <t>04/05/2026</t>
        </is>
      </c>
    </row>
    <row r="524" ht="15.75" customHeight="1" s="153">
      <c r="A524" s="214" t="n">
        <v>519</v>
      </c>
      <c r="B524" s="215" t="inlineStr">
        <is>
          <t>DAVID LEIVA Y ALBERTO</t>
        </is>
      </c>
      <c r="C524" s="216" t="n">
        <v>50000</v>
      </c>
      <c r="D524" s="216" t="n">
        <v>19200</v>
      </c>
      <c r="E524" s="293" t="n">
        <v>0.384</v>
      </c>
      <c r="F524" s="294" t="n">
        <v>2</v>
      </c>
      <c r="G524" s="294" t="n">
        <v>2</v>
      </c>
      <c r="H524" s="294" t="n"/>
      <c r="I524" s="294" t="n"/>
      <c r="J524" s="294" t="n"/>
      <c r="K524" s="294" t="n"/>
      <c r="L524" s="215" t="inlineStr">
        <is>
          <t>17/05/2026</t>
        </is>
      </c>
    </row>
    <row r="525" ht="15.75" customHeight="1" s="153">
      <c r="A525" s="221" t="n">
        <v>520</v>
      </c>
      <c r="B525" s="215" t="inlineStr">
        <is>
          <t>RIO NEGRO 4464</t>
        </is>
      </c>
      <c r="C525" s="216" t="n">
        <v>49000</v>
      </c>
      <c r="D525" s="216" t="n">
        <v>22000</v>
      </c>
      <c r="E525" s="293" t="n">
        <v>0.449</v>
      </c>
      <c r="F525" s="294" t="n">
        <v>1</v>
      </c>
      <c r="G525" s="294" t="n">
        <v>2</v>
      </c>
      <c r="H525" s="294" t="n"/>
      <c r="I525" s="294" t="n"/>
      <c r="J525" s="294" t="n"/>
      <c r="K525" s="294" t="n"/>
      <c r="L525" s="215" t="inlineStr">
        <is>
          <t>17/03/2026</t>
        </is>
      </c>
    </row>
    <row r="526" ht="15.75" customHeight="1" s="153">
      <c r="A526" s="214" t="n">
        <v>521</v>
      </c>
      <c r="B526" s="215" t="inlineStr">
        <is>
          <t>NECOCHEA 5587</t>
        </is>
      </c>
      <c r="C526" s="216" t="n">
        <v>49000</v>
      </c>
      <c r="D526" s="216" t="n">
        <v>22000</v>
      </c>
      <c r="E526" s="293" t="n">
        <v>0.449</v>
      </c>
      <c r="F526" s="294" t="n">
        <v>1</v>
      </c>
      <c r="G526" s="294" t="n">
        <v>2</v>
      </c>
      <c r="H526" s="294" t="n"/>
      <c r="I526" s="294" t="n"/>
      <c r="J526" s="294" t="n"/>
      <c r="K526" s="294" t="n"/>
      <c r="L526" s="215" t="inlineStr">
        <is>
          <t>17/03/2026</t>
        </is>
      </c>
    </row>
    <row r="527" ht="15.75" customHeight="1" s="153">
      <c r="A527" s="221" t="n">
        <v>522</v>
      </c>
      <c r="B527" s="215" t="inlineStr">
        <is>
          <t>AYACUCHO 5284</t>
        </is>
      </c>
      <c r="C527" s="216" t="n">
        <v>48500</v>
      </c>
      <c r="D527" s="216" t="n">
        <v>19200</v>
      </c>
      <c r="E527" s="293" t="n">
        <v>0.3959</v>
      </c>
      <c r="F527" s="294" t="n">
        <v>2</v>
      </c>
      <c r="G527" s="294" t="n">
        <v>2</v>
      </c>
      <c r="H527" s="294" t="n"/>
      <c r="I527" s="294" t="n"/>
      <c r="J527" s="294" t="n"/>
      <c r="K527" s="294" t="n"/>
      <c r="L527" s="215" t="inlineStr">
        <is>
          <t>13/05/2026</t>
        </is>
      </c>
    </row>
    <row r="528" ht="15.75" customHeight="1" s="153">
      <c r="A528" s="214" t="n">
        <v>523</v>
      </c>
      <c r="B528" s="215" t="inlineStr">
        <is>
          <t>GENERAL PAZ 7989</t>
        </is>
      </c>
      <c r="C528" s="216" t="n">
        <v>48000</v>
      </c>
      <c r="D528" s="216" t="n">
        <v>21700</v>
      </c>
      <c r="E528" s="293" t="n">
        <v>0.4521</v>
      </c>
      <c r="F528" s="294" t="n">
        <v>2</v>
      </c>
      <c r="G528" s="294" t="n">
        <v>2</v>
      </c>
      <c r="H528" s="294" t="n"/>
      <c r="I528" s="294" t="n"/>
      <c r="J528" s="294" t="n"/>
      <c r="K528" s="294" t="n"/>
      <c r="L528" s="215" t="inlineStr">
        <is>
          <t>22/05/2026</t>
        </is>
      </c>
    </row>
    <row r="529" ht="15.75" customHeight="1" s="153">
      <c r="A529" s="221" t="n">
        <v>524</v>
      </c>
      <c r="B529" s="215" t="inlineStr">
        <is>
          <t>RICARDO ALDAO 3082</t>
        </is>
      </c>
      <c r="C529" s="216" t="n">
        <v>48000</v>
      </c>
      <c r="D529" s="216" t="n">
        <v>19500</v>
      </c>
      <c r="E529" s="293" t="n">
        <v>0.4062</v>
      </c>
      <c r="F529" s="294" t="n">
        <v>2</v>
      </c>
      <c r="G529" s="294" t="n">
        <v>2</v>
      </c>
      <c r="H529" s="294" t="n"/>
      <c r="I529" s="294" t="n"/>
      <c r="J529" s="294" t="n"/>
      <c r="K529" s="294" t="n"/>
      <c r="L529" s="215" t="inlineStr">
        <is>
          <t>02/05/2026</t>
        </is>
      </c>
    </row>
    <row r="530" ht="15.75" customHeight="1" s="153">
      <c r="A530" s="214" t="n">
        <v>525</v>
      </c>
      <c r="B530" s="215" t="inlineStr">
        <is>
          <t>GUEMES 4421</t>
        </is>
      </c>
      <c r="C530" s="216" t="n">
        <v>48000</v>
      </c>
      <c r="D530" s="216" t="n">
        <v>19500</v>
      </c>
      <c r="E530" s="293" t="n">
        <v>0.4062</v>
      </c>
      <c r="F530" s="294" t="n">
        <v>2</v>
      </c>
      <c r="G530" s="294" t="n">
        <v>2</v>
      </c>
      <c r="H530" s="294" t="n"/>
      <c r="I530" s="294" t="n"/>
      <c r="J530" s="294" t="n"/>
      <c r="K530" s="294" t="n"/>
      <c r="L530" s="215" t="inlineStr">
        <is>
          <t>22/04/2026</t>
        </is>
      </c>
    </row>
    <row r="531" ht="15.75" customHeight="1" s="153">
      <c r="A531" s="221" t="n">
        <v>526</v>
      </c>
      <c r="B531" s="215" t="inlineStr">
        <is>
          <t>SEDLASEK 5347</t>
        </is>
      </c>
      <c r="C531" s="216" t="n">
        <v>48000</v>
      </c>
      <c r="D531" s="216" t="n">
        <v>19500</v>
      </c>
      <c r="E531" s="293" t="n">
        <v>0.4062</v>
      </c>
      <c r="F531" s="294" t="n">
        <v>2</v>
      </c>
      <c r="G531" s="294" t="n">
        <v>2</v>
      </c>
      <c r="H531" s="294" t="n"/>
      <c r="I531" s="294" t="n"/>
      <c r="J531" s="294" t="n"/>
      <c r="K531" s="294" t="n"/>
      <c r="L531" s="215" t="inlineStr">
        <is>
          <t>23/04/2026</t>
        </is>
      </c>
    </row>
    <row r="532" ht="15.75" customHeight="1" s="153">
      <c r="A532" s="214" t="n">
        <v>527</v>
      </c>
      <c r="B532" s="215" t="inlineStr">
        <is>
          <t>EX COMBATIENTES 5583</t>
        </is>
      </c>
      <c r="C532" s="216" t="n">
        <v>47500</v>
      </c>
      <c r="D532" s="216" t="n">
        <v>18200</v>
      </c>
      <c r="E532" s="293" t="n">
        <v>0.3832</v>
      </c>
      <c r="F532" s="294" t="n">
        <v>2</v>
      </c>
      <c r="G532" s="294" t="n">
        <v>2</v>
      </c>
      <c r="H532" s="294" t="n"/>
      <c r="I532" s="294" t="n"/>
      <c r="J532" s="294" t="n"/>
      <c r="K532" s="294" t="n"/>
      <c r="L532" s="215" t="inlineStr">
        <is>
          <t>27/05/2026</t>
        </is>
      </c>
    </row>
    <row r="533" ht="15.75" customHeight="1" s="153">
      <c r="A533" s="221" t="n">
        <v>528</v>
      </c>
      <c r="B533" s="215" t="inlineStr">
        <is>
          <t>AGUADO 6970</t>
        </is>
      </c>
      <c r="C533" s="216" t="n">
        <v>47000</v>
      </c>
      <c r="D533" s="216" t="n">
        <v>20700</v>
      </c>
      <c r="E533" s="293" t="n">
        <v>0.4404</v>
      </c>
      <c r="F533" s="294" t="n">
        <v>2</v>
      </c>
      <c r="G533" s="294" t="n">
        <v>2</v>
      </c>
      <c r="H533" s="294" t="n"/>
      <c r="I533" s="294" t="n"/>
      <c r="J533" s="294" t="n"/>
      <c r="K533" s="294" t="n"/>
      <c r="L533" s="215" t="inlineStr">
        <is>
          <t>23/05/2026</t>
        </is>
      </c>
    </row>
    <row r="534" ht="15.75" customHeight="1" s="153">
      <c r="A534" s="214" t="n">
        <v>529</v>
      </c>
      <c r="B534" s="215" t="inlineStr">
        <is>
          <t>LA MADRID 4736</t>
        </is>
      </c>
      <c r="C534" s="216" t="n">
        <v>47000</v>
      </c>
      <c r="D534" s="216" t="n">
        <v>20700</v>
      </c>
      <c r="E534" s="293" t="n">
        <v>0.4404</v>
      </c>
      <c r="F534" s="294" t="n">
        <v>2</v>
      </c>
      <c r="G534" s="294" t="n">
        <v>2</v>
      </c>
      <c r="H534" s="294" t="n"/>
      <c r="I534" s="294" t="n"/>
      <c r="J534" s="294" t="n"/>
      <c r="K534" s="294" t="n"/>
      <c r="L534" s="215" t="inlineStr">
        <is>
          <t>24/05/2026</t>
        </is>
      </c>
    </row>
    <row r="535" ht="15.75" customHeight="1" s="153">
      <c r="A535" s="221" t="n">
        <v>530</v>
      </c>
      <c r="B535" s="215" t="inlineStr">
        <is>
          <t>ABUELA LUCAS</t>
        </is>
      </c>
      <c r="C535" s="216" t="n">
        <v>47000</v>
      </c>
      <c r="D535" s="216" t="n">
        <v>21500</v>
      </c>
      <c r="E535" s="293" t="n">
        <v>0.4574</v>
      </c>
      <c r="F535" s="294" t="n">
        <v>2</v>
      </c>
      <c r="G535" s="294" t="n">
        <v>2</v>
      </c>
      <c r="H535" s="294" t="n"/>
      <c r="I535" s="294" t="n"/>
      <c r="J535" s="294" t="n"/>
      <c r="K535" s="294" t="n"/>
      <c r="L535" s="215" t="inlineStr">
        <is>
          <t>25/04/2026</t>
        </is>
      </c>
    </row>
    <row r="536" ht="15.75" customHeight="1" s="153">
      <c r="A536" s="214" t="n">
        <v>531</v>
      </c>
      <c r="B536" s="215" t="inlineStr">
        <is>
          <t>ALVEAR 5259</t>
        </is>
      </c>
      <c r="C536" s="216" t="n">
        <v>47000</v>
      </c>
      <c r="D536" s="216" t="n">
        <v>21500</v>
      </c>
      <c r="E536" s="293" t="n">
        <v>0.4574</v>
      </c>
      <c r="F536" s="294" t="n">
        <v>2</v>
      </c>
      <c r="G536" s="294" t="n">
        <v>2</v>
      </c>
      <c r="H536" s="294" t="n"/>
      <c r="I536" s="294" t="n"/>
      <c r="J536" s="294" t="n"/>
      <c r="K536" s="294" t="n"/>
      <c r="L536" s="215" t="inlineStr">
        <is>
          <t>30/04/2026</t>
        </is>
      </c>
    </row>
    <row r="537" ht="15.75" customHeight="1" s="153">
      <c r="A537" s="221" t="n">
        <v>532</v>
      </c>
      <c r="B537" s="215" t="inlineStr">
        <is>
          <t>ABUELA TUYA</t>
        </is>
      </c>
      <c r="C537" s="216" t="n">
        <v>47000</v>
      </c>
      <c r="D537" s="216" t="n">
        <v>21500</v>
      </c>
      <c r="E537" s="293" t="n">
        <v>0.4574</v>
      </c>
      <c r="F537" s="294" t="n">
        <v>2</v>
      </c>
      <c r="G537" s="294" t="n">
        <v>2</v>
      </c>
      <c r="H537" s="294" t="n"/>
      <c r="I537" s="294" t="n"/>
      <c r="J537" s="294" t="n"/>
      <c r="K537" s="294" t="n"/>
      <c r="L537" s="215" t="inlineStr">
        <is>
          <t>30/04/2026</t>
        </is>
      </c>
    </row>
    <row r="538" ht="15.75" customHeight="1" s="153">
      <c r="A538" s="214" t="n">
        <v>533</v>
      </c>
      <c r="B538" s="215" t="inlineStr">
        <is>
          <t xml:space="preserve">LAVADERO </t>
        </is>
      </c>
      <c r="C538" s="216" t="n">
        <v>46000</v>
      </c>
      <c r="D538" s="216" t="n">
        <v>8500</v>
      </c>
      <c r="E538" s="293" t="n">
        <v>0.1848</v>
      </c>
      <c r="F538" s="294" t="n">
        <v>3</v>
      </c>
      <c r="G538" s="294" t="n">
        <v>3</v>
      </c>
      <c r="H538" s="294" t="n"/>
      <c r="I538" s="294" t="n"/>
      <c r="J538" s="294" t="n"/>
      <c r="K538" s="294" t="n"/>
      <c r="L538" s="215" t="inlineStr">
        <is>
          <t>18/03/2026</t>
        </is>
      </c>
    </row>
    <row r="539" ht="15.75" customHeight="1" s="153">
      <c r="A539" s="221" t="n">
        <v>534</v>
      </c>
      <c r="B539" s="215" t="inlineStr">
        <is>
          <t>GUANELLA 4543</t>
        </is>
      </c>
      <c r="C539" s="216" t="n">
        <v>46000</v>
      </c>
      <c r="D539" s="216" t="n">
        <v>20500</v>
      </c>
      <c r="E539" s="293" t="n">
        <v>0.4457</v>
      </c>
      <c r="F539" s="294" t="n">
        <v>2</v>
      </c>
      <c r="G539" s="294" t="n">
        <v>2</v>
      </c>
      <c r="H539" s="294" t="n"/>
      <c r="I539" s="294" t="n"/>
      <c r="J539" s="294" t="n"/>
      <c r="K539" s="294" t="n"/>
      <c r="L539" s="215" t="inlineStr">
        <is>
          <t>04/05/2026</t>
        </is>
      </c>
    </row>
    <row r="540" ht="15.75" customHeight="1" s="153">
      <c r="A540" s="214" t="n">
        <v>535</v>
      </c>
      <c r="B540" s="215" t="inlineStr">
        <is>
          <t>ALBERTI 5303</t>
        </is>
      </c>
      <c r="C540" s="216" t="n">
        <v>46000</v>
      </c>
      <c r="D540" s="216" t="n">
        <v>20500</v>
      </c>
      <c r="E540" s="293" t="n">
        <v>0.4457</v>
      </c>
      <c r="F540" s="294" t="n">
        <v>2</v>
      </c>
      <c r="G540" s="294" t="n">
        <v>2</v>
      </c>
      <c r="H540" s="294" t="n"/>
      <c r="I540" s="294" t="n"/>
      <c r="J540" s="294" t="n"/>
      <c r="K540" s="294" t="n"/>
      <c r="L540" s="215" t="inlineStr">
        <is>
          <t>01/05/2026</t>
        </is>
      </c>
    </row>
    <row r="541" ht="15.75" customHeight="1" s="153">
      <c r="A541" s="221" t="n">
        <v>536</v>
      </c>
      <c r="B541" s="215" t="inlineStr">
        <is>
          <t xml:space="preserve">NACHI CUEVA </t>
        </is>
      </c>
      <c r="C541" s="216" t="n">
        <v>45000</v>
      </c>
      <c r="D541" s="216" t="n">
        <v>18750</v>
      </c>
      <c r="E541" s="293" t="n">
        <v>0.4167</v>
      </c>
      <c r="F541" s="294" t="n">
        <v>1</v>
      </c>
      <c r="G541" s="294" t="n">
        <v>1</v>
      </c>
      <c r="H541" s="294" t="n">
        <v>1</v>
      </c>
      <c r="I541" s="294" t="n"/>
      <c r="J541" s="294" t="n"/>
      <c r="K541" s="294" t="n"/>
      <c r="L541" s="215" t="inlineStr">
        <is>
          <t>08/01/2026</t>
        </is>
      </c>
    </row>
    <row r="542" ht="15.75" customHeight="1" s="153">
      <c r="A542" s="214" t="n">
        <v>537</v>
      </c>
      <c r="B542" s="215" t="inlineStr">
        <is>
          <t>NACHO CUEVA</t>
        </is>
      </c>
      <c r="C542" s="216" t="n">
        <v>45000</v>
      </c>
      <c r="D542" s="216" t="n">
        <v>18750</v>
      </c>
      <c r="E542" s="293" t="n">
        <v>0.4167</v>
      </c>
      <c r="F542" s="294" t="n">
        <v>1</v>
      </c>
      <c r="G542" s="294" t="n">
        <v>1</v>
      </c>
      <c r="H542" s="294" t="n">
        <v>1</v>
      </c>
      <c r="I542" s="294" t="n"/>
      <c r="J542" s="294" t="n"/>
      <c r="K542" s="294" t="n"/>
      <c r="L542" s="215" t="inlineStr">
        <is>
          <t>23/01/2026</t>
        </is>
      </c>
    </row>
    <row r="543" ht="15.75" customHeight="1" s="153">
      <c r="A543" s="221" t="n">
        <v>538</v>
      </c>
      <c r="B543" s="215" t="inlineStr">
        <is>
          <t>MARTIN ZAPATA 2101</t>
        </is>
      </c>
      <c r="C543" s="216" t="n">
        <v>45000</v>
      </c>
      <c r="D543" s="216" t="n">
        <v>13500</v>
      </c>
      <c r="E543" s="293" t="n">
        <v>0.3</v>
      </c>
      <c r="F543" s="294" t="n">
        <v>1</v>
      </c>
      <c r="G543" s="294" t="n">
        <v>3</v>
      </c>
      <c r="H543" s="294" t="n"/>
      <c r="I543" s="294" t="n"/>
      <c r="J543" s="294" t="n"/>
      <c r="K543" s="294" t="n"/>
      <c r="L543" s="215" t="inlineStr">
        <is>
          <t>14/02/2026</t>
        </is>
      </c>
    </row>
    <row r="544" ht="15.75" customHeight="1" s="153">
      <c r="A544" s="214" t="n">
        <v>539</v>
      </c>
      <c r="B544" s="215" t="inlineStr">
        <is>
          <t xml:space="preserve">ESTELA PALZA </t>
        </is>
      </c>
      <c r="C544" s="216" t="n">
        <v>45000</v>
      </c>
      <c r="D544" s="216" t="n">
        <v>13500</v>
      </c>
      <c r="E544" s="293" t="n">
        <v>0.3</v>
      </c>
      <c r="F544" s="294" t="n">
        <v>1</v>
      </c>
      <c r="G544" s="294" t="n">
        <v>3</v>
      </c>
      <c r="H544" s="294" t="n"/>
      <c r="I544" s="294" t="n"/>
      <c r="J544" s="294" t="n"/>
      <c r="K544" s="294" t="n"/>
      <c r="L544" s="215" t="inlineStr">
        <is>
          <t>21/02/2026</t>
        </is>
      </c>
    </row>
    <row r="545" ht="15.75" customHeight="1" s="153">
      <c r="A545" s="221" t="n">
        <v>540</v>
      </c>
      <c r="B545" s="215" t="inlineStr">
        <is>
          <t>EUROPA 7251</t>
        </is>
      </c>
      <c r="C545" s="216" t="n">
        <v>44000</v>
      </c>
      <c r="D545" s="216" t="n">
        <v>23000</v>
      </c>
      <c r="E545" s="293" t="n">
        <v>0.5227000000000001</v>
      </c>
      <c r="F545" s="294" t="n">
        <v>2</v>
      </c>
      <c r="G545" s="294" t="n">
        <v>2</v>
      </c>
      <c r="H545" s="294" t="n"/>
      <c r="I545" s="294" t="n"/>
      <c r="J545" s="294" t="n"/>
      <c r="K545" s="294" t="n"/>
      <c r="L545" s="215" t="inlineStr">
        <is>
          <t>06/02/2026</t>
        </is>
      </c>
    </row>
    <row r="546" ht="15.75" customHeight="1" s="153">
      <c r="A546" s="214" t="n">
        <v>541</v>
      </c>
      <c r="B546" s="215" t="inlineStr">
        <is>
          <t>ALSINA 9348</t>
        </is>
      </c>
      <c r="C546" s="216" t="n">
        <v>44000</v>
      </c>
      <c r="D546" s="216" t="n">
        <v>17000</v>
      </c>
      <c r="E546" s="293" t="n">
        <v>0.3864</v>
      </c>
      <c r="F546" s="294" t="n">
        <v>1</v>
      </c>
      <c r="G546" s="294" t="n">
        <v>2</v>
      </c>
      <c r="H546" s="294" t="n"/>
      <c r="I546" s="294" t="n"/>
      <c r="J546" s="294" t="n"/>
      <c r="K546" s="294" t="n"/>
      <c r="L546" s="215" t="inlineStr">
        <is>
          <t>11/03/2026</t>
        </is>
      </c>
    </row>
    <row r="547" ht="15.75" customHeight="1" s="153">
      <c r="A547" s="221" t="n">
        <v>542</v>
      </c>
      <c r="B547" s="215" t="inlineStr">
        <is>
          <t>B IRIGOYEN 6634</t>
        </is>
      </c>
      <c r="C547" s="216" t="n">
        <v>43000</v>
      </c>
      <c r="D547" s="216" t="n">
        <v>19000</v>
      </c>
      <c r="E547" s="293" t="n">
        <v>0.4419</v>
      </c>
      <c r="F547" s="294" t="n">
        <v>2</v>
      </c>
      <c r="G547" s="294" t="n">
        <v>2</v>
      </c>
      <c r="H547" s="294" t="n"/>
      <c r="I547" s="294" t="n"/>
      <c r="J547" s="294" t="n"/>
      <c r="K547" s="294" t="n"/>
      <c r="L547" s="215" t="inlineStr">
        <is>
          <t>02/03/2026</t>
        </is>
      </c>
    </row>
    <row r="548" ht="15.75" customHeight="1" s="153">
      <c r="A548" s="214" t="n">
        <v>543</v>
      </c>
      <c r="B548" s="215" t="inlineStr">
        <is>
          <t>PUBLICO 8150</t>
        </is>
      </c>
      <c r="C548" s="216" t="n">
        <v>42500</v>
      </c>
      <c r="D548" s="216" t="n">
        <v>18800</v>
      </c>
      <c r="E548" s="293" t="n">
        <v>0.4424</v>
      </c>
      <c r="F548" s="294" t="n">
        <v>1</v>
      </c>
      <c r="G548" s="294" t="n"/>
      <c r="H548" s="294" t="n">
        <v>1</v>
      </c>
      <c r="I548" s="294" t="n"/>
      <c r="J548" s="294" t="n"/>
      <c r="K548" s="294" t="n"/>
      <c r="L548" s="215" t="inlineStr">
        <is>
          <t>29/05/2026</t>
        </is>
      </c>
    </row>
    <row r="549" ht="15.75" customHeight="1" s="153">
      <c r="A549" s="221" t="n">
        <v>544</v>
      </c>
      <c r="B549" s="215" t="inlineStr">
        <is>
          <t>SAN LORENZO 7481</t>
        </is>
      </c>
      <c r="C549" s="216" t="n">
        <v>42500</v>
      </c>
      <c r="D549" s="216" t="n">
        <v>18800</v>
      </c>
      <c r="E549" s="293" t="n">
        <v>0.4424</v>
      </c>
      <c r="F549" s="294" t="n">
        <v>1</v>
      </c>
      <c r="G549" s="294" t="n"/>
      <c r="H549" s="294" t="n">
        <v>1</v>
      </c>
      <c r="I549" s="294" t="n"/>
      <c r="J549" s="294" t="n"/>
      <c r="K549" s="294" t="n"/>
      <c r="L549" s="215" t="inlineStr">
        <is>
          <t>31/05/2026</t>
        </is>
      </c>
    </row>
    <row r="550" ht="15.75" customHeight="1" s="153">
      <c r="A550" s="214" t="n">
        <v>545</v>
      </c>
      <c r="B550" s="215" t="inlineStr">
        <is>
          <t>PALLARES 8200</t>
        </is>
      </c>
      <c r="C550" s="216" t="n">
        <v>42000</v>
      </c>
      <c r="D550" s="216" t="n">
        <v>21000</v>
      </c>
      <c r="E550" s="293" t="n">
        <v>0.5</v>
      </c>
      <c r="F550" s="294" t="n">
        <v>1</v>
      </c>
      <c r="G550" s="294" t="n">
        <v>2</v>
      </c>
      <c r="H550" s="294" t="n"/>
      <c r="I550" s="294" t="n"/>
      <c r="J550" s="294" t="n"/>
      <c r="K550" s="294" t="n"/>
      <c r="L550" s="215" t="inlineStr">
        <is>
          <t>02/02/2026</t>
        </is>
      </c>
    </row>
    <row r="551" ht="15.75" customHeight="1" s="153">
      <c r="A551" s="221" t="n">
        <v>546</v>
      </c>
      <c r="B551" s="215" t="inlineStr">
        <is>
          <t>EX COMBATIENTES 5220</t>
        </is>
      </c>
      <c r="C551" s="216" t="n">
        <v>42000</v>
      </c>
      <c r="D551" s="216" t="n">
        <v>21000</v>
      </c>
      <c r="E551" s="293" t="n">
        <v>0.5</v>
      </c>
      <c r="F551" s="294" t="n">
        <v>1</v>
      </c>
      <c r="G551" s="294" t="n">
        <v>2</v>
      </c>
      <c r="H551" s="294" t="n"/>
      <c r="I551" s="294" t="n"/>
      <c r="J551" s="294" t="n"/>
      <c r="K551" s="294" t="n"/>
      <c r="L551" s="215" t="inlineStr">
        <is>
          <t>03/02/2026</t>
        </is>
      </c>
    </row>
    <row r="552" ht="15.75" customHeight="1" s="153">
      <c r="A552" s="214" t="n">
        <v>547</v>
      </c>
      <c r="B552" s="215" t="inlineStr">
        <is>
          <t xml:space="preserve">ESTELA PARAGUAY </t>
        </is>
      </c>
      <c r="C552" s="216" t="n">
        <v>42000</v>
      </c>
      <c r="D552" s="216" t="n">
        <v>10500</v>
      </c>
      <c r="E552" s="293" t="n">
        <v>0.25</v>
      </c>
      <c r="F552" s="294" t="n">
        <v>1</v>
      </c>
      <c r="G552" s="294" t="n">
        <v>3</v>
      </c>
      <c r="H552" s="294" t="n"/>
      <c r="I552" s="294" t="n"/>
      <c r="J552" s="294" t="n"/>
      <c r="K552" s="294" t="n"/>
      <c r="L552" s="215" t="inlineStr">
        <is>
          <t>15/02/2026</t>
        </is>
      </c>
    </row>
    <row r="553" ht="15.75" customHeight="1" s="153">
      <c r="A553" s="221" t="n">
        <v>548</v>
      </c>
      <c r="B553" s="215" t="inlineStr">
        <is>
          <t>JORGE VIANDAS</t>
        </is>
      </c>
      <c r="C553" s="216" t="n">
        <v>42000</v>
      </c>
      <c r="D553" s="216" t="n">
        <v>13500</v>
      </c>
      <c r="E553" s="293" t="n">
        <v>0.3214</v>
      </c>
      <c r="F553" s="294" t="n">
        <v>2</v>
      </c>
      <c r="G553" s="294" t="n">
        <v>2</v>
      </c>
      <c r="H553" s="294" t="n"/>
      <c r="I553" s="294" t="n"/>
      <c r="J553" s="294" t="n"/>
      <c r="K553" s="294" t="n">
        <v>3</v>
      </c>
      <c r="L553" s="215" t="inlineStr">
        <is>
          <t>04/05/2026</t>
        </is>
      </c>
    </row>
    <row r="554" ht="15.75" customHeight="1" s="153">
      <c r="A554" s="214" t="n">
        <v>549</v>
      </c>
      <c r="B554" s="215" t="inlineStr">
        <is>
          <t>AYACUCHO 3817</t>
        </is>
      </c>
      <c r="C554" s="216" t="n">
        <v>42000</v>
      </c>
      <c r="D554" s="216" t="n">
        <v>15000</v>
      </c>
      <c r="E554" s="293" t="n">
        <v>0.3571</v>
      </c>
      <c r="F554" s="294" t="n">
        <v>1</v>
      </c>
      <c r="G554" s="294" t="n">
        <v>2</v>
      </c>
      <c r="H554" s="294" t="n"/>
      <c r="I554" s="294" t="n"/>
      <c r="J554" s="294" t="n"/>
      <c r="K554" s="294" t="n"/>
      <c r="L554" s="215" t="inlineStr">
        <is>
          <t>21/03/2026</t>
        </is>
      </c>
    </row>
    <row r="555" ht="15.75" customHeight="1" s="153">
      <c r="A555" s="221" t="n">
        <v>550</v>
      </c>
      <c r="B555" s="215" t="inlineStr">
        <is>
          <t>PUBLICO 8436</t>
        </is>
      </c>
      <c r="C555" s="216" t="n">
        <v>42000</v>
      </c>
      <c r="D555" s="216" t="n">
        <v>18300</v>
      </c>
      <c r="E555" s="293" t="n">
        <v>0.4357</v>
      </c>
      <c r="F555" s="294" t="n">
        <v>1</v>
      </c>
      <c r="G555" s="294" t="n"/>
      <c r="H555" s="294" t="n">
        <v>1</v>
      </c>
      <c r="I555" s="294" t="n"/>
      <c r="J555" s="294" t="n"/>
      <c r="K555" s="294" t="n"/>
      <c r="L555" s="215" t="inlineStr">
        <is>
          <t>08/05/2026</t>
        </is>
      </c>
    </row>
    <row r="556" ht="15.75" customHeight="1" s="153">
      <c r="A556" s="214" t="n">
        <v>551</v>
      </c>
      <c r="B556" s="215" t="inlineStr">
        <is>
          <t>CORRIENTES 2979</t>
        </is>
      </c>
      <c r="C556" s="216" t="n">
        <v>42000</v>
      </c>
      <c r="D556" s="216" t="n">
        <v>18300</v>
      </c>
      <c r="E556" s="293" t="n">
        <v>0.4357</v>
      </c>
      <c r="F556" s="294" t="n">
        <v>1</v>
      </c>
      <c r="G556" s="294" t="n"/>
      <c r="H556" s="294" t="n">
        <v>1</v>
      </c>
      <c r="I556" s="294" t="n"/>
      <c r="J556" s="294" t="n"/>
      <c r="K556" s="294" t="n"/>
      <c r="L556" s="215" t="inlineStr">
        <is>
          <t>10/05/2026</t>
        </is>
      </c>
    </row>
    <row r="557" ht="15.75" customHeight="1" s="153">
      <c r="A557" s="221" t="n">
        <v>552</v>
      </c>
      <c r="B557" s="215" t="inlineStr">
        <is>
          <t>FRANCIA 2063</t>
        </is>
      </c>
      <c r="C557" s="216" t="n">
        <v>42000</v>
      </c>
      <c r="D557" s="216" t="n">
        <v>18300</v>
      </c>
      <c r="E557" s="293" t="n">
        <v>0.4357</v>
      </c>
      <c r="F557" s="294" t="n">
        <v>1</v>
      </c>
      <c r="G557" s="294" t="n"/>
      <c r="H557" s="294" t="n">
        <v>1</v>
      </c>
      <c r="I557" s="294" t="n"/>
      <c r="J557" s="294" t="n"/>
      <c r="K557" s="294" t="n"/>
      <c r="L557" s="215" t="inlineStr">
        <is>
          <t>14/05/2026</t>
        </is>
      </c>
    </row>
    <row r="558" ht="15.75" customHeight="1" s="153">
      <c r="A558" s="214" t="n">
        <v>553</v>
      </c>
      <c r="B558" s="215" t="inlineStr">
        <is>
          <t>MARTÍN ZAPATA 2101</t>
        </is>
      </c>
      <c r="C558" s="216" t="n">
        <v>42000</v>
      </c>
      <c r="D558" s="216" t="n">
        <v>10400</v>
      </c>
      <c r="E558" s="293" t="n">
        <v>0.2476</v>
      </c>
      <c r="F558" s="294" t="n">
        <v>1</v>
      </c>
      <c r="G558" s="294" t="n">
        <v>2</v>
      </c>
      <c r="H558" s="294" t="n"/>
      <c r="I558" s="294" t="n"/>
      <c r="J558" s="294" t="n"/>
      <c r="K558" s="294" t="n"/>
      <c r="L558" s="215" t="inlineStr">
        <is>
          <t>22/05/2026</t>
        </is>
      </c>
    </row>
    <row r="559" ht="15.75" customHeight="1" s="153">
      <c r="A559" s="221" t="n">
        <v>554</v>
      </c>
      <c r="B559" s="215" t="inlineStr">
        <is>
          <t>SAN MARTIN 1925</t>
        </is>
      </c>
      <c r="C559" s="216" t="n">
        <v>41500</v>
      </c>
      <c r="D559" s="216" t="n">
        <v>17500</v>
      </c>
      <c r="E559" s="293" t="n">
        <v>0.4217</v>
      </c>
      <c r="F559" s="294" t="n">
        <v>2</v>
      </c>
      <c r="G559" s="294" t="n">
        <v>2</v>
      </c>
      <c r="H559" s="294" t="n"/>
      <c r="I559" s="294" t="n"/>
      <c r="J559" s="294" t="n"/>
      <c r="K559" s="294" t="n"/>
      <c r="L559" s="215" t="inlineStr">
        <is>
          <t>09/03/2026</t>
        </is>
      </c>
    </row>
    <row r="560" ht="15.75" customHeight="1" s="153">
      <c r="A560" s="214" t="n">
        <v>555</v>
      </c>
      <c r="B560" s="215" t="inlineStr">
        <is>
          <t>AZOPARDO Y PRIMER PASAJE</t>
        </is>
      </c>
      <c r="C560" s="216" t="n">
        <v>41500</v>
      </c>
      <c r="D560" s="216" t="n">
        <v>17800</v>
      </c>
      <c r="E560" s="293" t="n">
        <v>0.4289</v>
      </c>
      <c r="F560" s="294" t="n">
        <v>1</v>
      </c>
      <c r="G560" s="294" t="n"/>
      <c r="H560" s="294" t="n">
        <v>1</v>
      </c>
      <c r="I560" s="294" t="n"/>
      <c r="J560" s="294" t="n"/>
      <c r="K560" s="294" t="n"/>
      <c r="L560" s="215" t="inlineStr">
        <is>
          <t>30/05/2026</t>
        </is>
      </c>
    </row>
    <row r="561" ht="15.75" customHeight="1" s="153">
      <c r="A561" s="221" t="n">
        <v>556</v>
      </c>
      <c r="B561" s="215" t="inlineStr">
        <is>
          <t>ROQUE S PEÑA 3066</t>
        </is>
      </c>
      <c r="C561" s="216" t="n">
        <v>41000</v>
      </c>
      <c r="D561" s="216" t="n">
        <v>18500</v>
      </c>
      <c r="E561" s="293" t="n">
        <v>0.4512</v>
      </c>
      <c r="F561" s="294" t="n">
        <v>1</v>
      </c>
      <c r="G561" s="294" t="n"/>
      <c r="H561" s="294" t="n">
        <v>1</v>
      </c>
      <c r="I561" s="294" t="n"/>
      <c r="J561" s="294" t="n"/>
      <c r="K561" s="294" t="n"/>
      <c r="L561" s="215" t="inlineStr">
        <is>
          <t>11/04/2026</t>
        </is>
      </c>
    </row>
    <row r="562" ht="15.75" customHeight="1" s="153">
      <c r="A562" s="214" t="n">
        <v>557</v>
      </c>
      <c r="B562" s="215" t="inlineStr">
        <is>
          <t>ALBERDI 8230</t>
        </is>
      </c>
      <c r="C562" s="216" t="n">
        <v>41000</v>
      </c>
      <c r="D562" s="216" t="n">
        <v>17300</v>
      </c>
      <c r="E562" s="293" t="n">
        <v>0.422</v>
      </c>
      <c r="F562" s="294" t="n">
        <v>1</v>
      </c>
      <c r="G562" s="294" t="n"/>
      <c r="H562" s="294" t="n">
        <v>1</v>
      </c>
      <c r="I562" s="294" t="n"/>
      <c r="J562" s="294" t="n"/>
      <c r="K562" s="294" t="n"/>
      <c r="L562" s="215" t="inlineStr">
        <is>
          <t>15/05/2026</t>
        </is>
      </c>
    </row>
    <row r="563" ht="15.75" customHeight="1" s="153">
      <c r="A563" s="221" t="n">
        <v>558</v>
      </c>
      <c r="B563" s="215" t="inlineStr">
        <is>
          <t>LEUMAN 5045</t>
        </is>
      </c>
      <c r="C563" s="216" t="n">
        <v>41000</v>
      </c>
      <c r="D563" s="216" t="n">
        <v>17300</v>
      </c>
      <c r="E563" s="293" t="n">
        <v>0.422</v>
      </c>
      <c r="F563" s="294" t="n">
        <v>1</v>
      </c>
      <c r="G563" s="294" t="n"/>
      <c r="H563" s="294" t="n">
        <v>1</v>
      </c>
      <c r="I563" s="294" t="n"/>
      <c r="J563" s="294" t="n"/>
      <c r="K563" s="294" t="n"/>
      <c r="L563" s="215" t="inlineStr">
        <is>
          <t>25/05/2026</t>
        </is>
      </c>
    </row>
    <row r="564" ht="15.75" customHeight="1" s="153">
      <c r="A564" s="214" t="n">
        <v>559</v>
      </c>
      <c r="B564" s="215" t="inlineStr">
        <is>
          <t>LA PAMPA 5745</t>
        </is>
      </c>
      <c r="C564" s="216" t="n">
        <v>41000</v>
      </c>
      <c r="D564" s="216" t="n">
        <v>17300</v>
      </c>
      <c r="E564" s="293" t="n">
        <v>0.422</v>
      </c>
      <c r="F564" s="294" t="n">
        <v>1</v>
      </c>
      <c r="G564" s="294" t="n"/>
      <c r="H564" s="294" t="n">
        <v>1</v>
      </c>
      <c r="I564" s="294" t="n"/>
      <c r="J564" s="294" t="n"/>
      <c r="K564" s="294" t="n"/>
      <c r="L564" s="215" t="inlineStr">
        <is>
          <t>25/05/2026</t>
        </is>
      </c>
    </row>
    <row r="565" ht="15.75" customHeight="1" s="153">
      <c r="A565" s="221" t="n">
        <v>560</v>
      </c>
      <c r="B565" s="215" t="inlineStr">
        <is>
          <t>PASAJE CONTRERAS 8257</t>
        </is>
      </c>
      <c r="C565" s="216" t="n">
        <v>40500</v>
      </c>
      <c r="D565" s="216" t="n">
        <v>16800</v>
      </c>
      <c r="E565" s="293" t="n">
        <v>0.4148</v>
      </c>
      <c r="F565" s="294" t="n">
        <v>1</v>
      </c>
      <c r="G565" s="294" t="n"/>
      <c r="H565" s="294" t="n">
        <v>1</v>
      </c>
      <c r="I565" s="294" t="n"/>
      <c r="J565" s="294" t="n"/>
      <c r="K565" s="294" t="n"/>
      <c r="L565" s="215" t="inlineStr">
        <is>
          <t>16/05/2026</t>
        </is>
      </c>
    </row>
    <row r="566" ht="15.75" customHeight="1" s="153">
      <c r="A566" s="214" t="n">
        <v>561</v>
      </c>
      <c r="B566" s="215" t="inlineStr">
        <is>
          <t>R GODOY 1614</t>
        </is>
      </c>
      <c r="C566" s="216" t="n">
        <v>40000</v>
      </c>
      <c r="D566" s="216" t="n">
        <v>16000</v>
      </c>
      <c r="E566" s="293" t="n">
        <v>0.4</v>
      </c>
      <c r="F566" s="294" t="n">
        <v>2</v>
      </c>
      <c r="G566" s="294" t="n">
        <v>2</v>
      </c>
      <c r="H566" s="294" t="n"/>
      <c r="I566" s="294" t="n"/>
      <c r="J566" s="294" t="n"/>
      <c r="K566" s="294" t="n"/>
      <c r="L566" s="215" t="inlineStr">
        <is>
          <t>07/03/2026</t>
        </is>
      </c>
    </row>
    <row r="567" ht="15.75" customHeight="1" s="153">
      <c r="A567" s="221" t="n">
        <v>562</v>
      </c>
      <c r="B567" s="215" t="inlineStr">
        <is>
          <t>JORGE VIANDA</t>
        </is>
      </c>
      <c r="C567" s="216" t="n">
        <v>40000</v>
      </c>
      <c r="D567" s="216" t="n">
        <v>11500</v>
      </c>
      <c r="E567" s="293" t="n">
        <v>0.2875</v>
      </c>
      <c r="F567" s="294" t="n">
        <v>2</v>
      </c>
      <c r="G567" s="294" t="n">
        <v>2</v>
      </c>
      <c r="H567" s="294" t="n"/>
      <c r="I567" s="294" t="n"/>
      <c r="J567" s="294" t="n"/>
      <c r="K567" s="294" t="n"/>
      <c r="L567" s="215" t="inlineStr">
        <is>
          <t>27/03/2026</t>
        </is>
      </c>
    </row>
    <row r="568" ht="15.75" customHeight="1" s="153">
      <c r="A568" s="214" t="n">
        <v>563</v>
      </c>
      <c r="B568" s="215" t="inlineStr">
        <is>
          <t>P GENESIO 5995</t>
        </is>
      </c>
      <c r="C568" s="216" t="n">
        <v>40000</v>
      </c>
      <c r="D568" s="216" t="n">
        <v>16300</v>
      </c>
      <c r="E568" s="293" t="n">
        <v>0.4075</v>
      </c>
      <c r="F568" s="294" t="n">
        <v>1</v>
      </c>
      <c r="G568" s="294" t="n"/>
      <c r="H568" s="294" t="n">
        <v>1</v>
      </c>
      <c r="I568" s="294" t="n"/>
      <c r="J568" s="294" t="n"/>
      <c r="K568" s="294" t="n"/>
      <c r="L568" s="215" t="inlineStr">
        <is>
          <t>21/05/2026</t>
        </is>
      </c>
    </row>
    <row r="569" ht="15.75" customHeight="1" s="153">
      <c r="A569" s="221" t="n">
        <v>564</v>
      </c>
      <c r="B569" s="215" t="inlineStr">
        <is>
          <t>TOFFO MAMA</t>
        </is>
      </c>
      <c r="C569" s="216" t="n">
        <v>39500</v>
      </c>
      <c r="D569" s="216" t="n">
        <v>15800</v>
      </c>
      <c r="E569" s="293" t="n">
        <v>0.4</v>
      </c>
      <c r="F569" s="294" t="n">
        <v>1</v>
      </c>
      <c r="G569" s="294" t="n"/>
      <c r="H569" s="294" t="n">
        <v>1</v>
      </c>
      <c r="I569" s="294" t="n"/>
      <c r="J569" s="294" t="n"/>
      <c r="K569" s="294" t="n"/>
      <c r="L569" s="215" t="inlineStr">
        <is>
          <t>13/05/2026</t>
        </is>
      </c>
    </row>
    <row r="570" ht="15.75" customHeight="1" s="153">
      <c r="A570" s="214" t="n">
        <v>565</v>
      </c>
      <c r="B570" s="215" t="inlineStr">
        <is>
          <t>HERNANDARIAS 2253</t>
        </is>
      </c>
      <c r="C570" s="216" t="n">
        <v>39500</v>
      </c>
      <c r="D570" s="216" t="n">
        <v>15800</v>
      </c>
      <c r="E570" s="293" t="n">
        <v>0.4</v>
      </c>
      <c r="F570" s="294" t="n">
        <v>1</v>
      </c>
      <c r="G570" s="294" t="n"/>
      <c r="H570" s="294" t="n">
        <v>1</v>
      </c>
      <c r="I570" s="294" t="n"/>
      <c r="J570" s="294" t="n"/>
      <c r="K570" s="294" t="n"/>
      <c r="L570" s="215" t="inlineStr">
        <is>
          <t>13/05/2026</t>
        </is>
      </c>
    </row>
    <row r="571" ht="15.75" customHeight="1" s="153">
      <c r="A571" s="221" t="n">
        <v>566</v>
      </c>
      <c r="B571" s="215" t="inlineStr">
        <is>
          <t>FACUNDO ZUVIRIA 7757</t>
        </is>
      </c>
      <c r="C571" s="216" t="n">
        <v>39500</v>
      </c>
      <c r="D571" s="216" t="n">
        <v>15800</v>
      </c>
      <c r="E571" s="293" t="n">
        <v>0.4</v>
      </c>
      <c r="F571" s="294" t="n">
        <v>1</v>
      </c>
      <c r="G571" s="294" t="n"/>
      <c r="H571" s="294" t="n">
        <v>1</v>
      </c>
      <c r="I571" s="294" t="n"/>
      <c r="J571" s="294" t="n"/>
      <c r="K571" s="294" t="n"/>
      <c r="L571" s="215" t="inlineStr">
        <is>
          <t>15/05/2026</t>
        </is>
      </c>
    </row>
    <row r="572" ht="15.75" customHeight="1" s="153">
      <c r="A572" s="214" t="n">
        <v>567</v>
      </c>
      <c r="B572" s="215" t="inlineStr">
        <is>
          <t>AZOPARDO 8395</t>
        </is>
      </c>
      <c r="C572" s="216" t="n">
        <v>39500</v>
      </c>
      <c r="D572" s="216" t="n">
        <v>15800</v>
      </c>
      <c r="E572" s="293" t="n">
        <v>0.4</v>
      </c>
      <c r="F572" s="294" t="n">
        <v>1</v>
      </c>
      <c r="G572" s="294" t="n"/>
      <c r="H572" s="294" t="n">
        <v>1</v>
      </c>
      <c r="I572" s="294" t="n"/>
      <c r="J572" s="294" t="n"/>
      <c r="K572" s="294" t="n"/>
      <c r="L572" s="215" t="inlineStr">
        <is>
          <t>17/05/2026</t>
        </is>
      </c>
    </row>
    <row r="573" ht="15.75" customHeight="1" s="153">
      <c r="A573" s="221" t="n">
        <v>568</v>
      </c>
      <c r="B573" s="215" t="inlineStr">
        <is>
          <t>IGNACIO CRESPO 7380</t>
        </is>
      </c>
      <c r="C573" s="216" t="n">
        <v>39500</v>
      </c>
      <c r="D573" s="216" t="n">
        <v>15800</v>
      </c>
      <c r="E573" s="293" t="n">
        <v>0.4</v>
      </c>
      <c r="F573" s="294" t="n">
        <v>1</v>
      </c>
      <c r="G573" s="294" t="n"/>
      <c r="H573" s="294" t="n">
        <v>1</v>
      </c>
      <c r="I573" s="294" t="n"/>
      <c r="J573" s="294" t="n"/>
      <c r="K573" s="294" t="n"/>
      <c r="L573" s="215" t="inlineStr">
        <is>
          <t>19/05/2026</t>
        </is>
      </c>
    </row>
    <row r="574" ht="15.75" customHeight="1" s="153">
      <c r="A574" s="214" t="n">
        <v>569</v>
      </c>
      <c r="B574" s="215" t="inlineStr">
        <is>
          <t>CARO FACELLO</t>
        </is>
      </c>
      <c r="C574" s="216" t="n">
        <v>39500</v>
      </c>
      <c r="D574" s="216" t="n">
        <v>15800</v>
      </c>
      <c r="E574" s="293" t="n">
        <v>0.4</v>
      </c>
      <c r="F574" s="294" t="n">
        <v>1</v>
      </c>
      <c r="G574" s="294" t="n"/>
      <c r="H574" s="294" t="n">
        <v>1</v>
      </c>
      <c r="I574" s="294" t="n"/>
      <c r="J574" s="294" t="n"/>
      <c r="K574" s="294" t="n"/>
      <c r="L574" s="215" t="inlineStr">
        <is>
          <t>21/05/2026</t>
        </is>
      </c>
    </row>
    <row r="575" ht="15.75" customHeight="1" s="153">
      <c r="A575" s="221" t="n">
        <v>570</v>
      </c>
      <c r="B575" s="215" t="inlineStr">
        <is>
          <t>GABOTO 7227</t>
        </is>
      </c>
      <c r="C575" s="216" t="n">
        <v>39500</v>
      </c>
      <c r="D575" s="216" t="n">
        <v>15800</v>
      </c>
      <c r="E575" s="293" t="n">
        <v>0.4</v>
      </c>
      <c r="F575" s="294" t="n">
        <v>1</v>
      </c>
      <c r="G575" s="294" t="n"/>
      <c r="H575" s="294" t="n">
        <v>1</v>
      </c>
      <c r="I575" s="294" t="n"/>
      <c r="J575" s="294" t="n"/>
      <c r="K575" s="294" t="n"/>
      <c r="L575" s="215" t="inlineStr">
        <is>
          <t>26/05/2026</t>
        </is>
      </c>
    </row>
    <row r="576" ht="15.75" customHeight="1" s="153">
      <c r="A576" s="214" t="n">
        <v>571</v>
      </c>
      <c r="B576" s="215" t="inlineStr">
        <is>
          <t>JUAN AZUAGA</t>
        </is>
      </c>
      <c r="C576" s="216" t="n">
        <v>39000</v>
      </c>
      <c r="D576" s="216" t="n">
        <v>12700</v>
      </c>
      <c r="E576" s="293" t="n">
        <v>0.3256</v>
      </c>
      <c r="F576" s="294" t="n">
        <v>2</v>
      </c>
      <c r="G576" s="294" t="n">
        <v>2</v>
      </c>
      <c r="H576" s="294" t="n"/>
      <c r="I576" s="294" t="n"/>
      <c r="J576" s="294" t="n">
        <v>10</v>
      </c>
      <c r="K576" s="294" t="n"/>
      <c r="L576" s="215" t="inlineStr">
        <is>
          <t>15/05/2026</t>
        </is>
      </c>
    </row>
    <row r="577" ht="15.75" customHeight="1" s="153">
      <c r="A577" s="221" t="n">
        <v>572</v>
      </c>
      <c r="B577" s="215" t="inlineStr">
        <is>
          <t>VIANDAS ZEBALLOS</t>
        </is>
      </c>
      <c r="C577" s="216" t="n">
        <v>39000</v>
      </c>
      <c r="D577" s="216" t="n">
        <v>15000</v>
      </c>
      <c r="E577" s="293" t="n">
        <v>0.3846</v>
      </c>
      <c r="F577" s="294" t="n">
        <v>2</v>
      </c>
      <c r="G577" s="294" t="n">
        <v>2</v>
      </c>
      <c r="H577" s="294" t="n"/>
      <c r="I577" s="294" t="n"/>
      <c r="J577" s="294" t="n"/>
      <c r="K577" s="294" t="n"/>
      <c r="L577" s="215" t="inlineStr">
        <is>
          <t>16/03/2026</t>
        </is>
      </c>
    </row>
    <row r="578" ht="15.75" customHeight="1" s="153">
      <c r="A578" s="214" t="n">
        <v>573</v>
      </c>
      <c r="B578" s="215" t="inlineStr">
        <is>
          <t xml:space="preserve">ABUELA MARGA </t>
        </is>
      </c>
      <c r="C578" s="216" t="n">
        <v>39000</v>
      </c>
      <c r="D578" s="216" t="n">
        <v>12000</v>
      </c>
      <c r="E578" s="293" t="n">
        <v>0.3077</v>
      </c>
      <c r="F578" s="294" t="n">
        <v>1</v>
      </c>
      <c r="G578" s="294" t="n">
        <v>2</v>
      </c>
      <c r="H578" s="294" t="n"/>
      <c r="I578" s="294" t="n"/>
      <c r="J578" s="294" t="n"/>
      <c r="K578" s="294" t="n"/>
      <c r="L578" s="215" t="inlineStr">
        <is>
          <t>06/03/2026</t>
        </is>
      </c>
    </row>
    <row r="579" ht="15.75" customHeight="1" s="153">
      <c r="A579" s="221" t="n">
        <v>574</v>
      </c>
      <c r="B579" s="215" t="inlineStr">
        <is>
          <t>GENEIRO 8200</t>
        </is>
      </c>
      <c r="C579" s="216" t="n">
        <v>39000</v>
      </c>
      <c r="D579" s="216" t="n">
        <v>16500</v>
      </c>
      <c r="E579" s="293" t="n">
        <v>0.4231</v>
      </c>
      <c r="F579" s="294" t="n">
        <v>1</v>
      </c>
      <c r="G579" s="294" t="n"/>
      <c r="H579" s="294" t="n">
        <v>1</v>
      </c>
      <c r="I579" s="294" t="n"/>
      <c r="J579" s="294" t="n"/>
      <c r="K579" s="294" t="n"/>
      <c r="L579" s="215" t="inlineStr">
        <is>
          <t>01/04/2026</t>
        </is>
      </c>
    </row>
    <row r="580" ht="15.75" customHeight="1" s="153">
      <c r="A580" s="214" t="n">
        <v>575</v>
      </c>
      <c r="B580" s="215" t="inlineStr">
        <is>
          <t>LA MADRID 7175</t>
        </is>
      </c>
      <c r="C580" s="216" t="n">
        <v>39000</v>
      </c>
      <c r="D580" s="216" t="n">
        <v>16500</v>
      </c>
      <c r="E580" s="293" t="n">
        <v>0.4231</v>
      </c>
      <c r="F580" s="294" t="n">
        <v>1</v>
      </c>
      <c r="G580" s="294" t="n"/>
      <c r="H580" s="294" t="n">
        <v>1</v>
      </c>
      <c r="I580" s="294" t="n"/>
      <c r="J580" s="294" t="n"/>
      <c r="K580" s="294" t="n"/>
      <c r="L580" s="215" t="inlineStr">
        <is>
          <t>01/04/2026</t>
        </is>
      </c>
    </row>
    <row r="581" ht="15.75" customHeight="1" s="153">
      <c r="A581" s="221" t="n">
        <v>576</v>
      </c>
      <c r="B581" s="215" t="inlineStr">
        <is>
          <t>GABOTO 7298</t>
        </is>
      </c>
      <c r="C581" s="216" t="n">
        <v>39000</v>
      </c>
      <c r="D581" s="216" t="n">
        <v>16500</v>
      </c>
      <c r="E581" s="293" t="n">
        <v>0.4231</v>
      </c>
      <c r="F581" s="294" t="n">
        <v>1</v>
      </c>
      <c r="G581" s="294" t="n"/>
      <c r="H581" s="294" t="n">
        <v>1</v>
      </c>
      <c r="I581" s="294" t="n"/>
      <c r="J581" s="294" t="n"/>
      <c r="K581" s="294" t="n"/>
      <c r="L581" s="215" t="inlineStr">
        <is>
          <t>02/04/2026</t>
        </is>
      </c>
    </row>
    <row r="582" ht="15.75" customHeight="1" s="153">
      <c r="A582" s="214" t="n">
        <v>577</v>
      </c>
      <c r="B582" s="215" t="inlineStr">
        <is>
          <t>BLS PARERA 8380</t>
        </is>
      </c>
      <c r="C582" s="216" t="n">
        <v>39000</v>
      </c>
      <c r="D582" s="216" t="n">
        <v>16500</v>
      </c>
      <c r="E582" s="293" t="n">
        <v>0.4231</v>
      </c>
      <c r="F582" s="294" t="n">
        <v>1</v>
      </c>
      <c r="G582" s="294" t="n"/>
      <c r="H582" s="294" t="n">
        <v>1</v>
      </c>
      <c r="I582" s="294" t="n"/>
      <c r="J582" s="294" t="n"/>
      <c r="K582" s="294" t="n"/>
      <c r="L582" s="215" t="inlineStr">
        <is>
          <t>03/04/2026</t>
        </is>
      </c>
    </row>
    <row r="583" ht="15.75" customHeight="1" s="153">
      <c r="A583" s="221" t="n">
        <v>578</v>
      </c>
      <c r="B583" s="215" t="inlineStr">
        <is>
          <t>ZAVALIA 779</t>
        </is>
      </c>
      <c r="C583" s="216" t="n">
        <v>39000</v>
      </c>
      <c r="D583" s="216" t="n">
        <v>16500</v>
      </c>
      <c r="E583" s="293" t="n">
        <v>0.4231</v>
      </c>
      <c r="F583" s="294" t="n">
        <v>1</v>
      </c>
      <c r="G583" s="294" t="n"/>
      <c r="H583" s="294" t="n">
        <v>1</v>
      </c>
      <c r="I583" s="294" t="n"/>
      <c r="J583" s="294" t="n"/>
      <c r="K583" s="294" t="n"/>
      <c r="L583" s="215" t="inlineStr">
        <is>
          <t>04/04/2026</t>
        </is>
      </c>
    </row>
    <row r="584" ht="15.75" customHeight="1" s="153">
      <c r="A584" s="214" t="n">
        <v>579</v>
      </c>
      <c r="B584" s="215" t="inlineStr">
        <is>
          <t>VIEYTES 4587</t>
        </is>
      </c>
      <c r="C584" s="216" t="n">
        <v>39000</v>
      </c>
      <c r="D584" s="216" t="n">
        <v>23250</v>
      </c>
      <c r="E584" s="293" t="n">
        <v>0.5962</v>
      </c>
      <c r="F584" s="294" t="n">
        <v>1</v>
      </c>
      <c r="G584" s="294" t="n"/>
      <c r="H584" s="294" t="n">
        <v>1</v>
      </c>
      <c r="I584" s="294" t="n"/>
      <c r="J584" s="294" t="n"/>
      <c r="K584" s="294" t="n"/>
      <c r="L584" s="215" t="inlineStr">
        <is>
          <t>05/02/2026</t>
        </is>
      </c>
    </row>
    <row r="585" ht="15.75" customHeight="1" s="153">
      <c r="A585" s="221" t="n">
        <v>580</v>
      </c>
      <c r="B585" s="215" t="inlineStr">
        <is>
          <t>LARGUIA 9655</t>
        </is>
      </c>
      <c r="C585" s="216" t="n">
        <v>39000</v>
      </c>
      <c r="D585" s="216" t="n">
        <v>16500</v>
      </c>
      <c r="E585" s="293" t="n">
        <v>0.4231</v>
      </c>
      <c r="F585" s="294" t="n">
        <v>1</v>
      </c>
      <c r="G585" s="294" t="n"/>
      <c r="H585" s="294" t="n">
        <v>1</v>
      </c>
      <c r="I585" s="294" t="n"/>
      <c r="J585" s="294" t="n"/>
      <c r="K585" s="294" t="n"/>
      <c r="L585" s="215" t="inlineStr">
        <is>
          <t>07/04/2026</t>
        </is>
      </c>
    </row>
    <row r="586" ht="15.75" customHeight="1" s="153">
      <c r="A586" s="214" t="n">
        <v>581</v>
      </c>
      <c r="B586" s="215" t="inlineStr">
        <is>
          <t>BLAS PARERA 6578</t>
        </is>
      </c>
      <c r="C586" s="216" t="n">
        <v>39000</v>
      </c>
      <c r="D586" s="216" t="n">
        <v>16500</v>
      </c>
      <c r="E586" s="293" t="n">
        <v>0.4231</v>
      </c>
      <c r="F586" s="294" t="n">
        <v>1</v>
      </c>
      <c r="G586" s="294" t="n"/>
      <c r="H586" s="294" t="n">
        <v>1</v>
      </c>
      <c r="I586" s="294" t="n"/>
      <c r="J586" s="294" t="n"/>
      <c r="K586" s="294" t="n"/>
      <c r="L586" s="215" t="inlineStr">
        <is>
          <t>13/04/2026</t>
        </is>
      </c>
    </row>
    <row r="587" ht="15.75" customHeight="1" s="153">
      <c r="A587" s="221" t="n">
        <v>582</v>
      </c>
      <c r="B587" s="215" t="inlineStr">
        <is>
          <t>GORRITI 1971</t>
        </is>
      </c>
      <c r="C587" s="216" t="n">
        <v>39000</v>
      </c>
      <c r="D587" s="216" t="n">
        <v>16500</v>
      </c>
      <c r="E587" s="293" t="n">
        <v>0.4231</v>
      </c>
      <c r="F587" s="294" t="n">
        <v>1</v>
      </c>
      <c r="G587" s="294" t="n"/>
      <c r="H587" s="294" t="n">
        <v>1</v>
      </c>
      <c r="I587" s="294" t="n"/>
      <c r="J587" s="294" t="n"/>
      <c r="K587" s="294" t="n"/>
      <c r="L587" s="215" t="inlineStr">
        <is>
          <t>15/04/2026</t>
        </is>
      </c>
    </row>
    <row r="588" ht="15.75" customHeight="1" s="153">
      <c r="A588" s="214" t="n">
        <v>583</v>
      </c>
      <c r="B588" s="215" t="inlineStr">
        <is>
          <t>NOGALES 3462</t>
        </is>
      </c>
      <c r="C588" s="216" t="n">
        <v>39000</v>
      </c>
      <c r="D588" s="216" t="n">
        <v>16500</v>
      </c>
      <c r="E588" s="293" t="n">
        <v>0.4231</v>
      </c>
      <c r="F588" s="294" t="n">
        <v>1</v>
      </c>
      <c r="G588" s="294" t="n"/>
      <c r="H588" s="294" t="n">
        <v>1</v>
      </c>
      <c r="I588" s="294" t="n"/>
      <c r="J588" s="294" t="n"/>
      <c r="K588" s="294" t="n"/>
      <c r="L588" s="215" t="inlineStr">
        <is>
          <t>20/04/2026</t>
        </is>
      </c>
    </row>
    <row r="589" ht="15.75" customHeight="1" s="153">
      <c r="A589" s="221" t="n">
        <v>584</v>
      </c>
      <c r="B589" s="215" t="inlineStr">
        <is>
          <t>VIEYTES 5299</t>
        </is>
      </c>
      <c r="C589" s="216" t="n">
        <v>39000</v>
      </c>
      <c r="D589" s="216" t="n">
        <v>16500</v>
      </c>
      <c r="E589" s="293" t="n">
        <v>0.4231</v>
      </c>
      <c r="F589" s="294" t="n">
        <v>1</v>
      </c>
      <c r="G589" s="294" t="n"/>
      <c r="H589" s="294" t="n">
        <v>1</v>
      </c>
      <c r="I589" s="294" t="n"/>
      <c r="J589" s="294" t="n"/>
      <c r="K589" s="294" t="n"/>
      <c r="L589" s="215" t="inlineStr">
        <is>
          <t>21/04/2026</t>
        </is>
      </c>
    </row>
    <row r="590" ht="15.75" customHeight="1" s="153">
      <c r="A590" s="214" t="n">
        <v>585</v>
      </c>
      <c r="B590" s="215" t="inlineStr">
        <is>
          <t>SERBANDO BAYO 6650</t>
        </is>
      </c>
      <c r="C590" s="216" t="n">
        <v>39000</v>
      </c>
      <c r="D590" s="216" t="n">
        <v>16500</v>
      </c>
      <c r="E590" s="293" t="n">
        <v>0.4231</v>
      </c>
      <c r="F590" s="294" t="n">
        <v>1</v>
      </c>
      <c r="G590" s="294" t="n"/>
      <c r="H590" s="294" t="n">
        <v>1</v>
      </c>
      <c r="I590" s="294" t="n"/>
      <c r="J590" s="294" t="n"/>
      <c r="K590" s="294" t="n"/>
      <c r="L590" s="215" t="inlineStr">
        <is>
          <t>21/04/2026</t>
        </is>
      </c>
    </row>
    <row r="591" ht="15.75" customHeight="1" s="153">
      <c r="A591" s="221" t="n">
        <v>586</v>
      </c>
      <c r="B591" s="215" t="inlineStr">
        <is>
          <t>MARCIAL CANDIOTI 6281</t>
        </is>
      </c>
      <c r="C591" s="216" t="n">
        <v>39000</v>
      </c>
      <c r="D591" s="216" t="n">
        <v>16500</v>
      </c>
      <c r="E591" s="293" t="n">
        <v>0.4231</v>
      </c>
      <c r="F591" s="294" t="n">
        <v>1</v>
      </c>
      <c r="G591" s="294" t="n"/>
      <c r="H591" s="294" t="n">
        <v>1</v>
      </c>
      <c r="I591" s="294" t="n"/>
      <c r="J591" s="294" t="n"/>
      <c r="K591" s="294" t="n"/>
      <c r="L591" s="215" t="inlineStr">
        <is>
          <t>01/05/2026</t>
        </is>
      </c>
    </row>
    <row r="592" ht="15.75" customHeight="1" s="153">
      <c r="A592" s="214" t="n">
        <v>587</v>
      </c>
      <c r="B592" s="215" t="inlineStr">
        <is>
          <t>MARIA AMIGA NONA</t>
        </is>
      </c>
      <c r="C592" s="216" t="n">
        <v>39000</v>
      </c>
      <c r="D592" s="216" t="n">
        <v>15300</v>
      </c>
      <c r="E592" s="293" t="n">
        <v>0.3923</v>
      </c>
      <c r="F592" s="294" t="n">
        <v>1</v>
      </c>
      <c r="G592" s="294" t="n"/>
      <c r="H592" s="294" t="n">
        <v>1</v>
      </c>
      <c r="I592" s="294" t="n"/>
      <c r="J592" s="294" t="n"/>
      <c r="K592" s="294" t="n"/>
      <c r="L592" s="215" t="inlineStr">
        <is>
          <t>16/05/2026</t>
        </is>
      </c>
    </row>
    <row r="593" ht="15.75" customHeight="1" s="153">
      <c r="A593" s="221" t="n">
        <v>588</v>
      </c>
      <c r="B593" s="215" t="inlineStr">
        <is>
          <t>AGUADO 8961</t>
        </is>
      </c>
      <c r="C593" s="216" t="n">
        <v>38500</v>
      </c>
      <c r="D593" s="216" t="n">
        <v>16000</v>
      </c>
      <c r="E593" s="293" t="n">
        <v>0.4156</v>
      </c>
      <c r="F593" s="294" t="n">
        <v>1</v>
      </c>
      <c r="G593" s="294" t="n"/>
      <c r="H593" s="294" t="n">
        <v>1</v>
      </c>
      <c r="I593" s="294" t="n"/>
      <c r="J593" s="294" t="n"/>
      <c r="K593" s="294" t="n"/>
      <c r="L593" s="215" t="inlineStr">
        <is>
          <t>30/04/2026</t>
        </is>
      </c>
    </row>
    <row r="594" ht="15.75" customHeight="1" s="153">
      <c r="A594" s="214" t="n">
        <v>589</v>
      </c>
      <c r="B594" s="215" t="inlineStr">
        <is>
          <t>GENERAL PAZ 5179</t>
        </is>
      </c>
      <c r="C594" s="216" t="n">
        <v>38500</v>
      </c>
      <c r="D594" s="216" t="n">
        <v>14800</v>
      </c>
      <c r="E594" s="293" t="n">
        <v>0.3844</v>
      </c>
      <c r="F594" s="294" t="n">
        <v>1</v>
      </c>
      <c r="G594" s="294" t="n"/>
      <c r="H594" s="294" t="n">
        <v>1</v>
      </c>
      <c r="I594" s="294" t="n"/>
      <c r="J594" s="294" t="n"/>
      <c r="K594" s="294" t="n"/>
      <c r="L594" s="215" t="inlineStr">
        <is>
          <t>09/05/2026</t>
        </is>
      </c>
    </row>
    <row r="595" ht="15.75" customHeight="1" s="153">
      <c r="A595" s="221" t="n">
        <v>590</v>
      </c>
      <c r="B595" s="215" t="inlineStr">
        <is>
          <t>PUBLICO 3893</t>
        </is>
      </c>
      <c r="C595" s="216" t="n">
        <v>38500</v>
      </c>
      <c r="D595" s="216" t="n">
        <v>14800</v>
      </c>
      <c r="E595" s="293" t="n">
        <v>0.3844</v>
      </c>
      <c r="F595" s="294" t="n">
        <v>1</v>
      </c>
      <c r="G595" s="294" t="n"/>
      <c r="H595" s="294" t="n">
        <v>1</v>
      </c>
      <c r="I595" s="294" t="n"/>
      <c r="J595" s="294" t="n"/>
      <c r="K595" s="294" t="n"/>
      <c r="L595" s="215" t="inlineStr">
        <is>
          <t>27/05/2026</t>
        </is>
      </c>
    </row>
    <row r="596" ht="15.75" customHeight="1" s="153">
      <c r="A596" s="214" t="n">
        <v>591</v>
      </c>
      <c r="B596" s="215" t="inlineStr">
        <is>
          <t>CASTELLI 2312</t>
        </is>
      </c>
      <c r="C596" s="216" t="n">
        <v>38500</v>
      </c>
      <c r="D596" s="216" t="n">
        <v>14800</v>
      </c>
      <c r="E596" s="293" t="n">
        <v>0.3844</v>
      </c>
      <c r="F596" s="294" t="n">
        <v>1</v>
      </c>
      <c r="G596" s="294" t="n"/>
      <c r="H596" s="294" t="n">
        <v>1</v>
      </c>
      <c r="I596" s="294" t="n"/>
      <c r="J596" s="294" t="n"/>
      <c r="K596" s="294" t="n"/>
      <c r="L596" s="215" t="inlineStr">
        <is>
          <t>28/05/2026</t>
        </is>
      </c>
    </row>
    <row r="597" ht="15.75" customHeight="1" s="153">
      <c r="A597" s="221" t="n">
        <v>592</v>
      </c>
      <c r="B597" s="215" t="inlineStr">
        <is>
          <t xml:space="preserve">ROTI ZEBALLOS </t>
        </is>
      </c>
      <c r="C597" s="216" t="n">
        <v>38000</v>
      </c>
      <c r="D597" s="216" t="n">
        <v>11000</v>
      </c>
      <c r="E597" s="293" t="n">
        <v>0.2895</v>
      </c>
      <c r="F597" s="294" t="n">
        <v>1</v>
      </c>
      <c r="G597" s="294" t="n">
        <v>2</v>
      </c>
      <c r="H597" s="294" t="n"/>
      <c r="I597" s="294" t="n"/>
      <c r="J597" s="294" t="n"/>
      <c r="K597" s="294" t="n"/>
      <c r="L597" s="215" t="inlineStr">
        <is>
          <t>04/03/2026</t>
        </is>
      </c>
    </row>
    <row r="598" ht="15.75" customHeight="1" s="153">
      <c r="A598" s="214" t="n">
        <v>593</v>
      </c>
      <c r="B598" s="215" t="inlineStr">
        <is>
          <t>FILOMEN A</t>
        </is>
      </c>
      <c r="C598" s="216" t="n">
        <v>38000</v>
      </c>
      <c r="D598" s="216" t="n">
        <v>11000</v>
      </c>
      <c r="E598" s="293" t="n">
        <v>0.2895</v>
      </c>
      <c r="F598" s="294" t="n">
        <v>1</v>
      </c>
      <c r="G598" s="294" t="n">
        <v>2</v>
      </c>
      <c r="H598" s="294" t="n"/>
      <c r="I598" s="294" t="n"/>
      <c r="J598" s="294" t="n"/>
      <c r="K598" s="294" t="n"/>
      <c r="L598" s="215" t="inlineStr">
        <is>
          <t>12/03/2026</t>
        </is>
      </c>
    </row>
    <row r="599" ht="15.75" customHeight="1" s="153">
      <c r="A599" s="221" t="n">
        <v>594</v>
      </c>
      <c r="B599" s="215" t="inlineStr">
        <is>
          <t>POSTA EL TORO</t>
        </is>
      </c>
      <c r="C599" s="216" t="n">
        <v>38000</v>
      </c>
      <c r="D599" s="216" t="n">
        <v>8000</v>
      </c>
      <c r="E599" s="293" t="n">
        <v>0.2105</v>
      </c>
      <c r="F599" s="294" t="n">
        <v>1</v>
      </c>
      <c r="G599" s="294" t="n">
        <v>2</v>
      </c>
      <c r="H599" s="294" t="n"/>
      <c r="I599" s="294" t="n"/>
      <c r="J599" s="294" t="n"/>
      <c r="K599" s="294" t="n"/>
      <c r="L599" s="215" t="inlineStr">
        <is>
          <t>01/04/2026</t>
        </is>
      </c>
    </row>
    <row r="600" ht="15.75" customHeight="1" s="153">
      <c r="A600" s="214" t="n">
        <v>595</v>
      </c>
      <c r="B600" s="215" t="inlineStr">
        <is>
          <t>MARIO GABOTO Y ALBERTI</t>
        </is>
      </c>
      <c r="C600" s="216" t="n">
        <v>38000</v>
      </c>
      <c r="D600" s="216" t="n">
        <v>8000</v>
      </c>
      <c r="E600" s="293" t="n">
        <v>0.2105</v>
      </c>
      <c r="F600" s="294" t="n">
        <v>1</v>
      </c>
      <c r="G600" s="294" t="n">
        <v>2</v>
      </c>
      <c r="H600" s="294" t="n"/>
      <c r="I600" s="294" t="n"/>
      <c r="J600" s="294" t="n"/>
      <c r="K600" s="294" t="n"/>
      <c r="L600" s="215" t="inlineStr">
        <is>
          <t>23/04/2026</t>
        </is>
      </c>
    </row>
    <row r="601" ht="15.75" customHeight="1" s="153">
      <c r="A601" s="221" t="n">
        <v>596</v>
      </c>
      <c r="B601" s="215" t="inlineStr">
        <is>
          <t>FORMOSOA 6058</t>
        </is>
      </c>
      <c r="C601" s="216" t="n">
        <v>37900</v>
      </c>
      <c r="D601" s="216" t="n">
        <v>25000</v>
      </c>
      <c r="E601" s="293" t="n">
        <v>0.6596</v>
      </c>
      <c r="F601" s="294" t="n">
        <v>1</v>
      </c>
      <c r="G601" s="294" t="n">
        <v>1</v>
      </c>
      <c r="H601" s="294" t="n"/>
      <c r="I601" s="294" t="n"/>
      <c r="J601" s="294" t="n"/>
      <c r="K601" s="294" t="n"/>
      <c r="L601" s="215" t="inlineStr">
        <is>
          <t>30/01/2026</t>
        </is>
      </c>
    </row>
    <row r="602" ht="15.75" customHeight="1" s="153">
      <c r="A602" s="214" t="n">
        <v>597</v>
      </c>
      <c r="B602" s="215" t="inlineStr">
        <is>
          <t>PJE PAEZ Y 25 MAYO</t>
        </is>
      </c>
      <c r="C602" s="216" t="n">
        <v>37500</v>
      </c>
      <c r="D602" s="216" t="n">
        <v>17250</v>
      </c>
      <c r="E602" s="293" t="n">
        <v>0.46</v>
      </c>
      <c r="F602" s="294" t="n">
        <v>1</v>
      </c>
      <c r="G602" s="294" t="n"/>
      <c r="H602" s="294" t="n">
        <v>1</v>
      </c>
      <c r="I602" s="294" t="n"/>
      <c r="J602" s="294" t="n"/>
      <c r="K602" s="294" t="n"/>
      <c r="L602" s="215" t="inlineStr">
        <is>
          <t>24/03/2026</t>
        </is>
      </c>
    </row>
    <row r="603" ht="15.75" customHeight="1" s="153">
      <c r="A603" s="221" t="n">
        <v>598</v>
      </c>
      <c r="B603" s="215" t="inlineStr">
        <is>
          <t>PUBLICO 2454</t>
        </is>
      </c>
      <c r="C603" s="216" t="n">
        <v>37500</v>
      </c>
      <c r="D603" s="216" t="n">
        <v>15000</v>
      </c>
      <c r="E603" s="293" t="n">
        <v>0.4</v>
      </c>
      <c r="F603" s="294" t="n">
        <v>1</v>
      </c>
      <c r="G603" s="294" t="n"/>
      <c r="H603" s="294" t="n">
        <v>1</v>
      </c>
      <c r="I603" s="294" t="n"/>
      <c r="J603" s="294" t="n"/>
      <c r="K603" s="294" t="n"/>
      <c r="L603" s="215" t="inlineStr">
        <is>
          <t>25/03/2026</t>
        </is>
      </c>
    </row>
    <row r="604" ht="15.75" customHeight="1" s="153">
      <c r="A604" s="214" t="n">
        <v>599</v>
      </c>
      <c r="B604" s="215" t="inlineStr">
        <is>
          <t>ALMOMACID 4615</t>
        </is>
      </c>
      <c r="C604" s="216" t="n">
        <v>37500</v>
      </c>
      <c r="D604" s="216" t="n">
        <v>15000</v>
      </c>
      <c r="E604" s="293" t="n">
        <v>0.4</v>
      </c>
      <c r="F604" s="294" t="n">
        <v>1</v>
      </c>
      <c r="G604" s="294" t="n"/>
      <c r="H604" s="294" t="n">
        <v>1</v>
      </c>
      <c r="I604" s="294" t="n"/>
      <c r="J604" s="294" t="n"/>
      <c r="K604" s="294" t="n"/>
      <c r="L604" s="215" t="inlineStr">
        <is>
          <t>25/03/2026</t>
        </is>
      </c>
    </row>
    <row r="605" ht="15.75" customHeight="1" s="153">
      <c r="A605" s="221" t="n">
        <v>600</v>
      </c>
      <c r="B605" s="215" t="inlineStr">
        <is>
          <t>PASAJE RODRIGUEZ 4461</t>
        </is>
      </c>
      <c r="C605" s="216" t="n">
        <v>37500</v>
      </c>
      <c r="D605" s="216" t="n">
        <v>15000</v>
      </c>
      <c r="E605" s="293" t="n">
        <v>0.4</v>
      </c>
      <c r="F605" s="294" t="n">
        <v>1</v>
      </c>
      <c r="G605" s="294" t="n"/>
      <c r="H605" s="294" t="n">
        <v>1</v>
      </c>
      <c r="I605" s="294" t="n"/>
      <c r="J605" s="294" t="n"/>
      <c r="K605" s="294" t="n"/>
      <c r="L605" s="215" t="inlineStr">
        <is>
          <t>27/03/2026</t>
        </is>
      </c>
    </row>
    <row r="606" ht="15.75" customHeight="1" s="153">
      <c r="A606" s="214" t="n">
        <v>601</v>
      </c>
      <c r="B606" s="215" t="inlineStr">
        <is>
          <t>ARISTOBULO 5137</t>
        </is>
      </c>
      <c r="C606" s="216" t="n">
        <v>37500</v>
      </c>
      <c r="D606" s="216" t="n">
        <v>15000</v>
      </c>
      <c r="E606" s="293" t="n">
        <v>0.4</v>
      </c>
      <c r="F606" s="294" t="n">
        <v>1</v>
      </c>
      <c r="G606" s="294" t="n"/>
      <c r="H606" s="294" t="n">
        <v>1</v>
      </c>
      <c r="I606" s="294" t="n"/>
      <c r="J606" s="294" t="n"/>
      <c r="K606" s="294" t="n"/>
      <c r="L606" s="215" t="inlineStr">
        <is>
          <t>13/04/2026</t>
        </is>
      </c>
    </row>
    <row r="607" ht="15.75" customHeight="1" s="153">
      <c r="A607" s="221" t="n">
        <v>602</v>
      </c>
      <c r="B607" s="215" t="inlineStr">
        <is>
          <t>JAVIER DE LA ROSA 5767</t>
        </is>
      </c>
      <c r="C607" s="216" t="n">
        <v>37500</v>
      </c>
      <c r="D607" s="216" t="n">
        <v>15000</v>
      </c>
      <c r="E607" s="293" t="n">
        <v>0.4</v>
      </c>
      <c r="F607" s="294" t="n">
        <v>1</v>
      </c>
      <c r="G607" s="294" t="n"/>
      <c r="H607" s="294" t="n">
        <v>1</v>
      </c>
      <c r="I607" s="294" t="n"/>
      <c r="J607" s="294" t="n"/>
      <c r="K607" s="294" t="n"/>
      <c r="L607" s="215" t="inlineStr">
        <is>
          <t>20/04/2026</t>
        </is>
      </c>
    </row>
    <row r="608" ht="15.75" customHeight="1" s="153">
      <c r="A608" s="214" t="n">
        <v>603</v>
      </c>
      <c r="B608" s="215" t="inlineStr">
        <is>
          <t>PASAJE QUIROGA 5244</t>
        </is>
      </c>
      <c r="C608" s="216" t="n">
        <v>37500</v>
      </c>
      <c r="D608" s="216" t="n">
        <v>15000</v>
      </c>
      <c r="E608" s="293" t="n">
        <v>0.4</v>
      </c>
      <c r="F608" s="294" t="n">
        <v>1</v>
      </c>
      <c r="G608" s="294" t="n"/>
      <c r="H608" s="294" t="n">
        <v>1</v>
      </c>
      <c r="I608" s="294" t="n"/>
      <c r="J608" s="294" t="n"/>
      <c r="K608" s="294" t="n"/>
      <c r="L608" s="215" t="inlineStr">
        <is>
          <t>20/04/2026</t>
        </is>
      </c>
    </row>
    <row r="609" ht="15.75" customHeight="1" s="153">
      <c r="A609" s="221" t="n">
        <v>604</v>
      </c>
      <c r="B609" s="215" t="inlineStr">
        <is>
          <t>EMA COMBETO PJE MARSENGO</t>
        </is>
      </c>
      <c r="C609" s="216" t="n">
        <v>37500</v>
      </c>
      <c r="D609" s="216" t="n">
        <v>15000</v>
      </c>
      <c r="E609" s="293" t="n">
        <v>0.4</v>
      </c>
      <c r="F609" s="294" t="n">
        <v>1</v>
      </c>
      <c r="G609" s="294" t="n"/>
      <c r="H609" s="294" t="n">
        <v>1</v>
      </c>
      <c r="I609" s="294" t="n"/>
      <c r="J609" s="294" t="n"/>
      <c r="K609" s="294" t="n"/>
      <c r="L609" s="215" t="inlineStr">
        <is>
          <t>22/04/2026</t>
        </is>
      </c>
    </row>
    <row r="610" ht="15.75" customHeight="1" s="153">
      <c r="A610" s="214" t="n">
        <v>605</v>
      </c>
      <c r="B610" s="215" t="inlineStr">
        <is>
          <t>PASAJE SANTA FE 5893</t>
        </is>
      </c>
      <c r="C610" s="216" t="n">
        <v>37500</v>
      </c>
      <c r="D610" s="216" t="n">
        <v>15000</v>
      </c>
      <c r="E610" s="293" t="n">
        <v>0.4</v>
      </c>
      <c r="F610" s="294" t="n">
        <v>1</v>
      </c>
      <c r="G610" s="294" t="n"/>
      <c r="H610" s="294" t="n">
        <v>1</v>
      </c>
      <c r="I610" s="294" t="n"/>
      <c r="J610" s="294" t="n"/>
      <c r="K610" s="294" t="n"/>
      <c r="L610" s="215" t="inlineStr">
        <is>
          <t>24/04/2026</t>
        </is>
      </c>
    </row>
    <row r="611" ht="15.75" customHeight="1" s="153">
      <c r="A611" s="221" t="n">
        <v>606</v>
      </c>
      <c r="B611" s="215" t="inlineStr">
        <is>
          <t>SAN MARTIN 9308</t>
        </is>
      </c>
      <c r="C611" s="216" t="n">
        <v>37500</v>
      </c>
      <c r="D611" s="216" t="n">
        <v>15000</v>
      </c>
      <c r="E611" s="293" t="n">
        <v>0.4</v>
      </c>
      <c r="F611" s="294" t="n">
        <v>1</v>
      </c>
      <c r="G611" s="294" t="n"/>
      <c r="H611" s="294" t="n">
        <v>1</v>
      </c>
      <c r="I611" s="294" t="n"/>
      <c r="J611" s="294" t="n"/>
      <c r="K611" s="294" t="n"/>
      <c r="L611" s="215" t="inlineStr">
        <is>
          <t>28/04/2026</t>
        </is>
      </c>
    </row>
    <row r="612" ht="15.75" customHeight="1" s="153">
      <c r="A612" s="214" t="n">
        <v>607</v>
      </c>
      <c r="B612" s="215" t="inlineStr">
        <is>
          <t>GUANELLA 4883</t>
        </is>
      </c>
      <c r="C612" s="216" t="n">
        <v>37500</v>
      </c>
      <c r="D612" s="216" t="n">
        <v>15000</v>
      </c>
      <c r="E612" s="293" t="n">
        <v>0.4</v>
      </c>
      <c r="F612" s="294" t="n">
        <v>1</v>
      </c>
      <c r="G612" s="294" t="n"/>
      <c r="H612" s="294" t="n">
        <v>1</v>
      </c>
      <c r="I612" s="294" t="n"/>
      <c r="J612" s="294" t="n"/>
      <c r="K612" s="294" t="n"/>
      <c r="L612" s="215" t="inlineStr">
        <is>
          <t>01/05/2026</t>
        </is>
      </c>
    </row>
    <row r="613" ht="15.75" customHeight="1" s="153">
      <c r="A613" s="221" t="n">
        <v>608</v>
      </c>
      <c r="B613" s="215" t="inlineStr">
        <is>
          <t>EX COMBATIENTES 5462</t>
        </is>
      </c>
      <c r="C613" s="216" t="n">
        <v>37500</v>
      </c>
      <c r="D613" s="216" t="n">
        <v>13800</v>
      </c>
      <c r="E613" s="293" t="n">
        <v>0.368</v>
      </c>
      <c r="F613" s="294" t="n">
        <v>1</v>
      </c>
      <c r="G613" s="294" t="n"/>
      <c r="H613" s="294" t="n">
        <v>1</v>
      </c>
      <c r="I613" s="294" t="n"/>
      <c r="J613" s="294" t="n"/>
      <c r="K613" s="294" t="n">
        <v>2</v>
      </c>
      <c r="L613" s="215" t="inlineStr">
        <is>
          <t>10/05/2026</t>
        </is>
      </c>
    </row>
    <row r="614" ht="15.75" customHeight="1" s="153">
      <c r="A614" s="214" t="n">
        <v>609</v>
      </c>
      <c r="B614" s="215" t="inlineStr">
        <is>
          <t>DANI PAPÁ DE BRUNO</t>
        </is>
      </c>
      <c r="C614" s="216" t="n">
        <v>37500</v>
      </c>
      <c r="D614" s="216" t="n">
        <v>13800</v>
      </c>
      <c r="E614" s="293" t="n">
        <v>0.368</v>
      </c>
      <c r="F614" s="294" t="n">
        <v>1</v>
      </c>
      <c r="G614" s="294" t="n"/>
      <c r="H614" s="294" t="n">
        <v>1</v>
      </c>
      <c r="I614" s="294" t="n"/>
      <c r="J614" s="294" t="n"/>
      <c r="K614" s="294" t="n"/>
      <c r="L614" s="215" t="inlineStr">
        <is>
          <t>29/05/2026</t>
        </is>
      </c>
    </row>
    <row r="615" ht="15.75" customHeight="1" s="153">
      <c r="A615" s="221" t="n">
        <v>610</v>
      </c>
      <c r="B615" s="215" t="inlineStr">
        <is>
          <t>PUBLICO 5746</t>
        </is>
      </c>
      <c r="C615" s="216" t="n">
        <v>37000</v>
      </c>
      <c r="D615" s="216" t="n">
        <v>14500</v>
      </c>
      <c r="E615" s="293" t="n">
        <v>0.3919</v>
      </c>
      <c r="F615" s="294" t="n">
        <v>1</v>
      </c>
      <c r="G615" s="294" t="n"/>
      <c r="H615" s="294" t="n">
        <v>1</v>
      </c>
      <c r="I615" s="294" t="n"/>
      <c r="J615" s="294" t="n"/>
      <c r="K615" s="294" t="n"/>
      <c r="L615" s="215" t="inlineStr">
        <is>
          <t>20/04/2026</t>
        </is>
      </c>
    </row>
    <row r="616" ht="15.75" customHeight="1" s="153">
      <c r="A616" s="214" t="n">
        <v>611</v>
      </c>
      <c r="B616" s="215" t="inlineStr">
        <is>
          <t>COLODRERO 2414</t>
        </is>
      </c>
      <c r="C616" s="216" t="n">
        <v>37000</v>
      </c>
      <c r="D616" s="216" t="n">
        <v>13300</v>
      </c>
      <c r="E616" s="293" t="n">
        <v>0.3595</v>
      </c>
      <c r="F616" s="294" t="n">
        <v>1</v>
      </c>
      <c r="G616" s="294" t="n"/>
      <c r="H616" s="294" t="n">
        <v>1</v>
      </c>
      <c r="I616" s="294" t="n"/>
      <c r="J616" s="294" t="n"/>
      <c r="K616" s="294" t="n"/>
      <c r="L616" s="215" t="inlineStr">
        <is>
          <t>10/05/2026</t>
        </is>
      </c>
    </row>
    <row r="617" ht="15.75" customHeight="1" s="153">
      <c r="A617" s="221" t="n">
        <v>612</v>
      </c>
      <c r="B617" s="215" t="inlineStr">
        <is>
          <t>CHICLANA 7849</t>
        </is>
      </c>
      <c r="C617" s="216" t="n">
        <v>36500</v>
      </c>
      <c r="D617" s="216" t="n">
        <v>16250</v>
      </c>
      <c r="E617" s="293" t="n">
        <v>0.4452</v>
      </c>
      <c r="F617" s="294" t="n">
        <v>1</v>
      </c>
      <c r="G617" s="294" t="n"/>
      <c r="H617" s="294" t="n">
        <v>1</v>
      </c>
      <c r="I617" s="294" t="n"/>
      <c r="J617" s="294" t="n"/>
      <c r="K617" s="294" t="n"/>
      <c r="L617" s="215" t="inlineStr">
        <is>
          <t>19/03/2026</t>
        </is>
      </c>
    </row>
    <row r="618" ht="15.75" customHeight="1" s="153">
      <c r="A618" s="214" t="n">
        <v>613</v>
      </c>
      <c r="B618" s="215" t="inlineStr">
        <is>
          <t>BLAS PARERA 7062</t>
        </is>
      </c>
      <c r="C618" s="216" t="n">
        <v>36500</v>
      </c>
      <c r="D618" s="216" t="n">
        <v>14000</v>
      </c>
      <c r="E618" s="293" t="n">
        <v>0.3836</v>
      </c>
      <c r="F618" s="294" t="n">
        <v>1</v>
      </c>
      <c r="G618" s="294" t="n"/>
      <c r="H618" s="294" t="n">
        <v>1</v>
      </c>
      <c r="I618" s="294" t="n"/>
      <c r="J618" s="294" t="n"/>
      <c r="K618" s="294" t="n"/>
      <c r="L618" s="215" t="inlineStr">
        <is>
          <t>08/04/2026</t>
        </is>
      </c>
    </row>
    <row r="619" ht="15.75" customHeight="1" s="153">
      <c r="A619" s="221" t="n">
        <v>614</v>
      </c>
      <c r="B619" s="215" t="inlineStr">
        <is>
          <t>MALAVER 4238</t>
        </is>
      </c>
      <c r="C619" s="216" t="n">
        <v>36500</v>
      </c>
      <c r="D619" s="216" t="n">
        <v>14000</v>
      </c>
      <c r="E619" s="293" t="n">
        <v>0.3836</v>
      </c>
      <c r="F619" s="294" t="n">
        <v>1</v>
      </c>
      <c r="G619" s="294" t="n"/>
      <c r="H619" s="294" t="n">
        <v>1</v>
      </c>
      <c r="I619" s="294" t="n"/>
      <c r="J619" s="294" t="n"/>
      <c r="K619" s="294" t="n"/>
      <c r="L619" s="215" t="inlineStr">
        <is>
          <t>09/04/2026</t>
        </is>
      </c>
    </row>
    <row r="620" ht="15.75" customHeight="1" s="153">
      <c r="A620" s="214" t="n">
        <v>615</v>
      </c>
      <c r="B620" s="215" t="inlineStr">
        <is>
          <t>PJE AGUIAR 9340</t>
        </is>
      </c>
      <c r="C620" s="216" t="n">
        <v>36500</v>
      </c>
      <c r="D620" s="216" t="n">
        <v>14000</v>
      </c>
      <c r="E620" s="293" t="n">
        <v>0.3836</v>
      </c>
      <c r="F620" s="294" t="n">
        <v>1</v>
      </c>
      <c r="G620" s="294" t="n"/>
      <c r="H620" s="294" t="n">
        <v>1</v>
      </c>
      <c r="I620" s="294" t="n"/>
      <c r="J620" s="294" t="n"/>
      <c r="K620" s="294" t="n"/>
      <c r="L620" s="215" t="inlineStr">
        <is>
          <t>10/04/2026</t>
        </is>
      </c>
    </row>
    <row r="621" ht="15.75" customHeight="1" s="153">
      <c r="A621" s="221" t="n">
        <v>616</v>
      </c>
      <c r="B621" s="215" t="inlineStr">
        <is>
          <t>HERNANDARIAS 5211</t>
        </is>
      </c>
      <c r="C621" s="216" t="n">
        <v>36000</v>
      </c>
      <c r="D621" s="216" t="n">
        <v>20250</v>
      </c>
      <c r="E621" s="293" t="n">
        <v>0.5625</v>
      </c>
      <c r="F621" s="294" t="n">
        <v>1</v>
      </c>
      <c r="G621" s="294" t="n"/>
      <c r="H621" s="294" t="n">
        <v>1</v>
      </c>
      <c r="I621" s="294" t="n"/>
      <c r="J621" s="225" t="n"/>
      <c r="K621" s="225" t="n"/>
      <c r="L621" s="215" t="inlineStr">
        <is>
          <t>22/01/2026</t>
        </is>
      </c>
    </row>
    <row r="622" ht="15.75" customHeight="1" s="153">
      <c r="A622" s="214" t="n">
        <v>617</v>
      </c>
      <c r="B622" s="215" t="inlineStr">
        <is>
          <t>I CRESPO 7337</t>
        </is>
      </c>
      <c r="C622" s="216" t="n">
        <v>36000</v>
      </c>
      <c r="D622" s="216" t="n">
        <v>15750</v>
      </c>
      <c r="E622" s="293" t="n">
        <v>0.4375</v>
      </c>
      <c r="F622" s="294" t="n">
        <v>1</v>
      </c>
      <c r="G622" s="294" t="n"/>
      <c r="H622" s="294" t="n">
        <v>1</v>
      </c>
      <c r="I622" s="294" t="n"/>
      <c r="J622" s="218" t="n"/>
      <c r="K622" s="218" t="n"/>
      <c r="L622" s="215" t="inlineStr">
        <is>
          <t>13/03/2026</t>
        </is>
      </c>
    </row>
    <row r="623" ht="15.75" customHeight="1" s="153">
      <c r="A623" s="221" t="n">
        <v>618</v>
      </c>
      <c r="B623" s="215" t="inlineStr">
        <is>
          <t>ROTI ISTANBUL</t>
        </is>
      </c>
      <c r="C623" s="216" t="n">
        <v>36000</v>
      </c>
      <c r="D623" s="216" t="n">
        <v>12300</v>
      </c>
      <c r="E623" s="293" t="n">
        <v>0.3417</v>
      </c>
      <c r="F623" s="294" t="n">
        <v>1</v>
      </c>
      <c r="G623" s="294" t="n"/>
      <c r="H623" s="294" t="n">
        <v>1</v>
      </c>
      <c r="I623" s="294" t="n"/>
      <c r="J623" s="225" t="n"/>
      <c r="K623" s="225" t="n"/>
      <c r="L623" s="215" t="inlineStr">
        <is>
          <t>19/05/2026</t>
        </is>
      </c>
    </row>
    <row r="624" ht="15.75" customHeight="1" s="153">
      <c r="A624" s="214" t="n">
        <v>619</v>
      </c>
      <c r="B624" s="215" t="inlineStr">
        <is>
          <t>SAVEDRA 4064</t>
        </is>
      </c>
      <c r="C624" s="216" t="n">
        <v>36000</v>
      </c>
      <c r="D624" s="216" t="n">
        <v>12300</v>
      </c>
      <c r="E624" s="293" t="n">
        <v>0.3417</v>
      </c>
      <c r="F624" s="294" t="n">
        <v>1</v>
      </c>
      <c r="G624" s="294" t="n"/>
      <c r="H624" s="294" t="n">
        <v>1</v>
      </c>
      <c r="I624" s="294" t="n"/>
      <c r="J624" s="218" t="n"/>
      <c r="K624" s="218" t="n"/>
      <c r="L624" s="215" t="inlineStr">
        <is>
          <t>31/05/2026</t>
        </is>
      </c>
    </row>
    <row r="625" ht="15.75" customHeight="1" s="153">
      <c r="A625" s="221" t="n">
        <v>620</v>
      </c>
      <c r="B625" s="215" t="inlineStr">
        <is>
          <t>NIC OBUSTO</t>
        </is>
      </c>
      <c r="C625" s="216" t="n">
        <v>35500</v>
      </c>
      <c r="D625" s="216" t="n">
        <v>12500</v>
      </c>
      <c r="E625" s="293" t="n">
        <v>0.3521</v>
      </c>
      <c r="F625" s="294" t="n">
        <v>1</v>
      </c>
      <c r="G625" s="294" t="n"/>
      <c r="H625" s="294" t="n"/>
      <c r="I625" s="294" t="n"/>
      <c r="J625" s="225" t="n"/>
      <c r="K625" s="225" t="n"/>
      <c r="L625" s="215" t="inlineStr">
        <is>
          <t>16/04/2026</t>
        </is>
      </c>
    </row>
    <row r="626" ht="15.75" customHeight="1" s="153">
      <c r="A626" s="214" t="n">
        <v>621</v>
      </c>
      <c r="B626" s="215" t="inlineStr">
        <is>
          <t>VIÑAS Y PAUCKE</t>
        </is>
      </c>
      <c r="C626" s="216" t="n">
        <v>35500</v>
      </c>
      <c r="D626" s="216" t="n">
        <v>13000</v>
      </c>
      <c r="E626" s="293" t="n">
        <v>0.3662</v>
      </c>
      <c r="F626" s="294" t="n">
        <v>1</v>
      </c>
      <c r="G626" s="294" t="n"/>
      <c r="H626" s="294" t="n">
        <v>1</v>
      </c>
      <c r="I626" s="294" t="n"/>
      <c r="J626" s="218" t="n"/>
      <c r="K626" s="218" t="n"/>
      <c r="L626" s="215" t="inlineStr">
        <is>
          <t>21/04/2026</t>
        </is>
      </c>
    </row>
    <row r="627" ht="15.75" customHeight="1" s="153">
      <c r="A627" s="221" t="n">
        <v>622</v>
      </c>
      <c r="B627" s="215" t="inlineStr">
        <is>
          <t>AZOPARDO Y FLORENCIO SANCHEZ</t>
        </is>
      </c>
      <c r="C627" s="216" t="n">
        <v>35500</v>
      </c>
      <c r="D627" s="216" t="n">
        <v>13000</v>
      </c>
      <c r="E627" s="293" t="n">
        <v>0.3662</v>
      </c>
      <c r="F627" s="294" t="n">
        <v>1</v>
      </c>
      <c r="G627" s="294" t="n"/>
      <c r="H627" s="294" t="n">
        <v>1</v>
      </c>
      <c r="I627" s="294" t="n"/>
      <c r="J627" s="225" t="n"/>
      <c r="K627" s="225" t="n"/>
      <c r="L627" s="215" t="inlineStr">
        <is>
          <t>02/05/2026</t>
        </is>
      </c>
    </row>
    <row r="628" ht="15.75" customHeight="1" s="153">
      <c r="A628" s="214" t="n">
        <v>623</v>
      </c>
      <c r="B628" s="215" t="inlineStr">
        <is>
          <t>VELEZ SARFIELD 5632</t>
        </is>
      </c>
      <c r="C628" s="216" t="n">
        <v>35000</v>
      </c>
      <c r="D628" s="216" t="n">
        <v>14750</v>
      </c>
      <c r="E628" s="293" t="n">
        <v>0.4214</v>
      </c>
      <c r="F628" s="294" t="n">
        <v>1</v>
      </c>
      <c r="G628" s="294" t="n"/>
      <c r="H628" s="294" t="n">
        <v>1</v>
      </c>
      <c r="I628" s="294" t="n"/>
      <c r="J628" s="218" t="n"/>
      <c r="K628" s="218" t="n"/>
      <c r="L628" s="215" t="inlineStr">
        <is>
          <t>21/03/2026</t>
        </is>
      </c>
    </row>
    <row r="629" ht="15.75" customHeight="1" s="153">
      <c r="A629" s="221" t="n">
        <v>624</v>
      </c>
      <c r="B629" s="215" t="inlineStr">
        <is>
          <t>LAVAISE 3458</t>
        </is>
      </c>
      <c r="C629" s="216" t="n">
        <v>35000</v>
      </c>
      <c r="D629" s="216" t="n">
        <v>12500</v>
      </c>
      <c r="E629" s="293" t="n">
        <v>0.3571</v>
      </c>
      <c r="F629" s="294" t="n">
        <v>1</v>
      </c>
      <c r="G629" s="294" t="n"/>
      <c r="H629" s="294" t="n">
        <v>1</v>
      </c>
      <c r="I629" s="294" t="n"/>
      <c r="J629" s="225" t="n"/>
      <c r="K629" s="225" t="n"/>
      <c r="L629" s="215" t="inlineStr">
        <is>
          <t>10/04/2026</t>
        </is>
      </c>
    </row>
    <row r="630" ht="15.75" customHeight="1" s="153">
      <c r="A630" s="214" t="n">
        <v>625</v>
      </c>
      <c r="B630" s="215" t="inlineStr">
        <is>
          <t>CHICLANA 6668</t>
        </is>
      </c>
      <c r="C630" s="216" t="n">
        <v>34500</v>
      </c>
      <c r="D630" s="216" t="n">
        <v>12000</v>
      </c>
      <c r="E630" s="293" t="n">
        <v>0.3478</v>
      </c>
      <c r="F630" s="294" t="n">
        <v>1</v>
      </c>
      <c r="G630" s="294" t="n"/>
      <c r="H630" s="294" t="n">
        <v>1</v>
      </c>
      <c r="I630" s="294" t="n"/>
      <c r="J630" s="218" t="n"/>
      <c r="K630" s="218" t="n"/>
      <c r="L630" s="215" t="inlineStr">
        <is>
          <t>04/04/2026</t>
        </is>
      </c>
    </row>
    <row r="631" ht="15.75" customHeight="1" s="153">
      <c r="A631" s="221" t="n">
        <v>626</v>
      </c>
      <c r="B631" s="215" t="inlineStr">
        <is>
          <t>PAVON 6035</t>
        </is>
      </c>
      <c r="C631" s="216" t="n">
        <v>34500</v>
      </c>
      <c r="D631" s="216" t="n">
        <v>12000</v>
      </c>
      <c r="E631" s="293" t="n">
        <v>0.3478</v>
      </c>
      <c r="F631" s="294" t="n">
        <v>1</v>
      </c>
      <c r="G631" s="294" t="n"/>
      <c r="H631" s="294" t="n">
        <v>1</v>
      </c>
      <c r="I631" s="294" t="n"/>
      <c r="J631" s="225" t="n"/>
      <c r="K631" s="225" t="n"/>
      <c r="L631" s="215" t="inlineStr">
        <is>
          <t>27/04/2026</t>
        </is>
      </c>
    </row>
    <row r="632" ht="15.75" customHeight="1" s="153">
      <c r="A632" s="214" t="n">
        <v>627</v>
      </c>
      <c r="B632" s="215" t="inlineStr">
        <is>
          <t>PADRE GENESIO 5950</t>
        </is>
      </c>
      <c r="C632" s="216" t="n">
        <v>34500</v>
      </c>
      <c r="D632" s="216" t="n">
        <v>12000</v>
      </c>
      <c r="E632" s="293" t="n">
        <v>0.3478</v>
      </c>
      <c r="F632" s="294" t="n">
        <v>1</v>
      </c>
      <c r="G632" s="294" t="n"/>
      <c r="H632" s="294" t="n">
        <v>1</v>
      </c>
      <c r="I632" s="294" t="n"/>
      <c r="J632" s="218" t="n"/>
      <c r="K632" s="218" t="n"/>
      <c r="L632" s="215" t="inlineStr">
        <is>
          <t>30/04/2026</t>
        </is>
      </c>
    </row>
    <row r="633" ht="15.75" customHeight="1" s="153">
      <c r="A633" s="221" t="n">
        <v>628</v>
      </c>
      <c r="B633" s="215" t="inlineStr">
        <is>
          <t>JJ VALLE 5521</t>
        </is>
      </c>
      <c r="C633" s="216" t="n">
        <v>34500</v>
      </c>
      <c r="D633" s="216" t="n">
        <v>10800</v>
      </c>
      <c r="E633" s="293" t="n">
        <v>0.313</v>
      </c>
      <c r="F633" s="294" t="n">
        <v>1</v>
      </c>
      <c r="G633" s="294" t="n"/>
      <c r="H633" s="294" t="n">
        <v>1</v>
      </c>
      <c r="I633" s="294" t="n"/>
      <c r="J633" s="225" t="n"/>
      <c r="K633" s="225" t="n"/>
      <c r="L633" s="215" t="inlineStr">
        <is>
          <t>28/05/2026</t>
        </is>
      </c>
    </row>
    <row r="634" ht="15.75" customHeight="1" s="153">
      <c r="A634" s="214" t="n">
        <v>629</v>
      </c>
      <c r="B634" s="215" t="inlineStr">
        <is>
          <t>JM ZUVIRIA 2143</t>
        </is>
      </c>
      <c r="C634" s="216" t="n">
        <v>34000</v>
      </c>
      <c r="D634" s="216" t="n">
        <v>18250</v>
      </c>
      <c r="E634" s="293" t="n">
        <v>0.5368000000000001</v>
      </c>
      <c r="F634" s="294" t="n">
        <v>1</v>
      </c>
      <c r="G634" s="294" t="n"/>
      <c r="H634" s="294" t="n">
        <v>1</v>
      </c>
      <c r="I634" s="294" t="n"/>
      <c r="J634" s="218" t="n"/>
      <c r="K634" s="218" t="n"/>
      <c r="L634" s="215" t="inlineStr">
        <is>
          <t>12/01/2026</t>
        </is>
      </c>
    </row>
    <row r="635" ht="15.75" customHeight="1" s="153">
      <c r="A635" s="221" t="n">
        <v>630</v>
      </c>
      <c r="B635" s="215" t="inlineStr">
        <is>
          <t>POLLERIA BLAS PARERA</t>
        </is>
      </c>
      <c r="C635" s="216" t="n">
        <v>34000</v>
      </c>
      <c r="D635" s="216" t="n">
        <v>13000</v>
      </c>
      <c r="E635" s="293" t="n">
        <v>0.3824</v>
      </c>
      <c r="F635" s="294" t="n">
        <v>2</v>
      </c>
      <c r="G635" s="294" t="n">
        <v>2</v>
      </c>
      <c r="H635" s="294" t="n"/>
      <c r="I635" s="294" t="n"/>
      <c r="J635" s="225" t="n"/>
      <c r="K635" s="225" t="n"/>
      <c r="L635" s="215" t="inlineStr">
        <is>
          <t>15/02/2026</t>
        </is>
      </c>
    </row>
    <row r="636" ht="15.75" customHeight="1" s="153">
      <c r="A636" s="214" t="n">
        <v>631</v>
      </c>
      <c r="B636" s="215" t="inlineStr">
        <is>
          <t xml:space="preserve">NINGO HIJA </t>
        </is>
      </c>
      <c r="C636" s="216" t="n">
        <v>34000</v>
      </c>
      <c r="D636" s="216" t="n">
        <v>13750</v>
      </c>
      <c r="E636" s="293" t="n">
        <v>0.4044</v>
      </c>
      <c r="F636" s="294" t="n">
        <v>1</v>
      </c>
      <c r="G636" s="294" t="n"/>
      <c r="H636" s="294" t="n">
        <v>1</v>
      </c>
      <c r="I636" s="294" t="n"/>
      <c r="J636" s="218" t="n"/>
      <c r="K636" s="218" t="n"/>
      <c r="L636" s="215" t="inlineStr">
        <is>
          <t>18/03/2026</t>
        </is>
      </c>
    </row>
    <row r="637" ht="15.75" customHeight="1" s="153">
      <c r="A637" s="221" t="n">
        <v>632</v>
      </c>
      <c r="B637" s="215" t="inlineStr">
        <is>
          <t>COCO ABUELO FACU CACERE</t>
        </is>
      </c>
      <c r="C637" s="216" t="n">
        <v>34000</v>
      </c>
      <c r="D637" s="216" t="n">
        <v>13750</v>
      </c>
      <c r="E637" s="293" t="n">
        <v>0.4044</v>
      </c>
      <c r="F637" s="294" t="n">
        <v>1</v>
      </c>
      <c r="G637" s="294" t="n"/>
      <c r="H637" s="294" t="n">
        <v>1</v>
      </c>
      <c r="I637" s="294" t="n"/>
      <c r="J637" s="225" t="n"/>
      <c r="K637" s="225" t="n"/>
      <c r="L637" s="215" t="inlineStr">
        <is>
          <t>23/03/2026</t>
        </is>
      </c>
    </row>
    <row r="638" ht="15.75" customHeight="1" s="153">
      <c r="A638" s="214" t="n">
        <v>633</v>
      </c>
      <c r="B638" s="215" t="inlineStr">
        <is>
          <t>ROTI SAN JUAN 6363</t>
        </is>
      </c>
      <c r="C638" s="216" t="n">
        <v>34000</v>
      </c>
      <c r="D638" s="216" t="n">
        <v>10300</v>
      </c>
      <c r="E638" s="293" t="n">
        <v>0.3029</v>
      </c>
      <c r="F638" s="294" t="n">
        <v>1</v>
      </c>
      <c r="G638" s="294" t="n"/>
      <c r="H638" s="294" t="n">
        <v>1</v>
      </c>
      <c r="I638" s="294" t="n"/>
      <c r="J638" s="218" t="n"/>
      <c r="K638" s="218" t="n"/>
      <c r="L638" s="215" t="inlineStr">
        <is>
          <t>24/05/2026</t>
        </is>
      </c>
    </row>
    <row r="639" ht="15.75" customHeight="1" s="153">
      <c r="A639" s="221" t="n">
        <v>634</v>
      </c>
      <c r="B639" s="215" t="inlineStr">
        <is>
          <t>SAVEDRA 6545</t>
        </is>
      </c>
      <c r="C639" s="216" t="n">
        <v>33500</v>
      </c>
      <c r="D639" s="216" t="n">
        <v>13250</v>
      </c>
      <c r="E639" s="293" t="n">
        <v>0.3955</v>
      </c>
      <c r="F639" s="294" t="n">
        <v>1</v>
      </c>
      <c r="G639" s="294" t="n"/>
      <c r="H639" s="294" t="n">
        <v>1</v>
      </c>
      <c r="I639" s="294" t="n"/>
      <c r="J639" s="225" t="n"/>
      <c r="K639" s="225" t="n"/>
      <c r="L639" s="215" t="inlineStr">
        <is>
          <t>23/03/2026</t>
        </is>
      </c>
    </row>
    <row r="640" ht="15.75" customHeight="1" s="153">
      <c r="A640" s="214" t="n">
        <v>635</v>
      </c>
      <c r="B640" s="215" t="inlineStr">
        <is>
          <t>LARGUIA 7150</t>
        </is>
      </c>
      <c r="C640" s="216" t="n">
        <v>33500</v>
      </c>
      <c r="D640" s="216" t="n">
        <v>11000</v>
      </c>
      <c r="E640" s="293" t="n">
        <v>0.3284</v>
      </c>
      <c r="F640" s="294" t="n">
        <v>1</v>
      </c>
      <c r="G640" s="294" t="n"/>
      <c r="H640" s="294" t="n">
        <v>1</v>
      </c>
      <c r="I640" s="294" t="n"/>
      <c r="J640" s="218" t="n"/>
      <c r="K640" s="218" t="n"/>
      <c r="L640" s="215" t="inlineStr">
        <is>
          <t>25/03/2026</t>
        </is>
      </c>
    </row>
    <row r="641" ht="15.75" customHeight="1" s="153">
      <c r="A641" s="221" t="n">
        <v>636</v>
      </c>
      <c r="B641" s="215" t="inlineStr">
        <is>
          <t>ROTI ARISTOBULO 5401</t>
        </is>
      </c>
      <c r="C641" s="216" t="n">
        <v>33500</v>
      </c>
      <c r="D641" s="216" t="n">
        <v>11000</v>
      </c>
      <c r="E641" s="293" t="n">
        <v>0.3284</v>
      </c>
      <c r="F641" s="294" t="n">
        <v>1</v>
      </c>
      <c r="G641" s="294" t="n"/>
      <c r="H641" s="294" t="n">
        <v>1</v>
      </c>
      <c r="I641" s="294" t="n"/>
      <c r="J641" s="225" t="n"/>
      <c r="K641" s="225" t="n"/>
      <c r="L641" s="215" t="inlineStr">
        <is>
          <t>01/04/2026</t>
        </is>
      </c>
    </row>
    <row r="642" ht="15.75" customHeight="1" s="153">
      <c r="A642" s="214" t="n">
        <v>637</v>
      </c>
      <c r="B642" s="215" t="inlineStr">
        <is>
          <t>GORRITI 4331</t>
        </is>
      </c>
      <c r="C642" s="216" t="n">
        <v>33000</v>
      </c>
      <c r="D642" s="216" t="n">
        <v>17250</v>
      </c>
      <c r="E642" s="293" t="n">
        <v>0.5227000000000001</v>
      </c>
      <c r="F642" s="294" t="n">
        <v>1</v>
      </c>
      <c r="G642" s="294" t="n"/>
      <c r="H642" s="294" t="n">
        <v>1</v>
      </c>
      <c r="I642" s="294" t="n"/>
      <c r="J642" s="218" t="n"/>
      <c r="K642" s="218" t="n"/>
      <c r="L642" s="215" t="inlineStr">
        <is>
          <t>08/01/2026</t>
        </is>
      </c>
    </row>
    <row r="643" ht="15.75" customHeight="1" s="153">
      <c r="A643" s="221" t="n">
        <v>638</v>
      </c>
      <c r="B643" s="215" t="inlineStr">
        <is>
          <t>CHICLANA 7565</t>
        </is>
      </c>
      <c r="C643" s="216" t="n">
        <v>33000</v>
      </c>
      <c r="D643" s="216" t="n">
        <v>17250</v>
      </c>
      <c r="E643" s="293" t="n">
        <v>0.5227000000000001</v>
      </c>
      <c r="F643" s="294" t="n">
        <v>1</v>
      </c>
      <c r="G643" s="294" t="n"/>
      <c r="H643" s="294" t="n">
        <v>1</v>
      </c>
      <c r="I643" s="294" t="n"/>
      <c r="J643" s="225" t="n"/>
      <c r="K643" s="225" t="n"/>
      <c r="L643" s="215" t="inlineStr">
        <is>
          <t>17/01/2026</t>
        </is>
      </c>
    </row>
    <row r="644" ht="15.75" customHeight="1" s="153">
      <c r="A644" s="214" t="n">
        <v>639</v>
      </c>
      <c r="B644" s="215" t="inlineStr">
        <is>
          <t>SAN LORENZO 5081</t>
        </is>
      </c>
      <c r="C644" s="216" t="n">
        <v>33000</v>
      </c>
      <c r="D644" s="216" t="n">
        <v>17250</v>
      </c>
      <c r="E644" s="293" t="n">
        <v>0.5227000000000001</v>
      </c>
      <c r="F644" s="294" t="n">
        <v>1</v>
      </c>
      <c r="G644" s="294" t="n"/>
      <c r="H644" s="294" t="n">
        <v>1</v>
      </c>
      <c r="I644" s="294" t="n"/>
      <c r="J644" s="218" t="n"/>
      <c r="K644" s="218" t="n"/>
      <c r="L644" s="215" t="inlineStr">
        <is>
          <t>28/01/2026</t>
        </is>
      </c>
    </row>
    <row r="645" ht="15.75" customHeight="1" s="153">
      <c r="A645" s="221" t="n">
        <v>640</v>
      </c>
      <c r="B645" s="215" t="inlineStr">
        <is>
          <t>ESTANISLAO ZEBALLOS 4560</t>
        </is>
      </c>
      <c r="C645" s="216" t="n">
        <v>33000</v>
      </c>
      <c r="D645" s="216" t="n">
        <v>17250</v>
      </c>
      <c r="E645" s="293" t="n">
        <v>0.5227000000000001</v>
      </c>
      <c r="F645" s="294" t="n">
        <v>1</v>
      </c>
      <c r="G645" s="294" t="n"/>
      <c r="H645" s="294" t="n">
        <v>1</v>
      </c>
      <c r="I645" s="294" t="n"/>
      <c r="J645" s="225" t="n"/>
      <c r="K645" s="225" t="n"/>
      <c r="L645" s="215" t="inlineStr">
        <is>
          <t>06/02/2026</t>
        </is>
      </c>
    </row>
    <row r="646" ht="15.75" customHeight="1" s="153">
      <c r="A646" s="214" t="n">
        <v>641</v>
      </c>
      <c r="B646" s="215" t="inlineStr">
        <is>
          <t>GENEIRO 8264</t>
        </is>
      </c>
      <c r="C646" s="216" t="n">
        <v>33000</v>
      </c>
      <c r="D646" s="216" t="n">
        <v>17250</v>
      </c>
      <c r="E646" s="293" t="n">
        <v>0.5227000000000001</v>
      </c>
      <c r="F646" s="294" t="n">
        <v>1</v>
      </c>
      <c r="G646" s="294" t="n"/>
      <c r="H646" s="294" t="n">
        <v>1</v>
      </c>
      <c r="I646" s="294" t="n"/>
      <c r="J646" s="218" t="n"/>
      <c r="K646" s="218" t="n"/>
      <c r="L646" s="215" t="inlineStr">
        <is>
          <t>08/02/2026</t>
        </is>
      </c>
    </row>
    <row r="647" ht="15.75" customHeight="1" s="153">
      <c r="A647" s="221" t="n">
        <v>642</v>
      </c>
      <c r="B647" s="215" t="inlineStr">
        <is>
          <t>GABOTO 7102</t>
        </is>
      </c>
      <c r="C647" s="216" t="n">
        <v>33000</v>
      </c>
      <c r="D647" s="216" t="n">
        <v>17250</v>
      </c>
      <c r="E647" s="293" t="n">
        <v>0.5227000000000001</v>
      </c>
      <c r="F647" s="294" t="n">
        <v>1</v>
      </c>
      <c r="G647" s="294" t="n"/>
      <c r="H647" s="294" t="n">
        <v>1</v>
      </c>
      <c r="I647" s="294" t="n"/>
      <c r="J647" s="225" t="n"/>
      <c r="K647" s="225" t="n"/>
      <c r="L647" s="215" t="inlineStr">
        <is>
          <t>22/02/2026</t>
        </is>
      </c>
    </row>
    <row r="648" ht="15.75" customHeight="1" s="153">
      <c r="A648" s="214" t="n">
        <v>643</v>
      </c>
      <c r="B648" s="215" t="inlineStr">
        <is>
          <t>J CAMPILLO 1637</t>
        </is>
      </c>
      <c r="C648" s="216" t="n">
        <v>33000</v>
      </c>
      <c r="D648" s="216" t="n">
        <v>12750</v>
      </c>
      <c r="E648" s="293" t="n">
        <v>0.3864</v>
      </c>
      <c r="F648" s="294" t="n">
        <v>1</v>
      </c>
      <c r="G648" s="294" t="n"/>
      <c r="H648" s="294" t="n">
        <v>1</v>
      </c>
      <c r="I648" s="294" t="n"/>
      <c r="J648" s="218" t="n"/>
      <c r="K648" s="218" t="n"/>
      <c r="L648" s="215" t="inlineStr">
        <is>
          <t>04/03/2026</t>
        </is>
      </c>
    </row>
    <row r="649" ht="15.75" customHeight="1" s="153">
      <c r="A649" s="221" t="n">
        <v>644</v>
      </c>
      <c r="B649" s="215" t="inlineStr">
        <is>
          <t>J P LOPEZ 1875</t>
        </is>
      </c>
      <c r="C649" s="216" t="n">
        <v>33000</v>
      </c>
      <c r="D649" s="216" t="n">
        <v>12750</v>
      </c>
      <c r="E649" s="293" t="n">
        <v>0.3864</v>
      </c>
      <c r="F649" s="294" t="n">
        <v>1</v>
      </c>
      <c r="G649" s="294" t="n"/>
      <c r="H649" s="294" t="n">
        <v>1</v>
      </c>
      <c r="I649" s="294" t="n"/>
      <c r="J649" s="225" t="n"/>
      <c r="K649" s="225" t="n"/>
      <c r="L649" s="215" t="inlineStr">
        <is>
          <t>07/03/2026</t>
        </is>
      </c>
    </row>
    <row r="650" ht="15.75" customHeight="1" s="153">
      <c r="A650" s="214" t="n">
        <v>645</v>
      </c>
      <c r="B650" s="215" t="inlineStr">
        <is>
          <t>AYACUCHO 4878</t>
        </is>
      </c>
      <c r="C650" s="216" t="n">
        <v>33000</v>
      </c>
      <c r="D650" s="216" t="n">
        <v>12750</v>
      </c>
      <c r="E650" s="293" t="n">
        <v>0.3864</v>
      </c>
      <c r="F650" s="294" t="n">
        <v>1</v>
      </c>
      <c r="G650" s="294" t="n"/>
      <c r="H650" s="294" t="n">
        <v>1</v>
      </c>
      <c r="I650" s="294" t="n"/>
      <c r="J650" s="218" t="n"/>
      <c r="K650" s="218" t="n"/>
      <c r="L650" s="215" t="inlineStr">
        <is>
          <t>10/03/2026</t>
        </is>
      </c>
    </row>
    <row r="651" ht="15.75" customHeight="1" s="153">
      <c r="A651" s="221" t="n">
        <v>646</v>
      </c>
      <c r="B651" s="215" t="inlineStr">
        <is>
          <t>LASAGA 7023</t>
        </is>
      </c>
      <c r="C651" s="216" t="n">
        <v>33000</v>
      </c>
      <c r="D651" s="216" t="n">
        <v>12750</v>
      </c>
      <c r="E651" s="293" t="n">
        <v>0.3864</v>
      </c>
      <c r="F651" s="294" t="n">
        <v>1</v>
      </c>
      <c r="G651" s="294" t="n"/>
      <c r="H651" s="294" t="n">
        <v>1</v>
      </c>
      <c r="I651" s="294" t="n"/>
      <c r="J651" s="225" t="n"/>
      <c r="K651" s="225" t="n"/>
      <c r="L651" s="215" t="inlineStr">
        <is>
          <t>10/03/2026</t>
        </is>
      </c>
    </row>
    <row r="652" ht="15.75" customHeight="1" s="153">
      <c r="A652" s="214" t="n">
        <v>647</v>
      </c>
      <c r="B652" s="215" t="inlineStr">
        <is>
          <t>VERA MUJICA 420</t>
        </is>
      </c>
      <c r="C652" s="216" t="n">
        <v>33000</v>
      </c>
      <c r="D652" s="216" t="n">
        <v>12750</v>
      </c>
      <c r="E652" s="293" t="n">
        <v>0.3864</v>
      </c>
      <c r="F652" s="294" t="n">
        <v>1</v>
      </c>
      <c r="G652" s="294" t="n"/>
      <c r="H652" s="294" t="n">
        <v>1</v>
      </c>
      <c r="I652" s="294" t="n"/>
      <c r="J652" s="218" t="n"/>
      <c r="K652" s="218" t="n"/>
      <c r="L652" s="215" t="inlineStr">
        <is>
          <t>11/03/2026</t>
        </is>
      </c>
    </row>
    <row r="653" ht="15.75" customHeight="1" s="153">
      <c r="A653" s="221" t="n">
        <v>648</v>
      </c>
      <c r="B653" s="215" t="inlineStr">
        <is>
          <t>EX COMBATIENTES 6532</t>
        </is>
      </c>
      <c r="C653" s="216" t="n">
        <v>32000</v>
      </c>
      <c r="D653" s="216" t="n">
        <v>11750</v>
      </c>
      <c r="E653" s="293" t="n">
        <v>0.3672</v>
      </c>
      <c r="F653" s="294" t="n">
        <v>1</v>
      </c>
      <c r="G653" s="294" t="n"/>
      <c r="H653" s="294" t="n">
        <v>1</v>
      </c>
      <c r="I653" s="294" t="n"/>
      <c r="J653" s="225" t="n"/>
      <c r="K653" s="225" t="n"/>
      <c r="L653" s="215" t="inlineStr">
        <is>
          <t>03/03/2026</t>
        </is>
      </c>
    </row>
    <row r="654" ht="15.75" customHeight="1" s="153">
      <c r="A654" s="214" t="n">
        <v>649</v>
      </c>
      <c r="B654" s="215" t="inlineStr">
        <is>
          <t>POLLERIA ARISTOBULO</t>
        </is>
      </c>
      <c r="C654" s="216" t="n">
        <v>32000</v>
      </c>
      <c r="D654" s="216" t="n">
        <v>5000</v>
      </c>
      <c r="E654" s="293" t="n">
        <v>0.1562</v>
      </c>
      <c r="F654" s="294" t="n">
        <v>1</v>
      </c>
      <c r="G654" s="294" t="n">
        <v>2</v>
      </c>
      <c r="H654" s="294" t="n"/>
      <c r="I654" s="294" t="n"/>
      <c r="J654" s="218" t="n"/>
      <c r="K654" s="218" t="n"/>
      <c r="L654" s="215" t="inlineStr">
        <is>
          <t>14/03/2026</t>
        </is>
      </c>
    </row>
    <row r="655" ht="15.75" customHeight="1" s="153">
      <c r="A655" s="221" t="n">
        <v>650</v>
      </c>
      <c r="B655" s="215" t="inlineStr">
        <is>
          <t>LAVAISE 4366</t>
        </is>
      </c>
      <c r="C655" s="216" t="n">
        <v>31500</v>
      </c>
      <c r="D655" s="216" t="n">
        <v>11250</v>
      </c>
      <c r="E655" s="293" t="n">
        <v>0.3571</v>
      </c>
      <c r="F655" s="294" t="n">
        <v>1</v>
      </c>
      <c r="G655" s="294" t="n"/>
      <c r="H655" s="294" t="n">
        <v>1</v>
      </c>
      <c r="I655" s="294" t="n"/>
      <c r="J655" s="225" t="n"/>
      <c r="K655" s="225" t="n"/>
      <c r="L655" s="215" t="inlineStr">
        <is>
          <t>07/03/2026</t>
        </is>
      </c>
    </row>
    <row r="656" ht="15.75" customHeight="1" s="153">
      <c r="A656" s="214" t="n">
        <v>651</v>
      </c>
      <c r="B656" s="215" t="inlineStr">
        <is>
          <t>ALBERTI 5177</t>
        </is>
      </c>
      <c r="C656" s="216" t="n">
        <v>31000</v>
      </c>
      <c r="D656" s="216" t="n">
        <v>15250</v>
      </c>
      <c r="E656" s="293" t="n">
        <v>0.4919</v>
      </c>
      <c r="F656" s="294" t="n">
        <v>1</v>
      </c>
      <c r="G656" s="294" t="n"/>
      <c r="H656" s="294" t="n">
        <v>1</v>
      </c>
      <c r="I656" s="294" t="n"/>
      <c r="J656" s="218" t="n"/>
      <c r="K656" s="218" t="n"/>
      <c r="L656" s="215" t="inlineStr">
        <is>
          <t>19/01/2026</t>
        </is>
      </c>
    </row>
    <row r="657" ht="15.75" customHeight="1" s="153">
      <c r="A657" s="221" t="n">
        <v>652</v>
      </c>
      <c r="B657" s="215" t="inlineStr">
        <is>
          <t>SARSOTI 6567</t>
        </is>
      </c>
      <c r="C657" s="216" t="n">
        <v>30000</v>
      </c>
      <c r="D657" s="216" t="n">
        <v>9750</v>
      </c>
      <c r="E657" s="293" t="n">
        <v>0.325</v>
      </c>
      <c r="F657" s="294" t="n">
        <v>1</v>
      </c>
      <c r="G657" s="294" t="n"/>
      <c r="H657" s="294" t="n">
        <v>1</v>
      </c>
      <c r="I657" s="294" t="n"/>
      <c r="J657" s="225" t="n"/>
      <c r="K657" s="225" t="n"/>
      <c r="L657" s="215" t="inlineStr">
        <is>
          <t>03/03/2026</t>
        </is>
      </c>
    </row>
    <row r="658" ht="15.75" customHeight="1" s="153">
      <c r="A658" s="214" t="n">
        <v>653</v>
      </c>
      <c r="B658" s="215" t="inlineStr">
        <is>
          <t>SERBANDO BAYO 7166</t>
        </is>
      </c>
      <c r="C658" s="216" t="n">
        <v>30000</v>
      </c>
      <c r="D658" s="216" t="n">
        <v>9750</v>
      </c>
      <c r="E658" s="293" t="n">
        <v>0.325</v>
      </c>
      <c r="F658" s="294" t="n">
        <v>1</v>
      </c>
      <c r="G658" s="294" t="n"/>
      <c r="H658" s="294" t="n">
        <v>1</v>
      </c>
      <c r="I658" s="294" t="n"/>
      <c r="J658" s="218" t="n"/>
      <c r="K658" s="218" t="n"/>
      <c r="L658" s="215" t="inlineStr">
        <is>
          <t>11/03/2026</t>
        </is>
      </c>
    </row>
    <row r="659" ht="15.75" customHeight="1" s="153">
      <c r="A659" s="221" t="n">
        <v>654</v>
      </c>
      <c r="B659" s="215" t="inlineStr">
        <is>
          <t>CANCHAS GRINGO</t>
        </is>
      </c>
      <c r="C659" s="216" t="n">
        <v>30000</v>
      </c>
      <c r="D659" s="216" t="n">
        <v>9750</v>
      </c>
      <c r="E659" s="293" t="n">
        <v>0.325</v>
      </c>
      <c r="F659" s="294" t="n">
        <v>1</v>
      </c>
      <c r="G659" s="294" t="n"/>
      <c r="H659" s="294" t="n">
        <v>1</v>
      </c>
      <c r="I659" s="294" t="n"/>
      <c r="J659" s="225" t="n"/>
      <c r="K659" s="225" t="n"/>
      <c r="L659" s="215" t="inlineStr">
        <is>
          <t>12/03/2026</t>
        </is>
      </c>
    </row>
    <row r="660" ht="15.75" customHeight="1" s="153">
      <c r="A660" s="214" t="n">
        <v>655</v>
      </c>
      <c r="B660" s="215" t="inlineStr">
        <is>
          <t>WILLIAN</t>
        </is>
      </c>
      <c r="C660" s="216" t="n">
        <v>29500</v>
      </c>
      <c r="D660" s="216" t="n">
        <v>13750</v>
      </c>
      <c r="E660" s="293" t="n">
        <v>0.4661</v>
      </c>
      <c r="F660" s="294" t="n">
        <v>1</v>
      </c>
      <c r="G660" s="294" t="n"/>
      <c r="H660" s="294" t="n">
        <v>1</v>
      </c>
      <c r="I660" s="294" t="n"/>
      <c r="J660" s="218" t="n">
        <v>4</v>
      </c>
      <c r="K660" s="218" t="n"/>
      <c r="L660" s="215" t="inlineStr">
        <is>
          <t>07/01/2026</t>
        </is>
      </c>
    </row>
    <row r="661" ht="15.75" customHeight="1" s="153">
      <c r="A661" s="221" t="n">
        <v>656</v>
      </c>
      <c r="B661" s="215" t="inlineStr">
        <is>
          <t>MAURO</t>
        </is>
      </c>
      <c r="C661" s="216" t="n">
        <v>29000</v>
      </c>
      <c r="D661" s="216" t="n">
        <v>8000</v>
      </c>
      <c r="E661" s="293" t="n">
        <v>0.2759</v>
      </c>
      <c r="F661" s="294" t="n">
        <v>1</v>
      </c>
      <c r="G661" s="294" t="n">
        <v>2</v>
      </c>
      <c r="H661" s="294" t="n"/>
      <c r="I661" s="294" t="n"/>
      <c r="J661" s="225" t="n"/>
      <c r="K661" s="225" t="n"/>
      <c r="L661" s="215" t="inlineStr">
        <is>
          <t>13/01/2026</t>
        </is>
      </c>
    </row>
    <row r="662" ht="15.75" customHeight="1" s="153">
      <c r="A662" s="214" t="n">
        <v>657</v>
      </c>
      <c r="B662" s="215" t="inlineStr">
        <is>
          <t>CHICLANA 72325</t>
        </is>
      </c>
      <c r="C662" s="216" t="n">
        <v>29000</v>
      </c>
      <c r="D662" s="216" t="n">
        <v>2000</v>
      </c>
      <c r="E662" s="293" t="n">
        <v>0.06900000000000001</v>
      </c>
      <c r="F662" s="294" t="n">
        <v>1</v>
      </c>
      <c r="G662" s="294" t="n">
        <v>2</v>
      </c>
      <c r="H662" s="294" t="n"/>
      <c r="I662" s="294" t="n"/>
      <c r="J662" s="218" t="n"/>
      <c r="K662" s="218" t="n">
        <v>3</v>
      </c>
      <c r="L662" s="215" t="inlineStr">
        <is>
          <t>03/03/2026</t>
        </is>
      </c>
    </row>
    <row r="663" ht="15.75" customHeight="1" s="153">
      <c r="A663" s="221" t="n">
        <v>658</v>
      </c>
      <c r="B663" s="215" t="inlineStr">
        <is>
          <t>LUCHOI</t>
        </is>
      </c>
      <c r="C663" s="216" t="n">
        <v>29000</v>
      </c>
      <c r="D663" s="216" t="n">
        <v>13800</v>
      </c>
      <c r="E663" s="293" t="n">
        <v>0.4759</v>
      </c>
      <c r="F663" s="294" t="n">
        <v>1</v>
      </c>
      <c r="G663" s="294" t="n">
        <v>1</v>
      </c>
      <c r="H663" s="294" t="n"/>
      <c r="I663" s="294" t="n"/>
      <c r="J663" s="225" t="n"/>
      <c r="K663" s="225" t="n"/>
      <c r="L663" s="215" t="inlineStr">
        <is>
          <t>17/03/2026</t>
        </is>
      </c>
    </row>
    <row r="664" ht="15.75" customHeight="1" s="153">
      <c r="A664" s="214" t="n">
        <v>659</v>
      </c>
      <c r="B664" s="215" t="inlineStr">
        <is>
          <t>GÜEMES 4421</t>
        </is>
      </c>
      <c r="C664" s="216" t="n">
        <v>28500</v>
      </c>
      <c r="D664" s="216" t="n">
        <v>12700</v>
      </c>
      <c r="E664" s="293" t="n">
        <v>0.4456</v>
      </c>
      <c r="F664" s="294" t="n">
        <v>1</v>
      </c>
      <c r="G664" s="294" t="n">
        <v>1</v>
      </c>
      <c r="H664" s="294" t="n"/>
      <c r="I664" s="294" t="n"/>
      <c r="J664" s="218" t="n"/>
      <c r="K664" s="218" t="n">
        <v>2</v>
      </c>
      <c r="L664" s="215" t="inlineStr">
        <is>
          <t>20/05/2026</t>
        </is>
      </c>
    </row>
    <row r="665" ht="15.75" customHeight="1" s="153">
      <c r="A665" s="221" t="n">
        <v>660</v>
      </c>
      <c r="B665" s="215" t="inlineStr">
        <is>
          <t>GORRITI 5378</t>
        </is>
      </c>
      <c r="C665" s="216" t="n">
        <v>28000</v>
      </c>
      <c r="D665" s="216" t="n">
        <v>12200</v>
      </c>
      <c r="E665" s="293" t="n">
        <v>0.4357</v>
      </c>
      <c r="F665" s="294" t="n">
        <v>1</v>
      </c>
      <c r="G665" s="294" t="n">
        <v>1</v>
      </c>
      <c r="H665" s="294" t="n"/>
      <c r="I665" s="294" t="n"/>
      <c r="J665" s="225" t="n"/>
      <c r="K665" s="225" t="n">
        <v>2</v>
      </c>
      <c r="L665" s="215" t="inlineStr">
        <is>
          <t>30/05/2026</t>
        </is>
      </c>
    </row>
    <row r="666" ht="15.75" customHeight="1" s="153">
      <c r="A666" s="214" t="n">
        <v>661</v>
      </c>
      <c r="B666" s="215" t="inlineStr">
        <is>
          <t>AZOPARDO ALICIA</t>
        </is>
      </c>
      <c r="C666" s="216" t="n">
        <v>27500</v>
      </c>
      <c r="D666" s="216" t="n">
        <v>11700</v>
      </c>
      <c r="E666" s="293" t="n">
        <v>0.4255</v>
      </c>
      <c r="F666" s="294" t="n">
        <v>1</v>
      </c>
      <c r="G666" s="294" t="n">
        <v>1</v>
      </c>
      <c r="H666" s="294" t="n"/>
      <c r="I666" s="294" t="n"/>
      <c r="J666" s="218" t="n"/>
      <c r="K666" s="218" t="n">
        <v>2</v>
      </c>
      <c r="L666" s="215" t="inlineStr">
        <is>
          <t>18/05/2026</t>
        </is>
      </c>
    </row>
    <row r="667" ht="15.75" customHeight="1" s="153">
      <c r="A667" s="221" t="n">
        <v>662</v>
      </c>
      <c r="B667" s="215" t="inlineStr">
        <is>
          <t>CASTELLI 5249</t>
        </is>
      </c>
      <c r="C667" s="216" t="n">
        <v>27500</v>
      </c>
      <c r="D667" s="216" t="n">
        <v>11700</v>
      </c>
      <c r="E667" s="293" t="n">
        <v>0.4255</v>
      </c>
      <c r="F667" s="294" t="n">
        <v>1</v>
      </c>
      <c r="G667" s="294" t="n">
        <v>1</v>
      </c>
      <c r="H667" s="294" t="n"/>
      <c r="I667" s="294" t="n"/>
      <c r="J667" s="225" t="n"/>
      <c r="K667" s="225" t="n">
        <v>2</v>
      </c>
      <c r="L667" s="215" t="inlineStr">
        <is>
          <t>30/05/2026</t>
        </is>
      </c>
    </row>
    <row r="668" ht="15.75" customHeight="1" s="153">
      <c r="A668" s="214" t="n">
        <v>663</v>
      </c>
      <c r="B668" s="215" t="inlineStr">
        <is>
          <t>ARISTOBULO 5401</t>
        </is>
      </c>
      <c r="C668" s="216" t="n">
        <v>27000</v>
      </c>
      <c r="D668" s="216" t="n">
        <v>4500</v>
      </c>
      <c r="E668" s="293" t="n">
        <v>0.1667</v>
      </c>
      <c r="F668" s="294" t="n">
        <v>1</v>
      </c>
      <c r="G668" s="294" t="n"/>
      <c r="H668" s="294" t="n">
        <v>1</v>
      </c>
      <c r="I668" s="294" t="n"/>
      <c r="J668" s="218" t="n"/>
      <c r="K668" s="218" t="n">
        <v>2</v>
      </c>
      <c r="L668" s="215" t="inlineStr">
        <is>
          <t>27/03/2026</t>
        </is>
      </c>
    </row>
    <row r="669" ht="15.75" customHeight="1" s="153">
      <c r="A669" s="221" t="n">
        <v>664</v>
      </c>
      <c r="B669" s="215" t="inlineStr">
        <is>
          <t>PEDRO CENTENO</t>
        </is>
      </c>
      <c r="C669" s="216" t="n">
        <v>27000</v>
      </c>
      <c r="D669" s="216" t="n">
        <v>12000</v>
      </c>
      <c r="E669" s="293" t="n">
        <v>0.4444</v>
      </c>
      <c r="F669" s="294" t="n">
        <v>1</v>
      </c>
      <c r="G669" s="294" t="n">
        <v>1</v>
      </c>
      <c r="H669" s="294" t="n"/>
      <c r="I669" s="294" t="n"/>
      <c r="J669" s="225" t="n">
        <v>2</v>
      </c>
      <c r="K669" s="225" t="n"/>
      <c r="L669" s="215" t="inlineStr">
        <is>
          <t>29/03/2026</t>
        </is>
      </c>
    </row>
    <row r="670" ht="15.75" customHeight="1" s="153">
      <c r="A670" s="214" t="n">
        <v>665</v>
      </c>
      <c r="B670" s="215" t="inlineStr">
        <is>
          <t>JUAN JOSE VALLE 5573</t>
        </is>
      </c>
      <c r="C670" s="216" t="n">
        <v>27000</v>
      </c>
      <c r="D670" s="216" t="n">
        <v>12000</v>
      </c>
      <c r="E670" s="293" t="n">
        <v>0.4444</v>
      </c>
      <c r="F670" s="294" t="n">
        <v>1</v>
      </c>
      <c r="G670" s="294" t="n">
        <v>1</v>
      </c>
      <c r="H670" s="294" t="n"/>
      <c r="I670" s="294" t="n"/>
      <c r="J670" s="218" t="n">
        <v>2</v>
      </c>
      <c r="K670" s="218" t="n"/>
      <c r="L670" s="215" t="inlineStr">
        <is>
          <t>29/03/2026</t>
        </is>
      </c>
    </row>
    <row r="671" ht="15.75" customHeight="1" s="153">
      <c r="A671" s="221" t="n">
        <v>666</v>
      </c>
      <c r="B671" s="215" t="inlineStr">
        <is>
          <t>MONSEÑOR RODRIGUEZ</t>
        </is>
      </c>
      <c r="C671" s="216" t="n">
        <v>27000</v>
      </c>
      <c r="D671" s="216" t="n">
        <v>12000</v>
      </c>
      <c r="E671" s="293" t="n">
        <v>0.4444</v>
      </c>
      <c r="F671" s="294" t="n">
        <v>1</v>
      </c>
      <c r="G671" s="294" t="n">
        <v>1</v>
      </c>
      <c r="H671" s="294" t="n"/>
      <c r="I671" s="294" t="n"/>
      <c r="J671" s="225" t="n">
        <v>2</v>
      </c>
      <c r="K671" s="225" t="n"/>
      <c r="L671" s="215" t="inlineStr">
        <is>
          <t>29/03/2026</t>
        </is>
      </c>
    </row>
    <row r="672" ht="15.75" customHeight="1" s="153">
      <c r="A672" s="214" t="n">
        <v>667</v>
      </c>
      <c r="B672" s="215" t="inlineStr">
        <is>
          <t>4 DE ENERO 6034</t>
        </is>
      </c>
      <c r="C672" s="216" t="n">
        <v>27000</v>
      </c>
      <c r="D672" s="216" t="n">
        <v>12000</v>
      </c>
      <c r="E672" s="293" t="n">
        <v>0.4444</v>
      </c>
      <c r="F672" s="294" t="n">
        <v>1</v>
      </c>
      <c r="G672" s="294" t="n">
        <v>1</v>
      </c>
      <c r="H672" s="294" t="n"/>
      <c r="I672" s="294" t="n"/>
      <c r="J672" s="218" t="n">
        <v>2</v>
      </c>
      <c r="K672" s="218" t="n"/>
      <c r="L672" s="215" t="inlineStr">
        <is>
          <t>30/03/2026</t>
        </is>
      </c>
    </row>
    <row r="673" ht="15.75" customHeight="1" s="153">
      <c r="A673" s="221" t="n">
        <v>668</v>
      </c>
      <c r="B673" s="215" t="inlineStr">
        <is>
          <t>EUROPA 8841</t>
        </is>
      </c>
      <c r="C673" s="216" t="n">
        <v>27000</v>
      </c>
      <c r="D673" s="216" t="n">
        <v>12000</v>
      </c>
      <c r="E673" s="293" t="n">
        <v>0.4444</v>
      </c>
      <c r="F673" s="294" t="n">
        <v>1</v>
      </c>
      <c r="G673" s="294" t="n">
        <v>1</v>
      </c>
      <c r="H673" s="294" t="n"/>
      <c r="I673" s="294" t="n"/>
      <c r="J673" s="225" t="n">
        <v>2</v>
      </c>
      <c r="K673" s="225" t="n"/>
      <c r="L673" s="215" t="inlineStr">
        <is>
          <t>31/03/2026</t>
        </is>
      </c>
    </row>
    <row r="674" ht="15.75" customHeight="1" s="153">
      <c r="A674" s="214" t="n">
        <v>669</v>
      </c>
      <c r="B674" s="215" t="inlineStr">
        <is>
          <t>URQUIZA 5456</t>
        </is>
      </c>
      <c r="C674" s="216" t="n">
        <v>27000</v>
      </c>
      <c r="D674" s="216" t="n">
        <v>12000</v>
      </c>
      <c r="E674" s="293" t="n">
        <v>0.4444</v>
      </c>
      <c r="F674" s="294" t="n">
        <v>1</v>
      </c>
      <c r="G674" s="294" t="n">
        <v>1</v>
      </c>
      <c r="H674" s="294" t="n"/>
      <c r="I674" s="294" t="n"/>
      <c r="J674" s="218" t="n"/>
      <c r="K674" s="218" t="n">
        <v>1</v>
      </c>
      <c r="L674" s="215" t="inlineStr">
        <is>
          <t>31/03/2026</t>
        </is>
      </c>
    </row>
    <row r="675" ht="15.75" customHeight="1" s="153">
      <c r="A675" s="221" t="n">
        <v>670</v>
      </c>
      <c r="B675" s="215" t="inlineStr">
        <is>
          <t>MITRE 4930</t>
        </is>
      </c>
      <c r="C675" s="216" t="n">
        <v>27000</v>
      </c>
      <c r="D675" s="216" t="n">
        <v>12000</v>
      </c>
      <c r="E675" s="293" t="n">
        <v>0.4444</v>
      </c>
      <c r="F675" s="294" t="n">
        <v>1</v>
      </c>
      <c r="G675" s="294" t="n">
        <v>1</v>
      </c>
      <c r="H675" s="294" t="n"/>
      <c r="I675" s="294" t="n"/>
      <c r="J675" s="225" t="n"/>
      <c r="K675" s="225" t="n">
        <v>1</v>
      </c>
      <c r="L675" s="215" t="inlineStr">
        <is>
          <t>01/04/2026</t>
        </is>
      </c>
    </row>
    <row r="676" ht="15.75" customHeight="1" s="153">
      <c r="A676" s="214" t="n">
        <v>671</v>
      </c>
      <c r="B676" s="215" t="inlineStr">
        <is>
          <t>CASTELLI 2219</t>
        </is>
      </c>
      <c r="C676" s="216" t="n">
        <v>27000</v>
      </c>
      <c r="D676" s="216" t="n">
        <v>12000</v>
      </c>
      <c r="E676" s="293" t="n">
        <v>0.4444</v>
      </c>
      <c r="F676" s="294" t="n">
        <v>1</v>
      </c>
      <c r="G676" s="294" t="n">
        <v>1</v>
      </c>
      <c r="H676" s="294" t="n"/>
      <c r="I676" s="294" t="n"/>
      <c r="J676" s="218" t="n"/>
      <c r="K676" s="218" t="n">
        <v>1</v>
      </c>
      <c r="L676" s="215" t="inlineStr">
        <is>
          <t>02/04/2026</t>
        </is>
      </c>
    </row>
    <row r="677" ht="15.75" customHeight="1" s="153">
      <c r="A677" s="221" t="n">
        <v>672</v>
      </c>
      <c r="B677" s="215" t="inlineStr">
        <is>
          <t>LARGUIA 7251</t>
        </is>
      </c>
      <c r="C677" s="216" t="n">
        <v>27000</v>
      </c>
      <c r="D677" s="216" t="n">
        <v>12000</v>
      </c>
      <c r="E677" s="293" t="n">
        <v>0.4444</v>
      </c>
      <c r="F677" s="294" t="n">
        <v>1</v>
      </c>
      <c r="G677" s="294" t="n">
        <v>1</v>
      </c>
      <c r="H677" s="294" t="n"/>
      <c r="I677" s="294" t="n"/>
      <c r="J677" s="225" t="n"/>
      <c r="K677" s="225" t="n">
        <v>1</v>
      </c>
      <c r="L677" s="215" t="inlineStr">
        <is>
          <t>04/04/2026</t>
        </is>
      </c>
    </row>
    <row r="678" ht="15.75" customHeight="1" s="153">
      <c r="A678" s="214" t="n">
        <v>673</v>
      </c>
      <c r="B678" s="215" t="inlineStr">
        <is>
          <t>FLORES 2 CAS A75</t>
        </is>
      </c>
      <c r="C678" s="216" t="n">
        <v>27000</v>
      </c>
      <c r="D678" s="216" t="n">
        <v>12000</v>
      </c>
      <c r="E678" s="293" t="n">
        <v>0.4444</v>
      </c>
      <c r="F678" s="294" t="n">
        <v>1</v>
      </c>
      <c r="G678" s="294" t="n">
        <v>1</v>
      </c>
      <c r="H678" s="294" t="n"/>
      <c r="I678" s="294" t="n"/>
      <c r="J678" s="218" t="n"/>
      <c r="K678" s="218" t="n">
        <v>1</v>
      </c>
      <c r="L678" s="215" t="inlineStr">
        <is>
          <t>04/04/2026</t>
        </is>
      </c>
    </row>
    <row r="679" ht="15.75" customHeight="1" s="153">
      <c r="A679" s="221" t="n">
        <v>674</v>
      </c>
      <c r="B679" s="215" t="inlineStr">
        <is>
          <t>CERVERA 4748</t>
        </is>
      </c>
      <c r="C679" s="216" t="n">
        <v>27000</v>
      </c>
      <c r="D679" s="216" t="n">
        <v>16500</v>
      </c>
      <c r="E679" s="293" t="n">
        <v>0.6111</v>
      </c>
      <c r="F679" s="294" t="n">
        <v>1</v>
      </c>
      <c r="G679" s="294" t="n">
        <v>1</v>
      </c>
      <c r="H679" s="294" t="n"/>
      <c r="I679" s="294" t="n"/>
      <c r="J679" s="225" t="n"/>
      <c r="K679" s="225" t="n">
        <v>1</v>
      </c>
      <c r="L679" s="215" t="inlineStr">
        <is>
          <t>05/02/2026</t>
        </is>
      </c>
    </row>
    <row r="680" ht="15.75" customHeight="1" s="153">
      <c r="A680" s="214" t="n">
        <v>675</v>
      </c>
      <c r="B680" s="215" t="inlineStr">
        <is>
          <t>CERVERA 6885</t>
        </is>
      </c>
      <c r="C680" s="216" t="n">
        <v>27000</v>
      </c>
      <c r="D680" s="216" t="n">
        <v>16500</v>
      </c>
      <c r="E680" s="293" t="n">
        <v>0.6111</v>
      </c>
      <c r="F680" s="294" t="n">
        <v>1</v>
      </c>
      <c r="G680" s="294" t="n">
        <v>1</v>
      </c>
      <c r="H680" s="294" t="n"/>
      <c r="I680" s="294" t="n"/>
      <c r="J680" s="218" t="n"/>
      <c r="K680" s="218" t="n"/>
      <c r="L680" s="215" t="inlineStr">
        <is>
          <t>05/02/2026</t>
        </is>
      </c>
    </row>
    <row r="681" ht="15.75" customHeight="1" s="153">
      <c r="A681" s="221" t="n">
        <v>676</v>
      </c>
      <c r="B681" s="222" t="inlineStr">
        <is>
          <t>PJE GIMNASIA 5186</t>
        </is>
      </c>
      <c r="C681" s="223" t="n">
        <v>27000</v>
      </c>
      <c r="D681" s="224" t="n">
        <v>12000</v>
      </c>
      <c r="E681" s="295" t="n">
        <v>0.4444</v>
      </c>
      <c r="F681" s="225" t="n">
        <v>1</v>
      </c>
      <c r="G681" s="225" t="n">
        <v>1</v>
      </c>
      <c r="H681" s="225" t="n"/>
      <c r="I681" s="225" t="n"/>
      <c r="J681" s="225" t="n"/>
      <c r="K681" s="225" t="n"/>
      <c r="L681" s="226" t="inlineStr">
        <is>
          <t>06/04/2026</t>
        </is>
      </c>
    </row>
    <row r="682" ht="15.75" customHeight="1" s="153">
      <c r="A682" s="214" t="n">
        <v>677</v>
      </c>
      <c r="B682" s="215" t="inlineStr">
        <is>
          <t>PUBLICO 3640</t>
        </is>
      </c>
      <c r="C682" s="216" t="n">
        <v>27000</v>
      </c>
      <c r="D682" s="236" t="n">
        <v>12000</v>
      </c>
      <c r="E682" s="296" t="n">
        <v>0.4444</v>
      </c>
      <c r="F682" s="218" t="n">
        <v>1</v>
      </c>
      <c r="G682" s="218" t="n">
        <v>1</v>
      </c>
      <c r="H682" s="218" t="n"/>
      <c r="I682" s="218" t="n"/>
      <c r="J682" s="218" t="n"/>
      <c r="K682" s="218" t="n"/>
      <c r="L682" s="219" t="inlineStr">
        <is>
          <t>07/04/2026</t>
        </is>
      </c>
    </row>
    <row r="683" ht="15.75" customHeight="1" s="153">
      <c r="A683" s="221" t="n">
        <v>678</v>
      </c>
      <c r="B683" s="222" t="inlineStr">
        <is>
          <t>PUBLICO 5489 Y CAFERATA</t>
        </is>
      </c>
      <c r="C683" s="223" t="n">
        <v>27000</v>
      </c>
      <c r="D683" s="224" t="n">
        <v>12000</v>
      </c>
      <c r="E683" s="295" t="n">
        <v>0.4444</v>
      </c>
      <c r="F683" s="225" t="n">
        <v>1</v>
      </c>
      <c r="G683" s="225" t="n">
        <v>1</v>
      </c>
      <c r="H683" s="225" t="n"/>
      <c r="I683" s="225" t="n"/>
      <c r="J683" s="225" t="n"/>
      <c r="K683" s="225" t="n"/>
      <c r="L683" s="226" t="inlineStr">
        <is>
          <t>08/04/2026</t>
        </is>
      </c>
    </row>
    <row r="684" ht="15" customHeight="1" s="153">
      <c r="A684" s="152" t="n">
        <v>679</v>
      </c>
      <c r="B684" s="152" t="inlineStr">
        <is>
          <t>9 DE JULIO 2366</t>
        </is>
      </c>
      <c r="C684" s="297" t="n">
        <v>27000</v>
      </c>
      <c r="D684" s="297" t="n">
        <v>12000</v>
      </c>
      <c r="E684" s="298" t="n">
        <v>0.4444</v>
      </c>
      <c r="F684" s="152" t="n">
        <v>1</v>
      </c>
      <c r="G684" s="152" t="n">
        <v>1</v>
      </c>
      <c r="L684" s="152" t="inlineStr">
        <is>
          <t>12/04/2026</t>
        </is>
      </c>
    </row>
    <row r="685" ht="9.75" customHeight="1" s="153">
      <c r="A685" s="152" t="n">
        <v>680</v>
      </c>
      <c r="B685" s="152" t="inlineStr">
        <is>
          <t>LUCAS MANSILLA</t>
        </is>
      </c>
      <c r="C685" s="297" t="n">
        <v>27000</v>
      </c>
      <c r="D685" s="297" t="n">
        <v>12000</v>
      </c>
      <c r="E685" s="298" t="n">
        <v>0.4444</v>
      </c>
      <c r="F685" s="152" t="n">
        <v>1</v>
      </c>
      <c r="G685" s="152" t="n">
        <v>1</v>
      </c>
      <c r="L685" s="152" t="inlineStr">
        <is>
          <t>12/04/2026</t>
        </is>
      </c>
    </row>
    <row r="686" ht="25.5" customHeight="1" s="153">
      <c r="A686" s="299" t="n">
        <v>681</v>
      </c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11" t="n"/>
      <c r="L686" s="211" t="n"/>
    </row>
    <row r="687" ht="27.75" customHeight="1" s="153">
      <c r="A687" s="292" t="n">
        <v>682</v>
      </c>
      <c r="B687" s="292" t="inlineStr">
        <is>
          <t>J CAMPILLO 3481</t>
        </is>
      </c>
      <c r="C687" s="300" t="n">
        <v>27000</v>
      </c>
      <c r="D687" s="300" t="n">
        <v>12000</v>
      </c>
      <c r="E687" s="301" t="n">
        <v>0.4444</v>
      </c>
      <c r="F687" s="292" t="n">
        <v>1</v>
      </c>
      <c r="G687" s="292" t="n">
        <v>1</v>
      </c>
      <c r="H687" s="292" t="n"/>
      <c r="I687" s="292" t="n"/>
      <c r="J687" s="292" t="n"/>
      <c r="K687" s="292" t="n"/>
      <c r="L687" s="292" t="inlineStr">
        <is>
          <t>16/04/2026</t>
        </is>
      </c>
    </row>
    <row r="688" ht="15" customHeight="1" s="153">
      <c r="A688" s="302" t="n">
        <v>683</v>
      </c>
      <c r="B688" s="303" t="inlineStr">
        <is>
          <t>GUANELLA 4552</t>
        </is>
      </c>
      <c r="C688" s="304" t="n">
        <v>27000</v>
      </c>
      <c r="D688" s="305" t="n">
        <v>12000</v>
      </c>
      <c r="E688" s="295" t="n">
        <v>0.4444</v>
      </c>
      <c r="F688" s="225" t="n">
        <v>1</v>
      </c>
      <c r="G688" s="225" t="n">
        <v>1</v>
      </c>
      <c r="H688" s="225" t="n"/>
      <c r="I688" s="223" t="n"/>
      <c r="J688" s="305" t="n"/>
      <c r="K688" s="305" t="n"/>
      <c r="L688" s="224" t="inlineStr">
        <is>
          <t>23/04/2026</t>
        </is>
      </c>
    </row>
    <row r="689" ht="15" customHeight="1" s="153">
      <c r="A689" s="306" t="n">
        <v>684</v>
      </c>
      <c r="B689" s="307" t="inlineStr">
        <is>
          <t>CALLEJON ROCA 2622</t>
        </is>
      </c>
      <c r="C689" s="308" t="n">
        <v>27000</v>
      </c>
      <c r="D689" s="309" t="n">
        <v>12000</v>
      </c>
      <c r="E689" s="296" t="n">
        <v>0.4444</v>
      </c>
      <c r="F689" s="218" t="n">
        <v>1</v>
      </c>
      <c r="G689" s="218" t="n">
        <v>1</v>
      </c>
      <c r="H689" s="218" t="n"/>
      <c r="I689" s="216" t="n"/>
      <c r="J689" s="309" t="n"/>
      <c r="K689" s="309" t="n"/>
      <c r="L689" s="236" t="inlineStr">
        <is>
          <t>01/05/2026</t>
        </is>
      </c>
    </row>
    <row r="690" ht="15" customHeight="1" s="153">
      <c r="A690" s="302" t="n">
        <v>685</v>
      </c>
      <c r="B690" s="303" t="inlineStr">
        <is>
          <t>4 DE ENERO 6652</t>
        </is>
      </c>
      <c r="C690" s="304" t="n">
        <v>27000</v>
      </c>
      <c r="D690" s="305" t="n">
        <v>12000</v>
      </c>
      <c r="E690" s="295" t="n">
        <v>0.4444</v>
      </c>
      <c r="F690" s="225" t="n">
        <v>1</v>
      </c>
      <c r="G690" s="225" t="n">
        <v>1</v>
      </c>
      <c r="H690" s="225" t="n"/>
      <c r="I690" s="223" t="n"/>
      <c r="J690" s="305" t="n"/>
      <c r="K690" s="305" t="n"/>
      <c r="L690" s="224" t="inlineStr">
        <is>
          <t>01/05/2026</t>
        </is>
      </c>
    </row>
    <row r="691" ht="15" customHeight="1" s="153">
      <c r="A691" s="302" t="n">
        <v>686</v>
      </c>
      <c r="B691" s="303" t="inlineStr">
        <is>
          <t>QUINTANA 1868</t>
        </is>
      </c>
      <c r="C691" s="304" t="n">
        <v>27000</v>
      </c>
      <c r="D691" s="305" t="n">
        <v>12000</v>
      </c>
      <c r="E691" s="295" t="n">
        <v>0.4444</v>
      </c>
      <c r="F691" s="225" t="n">
        <v>1</v>
      </c>
      <c r="G691" s="225" t="n">
        <v>1</v>
      </c>
      <c r="H691" s="225" t="n"/>
      <c r="I691" s="223" t="n"/>
      <c r="J691" s="305" t="n"/>
      <c r="K691" s="305" t="n"/>
      <c r="L691" s="224" t="inlineStr">
        <is>
          <t>03/05/2026</t>
        </is>
      </c>
    </row>
    <row r="692" ht="15" customHeight="1" s="153">
      <c r="A692" s="302" t="n">
        <v>687</v>
      </c>
      <c r="B692" s="303" t="inlineStr">
        <is>
          <t>EX COMBATIENTES 5500</t>
        </is>
      </c>
      <c r="C692" s="304" t="n">
        <v>27000</v>
      </c>
      <c r="D692" s="305" t="n">
        <v>12000</v>
      </c>
      <c r="E692" s="295" t="n">
        <v>0.4444</v>
      </c>
      <c r="F692" s="225" t="n">
        <v>1</v>
      </c>
      <c r="G692" s="225" t="n">
        <v>1</v>
      </c>
      <c r="H692" s="225" t="n"/>
      <c r="I692" s="223" t="n"/>
      <c r="J692" s="305" t="n">
        <v>26000</v>
      </c>
      <c r="K692" s="305" t="n">
        <v>0</v>
      </c>
      <c r="L692" s="224" t="inlineStr">
        <is>
          <t>04/05/2026</t>
        </is>
      </c>
    </row>
    <row r="693" ht="15" customHeight="1" s="153">
      <c r="A693" s="306" t="n">
        <v>688</v>
      </c>
      <c r="B693" s="307" t="inlineStr">
        <is>
          <t>LUCIANO TORRENT 2027</t>
        </is>
      </c>
      <c r="C693" s="308" t="n">
        <v>27000</v>
      </c>
      <c r="D693" s="309" t="n">
        <v>12000</v>
      </c>
      <c r="E693" s="296" t="n">
        <v>0.4444</v>
      </c>
      <c r="F693" s="218" t="n">
        <v>1</v>
      </c>
      <c r="G693" s="218" t="n">
        <v>1</v>
      </c>
      <c r="H693" s="218" t="n"/>
      <c r="I693" s="216" t="n"/>
      <c r="J693" s="309" t="n">
        <v>0</v>
      </c>
      <c r="K693" s="309" t="n">
        <v>22500</v>
      </c>
      <c r="L693" s="236" t="inlineStr">
        <is>
          <t>05/05/2026</t>
        </is>
      </c>
    </row>
    <row r="694" ht="15" customHeight="1" s="153">
      <c r="A694" s="302" t="n">
        <v>689</v>
      </c>
      <c r="B694" s="303" t="inlineStr">
        <is>
          <t>AVENIDA FREIRE 3151</t>
        </is>
      </c>
      <c r="C694" s="304" t="n">
        <v>27000</v>
      </c>
      <c r="D694" s="305" t="n">
        <v>12000</v>
      </c>
      <c r="E694" s="295" t="n">
        <v>0.4444</v>
      </c>
      <c r="F694" s="225" t="n">
        <v>1</v>
      </c>
      <c r="G694" s="225" t="n">
        <v>1</v>
      </c>
      <c r="H694" s="225" t="n"/>
      <c r="I694" s="223" t="n"/>
      <c r="J694" s="305" t="n">
        <v>0</v>
      </c>
      <c r="K694" s="305" t="n">
        <v>156000</v>
      </c>
      <c r="L694" s="224" t="inlineStr">
        <is>
          <t>05/05/2026</t>
        </is>
      </c>
    </row>
    <row r="695" ht="15" customHeight="1" s="153">
      <c r="A695" s="306" t="n">
        <v>690</v>
      </c>
      <c r="B695" s="307" t="inlineStr">
        <is>
          <t>DON LOBO</t>
        </is>
      </c>
      <c r="C695" s="308" t="n">
        <v>27000</v>
      </c>
      <c r="D695" s="309" t="n">
        <v>12000</v>
      </c>
      <c r="E695" s="296" t="n">
        <v>0.4444</v>
      </c>
      <c r="F695" s="218" t="n">
        <v>1</v>
      </c>
      <c r="G695" s="218" t="n">
        <v>1</v>
      </c>
      <c r="H695" s="218" t="n"/>
      <c r="I695" s="216" t="n"/>
      <c r="J695" s="309" t="n">
        <v>35500</v>
      </c>
      <c r="K695" s="309" t="n">
        <v>0</v>
      </c>
      <c r="L695" s="236" t="inlineStr">
        <is>
          <t>07/05/2026</t>
        </is>
      </c>
    </row>
    <row r="696" ht="15" customHeight="1" s="153">
      <c r="A696" s="302" t="n">
        <v>691</v>
      </c>
      <c r="B696" s="303" t="inlineStr">
        <is>
          <t>CAPILLA LA SALLE Y GRANDOLI</t>
        </is>
      </c>
      <c r="C696" s="304" t="n">
        <v>27000</v>
      </c>
      <c r="D696" s="305" t="n">
        <v>12000</v>
      </c>
      <c r="E696" s="295" t="n">
        <v>0.4444</v>
      </c>
      <c r="F696" s="225" t="n">
        <v>1</v>
      </c>
      <c r="G696" s="225" t="n">
        <v>1</v>
      </c>
      <c r="H696" s="225" t="n"/>
      <c r="I696" s="223" t="n"/>
      <c r="J696" s="305" t="n">
        <v>19500</v>
      </c>
      <c r="K696" s="305" t="n">
        <v>0</v>
      </c>
      <c r="L696" s="224" t="inlineStr">
        <is>
          <t>07/05/2026</t>
        </is>
      </c>
    </row>
    <row r="697" ht="15" customHeight="1" s="153">
      <c r="A697" s="306" t="n">
        <v>692</v>
      </c>
      <c r="B697" s="307" t="inlineStr">
        <is>
          <t>SAN MARTÍN 8947</t>
        </is>
      </c>
      <c r="C697" s="308" t="n">
        <v>27000</v>
      </c>
      <c r="D697" s="309" t="n">
        <v>11200</v>
      </c>
      <c r="E697" s="296" t="n">
        <v>0.4148</v>
      </c>
      <c r="F697" s="218" t="n">
        <v>1</v>
      </c>
      <c r="G697" s="218" t="n">
        <v>1</v>
      </c>
      <c r="H697" s="218" t="n"/>
      <c r="I697" s="216" t="n"/>
      <c r="J697" s="309" t="n">
        <v>21000</v>
      </c>
      <c r="K697" s="309" t="n">
        <v>0</v>
      </c>
      <c r="L697" s="236" t="inlineStr">
        <is>
          <t>08/05/2026</t>
        </is>
      </c>
    </row>
    <row r="698" ht="15" customHeight="1" s="153">
      <c r="A698" s="302" t="n">
        <v>693</v>
      </c>
      <c r="B698" s="303" t="inlineStr">
        <is>
          <t>JAVIER DE LA ROSA 2585</t>
        </is>
      </c>
      <c r="C698" s="304" t="n">
        <v>27000</v>
      </c>
      <c r="D698" s="305" t="n">
        <v>11200</v>
      </c>
      <c r="E698" s="295" t="n">
        <v>0.4148</v>
      </c>
      <c r="F698" s="225" t="n">
        <v>1</v>
      </c>
      <c r="G698" s="225" t="n">
        <v>1</v>
      </c>
      <c r="H698" s="225" t="n"/>
      <c r="I698" s="223" t="n"/>
      <c r="J698" s="305" t="n">
        <v>0</v>
      </c>
      <c r="K698" s="305" t="n">
        <v>65000</v>
      </c>
      <c r="L698" s="224" t="inlineStr">
        <is>
          <t>08/05/2026</t>
        </is>
      </c>
    </row>
    <row r="699" ht="15" customHeight="1" s="153">
      <c r="A699" s="306" t="n">
        <v>694</v>
      </c>
      <c r="B699" s="307" t="inlineStr">
        <is>
          <t>SAN JERÓNIMO 4532</t>
        </is>
      </c>
      <c r="C699" s="308" t="n">
        <v>27000</v>
      </c>
      <c r="D699" s="309" t="n">
        <v>11200</v>
      </c>
      <c r="E699" s="296" t="n">
        <v>0.4148</v>
      </c>
      <c r="F699" s="218" t="n">
        <v>1</v>
      </c>
      <c r="G699" s="218" t="n">
        <v>1</v>
      </c>
      <c r="H699" s="218" t="n"/>
      <c r="I699" s="216" t="n"/>
      <c r="J699" s="309" t="n">
        <v>22000</v>
      </c>
      <c r="K699" s="309" t="n">
        <v>0</v>
      </c>
      <c r="L699" s="236" t="inlineStr">
        <is>
          <t>10/05/2026</t>
        </is>
      </c>
    </row>
    <row r="700" ht="15" customHeight="1" s="153">
      <c r="A700" s="302" t="n">
        <v>695</v>
      </c>
      <c r="B700" s="303" t="inlineStr">
        <is>
          <t>1 DE MAYO 3173</t>
        </is>
      </c>
      <c r="C700" s="304" t="n">
        <v>27000</v>
      </c>
      <c r="D700" s="305" t="n">
        <v>11200</v>
      </c>
      <c r="E700" s="295" t="n">
        <v>0.4148</v>
      </c>
      <c r="F700" s="225" t="n">
        <v>1</v>
      </c>
      <c r="G700" s="225" t="n">
        <v>1</v>
      </c>
      <c r="H700" s="225" t="n"/>
      <c r="I700" s="223" t="n"/>
      <c r="J700" s="305" t="n">
        <v>22000</v>
      </c>
      <c r="K700" s="305" t="n">
        <v>0</v>
      </c>
      <c r="L700" s="224" t="inlineStr">
        <is>
          <t>10/05/2026</t>
        </is>
      </c>
    </row>
    <row r="701" ht="15" customHeight="1" s="153">
      <c r="A701" s="306" t="n">
        <v>696</v>
      </c>
      <c r="B701" s="307" t="inlineStr">
        <is>
          <t>RÍO NEGRO 4464</t>
        </is>
      </c>
      <c r="C701" s="308" t="n">
        <v>27000</v>
      </c>
      <c r="D701" s="309" t="n">
        <v>11200</v>
      </c>
      <c r="E701" s="296" t="n">
        <v>0.4148</v>
      </c>
      <c r="F701" s="218" t="n">
        <v>1</v>
      </c>
      <c r="G701" s="218" t="n">
        <v>1</v>
      </c>
      <c r="H701" s="218" t="n"/>
      <c r="I701" s="216" t="n"/>
      <c r="J701" s="309" t="n">
        <v>84000</v>
      </c>
      <c r="K701" s="309" t="n">
        <v>0</v>
      </c>
      <c r="L701" s="236" t="inlineStr">
        <is>
          <t>10/05/2026</t>
        </is>
      </c>
    </row>
    <row r="702" ht="15" customHeight="1" s="153">
      <c r="A702" s="302" t="n">
        <v>697</v>
      </c>
      <c r="B702" s="303" t="inlineStr">
        <is>
          <t>9 DE JULIO 2107</t>
        </is>
      </c>
      <c r="C702" s="304" t="n">
        <v>27000</v>
      </c>
      <c r="D702" s="305" t="n">
        <v>11200</v>
      </c>
      <c r="E702" s="295" t="n">
        <v>0.4148</v>
      </c>
      <c r="F702" s="225" t="n">
        <v>1</v>
      </c>
      <c r="G702" s="225" t="n">
        <v>1</v>
      </c>
      <c r="H702" s="225" t="n"/>
      <c r="I702" s="223" t="n"/>
      <c r="J702" s="305" t="n">
        <v>0</v>
      </c>
      <c r="K702" s="305" t="n">
        <v>77000</v>
      </c>
      <c r="L702" s="224" t="inlineStr">
        <is>
          <t>11/05/2026</t>
        </is>
      </c>
    </row>
    <row r="703" ht="15" customHeight="1" s="153">
      <c r="A703" s="302" t="n">
        <v>698</v>
      </c>
      <c r="B703" s="303" t="inlineStr">
        <is>
          <t>CAMELLI 4860</t>
        </is>
      </c>
      <c r="C703" s="304" t="n">
        <v>27000</v>
      </c>
      <c r="D703" s="305" t="n">
        <v>11200</v>
      </c>
      <c r="E703" s="295" t="n">
        <v>0.4148</v>
      </c>
      <c r="F703" s="225" t="n">
        <v>1</v>
      </c>
      <c r="G703" s="225" t="n">
        <v>1</v>
      </c>
      <c r="H703" s="225" t="n"/>
      <c r="I703" s="223" t="n"/>
      <c r="J703" s="305" t="n">
        <v>0</v>
      </c>
      <c r="K703" s="305" t="n">
        <v>154000</v>
      </c>
      <c r="L703" s="224" t="inlineStr">
        <is>
          <t>14/05/2026</t>
        </is>
      </c>
    </row>
    <row r="704" ht="15" customHeight="1" s="153">
      <c r="A704" s="302" t="n">
        <v>699</v>
      </c>
      <c r="B704" s="303" t="inlineStr">
        <is>
          <t>PJE BOEDO 1637</t>
        </is>
      </c>
      <c r="C704" s="304" t="n">
        <v>27000</v>
      </c>
      <c r="D704" s="305" t="n">
        <v>11200</v>
      </c>
      <c r="E704" s="295" t="n">
        <v>0.4148</v>
      </c>
      <c r="F704" s="225" t="n">
        <v>1</v>
      </c>
      <c r="G704" s="225" t="n">
        <v>1</v>
      </c>
      <c r="H704" s="225" t="n"/>
      <c r="I704" s="223" t="n"/>
      <c r="J704" s="305" t="n">
        <v>0</v>
      </c>
      <c r="K704" s="305" t="n">
        <v>158000</v>
      </c>
      <c r="L704" s="224" t="inlineStr">
        <is>
          <t>14/05/2026</t>
        </is>
      </c>
    </row>
    <row r="705" ht="15" customHeight="1" s="153">
      <c r="A705" s="306" t="n">
        <v>700</v>
      </c>
      <c r="B705" s="307" t="inlineStr">
        <is>
          <t>LAS HERAS 5947</t>
        </is>
      </c>
      <c r="C705" s="308" t="n">
        <v>27000</v>
      </c>
      <c r="D705" s="309" t="n">
        <v>11200</v>
      </c>
      <c r="E705" s="296" t="n">
        <v>0.4148</v>
      </c>
      <c r="F705" s="218" t="n">
        <v>1</v>
      </c>
      <c r="G705" s="218" t="n">
        <v>1</v>
      </c>
      <c r="H705" s="218" t="n"/>
      <c r="I705" s="216" t="n"/>
      <c r="J705" s="309" t="n">
        <v>0</v>
      </c>
      <c r="K705" s="309" t="n">
        <v>152000</v>
      </c>
      <c r="L705" s="236" t="inlineStr">
        <is>
          <t>14/05/2026</t>
        </is>
      </c>
    </row>
    <row r="706" ht="15" customHeight="1" s="153">
      <c r="A706" s="302" t="n">
        <v>701</v>
      </c>
      <c r="B706" s="303" t="inlineStr">
        <is>
          <t>ESTADO ISRAEL 4990</t>
        </is>
      </c>
      <c r="C706" s="304" t="n">
        <v>27000</v>
      </c>
      <c r="D706" s="305" t="n">
        <v>11200</v>
      </c>
      <c r="E706" s="295" t="n">
        <v>0.4148</v>
      </c>
      <c r="F706" s="225" t="n">
        <v>1</v>
      </c>
      <c r="G706" s="225" t="n">
        <v>1</v>
      </c>
      <c r="H706" s="225" t="n"/>
      <c r="I706" s="223" t="n"/>
      <c r="J706" s="305" t="n">
        <v>0</v>
      </c>
      <c r="K706" s="305" t="n">
        <v>23000</v>
      </c>
      <c r="L706" s="224" t="inlineStr">
        <is>
          <t>15/05/2026</t>
        </is>
      </c>
    </row>
    <row r="707" ht="15" customHeight="1" s="153">
      <c r="A707" s="306" t="n">
        <v>702</v>
      </c>
      <c r="B707" s="307" t="inlineStr">
        <is>
          <t>JAVIER DE LA ROSA 456</t>
        </is>
      </c>
      <c r="C707" s="308" t="n">
        <v>27000</v>
      </c>
      <c r="D707" s="309" t="n">
        <v>11200</v>
      </c>
      <c r="E707" s="296" t="n">
        <v>0.4148</v>
      </c>
      <c r="F707" s="218" t="n">
        <v>1</v>
      </c>
      <c r="G707" s="218" t="n">
        <v>1</v>
      </c>
      <c r="H707" s="218" t="n"/>
      <c r="I707" s="216" t="n"/>
      <c r="J707" s="309" t="n">
        <v>27000</v>
      </c>
      <c r="K707" s="309" t="n">
        <v>0</v>
      </c>
      <c r="L707" s="236" t="inlineStr">
        <is>
          <t>16/05/2026</t>
        </is>
      </c>
    </row>
    <row r="708" ht="15" customHeight="1" s="153">
      <c r="A708" s="302" t="n">
        <v>703</v>
      </c>
      <c r="B708" s="303" t="inlineStr">
        <is>
          <t>OBISPO GELABERT 3622</t>
        </is>
      </c>
      <c r="C708" s="304" t="n">
        <v>27000</v>
      </c>
      <c r="D708" s="305" t="n">
        <v>11200</v>
      </c>
      <c r="E708" s="295" t="n">
        <v>0.4148</v>
      </c>
      <c r="F708" s="225" t="n">
        <v>1</v>
      </c>
      <c r="G708" s="225" t="n">
        <v>1</v>
      </c>
      <c r="H708" s="225" t="n"/>
      <c r="I708" s="223" t="n"/>
      <c r="J708" s="305" t="n">
        <v>25500</v>
      </c>
      <c r="K708" s="305" t="n">
        <v>0</v>
      </c>
      <c r="L708" s="224" t="inlineStr">
        <is>
          <t>16/05/2026</t>
        </is>
      </c>
    </row>
    <row r="709" ht="15" customHeight="1" s="153">
      <c r="A709" s="306" t="n">
        <v>704</v>
      </c>
      <c r="B709" s="307" t="inlineStr">
        <is>
          <t>9 DE JULIO 2105</t>
        </is>
      </c>
      <c r="C709" s="308" t="n">
        <v>27000</v>
      </c>
      <c r="D709" s="309" t="n">
        <v>11200</v>
      </c>
      <c r="E709" s="296" t="n">
        <v>0.4148</v>
      </c>
      <c r="F709" s="218" t="n">
        <v>1</v>
      </c>
      <c r="G709" s="218" t="n">
        <v>1</v>
      </c>
      <c r="H709" s="218" t="n"/>
      <c r="I709" s="216" t="n"/>
      <c r="J709" s="309" t="n">
        <v>0</v>
      </c>
      <c r="K709" s="309" t="n">
        <v>84000</v>
      </c>
      <c r="L709" s="236" t="inlineStr">
        <is>
          <t>17/05/2026</t>
        </is>
      </c>
    </row>
    <row r="710" ht="15" customHeight="1" s="153">
      <c r="A710" s="302" t="n">
        <v>705</v>
      </c>
      <c r="B710" s="303" t="inlineStr">
        <is>
          <t>CORRIENTES 3782</t>
        </is>
      </c>
      <c r="C710" s="304" t="n">
        <v>27000</v>
      </c>
      <c r="D710" s="305" t="n">
        <v>11200</v>
      </c>
      <c r="E710" s="295" t="n">
        <v>0.4148</v>
      </c>
      <c r="F710" s="225" t="n">
        <v>1</v>
      </c>
      <c r="G710" s="225" t="n">
        <v>1</v>
      </c>
      <c r="H710" s="225" t="n"/>
      <c r="I710" s="223" t="n"/>
      <c r="J710" s="305" t="n">
        <v>23000</v>
      </c>
      <c r="K710" s="305" t="n">
        <v>0</v>
      </c>
      <c r="L710" s="224" t="inlineStr">
        <is>
          <t>17/05/2026</t>
        </is>
      </c>
    </row>
    <row r="711" ht="15" customHeight="1" s="153">
      <c r="A711" s="306" t="inlineStr">
        <is>
          <t>09/02/2026</t>
        </is>
      </c>
      <c r="B711" s="307" t="inlineStr">
        <is>
          <t>Febrero</t>
        </is>
      </c>
      <c r="C711" s="310" t="inlineStr">
        <is>
          <t>ABUELA LUCAS</t>
        </is>
      </c>
      <c r="D711" s="218" t="n">
        <v>1</v>
      </c>
      <c r="E711" s="218" t="n"/>
      <c r="F711" s="218" t="n"/>
      <c r="G711" s="218" t="n"/>
      <c r="H711" s="218" t="n"/>
      <c r="I711" s="216" t="n">
        <v>22000</v>
      </c>
      <c r="J711" s="309" t="n">
        <v>22000</v>
      </c>
      <c r="K711" s="309" t="n">
        <v>0</v>
      </c>
      <c r="L711" s="236" t="n">
        <v>7000</v>
      </c>
    </row>
    <row r="712" ht="15" customHeight="1" s="153">
      <c r="A712" s="302" t="inlineStr">
        <is>
          <t>06/03/2026</t>
        </is>
      </c>
      <c r="B712" s="303" t="inlineStr">
        <is>
          <t>Marzo</t>
        </is>
      </c>
      <c r="C712" s="311" t="inlineStr">
        <is>
          <t>ABUELA MARGA</t>
        </is>
      </c>
      <c r="D712" s="225" t="n">
        <v>2</v>
      </c>
      <c r="E712" s="225" t="n"/>
      <c r="F712" s="225" t="n"/>
      <c r="G712" s="225" t="n"/>
      <c r="H712" s="225" t="n"/>
      <c r="I712" s="223" t="n">
        <v>39000</v>
      </c>
      <c r="J712" s="305" t="n">
        <v>39000</v>
      </c>
      <c r="K712" s="305" t="n">
        <v>0</v>
      </c>
      <c r="L712" s="224" t="n">
        <v>9000</v>
      </c>
    </row>
    <row r="713" ht="15" customHeight="1" s="153">
      <c r="A713" s="306" t="inlineStr">
        <is>
          <t>28/02/2026</t>
        </is>
      </c>
      <c r="B713" s="307" t="inlineStr">
        <is>
          <t>Febrero</t>
        </is>
      </c>
      <c r="C713" s="310" t="inlineStr">
        <is>
          <t>ABUELA TUYA</t>
        </is>
      </c>
      <c r="D713" s="218" t="n">
        <v>1</v>
      </c>
      <c r="E713" s="218" t="n"/>
      <c r="F713" s="218" t="n"/>
      <c r="G713" s="218" t="n"/>
      <c r="H713" s="218" t="n"/>
      <c r="I713" s="216" t="n">
        <v>22000</v>
      </c>
      <c r="J713" s="309" t="n">
        <v>22000</v>
      </c>
      <c r="K713" s="309" t="n">
        <v>0</v>
      </c>
      <c r="L713" s="236" t="n">
        <v>7000</v>
      </c>
    </row>
    <row r="714" ht="15" customHeight="1" s="153">
      <c r="A714" s="302" t="inlineStr">
        <is>
          <t>17/02/2026</t>
        </is>
      </c>
      <c r="B714" s="303" t="inlineStr">
        <is>
          <t>Febrero</t>
        </is>
      </c>
      <c r="C714" s="311" t="inlineStr">
        <is>
          <t>ACASIAS 9788</t>
        </is>
      </c>
      <c r="D714" s="225" t="n"/>
      <c r="E714" s="225" t="n"/>
      <c r="F714" s="225" t="n">
        <v>1</v>
      </c>
      <c r="G714" s="225" t="n"/>
      <c r="H714" s="225" t="n"/>
      <c r="I714" s="223" t="n">
        <v>76000</v>
      </c>
      <c r="J714" s="305" t="n">
        <v>0</v>
      </c>
      <c r="K714" s="305" t="n">
        <v>76000</v>
      </c>
      <c r="L714" s="224" t="n">
        <v>16000</v>
      </c>
    </row>
    <row r="715" ht="15" customHeight="1" s="153">
      <c r="A715" s="306" t="inlineStr">
        <is>
          <t>22/01/2026</t>
        </is>
      </c>
      <c r="B715" s="307" t="inlineStr">
        <is>
          <t>Enero</t>
        </is>
      </c>
      <c r="C715" s="310" t="inlineStr">
        <is>
          <t>AGUADO 6970</t>
        </is>
      </c>
      <c r="D715" s="218" t="n">
        <v>1</v>
      </c>
      <c r="E715" s="218" t="n"/>
      <c r="F715" s="218" t="n"/>
      <c r="G715" s="218" t="n"/>
      <c r="H715" s="218" t="n"/>
      <c r="I715" s="216" t="n">
        <v>21000</v>
      </c>
      <c r="J715" s="309" t="n">
        <v>21000</v>
      </c>
      <c r="K715" s="309" t="n">
        <v>0</v>
      </c>
      <c r="L715" s="236" t="n">
        <v>6000</v>
      </c>
    </row>
    <row r="716" ht="15" customHeight="1" s="153">
      <c r="A716" s="302" t="inlineStr">
        <is>
          <t>06/03/2026</t>
        </is>
      </c>
      <c r="B716" s="303" t="inlineStr">
        <is>
          <t>Marzo</t>
        </is>
      </c>
      <c r="C716" s="311" t="inlineStr">
        <is>
          <t>AGUADO 8432</t>
        </is>
      </c>
      <c r="D716" s="225" t="n">
        <v>1</v>
      </c>
      <c r="E716" s="225" t="n"/>
      <c r="F716" s="225" t="n"/>
      <c r="G716" s="225" t="n"/>
      <c r="H716" s="225" t="n"/>
      <c r="I716" s="223" t="n">
        <v>21000</v>
      </c>
      <c r="J716" s="305" t="n">
        <v>21000</v>
      </c>
      <c r="K716" s="305" t="n">
        <v>0</v>
      </c>
      <c r="L716" s="224" t="n">
        <v>6000</v>
      </c>
    </row>
    <row r="717" ht="15" customHeight="1" s="153">
      <c r="A717" s="306" t="inlineStr">
        <is>
          <t>23/02/2026</t>
        </is>
      </c>
      <c r="B717" s="307" t="inlineStr">
        <is>
          <t>Febrero</t>
        </is>
      </c>
      <c r="C717" s="310" t="inlineStr">
        <is>
          <t>AGUADP 6970</t>
        </is>
      </c>
      <c r="D717" s="218" t="n"/>
      <c r="E717" s="218" t="n">
        <v>1</v>
      </c>
      <c r="F717" s="218" t="n"/>
      <c r="G717" s="218" t="n"/>
      <c r="H717" s="218" t="n"/>
      <c r="I717" s="216" t="n">
        <v>32000</v>
      </c>
      <c r="J717" s="309" t="n">
        <v>32000</v>
      </c>
      <c r="K717" s="309" t="n">
        <v>0</v>
      </c>
      <c r="L717" s="236" t="n">
        <v>9500</v>
      </c>
    </row>
    <row r="718" ht="15" customHeight="1" s="153">
      <c r="A718" s="306" t="inlineStr">
        <is>
          <t>10/03/2026</t>
        </is>
      </c>
      <c r="B718" s="307" t="inlineStr">
        <is>
          <t>Marzo</t>
        </is>
      </c>
      <c r="C718" s="310" t="inlineStr">
        <is>
          <t>AGUADP 6970</t>
        </is>
      </c>
      <c r="D718" s="218" t="n">
        <v>1</v>
      </c>
      <c r="E718" s="218" t="n"/>
      <c r="F718" s="218" t="n"/>
      <c r="G718" s="218" t="n"/>
      <c r="H718" s="218" t="n"/>
      <c r="I718" s="216" t="n">
        <v>22000</v>
      </c>
      <c r="J718" s="309" t="n">
        <v>22000</v>
      </c>
      <c r="K718" s="309" t="n">
        <v>0</v>
      </c>
      <c r="L718" s="236" t="n">
        <v>7000</v>
      </c>
    </row>
    <row r="719" ht="15" customHeight="1" s="153">
      <c r="A719" s="302" t="inlineStr">
        <is>
          <t>25/01/2026</t>
        </is>
      </c>
      <c r="B719" s="303" t="inlineStr">
        <is>
          <t>Enero</t>
        </is>
      </c>
      <c r="C719" s="311" t="inlineStr">
        <is>
          <t>AGUAYO 3617</t>
        </is>
      </c>
      <c r="D719" s="225" t="n"/>
      <c r="E719" s="225" t="n">
        <v>1</v>
      </c>
      <c r="F719" s="225" t="n"/>
      <c r="G719" s="225" t="n"/>
      <c r="H719" s="225" t="n"/>
      <c r="I719" s="223" t="n">
        <v>33000</v>
      </c>
      <c r="J719" s="305" t="n">
        <v>33000</v>
      </c>
      <c r="K719" s="305" t="n">
        <v>0</v>
      </c>
      <c r="L719" s="224" t="n">
        <v>10500</v>
      </c>
    </row>
    <row r="720" ht="15" customHeight="1" s="153">
      <c r="A720" s="306" t="inlineStr">
        <is>
          <t>18/01/2026</t>
        </is>
      </c>
      <c r="B720" s="307" t="inlineStr">
        <is>
          <t>Enero</t>
        </is>
      </c>
      <c r="C720" s="310" t="inlineStr">
        <is>
          <t>ALBERDI 4649</t>
        </is>
      </c>
      <c r="D720" s="218" t="n">
        <v>1</v>
      </c>
      <c r="E720" s="218" t="n"/>
      <c r="F720" s="218" t="n"/>
      <c r="G720" s="218" t="n"/>
      <c r="H720" s="218" t="n"/>
      <c r="I720" s="216" t="n">
        <v>21000</v>
      </c>
      <c r="J720" s="309" t="n">
        <v>0</v>
      </c>
      <c r="K720" s="309" t="n">
        <v>21000</v>
      </c>
      <c r="L720" s="236" t="n">
        <v>6000</v>
      </c>
    </row>
    <row r="721" ht="15" customHeight="1" s="153">
      <c r="A721" s="302" t="inlineStr">
        <is>
          <t>26/01/2026</t>
        </is>
      </c>
      <c r="B721" s="303" t="inlineStr">
        <is>
          <t>Enero</t>
        </is>
      </c>
      <c r="C721" s="311" t="inlineStr">
        <is>
          <t>ALBERDI 6449</t>
        </is>
      </c>
      <c r="D721" s="225" t="n">
        <v>1</v>
      </c>
      <c r="E721" s="225" t="n"/>
      <c r="F721" s="225" t="n"/>
      <c r="G721" s="225" t="n"/>
      <c r="H721" s="225" t="n"/>
      <c r="I721" s="223" t="n">
        <v>22000</v>
      </c>
      <c r="J721" s="305" t="n">
        <v>22000</v>
      </c>
      <c r="K721" s="305" t="n">
        <v>0</v>
      </c>
      <c r="L721" s="224" t="n">
        <v>7000</v>
      </c>
    </row>
    <row r="722" ht="15" customHeight="1" s="153">
      <c r="A722" s="306" t="inlineStr">
        <is>
          <t>26/02/2026</t>
        </is>
      </c>
      <c r="B722" s="307" t="inlineStr">
        <is>
          <t>Febrero</t>
        </is>
      </c>
      <c r="C722" s="310" t="inlineStr">
        <is>
          <t>ALBERDI 6533</t>
        </is>
      </c>
      <c r="D722" s="218" t="n">
        <v>1</v>
      </c>
      <c r="E722" s="218" t="n"/>
      <c r="F722" s="218" t="n"/>
      <c r="G722" s="218" t="n"/>
      <c r="H722" s="218" t="n"/>
      <c r="I722" s="216" t="n">
        <v>23000</v>
      </c>
      <c r="J722" s="309" t="n">
        <v>0</v>
      </c>
      <c r="K722" s="309" t="n">
        <v>23000</v>
      </c>
      <c r="L722" s="236" t="n">
        <v>8000</v>
      </c>
    </row>
    <row r="723" ht="15" customHeight="1" s="153">
      <c r="A723" s="302" t="inlineStr">
        <is>
          <t>15/03/2026</t>
        </is>
      </c>
      <c r="B723" s="303" t="inlineStr">
        <is>
          <t>Marzo</t>
        </is>
      </c>
      <c r="C723" s="311" t="inlineStr">
        <is>
          <t>ALBERTI 2865</t>
        </is>
      </c>
      <c r="D723" s="225" t="n">
        <v>1</v>
      </c>
      <c r="E723" s="225" t="n"/>
      <c r="F723" s="225" t="n"/>
      <c r="G723" s="225" t="n"/>
      <c r="H723" s="225" t="n"/>
      <c r="I723" s="223" t="n">
        <v>22500</v>
      </c>
      <c r="J723" s="305" t="n">
        <v>0</v>
      </c>
      <c r="K723" s="305" t="n">
        <v>22500</v>
      </c>
      <c r="L723" s="224" t="n">
        <v>7500</v>
      </c>
    </row>
    <row r="724" ht="15" customHeight="1" s="153">
      <c r="A724" s="306" t="inlineStr">
        <is>
          <t>11/01/2026</t>
        </is>
      </c>
      <c r="B724" s="307" t="inlineStr">
        <is>
          <t>Enero</t>
        </is>
      </c>
      <c r="C724" s="310" t="inlineStr">
        <is>
          <t>ALBERTI 4538</t>
        </is>
      </c>
      <c r="D724" s="218" t="n"/>
      <c r="E724" s="218" t="n">
        <v>1</v>
      </c>
      <c r="F724" s="218" t="n"/>
      <c r="G724" s="218" t="n"/>
      <c r="H724" s="218" t="n"/>
      <c r="I724" s="216" t="n">
        <v>33000</v>
      </c>
      <c r="J724" s="309" t="n">
        <v>0</v>
      </c>
      <c r="K724" s="309" t="n">
        <v>33000</v>
      </c>
      <c r="L724" s="236" t="n">
        <v>10500</v>
      </c>
    </row>
    <row r="725" ht="15" customHeight="1" s="153">
      <c r="A725" s="306" t="inlineStr">
        <is>
          <t>25/03/2026</t>
        </is>
      </c>
      <c r="B725" s="307" t="inlineStr">
        <is>
          <t>Marzo</t>
        </is>
      </c>
      <c r="C725" s="310" t="inlineStr">
        <is>
          <t>ALBERTI 4538</t>
        </is>
      </c>
      <c r="D725" s="218" t="n"/>
      <c r="E725" s="218" t="n">
        <v>1</v>
      </c>
      <c r="F725" s="218" t="n"/>
      <c r="G725" s="218" t="n"/>
      <c r="H725" s="218" t="n"/>
      <c r="I725" s="216" t="n">
        <v>37500</v>
      </c>
      <c r="J725" s="309" t="n">
        <v>37500</v>
      </c>
      <c r="K725" s="309" t="n">
        <v>0</v>
      </c>
      <c r="L725" s="236" t="n">
        <v>15000</v>
      </c>
    </row>
    <row r="726" ht="15" customHeight="1" s="153">
      <c r="A726" s="302" t="inlineStr">
        <is>
          <t>20/01/2026</t>
        </is>
      </c>
      <c r="B726" s="303" t="inlineStr">
        <is>
          <t>Enero</t>
        </is>
      </c>
      <c r="C726" s="311" t="inlineStr">
        <is>
          <t>ALBERTI 4930</t>
        </is>
      </c>
      <c r="D726" s="225" t="n"/>
      <c r="E726" s="225" t="n"/>
      <c r="F726" s="225" t="n"/>
      <c r="G726" s="225" t="n"/>
      <c r="H726" s="225" t="n">
        <v>1</v>
      </c>
      <c r="I726" s="223" t="n">
        <v>5000</v>
      </c>
      <c r="J726" s="305" t="n">
        <v>0</v>
      </c>
      <c r="K726" s="305" t="n">
        <v>0</v>
      </c>
      <c r="L726" s="224" t="n">
        <v>4150</v>
      </c>
    </row>
    <row r="727" ht="15" customHeight="1" s="153">
      <c r="A727" s="302" t="inlineStr">
        <is>
          <t>09/02/2026</t>
        </is>
      </c>
      <c r="B727" s="303" t="inlineStr">
        <is>
          <t>Febrero</t>
        </is>
      </c>
      <c r="C727" s="311" t="inlineStr">
        <is>
          <t>ALBERTI 4930</t>
        </is>
      </c>
      <c r="D727" s="225" t="n"/>
      <c r="E727" s="225" t="n"/>
      <c r="F727" s="225" t="n"/>
      <c r="G727" s="225" t="n"/>
      <c r="H727" s="225" t="n">
        <v>2</v>
      </c>
      <c r="I727" s="223" t="n">
        <v>10000</v>
      </c>
      <c r="J727" s="305" t="n">
        <v>10000</v>
      </c>
      <c r="K727" s="305" t="n">
        <v>0</v>
      </c>
      <c r="L727" s="224" t="n">
        <v>8300</v>
      </c>
    </row>
    <row r="728" ht="15" customHeight="1" s="153">
      <c r="A728" s="302" t="inlineStr">
        <is>
          <t>03/03/2026</t>
        </is>
      </c>
      <c r="B728" s="303" t="inlineStr">
        <is>
          <t>Marzo</t>
        </is>
      </c>
      <c r="C728" s="311" t="inlineStr">
        <is>
          <t>ALBERTI 4930</t>
        </is>
      </c>
      <c r="D728" s="225" t="n"/>
      <c r="E728" s="225" t="n"/>
      <c r="F728" s="225" t="n">
        <v>1</v>
      </c>
      <c r="G728" s="225" t="n"/>
      <c r="H728" s="225" t="n">
        <v>1</v>
      </c>
      <c r="I728" s="223" t="n">
        <v>86000</v>
      </c>
      <c r="J728" s="305" t="n">
        <v>0</v>
      </c>
      <c r="K728" s="305" t="n">
        <v>86000</v>
      </c>
      <c r="L728" s="224" t="n">
        <v>25150</v>
      </c>
    </row>
    <row r="729" ht="15" customHeight="1" s="153">
      <c r="A729" s="302" t="inlineStr">
        <is>
          <t>24/03/2026</t>
        </is>
      </c>
      <c r="B729" s="303" t="inlineStr">
        <is>
          <t>Marzo</t>
        </is>
      </c>
      <c r="C729" s="311" t="inlineStr">
        <is>
          <t>ALBERTI 4930</t>
        </is>
      </c>
      <c r="D729" s="225" t="n"/>
      <c r="E729" s="225" t="n"/>
      <c r="F729" s="225" t="n"/>
      <c r="G729" s="225" t="n"/>
      <c r="H729" s="225" t="n">
        <v>1</v>
      </c>
      <c r="I729" s="223" t="n">
        <v>5000</v>
      </c>
      <c r="J729" s="305" t="n">
        <v>5000</v>
      </c>
      <c r="K729" s="305" t="n">
        <v>0</v>
      </c>
      <c r="L729" s="224" t="n">
        <v>4150</v>
      </c>
    </row>
    <row r="730" ht="15" customHeight="1" s="153">
      <c r="A730" s="306" t="inlineStr">
        <is>
          <t>04/02/2026</t>
        </is>
      </c>
      <c r="B730" s="307" t="inlineStr">
        <is>
          <t>Febrero</t>
        </is>
      </c>
      <c r="C730" s="310" t="inlineStr">
        <is>
          <t>ALBERTI 5122</t>
        </is>
      </c>
      <c r="D730" s="218" t="n"/>
      <c r="E730" s="218" t="n"/>
      <c r="F730" s="218" t="n">
        <v>1</v>
      </c>
      <c r="G730" s="218" t="n"/>
      <c r="H730" s="218" t="n"/>
      <c r="I730" s="216" t="n">
        <v>75000</v>
      </c>
      <c r="J730" s="309" t="n">
        <v>0</v>
      </c>
      <c r="K730" s="309" t="n">
        <v>75000</v>
      </c>
      <c r="L730" s="236" t="n">
        <v>15000</v>
      </c>
    </row>
    <row r="731" ht="15" customHeight="1" s="153">
      <c r="A731" s="302" t="inlineStr">
        <is>
          <t>19/01/2026</t>
        </is>
      </c>
      <c r="B731" s="303" t="inlineStr">
        <is>
          <t>Febrero</t>
        </is>
      </c>
      <c r="C731" s="311" t="inlineStr">
        <is>
          <t>ALBERTI 5177</t>
        </is>
      </c>
      <c r="D731" s="225" t="n"/>
      <c r="E731" s="225" t="n">
        <v>1</v>
      </c>
      <c r="F731" s="225" t="n"/>
      <c r="G731" s="225" t="n"/>
      <c r="H731" s="225" t="n"/>
      <c r="I731" s="223" t="n">
        <v>31000</v>
      </c>
      <c r="J731" s="305" t="n">
        <v>0</v>
      </c>
      <c r="K731" s="305" t="n">
        <v>31000</v>
      </c>
      <c r="L731" s="224" t="n">
        <v>8500</v>
      </c>
    </row>
    <row r="732" ht="15" customHeight="1" s="153">
      <c r="A732" s="306" t="inlineStr">
        <is>
          <t>03/03/2026</t>
        </is>
      </c>
      <c r="B732" s="307" t="inlineStr">
        <is>
          <t>Marzo</t>
        </is>
      </c>
      <c r="C732" s="310" t="inlineStr">
        <is>
          <t>ALBERTI 5200</t>
        </is>
      </c>
      <c r="D732" s="218" t="n">
        <v>1</v>
      </c>
      <c r="E732" s="218" t="n"/>
      <c r="F732" s="218" t="n"/>
      <c r="G732" s="218" t="n"/>
      <c r="H732" s="218" t="n"/>
      <c r="I732" s="216" t="n">
        <v>20000</v>
      </c>
      <c r="J732" s="309" t="n">
        <v>0</v>
      </c>
      <c r="K732" s="309" t="n">
        <v>20000</v>
      </c>
      <c r="L732" s="236" t="n">
        <v>5000</v>
      </c>
    </row>
    <row r="733" ht="15" customHeight="1" s="153">
      <c r="A733" s="302" t="inlineStr">
        <is>
          <t>28/01/2026</t>
        </is>
      </c>
      <c r="B733" s="303" t="inlineStr">
        <is>
          <t>Enero</t>
        </is>
      </c>
      <c r="C733" s="311" t="inlineStr">
        <is>
          <t>ALBERTI 5251</t>
        </is>
      </c>
      <c r="D733" s="225" t="n">
        <v>1</v>
      </c>
      <c r="E733" s="225" t="n"/>
      <c r="F733" s="225" t="n"/>
      <c r="G733" s="225" t="n"/>
      <c r="H733" s="225" t="n"/>
      <c r="I733" s="223" t="n">
        <v>21000</v>
      </c>
      <c r="J733" s="305" t="n">
        <v>21000</v>
      </c>
      <c r="K733" s="305" t="n">
        <v>0</v>
      </c>
      <c r="L733" s="224" t="n">
        <v>6000</v>
      </c>
    </row>
    <row r="734" ht="15" customHeight="1" s="153">
      <c r="A734" s="302" t="inlineStr">
        <is>
          <t>03/03/2026</t>
        </is>
      </c>
      <c r="B734" s="303" t="inlineStr">
        <is>
          <t>Marzo</t>
        </is>
      </c>
      <c r="C734" s="311" t="inlineStr">
        <is>
          <t>ALBERTI 5251</t>
        </is>
      </c>
      <c r="D734" s="225" t="n">
        <v>1</v>
      </c>
      <c r="E734" s="225" t="n"/>
      <c r="F734" s="225" t="n"/>
      <c r="G734" s="225" t="n"/>
      <c r="H734" s="225" t="n"/>
      <c r="I734" s="223" t="n">
        <v>21000</v>
      </c>
      <c r="J734" s="305" t="n">
        <v>21000</v>
      </c>
      <c r="K734" s="305" t="n">
        <v>0</v>
      </c>
      <c r="L734" s="224" t="n">
        <v>6000</v>
      </c>
    </row>
    <row r="735" ht="15" customHeight="1" s="153">
      <c r="A735" s="306" t="inlineStr">
        <is>
          <t>24/02/2026</t>
        </is>
      </c>
      <c r="B735" s="307" t="inlineStr">
        <is>
          <t>Febrero</t>
        </is>
      </c>
      <c r="C735" s="310" t="inlineStr">
        <is>
          <t>ALBERTI 5298</t>
        </is>
      </c>
      <c r="D735" s="218" t="n">
        <v>2</v>
      </c>
      <c r="E735" s="218" t="n"/>
      <c r="F735" s="218" t="n"/>
      <c r="G735" s="218" t="n"/>
      <c r="H735" s="218" t="n"/>
      <c r="I735" s="216" t="n">
        <v>34000</v>
      </c>
      <c r="J735" s="309" t="n">
        <v>0</v>
      </c>
      <c r="K735" s="309" t="n">
        <v>34000</v>
      </c>
      <c r="L735" s="236" t="n">
        <v>4000</v>
      </c>
    </row>
    <row r="736" ht="15" customHeight="1" s="153">
      <c r="A736" s="302" t="inlineStr">
        <is>
          <t>04/02/2026</t>
        </is>
      </c>
      <c r="B736" s="303" t="inlineStr">
        <is>
          <t>Febrero</t>
        </is>
      </c>
      <c r="C736" s="311" t="inlineStr">
        <is>
          <t>ALBERTI 5303</t>
        </is>
      </c>
      <c r="D736" s="225" t="n">
        <v>1</v>
      </c>
      <c r="E736" s="225" t="n"/>
      <c r="F736" s="225" t="n"/>
      <c r="G736" s="225" t="n"/>
      <c r="H736" s="225" t="n"/>
      <c r="I736" s="223" t="n">
        <v>21000</v>
      </c>
      <c r="J736" s="305" t="n">
        <v>21000</v>
      </c>
      <c r="K736" s="305" t="n">
        <v>0</v>
      </c>
      <c r="L736" s="224" t="n">
        <v>6000</v>
      </c>
    </row>
    <row r="737" ht="15" customHeight="1" s="153">
      <c r="A737" s="306" t="inlineStr">
        <is>
          <t>04/04/2026</t>
        </is>
      </c>
      <c r="B737" s="307" t="inlineStr">
        <is>
          <t>Abril</t>
        </is>
      </c>
      <c r="C737" s="310" t="inlineStr">
        <is>
          <t>ALBERTI 5315</t>
        </is>
      </c>
      <c r="D737" s="218" t="n"/>
      <c r="E737" s="218" t="n"/>
      <c r="F737" s="218" t="n">
        <v>1</v>
      </c>
      <c r="G737" s="218" t="n"/>
      <c r="H737" s="218" t="n"/>
      <c r="I737" s="216" t="n">
        <v>80000</v>
      </c>
      <c r="J737" s="309" t="n">
        <v>0</v>
      </c>
      <c r="K737" s="309" t="n">
        <v>80000</v>
      </c>
      <c r="L737" s="236" t="n">
        <v>20000</v>
      </c>
    </row>
    <row r="738" ht="15" customHeight="1" s="153">
      <c r="A738" s="302" t="inlineStr">
        <is>
          <t>17/02/2026</t>
        </is>
      </c>
      <c r="B738" s="303" t="inlineStr">
        <is>
          <t>Febrero</t>
        </is>
      </c>
      <c r="C738" s="311" t="inlineStr">
        <is>
          <t>ALBERTI 5477</t>
        </is>
      </c>
      <c r="D738" s="225" t="n"/>
      <c r="E738" s="225" t="n"/>
      <c r="F738" s="225" t="n">
        <v>1</v>
      </c>
      <c r="G738" s="225" t="n"/>
      <c r="H738" s="225" t="n"/>
      <c r="I738" s="223" t="n">
        <v>72000</v>
      </c>
      <c r="J738" s="305" t="n">
        <v>0</v>
      </c>
      <c r="K738" s="305" t="n">
        <v>72000</v>
      </c>
      <c r="L738" s="224" t="n">
        <v>12000</v>
      </c>
    </row>
    <row r="739" ht="15" customHeight="1" s="153">
      <c r="A739" s="306" t="inlineStr">
        <is>
          <t>01/04/2026</t>
        </is>
      </c>
      <c r="B739" s="307" t="inlineStr">
        <is>
          <t>Abril</t>
        </is>
      </c>
      <c r="C739" s="310" t="inlineStr">
        <is>
          <t>ALBERTI 5570</t>
        </is>
      </c>
      <c r="D739" s="218" t="n"/>
      <c r="E739" s="218" t="n"/>
      <c r="F739" s="218" t="n">
        <v>2</v>
      </c>
      <c r="G739" s="218" t="n"/>
      <c r="H739" s="218" t="n"/>
      <c r="I739" s="216" t="n">
        <v>166000</v>
      </c>
      <c r="J739" s="309" t="n">
        <v>0</v>
      </c>
      <c r="K739" s="309" t="n">
        <v>166000</v>
      </c>
      <c r="L739" s="236" t="n">
        <v>46000</v>
      </c>
    </row>
    <row r="740" ht="15" customHeight="1" s="153">
      <c r="A740" s="302" t="inlineStr">
        <is>
          <t>09/04/2026</t>
        </is>
      </c>
      <c r="B740" s="303" t="inlineStr">
        <is>
          <t>Abril</t>
        </is>
      </c>
      <c r="C740" s="311" t="inlineStr">
        <is>
          <t>ALBERTI Y GABOTO</t>
        </is>
      </c>
      <c r="D740" s="225" t="n">
        <v>3</v>
      </c>
      <c r="E740" s="225" t="n"/>
      <c r="F740" s="225" t="n"/>
      <c r="G740" s="225" t="n"/>
      <c r="H740" s="225" t="n"/>
      <c r="I740" s="223" t="n">
        <v>57000</v>
      </c>
      <c r="J740" s="305" t="n">
        <v>57000</v>
      </c>
      <c r="K740" s="305" t="n">
        <v>0</v>
      </c>
      <c r="L740" s="224" t="n">
        <v>12000</v>
      </c>
    </row>
    <row r="741" ht="15" customHeight="1" s="153">
      <c r="A741" s="306" t="inlineStr">
        <is>
          <t>15/01/2026</t>
        </is>
      </c>
      <c r="B741" s="307" t="inlineStr">
        <is>
          <t>Enero</t>
        </is>
      </c>
      <c r="C741" s="310" t="inlineStr">
        <is>
          <t>ALE</t>
        </is>
      </c>
      <c r="D741" s="218" t="n"/>
      <c r="E741" s="218" t="n"/>
      <c r="F741" s="218" t="n"/>
      <c r="G741" s="218" t="n"/>
      <c r="H741" s="218" t="n">
        <v>1</v>
      </c>
      <c r="I741" s="216" t="n">
        <v>5000</v>
      </c>
      <c r="J741" s="309" t="n">
        <v>5000</v>
      </c>
      <c r="K741" s="309" t="n">
        <v>0</v>
      </c>
      <c r="L741" s="236" t="n">
        <v>4150</v>
      </c>
    </row>
    <row r="742" ht="15" customHeight="1" s="153">
      <c r="A742" s="306" t="inlineStr">
        <is>
          <t>18/04/2026</t>
        </is>
      </c>
      <c r="B742" s="307" t="inlineStr">
        <is>
          <t>Abril</t>
        </is>
      </c>
      <c r="C742" s="310" t="inlineStr">
        <is>
          <t>ALE</t>
        </is>
      </c>
      <c r="D742" s="218" t="n"/>
      <c r="E742" s="218" t="n"/>
      <c r="F742" s="218" t="n"/>
      <c r="G742" s="218" t="n"/>
      <c r="H742" s="218" t="n">
        <v>1</v>
      </c>
      <c r="I742" s="216" t="n">
        <v>6000</v>
      </c>
      <c r="J742" s="309" t="n">
        <v>6000</v>
      </c>
      <c r="K742" s="309" t="n">
        <v>0</v>
      </c>
      <c r="L742" s="236" t="n">
        <v>5150</v>
      </c>
    </row>
    <row r="743" ht="15" customHeight="1" s="153">
      <c r="A743" s="302" t="inlineStr">
        <is>
          <t>10/02/2026</t>
        </is>
      </c>
      <c r="B743" s="303" t="inlineStr">
        <is>
          <t>Febrero</t>
        </is>
      </c>
      <c r="C743" s="311" t="inlineStr">
        <is>
          <t>ALE RUIZ</t>
        </is>
      </c>
      <c r="D743" s="225" t="n"/>
      <c r="E743" s="225" t="n"/>
      <c r="F743" s="225" t="n"/>
      <c r="G743" s="225" t="n"/>
      <c r="H743" s="225" t="n">
        <v>1</v>
      </c>
      <c r="I743" s="223" t="n">
        <v>5000</v>
      </c>
      <c r="J743" s="305" t="n">
        <v>5000</v>
      </c>
      <c r="K743" s="305" t="n">
        <v>0</v>
      </c>
      <c r="L743" s="224" t="n">
        <v>4150</v>
      </c>
    </row>
    <row r="744" ht="15" customHeight="1" s="153">
      <c r="A744" s="302" t="inlineStr">
        <is>
          <t>06/03/2026</t>
        </is>
      </c>
      <c r="B744" s="303" t="inlineStr">
        <is>
          <t>Marzo</t>
        </is>
      </c>
      <c r="C744" s="311" t="inlineStr">
        <is>
          <t>ALE RUIZ</t>
        </is>
      </c>
      <c r="D744" s="225" t="n"/>
      <c r="E744" s="225" t="n"/>
      <c r="F744" s="225" t="n"/>
      <c r="G744" s="225" t="n"/>
      <c r="H744" s="225" t="n">
        <v>1</v>
      </c>
      <c r="I744" s="223" t="n">
        <v>5000</v>
      </c>
      <c r="J744" s="305" t="n">
        <v>5000</v>
      </c>
      <c r="K744" s="305" t="n">
        <v>0</v>
      </c>
      <c r="L744" s="224" t="n">
        <v>4150</v>
      </c>
    </row>
    <row r="745" ht="15" customHeight="1" s="153">
      <c r="A745" s="306" t="inlineStr">
        <is>
          <t>23/01/2026</t>
        </is>
      </c>
      <c r="B745" s="307" t="inlineStr">
        <is>
          <t>Enero</t>
        </is>
      </c>
      <c r="C745" s="310" t="inlineStr">
        <is>
          <t>ALELIES 10358</t>
        </is>
      </c>
      <c r="D745" s="218" t="n"/>
      <c r="E745" s="218" t="n"/>
      <c r="F745" s="218" t="n">
        <v>1</v>
      </c>
      <c r="G745" s="218" t="n"/>
      <c r="H745" s="218" t="n"/>
      <c r="I745" s="216" t="n">
        <v>73000</v>
      </c>
      <c r="J745" s="309" t="n">
        <v>73000</v>
      </c>
      <c r="K745" s="309" t="n">
        <v>0</v>
      </c>
      <c r="L745" s="236" t="n">
        <v>13000</v>
      </c>
    </row>
    <row r="746" ht="15" customHeight="1" s="153">
      <c r="A746" s="302" t="inlineStr">
        <is>
          <t>23/01/2026</t>
        </is>
      </c>
      <c r="B746" s="303" t="inlineStr">
        <is>
          <t>Enero</t>
        </is>
      </c>
      <c r="C746" s="311" t="inlineStr">
        <is>
          <t>ALFEREZ MOREIRA 1845</t>
        </is>
      </c>
      <c r="D746" s="225" t="n"/>
      <c r="E746" s="225" t="n"/>
      <c r="F746" s="225" t="n">
        <v>1</v>
      </c>
      <c r="G746" s="225" t="n"/>
      <c r="H746" s="225" t="n"/>
      <c r="I746" s="223" t="n">
        <v>72000</v>
      </c>
      <c r="J746" s="305" t="n">
        <v>0</v>
      </c>
      <c r="K746" s="305" t="n">
        <v>72000</v>
      </c>
      <c r="L746" s="224" t="n">
        <v>12000</v>
      </c>
    </row>
    <row r="747" ht="15" customHeight="1" s="153">
      <c r="A747" s="306" t="inlineStr">
        <is>
          <t>04/01/2026</t>
        </is>
      </c>
      <c r="B747" s="307" t="inlineStr">
        <is>
          <t>Enero</t>
        </is>
      </c>
      <c r="C747" s="310" t="inlineStr">
        <is>
          <t>ALISOS 5837</t>
        </is>
      </c>
      <c r="D747" s="218" t="n">
        <v>1</v>
      </c>
      <c r="E747" s="218" t="n"/>
      <c r="F747" s="218" t="n"/>
      <c r="G747" s="218" t="n"/>
      <c r="H747" s="218" t="n"/>
      <c r="I747" s="216" t="n">
        <v>139500</v>
      </c>
      <c r="J747" s="309" t="n">
        <v>0</v>
      </c>
      <c r="K747" s="309" t="n">
        <v>139500</v>
      </c>
      <c r="L747" s="236" t="n">
        <v>124500</v>
      </c>
    </row>
    <row r="748" ht="15" customHeight="1" s="153">
      <c r="A748" s="302" t="inlineStr">
        <is>
          <t>25/03/2026</t>
        </is>
      </c>
      <c r="B748" s="303" t="inlineStr">
        <is>
          <t>Marzo</t>
        </is>
      </c>
      <c r="C748" s="311" t="inlineStr">
        <is>
          <t>ALMOMACID 4615</t>
        </is>
      </c>
      <c r="D748" s="225" t="n"/>
      <c r="E748" s="225" t="n">
        <v>1</v>
      </c>
      <c r="F748" s="225" t="n"/>
      <c r="G748" s="225" t="n"/>
      <c r="H748" s="225" t="n"/>
      <c r="I748" s="223" t="n">
        <v>37500</v>
      </c>
      <c r="J748" s="305" t="n">
        <v>0</v>
      </c>
      <c r="K748" s="305" t="n">
        <v>37500</v>
      </c>
      <c r="L748" s="224" t="n">
        <v>15000</v>
      </c>
    </row>
    <row r="749" ht="15" customHeight="1" s="153">
      <c r="A749" s="306" t="inlineStr">
        <is>
          <t>03/03/2026</t>
        </is>
      </c>
      <c r="B749" s="307" t="inlineStr">
        <is>
          <t>Marzo</t>
        </is>
      </c>
      <c r="C749" s="310" t="inlineStr">
        <is>
          <t>ALMONACID 3637</t>
        </is>
      </c>
      <c r="D749" s="218" t="n">
        <v>1</v>
      </c>
      <c r="E749" s="218" t="n"/>
      <c r="F749" s="218" t="n"/>
      <c r="G749" s="218" t="n"/>
      <c r="H749" s="218" t="n"/>
      <c r="I749" s="216" t="n">
        <v>21000</v>
      </c>
      <c r="J749" s="309" t="n">
        <v>21000</v>
      </c>
      <c r="K749" s="309" t="n">
        <v>0</v>
      </c>
      <c r="L749" s="236" t="n">
        <v>6000</v>
      </c>
    </row>
    <row r="750" ht="15" customHeight="1" s="153">
      <c r="A750" s="302" t="inlineStr">
        <is>
          <t>19/04/2026</t>
        </is>
      </c>
      <c r="B750" s="303" t="inlineStr">
        <is>
          <t>Abril</t>
        </is>
      </c>
      <c r="C750" s="311" t="inlineStr">
        <is>
          <t>ALMONACID 4248</t>
        </is>
      </c>
      <c r="D750" s="225" t="n">
        <v>1</v>
      </c>
      <c r="E750" s="225" t="n"/>
      <c r="F750" s="225" t="n"/>
      <c r="G750" s="225" t="n"/>
      <c r="H750" s="225" t="n"/>
      <c r="I750" s="223" t="n">
        <v>26000</v>
      </c>
      <c r="J750" s="305" t="n">
        <v>26000</v>
      </c>
      <c r="K750" s="305" t="n">
        <v>0</v>
      </c>
      <c r="L750" s="224" t="n">
        <v>11000</v>
      </c>
    </row>
    <row r="751" ht="15" customHeight="1" s="153">
      <c r="A751" s="306" t="inlineStr">
        <is>
          <t>01/03/2026</t>
        </is>
      </c>
      <c r="B751" s="307" t="inlineStr">
        <is>
          <t>Marzo</t>
        </is>
      </c>
      <c r="C751" s="310" t="inlineStr">
        <is>
          <t>ALSINA 6550</t>
        </is>
      </c>
      <c r="D751" s="218" t="n"/>
      <c r="E751" s="218" t="n">
        <v>1</v>
      </c>
      <c r="F751" s="218" t="n"/>
      <c r="G751" s="218" t="n"/>
      <c r="H751" s="218" t="n"/>
      <c r="I751" s="216" t="n">
        <v>33000</v>
      </c>
      <c r="J751" s="309" t="n">
        <v>33000</v>
      </c>
      <c r="K751" s="309" t="n">
        <v>0</v>
      </c>
      <c r="L751" s="236" t="n">
        <v>10500</v>
      </c>
    </row>
    <row r="752" ht="15" customHeight="1" s="153">
      <c r="A752" s="302" t="inlineStr">
        <is>
          <t>22/04/2026</t>
        </is>
      </c>
      <c r="B752" s="303" t="inlineStr">
        <is>
          <t>Abril</t>
        </is>
      </c>
      <c r="C752" s="311" t="inlineStr">
        <is>
          <t>ALSINA 6601</t>
        </is>
      </c>
      <c r="D752" s="225" t="n"/>
      <c r="E752" s="225" t="n"/>
      <c r="F752" s="225" t="n">
        <v>1</v>
      </c>
      <c r="G752" s="225" t="n"/>
      <c r="H752" s="225" t="n"/>
      <c r="I752" s="223" t="n">
        <v>80000</v>
      </c>
      <c r="J752" s="305" t="n">
        <v>0</v>
      </c>
      <c r="K752" s="305" t="n">
        <v>80000</v>
      </c>
      <c r="L752" s="224" t="n">
        <v>20000</v>
      </c>
    </row>
    <row r="753" ht="15" customHeight="1" s="153">
      <c r="A753" s="306" t="inlineStr">
        <is>
          <t>10/04/2026</t>
        </is>
      </c>
      <c r="B753" s="307" t="inlineStr">
        <is>
          <t>Abril</t>
        </is>
      </c>
      <c r="C753" s="310" t="inlineStr">
        <is>
          <t>ALSINA 6671</t>
        </is>
      </c>
      <c r="D753" s="218" t="n">
        <v>1</v>
      </c>
      <c r="E753" s="218" t="n"/>
      <c r="F753" s="218" t="n"/>
      <c r="G753" s="218" t="n"/>
      <c r="H753" s="218" t="n"/>
      <c r="I753" s="216" t="n">
        <v>26000</v>
      </c>
      <c r="J753" s="309" t="n">
        <v>26000</v>
      </c>
      <c r="K753" s="309" t="n">
        <v>0</v>
      </c>
      <c r="L753" s="236" t="n">
        <v>11000</v>
      </c>
    </row>
    <row r="754" ht="15" customHeight="1" s="153">
      <c r="A754" s="302" t="inlineStr">
        <is>
          <t>19/01/2026</t>
        </is>
      </c>
      <c r="B754" s="303" t="inlineStr">
        <is>
          <t>Febrero</t>
        </is>
      </c>
      <c r="C754" s="311" t="inlineStr">
        <is>
          <t>ALSINA 7980</t>
        </is>
      </c>
      <c r="D754" s="225" t="n">
        <v>1</v>
      </c>
      <c r="E754" s="225" t="n"/>
      <c r="F754" s="225" t="n"/>
      <c r="G754" s="225" t="n"/>
      <c r="H754" s="225" t="n"/>
      <c r="I754" s="223" t="n">
        <v>22000</v>
      </c>
      <c r="J754" s="305" t="n">
        <v>22000</v>
      </c>
      <c r="K754" s="305" t="n">
        <v>0</v>
      </c>
      <c r="L754" s="224" t="n">
        <v>7000</v>
      </c>
    </row>
    <row r="755" ht="15" customHeight="1" s="153">
      <c r="A755" s="306" t="inlineStr">
        <is>
          <t>17/01/2026</t>
        </is>
      </c>
      <c r="B755" s="307" t="inlineStr">
        <is>
          <t>Enero</t>
        </is>
      </c>
      <c r="C755" s="310" t="inlineStr">
        <is>
          <t>ALSINA 7981</t>
        </is>
      </c>
      <c r="D755" s="218" t="n"/>
      <c r="E755" s="218" t="n"/>
      <c r="F755" s="218" t="n">
        <v>1</v>
      </c>
      <c r="G755" s="218" t="n"/>
      <c r="H755" s="218" t="n"/>
      <c r="I755" s="216" t="n">
        <v>77000</v>
      </c>
      <c r="J755" s="309" t="n">
        <v>0</v>
      </c>
      <c r="K755" s="309" t="n">
        <v>77000</v>
      </c>
      <c r="L755" s="236" t="n">
        <v>17000</v>
      </c>
    </row>
    <row r="756" ht="15" customHeight="1" s="153">
      <c r="A756" s="302" t="inlineStr">
        <is>
          <t>13/02/2026</t>
        </is>
      </c>
      <c r="B756" s="303" t="inlineStr">
        <is>
          <t>Febrero</t>
        </is>
      </c>
      <c r="C756" s="311" t="inlineStr">
        <is>
          <t>ALSINA 9251</t>
        </is>
      </c>
      <c r="D756" s="225" t="n"/>
      <c r="E756" s="225" t="n"/>
      <c r="F756" s="225" t="n">
        <v>1</v>
      </c>
      <c r="G756" s="225" t="n"/>
      <c r="H756" s="225" t="n"/>
      <c r="I756" s="223" t="n">
        <v>77000</v>
      </c>
      <c r="J756" s="305" t="n">
        <v>77000</v>
      </c>
      <c r="K756" s="305" t="n">
        <v>0</v>
      </c>
      <c r="L756" s="224" t="n">
        <v>17000</v>
      </c>
    </row>
    <row r="757" ht="15" customHeight="1" s="153">
      <c r="A757" s="302" t="inlineStr">
        <is>
          <t>23/03/2026</t>
        </is>
      </c>
      <c r="B757" s="303" t="inlineStr">
        <is>
          <t>Marzo</t>
        </is>
      </c>
      <c r="C757" s="311" t="inlineStr">
        <is>
          <t>ALSINA 9251</t>
        </is>
      </c>
      <c r="D757" s="225" t="n">
        <v>1</v>
      </c>
      <c r="E757" s="225" t="n"/>
      <c r="F757" s="225" t="n">
        <v>1</v>
      </c>
      <c r="G757" s="225" t="n"/>
      <c r="H757" s="225" t="n"/>
      <c r="I757" s="223" t="n">
        <v>103000</v>
      </c>
      <c r="J757" s="305" t="n">
        <v>103000</v>
      </c>
      <c r="K757" s="305" t="n">
        <v>0</v>
      </c>
      <c r="L757" s="224" t="n">
        <v>28000</v>
      </c>
    </row>
    <row r="758" ht="15" customHeight="1" s="153">
      <c r="A758" s="306" t="inlineStr">
        <is>
          <t>11/03/2026</t>
        </is>
      </c>
      <c r="B758" s="307" t="inlineStr">
        <is>
          <t>Marzo</t>
        </is>
      </c>
      <c r="C758" s="310" t="inlineStr">
        <is>
          <t>ALSINA 9348</t>
        </is>
      </c>
      <c r="D758" s="218" t="n">
        <v>2</v>
      </c>
      <c r="E758" s="218" t="n"/>
      <c r="F758" s="218" t="n"/>
      <c r="G758" s="218" t="n"/>
      <c r="H758" s="218" t="n"/>
      <c r="I758" s="216" t="n">
        <v>44000</v>
      </c>
      <c r="J758" s="309" t="n">
        <v>0</v>
      </c>
      <c r="K758" s="309" t="n">
        <v>44000</v>
      </c>
      <c r="L758" s="236" t="n">
        <v>14000</v>
      </c>
    </row>
    <row r="759" ht="15" customHeight="1" s="153">
      <c r="A759" s="302" t="inlineStr">
        <is>
          <t>10/01/2026</t>
        </is>
      </c>
      <c r="B759" s="303" t="inlineStr">
        <is>
          <t>Enero</t>
        </is>
      </c>
      <c r="C759" s="311" t="inlineStr">
        <is>
          <t>ALSUNA 7980</t>
        </is>
      </c>
      <c r="D759" s="225" t="n">
        <v>1</v>
      </c>
      <c r="E759" s="225" t="n"/>
      <c r="F759" s="225" t="n"/>
      <c r="G759" s="225" t="n"/>
      <c r="H759" s="225" t="n"/>
      <c r="I759" s="223" t="n">
        <v>22000</v>
      </c>
      <c r="J759" s="305" t="n">
        <v>22000</v>
      </c>
      <c r="K759" s="305" t="n">
        <v>0</v>
      </c>
      <c r="L759" s="224" t="n">
        <v>7000</v>
      </c>
    </row>
    <row r="760" ht="15" customHeight="1" s="153">
      <c r="A760" s="306" t="inlineStr">
        <is>
          <t>23/03/2026</t>
        </is>
      </c>
      <c r="B760" s="307" t="inlineStr">
        <is>
          <t>Marzo</t>
        </is>
      </c>
      <c r="C760" s="310" t="inlineStr">
        <is>
          <t>ALVEAR 5135</t>
        </is>
      </c>
      <c r="D760" s="218" t="n"/>
      <c r="E760" s="218" t="n"/>
      <c r="F760" s="218" t="n">
        <v>1</v>
      </c>
      <c r="G760" s="218" t="n"/>
      <c r="H760" s="218" t="n"/>
      <c r="I760" s="216" t="n">
        <v>83000</v>
      </c>
      <c r="J760" s="309" t="n">
        <v>0</v>
      </c>
      <c r="K760" s="309" t="n">
        <v>83000</v>
      </c>
      <c r="L760" s="236" t="n">
        <v>23000</v>
      </c>
    </row>
    <row r="761" ht="15" customHeight="1" s="153">
      <c r="A761" s="302" t="inlineStr">
        <is>
          <t>28/02/2026</t>
        </is>
      </c>
      <c r="B761" s="303" t="inlineStr">
        <is>
          <t>Febrero</t>
        </is>
      </c>
      <c r="C761" s="311" t="inlineStr">
        <is>
          <t>ALVEAR 5259</t>
        </is>
      </c>
      <c r="D761" s="225" t="n">
        <v>1</v>
      </c>
      <c r="E761" s="225" t="n"/>
      <c r="F761" s="225" t="n"/>
      <c r="G761" s="225" t="n"/>
      <c r="H761" s="225" t="n"/>
      <c r="I761" s="223" t="n">
        <v>21000</v>
      </c>
      <c r="J761" s="305" t="n">
        <v>21000</v>
      </c>
      <c r="K761" s="305" t="n">
        <v>0</v>
      </c>
      <c r="L761" s="224" t="n">
        <v>6000</v>
      </c>
    </row>
    <row r="762" ht="15" customHeight="1" s="153">
      <c r="A762" s="306" t="inlineStr">
        <is>
          <t>26/01/2026</t>
        </is>
      </c>
      <c r="B762" s="307" t="inlineStr">
        <is>
          <t>Enero</t>
        </is>
      </c>
      <c r="C762" s="310" t="inlineStr">
        <is>
          <t>ALVEAR 8278</t>
        </is>
      </c>
      <c r="D762" s="218" t="n"/>
      <c r="E762" s="218" t="n"/>
      <c r="F762" s="218" t="n">
        <v>1</v>
      </c>
      <c r="G762" s="218" t="n"/>
      <c r="H762" s="218" t="n"/>
      <c r="I762" s="216" t="n">
        <v>75000</v>
      </c>
      <c r="J762" s="309" t="n">
        <v>0</v>
      </c>
      <c r="K762" s="309" t="n">
        <v>75000</v>
      </c>
      <c r="L762" s="236" t="n">
        <v>15000</v>
      </c>
    </row>
    <row r="763" ht="15" customHeight="1" s="153">
      <c r="A763" s="302" t="inlineStr">
        <is>
          <t>09/01/2026</t>
        </is>
      </c>
      <c r="B763" s="303" t="inlineStr">
        <is>
          <t>Enero</t>
        </is>
      </c>
      <c r="C763" s="311" t="inlineStr">
        <is>
          <t>ANA ABDALA</t>
        </is>
      </c>
      <c r="D763" s="225" t="n">
        <v>1</v>
      </c>
      <c r="E763" s="225" t="n"/>
      <c r="F763" s="225" t="n"/>
      <c r="G763" s="225" t="n"/>
      <c r="H763" s="225" t="n"/>
      <c r="I763" s="223" t="n">
        <v>22000</v>
      </c>
      <c r="J763" s="305" t="n">
        <v>22000</v>
      </c>
      <c r="K763" s="305" t="n">
        <v>0</v>
      </c>
      <c r="L763" s="224" t="n">
        <v>7000</v>
      </c>
    </row>
    <row r="764" ht="15" customHeight="1" s="153">
      <c r="A764" s="302" t="inlineStr">
        <is>
          <t>11/02/2026</t>
        </is>
      </c>
      <c r="B764" s="303" t="inlineStr">
        <is>
          <t>Febrero</t>
        </is>
      </c>
      <c r="C764" s="311" t="inlineStr">
        <is>
          <t>ANA ABDALA</t>
        </is>
      </c>
      <c r="D764" s="225" t="n">
        <v>1</v>
      </c>
      <c r="E764" s="225" t="n"/>
      <c r="F764" s="225" t="n"/>
      <c r="G764" s="225" t="n"/>
      <c r="H764" s="225" t="n"/>
      <c r="I764" s="223" t="n">
        <v>22000</v>
      </c>
      <c r="J764" s="305" t="n">
        <v>0</v>
      </c>
      <c r="K764" s="305" t="n">
        <v>22000</v>
      </c>
      <c r="L764" s="224" t="n">
        <v>7000</v>
      </c>
    </row>
    <row r="765" ht="15" customHeight="1" s="153">
      <c r="A765" s="302" t="inlineStr">
        <is>
          <t>07/03/2026</t>
        </is>
      </c>
      <c r="B765" s="303" t="inlineStr">
        <is>
          <t>Marzo</t>
        </is>
      </c>
      <c r="C765" s="311" t="inlineStr">
        <is>
          <t>ANA ABDALA</t>
        </is>
      </c>
      <c r="D765" s="225" t="n">
        <v>1</v>
      </c>
      <c r="E765" s="225" t="n"/>
      <c r="F765" s="225" t="n"/>
      <c r="G765" s="225" t="n"/>
      <c r="H765" s="225" t="n"/>
      <c r="I765" s="223" t="n">
        <v>23000</v>
      </c>
      <c r="J765" s="305" t="n">
        <v>23000</v>
      </c>
      <c r="K765" s="305" t="n">
        <v>0</v>
      </c>
      <c r="L765" s="224" t="n">
        <v>8000</v>
      </c>
    </row>
    <row r="766" ht="15" customHeight="1" s="153">
      <c r="A766" s="302" t="inlineStr">
        <is>
          <t>08/04/2026</t>
        </is>
      </c>
      <c r="B766" s="303" t="inlineStr">
        <is>
          <t>Abril</t>
        </is>
      </c>
      <c r="C766" s="311" t="inlineStr">
        <is>
          <t>ANA ABDALA</t>
        </is>
      </c>
      <c r="D766" s="225" t="n">
        <v>1</v>
      </c>
      <c r="E766" s="225" t="n"/>
      <c r="F766" s="225" t="n"/>
      <c r="G766" s="225" t="n"/>
      <c r="H766" s="225" t="n"/>
      <c r="I766" s="223" t="n">
        <v>27000</v>
      </c>
      <c r="J766" s="305" t="n">
        <v>0</v>
      </c>
      <c r="K766" s="305" t="n">
        <v>27000</v>
      </c>
      <c r="L766" s="224" t="n">
        <v>12000</v>
      </c>
    </row>
    <row r="767" ht="15" customHeight="1" s="153">
      <c r="A767" s="302" t="inlineStr">
        <is>
          <t>21/04/2026</t>
        </is>
      </c>
      <c r="B767" s="303" t="inlineStr">
        <is>
          <t>Abril</t>
        </is>
      </c>
      <c r="C767" s="311" t="inlineStr">
        <is>
          <t>ANA ABDALA</t>
        </is>
      </c>
      <c r="D767" s="225" t="n">
        <v>1</v>
      </c>
      <c r="E767" s="225" t="n"/>
      <c r="F767" s="225" t="n"/>
      <c r="G767" s="225" t="n"/>
      <c r="H767" s="225" t="n"/>
      <c r="I767" s="223" t="n">
        <v>27000</v>
      </c>
      <c r="J767" s="305" t="n">
        <v>0</v>
      </c>
      <c r="K767" s="305" t="n">
        <v>27000</v>
      </c>
      <c r="L767" s="224" t="n">
        <v>12000</v>
      </c>
    </row>
    <row r="768" ht="15" customHeight="1" s="153">
      <c r="A768" s="306" t="inlineStr">
        <is>
          <t>16/03/2026</t>
        </is>
      </c>
      <c r="B768" s="307" t="inlineStr">
        <is>
          <t>Marzo</t>
        </is>
      </c>
      <c r="C768" s="310" t="inlineStr">
        <is>
          <t>ANDRE</t>
        </is>
      </c>
      <c r="D768" s="218" t="n"/>
      <c r="E768" s="218" t="n"/>
      <c r="F768" s="218" t="n"/>
      <c r="G768" s="218" t="n">
        <v>20</v>
      </c>
      <c r="H768" s="218" t="n"/>
      <c r="I768" s="216" t="n">
        <v>68000</v>
      </c>
      <c r="J768" s="309" t="n">
        <v>0</v>
      </c>
      <c r="K768" s="309" t="n">
        <v>68000</v>
      </c>
      <c r="L768" s="236" t="n">
        <v>22000</v>
      </c>
    </row>
    <row r="769" ht="15" customHeight="1" s="153">
      <c r="A769" s="302" t="inlineStr">
        <is>
          <t>21/01/2026</t>
        </is>
      </c>
      <c r="B769" s="303" t="inlineStr">
        <is>
          <t>Enero</t>
        </is>
      </c>
      <c r="C769" s="311" t="inlineStr">
        <is>
          <t>ANGEL</t>
        </is>
      </c>
      <c r="D769" s="225" t="n">
        <v>1</v>
      </c>
      <c r="E769" s="225" t="n"/>
      <c r="F769" s="225" t="n"/>
      <c r="G769" s="225" t="n"/>
      <c r="H769" s="225" t="n"/>
      <c r="I769" s="223" t="n">
        <v>13000</v>
      </c>
      <c r="J769" s="305" t="n">
        <v>13000</v>
      </c>
      <c r="K769" s="305" t="n">
        <v>0</v>
      </c>
      <c r="L769" s="245" t="n">
        <v>-2000</v>
      </c>
    </row>
    <row r="770" ht="15" customHeight="1" s="153">
      <c r="A770" s="302" t="inlineStr">
        <is>
          <t>23/03/2026</t>
        </is>
      </c>
      <c r="B770" s="303" t="inlineStr">
        <is>
          <t>Marzo</t>
        </is>
      </c>
      <c r="C770" s="311" t="inlineStr">
        <is>
          <t>ANGEL</t>
        </is>
      </c>
      <c r="D770" s="225" t="n">
        <v>1</v>
      </c>
      <c r="E770" s="225" t="n">
        <v>1</v>
      </c>
      <c r="F770" s="225" t="n"/>
      <c r="G770" s="225" t="n"/>
      <c r="H770" s="225" t="n"/>
      <c r="I770" s="223" t="n">
        <v>42500</v>
      </c>
      <c r="J770" s="305" t="n">
        <v>42500</v>
      </c>
      <c r="K770" s="305" t="n">
        <v>0</v>
      </c>
      <c r="L770" s="224" t="n">
        <v>5000</v>
      </c>
    </row>
    <row r="771" ht="15" customHeight="1" s="153">
      <c r="A771" s="302" t="inlineStr">
        <is>
          <t>25/03/2026</t>
        </is>
      </c>
      <c r="B771" s="303" t="inlineStr">
        <is>
          <t>Marzo</t>
        </is>
      </c>
      <c r="C771" s="311" t="inlineStr">
        <is>
          <t>ANGEL</t>
        </is>
      </c>
      <c r="D771" s="225" t="n">
        <v>1</v>
      </c>
      <c r="E771" s="225" t="n"/>
      <c r="F771" s="225" t="n"/>
      <c r="G771" s="225" t="n"/>
      <c r="H771" s="225" t="n"/>
      <c r="I771" s="223" t="n">
        <v>17000</v>
      </c>
      <c r="J771" s="305" t="n">
        <v>17000</v>
      </c>
      <c r="K771" s="305" t="n">
        <v>0</v>
      </c>
      <c r="L771" s="224" t="n">
        <v>2000</v>
      </c>
    </row>
    <row r="772" ht="15" customHeight="1" s="153">
      <c r="A772" s="302" t="inlineStr">
        <is>
          <t>16/04/2026</t>
        </is>
      </c>
      <c r="B772" s="303" t="inlineStr">
        <is>
          <t>Abril</t>
        </is>
      </c>
      <c r="C772" s="311" t="inlineStr">
        <is>
          <t>ANGEL</t>
        </is>
      </c>
      <c r="D772" s="225" t="n">
        <v>2</v>
      </c>
      <c r="E772" s="225" t="n"/>
      <c r="F772" s="225" t="n"/>
      <c r="G772" s="225" t="n"/>
      <c r="H772" s="225" t="n"/>
      <c r="I772" s="223" t="n">
        <v>38000</v>
      </c>
      <c r="J772" s="305" t="n">
        <v>38000</v>
      </c>
      <c r="K772" s="305" t="n">
        <v>0</v>
      </c>
      <c r="L772" s="224" t="n">
        <v>8000</v>
      </c>
    </row>
    <row r="773" ht="15" customHeight="1" s="153">
      <c r="A773" s="306" t="inlineStr">
        <is>
          <t>24/03/2026</t>
        </is>
      </c>
      <c r="B773" s="307" t="inlineStr">
        <is>
          <t>Marzo</t>
        </is>
      </c>
      <c r="C773" s="310" t="inlineStr">
        <is>
          <t>ANREALES 10512</t>
        </is>
      </c>
      <c r="D773" s="218" t="n"/>
      <c r="E773" s="218" t="n"/>
      <c r="F773" s="218" t="n">
        <v>1</v>
      </c>
      <c r="G773" s="218" t="n"/>
      <c r="H773" s="218" t="n"/>
      <c r="I773" s="216" t="n">
        <v>79000</v>
      </c>
      <c r="J773" s="309" t="n">
        <v>0</v>
      </c>
      <c r="K773" s="309" t="n">
        <v>79000</v>
      </c>
      <c r="L773" s="236" t="n">
        <v>19000</v>
      </c>
    </row>
    <row r="774" ht="15" customHeight="1" s="153">
      <c r="A774" s="302" t="inlineStr">
        <is>
          <t>21/03/2026</t>
        </is>
      </c>
      <c r="B774" s="303" t="inlineStr">
        <is>
          <t>Marzo</t>
        </is>
      </c>
      <c r="C774" s="311" t="inlineStr">
        <is>
          <t>ARGENTA</t>
        </is>
      </c>
      <c r="D774" s="225" t="n">
        <v>1</v>
      </c>
      <c r="E774" s="225" t="n"/>
      <c r="F774" s="225" t="n"/>
      <c r="G774" s="225" t="n"/>
      <c r="H774" s="225" t="n"/>
      <c r="I774" s="223" t="n">
        <v>24500</v>
      </c>
      <c r="J774" s="305" t="n">
        <v>0</v>
      </c>
      <c r="K774" s="305" t="n">
        <v>24500</v>
      </c>
      <c r="L774" s="224" t="n">
        <v>9500</v>
      </c>
    </row>
    <row r="775" ht="15" customHeight="1" s="153">
      <c r="A775" s="302" t="inlineStr">
        <is>
          <t>16/04/2026</t>
        </is>
      </c>
      <c r="B775" s="303" t="inlineStr">
        <is>
          <t>Abril</t>
        </is>
      </c>
      <c r="C775" s="311" t="inlineStr">
        <is>
          <t>ARGENTA</t>
        </is>
      </c>
      <c r="D775" s="225" t="n">
        <v>1</v>
      </c>
      <c r="E775" s="225" t="n"/>
      <c r="F775" s="225" t="n"/>
      <c r="G775" s="225" t="n"/>
      <c r="H775" s="225" t="n"/>
      <c r="I775" s="223" t="n">
        <v>25000</v>
      </c>
      <c r="J775" s="305" t="n">
        <v>25000</v>
      </c>
      <c r="K775" s="305" t="n">
        <v>0</v>
      </c>
      <c r="L775" s="224" t="n">
        <v>10000</v>
      </c>
    </row>
    <row r="776" ht="15" customHeight="1" s="153">
      <c r="A776" s="306" t="inlineStr">
        <is>
          <t>06/02/2026</t>
        </is>
      </c>
      <c r="B776" s="307" t="inlineStr">
        <is>
          <t>Febrero</t>
        </is>
      </c>
      <c r="C776" s="310" t="inlineStr">
        <is>
          <t>ARGENTA PIZZAS</t>
        </is>
      </c>
      <c r="D776" s="218" t="n">
        <v>1</v>
      </c>
      <c r="E776" s="218" t="n"/>
      <c r="F776" s="218" t="n"/>
      <c r="G776" s="218" t="n"/>
      <c r="H776" s="218" t="n"/>
      <c r="I776" s="216" t="n">
        <v>21000</v>
      </c>
      <c r="J776" s="309" t="n">
        <v>0</v>
      </c>
      <c r="K776" s="309" t="n">
        <v>21000</v>
      </c>
      <c r="L776" s="236" t="n">
        <v>6000</v>
      </c>
    </row>
    <row r="777" ht="15" customHeight="1" s="153">
      <c r="A777" s="302" t="inlineStr">
        <is>
          <t>18/02/2026</t>
        </is>
      </c>
      <c r="B777" s="303" t="inlineStr">
        <is>
          <t>Febrero</t>
        </is>
      </c>
      <c r="C777" s="311" t="inlineStr">
        <is>
          <t>ARISTOBULO 4471</t>
        </is>
      </c>
      <c r="D777" s="225" t="n"/>
      <c r="E777" s="225" t="n"/>
      <c r="F777" s="225" t="n">
        <v>1</v>
      </c>
      <c r="G777" s="225" t="n"/>
      <c r="H777" s="225" t="n"/>
      <c r="I777" s="223" t="n">
        <v>75000</v>
      </c>
      <c r="J777" s="305" t="n">
        <v>75000</v>
      </c>
      <c r="K777" s="305" t="n">
        <v>0</v>
      </c>
      <c r="L777" s="224" t="n">
        <v>15000</v>
      </c>
    </row>
    <row r="778" ht="15" customHeight="1" s="153">
      <c r="A778" s="306" t="inlineStr">
        <is>
          <t>13/04/2026</t>
        </is>
      </c>
      <c r="B778" s="307" t="inlineStr">
        <is>
          <t>Abril</t>
        </is>
      </c>
      <c r="C778" s="310" t="inlineStr">
        <is>
          <t>ARISTOBULO 5137</t>
        </is>
      </c>
      <c r="D778" s="218" t="n"/>
      <c r="E778" s="218" t="n">
        <v>1</v>
      </c>
      <c r="F778" s="218" t="n"/>
      <c r="G778" s="218" t="n"/>
      <c r="H778" s="218" t="n"/>
      <c r="I778" s="216" t="n">
        <v>37500</v>
      </c>
      <c r="J778" s="309" t="n">
        <v>0</v>
      </c>
      <c r="K778" s="309" t="n">
        <v>37500</v>
      </c>
      <c r="L778" s="236" t="n">
        <v>15000</v>
      </c>
    </row>
    <row r="779" ht="15" customHeight="1" s="153">
      <c r="A779" s="302" t="inlineStr">
        <is>
          <t>03/01/2026</t>
        </is>
      </c>
      <c r="B779" s="303" t="inlineStr">
        <is>
          <t>Enero</t>
        </is>
      </c>
      <c r="C779" s="311" t="inlineStr">
        <is>
          <t>ARISTOBULO 5879</t>
        </is>
      </c>
      <c r="D779" s="225" t="n"/>
      <c r="E779" s="225" t="n">
        <v>1</v>
      </c>
      <c r="F779" s="225" t="n"/>
      <c r="G779" s="225" t="n"/>
      <c r="H779" s="225" t="n"/>
      <c r="I779" s="223" t="n">
        <v>34500</v>
      </c>
      <c r="J779" s="305" t="n">
        <v>34500</v>
      </c>
      <c r="K779" s="305" t="n">
        <v>0</v>
      </c>
      <c r="L779" s="224" t="n">
        <v>12000</v>
      </c>
    </row>
    <row r="780" ht="15" customHeight="1" s="153">
      <c r="A780" s="302" t="inlineStr">
        <is>
          <t>10/02/2026</t>
        </is>
      </c>
      <c r="B780" s="303" t="inlineStr">
        <is>
          <t>Febrero</t>
        </is>
      </c>
      <c r="C780" s="311" t="inlineStr">
        <is>
          <t>ARISTOBULO 5879</t>
        </is>
      </c>
      <c r="D780" s="225" t="n"/>
      <c r="E780" s="225" t="n">
        <v>1</v>
      </c>
      <c r="F780" s="225" t="n"/>
      <c r="G780" s="225" t="n"/>
      <c r="H780" s="225" t="n"/>
      <c r="I780" s="223" t="n">
        <v>34500</v>
      </c>
      <c r="J780" s="305" t="n">
        <v>34500</v>
      </c>
      <c r="K780" s="305" t="n">
        <v>0</v>
      </c>
      <c r="L780" s="224" t="n">
        <v>12000</v>
      </c>
    </row>
    <row r="781" ht="15" customHeight="1" s="153">
      <c r="A781" s="302" t="inlineStr">
        <is>
          <t>14/03/2026</t>
        </is>
      </c>
      <c r="B781" s="303" t="inlineStr">
        <is>
          <t>Marzo</t>
        </is>
      </c>
      <c r="C781" s="311" t="inlineStr">
        <is>
          <t>ARISTOBULO 5879</t>
        </is>
      </c>
      <c r="D781" s="225" t="n"/>
      <c r="E781" s="225" t="n">
        <v>1</v>
      </c>
      <c r="F781" s="225" t="n"/>
      <c r="G781" s="225" t="n"/>
      <c r="H781" s="225" t="n"/>
      <c r="I781" s="223" t="n">
        <v>36000</v>
      </c>
      <c r="J781" s="305" t="n">
        <v>36000</v>
      </c>
      <c r="K781" s="305" t="n">
        <v>0</v>
      </c>
      <c r="L781" s="224" t="n">
        <v>13500</v>
      </c>
    </row>
    <row r="782" ht="15" customHeight="1" s="153">
      <c r="A782" s="306" t="inlineStr">
        <is>
          <t>11/04/2026</t>
        </is>
      </c>
      <c r="B782" s="307" t="inlineStr">
        <is>
          <t>Abril</t>
        </is>
      </c>
      <c r="C782" s="310" t="inlineStr">
        <is>
          <t>ARISTOBULO 6897</t>
        </is>
      </c>
      <c r="D782" s="218" t="n"/>
      <c r="E782" s="218" t="n"/>
      <c r="F782" s="218" t="n">
        <v>1</v>
      </c>
      <c r="G782" s="218" t="n"/>
      <c r="H782" s="218" t="n"/>
      <c r="I782" s="216" t="n">
        <v>90000</v>
      </c>
      <c r="J782" s="309" t="n">
        <v>0</v>
      </c>
      <c r="K782" s="309" t="n">
        <v>90000</v>
      </c>
      <c r="L782" s="236" t="n">
        <v>30000</v>
      </c>
    </row>
    <row r="783" ht="15" customHeight="1" s="153">
      <c r="A783" s="302" t="inlineStr">
        <is>
          <t>21/03/2026</t>
        </is>
      </c>
      <c r="B783" s="303" t="inlineStr">
        <is>
          <t>Marzo</t>
        </is>
      </c>
      <c r="C783" s="311" t="inlineStr">
        <is>
          <t>ARISTOBULO 8998</t>
        </is>
      </c>
      <c r="D783" s="225" t="n"/>
      <c r="E783" s="225" t="n"/>
      <c r="F783" s="225" t="n">
        <v>1</v>
      </c>
      <c r="G783" s="225" t="n"/>
      <c r="H783" s="225" t="n"/>
      <c r="I783" s="223" t="n">
        <v>79000</v>
      </c>
      <c r="J783" s="305" t="n">
        <v>0</v>
      </c>
      <c r="K783" s="305" t="n">
        <v>79000</v>
      </c>
      <c r="L783" s="224" t="n">
        <v>19000</v>
      </c>
    </row>
    <row r="784" ht="15" customHeight="1" s="153">
      <c r="A784" s="306" t="inlineStr">
        <is>
          <t>11/04/2026</t>
        </is>
      </c>
      <c r="B784" s="307" t="inlineStr">
        <is>
          <t>Abril</t>
        </is>
      </c>
      <c r="C784" s="310" t="inlineStr">
        <is>
          <t>ARISTOBULO ROTI</t>
        </is>
      </c>
      <c r="D784" s="218" t="n">
        <v>1</v>
      </c>
      <c r="E784" s="218" t="n"/>
      <c r="F784" s="218" t="n"/>
      <c r="G784" s="218" t="n"/>
      <c r="H784" s="218" t="n"/>
      <c r="I784" s="216" t="n">
        <v>23000</v>
      </c>
      <c r="J784" s="309" t="n">
        <v>23000</v>
      </c>
      <c r="K784" s="309" t="n">
        <v>0</v>
      </c>
      <c r="L784" s="236" t="n">
        <v>8000</v>
      </c>
    </row>
    <row r="785" ht="15" customHeight="1" s="153">
      <c r="A785" s="302" t="inlineStr">
        <is>
          <t>25/03/2026</t>
        </is>
      </c>
      <c r="B785" s="303" t="inlineStr">
        <is>
          <t>Marzo</t>
        </is>
      </c>
      <c r="C785" s="311" t="inlineStr">
        <is>
          <t>DANA</t>
        </is>
      </c>
      <c r="D785" s="225" t="n">
        <v>4</v>
      </c>
      <c r="E785" s="225" t="n"/>
      <c r="F785" s="225" t="n"/>
      <c r="G785" s="225" t="n"/>
      <c r="H785" s="225" t="n"/>
      <c r="I785" s="223" t="n">
        <v>68000</v>
      </c>
      <c r="J785" s="305" t="n">
        <v>0</v>
      </c>
      <c r="K785" s="305" t="n">
        <v>68000</v>
      </c>
      <c r="L785" s="224" t="n">
        <v>8000</v>
      </c>
    </row>
    <row r="786" ht="15" customHeight="1" s="153">
      <c r="A786" s="302" t="inlineStr">
        <is>
          <t>02/04/2026</t>
        </is>
      </c>
      <c r="B786" s="303" t="inlineStr">
        <is>
          <t>Abril</t>
        </is>
      </c>
      <c r="C786" s="311" t="inlineStr">
        <is>
          <t>DANA</t>
        </is>
      </c>
      <c r="D786" s="225" t="n">
        <v>3</v>
      </c>
      <c r="E786" s="225" t="n"/>
      <c r="F786" s="225" t="n"/>
      <c r="G786" s="225" t="n"/>
      <c r="H786" s="225" t="n"/>
      <c r="I786" s="223" t="n">
        <v>57000</v>
      </c>
      <c r="J786" s="305" t="n">
        <v>57000</v>
      </c>
      <c r="K786" s="305" t="n">
        <v>0</v>
      </c>
      <c r="L786" s="224" t="n">
        <v>12000</v>
      </c>
    </row>
    <row r="787" ht="15" customHeight="1" s="153">
      <c r="A787" s="302" t="inlineStr">
        <is>
          <t>03/04/2026</t>
        </is>
      </c>
      <c r="B787" s="303" t="inlineStr">
        <is>
          <t>Abril</t>
        </is>
      </c>
      <c r="C787" s="311" t="inlineStr">
        <is>
          <t>DANA</t>
        </is>
      </c>
      <c r="D787" s="225" t="n">
        <v>3</v>
      </c>
      <c r="E787" s="225" t="n">
        <v>1</v>
      </c>
      <c r="F787" s="225" t="n"/>
      <c r="G787" s="225" t="n"/>
      <c r="H787" s="225" t="n"/>
      <c r="I787" s="223" t="n">
        <v>86000</v>
      </c>
      <c r="J787" s="305" t="n">
        <v>0</v>
      </c>
      <c r="K787" s="305" t="n">
        <v>86000</v>
      </c>
      <c r="L787" s="224" t="n">
        <v>18500</v>
      </c>
    </row>
    <row r="788" ht="15" customHeight="1" s="153">
      <c r="A788" s="302" t="inlineStr">
        <is>
          <t>22/04/2026</t>
        </is>
      </c>
      <c r="B788" s="303" t="inlineStr">
        <is>
          <t>Abril</t>
        </is>
      </c>
      <c r="C788" s="311" t="inlineStr">
        <is>
          <t>DANA</t>
        </is>
      </c>
      <c r="D788" s="225" t="n">
        <v>3</v>
      </c>
      <c r="E788" s="225" t="n"/>
      <c r="F788" s="225" t="n"/>
      <c r="G788" s="225" t="n"/>
      <c r="H788" s="225" t="n"/>
      <c r="I788" s="223" t="n">
        <v>57000</v>
      </c>
      <c r="J788" s="305" t="n">
        <v>0</v>
      </c>
      <c r="K788" s="305" t="n">
        <v>57000</v>
      </c>
      <c r="L788" s="224" t="n">
        <v>12000</v>
      </c>
    </row>
    <row r="789" ht="15" customHeight="1" s="153">
      <c r="A789" s="306" t="inlineStr">
        <is>
          <t>25/03/2026</t>
        </is>
      </c>
      <c r="B789" s="307" t="inlineStr">
        <is>
          <t>Marzo</t>
        </is>
      </c>
      <c r="C789" s="310" t="inlineStr">
        <is>
          <t>AVELLANEDA 7745</t>
        </is>
      </c>
      <c r="D789" s="218" t="n">
        <v>1</v>
      </c>
      <c r="E789" s="218" t="n"/>
      <c r="F789" s="218" t="n"/>
      <c r="G789" s="218" t="n"/>
      <c r="H789" s="218" t="n"/>
      <c r="I789" s="216" t="n">
        <v>25000</v>
      </c>
      <c r="J789" s="309" t="n">
        <v>0</v>
      </c>
      <c r="K789" s="309" t="n">
        <v>25000</v>
      </c>
      <c r="L789" s="236" t="n">
        <v>10000</v>
      </c>
    </row>
    <row r="790" ht="15" customHeight="1" s="153">
      <c r="A790" s="302" t="inlineStr">
        <is>
          <t>15/04/2026</t>
        </is>
      </c>
      <c r="B790" s="303" t="inlineStr">
        <is>
          <t>Abril</t>
        </is>
      </c>
      <c r="C790" s="311" t="inlineStr">
        <is>
          <t>AYACUCHO 3760</t>
        </is>
      </c>
      <c r="D790" s="225" t="n">
        <v>1</v>
      </c>
      <c r="E790" s="225" t="n"/>
      <c r="F790" s="225" t="n"/>
      <c r="G790" s="225" t="n"/>
      <c r="H790" s="225" t="n"/>
      <c r="I790" s="223" t="n">
        <v>25000</v>
      </c>
      <c r="J790" s="305" t="n">
        <v>0</v>
      </c>
      <c r="K790" s="305" t="n">
        <v>25000</v>
      </c>
      <c r="L790" s="224" t="n">
        <v>10000</v>
      </c>
    </row>
    <row r="791" ht="15" customHeight="1" s="153">
      <c r="A791" s="306" t="inlineStr">
        <is>
          <t>21/03/2026</t>
        </is>
      </c>
      <c r="B791" s="307" t="inlineStr">
        <is>
          <t>Marzo</t>
        </is>
      </c>
      <c r="C791" s="310" t="inlineStr">
        <is>
          <t>AYACUCHO 3817</t>
        </is>
      </c>
      <c r="D791" s="218" t="n">
        <v>2</v>
      </c>
      <c r="E791" s="218" t="n"/>
      <c r="F791" s="218" t="n"/>
      <c r="G791" s="218" t="n"/>
      <c r="H791" s="218" t="n"/>
      <c r="I791" s="216" t="n">
        <v>42000</v>
      </c>
      <c r="J791" s="309" t="n">
        <v>42000</v>
      </c>
      <c r="K791" s="309" t="n">
        <v>0</v>
      </c>
      <c r="L791" s="236" t="n">
        <v>12000</v>
      </c>
    </row>
    <row r="792" ht="15" customHeight="1" s="153">
      <c r="A792" s="302" t="inlineStr">
        <is>
          <t>25/02/2026</t>
        </is>
      </c>
      <c r="B792" s="303" t="inlineStr">
        <is>
          <t>Febrero</t>
        </is>
      </c>
      <c r="C792" s="311" t="inlineStr">
        <is>
          <t>AYACUCHO 4057</t>
        </is>
      </c>
      <c r="D792" s="225" t="n"/>
      <c r="E792" s="225" t="n"/>
      <c r="F792" s="225" t="n">
        <v>1</v>
      </c>
      <c r="G792" s="225" t="n"/>
      <c r="H792" s="225" t="n"/>
      <c r="I792" s="223" t="n">
        <v>76000</v>
      </c>
      <c r="J792" s="305" t="n">
        <v>0</v>
      </c>
      <c r="K792" s="305" t="n">
        <v>76000</v>
      </c>
      <c r="L792" s="224" t="n">
        <v>16000</v>
      </c>
    </row>
    <row r="793" ht="15" customHeight="1" s="153">
      <c r="A793" s="306" t="inlineStr">
        <is>
          <t>10/03/2026</t>
        </is>
      </c>
      <c r="B793" s="307" t="inlineStr">
        <is>
          <t>Marzo</t>
        </is>
      </c>
      <c r="C793" s="310" t="inlineStr">
        <is>
          <t>AYACUCHO 4878</t>
        </is>
      </c>
      <c r="D793" s="218" t="n"/>
      <c r="E793" s="218" t="n">
        <v>1</v>
      </c>
      <c r="F793" s="218" t="n"/>
      <c r="G793" s="218" t="n"/>
      <c r="H793" s="218" t="n"/>
      <c r="I793" s="216" t="n">
        <v>33000</v>
      </c>
      <c r="J793" s="309" t="n">
        <v>33000</v>
      </c>
      <c r="K793" s="309" t="n">
        <v>0</v>
      </c>
      <c r="L793" s="236" t="n">
        <v>10500</v>
      </c>
    </row>
    <row r="794" ht="15" customHeight="1" s="153">
      <c r="A794" s="302" t="inlineStr">
        <is>
          <t>14/03/2026</t>
        </is>
      </c>
      <c r="B794" s="303" t="inlineStr">
        <is>
          <t>Marzo</t>
        </is>
      </c>
      <c r="C794" s="311" t="inlineStr">
        <is>
          <t>AYACUCHO 5284</t>
        </is>
      </c>
      <c r="D794" s="225" t="n">
        <v>1</v>
      </c>
      <c r="E794" s="225" t="n"/>
      <c r="F794" s="225" t="n"/>
      <c r="G794" s="225" t="n"/>
      <c r="H794" s="225" t="n"/>
      <c r="I794" s="223" t="n">
        <v>22500</v>
      </c>
      <c r="J794" s="305" t="n">
        <v>0</v>
      </c>
      <c r="K794" s="305" t="n">
        <v>22500</v>
      </c>
      <c r="L794" s="224" t="n">
        <v>7500</v>
      </c>
    </row>
    <row r="795" ht="15" customHeight="1" s="153">
      <c r="A795" s="306" t="inlineStr">
        <is>
          <t>03/02/2026</t>
        </is>
      </c>
      <c r="B795" s="307" t="inlineStr">
        <is>
          <t>Febrero</t>
        </is>
      </c>
      <c r="C795" s="310" t="inlineStr">
        <is>
          <t>AYACUCHO 5370</t>
        </is>
      </c>
      <c r="D795" s="218" t="n"/>
      <c r="E795" s="218" t="n"/>
      <c r="F795" s="218" t="n"/>
      <c r="G795" s="218" t="n"/>
      <c r="H795" s="218" t="n">
        <v>2</v>
      </c>
      <c r="I795" s="216" t="n">
        <v>10000</v>
      </c>
      <c r="J795" s="309" t="n">
        <v>0</v>
      </c>
      <c r="K795" s="309" t="n">
        <v>10000</v>
      </c>
      <c r="L795" s="236" t="n">
        <v>8300</v>
      </c>
    </row>
    <row r="796" ht="15" customHeight="1" s="153">
      <c r="A796" s="306" t="inlineStr">
        <is>
          <t>14/02/2026</t>
        </is>
      </c>
      <c r="B796" s="307" t="inlineStr">
        <is>
          <t>Febrero</t>
        </is>
      </c>
      <c r="C796" s="310" t="inlineStr">
        <is>
          <t>AYACUCHO 5370</t>
        </is>
      </c>
      <c r="D796" s="218" t="n"/>
      <c r="E796" s="218" t="n">
        <v>1</v>
      </c>
      <c r="F796" s="218" t="n"/>
      <c r="G796" s="218" t="n"/>
      <c r="H796" s="218" t="n"/>
      <c r="I796" s="216" t="n">
        <v>33500</v>
      </c>
      <c r="J796" s="309" t="n">
        <v>33500</v>
      </c>
      <c r="K796" s="309" t="n">
        <v>0</v>
      </c>
      <c r="L796" s="236" t="n">
        <v>11000</v>
      </c>
    </row>
    <row r="797" ht="15" customHeight="1" s="153">
      <c r="A797" s="306" t="inlineStr">
        <is>
          <t>15/02/2026</t>
        </is>
      </c>
      <c r="B797" s="307" t="inlineStr">
        <is>
          <t>Febrero</t>
        </is>
      </c>
      <c r="C797" s="310" t="inlineStr">
        <is>
          <t>AYACUCHO 5370</t>
        </is>
      </c>
      <c r="D797" s="218" t="n"/>
      <c r="E797" s="218" t="n"/>
      <c r="F797" s="218" t="n"/>
      <c r="G797" s="218" t="n"/>
      <c r="H797" s="218" t="n">
        <v>2</v>
      </c>
      <c r="I797" s="216" t="n">
        <v>10000</v>
      </c>
      <c r="J797" s="309" t="n">
        <v>0</v>
      </c>
      <c r="K797" s="309" t="n">
        <v>10000</v>
      </c>
      <c r="L797" s="236" t="n">
        <v>8300</v>
      </c>
    </row>
    <row r="798" ht="15" customHeight="1" s="153">
      <c r="A798" s="306" t="inlineStr">
        <is>
          <t>27/02/2026</t>
        </is>
      </c>
      <c r="B798" s="307" t="inlineStr">
        <is>
          <t>Febrero</t>
        </is>
      </c>
      <c r="C798" s="310" t="inlineStr">
        <is>
          <t>AYACUCHO 5370</t>
        </is>
      </c>
      <c r="D798" s="218" t="n"/>
      <c r="E798" s="218" t="n"/>
      <c r="F798" s="218" t="n"/>
      <c r="G798" s="218" t="n"/>
      <c r="H798" s="218" t="n">
        <v>2</v>
      </c>
      <c r="I798" s="216" t="n">
        <v>10000</v>
      </c>
      <c r="J798" s="309" t="n">
        <v>0</v>
      </c>
      <c r="K798" s="309" t="n">
        <v>10000</v>
      </c>
      <c r="L798" s="236" t="n">
        <v>8300</v>
      </c>
    </row>
    <row r="799" ht="15" customHeight="1" s="153">
      <c r="A799" s="306" t="inlineStr">
        <is>
          <t>18/03/2026</t>
        </is>
      </c>
      <c r="B799" s="307" t="inlineStr">
        <is>
          <t>Marzo</t>
        </is>
      </c>
      <c r="C799" s="310" t="inlineStr">
        <is>
          <t>AYACUCHO 5370</t>
        </is>
      </c>
      <c r="D799" s="218" t="n"/>
      <c r="E799" s="218" t="n"/>
      <c r="F799" s="218" t="n"/>
      <c r="G799" s="218" t="n"/>
      <c r="H799" s="218" t="n">
        <v>2</v>
      </c>
      <c r="I799" s="216" t="n">
        <v>11000</v>
      </c>
      <c r="J799" s="309" t="n">
        <v>0</v>
      </c>
      <c r="K799" s="309" t="n">
        <v>11000</v>
      </c>
      <c r="L799" s="236" t="n">
        <v>9300</v>
      </c>
    </row>
    <row r="800" ht="15" customHeight="1" s="153">
      <c r="A800" s="306" t="inlineStr">
        <is>
          <t>11/04/2026</t>
        </is>
      </c>
      <c r="B800" s="307" t="inlineStr">
        <is>
          <t>Abril</t>
        </is>
      </c>
      <c r="C800" s="310" t="inlineStr">
        <is>
          <t>AYACUCHO 5370</t>
        </is>
      </c>
      <c r="D800" s="218" t="n"/>
      <c r="E800" s="218" t="n"/>
      <c r="F800" s="218" t="n"/>
      <c r="G800" s="218" t="n"/>
      <c r="H800" s="218" t="n">
        <v>1</v>
      </c>
      <c r="I800" s="216" t="n">
        <v>6000</v>
      </c>
      <c r="J800" s="309" t="n">
        <v>0</v>
      </c>
      <c r="K800" s="309" t="n">
        <v>6000</v>
      </c>
      <c r="L800" s="236" t="n">
        <v>5150</v>
      </c>
    </row>
    <row r="801" ht="15" customHeight="1" s="153">
      <c r="A801" s="306" t="inlineStr">
        <is>
          <t>16/04/2026</t>
        </is>
      </c>
      <c r="B801" s="307" t="inlineStr">
        <is>
          <t>Abril</t>
        </is>
      </c>
      <c r="C801" s="310" t="inlineStr">
        <is>
          <t>AYACUCHO 5370</t>
        </is>
      </c>
      <c r="D801" s="218" t="n"/>
      <c r="E801" s="218" t="n"/>
      <c r="F801" s="218" t="n"/>
      <c r="G801" s="218" t="n"/>
      <c r="H801" s="218" t="n">
        <v>2</v>
      </c>
      <c r="I801" s="216" t="n">
        <v>12000</v>
      </c>
      <c r="J801" s="309" t="n">
        <v>0</v>
      </c>
      <c r="K801" s="309" t="n">
        <v>12000</v>
      </c>
      <c r="L801" s="236" t="n">
        <v>10300</v>
      </c>
    </row>
    <row r="802" ht="15" customHeight="1" s="153">
      <c r="A802" s="302" t="inlineStr">
        <is>
          <t>24/02/2026</t>
        </is>
      </c>
      <c r="B802" s="303" t="inlineStr">
        <is>
          <t>Febrero</t>
        </is>
      </c>
      <c r="C802" s="311" t="inlineStr">
        <is>
          <t>AYACUCHO 6201</t>
        </is>
      </c>
      <c r="D802" s="225" t="n">
        <v>1</v>
      </c>
      <c r="E802" s="225" t="n"/>
      <c r="F802" s="225" t="n"/>
      <c r="G802" s="225" t="n"/>
      <c r="H802" s="225" t="n"/>
      <c r="I802" s="223" t="n">
        <v>21000</v>
      </c>
      <c r="J802" s="305" t="n">
        <v>0</v>
      </c>
      <c r="K802" s="305" t="n">
        <v>21000</v>
      </c>
      <c r="L802" s="224" t="n">
        <v>6000</v>
      </c>
    </row>
    <row r="803" ht="15" customHeight="1" s="153">
      <c r="A803" s="306" t="inlineStr">
        <is>
          <t>27/02/2026</t>
        </is>
      </c>
      <c r="B803" s="307" t="inlineStr">
        <is>
          <t>Febrero</t>
        </is>
      </c>
      <c r="C803" s="310" t="inlineStr">
        <is>
          <t>AZCUEJAGA 5023</t>
        </is>
      </c>
      <c r="D803" s="218" t="n">
        <v>6</v>
      </c>
      <c r="E803" s="218" t="n"/>
      <c r="F803" s="218" t="n"/>
      <c r="G803" s="218" t="n"/>
      <c r="H803" s="218" t="n"/>
      <c r="I803" s="216" t="n">
        <v>90000</v>
      </c>
      <c r="J803" s="309" t="n">
        <v>0</v>
      </c>
      <c r="K803" s="309" t="n">
        <v>90000</v>
      </c>
      <c r="L803" s="236" t="n">
        <v>0</v>
      </c>
    </row>
    <row r="804" ht="15" customHeight="1" s="153">
      <c r="A804" s="302" t="inlineStr">
        <is>
          <t>16/04/2026</t>
        </is>
      </c>
      <c r="B804" s="303" t="inlineStr">
        <is>
          <t>Abril</t>
        </is>
      </c>
      <c r="C804" s="311" t="inlineStr">
        <is>
          <t>AZCUENAGA 3972</t>
        </is>
      </c>
      <c r="D804" s="225" t="n"/>
      <c r="E804" s="225" t="n"/>
      <c r="F804" s="225" t="n">
        <v>1</v>
      </c>
      <c r="G804" s="225" t="n"/>
      <c r="H804" s="225" t="n"/>
      <c r="I804" s="223" t="n">
        <v>78000</v>
      </c>
      <c r="J804" s="305" t="n">
        <v>78000</v>
      </c>
      <c r="K804" s="305" t="n">
        <v>0</v>
      </c>
      <c r="L804" s="224" t="n">
        <v>18000</v>
      </c>
    </row>
    <row r="805" ht="15" customHeight="1" s="153">
      <c r="A805" s="306" t="inlineStr">
        <is>
          <t>06/01/2026</t>
        </is>
      </c>
      <c r="B805" s="307" t="inlineStr">
        <is>
          <t>Enero</t>
        </is>
      </c>
      <c r="C805" s="310" t="inlineStr">
        <is>
          <t>AZCUENAGA 5023</t>
        </is>
      </c>
      <c r="D805" s="218" t="n">
        <v>7</v>
      </c>
      <c r="E805" s="218" t="n"/>
      <c r="F805" s="218" t="n"/>
      <c r="G805" s="218" t="n"/>
      <c r="H805" s="218" t="n"/>
      <c r="I805" s="216" t="n">
        <v>91000</v>
      </c>
      <c r="J805" s="309" t="n">
        <v>0</v>
      </c>
      <c r="K805" s="309" t="n">
        <v>91000</v>
      </c>
      <c r="L805" s="217" t="n">
        <v>-14000</v>
      </c>
    </row>
    <row r="806" ht="15" customHeight="1" s="153">
      <c r="A806" s="306" t="inlineStr">
        <is>
          <t>12/01/2026</t>
        </is>
      </c>
      <c r="B806" s="307" t="inlineStr">
        <is>
          <t>Enero</t>
        </is>
      </c>
      <c r="C806" s="310" t="inlineStr">
        <is>
          <t>AZCUENAGA 5023</t>
        </is>
      </c>
      <c r="D806" s="218" t="n">
        <v>5</v>
      </c>
      <c r="E806" s="218" t="n"/>
      <c r="F806" s="218" t="n"/>
      <c r="G806" s="218" t="n"/>
      <c r="H806" s="218" t="n"/>
      <c r="I806" s="216" t="n">
        <v>72500</v>
      </c>
      <c r="J806" s="309" t="n">
        <v>0</v>
      </c>
      <c r="K806" s="309" t="n">
        <v>72500</v>
      </c>
      <c r="L806" s="217" t="n">
        <v>-2500</v>
      </c>
    </row>
    <row r="807" ht="15" customHeight="1" s="153">
      <c r="A807" s="306" t="inlineStr">
        <is>
          <t>17/01/2026</t>
        </is>
      </c>
      <c r="B807" s="307" t="inlineStr">
        <is>
          <t>Enero</t>
        </is>
      </c>
      <c r="C807" s="310" t="inlineStr">
        <is>
          <t>AZCUENAGA 5023</t>
        </is>
      </c>
      <c r="D807" s="218" t="n">
        <v>5</v>
      </c>
      <c r="E807" s="218" t="n">
        <v>1</v>
      </c>
      <c r="F807" s="218" t="n"/>
      <c r="G807" s="218" t="n"/>
      <c r="H807" s="218" t="n"/>
      <c r="I807" s="216" t="n">
        <v>95500</v>
      </c>
      <c r="J807" s="309" t="n">
        <v>0</v>
      </c>
      <c r="K807" s="309" t="n">
        <v>95500</v>
      </c>
      <c r="L807" s="217" t="n">
        <v>-2000</v>
      </c>
    </row>
    <row r="808" ht="15" customHeight="1" s="153">
      <c r="A808" s="306" t="inlineStr">
        <is>
          <t>20/01/2026</t>
        </is>
      </c>
      <c r="B808" s="307" t="inlineStr">
        <is>
          <t>Enero</t>
        </is>
      </c>
      <c r="C808" s="310" t="inlineStr">
        <is>
          <t>AZCUENAGA 5023</t>
        </is>
      </c>
      <c r="D808" s="218" t="n">
        <v>5</v>
      </c>
      <c r="E808" s="218" t="n"/>
      <c r="F808" s="218" t="n"/>
      <c r="G808" s="218" t="n"/>
      <c r="H808" s="218" t="n"/>
      <c r="I808" s="216" t="n">
        <v>72500</v>
      </c>
      <c r="J808" s="309" t="n">
        <v>0</v>
      </c>
      <c r="K808" s="309" t="n">
        <v>72500</v>
      </c>
      <c r="L808" s="217" t="n">
        <v>-2500</v>
      </c>
    </row>
    <row r="809" ht="15" customHeight="1" s="153">
      <c r="A809" s="306" t="inlineStr">
        <is>
          <t>24/01/2026</t>
        </is>
      </c>
      <c r="B809" s="307" t="inlineStr">
        <is>
          <t>Enero</t>
        </is>
      </c>
      <c r="C809" s="310" t="inlineStr">
        <is>
          <t>AZCUENAGA 5023</t>
        </is>
      </c>
      <c r="D809" s="218" t="n">
        <v>4</v>
      </c>
      <c r="E809" s="218" t="n">
        <v>1</v>
      </c>
      <c r="F809" s="218" t="n"/>
      <c r="G809" s="218" t="n"/>
      <c r="H809" s="218" t="n"/>
      <c r="I809" s="216" t="n">
        <v>81000</v>
      </c>
      <c r="J809" s="309" t="n">
        <v>0</v>
      </c>
      <c r="K809" s="309" t="n">
        <v>81000</v>
      </c>
      <c r="L809" s="217" t="n">
        <v>-1500</v>
      </c>
    </row>
    <row r="810" ht="15" customHeight="1" s="153">
      <c r="A810" s="306" t="inlineStr">
        <is>
          <t>26/01/2026</t>
        </is>
      </c>
      <c r="B810" s="307" t="inlineStr">
        <is>
          <t>Enero</t>
        </is>
      </c>
      <c r="C810" s="310" t="inlineStr">
        <is>
          <t>AZCUENAGA 5023</t>
        </is>
      </c>
      <c r="D810" s="218" t="n">
        <v>2</v>
      </c>
      <c r="E810" s="218" t="n">
        <v>1</v>
      </c>
      <c r="F810" s="218" t="n"/>
      <c r="G810" s="218" t="n"/>
      <c r="H810" s="218" t="n"/>
      <c r="I810" s="216" t="n">
        <v>52000</v>
      </c>
      <c r="J810" s="309" t="n">
        <v>0</v>
      </c>
      <c r="K810" s="309" t="n">
        <v>52000</v>
      </c>
      <c r="L810" s="217" t="n">
        <v>-500</v>
      </c>
    </row>
    <row r="811" ht="15" customHeight="1" s="153">
      <c r="A811" s="306" t="inlineStr">
        <is>
          <t>28/01/2026</t>
        </is>
      </c>
      <c r="B811" s="307" t="inlineStr">
        <is>
          <t>Enero</t>
        </is>
      </c>
      <c r="C811" s="310" t="inlineStr">
        <is>
          <t>AZCUENAGA 5023</t>
        </is>
      </c>
      <c r="D811" s="218" t="n">
        <v>2</v>
      </c>
      <c r="E811" s="218" t="n"/>
      <c r="F811" s="218" t="n"/>
      <c r="G811" s="218" t="n"/>
      <c r="H811" s="218" t="n"/>
      <c r="I811" s="216" t="n">
        <v>29000</v>
      </c>
      <c r="J811" s="309" t="n">
        <v>29000</v>
      </c>
      <c r="K811" s="309" t="n">
        <v>0</v>
      </c>
      <c r="L811" s="217" t="n">
        <v>-1000</v>
      </c>
    </row>
    <row r="812" ht="15" customHeight="1" s="153">
      <c r="A812" s="306" t="inlineStr">
        <is>
          <t>29/01/2026</t>
        </is>
      </c>
      <c r="B812" s="307" t="inlineStr">
        <is>
          <t>Enero</t>
        </is>
      </c>
      <c r="C812" s="310" t="inlineStr">
        <is>
          <t>AZCUENAGA 5023</t>
        </is>
      </c>
      <c r="D812" s="218" t="n">
        <v>3</v>
      </c>
      <c r="E812" s="218" t="n"/>
      <c r="F812" s="218" t="n"/>
      <c r="G812" s="218" t="n"/>
      <c r="H812" s="218" t="n"/>
      <c r="I812" s="216" t="n">
        <v>43500</v>
      </c>
      <c r="J812" s="309" t="n">
        <v>0</v>
      </c>
      <c r="K812" s="309" t="n">
        <v>43500</v>
      </c>
      <c r="L812" s="217" t="n">
        <v>-1500</v>
      </c>
    </row>
    <row r="813" ht="15" customHeight="1" s="153">
      <c r="A813" s="306" t="inlineStr">
        <is>
          <t>30/01/2026</t>
        </is>
      </c>
      <c r="B813" s="307" t="inlineStr">
        <is>
          <t>Enero</t>
        </is>
      </c>
      <c r="C813" s="310" t="inlineStr">
        <is>
          <t>AZCUENAGA 5023</t>
        </is>
      </c>
      <c r="D813" s="218" t="n">
        <v>1</v>
      </c>
      <c r="E813" s="218" t="n"/>
      <c r="F813" s="218" t="n"/>
      <c r="G813" s="218" t="n"/>
      <c r="H813" s="218" t="n"/>
      <c r="I813" s="216" t="n">
        <v>14500</v>
      </c>
      <c r="J813" s="309" t="n">
        <v>0</v>
      </c>
      <c r="K813" s="309" t="n">
        <v>14500</v>
      </c>
      <c r="L813" s="217" t="n">
        <v>-500</v>
      </c>
    </row>
    <row r="814" ht="15" customHeight="1" s="153">
      <c r="A814" s="306" t="inlineStr">
        <is>
          <t>02/02/2026</t>
        </is>
      </c>
      <c r="B814" s="307" t="inlineStr">
        <is>
          <t>Febrero</t>
        </is>
      </c>
      <c r="C814" s="310" t="inlineStr">
        <is>
          <t>AZCUENAGA 5023</t>
        </is>
      </c>
      <c r="D814" s="218" t="n">
        <v>1</v>
      </c>
      <c r="E814" s="218" t="n"/>
      <c r="F814" s="218" t="n"/>
      <c r="G814" s="218" t="n"/>
      <c r="H814" s="218" t="n"/>
      <c r="I814" s="216" t="n">
        <v>14500</v>
      </c>
      <c r="J814" s="309" t="n">
        <v>0</v>
      </c>
      <c r="K814" s="309" t="n">
        <v>14500</v>
      </c>
      <c r="L814" s="217" t="n">
        <v>-500</v>
      </c>
    </row>
    <row r="815" ht="15" customHeight="1" s="153">
      <c r="A815" s="306" t="inlineStr">
        <is>
          <t>06/02/2026</t>
        </is>
      </c>
      <c r="B815" s="307" t="inlineStr">
        <is>
          <t>Febrero</t>
        </is>
      </c>
      <c r="C815" s="310" t="inlineStr">
        <is>
          <t>AZCUENAGA 5023</t>
        </is>
      </c>
      <c r="D815" s="218" t="n">
        <v>6</v>
      </c>
      <c r="E815" s="218" t="n"/>
      <c r="F815" s="218" t="n"/>
      <c r="G815" s="218" t="n"/>
      <c r="H815" s="218" t="n"/>
      <c r="I815" s="216" t="n">
        <v>87000</v>
      </c>
      <c r="J815" s="309" t="n">
        <v>0</v>
      </c>
      <c r="K815" s="309" t="n">
        <v>87000</v>
      </c>
      <c r="L815" s="217" t="n">
        <v>-3000</v>
      </c>
    </row>
    <row r="816" ht="15" customHeight="1" s="153">
      <c r="A816" s="306" t="inlineStr">
        <is>
          <t>07/02/2026</t>
        </is>
      </c>
      <c r="B816" s="307" t="inlineStr">
        <is>
          <t>Febrero</t>
        </is>
      </c>
      <c r="C816" s="310" t="inlineStr">
        <is>
          <t>AZCUENAGA 5023</t>
        </is>
      </c>
      <c r="D816" s="218" t="n">
        <v>2</v>
      </c>
      <c r="E816" s="218" t="n"/>
      <c r="F816" s="218" t="n"/>
      <c r="G816" s="218" t="n"/>
      <c r="H816" s="218" t="n"/>
      <c r="I816" s="216" t="n">
        <v>29000</v>
      </c>
      <c r="J816" s="309" t="n">
        <v>0</v>
      </c>
      <c r="K816" s="309" t="n">
        <v>29000</v>
      </c>
      <c r="L816" s="217" t="n">
        <v>-1000</v>
      </c>
    </row>
    <row r="817" ht="15" customHeight="1" s="153">
      <c r="A817" s="306" t="inlineStr">
        <is>
          <t>12/02/2026</t>
        </is>
      </c>
      <c r="B817" s="307" t="inlineStr">
        <is>
          <t>Febrero</t>
        </is>
      </c>
      <c r="C817" s="310" t="inlineStr">
        <is>
          <t>AZCUENAGA 5023</t>
        </is>
      </c>
      <c r="D817" s="218" t="n">
        <v>3</v>
      </c>
      <c r="E817" s="218" t="n">
        <v>2</v>
      </c>
      <c r="F817" s="218" t="n"/>
      <c r="G817" s="218" t="n"/>
      <c r="H817" s="218" t="n"/>
      <c r="I817" s="216" t="n">
        <v>87500</v>
      </c>
      <c r="J817" s="309" t="n">
        <v>0</v>
      </c>
      <c r="K817" s="309" t="n">
        <v>87500</v>
      </c>
      <c r="L817" s="217" t="n">
        <v>-2500</v>
      </c>
    </row>
    <row r="818" ht="15" customHeight="1" s="153">
      <c r="A818" s="306" t="inlineStr">
        <is>
          <t>18/02/2026</t>
        </is>
      </c>
      <c r="B818" s="307" t="inlineStr">
        <is>
          <t>Febrero</t>
        </is>
      </c>
      <c r="C818" s="310" t="inlineStr">
        <is>
          <t>AZCUENAGA 5023</t>
        </is>
      </c>
      <c r="D818" s="218" t="n">
        <v>6</v>
      </c>
      <c r="E818" s="218" t="n"/>
      <c r="F818" s="218" t="n"/>
      <c r="G818" s="218" t="n"/>
      <c r="H818" s="218" t="n"/>
      <c r="I818" s="216" t="n">
        <v>87000</v>
      </c>
      <c r="J818" s="309" t="n">
        <v>0</v>
      </c>
      <c r="K818" s="309" t="n">
        <v>87000</v>
      </c>
      <c r="L818" s="217" t="n">
        <v>-3000</v>
      </c>
    </row>
    <row r="819" ht="15" customHeight="1" s="153">
      <c r="A819" s="306" t="inlineStr">
        <is>
          <t>04/03/2026</t>
        </is>
      </c>
      <c r="B819" s="307" t="inlineStr">
        <is>
          <t>Marzo</t>
        </is>
      </c>
      <c r="C819" s="310" t="inlineStr">
        <is>
          <t>AZCUENAGA 5023</t>
        </is>
      </c>
      <c r="D819" s="218" t="n">
        <v>7</v>
      </c>
      <c r="E819" s="218" t="n">
        <v>2</v>
      </c>
      <c r="F819" s="218" t="n"/>
      <c r="G819" s="218" t="n"/>
      <c r="H819" s="218" t="n"/>
      <c r="I819" s="216" t="n">
        <v>150000</v>
      </c>
      <c r="J819" s="309" t="n">
        <v>150000</v>
      </c>
      <c r="K819" s="309" t="n">
        <v>0</v>
      </c>
      <c r="L819" s="236" t="n">
        <v>0</v>
      </c>
    </row>
    <row r="820" ht="15" customHeight="1" s="153">
      <c r="A820" s="306" t="inlineStr">
        <is>
          <t>07/03/2026</t>
        </is>
      </c>
      <c r="B820" s="307" t="inlineStr">
        <is>
          <t>Marzo</t>
        </is>
      </c>
      <c r="C820" s="310" t="inlineStr">
        <is>
          <t>AZCUENAGA 5023</t>
        </is>
      </c>
      <c r="D820" s="218" t="n">
        <v>2</v>
      </c>
      <c r="E820" s="218" t="n">
        <v>1</v>
      </c>
      <c r="F820" s="218" t="n"/>
      <c r="G820" s="218" t="n"/>
      <c r="H820" s="218" t="n"/>
      <c r="I820" s="216" t="n">
        <v>52500</v>
      </c>
      <c r="J820" s="309" t="n">
        <v>0</v>
      </c>
      <c r="K820" s="309" t="n">
        <v>52500</v>
      </c>
      <c r="L820" s="236" t="n">
        <v>0</v>
      </c>
    </row>
    <row r="821" ht="15" customHeight="1" s="153">
      <c r="A821" s="306" t="inlineStr">
        <is>
          <t>11/03/2026</t>
        </is>
      </c>
      <c r="B821" s="307" t="inlineStr">
        <is>
          <t>Marzo</t>
        </is>
      </c>
      <c r="C821" s="310" t="inlineStr">
        <is>
          <t>AZCUENAGA 5023</t>
        </is>
      </c>
      <c r="D821" s="218" t="n">
        <v>7</v>
      </c>
      <c r="E821" s="218" t="n"/>
      <c r="F821" s="218" t="n"/>
      <c r="G821" s="218" t="n"/>
      <c r="H821" s="218" t="n"/>
      <c r="I821" s="216" t="n">
        <v>108500</v>
      </c>
      <c r="J821" s="309" t="n">
        <v>0</v>
      </c>
      <c r="K821" s="309" t="n">
        <v>108500</v>
      </c>
      <c r="L821" s="236" t="n">
        <v>3500</v>
      </c>
    </row>
    <row r="822" ht="15" customHeight="1" s="153">
      <c r="A822" s="306" t="inlineStr">
        <is>
          <t>13/03/2026</t>
        </is>
      </c>
      <c r="B822" s="307" t="inlineStr">
        <is>
          <t>Marzo</t>
        </is>
      </c>
      <c r="C822" s="310" t="inlineStr">
        <is>
          <t>AZCUENAGA 5023</t>
        </is>
      </c>
      <c r="D822" s="218" t="n">
        <v>2</v>
      </c>
      <c r="E822" s="218" t="n"/>
      <c r="F822" s="218" t="n"/>
      <c r="G822" s="218" t="n"/>
      <c r="H822" s="218" t="n"/>
      <c r="I822" s="216" t="n">
        <v>34000</v>
      </c>
      <c r="J822" s="309" t="n">
        <v>0</v>
      </c>
      <c r="K822" s="309" t="n">
        <v>34000</v>
      </c>
      <c r="L822" s="236" t="n">
        <v>4000</v>
      </c>
    </row>
    <row r="823" ht="15" customHeight="1" s="153">
      <c r="A823" s="306" t="inlineStr">
        <is>
          <t>26/03/2026</t>
        </is>
      </c>
      <c r="B823" s="307" t="inlineStr">
        <is>
          <t>Marzo</t>
        </is>
      </c>
      <c r="C823" s="310" t="inlineStr">
        <is>
          <t>AZCUENAGA 5023</t>
        </is>
      </c>
      <c r="D823" s="218" t="n">
        <v>4</v>
      </c>
      <c r="E823" s="218" t="n"/>
      <c r="F823" s="218" t="n"/>
      <c r="G823" s="218" t="n"/>
      <c r="H823" s="218" t="n"/>
      <c r="I823" s="216" t="n">
        <v>68000</v>
      </c>
      <c r="J823" s="309" t="n">
        <v>0</v>
      </c>
      <c r="K823" s="309" t="n">
        <v>68000</v>
      </c>
      <c r="L823" s="236" t="n">
        <v>8000</v>
      </c>
    </row>
    <row r="824" ht="15" customHeight="1" s="153">
      <c r="A824" s="306" t="inlineStr">
        <is>
          <t>02/04/2026</t>
        </is>
      </c>
      <c r="B824" s="307" t="inlineStr">
        <is>
          <t>Abril</t>
        </is>
      </c>
      <c r="C824" s="310" t="inlineStr">
        <is>
          <t>AZCUENAGA 5023</t>
        </is>
      </c>
      <c r="D824" s="218" t="n">
        <v>7</v>
      </c>
      <c r="E824" s="218" t="n"/>
      <c r="F824" s="218" t="n"/>
      <c r="G824" s="218" t="n"/>
      <c r="H824" s="218" t="n"/>
      <c r="I824" s="216" t="n">
        <v>133000</v>
      </c>
      <c r="J824" s="309" t="n">
        <v>0</v>
      </c>
      <c r="K824" s="309" t="n">
        <v>133000</v>
      </c>
      <c r="L824" s="236" t="n">
        <v>28000</v>
      </c>
    </row>
    <row r="825" ht="15" customHeight="1" s="153">
      <c r="A825" s="306" t="inlineStr">
        <is>
          <t>07/04/2026</t>
        </is>
      </c>
      <c r="B825" s="307" t="inlineStr">
        <is>
          <t>Abril</t>
        </is>
      </c>
      <c r="C825" s="310" t="inlineStr">
        <is>
          <t>AZCUENAGA 5023</t>
        </is>
      </c>
      <c r="D825" s="218" t="n">
        <v>6</v>
      </c>
      <c r="E825" s="218" t="n"/>
      <c r="F825" s="218" t="n"/>
      <c r="G825" s="218" t="n"/>
      <c r="H825" s="218" t="n"/>
      <c r="I825" s="216" t="n">
        <v>114000</v>
      </c>
      <c r="J825" s="309" t="n">
        <v>0</v>
      </c>
      <c r="K825" s="309" t="n">
        <v>114000</v>
      </c>
      <c r="L825" s="236" t="n">
        <v>24000</v>
      </c>
    </row>
    <row r="826" ht="15" customHeight="1" s="153">
      <c r="A826" s="306" t="inlineStr">
        <is>
          <t>13/04/2026</t>
        </is>
      </c>
      <c r="B826" s="307" t="inlineStr">
        <is>
          <t>Abril</t>
        </is>
      </c>
      <c r="C826" s="310" t="inlineStr">
        <is>
          <t>AZCUENAGA 5023</t>
        </is>
      </c>
      <c r="D826" s="218" t="n">
        <v>7</v>
      </c>
      <c r="E826" s="218" t="n"/>
      <c r="F826" s="218" t="n"/>
      <c r="G826" s="218" t="n"/>
      <c r="H826" s="218" t="n"/>
      <c r="I826" s="216" t="n">
        <v>133000</v>
      </c>
      <c r="J826" s="309" t="n">
        <v>0</v>
      </c>
      <c r="K826" s="309" t="n">
        <v>133000</v>
      </c>
      <c r="L826" s="236" t="n">
        <v>28000</v>
      </c>
    </row>
    <row r="827" ht="15" customHeight="1" s="153">
      <c r="A827" s="306" t="inlineStr">
        <is>
          <t>20/04/2026</t>
        </is>
      </c>
      <c r="B827" s="307" t="inlineStr">
        <is>
          <t>Abril</t>
        </is>
      </c>
      <c r="C827" s="310" t="inlineStr">
        <is>
          <t>AZCUENAGA 5023</t>
        </is>
      </c>
      <c r="D827" s="218" t="n">
        <v>5</v>
      </c>
      <c r="E827" s="218" t="n"/>
      <c r="F827" s="218" t="n"/>
      <c r="G827" s="218" t="n"/>
      <c r="H827" s="218" t="n"/>
      <c r="I827" s="216" t="n">
        <v>95000</v>
      </c>
      <c r="J827" s="309" t="n">
        <v>0</v>
      </c>
      <c r="K827" s="309" t="n">
        <v>95000</v>
      </c>
      <c r="L827" s="236" t="n">
        <v>20000</v>
      </c>
    </row>
    <row r="828" ht="15" customHeight="1" s="153">
      <c r="A828" s="302" t="inlineStr">
        <is>
          <t>03/03/2026</t>
        </is>
      </c>
      <c r="B828" s="303" t="inlineStr">
        <is>
          <t>Marzo</t>
        </is>
      </c>
      <c r="C828" s="311" t="inlineStr">
        <is>
          <t>AZOPARD0 10560</t>
        </is>
      </c>
      <c r="D828" s="225" t="n">
        <v>1</v>
      </c>
      <c r="E828" s="225" t="n"/>
      <c r="F828" s="225" t="n"/>
      <c r="G828" s="225" t="n"/>
      <c r="H828" s="225" t="n"/>
      <c r="I828" s="223" t="n">
        <v>21000</v>
      </c>
      <c r="J828" s="305" t="n">
        <v>21000</v>
      </c>
      <c r="K828" s="305" t="n">
        <v>0</v>
      </c>
      <c r="L828" s="224" t="n">
        <v>6000</v>
      </c>
    </row>
    <row r="829" ht="15" customHeight="1" s="153">
      <c r="A829" s="306" t="inlineStr">
        <is>
          <t>24/03/2026</t>
        </is>
      </c>
      <c r="B829" s="307" t="inlineStr">
        <is>
          <t>Marzo</t>
        </is>
      </c>
      <c r="C829" s="310" t="inlineStr">
        <is>
          <t>AZOPARDO 10529</t>
        </is>
      </c>
      <c r="D829" s="218" t="n">
        <v>1</v>
      </c>
      <c r="E829" s="218" t="n"/>
      <c r="F829" s="218" t="n"/>
      <c r="G829" s="218" t="n"/>
      <c r="H829" s="218" t="n"/>
      <c r="I829" s="216" t="n">
        <v>25000</v>
      </c>
      <c r="J829" s="309" t="n">
        <v>25000</v>
      </c>
      <c r="K829" s="309" t="n">
        <v>0</v>
      </c>
      <c r="L829" s="236" t="n">
        <v>10000</v>
      </c>
    </row>
    <row r="830" ht="15" customHeight="1" s="153">
      <c r="A830" s="302" t="inlineStr">
        <is>
          <t>21/04/2026</t>
        </is>
      </c>
      <c r="B830" s="303" t="inlineStr">
        <is>
          <t>Abril</t>
        </is>
      </c>
      <c r="C830" s="311" t="inlineStr">
        <is>
          <t>AZOPARDO 10560</t>
        </is>
      </c>
      <c r="D830" s="225" t="n">
        <v>1</v>
      </c>
      <c r="E830" s="225" t="n"/>
      <c r="F830" s="225" t="n"/>
      <c r="G830" s="225" t="n"/>
      <c r="H830" s="225" t="n"/>
      <c r="I830" s="223" t="n">
        <v>26000</v>
      </c>
      <c r="J830" s="305" t="n">
        <v>26000</v>
      </c>
      <c r="K830" s="305" t="n">
        <v>0</v>
      </c>
      <c r="L830" s="224" t="n">
        <v>11000</v>
      </c>
    </row>
    <row r="831" ht="15" customHeight="1" s="153">
      <c r="A831" s="306" t="inlineStr">
        <is>
          <t>09/03/2026</t>
        </is>
      </c>
      <c r="B831" s="307" t="inlineStr">
        <is>
          <t>Marzo</t>
        </is>
      </c>
      <c r="C831" s="310" t="inlineStr">
        <is>
          <t>AZOPARDO 7218</t>
        </is>
      </c>
      <c r="D831" s="218" t="n">
        <v>1</v>
      </c>
      <c r="E831" s="218" t="n"/>
      <c r="F831" s="218" t="n"/>
      <c r="G831" s="218" t="n"/>
      <c r="H831" s="218" t="n"/>
      <c r="I831" s="216" t="n">
        <v>21000</v>
      </c>
      <c r="J831" s="309" t="n">
        <v>21000</v>
      </c>
      <c r="K831" s="309" t="n">
        <v>0</v>
      </c>
      <c r="L831" s="236" t="n">
        <v>6000</v>
      </c>
    </row>
    <row r="832" ht="15" customHeight="1" s="153">
      <c r="A832" s="302" t="inlineStr">
        <is>
          <t>10/01/2026</t>
        </is>
      </c>
      <c r="B832" s="303" t="inlineStr">
        <is>
          <t>Enero</t>
        </is>
      </c>
      <c r="C832" s="311" t="inlineStr">
        <is>
          <t>AZOPARDO 7219</t>
        </is>
      </c>
      <c r="D832" s="225" t="n">
        <v>1</v>
      </c>
      <c r="E832" s="225" t="n"/>
      <c r="F832" s="225" t="n"/>
      <c r="G832" s="225" t="n"/>
      <c r="H832" s="225" t="n"/>
      <c r="I832" s="223" t="n">
        <v>22000</v>
      </c>
      <c r="J832" s="305" t="n">
        <v>0</v>
      </c>
      <c r="K832" s="305" t="n">
        <v>22000</v>
      </c>
      <c r="L832" s="224" t="n">
        <v>7000</v>
      </c>
    </row>
    <row r="833" ht="15" customHeight="1" s="153">
      <c r="A833" s="306" t="inlineStr">
        <is>
          <t>18/02/2026</t>
        </is>
      </c>
      <c r="B833" s="307" t="inlineStr">
        <is>
          <t>Febrero</t>
        </is>
      </c>
      <c r="C833" s="310" t="inlineStr">
        <is>
          <t>AZOPARDO 7263</t>
        </is>
      </c>
      <c r="D833" s="218" t="n">
        <v>1</v>
      </c>
      <c r="E833" s="218" t="n"/>
      <c r="F833" s="218" t="n"/>
      <c r="G833" s="218" t="n"/>
      <c r="H833" s="218" t="n"/>
      <c r="I833" s="216" t="n">
        <v>22000</v>
      </c>
      <c r="J833" s="309" t="n">
        <v>0</v>
      </c>
      <c r="K833" s="309" t="n">
        <v>22000</v>
      </c>
      <c r="L833" s="236" t="n">
        <v>7000</v>
      </c>
    </row>
    <row r="834" ht="15" customHeight="1" s="153">
      <c r="A834" s="302" t="inlineStr">
        <is>
          <t>28/02/2026</t>
        </is>
      </c>
      <c r="B834" s="303" t="inlineStr">
        <is>
          <t>Febrero</t>
        </is>
      </c>
      <c r="C834" s="311" t="inlineStr">
        <is>
          <t>AZOPARDO 8443</t>
        </is>
      </c>
      <c r="D834" s="225" t="n">
        <v>1</v>
      </c>
      <c r="E834" s="225" t="n"/>
      <c r="F834" s="225" t="n"/>
      <c r="G834" s="225" t="n"/>
      <c r="H834" s="225" t="n"/>
      <c r="I834" s="223" t="n">
        <v>21000</v>
      </c>
      <c r="J834" s="305" t="n">
        <v>21000</v>
      </c>
      <c r="K834" s="305" t="n">
        <v>0</v>
      </c>
      <c r="L834" s="224" t="n">
        <v>6000</v>
      </c>
    </row>
    <row r="835" ht="15" customHeight="1" s="153">
      <c r="A835" s="302" t="inlineStr">
        <is>
          <t>21/04/2026</t>
        </is>
      </c>
      <c r="B835" s="303" t="inlineStr">
        <is>
          <t>Abril</t>
        </is>
      </c>
      <c r="C835" s="311" t="inlineStr">
        <is>
          <t>AZOPARDO 8443</t>
        </is>
      </c>
      <c r="D835" s="225" t="n">
        <v>1</v>
      </c>
      <c r="E835" s="225" t="n"/>
      <c r="F835" s="225" t="n"/>
      <c r="G835" s="225" t="n"/>
      <c r="H835" s="225" t="n"/>
      <c r="I835" s="223" t="n">
        <v>25000</v>
      </c>
      <c r="J835" s="305" t="n">
        <v>0</v>
      </c>
      <c r="K835" s="305" t="n">
        <v>25000</v>
      </c>
      <c r="L835" s="224" t="n">
        <v>10000</v>
      </c>
    </row>
    <row r="836" ht="15" customHeight="1" s="153">
      <c r="A836" s="306" t="inlineStr">
        <is>
          <t>15/02/2026</t>
        </is>
      </c>
      <c r="B836" s="307" t="inlineStr">
        <is>
          <t>Febrero</t>
        </is>
      </c>
      <c r="C836" s="310" t="inlineStr">
        <is>
          <t>AZOPARDO 8505</t>
        </is>
      </c>
      <c r="D836" s="218" t="n">
        <v>1</v>
      </c>
      <c r="E836" s="218" t="n"/>
      <c r="F836" s="218" t="n"/>
      <c r="G836" s="218" t="n"/>
      <c r="H836" s="218" t="n"/>
      <c r="I836" s="216" t="n">
        <v>22000</v>
      </c>
      <c r="J836" s="309" t="n">
        <v>0</v>
      </c>
      <c r="K836" s="309" t="n">
        <v>22000</v>
      </c>
      <c r="L836" s="236" t="n">
        <v>7000</v>
      </c>
    </row>
    <row r="837" ht="15" customHeight="1" s="153">
      <c r="A837" s="302" t="inlineStr">
        <is>
          <t>20/01/2026</t>
        </is>
      </c>
      <c r="B837" s="303" t="inlineStr">
        <is>
          <t>Enero</t>
        </is>
      </c>
      <c r="C837" s="311" t="inlineStr">
        <is>
          <t>B IRIGOYEN 6634</t>
        </is>
      </c>
      <c r="D837" s="225" t="n">
        <v>1</v>
      </c>
      <c r="E837" s="225" t="n"/>
      <c r="F837" s="225" t="n"/>
      <c r="G837" s="225" t="n"/>
      <c r="H837" s="225" t="n"/>
      <c r="I837" s="223" t="n">
        <v>21000</v>
      </c>
      <c r="J837" s="305" t="n">
        <v>21000</v>
      </c>
      <c r="K837" s="305" t="n">
        <v>0</v>
      </c>
      <c r="L837" s="224" t="n">
        <v>6000</v>
      </c>
    </row>
    <row r="838" ht="15" customHeight="1" s="153">
      <c r="A838" s="302" t="inlineStr">
        <is>
          <t>02/03/2026</t>
        </is>
      </c>
      <c r="B838" s="303" t="inlineStr">
        <is>
          <t>Marzo</t>
        </is>
      </c>
      <c r="C838" s="311" t="inlineStr">
        <is>
          <t>B IRIGOYEN 6634</t>
        </is>
      </c>
      <c r="D838" s="225" t="n">
        <v>1</v>
      </c>
      <c r="E838" s="225" t="n"/>
      <c r="F838" s="225" t="n"/>
      <c r="G838" s="225" t="n"/>
      <c r="H838" s="225" t="n"/>
      <c r="I838" s="223" t="n">
        <v>22000</v>
      </c>
      <c r="J838" s="305" t="n">
        <v>22000</v>
      </c>
      <c r="K838" s="305" t="n">
        <v>0</v>
      </c>
      <c r="L838" s="224" t="n">
        <v>7000</v>
      </c>
    </row>
    <row r="839" ht="15" customHeight="1" s="153">
      <c r="A839" s="306" t="inlineStr">
        <is>
          <t>08/04/2026</t>
        </is>
      </c>
      <c r="B839" s="307" t="inlineStr">
        <is>
          <t>Abril</t>
        </is>
      </c>
      <c r="C839" s="310" t="inlineStr">
        <is>
          <t>B IRIGOYEN 6854</t>
        </is>
      </c>
      <c r="D839" s="218" t="n">
        <v>1</v>
      </c>
      <c r="E839" s="218" t="n"/>
      <c r="F839" s="218" t="n"/>
      <c r="G839" s="218" t="n"/>
      <c r="H839" s="218" t="n"/>
      <c r="I839" s="216" t="n">
        <v>23000</v>
      </c>
      <c r="J839" s="309" t="n">
        <v>23000</v>
      </c>
      <c r="K839" s="309" t="n">
        <v>0</v>
      </c>
      <c r="L839" s="236" t="n">
        <v>8000</v>
      </c>
    </row>
    <row r="840" ht="15" customHeight="1" s="153">
      <c r="A840" s="302" t="inlineStr">
        <is>
          <t>18/01/2026</t>
        </is>
      </c>
      <c r="B840" s="303" t="inlineStr">
        <is>
          <t>Enero</t>
        </is>
      </c>
      <c r="C840" s="311" t="inlineStr">
        <is>
          <t>B IRIGOYEN 8383</t>
        </is>
      </c>
      <c r="D840" s="225" t="n"/>
      <c r="E840" s="225" t="n"/>
      <c r="F840" s="225" t="n">
        <v>1</v>
      </c>
      <c r="G840" s="225" t="n"/>
      <c r="H840" s="225" t="n"/>
      <c r="I840" s="223" t="n">
        <v>75000</v>
      </c>
      <c r="J840" s="305" t="n">
        <v>75000</v>
      </c>
      <c r="K840" s="305" t="n">
        <v>0</v>
      </c>
      <c r="L840" s="224" t="n">
        <v>15000</v>
      </c>
    </row>
    <row r="841" ht="15" customHeight="1" s="153">
      <c r="A841" s="306" t="inlineStr">
        <is>
          <t>18/03/2026</t>
        </is>
      </c>
      <c r="B841" s="307" t="inlineStr">
        <is>
          <t>Marzo</t>
        </is>
      </c>
      <c r="C841" s="310" t="inlineStr">
        <is>
          <t>B IRIGOYRN 6848</t>
        </is>
      </c>
      <c r="D841" s="218" t="n">
        <v>1</v>
      </c>
      <c r="E841" s="218" t="n"/>
      <c r="F841" s="218" t="n"/>
      <c r="G841" s="218" t="n"/>
      <c r="H841" s="218" t="n"/>
      <c r="I841" s="216" t="n">
        <v>24000</v>
      </c>
      <c r="J841" s="309" t="n">
        <v>24000</v>
      </c>
      <c r="K841" s="309" t="n">
        <v>0</v>
      </c>
      <c r="L841" s="236" t="n">
        <v>9000</v>
      </c>
    </row>
    <row r="842" ht="15" customHeight="1" s="153">
      <c r="A842" s="302" t="inlineStr">
        <is>
          <t>20/01/2026</t>
        </is>
      </c>
      <c r="B842" s="303" t="inlineStr">
        <is>
          <t>Enero</t>
        </is>
      </c>
      <c r="C842" s="311" t="inlineStr">
        <is>
          <t>BAIGORRIA 9350</t>
        </is>
      </c>
      <c r="D842" s="225" t="n"/>
      <c r="E842" s="225" t="n"/>
      <c r="F842" s="225" t="n">
        <v>1</v>
      </c>
      <c r="G842" s="225" t="n"/>
      <c r="H842" s="225" t="n"/>
      <c r="I842" s="223" t="n">
        <v>77000</v>
      </c>
      <c r="J842" s="305" t="n">
        <v>0</v>
      </c>
      <c r="K842" s="305" t="n">
        <v>77000</v>
      </c>
      <c r="L842" s="224" t="n">
        <v>17000</v>
      </c>
    </row>
    <row r="843" ht="15" customHeight="1" s="153">
      <c r="A843" s="302" t="inlineStr">
        <is>
          <t>24/02/2026</t>
        </is>
      </c>
      <c r="B843" s="303" t="inlineStr">
        <is>
          <t>Febrero</t>
        </is>
      </c>
      <c r="C843" s="311" t="inlineStr">
        <is>
          <t>BAIGORRIA 9350</t>
        </is>
      </c>
      <c r="D843" s="225" t="n"/>
      <c r="E843" s="225" t="n"/>
      <c r="F843" s="225" t="n">
        <v>1</v>
      </c>
      <c r="G843" s="225" t="n"/>
      <c r="H843" s="225" t="n"/>
      <c r="I843" s="223" t="n">
        <v>77000</v>
      </c>
      <c r="J843" s="305" t="n">
        <v>77000</v>
      </c>
      <c r="K843" s="305" t="n">
        <v>0</v>
      </c>
      <c r="L843" s="224" t="n">
        <v>17000</v>
      </c>
    </row>
    <row r="844" ht="15" customHeight="1" s="153">
      <c r="A844" s="306" t="inlineStr">
        <is>
          <t>02/04/2026</t>
        </is>
      </c>
      <c r="B844" s="307" t="inlineStr">
        <is>
          <t>Abril</t>
        </is>
      </c>
      <c r="C844" s="310" t="inlineStr">
        <is>
          <t>BAIGORRIA 9351</t>
        </is>
      </c>
      <c r="D844" s="218" t="n"/>
      <c r="E844" s="218" t="n"/>
      <c r="F844" s="218" t="n">
        <v>1</v>
      </c>
      <c r="G844" s="218" t="n"/>
      <c r="H844" s="218" t="n"/>
      <c r="I844" s="216" t="n">
        <v>90000</v>
      </c>
      <c r="J844" s="309" t="n">
        <v>90000</v>
      </c>
      <c r="K844" s="309" t="n">
        <v>0</v>
      </c>
      <c r="L844" s="236" t="n">
        <v>30000</v>
      </c>
    </row>
    <row r="845" ht="15" customHeight="1" s="153">
      <c r="A845" s="302" t="inlineStr">
        <is>
          <t>14/01/2026</t>
        </is>
      </c>
      <c r="B845" s="303" t="inlineStr">
        <is>
          <t>Enero</t>
        </is>
      </c>
      <c r="C845" s="311" t="inlineStr">
        <is>
          <t>BARRETO 8200</t>
        </is>
      </c>
      <c r="D845" s="225" t="n"/>
      <c r="E845" s="225" t="n"/>
      <c r="F845" s="225" t="n"/>
      <c r="G845" s="225" t="n"/>
      <c r="H845" s="225" t="n">
        <v>1</v>
      </c>
      <c r="I845" s="223" t="n">
        <v>5000</v>
      </c>
      <c r="J845" s="305" t="n">
        <v>0</v>
      </c>
      <c r="K845" s="305" t="n">
        <v>5000</v>
      </c>
      <c r="L845" s="224" t="n">
        <v>4150</v>
      </c>
    </row>
    <row r="846" ht="15" customHeight="1" s="153">
      <c r="A846" s="306" t="inlineStr">
        <is>
          <t>05/02/2026</t>
        </is>
      </c>
      <c r="B846" s="307" t="inlineStr">
        <is>
          <t>Abril</t>
        </is>
      </c>
      <c r="C846" s="310" t="inlineStr">
        <is>
          <t>BARRETO 9261</t>
        </is>
      </c>
      <c r="D846" s="218" t="n"/>
      <c r="E846" s="218" t="n">
        <v>1</v>
      </c>
      <c r="F846" s="218" t="n"/>
      <c r="G846" s="218" t="n"/>
      <c r="H846" s="218" t="n"/>
      <c r="I846" s="216" t="n">
        <v>39000</v>
      </c>
      <c r="J846" s="309" t="n">
        <v>0</v>
      </c>
      <c r="K846" s="309" t="n">
        <v>39000</v>
      </c>
      <c r="L846" s="236" t="n">
        <v>16500</v>
      </c>
    </row>
    <row r="847" ht="15" customHeight="1" s="153">
      <c r="A847" s="306" t="inlineStr">
        <is>
          <t>11/02/2026</t>
        </is>
      </c>
      <c r="B847" s="307" t="inlineStr">
        <is>
          <t>Febrero</t>
        </is>
      </c>
      <c r="C847" s="310" t="inlineStr">
        <is>
          <t>BARRETO 9261</t>
        </is>
      </c>
      <c r="D847" s="218" t="n"/>
      <c r="E847" s="218" t="n">
        <v>1</v>
      </c>
      <c r="F847" s="218" t="n"/>
      <c r="G847" s="218" t="n"/>
      <c r="H847" s="218" t="n"/>
      <c r="I847" s="216" t="n">
        <v>33500</v>
      </c>
      <c r="J847" s="309" t="n">
        <v>0</v>
      </c>
      <c r="K847" s="309" t="n">
        <v>33500</v>
      </c>
      <c r="L847" s="236" t="n">
        <v>11000</v>
      </c>
    </row>
    <row r="848" ht="15" customHeight="1" s="153">
      <c r="A848" s="302" t="inlineStr">
        <is>
          <t>16/01/2026</t>
        </is>
      </c>
      <c r="B848" s="303" t="inlineStr">
        <is>
          <t>Enero</t>
        </is>
      </c>
      <c r="C848" s="311" t="inlineStr">
        <is>
          <t>BEATRIZ</t>
        </is>
      </c>
      <c r="D848" s="225" t="n"/>
      <c r="E848" s="225" t="n"/>
      <c r="F848" s="225" t="n"/>
      <c r="G848" s="225" t="n"/>
      <c r="H848" s="225" t="n">
        <v>1</v>
      </c>
      <c r="I848" s="223" t="n">
        <v>5000</v>
      </c>
      <c r="J848" s="305" t="n">
        <v>5000</v>
      </c>
      <c r="K848" s="305" t="n">
        <v>0</v>
      </c>
      <c r="L848" s="224" t="n">
        <v>4150</v>
      </c>
    </row>
    <row r="849" ht="15" customHeight="1" s="153">
      <c r="A849" s="302" t="inlineStr">
        <is>
          <t>22/01/2026</t>
        </is>
      </c>
      <c r="B849" s="303" t="inlineStr">
        <is>
          <t>Enero</t>
        </is>
      </c>
      <c r="C849" s="311" t="inlineStr">
        <is>
          <t>BEATRIZ</t>
        </is>
      </c>
      <c r="D849" s="225" t="n"/>
      <c r="E849" s="225" t="n"/>
      <c r="F849" s="225" t="n"/>
      <c r="G849" s="225" t="n"/>
      <c r="H849" s="225" t="n">
        <v>1</v>
      </c>
      <c r="I849" s="223" t="n">
        <v>5000</v>
      </c>
      <c r="J849" s="305" t="n">
        <v>5000</v>
      </c>
      <c r="K849" s="305" t="n">
        <v>0</v>
      </c>
      <c r="L849" s="224" t="n">
        <v>4150</v>
      </c>
    </row>
    <row r="850" ht="15" customHeight="1" s="153">
      <c r="A850" s="302" t="inlineStr">
        <is>
          <t>29/01/2026</t>
        </is>
      </c>
      <c r="B850" s="303" t="inlineStr">
        <is>
          <t>Enero</t>
        </is>
      </c>
      <c r="C850" s="311" t="inlineStr">
        <is>
          <t>BEATRIZ</t>
        </is>
      </c>
      <c r="D850" s="225" t="n"/>
      <c r="E850" s="225" t="n"/>
      <c r="F850" s="225" t="n"/>
      <c r="G850" s="225" t="n"/>
      <c r="H850" s="225" t="n">
        <v>1</v>
      </c>
      <c r="I850" s="223" t="n">
        <v>5000</v>
      </c>
      <c r="J850" s="305" t="n">
        <v>5000</v>
      </c>
      <c r="K850" s="305" t="n">
        <v>0</v>
      </c>
      <c r="L850" s="224" t="n">
        <v>4150</v>
      </c>
    </row>
    <row r="851" ht="15" customHeight="1" s="153">
      <c r="A851" s="302" t="inlineStr">
        <is>
          <t>03/02/2026</t>
        </is>
      </c>
      <c r="B851" s="303" t="inlineStr">
        <is>
          <t>Febrero</t>
        </is>
      </c>
      <c r="C851" s="311" t="inlineStr">
        <is>
          <t>BEATRIZ</t>
        </is>
      </c>
      <c r="D851" s="225" t="n"/>
      <c r="E851" s="225" t="n"/>
      <c r="F851" s="225" t="n"/>
      <c r="G851" s="225" t="n"/>
      <c r="H851" s="225" t="n">
        <v>1</v>
      </c>
      <c r="I851" s="223" t="n">
        <v>5000</v>
      </c>
      <c r="J851" s="305" t="n">
        <v>5000</v>
      </c>
      <c r="K851" s="305" t="n">
        <v>0</v>
      </c>
      <c r="L851" s="224" t="n">
        <v>4150</v>
      </c>
    </row>
    <row r="852" ht="15" customHeight="1" s="153">
      <c r="A852" s="302" t="inlineStr">
        <is>
          <t>09/02/2026</t>
        </is>
      </c>
      <c r="B852" s="303" t="inlineStr">
        <is>
          <t>Febrero</t>
        </is>
      </c>
      <c r="C852" s="311" t="inlineStr">
        <is>
          <t>BEATRIZ</t>
        </is>
      </c>
      <c r="D852" s="225" t="n"/>
      <c r="E852" s="225" t="n"/>
      <c r="F852" s="225" t="n"/>
      <c r="G852" s="225" t="n"/>
      <c r="H852" s="225" t="n">
        <v>1</v>
      </c>
      <c r="I852" s="223" t="n">
        <v>5000</v>
      </c>
      <c r="J852" s="305" t="n">
        <v>5000</v>
      </c>
      <c r="K852" s="305" t="n">
        <v>0</v>
      </c>
      <c r="L852" s="224" t="n">
        <v>4150</v>
      </c>
    </row>
    <row r="853" ht="15" customHeight="1" s="153">
      <c r="A853" s="302" t="inlineStr">
        <is>
          <t>16/02/2026</t>
        </is>
      </c>
      <c r="B853" s="303" t="inlineStr">
        <is>
          <t>Febrero</t>
        </is>
      </c>
      <c r="C853" s="311" t="inlineStr">
        <is>
          <t>BEATRIZ</t>
        </is>
      </c>
      <c r="D853" s="225" t="n">
        <v>1</v>
      </c>
      <c r="E853" s="225" t="n"/>
      <c r="F853" s="225" t="n"/>
      <c r="G853" s="225" t="n"/>
      <c r="H853" s="225" t="n"/>
      <c r="I853" s="223" t="n">
        <v>5000</v>
      </c>
      <c r="J853" s="305" t="n">
        <v>5000</v>
      </c>
      <c r="K853" s="305" t="n">
        <v>0</v>
      </c>
      <c r="L853" s="245" t="n">
        <v>-10000</v>
      </c>
    </row>
    <row r="854" ht="15" customHeight="1" s="153">
      <c r="A854" s="302" t="inlineStr">
        <is>
          <t>21/02/2026</t>
        </is>
      </c>
      <c r="B854" s="303" t="inlineStr">
        <is>
          <t>Febrero</t>
        </is>
      </c>
      <c r="C854" s="311" t="inlineStr">
        <is>
          <t>BEATRIZ</t>
        </is>
      </c>
      <c r="D854" s="225" t="n"/>
      <c r="E854" s="225" t="n">
        <v>1</v>
      </c>
      <c r="F854" s="225" t="n"/>
      <c r="G854" s="225" t="n"/>
      <c r="H854" s="225" t="n">
        <v>1</v>
      </c>
      <c r="I854" s="223" t="n">
        <v>38000</v>
      </c>
      <c r="J854" s="305" t="n">
        <v>0</v>
      </c>
      <c r="K854" s="305" t="n">
        <v>38000</v>
      </c>
      <c r="L854" s="224" t="n">
        <v>14650</v>
      </c>
    </row>
    <row r="855" ht="15" customHeight="1" s="153">
      <c r="A855" s="302" t="inlineStr">
        <is>
          <t>27/02/2026</t>
        </is>
      </c>
      <c r="B855" s="303" t="inlineStr">
        <is>
          <t>Febrero</t>
        </is>
      </c>
      <c r="C855" s="311" t="inlineStr">
        <is>
          <t>BEATRIZ</t>
        </is>
      </c>
      <c r="D855" s="225" t="n"/>
      <c r="E855" s="225" t="n"/>
      <c r="F855" s="225" t="n"/>
      <c r="G855" s="225" t="n"/>
      <c r="H855" s="225" t="n">
        <v>1</v>
      </c>
      <c r="I855" s="223" t="n">
        <v>5000</v>
      </c>
      <c r="J855" s="305" t="n">
        <v>5000</v>
      </c>
      <c r="K855" s="305" t="n">
        <v>0</v>
      </c>
      <c r="L855" s="224" t="n">
        <v>4150</v>
      </c>
    </row>
    <row r="856" ht="15" customHeight="1" s="153">
      <c r="A856" s="302" t="inlineStr">
        <is>
          <t>06/03/2026</t>
        </is>
      </c>
      <c r="B856" s="303" t="inlineStr">
        <is>
          <t>Marzo</t>
        </is>
      </c>
      <c r="C856" s="311" t="inlineStr">
        <is>
          <t>BEATRIZ</t>
        </is>
      </c>
      <c r="D856" s="225" t="n"/>
      <c r="E856" s="225" t="n"/>
      <c r="F856" s="225" t="n"/>
      <c r="G856" s="225" t="n"/>
      <c r="H856" s="225" t="n">
        <v>1</v>
      </c>
      <c r="I856" s="223" t="n">
        <v>5500</v>
      </c>
      <c r="J856" s="305" t="n">
        <v>0</v>
      </c>
      <c r="K856" s="305" t="n">
        <v>5500</v>
      </c>
      <c r="L856" s="224" t="n">
        <v>4650</v>
      </c>
    </row>
    <row r="857" ht="15" customHeight="1" s="153">
      <c r="A857" s="302" t="inlineStr">
        <is>
          <t>04/04/2026</t>
        </is>
      </c>
      <c r="B857" s="303" t="inlineStr">
        <is>
          <t>Abril</t>
        </is>
      </c>
      <c r="C857" s="311" t="inlineStr">
        <is>
          <t>BEATRIZ</t>
        </is>
      </c>
      <c r="D857" s="225" t="n"/>
      <c r="E857" s="225" t="n"/>
      <c r="F857" s="225" t="n"/>
      <c r="G857" s="225" t="n"/>
      <c r="H857" s="225" t="n">
        <v>1</v>
      </c>
      <c r="I857" s="223" t="n">
        <v>6000</v>
      </c>
      <c r="J857" s="305" t="n">
        <v>0</v>
      </c>
      <c r="K857" s="305" t="n">
        <v>6000</v>
      </c>
      <c r="L857" s="224" t="n">
        <v>5150</v>
      </c>
    </row>
    <row r="858" ht="15" customHeight="1" s="153">
      <c r="A858" s="302" t="inlineStr">
        <is>
          <t>16/04/2026</t>
        </is>
      </c>
      <c r="B858" s="303" t="inlineStr">
        <is>
          <t>Abril</t>
        </is>
      </c>
      <c r="C858" s="311" t="inlineStr">
        <is>
          <t>BEATRIZ</t>
        </is>
      </c>
      <c r="D858" s="225" t="n"/>
      <c r="E858" s="225" t="n"/>
      <c r="F858" s="225" t="n"/>
      <c r="G858" s="225" t="n"/>
      <c r="H858" s="225" t="n">
        <v>1</v>
      </c>
      <c r="I858" s="223" t="n">
        <v>6000</v>
      </c>
      <c r="J858" s="305" t="n">
        <v>6000</v>
      </c>
      <c r="K858" s="305" t="n">
        <v>0</v>
      </c>
      <c r="L858" s="224" t="n">
        <v>5150</v>
      </c>
    </row>
    <row r="859" ht="15" customHeight="1" s="153">
      <c r="A859" s="306" t="inlineStr">
        <is>
          <t>22/03/2026</t>
        </is>
      </c>
      <c r="B859" s="307" t="inlineStr">
        <is>
          <t>Marzo</t>
        </is>
      </c>
      <c r="C859" s="310" t="inlineStr">
        <is>
          <t>BELGRANO 3295</t>
        </is>
      </c>
      <c r="D859" s="218" t="n">
        <v>1</v>
      </c>
      <c r="E859" s="218" t="n"/>
      <c r="F859" s="218" t="n"/>
      <c r="G859" s="218" t="n"/>
      <c r="H859" s="218" t="n"/>
      <c r="I859" s="216" t="n">
        <v>24500</v>
      </c>
      <c r="J859" s="309" t="n">
        <v>24500</v>
      </c>
      <c r="K859" s="309" t="n">
        <v>0</v>
      </c>
      <c r="L859" s="236" t="n">
        <v>9500</v>
      </c>
    </row>
    <row r="860" ht="15" customHeight="1" s="153">
      <c r="A860" s="302" t="inlineStr">
        <is>
          <t>24/03/2026</t>
        </is>
      </c>
      <c r="B860" s="303" t="inlineStr">
        <is>
          <t>Marzo</t>
        </is>
      </c>
      <c r="C860" s="311" t="inlineStr">
        <is>
          <t>BELGRANO 6382</t>
        </is>
      </c>
      <c r="D860" s="225" t="n">
        <v>1</v>
      </c>
      <c r="E860" s="225" t="n"/>
      <c r="F860" s="225" t="n"/>
      <c r="G860" s="225" t="n"/>
      <c r="H860" s="225" t="n"/>
      <c r="I860" s="223" t="n">
        <v>25000</v>
      </c>
      <c r="J860" s="305" t="n">
        <v>0</v>
      </c>
      <c r="K860" s="305" t="n">
        <v>25000</v>
      </c>
      <c r="L860" s="224" t="n">
        <v>10000</v>
      </c>
    </row>
    <row r="861" ht="15" customHeight="1" s="153">
      <c r="A861" s="306" t="inlineStr">
        <is>
          <t>17/03/2026</t>
        </is>
      </c>
      <c r="B861" s="307" t="inlineStr">
        <is>
          <t>Marzo</t>
        </is>
      </c>
      <c r="C861" s="310" t="inlineStr">
        <is>
          <t>BELGRANO 7972</t>
        </is>
      </c>
      <c r="D861" s="218" t="n">
        <v>1</v>
      </c>
      <c r="E861" s="218" t="n"/>
      <c r="F861" s="218" t="n"/>
      <c r="G861" s="218" t="n"/>
      <c r="H861" s="218" t="n"/>
      <c r="I861" s="216" t="n">
        <v>24500</v>
      </c>
      <c r="J861" s="309" t="n">
        <v>0</v>
      </c>
      <c r="K861" s="309" t="n">
        <v>24500</v>
      </c>
      <c r="L861" s="236" t="n">
        <v>9500</v>
      </c>
    </row>
    <row r="862" ht="15" customHeight="1" s="153">
      <c r="A862" s="302" t="inlineStr">
        <is>
          <t>02/04/2026</t>
        </is>
      </c>
      <c r="B862" s="303" t="inlineStr">
        <is>
          <t>Abril</t>
        </is>
      </c>
      <c r="C862" s="311" t="inlineStr">
        <is>
          <t>BELNGRANO 3881</t>
        </is>
      </c>
      <c r="D862" s="225" t="n">
        <v>2</v>
      </c>
      <c r="E862" s="225" t="n"/>
      <c r="F862" s="225" t="n"/>
      <c r="G862" s="225" t="n"/>
      <c r="H862" s="225" t="n"/>
      <c r="I862" s="223" t="n">
        <v>54000</v>
      </c>
      <c r="J862" s="305" t="n">
        <v>0</v>
      </c>
      <c r="K862" s="305" t="n">
        <v>54000</v>
      </c>
      <c r="L862" s="224" t="n">
        <v>24000</v>
      </c>
    </row>
    <row r="863" ht="15" customHeight="1" s="153">
      <c r="A863" s="306" t="inlineStr">
        <is>
          <t>11/01/2026</t>
        </is>
      </c>
      <c r="B863" s="307" t="inlineStr">
        <is>
          <t>Enero</t>
        </is>
      </c>
      <c r="C863" s="310" t="inlineStr">
        <is>
          <t>BENTEVEOS DAMIAN</t>
        </is>
      </c>
      <c r="D863" s="218" t="n"/>
      <c r="E863" s="218" t="n"/>
      <c r="F863" s="218" t="n">
        <v>1</v>
      </c>
      <c r="G863" s="218" t="n"/>
      <c r="H863" s="218" t="n"/>
      <c r="I863" s="216" t="n">
        <v>78000</v>
      </c>
      <c r="J863" s="309" t="n">
        <v>0</v>
      </c>
      <c r="K863" s="309" t="n">
        <v>78000</v>
      </c>
      <c r="L863" s="236" t="n">
        <v>18000</v>
      </c>
    </row>
    <row r="864" ht="15" customHeight="1" s="153">
      <c r="A864" s="302" t="inlineStr">
        <is>
          <t>26/03/2026</t>
        </is>
      </c>
      <c r="B864" s="303" t="inlineStr">
        <is>
          <t>Marzo</t>
        </is>
      </c>
      <c r="C864" s="311" t="inlineStr">
        <is>
          <t>BERUTI 3850</t>
        </is>
      </c>
      <c r="D864" s="225" t="n">
        <v>1</v>
      </c>
      <c r="E864" s="225" t="n"/>
      <c r="F864" s="225" t="n">
        <v>1</v>
      </c>
      <c r="G864" s="225" t="n"/>
      <c r="H864" s="225" t="n"/>
      <c r="I864" s="223" t="n">
        <v>91500</v>
      </c>
      <c r="J864" s="305" t="n">
        <v>0</v>
      </c>
      <c r="K864" s="305" t="n">
        <v>91500</v>
      </c>
      <c r="L864" s="224" t="n">
        <v>16500</v>
      </c>
    </row>
    <row r="865" ht="15" customHeight="1" s="153">
      <c r="A865" s="306" t="inlineStr">
        <is>
          <t>22/03/2026</t>
        </is>
      </c>
      <c r="B865" s="307" t="inlineStr">
        <is>
          <t>Marzo</t>
        </is>
      </c>
      <c r="C865" s="310" t="inlineStr">
        <is>
          <t>BERUTI 3850 PANA</t>
        </is>
      </c>
      <c r="D865" s="218" t="n"/>
      <c r="E865" s="218" t="n"/>
      <c r="F865" s="218" t="n">
        <v>1</v>
      </c>
      <c r="G865" s="218" t="n"/>
      <c r="H865" s="218" t="n"/>
      <c r="I865" s="216" t="n">
        <v>74000</v>
      </c>
      <c r="J865" s="309" t="n">
        <v>74000</v>
      </c>
      <c r="K865" s="309" t="n">
        <v>0</v>
      </c>
      <c r="L865" s="236" t="n">
        <v>14000</v>
      </c>
    </row>
    <row r="866" ht="15" customHeight="1" s="153">
      <c r="A866" s="302" t="inlineStr">
        <is>
          <t>05/03/2026</t>
        </is>
      </c>
      <c r="B866" s="303" t="inlineStr">
        <is>
          <t>Marzo</t>
        </is>
      </c>
      <c r="C866" s="311" t="inlineStr">
        <is>
          <t>BERUTI 4057</t>
        </is>
      </c>
      <c r="D866" s="225" t="n"/>
      <c r="E866" s="225" t="n"/>
      <c r="F866" s="225" t="n">
        <v>1</v>
      </c>
      <c r="G866" s="225" t="n"/>
      <c r="H866" s="225" t="n"/>
      <c r="I866" s="223" t="n">
        <v>75000</v>
      </c>
      <c r="J866" s="305" t="n">
        <v>0</v>
      </c>
      <c r="K866" s="305" t="n">
        <v>75000</v>
      </c>
      <c r="L866" s="224" t="n">
        <v>15000</v>
      </c>
    </row>
    <row r="867" ht="15" customHeight="1" s="153">
      <c r="A867" s="306" t="inlineStr">
        <is>
          <t>01/03/2026</t>
        </is>
      </c>
      <c r="B867" s="307" t="inlineStr">
        <is>
          <t>Marzo</t>
        </is>
      </c>
      <c r="C867" s="310" t="inlineStr">
        <is>
          <t>BERUTI 4075</t>
        </is>
      </c>
      <c r="D867" s="218" t="n"/>
      <c r="E867" s="218" t="n"/>
      <c r="F867" s="218" t="n">
        <v>2</v>
      </c>
      <c r="G867" s="218" t="n"/>
      <c r="H867" s="218" t="n"/>
      <c r="I867" s="216" t="n">
        <v>152000</v>
      </c>
      <c r="J867" s="309" t="n">
        <v>0</v>
      </c>
      <c r="K867" s="309" t="n">
        <v>152000</v>
      </c>
      <c r="L867" s="236" t="n">
        <v>32000</v>
      </c>
    </row>
    <row r="868" ht="15" customHeight="1" s="153">
      <c r="A868" s="302" t="inlineStr">
        <is>
          <t>18/03/2026</t>
        </is>
      </c>
      <c r="B868" s="303" t="inlineStr">
        <is>
          <t>Marzo</t>
        </is>
      </c>
      <c r="C868" s="311" t="inlineStr">
        <is>
          <t>BERUTI 5199</t>
        </is>
      </c>
      <c r="D868" s="225" t="n"/>
      <c r="E868" s="225" t="n"/>
      <c r="F868" s="225" t="n">
        <v>1</v>
      </c>
      <c r="G868" s="225" t="n"/>
      <c r="H868" s="225" t="n"/>
      <c r="I868" s="223" t="n">
        <v>80000</v>
      </c>
      <c r="J868" s="305" t="n">
        <v>80000</v>
      </c>
      <c r="K868" s="305" t="n">
        <v>0</v>
      </c>
      <c r="L868" s="224" t="n">
        <v>20000</v>
      </c>
    </row>
    <row r="869" ht="15" customHeight="1" s="153">
      <c r="A869" s="306" t="inlineStr">
        <is>
          <t>10/01/2026</t>
        </is>
      </c>
      <c r="B869" s="307" t="inlineStr">
        <is>
          <t>Enero</t>
        </is>
      </c>
      <c r="C869" s="310" t="inlineStr">
        <is>
          <t>BERUTI 5520</t>
        </is>
      </c>
      <c r="D869" s="218" t="n"/>
      <c r="E869" s="218" t="n"/>
      <c r="F869" s="218" t="n"/>
      <c r="G869" s="218" t="n"/>
      <c r="H869" s="218" t="n">
        <v>2</v>
      </c>
      <c r="I869" s="216" t="n">
        <v>10000</v>
      </c>
      <c r="J869" s="309" t="n">
        <v>0</v>
      </c>
      <c r="K869" s="309" t="n">
        <v>10000</v>
      </c>
      <c r="L869" s="236" t="n">
        <v>8300</v>
      </c>
    </row>
    <row r="870" ht="15" customHeight="1" s="153">
      <c r="A870" s="302" t="inlineStr">
        <is>
          <t>17/02/2026</t>
        </is>
      </c>
      <c r="B870" s="303" t="inlineStr">
        <is>
          <t>Febrero</t>
        </is>
      </c>
      <c r="C870" s="311" t="inlineStr">
        <is>
          <t>BERUTI 6400 CASA 88</t>
        </is>
      </c>
      <c r="D870" s="225" t="n"/>
      <c r="E870" s="225" t="n"/>
      <c r="F870" s="225" t="n">
        <v>1</v>
      </c>
      <c r="G870" s="225" t="n"/>
      <c r="H870" s="225" t="n"/>
      <c r="I870" s="223" t="n">
        <v>76000</v>
      </c>
      <c r="J870" s="305" t="n">
        <v>76000</v>
      </c>
      <c r="K870" s="305" t="n">
        <v>0</v>
      </c>
      <c r="L870" s="224" t="n">
        <v>16000</v>
      </c>
    </row>
    <row r="871" ht="15" customHeight="1" s="153">
      <c r="A871" s="306" t="inlineStr">
        <is>
          <t>21/01/2026</t>
        </is>
      </c>
      <c r="B871" s="307" t="inlineStr">
        <is>
          <t>Enero</t>
        </is>
      </c>
      <c r="C871" s="310" t="inlineStr">
        <is>
          <t>BLAS PARERA 5224</t>
        </is>
      </c>
      <c r="D871" s="218" t="n"/>
      <c r="E871" s="218" t="n"/>
      <c r="F871" s="218" t="n">
        <v>1</v>
      </c>
      <c r="G871" s="218" t="n"/>
      <c r="H871" s="218" t="n"/>
      <c r="I871" s="216" t="n">
        <v>73500</v>
      </c>
      <c r="J871" s="309" t="n">
        <v>0</v>
      </c>
      <c r="K871" s="309" t="n">
        <v>73500</v>
      </c>
      <c r="L871" s="236" t="n">
        <v>13500</v>
      </c>
    </row>
    <row r="872" ht="15" customHeight="1" s="153">
      <c r="A872" s="306" t="inlineStr">
        <is>
          <t>09/04/2026</t>
        </is>
      </c>
      <c r="B872" s="307" t="inlineStr">
        <is>
          <t>Abril</t>
        </is>
      </c>
      <c r="C872" s="310" t="inlineStr">
        <is>
          <t>BLAS PARERA 5224</t>
        </is>
      </c>
      <c r="D872" s="218" t="n"/>
      <c r="E872" s="218" t="n"/>
      <c r="F872" s="218" t="n">
        <v>1</v>
      </c>
      <c r="G872" s="218" t="n"/>
      <c r="H872" s="218" t="n"/>
      <c r="I872" s="216" t="n">
        <v>85000</v>
      </c>
      <c r="J872" s="309" t="n">
        <v>0</v>
      </c>
      <c r="K872" s="309" t="n">
        <v>85000</v>
      </c>
      <c r="L872" s="236" t="n">
        <v>25000</v>
      </c>
    </row>
    <row r="873" ht="15" customHeight="1" s="153">
      <c r="A873" s="302" t="inlineStr">
        <is>
          <t>08/01/2026</t>
        </is>
      </c>
      <c r="B873" s="303" t="inlineStr">
        <is>
          <t>Enero</t>
        </is>
      </c>
      <c r="C873" s="311" t="inlineStr">
        <is>
          <t>BLAS PARERA 6054</t>
        </is>
      </c>
      <c r="D873" s="225" t="n"/>
      <c r="E873" s="225" t="n"/>
      <c r="F873" s="225" t="n">
        <v>1</v>
      </c>
      <c r="G873" s="225" t="n"/>
      <c r="H873" s="225" t="n"/>
      <c r="I873" s="223" t="n">
        <v>69000</v>
      </c>
      <c r="J873" s="305" t="n">
        <v>69000</v>
      </c>
      <c r="K873" s="305" t="n">
        <v>0</v>
      </c>
      <c r="L873" s="224" t="n">
        <v>9000</v>
      </c>
    </row>
    <row r="874" ht="15" customHeight="1" s="153">
      <c r="A874" s="306" t="inlineStr">
        <is>
          <t>15/03/2026</t>
        </is>
      </c>
      <c r="B874" s="307" t="inlineStr">
        <is>
          <t>Marzo</t>
        </is>
      </c>
      <c r="C874" s="310" t="inlineStr">
        <is>
          <t>BLAS PARERA 6372</t>
        </is>
      </c>
      <c r="D874" s="218" t="n"/>
      <c r="E874" s="218" t="n"/>
      <c r="F874" s="218" t="n">
        <v>1</v>
      </c>
      <c r="G874" s="218" t="n"/>
      <c r="H874" s="218" t="n"/>
      <c r="I874" s="216" t="n">
        <v>78000</v>
      </c>
      <c r="J874" s="309" t="n">
        <v>0</v>
      </c>
      <c r="K874" s="309" t="n">
        <v>78000</v>
      </c>
      <c r="L874" s="236" t="n">
        <v>18000</v>
      </c>
    </row>
    <row r="875" ht="15" customHeight="1" s="153">
      <c r="A875" s="302" t="inlineStr">
        <is>
          <t>13/04/2026</t>
        </is>
      </c>
      <c r="B875" s="303" t="inlineStr">
        <is>
          <t>Abril</t>
        </is>
      </c>
      <c r="C875" s="311" t="inlineStr">
        <is>
          <t>BLAS PARERA 6578</t>
        </is>
      </c>
      <c r="D875" s="225" t="n"/>
      <c r="E875" s="225" t="n">
        <v>1</v>
      </c>
      <c r="F875" s="225" t="n"/>
      <c r="G875" s="225" t="n"/>
      <c r="H875" s="225" t="n"/>
      <c r="I875" s="223" t="n">
        <v>39000</v>
      </c>
      <c r="J875" s="305" t="n">
        <v>39000</v>
      </c>
      <c r="K875" s="305" t="n">
        <v>0</v>
      </c>
      <c r="L875" s="224" t="n">
        <v>16500</v>
      </c>
    </row>
    <row r="876" ht="15" customHeight="1" s="153">
      <c r="A876" s="306" t="inlineStr">
        <is>
          <t>08/04/2026</t>
        </is>
      </c>
      <c r="B876" s="307" t="inlineStr">
        <is>
          <t>Abril</t>
        </is>
      </c>
      <c r="C876" s="310" t="inlineStr">
        <is>
          <t>BLAS PARERA 7062</t>
        </is>
      </c>
      <c r="D876" s="218" t="n"/>
      <c r="E876" s="218" t="n">
        <v>1</v>
      </c>
      <c r="F876" s="218" t="n"/>
      <c r="G876" s="218" t="n"/>
      <c r="H876" s="218" t="n"/>
      <c r="I876" s="216" t="n">
        <v>36500</v>
      </c>
      <c r="J876" s="309" t="n">
        <v>0</v>
      </c>
      <c r="K876" s="309" t="n">
        <v>36500</v>
      </c>
      <c r="L876" s="236" t="n">
        <v>14000</v>
      </c>
    </row>
    <row r="877" ht="15" customHeight="1" s="153">
      <c r="A877" s="302" t="inlineStr">
        <is>
          <t>23/03/2026</t>
        </is>
      </c>
      <c r="B877" s="303" t="inlineStr">
        <is>
          <t>Marzo</t>
        </is>
      </c>
      <c r="C877" s="311" t="inlineStr">
        <is>
          <t>BLAS PARERA 7162</t>
        </is>
      </c>
      <c r="D877" s="225" t="n">
        <v>1</v>
      </c>
      <c r="E877" s="225" t="n"/>
      <c r="F877" s="225" t="n"/>
      <c r="G877" s="225" t="n"/>
      <c r="H877" s="225" t="n"/>
      <c r="I877" s="223" t="n">
        <v>23500</v>
      </c>
      <c r="J877" s="305" t="n">
        <v>23500</v>
      </c>
      <c r="K877" s="305" t="n">
        <v>0</v>
      </c>
      <c r="L877" s="224" t="n">
        <v>8500</v>
      </c>
    </row>
    <row r="878" ht="15" customHeight="1" s="153">
      <c r="A878" s="306" t="inlineStr">
        <is>
          <t>03/04/2026</t>
        </is>
      </c>
      <c r="B878" s="307" t="inlineStr">
        <is>
          <t>Abril</t>
        </is>
      </c>
      <c r="C878" s="310" t="inlineStr">
        <is>
          <t>BLAS PARERA 9129</t>
        </is>
      </c>
      <c r="D878" s="218" t="n">
        <v>1</v>
      </c>
      <c r="E878" s="218" t="n"/>
      <c r="F878" s="218" t="n"/>
      <c r="G878" s="218" t="n"/>
      <c r="H878" s="218" t="n"/>
      <c r="I878" s="216" t="n">
        <v>27000</v>
      </c>
      <c r="J878" s="309" t="n">
        <v>27000</v>
      </c>
      <c r="K878" s="309" t="n">
        <v>0</v>
      </c>
      <c r="L878" s="236" t="n">
        <v>12000</v>
      </c>
    </row>
    <row r="879" ht="15" customHeight="1" s="153">
      <c r="A879" s="302" t="inlineStr">
        <is>
          <t>14/03/2026</t>
        </is>
      </c>
      <c r="B879" s="303" t="inlineStr">
        <is>
          <t>Marzo</t>
        </is>
      </c>
      <c r="C879" s="311" t="inlineStr">
        <is>
          <t>BLAS PARERA 9777</t>
        </is>
      </c>
      <c r="D879" s="225" t="n"/>
      <c r="E879" s="225" t="n"/>
      <c r="F879" s="225" t="n">
        <v>1</v>
      </c>
      <c r="G879" s="225" t="n"/>
      <c r="H879" s="225" t="n"/>
      <c r="I879" s="223" t="n">
        <v>80000</v>
      </c>
      <c r="J879" s="305" t="n">
        <v>80000</v>
      </c>
      <c r="K879" s="305" t="n">
        <v>0</v>
      </c>
      <c r="L879" s="224" t="n">
        <v>20000</v>
      </c>
    </row>
    <row r="880" ht="15" customHeight="1" s="153">
      <c r="A880" s="306" t="inlineStr">
        <is>
          <t>03/04/2026</t>
        </is>
      </c>
      <c r="B880" s="307" t="inlineStr">
        <is>
          <t>Abril</t>
        </is>
      </c>
      <c r="C880" s="310" t="inlineStr">
        <is>
          <t>BLS PARERA 8380</t>
        </is>
      </c>
      <c r="D880" s="218" t="n"/>
      <c r="E880" s="218" t="n">
        <v>1</v>
      </c>
      <c r="F880" s="218" t="n"/>
      <c r="G880" s="218" t="n"/>
      <c r="H880" s="218" t="n"/>
      <c r="I880" s="216" t="n">
        <v>39000</v>
      </c>
      <c r="J880" s="309" t="n">
        <v>39000</v>
      </c>
      <c r="K880" s="309" t="n">
        <v>0</v>
      </c>
      <c r="L880" s="236" t="n">
        <v>16500</v>
      </c>
    </row>
    <row r="881" ht="15" customHeight="1" s="153">
      <c r="A881" s="302" t="inlineStr">
        <is>
          <t>14/03/2026</t>
        </is>
      </c>
      <c r="B881" s="303" t="inlineStr">
        <is>
          <t>Marzo</t>
        </is>
      </c>
      <c r="C881" s="311" t="inlineStr">
        <is>
          <t>BOEDO 1637</t>
        </is>
      </c>
      <c r="D881" s="225" t="n">
        <v>1</v>
      </c>
      <c r="E881" s="225" t="n"/>
      <c r="F881" s="225" t="n"/>
      <c r="G881" s="225" t="n"/>
      <c r="H881" s="225" t="n"/>
      <c r="I881" s="223" t="n">
        <v>23000</v>
      </c>
      <c r="J881" s="305" t="n">
        <v>23000</v>
      </c>
      <c r="K881" s="305" t="n">
        <v>0</v>
      </c>
      <c r="L881" s="224" t="n">
        <v>8000</v>
      </c>
    </row>
    <row r="882" ht="15" customHeight="1" s="153">
      <c r="A882" s="306" t="inlineStr">
        <is>
          <t>16/03/2026</t>
        </is>
      </c>
      <c r="B882" s="307" t="inlineStr">
        <is>
          <t>Marzo</t>
        </is>
      </c>
      <c r="C882" s="310" t="inlineStr">
        <is>
          <t>BONEO 2625</t>
        </is>
      </c>
      <c r="D882" s="218" t="n"/>
      <c r="E882" s="218" t="n"/>
      <c r="F882" s="218" t="n">
        <v>1</v>
      </c>
      <c r="G882" s="218" t="n"/>
      <c r="H882" s="218" t="n"/>
      <c r="I882" s="216" t="n">
        <v>80000</v>
      </c>
      <c r="J882" s="309" t="n">
        <v>80000</v>
      </c>
      <c r="K882" s="309" t="n">
        <v>0</v>
      </c>
      <c r="L882" s="236" t="n">
        <v>20000</v>
      </c>
    </row>
    <row r="883" ht="15" customHeight="1" s="153">
      <c r="A883" s="302" t="inlineStr">
        <is>
          <t>17/01/2026</t>
        </is>
      </c>
      <c r="B883" s="303" t="inlineStr">
        <is>
          <t>Enero</t>
        </is>
      </c>
      <c r="C883" s="311" t="inlineStr">
        <is>
          <t>BONEO 4054</t>
        </is>
      </c>
      <c r="D883" s="225" t="n">
        <v>1</v>
      </c>
      <c r="E883" s="225" t="n">
        <v>1</v>
      </c>
      <c r="F883" s="225" t="n"/>
      <c r="G883" s="225" t="n"/>
      <c r="H883" s="225" t="n"/>
      <c r="I883" s="223" t="n">
        <v>55000</v>
      </c>
      <c r="J883" s="305" t="n">
        <v>55000</v>
      </c>
      <c r="K883" s="305" t="n">
        <v>0</v>
      </c>
      <c r="L883" s="224" t="n">
        <v>17500</v>
      </c>
    </row>
    <row r="884" ht="15" customHeight="1" s="153">
      <c r="A884" s="302" t="inlineStr">
        <is>
          <t>11/04/2026</t>
        </is>
      </c>
      <c r="B884" s="303" t="inlineStr">
        <is>
          <t>Abril</t>
        </is>
      </c>
      <c r="C884" s="311" t="inlineStr">
        <is>
          <t>BONEO 4054</t>
        </is>
      </c>
      <c r="D884" s="225" t="n">
        <v>1</v>
      </c>
      <c r="E884" s="225" t="n">
        <v>1</v>
      </c>
      <c r="F884" s="225" t="n"/>
      <c r="G884" s="225" t="n"/>
      <c r="H884" s="225" t="n"/>
      <c r="I884" s="223" t="n">
        <v>65000</v>
      </c>
      <c r="J884" s="305" t="n">
        <v>65000</v>
      </c>
      <c r="K884" s="305" t="n">
        <v>0</v>
      </c>
      <c r="L884" s="224" t="n">
        <v>27500</v>
      </c>
    </row>
    <row r="885" ht="15" customHeight="1" s="153">
      <c r="A885" s="306" t="inlineStr">
        <is>
          <t>17/02/2026</t>
        </is>
      </c>
      <c r="B885" s="307" t="inlineStr">
        <is>
          <t>Febrero</t>
        </is>
      </c>
      <c r="C885" s="310" t="inlineStr">
        <is>
          <t>BONEO 4646</t>
        </is>
      </c>
      <c r="D885" s="218" t="n">
        <v>1</v>
      </c>
      <c r="E885" s="218" t="n"/>
      <c r="F885" s="218" t="n"/>
      <c r="G885" s="218" t="n"/>
      <c r="H885" s="218" t="n"/>
      <c r="I885" s="216" t="n">
        <v>19000</v>
      </c>
      <c r="J885" s="309" t="n">
        <v>19000</v>
      </c>
      <c r="K885" s="309" t="n">
        <v>0</v>
      </c>
      <c r="L885" s="236" t="n">
        <v>4000</v>
      </c>
    </row>
    <row r="886" ht="15" customHeight="1" s="153">
      <c r="A886" s="302" t="inlineStr">
        <is>
          <t>20/03/2026</t>
        </is>
      </c>
      <c r="B886" s="303" t="inlineStr">
        <is>
          <t>Marzo</t>
        </is>
      </c>
      <c r="C886" s="311" t="inlineStr">
        <is>
          <t>BONEO 4821</t>
        </is>
      </c>
      <c r="D886" s="225" t="n"/>
      <c r="E886" s="225" t="n"/>
      <c r="F886" s="225" t="n"/>
      <c r="G886" s="225" t="n"/>
      <c r="H886" s="225" t="n">
        <v>2</v>
      </c>
      <c r="I886" s="223" t="n">
        <v>12000</v>
      </c>
      <c r="J886" s="305" t="n">
        <v>12000</v>
      </c>
      <c r="K886" s="305" t="n">
        <v>0</v>
      </c>
      <c r="L886" s="224" t="n">
        <v>10300</v>
      </c>
    </row>
    <row r="887" ht="15" customHeight="1" s="153">
      <c r="A887" s="306" t="inlineStr">
        <is>
          <t>03/01/2026</t>
        </is>
      </c>
      <c r="B887" s="307" t="inlineStr">
        <is>
          <t>Enero</t>
        </is>
      </c>
      <c r="C887" s="310" t="inlineStr">
        <is>
          <t>BONEO 5315</t>
        </is>
      </c>
      <c r="D887" s="218" t="n">
        <v>2</v>
      </c>
      <c r="E887" s="218" t="n"/>
      <c r="F887" s="218" t="n"/>
      <c r="G887" s="218" t="n"/>
      <c r="H887" s="218" t="n"/>
      <c r="I887" s="216" t="n">
        <v>41000</v>
      </c>
      <c r="J887" s="309" t="n">
        <v>0</v>
      </c>
      <c r="K887" s="309" t="n">
        <v>41000</v>
      </c>
      <c r="L887" s="236" t="n">
        <v>11000</v>
      </c>
    </row>
    <row r="888" ht="15" customHeight="1" s="153">
      <c r="A888" s="306" t="inlineStr">
        <is>
          <t>21/03/2026</t>
        </is>
      </c>
      <c r="B888" s="307" t="inlineStr">
        <is>
          <t>Marzo</t>
        </is>
      </c>
      <c r="C888" s="310" t="inlineStr">
        <is>
          <t>BONEO 5315</t>
        </is>
      </c>
      <c r="D888" s="218" t="n">
        <v>1</v>
      </c>
      <c r="E888" s="218" t="n"/>
      <c r="F888" s="218" t="n"/>
      <c r="G888" s="218" t="n"/>
      <c r="H888" s="218" t="n"/>
      <c r="I888" s="216" t="n">
        <v>23500</v>
      </c>
      <c r="J888" s="309" t="n">
        <v>23500</v>
      </c>
      <c r="K888" s="309" t="n">
        <v>0</v>
      </c>
      <c r="L888" s="236" t="n">
        <v>8500</v>
      </c>
    </row>
    <row r="889" ht="15" customHeight="1" s="153">
      <c r="A889" s="306" t="inlineStr">
        <is>
          <t>19/04/2026</t>
        </is>
      </c>
      <c r="B889" s="307" t="inlineStr">
        <is>
          <t>Abril</t>
        </is>
      </c>
      <c r="C889" s="310" t="inlineStr">
        <is>
          <t>BONEO 5315</t>
        </is>
      </c>
      <c r="D889" s="218" t="n">
        <v>1</v>
      </c>
      <c r="E889" s="218" t="n"/>
      <c r="F889" s="218" t="n"/>
      <c r="G889" s="218" t="n"/>
      <c r="H889" s="218" t="n"/>
      <c r="I889" s="216" t="n">
        <v>23500</v>
      </c>
      <c r="J889" s="309" t="n">
        <v>23500</v>
      </c>
      <c r="K889" s="309" t="n">
        <v>0</v>
      </c>
      <c r="L889" s="236" t="n">
        <v>8500</v>
      </c>
    </row>
    <row r="890" ht="15" customHeight="1" s="153">
      <c r="A890" s="302" t="inlineStr">
        <is>
          <t>16/01/2026</t>
        </is>
      </c>
      <c r="B890" s="303" t="inlineStr">
        <is>
          <t>Enero</t>
        </is>
      </c>
      <c r="C890" s="311" t="inlineStr">
        <is>
          <t>BONEO 5363</t>
        </is>
      </c>
      <c r="D890" s="225" t="n"/>
      <c r="E890" s="225" t="n"/>
      <c r="F890" s="225" t="n">
        <v>1</v>
      </c>
      <c r="G890" s="225" t="n"/>
      <c r="H890" s="225" t="n"/>
      <c r="I890" s="223" t="n">
        <v>78000</v>
      </c>
      <c r="J890" s="305" t="n">
        <v>0</v>
      </c>
      <c r="K890" s="305" t="n">
        <v>78000</v>
      </c>
      <c r="L890" s="224" t="n">
        <v>18000</v>
      </c>
    </row>
    <row r="891" ht="15" customHeight="1" s="153">
      <c r="A891" s="306" t="inlineStr">
        <is>
          <t>24/02/2026</t>
        </is>
      </c>
      <c r="B891" s="307" t="inlineStr">
        <is>
          <t>Febrero</t>
        </is>
      </c>
      <c r="C891" s="310" t="inlineStr">
        <is>
          <t>BONEO5315</t>
        </is>
      </c>
      <c r="D891" s="218" t="n">
        <v>1</v>
      </c>
      <c r="E891" s="218" t="n"/>
      <c r="F891" s="218" t="n"/>
      <c r="G891" s="218" t="n"/>
      <c r="H891" s="218" t="n"/>
      <c r="I891" s="216" t="n">
        <v>21000</v>
      </c>
      <c r="J891" s="309" t="n">
        <v>0</v>
      </c>
      <c r="K891" s="309" t="n">
        <v>21000</v>
      </c>
      <c r="L891" s="236" t="n">
        <v>6000</v>
      </c>
    </row>
    <row r="892" ht="15" customHeight="1" s="153">
      <c r="A892" s="302" t="inlineStr">
        <is>
          <t>02/02/2026</t>
        </is>
      </c>
      <c r="B892" s="303" t="inlineStr">
        <is>
          <t>Febrero</t>
        </is>
      </c>
      <c r="C892" s="311" t="inlineStr">
        <is>
          <t>BRAILE 7173</t>
        </is>
      </c>
      <c r="D892" s="225" t="n">
        <v>1</v>
      </c>
      <c r="E892" s="225" t="n"/>
      <c r="F892" s="225" t="n"/>
      <c r="G892" s="225" t="n"/>
      <c r="H892" s="225" t="n"/>
      <c r="I892" s="223" t="n">
        <v>21000</v>
      </c>
      <c r="J892" s="305" t="n">
        <v>21000</v>
      </c>
      <c r="K892" s="305" t="n">
        <v>0</v>
      </c>
      <c r="L892" s="224" t="n">
        <v>6000</v>
      </c>
    </row>
    <row r="893" ht="15" customHeight="1" s="153">
      <c r="A893" s="306" t="inlineStr">
        <is>
          <t>03/01/2026</t>
        </is>
      </c>
      <c r="B893" s="307" t="inlineStr">
        <is>
          <t>Enero</t>
        </is>
      </c>
      <c r="C893" s="310" t="inlineStr">
        <is>
          <t>BRASERIA</t>
        </is>
      </c>
      <c r="D893" s="218" t="n"/>
      <c r="E893" s="218" t="n"/>
      <c r="F893" s="218" t="n">
        <v>1</v>
      </c>
      <c r="G893" s="218" t="n"/>
      <c r="H893" s="218" t="n"/>
      <c r="I893" s="216" t="n">
        <v>69000</v>
      </c>
      <c r="J893" s="309" t="n">
        <v>0</v>
      </c>
      <c r="K893" s="309" t="n">
        <v>69000</v>
      </c>
      <c r="L893" s="236" t="n">
        <v>9000</v>
      </c>
    </row>
    <row r="894" ht="15" customHeight="1" s="153">
      <c r="A894" s="306" t="inlineStr">
        <is>
          <t>10/01/2026</t>
        </is>
      </c>
      <c r="B894" s="307" t="inlineStr">
        <is>
          <t>Enero</t>
        </is>
      </c>
      <c r="C894" s="310" t="inlineStr">
        <is>
          <t>BRASERIA</t>
        </is>
      </c>
      <c r="D894" s="218" t="n"/>
      <c r="E894" s="218" t="n"/>
      <c r="F894" s="218" t="n">
        <v>1</v>
      </c>
      <c r="G894" s="218" t="n"/>
      <c r="H894" s="218" t="n"/>
      <c r="I894" s="216" t="n">
        <v>69000</v>
      </c>
      <c r="J894" s="309" t="n">
        <v>0</v>
      </c>
      <c r="K894" s="309" t="n">
        <v>69000</v>
      </c>
      <c r="L894" s="236" t="n">
        <v>9000</v>
      </c>
    </row>
    <row r="895" ht="15" customHeight="1" s="153">
      <c r="A895" s="306" t="inlineStr">
        <is>
          <t>16/01/2026</t>
        </is>
      </c>
      <c r="B895" s="307" t="inlineStr">
        <is>
          <t>Enero</t>
        </is>
      </c>
      <c r="C895" s="310" t="inlineStr">
        <is>
          <t>BRASERIA</t>
        </is>
      </c>
      <c r="D895" s="218" t="n"/>
      <c r="E895" s="218" t="n"/>
      <c r="F895" s="218" t="n">
        <v>1</v>
      </c>
      <c r="G895" s="218" t="n"/>
      <c r="H895" s="218" t="n"/>
      <c r="I895" s="216" t="n">
        <v>72000</v>
      </c>
      <c r="J895" s="309" t="n">
        <v>0</v>
      </c>
      <c r="K895" s="309" t="n">
        <v>72000</v>
      </c>
      <c r="L895" s="236" t="n">
        <v>12000</v>
      </c>
    </row>
    <row r="896" ht="15" customHeight="1" s="153">
      <c r="A896" s="306" t="inlineStr">
        <is>
          <t>31/01/2026</t>
        </is>
      </c>
      <c r="B896" s="307" t="inlineStr">
        <is>
          <t>Enero</t>
        </is>
      </c>
      <c r="C896" s="310" t="inlineStr">
        <is>
          <t>BRASERIA</t>
        </is>
      </c>
      <c r="D896" s="218" t="n"/>
      <c r="E896" s="218" t="n"/>
      <c r="F896" s="218" t="n">
        <v>1</v>
      </c>
      <c r="G896" s="218" t="n"/>
      <c r="H896" s="218" t="n"/>
      <c r="I896" s="216" t="n">
        <v>72000</v>
      </c>
      <c r="J896" s="309" t="n">
        <v>0</v>
      </c>
      <c r="K896" s="309" t="n">
        <v>72000</v>
      </c>
      <c r="L896" s="236" t="n">
        <v>12000</v>
      </c>
    </row>
    <row r="897" ht="15" customHeight="1" s="153">
      <c r="A897" s="306" t="inlineStr">
        <is>
          <t>06/02/2026</t>
        </is>
      </c>
      <c r="B897" s="307" t="inlineStr">
        <is>
          <t>Febrero</t>
        </is>
      </c>
      <c r="C897" s="310" t="inlineStr">
        <is>
          <t>BRASERIA</t>
        </is>
      </c>
      <c r="D897" s="218" t="n"/>
      <c r="E897" s="218" t="n"/>
      <c r="F897" s="218" t="n">
        <v>1</v>
      </c>
      <c r="G897" s="218" t="n"/>
      <c r="H897" s="218" t="n"/>
      <c r="I897" s="216" t="n">
        <v>72000</v>
      </c>
      <c r="J897" s="309" t="n">
        <v>0</v>
      </c>
      <c r="K897" s="309" t="n">
        <v>72000</v>
      </c>
      <c r="L897" s="236" t="n">
        <v>12000</v>
      </c>
    </row>
    <row r="898" ht="15" customHeight="1" s="153">
      <c r="A898" s="306" t="inlineStr">
        <is>
          <t>13/02/2026</t>
        </is>
      </c>
      <c r="B898" s="307" t="inlineStr">
        <is>
          <t>Febrero</t>
        </is>
      </c>
      <c r="C898" s="310" t="inlineStr">
        <is>
          <t>BRASERIA</t>
        </is>
      </c>
      <c r="D898" s="218" t="n"/>
      <c r="E898" s="218" t="n"/>
      <c r="F898" s="218" t="n">
        <v>1</v>
      </c>
      <c r="G898" s="218" t="n"/>
      <c r="H898" s="218" t="n"/>
      <c r="I898" s="216" t="n">
        <v>71000</v>
      </c>
      <c r="J898" s="309" t="n">
        <v>0</v>
      </c>
      <c r="K898" s="309" t="n">
        <v>71000</v>
      </c>
      <c r="L898" s="236" t="n">
        <v>11000</v>
      </c>
    </row>
    <row r="899" ht="15" customHeight="1" s="153">
      <c r="A899" s="306" t="inlineStr">
        <is>
          <t>21/02/2026</t>
        </is>
      </c>
      <c r="B899" s="307" t="inlineStr">
        <is>
          <t>Febrero</t>
        </is>
      </c>
      <c r="C899" s="310" t="inlineStr">
        <is>
          <t>BRASERIA</t>
        </is>
      </c>
      <c r="D899" s="218" t="n"/>
      <c r="E899" s="218" t="n"/>
      <c r="F899" s="218" t="n">
        <v>1</v>
      </c>
      <c r="G899" s="218" t="n"/>
      <c r="H899" s="218" t="n"/>
      <c r="I899" s="216" t="n">
        <v>73000</v>
      </c>
      <c r="J899" s="309" t="n">
        <v>0</v>
      </c>
      <c r="K899" s="309" t="n">
        <v>73000</v>
      </c>
      <c r="L899" s="236" t="n">
        <v>13000</v>
      </c>
    </row>
    <row r="900" ht="15" customHeight="1" s="153">
      <c r="A900" s="306" t="inlineStr">
        <is>
          <t>28/02/2026</t>
        </is>
      </c>
      <c r="B900" s="307" t="inlineStr">
        <is>
          <t>Febrero</t>
        </is>
      </c>
      <c r="C900" s="310" t="inlineStr">
        <is>
          <t>BRASERIA</t>
        </is>
      </c>
      <c r="D900" s="218" t="n"/>
      <c r="E900" s="218" t="n"/>
      <c r="F900" s="218" t="n">
        <v>1</v>
      </c>
      <c r="G900" s="218" t="n"/>
      <c r="H900" s="218" t="n"/>
      <c r="I900" s="216" t="n">
        <v>73000</v>
      </c>
      <c r="J900" s="309" t="n">
        <v>0</v>
      </c>
      <c r="K900" s="309" t="n">
        <v>73000</v>
      </c>
      <c r="L900" s="236" t="n">
        <v>13000</v>
      </c>
    </row>
    <row r="901" ht="15" customHeight="1" s="153">
      <c r="A901" s="306" t="inlineStr">
        <is>
          <t>06/03/2026</t>
        </is>
      </c>
      <c r="B901" s="307" t="inlineStr">
        <is>
          <t>Marzo</t>
        </is>
      </c>
      <c r="C901" s="310" t="inlineStr">
        <is>
          <t>BRASERIA</t>
        </is>
      </c>
      <c r="D901" s="218" t="n"/>
      <c r="E901" s="218" t="n"/>
      <c r="F901" s="218" t="n">
        <v>1</v>
      </c>
      <c r="G901" s="218" t="n"/>
      <c r="H901" s="218" t="n"/>
      <c r="I901" s="216" t="n">
        <v>73000</v>
      </c>
      <c r="J901" s="309" t="n">
        <v>50000</v>
      </c>
      <c r="K901" s="309" t="n">
        <v>23000</v>
      </c>
      <c r="L901" s="236" t="n">
        <v>13000</v>
      </c>
    </row>
    <row r="902" ht="15" customHeight="1" s="153">
      <c r="A902" s="306" t="inlineStr">
        <is>
          <t>14/03/2026</t>
        </is>
      </c>
      <c r="B902" s="307" t="inlineStr">
        <is>
          <t>Marzo</t>
        </is>
      </c>
      <c r="C902" s="310" t="inlineStr">
        <is>
          <t>BRASERIA</t>
        </is>
      </c>
      <c r="D902" s="218" t="n"/>
      <c r="E902" s="218" t="n"/>
      <c r="F902" s="218" t="n">
        <v>1</v>
      </c>
      <c r="G902" s="218" t="n"/>
      <c r="H902" s="218" t="n"/>
      <c r="I902" s="216" t="n">
        <v>78000</v>
      </c>
      <c r="J902" s="309" t="n">
        <v>0</v>
      </c>
      <c r="K902" s="309" t="n">
        <v>78000</v>
      </c>
      <c r="L902" s="236" t="n">
        <v>18000</v>
      </c>
    </row>
    <row r="903" ht="15" customHeight="1" s="153">
      <c r="A903" s="306" t="inlineStr">
        <is>
          <t>21/03/2026</t>
        </is>
      </c>
      <c r="B903" s="307" t="inlineStr">
        <is>
          <t>Marzo</t>
        </is>
      </c>
      <c r="C903" s="310" t="inlineStr">
        <is>
          <t>BRASERIA</t>
        </is>
      </c>
      <c r="D903" s="218" t="n"/>
      <c r="E903" s="218" t="n"/>
      <c r="F903" s="218" t="n">
        <v>1</v>
      </c>
      <c r="G903" s="218" t="n"/>
      <c r="H903" s="218" t="n"/>
      <c r="I903" s="216" t="n">
        <v>78000</v>
      </c>
      <c r="J903" s="309" t="n">
        <v>0</v>
      </c>
      <c r="K903" s="309" t="n">
        <v>78000</v>
      </c>
      <c r="L903" s="236" t="n">
        <v>18000</v>
      </c>
    </row>
    <row r="904" ht="15" customHeight="1" s="153">
      <c r="A904" s="306" t="inlineStr">
        <is>
          <t>04/04/2026</t>
        </is>
      </c>
      <c r="B904" s="307" t="inlineStr">
        <is>
          <t>Abril</t>
        </is>
      </c>
      <c r="C904" s="310" t="inlineStr">
        <is>
          <t>BRASERIA</t>
        </is>
      </c>
      <c r="D904" s="218" t="n"/>
      <c r="E904" s="218" t="n"/>
      <c r="F904" s="218" t="n">
        <v>1</v>
      </c>
      <c r="G904" s="218" t="n"/>
      <c r="H904" s="218" t="n"/>
      <c r="I904" s="216" t="n">
        <v>83000</v>
      </c>
      <c r="J904" s="309" t="n">
        <v>0</v>
      </c>
      <c r="K904" s="309" t="n">
        <v>83000</v>
      </c>
      <c r="L904" s="236" t="n">
        <v>23000</v>
      </c>
    </row>
    <row r="905" ht="15" customHeight="1" s="153">
      <c r="A905" s="306" t="inlineStr">
        <is>
          <t>11/04/2026</t>
        </is>
      </c>
      <c r="B905" s="307" t="inlineStr">
        <is>
          <t>Abril</t>
        </is>
      </c>
      <c r="C905" s="310" t="inlineStr">
        <is>
          <t>BRASERIA</t>
        </is>
      </c>
      <c r="D905" s="218" t="n"/>
      <c r="E905" s="218" t="n"/>
      <c r="F905" s="218" t="n">
        <v>1</v>
      </c>
      <c r="G905" s="218" t="n"/>
      <c r="H905" s="218" t="n"/>
      <c r="I905" s="216" t="n">
        <v>83000</v>
      </c>
      <c r="J905" s="309" t="n">
        <v>0</v>
      </c>
      <c r="K905" s="309" t="n">
        <v>83000</v>
      </c>
      <c r="L905" s="236" t="n">
        <v>23000</v>
      </c>
    </row>
    <row r="906" ht="15" customHeight="1" s="153">
      <c r="A906" s="306" t="inlineStr">
        <is>
          <t>18/04/2026</t>
        </is>
      </c>
      <c r="B906" s="307" t="inlineStr">
        <is>
          <t>Abril</t>
        </is>
      </c>
      <c r="C906" s="310" t="inlineStr">
        <is>
          <t>BRASERIA</t>
        </is>
      </c>
      <c r="D906" s="218" t="n"/>
      <c r="E906" s="218" t="n"/>
      <c r="F906" s="218" t="n">
        <v>1</v>
      </c>
      <c r="G906" s="218" t="n"/>
      <c r="H906" s="218" t="n"/>
      <c r="I906" s="216" t="n">
        <v>83000</v>
      </c>
      <c r="J906" s="309" t="n">
        <v>0</v>
      </c>
      <c r="K906" s="309" t="n">
        <v>83000</v>
      </c>
      <c r="L906" s="236" t="n">
        <v>23000</v>
      </c>
    </row>
    <row r="907" ht="15" customHeight="1" s="153">
      <c r="A907" s="302" t="inlineStr">
        <is>
          <t>10/03/2026</t>
        </is>
      </c>
      <c r="B907" s="303" t="inlineStr">
        <is>
          <t>Marzo</t>
        </is>
      </c>
      <c r="C907" s="311" t="inlineStr">
        <is>
          <t>BRAZIL 4117</t>
        </is>
      </c>
      <c r="D907" s="225" t="n"/>
      <c r="E907" s="225" t="n"/>
      <c r="F907" s="225" t="n">
        <v>1</v>
      </c>
      <c r="G907" s="225" t="n"/>
      <c r="H907" s="225" t="n"/>
      <c r="I907" s="223" t="n">
        <v>76000</v>
      </c>
      <c r="J907" s="305" t="n">
        <v>0</v>
      </c>
      <c r="K907" s="305" t="n">
        <v>76000</v>
      </c>
      <c r="L907" s="224" t="n">
        <v>16000</v>
      </c>
    </row>
    <row r="908" ht="15" customHeight="1" s="153">
      <c r="A908" s="306" t="inlineStr">
        <is>
          <t>04/01/2026</t>
        </is>
      </c>
      <c r="B908" s="307" t="inlineStr">
        <is>
          <t>Enero</t>
        </is>
      </c>
      <c r="C908" s="310" t="inlineStr">
        <is>
          <t>C FUNES 4553</t>
        </is>
      </c>
      <c r="D908" s="218" t="n"/>
      <c r="E908" s="218" t="n"/>
      <c r="F908" s="218" t="n">
        <v>1</v>
      </c>
      <c r="G908" s="218" t="n"/>
      <c r="H908" s="218" t="n"/>
      <c r="I908" s="216" t="n">
        <v>69000</v>
      </c>
      <c r="J908" s="309" t="n">
        <v>0</v>
      </c>
      <c r="K908" s="309" t="n">
        <v>69000</v>
      </c>
      <c r="L908" s="236" t="n">
        <v>9000</v>
      </c>
    </row>
    <row r="909" ht="15" customHeight="1" s="153">
      <c r="A909" s="302" t="inlineStr">
        <is>
          <t>05/03/2026</t>
        </is>
      </c>
      <c r="B909" s="303" t="inlineStr">
        <is>
          <t>Marzo</t>
        </is>
      </c>
      <c r="C909" s="311" t="inlineStr">
        <is>
          <t>CAFERATA 9416</t>
        </is>
      </c>
      <c r="D909" s="225" t="n"/>
      <c r="E909" s="225" t="n">
        <v>1</v>
      </c>
      <c r="F909" s="225" t="n"/>
      <c r="G909" s="225" t="n"/>
      <c r="H909" s="225" t="n"/>
      <c r="I909" s="223" t="n">
        <v>33000</v>
      </c>
      <c r="J909" s="305" t="n">
        <v>33000</v>
      </c>
      <c r="K909" s="305" t="n">
        <v>0</v>
      </c>
      <c r="L909" s="224" t="n">
        <v>10500</v>
      </c>
    </row>
    <row r="910" ht="15" customHeight="1" s="153">
      <c r="A910" s="306" t="inlineStr">
        <is>
          <t>14/03/2026</t>
        </is>
      </c>
      <c r="B910" s="307" t="inlineStr">
        <is>
          <t>Marzo</t>
        </is>
      </c>
      <c r="C910" s="310" t="inlineStr">
        <is>
          <t>CALLE</t>
        </is>
      </c>
      <c r="D910" s="218" t="n">
        <v>1</v>
      </c>
      <c r="E910" s="218" t="n"/>
      <c r="F910" s="218" t="n"/>
      <c r="G910" s="218" t="n"/>
      <c r="H910" s="218" t="n"/>
      <c r="I910" s="216" t="n">
        <v>20000</v>
      </c>
      <c r="J910" s="309" t="n">
        <v>0</v>
      </c>
      <c r="K910" s="309" t="n">
        <v>20000</v>
      </c>
      <c r="L910" s="236" t="n">
        <v>5000</v>
      </c>
    </row>
    <row r="911" ht="15" customHeight="1" s="153">
      <c r="A911" s="302" t="inlineStr">
        <is>
          <t>08/04/2026</t>
        </is>
      </c>
      <c r="B911" s="303" t="inlineStr">
        <is>
          <t>Abril</t>
        </is>
      </c>
      <c r="C911" s="311" t="inlineStr">
        <is>
          <t>CALLE 12 3856</t>
        </is>
      </c>
      <c r="D911" s="225" t="n"/>
      <c r="E911" s="225" t="n"/>
      <c r="F911" s="225" t="n">
        <v>1</v>
      </c>
      <c r="G911" s="225" t="n"/>
      <c r="H911" s="225" t="n"/>
      <c r="I911" s="223" t="n">
        <v>83000</v>
      </c>
      <c r="J911" s="305" t="n">
        <v>0</v>
      </c>
      <c r="K911" s="305" t="n">
        <v>83000</v>
      </c>
      <c r="L911" s="224" t="n">
        <v>23000</v>
      </c>
    </row>
    <row r="912" ht="15" customHeight="1" s="153">
      <c r="A912" s="306" t="inlineStr">
        <is>
          <t>12/02/2026</t>
        </is>
      </c>
      <c r="B912" s="307" t="inlineStr">
        <is>
          <t>Febrero</t>
        </is>
      </c>
      <c r="C912" s="310" t="inlineStr">
        <is>
          <t>CALLEJON AGUIRRE 5255</t>
        </is>
      </c>
      <c r="D912" s="218" t="n">
        <v>1</v>
      </c>
      <c r="E912" s="218" t="n"/>
      <c r="F912" s="218" t="n"/>
      <c r="G912" s="218" t="n"/>
      <c r="H912" s="218" t="n"/>
      <c r="I912" s="216" t="n">
        <v>22000</v>
      </c>
      <c r="J912" s="309" t="n">
        <v>0</v>
      </c>
      <c r="K912" s="309" t="n">
        <v>22000</v>
      </c>
      <c r="L912" s="236" t="n">
        <v>7000</v>
      </c>
    </row>
    <row r="913" ht="15" customHeight="1" s="153">
      <c r="A913" s="302" t="inlineStr">
        <is>
          <t>17/04/2026</t>
        </is>
      </c>
      <c r="B913" s="303" t="inlineStr">
        <is>
          <t>Abril</t>
        </is>
      </c>
      <c r="C913" s="311" t="inlineStr">
        <is>
          <t>CALLEJON FUNES 1883 CARO</t>
        </is>
      </c>
      <c r="D913" s="225" t="n"/>
      <c r="E913" s="225" t="n"/>
      <c r="F913" s="225" t="n">
        <v>1</v>
      </c>
      <c r="G913" s="225" t="n"/>
      <c r="H913" s="225" t="n"/>
      <c r="I913" s="223" t="n">
        <v>85000</v>
      </c>
      <c r="J913" s="305" t="n">
        <v>85000</v>
      </c>
      <c r="K913" s="305" t="n">
        <v>0</v>
      </c>
      <c r="L913" s="224" t="n">
        <v>25000</v>
      </c>
    </row>
    <row r="914" ht="15" customHeight="1" s="153">
      <c r="A914" s="306" t="inlineStr">
        <is>
          <t>02/03/2026</t>
        </is>
      </c>
      <c r="B914" s="307" t="inlineStr">
        <is>
          <t>Marzo</t>
        </is>
      </c>
      <c r="C914" s="310" t="inlineStr">
        <is>
          <t>CAMELI 4860</t>
        </is>
      </c>
      <c r="D914" s="218" t="n">
        <v>2</v>
      </c>
      <c r="E914" s="218" t="n"/>
      <c r="F914" s="218" t="n"/>
      <c r="G914" s="218" t="n"/>
      <c r="H914" s="218" t="n"/>
      <c r="I914" s="216" t="n">
        <v>42000</v>
      </c>
      <c r="J914" s="309" t="n">
        <v>0</v>
      </c>
      <c r="K914" s="309" t="n">
        <v>42000</v>
      </c>
      <c r="L914" s="236" t="n">
        <v>12000</v>
      </c>
    </row>
    <row r="915" ht="15" customHeight="1" s="153">
      <c r="A915" s="306" t="inlineStr">
        <is>
          <t>17/04/2026</t>
        </is>
      </c>
      <c r="B915" s="307" t="inlineStr">
        <is>
          <t>Abril</t>
        </is>
      </c>
      <c r="C915" s="310" t="inlineStr">
        <is>
          <t>CAMELI 4860</t>
        </is>
      </c>
      <c r="D915" s="218" t="n">
        <v>1</v>
      </c>
      <c r="E915" s="218" t="n"/>
      <c r="F915" s="218" t="n"/>
      <c r="G915" s="218" t="n"/>
      <c r="H915" s="218" t="n"/>
      <c r="I915" s="216" t="n">
        <v>26000</v>
      </c>
      <c r="J915" s="309" t="n">
        <v>0</v>
      </c>
      <c r="K915" s="309" t="n">
        <v>26000</v>
      </c>
      <c r="L915" s="236" t="n">
        <v>11000</v>
      </c>
    </row>
    <row r="916" ht="15" customHeight="1" s="153">
      <c r="A916" s="302" t="inlineStr">
        <is>
          <t>11/04/2026</t>
        </is>
      </c>
      <c r="B916" s="303" t="inlineStr">
        <is>
          <t>Abril</t>
        </is>
      </c>
      <c r="C916" s="311" t="inlineStr">
        <is>
          <t>CANCHA RIVADAVIA</t>
        </is>
      </c>
      <c r="D916" s="225" t="n">
        <v>1</v>
      </c>
      <c r="E916" s="225" t="n"/>
      <c r="F916" s="225" t="n">
        <v>1</v>
      </c>
      <c r="G916" s="225" t="n"/>
      <c r="H916" s="225" t="n"/>
      <c r="I916" s="223" t="n">
        <v>105000</v>
      </c>
      <c r="J916" s="305" t="n">
        <v>0</v>
      </c>
      <c r="K916" s="305" t="n">
        <v>105000</v>
      </c>
      <c r="L916" s="224" t="n">
        <v>30000</v>
      </c>
    </row>
    <row r="917" ht="15" customHeight="1" s="153">
      <c r="A917" s="306" t="inlineStr">
        <is>
          <t>12/03/2026</t>
        </is>
      </c>
      <c r="B917" s="307" t="inlineStr">
        <is>
          <t>Marzo</t>
        </is>
      </c>
      <c r="C917" s="310" t="inlineStr">
        <is>
          <t>CANCHAS GRINGO</t>
        </is>
      </c>
      <c r="D917" s="218" t="n"/>
      <c r="E917" s="218" t="n">
        <v>1</v>
      </c>
      <c r="F917" s="218" t="n"/>
      <c r="G917" s="218" t="n"/>
      <c r="H917" s="218" t="n"/>
      <c r="I917" s="216" t="n">
        <v>30000</v>
      </c>
      <c r="J917" s="309" t="n">
        <v>30000</v>
      </c>
      <c r="K917" s="309" t="n">
        <v>0</v>
      </c>
      <c r="L917" s="236" t="n">
        <v>7500</v>
      </c>
    </row>
    <row r="918" ht="15" customHeight="1" s="153">
      <c r="A918" s="302" t="inlineStr">
        <is>
          <t>22/02/2026</t>
        </is>
      </c>
      <c r="B918" s="303" t="inlineStr">
        <is>
          <t>Febrero</t>
        </is>
      </c>
      <c r="C918" s="311" t="inlineStr">
        <is>
          <t>CANDIDO PUJATO 2444</t>
        </is>
      </c>
      <c r="D918" s="225" t="n">
        <v>1</v>
      </c>
      <c r="E918" s="225" t="n"/>
      <c r="F918" s="225" t="n"/>
      <c r="G918" s="225" t="n"/>
      <c r="H918" s="225" t="n"/>
      <c r="I918" s="223" t="n">
        <v>23000</v>
      </c>
      <c r="J918" s="305" t="n">
        <v>0</v>
      </c>
      <c r="K918" s="305" t="n">
        <v>23000</v>
      </c>
      <c r="L918" s="224" t="n">
        <v>8000</v>
      </c>
    </row>
    <row r="919" ht="15" customHeight="1" s="153">
      <c r="A919" s="306" t="inlineStr">
        <is>
          <t>27/02/2026</t>
        </is>
      </c>
      <c r="B919" s="307" t="inlineStr">
        <is>
          <t>Febrero</t>
        </is>
      </c>
      <c r="C919" s="310" t="inlineStr">
        <is>
          <t>CARCARAES 5820</t>
        </is>
      </c>
      <c r="D919" s="218" t="n"/>
      <c r="E919" s="218" t="n"/>
      <c r="F919" s="218" t="n">
        <v>1</v>
      </c>
      <c r="G919" s="218" t="n"/>
      <c r="H919" s="218" t="n"/>
      <c r="I919" s="216" t="n">
        <v>73000</v>
      </c>
      <c r="J919" s="309" t="n">
        <v>73000</v>
      </c>
      <c r="K919" s="309" t="n">
        <v>0</v>
      </c>
      <c r="L919" s="236" t="n">
        <v>13000</v>
      </c>
    </row>
    <row r="920" ht="15" customHeight="1" s="153">
      <c r="A920" s="302" t="inlineStr">
        <is>
          <t>28/02/2026</t>
        </is>
      </c>
      <c r="B920" s="303" t="inlineStr">
        <is>
          <t>Febrero</t>
        </is>
      </c>
      <c r="C920" s="311" t="inlineStr">
        <is>
          <t>CAREN</t>
        </is>
      </c>
      <c r="D920" s="225" t="n"/>
      <c r="E920" s="225" t="n"/>
      <c r="F920" s="225" t="n">
        <v>1</v>
      </c>
      <c r="G920" s="225" t="n"/>
      <c r="H920" s="225" t="n"/>
      <c r="I920" s="223" t="n">
        <v>72000</v>
      </c>
      <c r="J920" s="305" t="n">
        <v>0</v>
      </c>
      <c r="K920" s="305" t="n">
        <v>72000</v>
      </c>
      <c r="L920" s="224" t="n">
        <v>12000</v>
      </c>
    </row>
    <row r="921" ht="15" customHeight="1" s="153">
      <c r="A921" s="302" t="inlineStr">
        <is>
          <t>11/03/2026</t>
        </is>
      </c>
      <c r="B921" s="303" t="inlineStr">
        <is>
          <t>Marzo</t>
        </is>
      </c>
      <c r="C921" s="311" t="inlineStr">
        <is>
          <t>CAREN</t>
        </is>
      </c>
      <c r="D921" s="225" t="n"/>
      <c r="E921" s="225" t="n"/>
      <c r="F921" s="225" t="n">
        <v>1</v>
      </c>
      <c r="G921" s="225" t="n"/>
      <c r="H921" s="225" t="n"/>
      <c r="I921" s="223" t="n">
        <v>72000</v>
      </c>
      <c r="J921" s="305" t="n">
        <v>0</v>
      </c>
      <c r="K921" s="305" t="n">
        <v>72000</v>
      </c>
      <c r="L921" s="224" t="n">
        <v>12000</v>
      </c>
    </row>
    <row r="922" ht="15" customHeight="1" s="153">
      <c r="A922" s="302" t="inlineStr">
        <is>
          <t>17/03/2026</t>
        </is>
      </c>
      <c r="B922" s="303" t="inlineStr">
        <is>
          <t>Marzo</t>
        </is>
      </c>
      <c r="C922" s="311" t="inlineStr">
        <is>
          <t>CAREN</t>
        </is>
      </c>
      <c r="D922" s="225" t="n"/>
      <c r="E922" s="225" t="n"/>
      <c r="F922" s="225" t="n">
        <v>1</v>
      </c>
      <c r="G922" s="225" t="n"/>
      <c r="H922" s="225" t="n"/>
      <c r="I922" s="223" t="n">
        <v>77000</v>
      </c>
      <c r="J922" s="305" t="n">
        <v>0</v>
      </c>
      <c r="K922" s="305" t="n">
        <v>77000</v>
      </c>
      <c r="L922" s="224" t="n">
        <v>17000</v>
      </c>
    </row>
    <row r="923" ht="15" customHeight="1" s="153">
      <c r="A923" s="302" t="inlineStr">
        <is>
          <t>21/03/2026</t>
        </is>
      </c>
      <c r="B923" s="303" t="inlineStr">
        <is>
          <t>Marzo</t>
        </is>
      </c>
      <c r="C923" s="311" t="inlineStr">
        <is>
          <t>CAREN</t>
        </is>
      </c>
      <c r="D923" s="225" t="n"/>
      <c r="E923" s="225" t="n"/>
      <c r="F923" s="225" t="n">
        <v>1</v>
      </c>
      <c r="G923" s="225" t="n"/>
      <c r="H923" s="225" t="n"/>
      <c r="I923" s="223" t="n">
        <v>77000</v>
      </c>
      <c r="J923" s="305" t="n">
        <v>0</v>
      </c>
      <c r="K923" s="305" t="n">
        <v>77000</v>
      </c>
      <c r="L923" s="224" t="n">
        <v>17000</v>
      </c>
    </row>
    <row r="924" ht="15" customHeight="1" s="153">
      <c r="A924" s="302" t="inlineStr">
        <is>
          <t>06/04/2026</t>
        </is>
      </c>
      <c r="B924" s="303" t="inlineStr">
        <is>
          <t>Abril</t>
        </is>
      </c>
      <c r="C924" s="311" t="inlineStr">
        <is>
          <t>CAREN</t>
        </is>
      </c>
      <c r="D924" s="225" t="n"/>
      <c r="E924" s="225" t="n"/>
      <c r="F924" s="225" t="n">
        <v>1</v>
      </c>
      <c r="G924" s="225" t="n"/>
      <c r="H924" s="225" t="n"/>
      <c r="I924" s="223" t="n">
        <v>82000</v>
      </c>
      <c r="J924" s="305" t="n">
        <v>0</v>
      </c>
      <c r="K924" s="305" t="n">
        <v>82000</v>
      </c>
      <c r="L924" s="224" t="n">
        <v>22000</v>
      </c>
    </row>
    <row r="925" ht="15" customHeight="1" s="153">
      <c r="A925" s="302" t="inlineStr">
        <is>
          <t>11/04/2026</t>
        </is>
      </c>
      <c r="B925" s="303" t="inlineStr">
        <is>
          <t>Abril</t>
        </is>
      </c>
      <c r="C925" s="311" t="inlineStr">
        <is>
          <t>CAREN</t>
        </is>
      </c>
      <c r="D925" s="225" t="n"/>
      <c r="E925" s="225" t="n"/>
      <c r="F925" s="225" t="n">
        <v>1</v>
      </c>
      <c r="G925" s="225" t="n"/>
      <c r="H925" s="225" t="n"/>
      <c r="I925" s="223" t="n">
        <v>82000</v>
      </c>
      <c r="J925" s="305" t="n">
        <v>0</v>
      </c>
      <c r="K925" s="305" t="n">
        <v>82000</v>
      </c>
      <c r="L925" s="224" t="n">
        <v>22000</v>
      </c>
    </row>
    <row r="926" ht="15" customHeight="1" s="153">
      <c r="A926" s="306" t="inlineStr">
        <is>
          <t>02/01/2026</t>
        </is>
      </c>
      <c r="B926" s="307" t="inlineStr">
        <is>
          <t>Enero</t>
        </is>
      </c>
      <c r="C926" s="310" t="inlineStr">
        <is>
          <t>CAREN</t>
        </is>
      </c>
      <c r="D926" s="218" t="n"/>
      <c r="E926" s="218" t="n"/>
      <c r="F926" s="218" t="n">
        <v>1</v>
      </c>
      <c r="G926" s="218" t="n"/>
      <c r="H926" s="218" t="n"/>
      <c r="I926" s="216" t="n">
        <v>69000</v>
      </c>
      <c r="J926" s="309" t="n">
        <v>0</v>
      </c>
      <c r="K926" s="309" t="n">
        <v>69000</v>
      </c>
      <c r="L926" s="236" t="n">
        <v>9000</v>
      </c>
    </row>
    <row r="927" ht="15" customHeight="1" s="153">
      <c r="A927" s="306" t="inlineStr">
        <is>
          <t>05/01/2026</t>
        </is>
      </c>
      <c r="B927" s="307" t="inlineStr">
        <is>
          <t>Enero</t>
        </is>
      </c>
      <c r="C927" s="310" t="inlineStr">
        <is>
          <t>CAREN</t>
        </is>
      </c>
      <c r="D927" s="218" t="n"/>
      <c r="E927" s="218" t="n"/>
      <c r="F927" s="218" t="n">
        <v>1</v>
      </c>
      <c r="G927" s="218" t="n"/>
      <c r="H927" s="218" t="n"/>
      <c r="I927" s="216" t="n">
        <v>69000</v>
      </c>
      <c r="J927" s="309" t="n">
        <v>0</v>
      </c>
      <c r="K927" s="309" t="n">
        <v>69000</v>
      </c>
      <c r="L927" s="236" t="n">
        <v>9000</v>
      </c>
    </row>
    <row r="928" ht="15" customHeight="1" s="153">
      <c r="A928" s="306" t="inlineStr">
        <is>
          <t>12/01/2026</t>
        </is>
      </c>
      <c r="B928" s="307" t="inlineStr">
        <is>
          <t>Enero</t>
        </is>
      </c>
      <c r="C928" s="310" t="inlineStr">
        <is>
          <t>CAREN</t>
        </is>
      </c>
      <c r="D928" s="218" t="n"/>
      <c r="E928" s="218" t="n"/>
      <c r="F928" s="218" t="n">
        <v>1</v>
      </c>
      <c r="G928" s="218" t="n"/>
      <c r="H928" s="218" t="n"/>
      <c r="I928" s="216" t="n">
        <v>69000</v>
      </c>
      <c r="J928" s="309" t="n">
        <v>0</v>
      </c>
      <c r="K928" s="309" t="n">
        <v>69000</v>
      </c>
      <c r="L928" s="236" t="n">
        <v>9000</v>
      </c>
    </row>
    <row r="929" ht="15" customHeight="1" s="153">
      <c r="A929" s="306" t="inlineStr">
        <is>
          <t>16/01/2026</t>
        </is>
      </c>
      <c r="B929" s="307" t="inlineStr">
        <is>
          <t>Enero</t>
        </is>
      </c>
      <c r="C929" s="310" t="inlineStr">
        <is>
          <t>CAREN</t>
        </is>
      </c>
      <c r="D929" s="218" t="n"/>
      <c r="E929" s="218" t="n"/>
      <c r="F929" s="218" t="n">
        <v>1</v>
      </c>
      <c r="G929" s="218" t="n"/>
      <c r="H929" s="218" t="n"/>
      <c r="I929" s="216" t="n">
        <v>69000</v>
      </c>
      <c r="J929" s="309" t="n">
        <v>0</v>
      </c>
      <c r="K929" s="309" t="n">
        <v>69000</v>
      </c>
      <c r="L929" s="236" t="n">
        <v>9000</v>
      </c>
    </row>
    <row r="930" ht="15" customHeight="1" s="153">
      <c r="A930" s="306" t="inlineStr">
        <is>
          <t>22/01/2026</t>
        </is>
      </c>
      <c r="B930" s="307" t="inlineStr">
        <is>
          <t>Enero</t>
        </is>
      </c>
      <c r="C930" s="310" t="inlineStr">
        <is>
          <t>CAREN</t>
        </is>
      </c>
      <c r="D930" s="218" t="n"/>
      <c r="E930" s="218" t="n"/>
      <c r="F930" s="218" t="n">
        <v>1</v>
      </c>
      <c r="G930" s="218" t="n"/>
      <c r="H930" s="218" t="n"/>
      <c r="I930" s="216" t="n">
        <v>69000</v>
      </c>
      <c r="J930" s="309" t="n">
        <v>0</v>
      </c>
      <c r="K930" s="309" t="n">
        <v>69000</v>
      </c>
      <c r="L930" s="236" t="n">
        <v>9000</v>
      </c>
    </row>
    <row r="931" ht="15" customHeight="1" s="153">
      <c r="A931" s="306" t="inlineStr">
        <is>
          <t>26/01/2026</t>
        </is>
      </c>
      <c r="B931" s="307" t="inlineStr">
        <is>
          <t>Enero</t>
        </is>
      </c>
      <c r="C931" s="310" t="inlineStr">
        <is>
          <t>CAREN</t>
        </is>
      </c>
      <c r="D931" s="218" t="n"/>
      <c r="E931" s="218" t="n"/>
      <c r="F931" s="218" t="n">
        <v>1</v>
      </c>
      <c r="G931" s="218" t="n"/>
      <c r="H931" s="218" t="n"/>
      <c r="I931" s="216" t="n">
        <v>69000</v>
      </c>
      <c r="J931" s="309" t="n">
        <v>0</v>
      </c>
      <c r="K931" s="309" t="n">
        <v>69000</v>
      </c>
      <c r="L931" s="236" t="n">
        <v>9000</v>
      </c>
    </row>
    <row r="932" ht="15" customHeight="1" s="153">
      <c r="A932" s="306" t="inlineStr">
        <is>
          <t>06/02/2026</t>
        </is>
      </c>
      <c r="B932" s="307" t="inlineStr">
        <is>
          <t>Febrero</t>
        </is>
      </c>
      <c r="C932" s="310" t="inlineStr">
        <is>
          <t>CAREN</t>
        </is>
      </c>
      <c r="D932" s="218" t="n"/>
      <c r="E932" s="218" t="n"/>
      <c r="F932" s="218" t="n">
        <v>1</v>
      </c>
      <c r="G932" s="218" t="n"/>
      <c r="H932" s="218" t="n"/>
      <c r="I932" s="216" t="n">
        <v>69000</v>
      </c>
      <c r="J932" s="309" t="n">
        <v>0</v>
      </c>
      <c r="K932" s="309" t="n">
        <v>69000</v>
      </c>
      <c r="L932" s="236" t="n">
        <v>9000</v>
      </c>
    </row>
    <row r="933" ht="15" customHeight="1" s="153">
      <c r="A933" s="306" t="inlineStr">
        <is>
          <t>11/02/2026</t>
        </is>
      </c>
      <c r="B933" s="307" t="inlineStr">
        <is>
          <t>Febrero</t>
        </is>
      </c>
      <c r="C933" s="310" t="inlineStr">
        <is>
          <t>CAREN</t>
        </is>
      </c>
      <c r="D933" s="218" t="n"/>
      <c r="E933" s="218" t="n"/>
      <c r="F933" s="218" t="n">
        <v>1</v>
      </c>
      <c r="G933" s="218" t="n"/>
      <c r="H933" s="218" t="n"/>
      <c r="I933" s="216" t="n">
        <v>69000</v>
      </c>
      <c r="J933" s="309" t="n">
        <v>0</v>
      </c>
      <c r="K933" s="309" t="n">
        <v>69000</v>
      </c>
      <c r="L933" s="236" t="n">
        <v>9000</v>
      </c>
    </row>
    <row r="934" ht="15" customHeight="1" s="153">
      <c r="A934" s="306" t="inlineStr">
        <is>
          <t>14/02/2026</t>
        </is>
      </c>
      <c r="B934" s="307" t="inlineStr">
        <is>
          <t>Febrero</t>
        </is>
      </c>
      <c r="C934" s="310" t="inlineStr">
        <is>
          <t>CAREN</t>
        </is>
      </c>
      <c r="D934" s="218" t="n"/>
      <c r="E934" s="218" t="n"/>
      <c r="F934" s="218" t="n">
        <v>1</v>
      </c>
      <c r="G934" s="218" t="n"/>
      <c r="H934" s="218" t="n"/>
      <c r="I934" s="216" t="n">
        <v>69000</v>
      </c>
      <c r="J934" s="309" t="n">
        <v>0</v>
      </c>
      <c r="K934" s="309" t="n">
        <v>69000</v>
      </c>
      <c r="L934" s="236" t="n">
        <v>9000</v>
      </c>
    </row>
    <row r="935" ht="15" customHeight="1" s="153">
      <c r="A935" s="306" t="inlineStr">
        <is>
          <t>21/02/2026</t>
        </is>
      </c>
      <c r="B935" s="307" t="inlineStr">
        <is>
          <t>Febrero</t>
        </is>
      </c>
      <c r="C935" s="310" t="inlineStr">
        <is>
          <t>CAREN</t>
        </is>
      </c>
      <c r="D935" s="218" t="n"/>
      <c r="E935" s="218" t="n"/>
      <c r="F935" s="218" t="n">
        <v>1</v>
      </c>
      <c r="G935" s="218" t="n"/>
      <c r="H935" s="218" t="n"/>
      <c r="I935" s="216" t="n">
        <v>72000</v>
      </c>
      <c r="J935" s="309" t="n">
        <v>0</v>
      </c>
      <c r="K935" s="309" t="n">
        <v>72000</v>
      </c>
      <c r="L935" s="236" t="n">
        <v>12000</v>
      </c>
    </row>
    <row r="936" ht="15" customHeight="1" s="153">
      <c r="A936" s="306" t="inlineStr">
        <is>
          <t>24/02/2026</t>
        </is>
      </c>
      <c r="B936" s="307" t="inlineStr">
        <is>
          <t>Febrero</t>
        </is>
      </c>
      <c r="C936" s="310" t="inlineStr">
        <is>
          <t>CAREN</t>
        </is>
      </c>
      <c r="D936" s="218" t="n"/>
      <c r="E936" s="218" t="n"/>
      <c r="F936" s="218" t="n">
        <v>1</v>
      </c>
      <c r="G936" s="218" t="n"/>
      <c r="H936" s="218" t="n"/>
      <c r="I936" s="216" t="n">
        <v>72000</v>
      </c>
      <c r="J936" s="309" t="n">
        <v>0</v>
      </c>
      <c r="K936" s="309" t="n">
        <v>72000</v>
      </c>
      <c r="L936" s="236" t="n">
        <v>12000</v>
      </c>
    </row>
    <row r="937" ht="15" customHeight="1" s="153">
      <c r="A937" s="306" t="inlineStr">
        <is>
          <t>05/03/2026</t>
        </is>
      </c>
      <c r="B937" s="307" t="inlineStr">
        <is>
          <t>Marzo</t>
        </is>
      </c>
      <c r="C937" s="310" t="inlineStr">
        <is>
          <t>CAREN</t>
        </is>
      </c>
      <c r="D937" s="218" t="n"/>
      <c r="E937" s="218" t="n"/>
      <c r="F937" s="218" t="n">
        <v>1</v>
      </c>
      <c r="G937" s="218" t="n"/>
      <c r="H937" s="218" t="n"/>
      <c r="I937" s="216" t="n">
        <v>72000</v>
      </c>
      <c r="J937" s="309" t="n">
        <v>0</v>
      </c>
      <c r="K937" s="309" t="n">
        <v>72000</v>
      </c>
      <c r="L937" s="236" t="n">
        <v>12000</v>
      </c>
    </row>
    <row r="938" ht="15" customHeight="1" s="153">
      <c r="A938" s="306" t="inlineStr">
        <is>
          <t>17/04/2026</t>
        </is>
      </c>
      <c r="B938" s="307" t="inlineStr">
        <is>
          <t>Abril</t>
        </is>
      </c>
      <c r="C938" s="310" t="inlineStr">
        <is>
          <t>CAREN</t>
        </is>
      </c>
      <c r="D938" s="218" t="n"/>
      <c r="E938" s="218" t="n"/>
      <c r="F938" s="218" t="n">
        <v>1</v>
      </c>
      <c r="G938" s="218" t="n"/>
      <c r="H938" s="218" t="n"/>
      <c r="I938" s="216" t="n">
        <v>82000</v>
      </c>
      <c r="J938" s="309" t="n">
        <v>0</v>
      </c>
      <c r="K938" s="309" t="n">
        <v>82000</v>
      </c>
      <c r="L938" s="236" t="n">
        <v>22000</v>
      </c>
    </row>
    <row r="939" ht="15" customHeight="1" s="153">
      <c r="A939" s="306" t="inlineStr">
        <is>
          <t>20/04/2026</t>
        </is>
      </c>
      <c r="B939" s="307" t="inlineStr">
        <is>
          <t>Abril</t>
        </is>
      </c>
      <c r="C939" s="310" t="inlineStr">
        <is>
          <t>CAREN</t>
        </is>
      </c>
      <c r="D939" s="218" t="n"/>
      <c r="E939" s="218" t="n"/>
      <c r="F939" s="218" t="n">
        <v>1</v>
      </c>
      <c r="G939" s="218" t="n"/>
      <c r="H939" s="218" t="n"/>
      <c r="I939" s="216" t="n">
        <v>82000</v>
      </c>
      <c r="J939" s="309" t="n">
        <v>0</v>
      </c>
      <c r="K939" s="309" t="n">
        <v>82000</v>
      </c>
      <c r="L939" s="236" t="n">
        <v>22000</v>
      </c>
    </row>
    <row r="940" ht="15" customHeight="1" s="153">
      <c r="A940" s="302" t="inlineStr">
        <is>
          <t>19/01/2026</t>
        </is>
      </c>
      <c r="B940" s="303" t="inlineStr">
        <is>
          <t>Enero</t>
        </is>
      </c>
      <c r="C940" s="311" t="inlineStr">
        <is>
          <t>CARRASCO 9350</t>
        </is>
      </c>
      <c r="D940" s="225" t="n">
        <v>1</v>
      </c>
      <c r="E940" s="225" t="n"/>
      <c r="F940" s="225" t="n"/>
      <c r="G940" s="225" t="n"/>
      <c r="H940" s="225" t="n"/>
      <c r="I940" s="223" t="n">
        <v>21000</v>
      </c>
      <c r="J940" s="305" t="n">
        <v>21000</v>
      </c>
      <c r="K940" s="305" t="n">
        <v>0</v>
      </c>
      <c r="L940" s="224" t="n">
        <v>6000</v>
      </c>
    </row>
    <row r="941" ht="15" customHeight="1" s="153">
      <c r="A941" s="306" t="inlineStr">
        <is>
          <t>04/03/2026</t>
        </is>
      </c>
      <c r="B941" s="307" t="inlineStr">
        <is>
          <t>Marzo</t>
        </is>
      </c>
      <c r="C941" s="310" t="inlineStr">
        <is>
          <t>CARRI FILOMENA</t>
        </is>
      </c>
      <c r="D941" s="218" t="n">
        <v>1</v>
      </c>
      <c r="E941" s="218" t="n"/>
      <c r="F941" s="218" t="n"/>
      <c r="G941" s="218" t="n"/>
      <c r="H941" s="218" t="n"/>
      <c r="I941" s="216" t="n">
        <v>19000</v>
      </c>
      <c r="J941" s="309" t="n">
        <v>0</v>
      </c>
      <c r="K941" s="309" t="n">
        <v>19000</v>
      </c>
      <c r="L941" s="236" t="n">
        <v>4000</v>
      </c>
    </row>
    <row r="942" ht="15" customHeight="1" s="153">
      <c r="A942" s="302" t="inlineStr">
        <is>
          <t>17/04/2026</t>
        </is>
      </c>
      <c r="B942" s="303" t="inlineStr">
        <is>
          <t>Abril</t>
        </is>
      </c>
      <c r="C942" s="311" t="inlineStr">
        <is>
          <t>CASANELLO 2128</t>
        </is>
      </c>
      <c r="D942" s="225" t="n"/>
      <c r="E942" s="225" t="n">
        <v>1</v>
      </c>
      <c r="F942" s="225" t="n"/>
      <c r="G942" s="225" t="n"/>
      <c r="H942" s="225" t="n"/>
      <c r="I942" s="223" t="n">
        <v>35500</v>
      </c>
      <c r="J942" s="305" t="n">
        <v>0</v>
      </c>
      <c r="K942" s="305" t="n">
        <v>35500</v>
      </c>
      <c r="L942" s="224" t="n">
        <v>13000</v>
      </c>
    </row>
    <row r="943" ht="15" customHeight="1" s="153">
      <c r="A943" s="306" t="inlineStr">
        <is>
          <t>14/03/2026</t>
        </is>
      </c>
      <c r="B943" s="307" t="inlineStr">
        <is>
          <t>Marzo</t>
        </is>
      </c>
      <c r="C943" s="310" t="inlineStr">
        <is>
          <t>CASANELLO 3463</t>
        </is>
      </c>
      <c r="D943" s="218" t="n">
        <v>1</v>
      </c>
      <c r="E943" s="218" t="n">
        <v>1</v>
      </c>
      <c r="F943" s="218" t="n"/>
      <c r="G943" s="218" t="n"/>
      <c r="H943" s="218" t="n"/>
      <c r="I943" s="216" t="n">
        <v>56500</v>
      </c>
      <c r="J943" s="309" t="n">
        <v>56500</v>
      </c>
      <c r="K943" s="309" t="n">
        <v>0</v>
      </c>
      <c r="L943" s="236" t="n">
        <v>19000</v>
      </c>
    </row>
    <row r="944" ht="15" customHeight="1" s="153">
      <c r="A944" s="306" t="inlineStr">
        <is>
          <t>09/04/2026</t>
        </is>
      </c>
      <c r="B944" s="307" t="inlineStr">
        <is>
          <t>Abril</t>
        </is>
      </c>
      <c r="C944" s="310" t="inlineStr">
        <is>
          <t>CASANELLO 3463</t>
        </is>
      </c>
      <c r="D944" s="218" t="n"/>
      <c r="E944" s="218" t="n">
        <v>1</v>
      </c>
      <c r="F944" s="218" t="n"/>
      <c r="G944" s="218" t="n"/>
      <c r="H944" s="218" t="n"/>
      <c r="I944" s="216" t="n">
        <v>36500</v>
      </c>
      <c r="J944" s="309" t="n">
        <v>36500</v>
      </c>
      <c r="K944" s="309" t="n">
        <v>0</v>
      </c>
      <c r="L944" s="236" t="n">
        <v>14000</v>
      </c>
    </row>
    <row r="945" ht="15" customHeight="1" s="153">
      <c r="A945" s="302" t="inlineStr">
        <is>
          <t>26/02/2026</t>
        </is>
      </c>
      <c r="B945" s="303" t="inlineStr">
        <is>
          <t>Febrero</t>
        </is>
      </c>
      <c r="C945" s="311" t="inlineStr">
        <is>
          <t>CASTAÑADUY 6687</t>
        </is>
      </c>
      <c r="D945" s="225" t="n"/>
      <c r="E945" s="225" t="n"/>
      <c r="F945" s="225" t="n">
        <v>1</v>
      </c>
      <c r="G945" s="225" t="n"/>
      <c r="H945" s="225" t="n"/>
      <c r="I945" s="223" t="n">
        <v>74000</v>
      </c>
      <c r="J945" s="305" t="n">
        <v>0</v>
      </c>
      <c r="K945" s="305" t="n">
        <v>74000</v>
      </c>
      <c r="L945" s="224" t="n">
        <v>14000</v>
      </c>
    </row>
    <row r="946" ht="15" customHeight="1" s="153">
      <c r="A946" s="306" t="inlineStr">
        <is>
          <t>09/04/2026</t>
        </is>
      </c>
      <c r="B946" s="307" t="inlineStr">
        <is>
          <t>Abril</t>
        </is>
      </c>
      <c r="C946" s="310" t="inlineStr">
        <is>
          <t>CASTAÑADUY 7035</t>
        </is>
      </c>
      <c r="D946" s="218" t="n"/>
      <c r="E946" s="218" t="n"/>
      <c r="F946" s="218" t="n">
        <v>1</v>
      </c>
      <c r="G946" s="218" t="n"/>
      <c r="H946" s="218" t="n"/>
      <c r="I946" s="216" t="n">
        <v>85000</v>
      </c>
      <c r="J946" s="309" t="n">
        <v>0</v>
      </c>
      <c r="K946" s="309" t="n">
        <v>85000</v>
      </c>
      <c r="L946" s="236" t="n">
        <v>25000</v>
      </c>
    </row>
    <row r="947" ht="15" customHeight="1" s="153">
      <c r="A947" s="302" t="inlineStr">
        <is>
          <t>02/04/2026</t>
        </is>
      </c>
      <c r="B947" s="303" t="inlineStr">
        <is>
          <t>Abril</t>
        </is>
      </c>
      <c r="C947" s="311" t="inlineStr">
        <is>
          <t>CASTELLI 2219</t>
        </is>
      </c>
      <c r="D947" s="225" t="n">
        <v>1</v>
      </c>
      <c r="E947" s="225" t="n"/>
      <c r="F947" s="225" t="n"/>
      <c r="G947" s="225" t="n"/>
      <c r="H947" s="225" t="n"/>
      <c r="I947" s="223" t="n">
        <v>27000</v>
      </c>
      <c r="J947" s="305" t="n">
        <v>0</v>
      </c>
      <c r="K947" s="305" t="n">
        <v>27000</v>
      </c>
      <c r="L947" s="224" t="n">
        <v>12000</v>
      </c>
    </row>
    <row r="948" ht="15" customHeight="1" s="153">
      <c r="A948" s="306" t="inlineStr">
        <is>
          <t>07/02/2026</t>
        </is>
      </c>
      <c r="B948" s="307" t="inlineStr">
        <is>
          <t>Febrero</t>
        </is>
      </c>
      <c r="C948" s="310" t="inlineStr">
        <is>
          <t>CASTELLI 4320</t>
        </is>
      </c>
      <c r="D948" s="218" t="n">
        <v>1</v>
      </c>
      <c r="E948" s="218" t="n"/>
      <c r="F948" s="218" t="n"/>
      <c r="G948" s="218" t="n"/>
      <c r="H948" s="218" t="n"/>
      <c r="I948" s="216" t="n">
        <v>22000</v>
      </c>
      <c r="J948" s="309" t="n">
        <v>22000</v>
      </c>
      <c r="K948" s="309" t="n">
        <v>0</v>
      </c>
      <c r="L948" s="236" t="n">
        <v>7000</v>
      </c>
    </row>
    <row r="949" ht="15" customHeight="1" s="153">
      <c r="A949" s="302" t="inlineStr">
        <is>
          <t>12/03/2026</t>
        </is>
      </c>
      <c r="B949" s="303" t="inlineStr">
        <is>
          <t>Marzo</t>
        </is>
      </c>
      <c r="C949" s="311" t="inlineStr">
        <is>
          <t>CASTELLI 5364</t>
        </is>
      </c>
      <c r="D949" s="225" t="n"/>
      <c r="E949" s="225" t="n"/>
      <c r="F949" s="225" t="n">
        <v>1</v>
      </c>
      <c r="G949" s="225" t="n"/>
      <c r="H949" s="225" t="n"/>
      <c r="I949" s="223" t="n">
        <v>75000</v>
      </c>
      <c r="J949" s="305" t="n">
        <v>75000</v>
      </c>
      <c r="K949" s="305" t="n">
        <v>0</v>
      </c>
      <c r="L949" s="224" t="n">
        <v>15000</v>
      </c>
    </row>
    <row r="950" ht="15" customHeight="1" s="153">
      <c r="A950" s="306" t="inlineStr">
        <is>
          <t>13/02/2026</t>
        </is>
      </c>
      <c r="B950" s="307" t="inlineStr">
        <is>
          <t>Febrero</t>
        </is>
      </c>
      <c r="C950" s="310" t="inlineStr">
        <is>
          <t>CASTELLI 5406</t>
        </is>
      </c>
      <c r="D950" s="218" t="n">
        <v>1</v>
      </c>
      <c r="E950" s="218" t="n"/>
      <c r="F950" s="218" t="n"/>
      <c r="G950" s="218" t="n"/>
      <c r="H950" s="218" t="n"/>
      <c r="I950" s="216" t="n">
        <v>22000</v>
      </c>
      <c r="J950" s="309" t="n">
        <v>22000</v>
      </c>
      <c r="K950" s="309" t="n">
        <v>0</v>
      </c>
      <c r="L950" s="236" t="n">
        <v>7000</v>
      </c>
    </row>
    <row r="951" ht="15" customHeight="1" s="153">
      <c r="A951" s="306" t="inlineStr">
        <is>
          <t>15/03/2026</t>
        </is>
      </c>
      <c r="B951" s="307" t="inlineStr">
        <is>
          <t>Marzo</t>
        </is>
      </c>
      <c r="C951" s="310" t="inlineStr">
        <is>
          <t>CASTELLI 5406</t>
        </is>
      </c>
      <c r="D951" s="218" t="n"/>
      <c r="E951" s="218" t="n">
        <v>1</v>
      </c>
      <c r="F951" s="218" t="n"/>
      <c r="G951" s="218" t="n"/>
      <c r="H951" s="218" t="n"/>
      <c r="I951" s="216" t="n">
        <v>35000</v>
      </c>
      <c r="J951" s="309" t="n">
        <v>35000</v>
      </c>
      <c r="K951" s="309" t="n">
        <v>0</v>
      </c>
      <c r="L951" s="236" t="n">
        <v>12500</v>
      </c>
    </row>
    <row r="952" ht="15" customHeight="1" s="153">
      <c r="A952" s="302" t="inlineStr">
        <is>
          <t>28/02/2026</t>
        </is>
      </c>
      <c r="B952" s="303" t="inlineStr">
        <is>
          <t>Febrero</t>
        </is>
      </c>
      <c r="C952" s="311" t="inlineStr">
        <is>
          <t>CASTELLI 946</t>
        </is>
      </c>
      <c r="D952" s="225" t="n">
        <v>1</v>
      </c>
      <c r="E952" s="225" t="n"/>
      <c r="F952" s="225" t="n"/>
      <c r="G952" s="225" t="n"/>
      <c r="H952" s="225" t="n"/>
      <c r="I952" s="223" t="n">
        <v>23000</v>
      </c>
      <c r="J952" s="305" t="n">
        <v>23000</v>
      </c>
      <c r="K952" s="305" t="n">
        <v>0</v>
      </c>
      <c r="L952" s="224" t="n">
        <v>8000</v>
      </c>
    </row>
    <row r="953" ht="15" customHeight="1" s="153">
      <c r="A953" s="306" t="inlineStr">
        <is>
          <t>22/04/2026</t>
        </is>
      </c>
      <c r="B953" s="307" t="inlineStr">
        <is>
          <t>Abril</t>
        </is>
      </c>
      <c r="C953" s="310" t="inlineStr">
        <is>
          <t>CAYASTA 4887 MARCE</t>
        </is>
      </c>
      <c r="D953" s="218" t="n"/>
      <c r="E953" s="218" t="n"/>
      <c r="F953" s="218" t="n"/>
      <c r="G953" s="218" t="n">
        <v>4</v>
      </c>
      <c r="H953" s="218" t="n"/>
      <c r="I953" s="216" t="n">
        <v>15000</v>
      </c>
      <c r="J953" s="309" t="n">
        <v>15000</v>
      </c>
      <c r="K953" s="309" t="n">
        <v>0</v>
      </c>
      <c r="L953" s="236" t="n">
        <v>5800</v>
      </c>
    </row>
    <row r="954" ht="15" customHeight="1" s="153">
      <c r="A954" s="302" t="inlineStr">
        <is>
          <t>05/02/2026</t>
        </is>
      </c>
      <c r="B954" s="303" t="inlineStr">
        <is>
          <t>Abril</t>
        </is>
      </c>
      <c r="C954" s="311" t="inlineStr">
        <is>
          <t>CERVERA 4748</t>
        </is>
      </c>
      <c r="D954" s="225" t="n">
        <v>1</v>
      </c>
      <c r="E954" s="225" t="n"/>
      <c r="F954" s="225" t="n"/>
      <c r="G954" s="225" t="n"/>
      <c r="H954" s="225" t="n"/>
      <c r="I954" s="223" t="n">
        <v>27000</v>
      </c>
      <c r="J954" s="305" t="n">
        <v>0</v>
      </c>
      <c r="K954" s="305" t="n">
        <v>27000</v>
      </c>
      <c r="L954" s="224" t="n">
        <v>12000</v>
      </c>
    </row>
    <row r="955" ht="15" customHeight="1" s="153">
      <c r="A955" s="306" t="inlineStr">
        <is>
          <t>05/02/2026</t>
        </is>
      </c>
      <c r="B955" s="307" t="inlineStr">
        <is>
          <t>Abril</t>
        </is>
      </c>
      <c r="C955" s="310" t="inlineStr">
        <is>
          <t>CERVERA 6885</t>
        </is>
      </c>
      <c r="D955" s="218" t="n">
        <v>1</v>
      </c>
      <c r="E955" s="218" t="n"/>
      <c r="F955" s="218" t="n"/>
      <c r="G955" s="218" t="n"/>
      <c r="H955" s="218" t="n"/>
      <c r="I955" s="216" t="n">
        <v>27000</v>
      </c>
      <c r="J955" s="309" t="n">
        <v>27000</v>
      </c>
      <c r="K955" s="309" t="n">
        <v>0</v>
      </c>
      <c r="L955" s="236" t="n">
        <v>12000</v>
      </c>
    </row>
    <row r="956" ht="15" customHeight="1" s="153">
      <c r="A956" s="302" t="inlineStr">
        <is>
          <t>23/03/2026</t>
        </is>
      </c>
      <c r="B956" s="303" t="inlineStr">
        <is>
          <t>Marzo</t>
        </is>
      </c>
      <c r="C956" s="311" t="inlineStr">
        <is>
          <t>CERVERA 7037</t>
        </is>
      </c>
      <c r="D956" s="225" t="n">
        <v>1</v>
      </c>
      <c r="E956" s="225" t="n"/>
      <c r="F956" s="225" t="n"/>
      <c r="G956" s="225" t="n"/>
      <c r="H956" s="225" t="n"/>
      <c r="I956" s="223" t="n">
        <v>25000</v>
      </c>
      <c r="J956" s="305" t="n">
        <v>25000</v>
      </c>
      <c r="K956" s="305" t="n">
        <v>0</v>
      </c>
      <c r="L956" s="224" t="n">
        <v>10000</v>
      </c>
    </row>
    <row r="957" ht="15" customHeight="1" s="153">
      <c r="A957" s="306" t="inlineStr">
        <is>
          <t>05/02/2026</t>
        </is>
      </c>
      <c r="B957" s="307" t="inlineStr">
        <is>
          <t>Abril</t>
        </is>
      </c>
      <c r="C957" s="310" t="inlineStr">
        <is>
          <t>CHACO 2843</t>
        </is>
      </c>
      <c r="D957" s="218" t="n"/>
      <c r="E957" s="218" t="n"/>
      <c r="F957" s="218" t="n">
        <v>1</v>
      </c>
      <c r="G957" s="218" t="n"/>
      <c r="H957" s="218" t="n"/>
      <c r="I957" s="216" t="n">
        <v>83000</v>
      </c>
      <c r="J957" s="309" t="n">
        <v>83000</v>
      </c>
      <c r="K957" s="309" t="n">
        <v>0</v>
      </c>
      <c r="L957" s="236" t="n">
        <v>23000</v>
      </c>
    </row>
    <row r="958" ht="15" customHeight="1" s="153">
      <c r="A958" s="302" t="inlineStr">
        <is>
          <t>09/03/2026</t>
        </is>
      </c>
      <c r="B958" s="303" t="inlineStr">
        <is>
          <t>Marzo</t>
        </is>
      </c>
      <c r="C958" s="311" t="inlineStr">
        <is>
          <t>CHICLAMNA 7325</t>
        </is>
      </c>
      <c r="D958" s="225" t="n">
        <v>1</v>
      </c>
      <c r="E958" s="225" t="n"/>
      <c r="F958" s="225" t="n"/>
      <c r="G958" s="225" t="n"/>
      <c r="H958" s="225" t="n"/>
      <c r="I958" s="223" t="n">
        <v>15500</v>
      </c>
      <c r="J958" s="305" t="n">
        <v>15500</v>
      </c>
      <c r="K958" s="305" t="n">
        <v>0</v>
      </c>
      <c r="L958" s="224" t="n">
        <v>500</v>
      </c>
    </row>
    <row r="959" ht="15" customHeight="1" s="153">
      <c r="A959" s="306" t="inlineStr">
        <is>
          <t>04/04/2026</t>
        </is>
      </c>
      <c r="B959" s="307" t="inlineStr">
        <is>
          <t>Abril</t>
        </is>
      </c>
      <c r="C959" s="310" t="inlineStr">
        <is>
          <t>CHICLANA 6668</t>
        </is>
      </c>
      <c r="D959" s="218" t="n"/>
      <c r="E959" s="218" t="n">
        <v>1</v>
      </c>
      <c r="F959" s="218" t="n"/>
      <c r="G959" s="218" t="n"/>
      <c r="H959" s="218" t="n"/>
      <c r="I959" s="216" t="n">
        <v>34500</v>
      </c>
      <c r="J959" s="309" t="n">
        <v>0</v>
      </c>
      <c r="K959" s="309" t="n">
        <v>34500</v>
      </c>
      <c r="L959" s="236" t="n">
        <v>12000</v>
      </c>
    </row>
    <row r="960" ht="15" customHeight="1" s="153">
      <c r="A960" s="302" t="inlineStr">
        <is>
          <t>03/03/2026</t>
        </is>
      </c>
      <c r="B960" s="303" t="inlineStr">
        <is>
          <t>Marzo</t>
        </is>
      </c>
      <c r="C960" s="311" t="inlineStr">
        <is>
          <t>CHICLANA 72325</t>
        </is>
      </c>
      <c r="D960" s="225" t="n">
        <v>2</v>
      </c>
      <c r="E960" s="225" t="n"/>
      <c r="F960" s="225" t="n"/>
      <c r="G960" s="225" t="n"/>
      <c r="H960" s="225" t="n"/>
      <c r="I960" s="223" t="n">
        <v>29000</v>
      </c>
      <c r="J960" s="305" t="n">
        <v>29000</v>
      </c>
      <c r="K960" s="305" t="n">
        <v>0</v>
      </c>
      <c r="L960" s="245" t="n">
        <v>-1000</v>
      </c>
    </row>
    <row r="961" ht="15" customHeight="1" s="153">
      <c r="A961" s="306" t="inlineStr">
        <is>
          <t>21/02/2026</t>
        </is>
      </c>
      <c r="B961" s="307" t="inlineStr">
        <is>
          <t>Febrero</t>
        </is>
      </c>
      <c r="C961" s="310" t="inlineStr">
        <is>
          <t>CHICLANA 7325</t>
        </is>
      </c>
      <c r="D961" s="218" t="n">
        <v>3</v>
      </c>
      <c r="E961" s="218" t="n"/>
      <c r="F961" s="218" t="n"/>
      <c r="G961" s="218" t="n"/>
      <c r="H961" s="218" t="n"/>
      <c r="I961" s="216" t="n">
        <v>43500</v>
      </c>
      <c r="J961" s="309" t="n">
        <v>43500</v>
      </c>
      <c r="K961" s="309" t="n">
        <v>0</v>
      </c>
      <c r="L961" s="217" t="n">
        <v>-1500</v>
      </c>
    </row>
    <row r="962" ht="15" customHeight="1" s="153">
      <c r="A962" s="306" t="inlineStr">
        <is>
          <t>27/02/2026</t>
        </is>
      </c>
      <c r="B962" s="307" t="inlineStr">
        <is>
          <t>Febrero</t>
        </is>
      </c>
      <c r="C962" s="310" t="inlineStr">
        <is>
          <t>CHICLANA 7325</t>
        </is>
      </c>
      <c r="D962" s="218" t="n">
        <v>2</v>
      </c>
      <c r="E962" s="218" t="n"/>
      <c r="F962" s="218" t="n"/>
      <c r="G962" s="218" t="n"/>
      <c r="H962" s="218" t="n"/>
      <c r="I962" s="216" t="n">
        <v>29000</v>
      </c>
      <c r="J962" s="309" t="n">
        <v>29000</v>
      </c>
      <c r="K962" s="309" t="n">
        <v>0</v>
      </c>
      <c r="L962" s="217" t="n">
        <v>-1000</v>
      </c>
    </row>
    <row r="963" ht="15" customHeight="1" s="153">
      <c r="A963" s="306" t="inlineStr">
        <is>
          <t>05/03/2026</t>
        </is>
      </c>
      <c r="B963" s="307" t="inlineStr">
        <is>
          <t>Marzo</t>
        </is>
      </c>
      <c r="C963" s="310" t="inlineStr">
        <is>
          <t>CHICLANA 7325</t>
        </is>
      </c>
      <c r="D963" s="218" t="n">
        <v>1</v>
      </c>
      <c r="E963" s="218" t="n"/>
      <c r="F963" s="218" t="n"/>
      <c r="G963" s="218" t="n"/>
      <c r="H963" s="218" t="n"/>
      <c r="I963" s="216" t="n">
        <v>14500</v>
      </c>
      <c r="J963" s="309" t="n">
        <v>14500</v>
      </c>
      <c r="K963" s="309" t="n">
        <v>0</v>
      </c>
      <c r="L963" s="217" t="n">
        <v>-500</v>
      </c>
    </row>
    <row r="964" ht="15" customHeight="1" s="153">
      <c r="A964" s="306" t="inlineStr">
        <is>
          <t>06/03/2026</t>
        </is>
      </c>
      <c r="B964" s="307" t="inlineStr">
        <is>
          <t>Marzo</t>
        </is>
      </c>
      <c r="C964" s="310" t="inlineStr">
        <is>
          <t>CHICLANA 7325</t>
        </is>
      </c>
      <c r="D964" s="218" t="n">
        <v>1</v>
      </c>
      <c r="E964" s="218" t="n"/>
      <c r="F964" s="218" t="n"/>
      <c r="G964" s="218" t="n"/>
      <c r="H964" s="218" t="n"/>
      <c r="I964" s="216" t="n">
        <v>14500</v>
      </c>
      <c r="J964" s="309" t="n">
        <v>14500</v>
      </c>
      <c r="K964" s="309" t="n">
        <v>0</v>
      </c>
      <c r="L964" s="217" t="n">
        <v>-500</v>
      </c>
    </row>
    <row r="965" ht="15" customHeight="1" s="153">
      <c r="A965" s="306" t="inlineStr">
        <is>
          <t>13/03/2026</t>
        </is>
      </c>
      <c r="B965" s="307" t="inlineStr">
        <is>
          <t>Marzo</t>
        </is>
      </c>
      <c r="C965" s="310" t="inlineStr">
        <is>
          <t>CHICLANA 7325</t>
        </is>
      </c>
      <c r="D965" s="218" t="n">
        <v>1</v>
      </c>
      <c r="E965" s="218" t="n"/>
      <c r="F965" s="218" t="n"/>
      <c r="G965" s="218" t="n"/>
      <c r="H965" s="218" t="n"/>
      <c r="I965" s="216" t="n">
        <v>17000</v>
      </c>
      <c r="J965" s="309" t="n">
        <v>0</v>
      </c>
      <c r="K965" s="309" t="n">
        <v>17000</v>
      </c>
      <c r="L965" s="236" t="n">
        <v>2000</v>
      </c>
    </row>
    <row r="966" ht="15" customHeight="1" s="153">
      <c r="A966" s="306" t="inlineStr">
        <is>
          <t>18/03/2026</t>
        </is>
      </c>
      <c r="B966" s="307" t="inlineStr">
        <is>
          <t>Marzo</t>
        </is>
      </c>
      <c r="C966" s="310" t="inlineStr">
        <is>
          <t>CHICLANA 7325</t>
        </is>
      </c>
      <c r="D966" s="218" t="n">
        <v>1</v>
      </c>
      <c r="E966" s="218" t="n"/>
      <c r="F966" s="218" t="n"/>
      <c r="G966" s="218" t="n"/>
      <c r="H966" s="218" t="n"/>
      <c r="I966" s="216" t="n">
        <v>17000</v>
      </c>
      <c r="J966" s="309" t="n">
        <v>0</v>
      </c>
      <c r="K966" s="309" t="n">
        <v>17000</v>
      </c>
      <c r="L966" s="236" t="n">
        <v>2000</v>
      </c>
    </row>
    <row r="967" ht="15" customHeight="1" s="153">
      <c r="A967" s="306" t="inlineStr">
        <is>
          <t>04/04/2026</t>
        </is>
      </c>
      <c r="B967" s="307" t="inlineStr">
        <is>
          <t>Abril</t>
        </is>
      </c>
      <c r="C967" s="310" t="inlineStr">
        <is>
          <t>CHICLANA 7325</t>
        </is>
      </c>
      <c r="D967" s="218" t="n">
        <v>1</v>
      </c>
      <c r="E967" s="218" t="n"/>
      <c r="F967" s="218" t="n"/>
      <c r="G967" s="218" t="n"/>
      <c r="H967" s="218" t="n"/>
      <c r="I967" s="216" t="n">
        <v>19000</v>
      </c>
      <c r="J967" s="309" t="n">
        <v>0</v>
      </c>
      <c r="K967" s="309" t="n">
        <v>19000</v>
      </c>
      <c r="L967" s="236" t="n">
        <v>4000</v>
      </c>
    </row>
    <row r="968" ht="15" customHeight="1" s="153">
      <c r="A968" s="306" t="inlineStr">
        <is>
          <t>20/04/2026</t>
        </is>
      </c>
      <c r="B968" s="307" t="inlineStr">
        <is>
          <t>Abril</t>
        </is>
      </c>
      <c r="C968" s="310" t="inlineStr">
        <is>
          <t>CHICLANA 7325</t>
        </is>
      </c>
      <c r="D968" s="218" t="n">
        <v>1</v>
      </c>
      <c r="E968" s="218" t="n"/>
      <c r="F968" s="218" t="n"/>
      <c r="G968" s="218" t="n"/>
      <c r="H968" s="218" t="n"/>
      <c r="I968" s="216" t="n">
        <v>19000</v>
      </c>
      <c r="J968" s="309" t="n">
        <v>0</v>
      </c>
      <c r="K968" s="309" t="n">
        <v>19000</v>
      </c>
      <c r="L968" s="236" t="n">
        <v>4000</v>
      </c>
    </row>
    <row r="969" ht="15" customHeight="1" s="153">
      <c r="A969" s="306" t="inlineStr">
        <is>
          <t>22/04/2026</t>
        </is>
      </c>
      <c r="B969" s="307" t="inlineStr">
        <is>
          <t>Abril</t>
        </is>
      </c>
      <c r="C969" s="310" t="inlineStr">
        <is>
          <t>CHICLANA 7325</t>
        </is>
      </c>
      <c r="D969" s="218" t="n">
        <v>2</v>
      </c>
      <c r="E969" s="218" t="n"/>
      <c r="F969" s="218" t="n"/>
      <c r="G969" s="218" t="n"/>
      <c r="H969" s="218" t="n"/>
      <c r="I969" s="216" t="n">
        <v>38000</v>
      </c>
      <c r="J969" s="309" t="n">
        <v>0</v>
      </c>
      <c r="K969" s="309" t="n">
        <v>38000</v>
      </c>
      <c r="L969" s="236" t="n">
        <v>8000</v>
      </c>
    </row>
    <row r="970" ht="15" customHeight="1" s="153">
      <c r="A970" s="302" t="inlineStr">
        <is>
          <t>17/01/2026</t>
        </is>
      </c>
      <c r="B970" s="303" t="inlineStr">
        <is>
          <t>Enero</t>
        </is>
      </c>
      <c r="C970" s="311" t="inlineStr">
        <is>
          <t>CHICLANA 7565</t>
        </is>
      </c>
      <c r="D970" s="225" t="n"/>
      <c r="E970" s="225" t="n">
        <v>1</v>
      </c>
      <c r="F970" s="225" t="n"/>
      <c r="G970" s="225" t="n"/>
      <c r="H970" s="225" t="n"/>
      <c r="I970" s="223" t="n">
        <v>33000</v>
      </c>
      <c r="J970" s="305" t="n">
        <v>33000</v>
      </c>
      <c r="K970" s="305" t="n">
        <v>0</v>
      </c>
      <c r="L970" s="224" t="n">
        <v>10500</v>
      </c>
    </row>
    <row r="971" ht="15" customHeight="1" s="153">
      <c r="A971" s="306" t="inlineStr">
        <is>
          <t>19/03/2026</t>
        </is>
      </c>
      <c r="B971" s="307" t="inlineStr">
        <is>
          <t>Marzo</t>
        </is>
      </c>
      <c r="C971" s="310" t="inlineStr">
        <is>
          <t>CHICLANA 7849</t>
        </is>
      </c>
      <c r="D971" s="218" t="n"/>
      <c r="E971" s="218" t="n">
        <v>1</v>
      </c>
      <c r="F971" s="218" t="n"/>
      <c r="G971" s="218" t="n"/>
      <c r="H971" s="218" t="n"/>
      <c r="I971" s="216" t="n">
        <v>36500</v>
      </c>
      <c r="J971" s="309" t="n">
        <v>36500</v>
      </c>
      <c r="K971" s="309" t="n">
        <v>0</v>
      </c>
      <c r="L971" s="236" t="n">
        <v>14000</v>
      </c>
    </row>
    <row r="972" ht="15" customHeight="1" s="153">
      <c r="A972" s="302" t="inlineStr">
        <is>
          <t>03/01/2026</t>
        </is>
      </c>
      <c r="B972" s="303" t="inlineStr">
        <is>
          <t>Enero</t>
        </is>
      </c>
      <c r="C972" s="311" t="inlineStr">
        <is>
          <t>CHICLANA 9671</t>
        </is>
      </c>
      <c r="D972" s="225" t="n"/>
      <c r="E972" s="225" t="n"/>
      <c r="F972" s="225" t="n">
        <v>1</v>
      </c>
      <c r="G972" s="225" t="n"/>
      <c r="H972" s="225" t="n"/>
      <c r="I972" s="223" t="n">
        <v>84000</v>
      </c>
      <c r="J972" s="305" t="n">
        <v>0</v>
      </c>
      <c r="K972" s="305" t="n">
        <v>84000</v>
      </c>
      <c r="L972" s="224" t="n">
        <v>24000</v>
      </c>
    </row>
    <row r="973" ht="15" customHeight="1" s="153">
      <c r="A973" s="306" t="inlineStr">
        <is>
          <t>12/02/2026</t>
        </is>
      </c>
      <c r="B973" s="307" t="inlineStr">
        <is>
          <t>Febrero</t>
        </is>
      </c>
      <c r="C973" s="310" t="inlineStr">
        <is>
          <t>CINDI</t>
        </is>
      </c>
      <c r="D973" s="218" t="n"/>
      <c r="E973" s="218" t="n"/>
      <c r="F973" s="218" t="n"/>
      <c r="G973" s="218" t="n">
        <v>2</v>
      </c>
      <c r="H973" s="218" t="n"/>
      <c r="I973" s="216" t="n">
        <v>7000</v>
      </c>
      <c r="J973" s="309" t="n">
        <v>0</v>
      </c>
      <c r="K973" s="309" t="n">
        <v>7000</v>
      </c>
      <c r="L973" s="236" t="n">
        <v>2400</v>
      </c>
    </row>
    <row r="974" ht="15" customHeight="1" s="153">
      <c r="A974" s="302" t="inlineStr">
        <is>
          <t>06/01/2026</t>
        </is>
      </c>
      <c r="B974" s="303" t="inlineStr">
        <is>
          <t>Enero</t>
        </is>
      </c>
      <c r="C974" s="311" t="inlineStr">
        <is>
          <t>CINDO</t>
        </is>
      </c>
      <c r="D974" s="225" t="n"/>
      <c r="E974" s="225" t="n"/>
      <c r="F974" s="225" t="n"/>
      <c r="G974" s="225" t="n">
        <v>2</v>
      </c>
      <c r="H974" s="225" t="n"/>
      <c r="I974" s="223" t="n">
        <v>6500</v>
      </c>
      <c r="J974" s="305" t="n">
        <v>0</v>
      </c>
      <c r="K974" s="305" t="n">
        <v>6500</v>
      </c>
      <c r="L974" s="224" t="n">
        <v>1900</v>
      </c>
    </row>
    <row r="975" ht="15" customHeight="1" s="153">
      <c r="A975" s="306" t="inlineStr">
        <is>
          <t>08/02/2026</t>
        </is>
      </c>
      <c r="B975" s="307" t="inlineStr">
        <is>
          <t>Febrero</t>
        </is>
      </c>
      <c r="C975" s="310" t="inlineStr">
        <is>
          <t>CLUB NACIONAL</t>
        </is>
      </c>
      <c r="D975" s="218" t="n">
        <v>1</v>
      </c>
      <c r="E975" s="218" t="n"/>
      <c r="F975" s="218" t="n"/>
      <c r="G975" s="218" t="n"/>
      <c r="H975" s="218" t="n"/>
      <c r="I975" s="216" t="n">
        <v>22000</v>
      </c>
      <c r="J975" s="309" t="n">
        <v>22000</v>
      </c>
      <c r="K975" s="309" t="n">
        <v>0</v>
      </c>
      <c r="L975" s="236" t="n">
        <v>7000</v>
      </c>
    </row>
    <row r="976" ht="15" customHeight="1" s="153">
      <c r="A976" s="302" t="inlineStr">
        <is>
          <t>23/03/2026</t>
        </is>
      </c>
      <c r="B976" s="303" t="inlineStr">
        <is>
          <t>Marzo</t>
        </is>
      </c>
      <c r="C976" s="311" t="inlineStr">
        <is>
          <t>COCO ABUELO FACU CACERE</t>
        </is>
      </c>
      <c r="D976" s="225" t="n"/>
      <c r="E976" s="225" t="n">
        <v>1</v>
      </c>
      <c r="F976" s="225" t="n"/>
      <c r="G976" s="225" t="n"/>
      <c r="H976" s="225" t="n"/>
      <c r="I976" s="223" t="n">
        <v>34000</v>
      </c>
      <c r="J976" s="305" t="n">
        <v>34000</v>
      </c>
      <c r="K976" s="305" t="n">
        <v>0</v>
      </c>
      <c r="L976" s="224" t="n">
        <v>11500</v>
      </c>
    </row>
    <row r="977" ht="15" customHeight="1" s="153">
      <c r="A977" s="306" t="inlineStr">
        <is>
          <t>04/02/2026</t>
        </is>
      </c>
      <c r="B977" s="307" t="inlineStr">
        <is>
          <t>Febrero</t>
        </is>
      </c>
      <c r="C977" s="310" t="inlineStr">
        <is>
          <t>COGORNO 5520</t>
        </is>
      </c>
      <c r="D977" s="218" t="n">
        <v>5</v>
      </c>
      <c r="E977" s="218" t="n"/>
      <c r="F977" s="218" t="n"/>
      <c r="G977" s="218" t="n"/>
      <c r="H977" s="218" t="n"/>
      <c r="I977" s="216" t="n">
        <v>72500</v>
      </c>
      <c r="J977" s="309" t="n">
        <v>72500</v>
      </c>
      <c r="K977" s="309" t="n">
        <v>0</v>
      </c>
      <c r="L977" s="217" t="n">
        <v>-2500</v>
      </c>
    </row>
    <row r="978" ht="15" customHeight="1" s="153">
      <c r="A978" s="306" t="inlineStr">
        <is>
          <t>17/02/2026</t>
        </is>
      </c>
      <c r="B978" s="307" t="inlineStr">
        <is>
          <t>Febrero</t>
        </is>
      </c>
      <c r="C978" s="310" t="inlineStr">
        <is>
          <t>COGORNO 5520</t>
        </is>
      </c>
      <c r="D978" s="218" t="n">
        <v>4</v>
      </c>
      <c r="E978" s="218" t="n"/>
      <c r="F978" s="218" t="n"/>
      <c r="G978" s="218" t="n"/>
      <c r="H978" s="218" t="n"/>
      <c r="I978" s="216" t="n">
        <v>58000</v>
      </c>
      <c r="J978" s="309" t="n">
        <v>58000</v>
      </c>
      <c r="K978" s="309" t="n">
        <v>0</v>
      </c>
      <c r="L978" s="217" t="n">
        <v>-2000</v>
      </c>
    </row>
    <row r="979" ht="15" customHeight="1" s="153">
      <c r="A979" s="306" t="inlineStr">
        <is>
          <t>28/02/2026</t>
        </is>
      </c>
      <c r="B979" s="307" t="inlineStr">
        <is>
          <t>Febrero</t>
        </is>
      </c>
      <c r="C979" s="310" t="inlineStr">
        <is>
          <t>COGORNO 5520</t>
        </is>
      </c>
      <c r="D979" s="218" t="n">
        <v>4</v>
      </c>
      <c r="E979" s="218" t="n"/>
      <c r="F979" s="218" t="n"/>
      <c r="G979" s="218" t="n"/>
      <c r="H979" s="218" t="n"/>
      <c r="I979" s="216" t="n">
        <v>60000</v>
      </c>
      <c r="J979" s="309" t="n">
        <v>0</v>
      </c>
      <c r="K979" s="309" t="n">
        <v>60000</v>
      </c>
      <c r="L979" s="236" t="n">
        <v>0</v>
      </c>
    </row>
    <row r="980" ht="15" customHeight="1" s="153">
      <c r="A980" s="306" t="inlineStr">
        <is>
          <t>12/03/2026</t>
        </is>
      </c>
      <c r="B980" s="307" t="inlineStr">
        <is>
          <t>Marzo</t>
        </is>
      </c>
      <c r="C980" s="310" t="inlineStr">
        <is>
          <t>COGORNO 5520</t>
        </is>
      </c>
      <c r="D980" s="218" t="n">
        <v>6</v>
      </c>
      <c r="E980" s="218" t="n"/>
      <c r="F980" s="218" t="n"/>
      <c r="G980" s="218" t="n"/>
      <c r="H980" s="218" t="n"/>
      <c r="I980" s="216" t="n">
        <v>102000</v>
      </c>
      <c r="J980" s="309" t="n">
        <v>0</v>
      </c>
      <c r="K980" s="309" t="n">
        <v>102000</v>
      </c>
      <c r="L980" s="236" t="n">
        <v>12000</v>
      </c>
    </row>
    <row r="981" ht="15" customHeight="1" s="153">
      <c r="A981" s="306" t="inlineStr">
        <is>
          <t>25/03/2026</t>
        </is>
      </c>
      <c r="B981" s="307" t="inlineStr">
        <is>
          <t>Marzo</t>
        </is>
      </c>
      <c r="C981" s="310" t="inlineStr">
        <is>
          <t>COGORNO 5520</t>
        </is>
      </c>
      <c r="D981" s="218" t="n">
        <v>4</v>
      </c>
      <c r="E981" s="218" t="n"/>
      <c r="F981" s="218" t="n"/>
      <c r="G981" s="218" t="n"/>
      <c r="H981" s="218" t="n"/>
      <c r="I981" s="216" t="n">
        <v>68000</v>
      </c>
      <c r="J981" s="309" t="n">
        <v>0</v>
      </c>
      <c r="K981" s="309" t="n">
        <v>68000</v>
      </c>
      <c r="L981" s="236" t="n">
        <v>8000</v>
      </c>
    </row>
    <row r="982" ht="15" customHeight="1" s="153">
      <c r="A982" s="302" t="inlineStr">
        <is>
          <t>18/04/2026</t>
        </is>
      </c>
      <c r="B982" s="303" t="inlineStr">
        <is>
          <t>Abril</t>
        </is>
      </c>
      <c r="C982" s="311" t="inlineStr">
        <is>
          <t>COGORNP 5520</t>
        </is>
      </c>
      <c r="D982" s="225" t="n">
        <v>6</v>
      </c>
      <c r="E982" s="225" t="n"/>
      <c r="F982" s="225" t="n"/>
      <c r="G982" s="225" t="n"/>
      <c r="H982" s="225" t="n"/>
      <c r="I982" s="223" t="n">
        <v>114000</v>
      </c>
      <c r="J982" s="305" t="n">
        <v>0</v>
      </c>
      <c r="K982" s="305" t="n">
        <v>114000</v>
      </c>
      <c r="L982" s="224" t="n">
        <v>24000</v>
      </c>
    </row>
    <row r="983" ht="15" customHeight="1" s="153">
      <c r="A983" s="306" t="inlineStr">
        <is>
          <t>25/01/2026</t>
        </is>
      </c>
      <c r="B983" s="307" t="inlineStr">
        <is>
          <t>Enero</t>
        </is>
      </c>
      <c r="C983" s="310" t="inlineStr">
        <is>
          <t>COLODRERO 1200</t>
        </is>
      </c>
      <c r="D983" s="218" t="n">
        <v>1</v>
      </c>
      <c r="E983" s="218" t="n"/>
      <c r="F983" s="218" t="n"/>
      <c r="G983" s="218" t="n"/>
      <c r="H983" s="218" t="n"/>
      <c r="I983" s="216" t="n">
        <v>22000</v>
      </c>
      <c r="J983" s="309" t="n">
        <v>22000</v>
      </c>
      <c r="K983" s="309" t="n">
        <v>0</v>
      </c>
      <c r="L983" s="236" t="n">
        <v>7000</v>
      </c>
    </row>
    <row r="984" ht="15" customHeight="1" s="153">
      <c r="A984" s="302" t="inlineStr">
        <is>
          <t>24/01/2026</t>
        </is>
      </c>
      <c r="B984" s="303" t="inlineStr">
        <is>
          <t>Enero</t>
        </is>
      </c>
      <c r="C984" s="311" t="inlineStr">
        <is>
          <t>CONDOMINIO 3728</t>
        </is>
      </c>
      <c r="D984" s="225" t="n"/>
      <c r="E984" s="225" t="n"/>
      <c r="F984" s="225" t="n">
        <v>1</v>
      </c>
      <c r="G984" s="225" t="n"/>
      <c r="H984" s="225" t="n"/>
      <c r="I984" s="223" t="n">
        <v>71000</v>
      </c>
      <c r="J984" s="305" t="n">
        <v>0</v>
      </c>
      <c r="K984" s="305" t="n">
        <v>71000</v>
      </c>
      <c r="L984" s="224" t="n">
        <v>11000</v>
      </c>
    </row>
    <row r="985" ht="15" customHeight="1" s="153">
      <c r="A985" s="306" t="inlineStr">
        <is>
          <t>10/03/2026</t>
        </is>
      </c>
      <c r="B985" s="307" t="inlineStr">
        <is>
          <t>Marzo</t>
        </is>
      </c>
      <c r="C985" s="310" t="inlineStr">
        <is>
          <t>CORDOBA 2753</t>
        </is>
      </c>
      <c r="D985" s="218" t="n"/>
      <c r="E985" s="218" t="n"/>
      <c r="F985" s="218" t="n">
        <v>1</v>
      </c>
      <c r="G985" s="218" t="n"/>
      <c r="H985" s="218" t="n"/>
      <c r="I985" s="216" t="n">
        <v>75000</v>
      </c>
      <c r="J985" s="309" t="n">
        <v>0</v>
      </c>
      <c r="K985" s="309" t="n">
        <v>75000</v>
      </c>
      <c r="L985" s="236" t="n">
        <v>15000</v>
      </c>
    </row>
    <row r="986" ht="15" customHeight="1" s="153">
      <c r="A986" s="302" t="inlineStr">
        <is>
          <t>15/01/2026</t>
        </is>
      </c>
      <c r="B986" s="303" t="inlineStr">
        <is>
          <t>Enero</t>
        </is>
      </c>
      <c r="C986" s="311" t="inlineStr">
        <is>
          <t>D SILVA 4217</t>
        </is>
      </c>
      <c r="D986" s="225" t="n">
        <v>4</v>
      </c>
      <c r="E986" s="225" t="n">
        <v>1</v>
      </c>
      <c r="F986" s="225" t="n"/>
      <c r="G986" s="225" t="n"/>
      <c r="H986" s="225" t="n"/>
      <c r="I986" s="223" t="n">
        <v>80500</v>
      </c>
      <c r="J986" s="305" t="n">
        <v>0</v>
      </c>
      <c r="K986" s="305" t="n">
        <v>80500</v>
      </c>
      <c r="L986" s="245" t="n">
        <v>-2000</v>
      </c>
    </row>
    <row r="987" ht="15" customHeight="1" s="153">
      <c r="A987" s="302" t="inlineStr">
        <is>
          <t>22/02/2026</t>
        </is>
      </c>
      <c r="B987" s="303" t="inlineStr">
        <is>
          <t>Febrero</t>
        </is>
      </c>
      <c r="C987" s="311" t="inlineStr">
        <is>
          <t>D SILVA 4217</t>
        </is>
      </c>
      <c r="D987" s="225" t="n">
        <v>3</v>
      </c>
      <c r="E987" s="225" t="n"/>
      <c r="F987" s="225" t="n"/>
      <c r="G987" s="225" t="n"/>
      <c r="H987" s="225" t="n"/>
      <c r="I987" s="223" t="n">
        <v>43500</v>
      </c>
      <c r="J987" s="305" t="n">
        <v>0</v>
      </c>
      <c r="K987" s="305" t="n">
        <v>43500</v>
      </c>
      <c r="L987" s="245" t="n">
        <v>-1500</v>
      </c>
    </row>
    <row r="988" ht="15" customHeight="1" s="153">
      <c r="A988" s="302" t="inlineStr">
        <is>
          <t>04/03/2026</t>
        </is>
      </c>
      <c r="B988" s="303" t="inlineStr">
        <is>
          <t>Marzo</t>
        </is>
      </c>
      <c r="C988" s="311" t="inlineStr">
        <is>
          <t>D SILVA 4217</t>
        </is>
      </c>
      <c r="D988" s="225" t="n">
        <v>3</v>
      </c>
      <c r="E988" s="225" t="n"/>
      <c r="F988" s="225" t="n"/>
      <c r="G988" s="225" t="n"/>
      <c r="H988" s="225" t="n"/>
      <c r="I988" s="223" t="n">
        <v>43500</v>
      </c>
      <c r="J988" s="305" t="n">
        <v>0</v>
      </c>
      <c r="K988" s="305" t="n">
        <v>43500</v>
      </c>
      <c r="L988" s="245" t="n">
        <v>-1500</v>
      </c>
    </row>
    <row r="989" ht="15" customHeight="1" s="153">
      <c r="A989" s="302" t="inlineStr">
        <is>
          <t>13/03/2026</t>
        </is>
      </c>
      <c r="B989" s="303" t="inlineStr">
        <is>
          <t>Marzo</t>
        </is>
      </c>
      <c r="C989" s="311" t="inlineStr">
        <is>
          <t>D SILVA 4217</t>
        </is>
      </c>
      <c r="D989" s="225" t="n">
        <v>3</v>
      </c>
      <c r="E989" s="225" t="n"/>
      <c r="F989" s="225" t="n"/>
      <c r="G989" s="225" t="n"/>
      <c r="H989" s="225" t="n"/>
      <c r="I989" s="223" t="n">
        <v>51000</v>
      </c>
      <c r="J989" s="305" t="n">
        <v>0</v>
      </c>
      <c r="K989" s="305" t="n">
        <v>51000</v>
      </c>
      <c r="L989" s="224" t="n">
        <v>6000</v>
      </c>
    </row>
    <row r="990" ht="15" customHeight="1" s="153">
      <c r="A990" s="302" t="inlineStr">
        <is>
          <t>14/03/2026</t>
        </is>
      </c>
      <c r="B990" s="303" t="inlineStr">
        <is>
          <t>Marzo</t>
        </is>
      </c>
      <c r="C990" s="311" t="inlineStr">
        <is>
          <t>D SILVA 4217</t>
        </is>
      </c>
      <c r="D990" s="225" t="n">
        <v>3</v>
      </c>
      <c r="E990" s="225" t="n"/>
      <c r="F990" s="225" t="n"/>
      <c r="G990" s="225" t="n"/>
      <c r="H990" s="225" t="n"/>
      <c r="I990" s="223" t="n">
        <v>51000</v>
      </c>
      <c r="J990" s="305" t="n">
        <v>51000</v>
      </c>
      <c r="K990" s="305" t="n">
        <v>0</v>
      </c>
      <c r="L990" s="224" t="n">
        <v>6000</v>
      </c>
    </row>
    <row r="991" ht="15" customHeight="1" s="153">
      <c r="A991" s="302" t="inlineStr">
        <is>
          <t>03/04/2026</t>
        </is>
      </c>
      <c r="B991" s="303" t="inlineStr">
        <is>
          <t>Abril</t>
        </is>
      </c>
      <c r="C991" s="311" t="inlineStr">
        <is>
          <t>D SILVA 4217</t>
        </is>
      </c>
      <c r="D991" s="225" t="n">
        <v>2</v>
      </c>
      <c r="E991" s="225" t="n"/>
      <c r="F991" s="225" t="n"/>
      <c r="G991" s="225" t="n"/>
      <c r="H991" s="225" t="n"/>
      <c r="I991" s="223" t="n">
        <v>38000</v>
      </c>
      <c r="J991" s="305" t="n">
        <v>0</v>
      </c>
      <c r="K991" s="305" t="n">
        <v>38000</v>
      </c>
      <c r="L991" s="224" t="n">
        <v>8000</v>
      </c>
    </row>
    <row r="992" ht="15" customHeight="1" s="153">
      <c r="A992" s="302" t="inlineStr">
        <is>
          <t>11/04/2026</t>
        </is>
      </c>
      <c r="B992" s="303" t="inlineStr">
        <is>
          <t>Abril</t>
        </is>
      </c>
      <c r="C992" s="311" t="inlineStr">
        <is>
          <t>D SILVA 4217</t>
        </is>
      </c>
      <c r="D992" s="225" t="n">
        <v>2</v>
      </c>
      <c r="E992" s="225" t="n"/>
      <c r="F992" s="225" t="n"/>
      <c r="G992" s="225" t="n"/>
      <c r="H992" s="225" t="n"/>
      <c r="I992" s="223" t="n">
        <v>38000</v>
      </c>
      <c r="J992" s="305" t="n">
        <v>0</v>
      </c>
      <c r="K992" s="305" t="n">
        <v>38000</v>
      </c>
      <c r="L992" s="224" t="n">
        <v>8000</v>
      </c>
    </row>
    <row r="993" ht="15" customHeight="1" s="153">
      <c r="A993" s="306" t="inlineStr">
        <is>
          <t>15/03/2026</t>
        </is>
      </c>
      <c r="B993" s="307" t="inlineStr">
        <is>
          <t>Marzo</t>
        </is>
      </c>
      <c r="C993" s="310" t="inlineStr">
        <is>
          <t>D SILVA4217</t>
        </is>
      </c>
      <c r="D993" s="218" t="n">
        <v>3</v>
      </c>
      <c r="E993" s="218" t="n"/>
      <c r="F993" s="218" t="n"/>
      <c r="G993" s="218" t="n"/>
      <c r="H993" s="218" t="n"/>
      <c r="I993" s="216" t="n">
        <v>51000</v>
      </c>
      <c r="J993" s="309" t="n">
        <v>0</v>
      </c>
      <c r="K993" s="309" t="n">
        <v>51000</v>
      </c>
      <c r="L993" s="236" t="n">
        <v>6000</v>
      </c>
    </row>
    <row r="994" ht="15" customHeight="1" s="153">
      <c r="A994" s="302" t="inlineStr">
        <is>
          <t>06/02/2026</t>
        </is>
      </c>
      <c r="B994" s="303" t="inlineStr">
        <is>
          <t>Febrero</t>
        </is>
      </c>
      <c r="C994" s="311" t="inlineStr">
        <is>
          <t>DAMIANOVICH 3190</t>
        </is>
      </c>
      <c r="D994" s="225" t="n"/>
      <c r="E994" s="225" t="n">
        <v>1</v>
      </c>
      <c r="F994" s="225" t="n"/>
      <c r="G994" s="225" t="n"/>
      <c r="H994" s="225" t="n"/>
      <c r="I994" s="223" t="n">
        <v>31500</v>
      </c>
      <c r="J994" s="305" t="n">
        <v>31500</v>
      </c>
      <c r="K994" s="305" t="n">
        <v>0</v>
      </c>
      <c r="L994" s="224" t="n">
        <v>9000</v>
      </c>
    </row>
    <row r="995" ht="15" customHeight="1" s="153">
      <c r="A995" s="306" t="inlineStr">
        <is>
          <t>05/02/2026</t>
        </is>
      </c>
      <c r="B995" s="307" t="inlineStr">
        <is>
          <t>Febrero</t>
        </is>
      </c>
      <c r="C995" s="310" t="inlineStr">
        <is>
          <t>DAMIANOVICH 6212</t>
        </is>
      </c>
      <c r="D995" s="218" t="n"/>
      <c r="E995" s="218" t="n"/>
      <c r="F995" s="218" t="n">
        <v>1</v>
      </c>
      <c r="G995" s="218" t="n"/>
      <c r="H995" s="218" t="n"/>
      <c r="I995" s="216" t="n">
        <v>75000</v>
      </c>
      <c r="J995" s="309" t="n">
        <v>0</v>
      </c>
      <c r="K995" s="309" t="n">
        <v>75000</v>
      </c>
      <c r="L995" s="236" t="n">
        <v>15000</v>
      </c>
    </row>
    <row r="996" ht="15" customHeight="1" s="153">
      <c r="A996" s="302" t="inlineStr">
        <is>
          <t>12/04/2026</t>
        </is>
      </c>
      <c r="B996" s="303" t="inlineStr">
        <is>
          <t>Abril</t>
        </is>
      </c>
      <c r="C996" s="311" t="inlineStr">
        <is>
          <t>DANA</t>
        </is>
      </c>
      <c r="D996" s="225" t="n">
        <v>2</v>
      </c>
      <c r="E996" s="225" t="n">
        <v>1</v>
      </c>
      <c r="F996" s="225" t="n"/>
      <c r="G996" s="225" t="n"/>
      <c r="H996" s="225" t="n"/>
      <c r="I996" s="223" t="n">
        <v>67000</v>
      </c>
      <c r="J996" s="305" t="n">
        <v>0</v>
      </c>
      <c r="K996" s="305" t="n">
        <v>67000</v>
      </c>
      <c r="L996" s="224" t="n">
        <v>14500</v>
      </c>
    </row>
    <row r="997" ht="15" customHeight="1" s="153">
      <c r="A997" s="302" t="inlineStr">
        <is>
          <t>19/04/2026</t>
        </is>
      </c>
      <c r="B997" s="303" t="inlineStr">
        <is>
          <t>Abril</t>
        </is>
      </c>
      <c r="C997" s="311" t="inlineStr">
        <is>
          <t>DANA</t>
        </is>
      </c>
      <c r="D997" s="225" t="n">
        <v>3</v>
      </c>
      <c r="E997" s="225" t="n"/>
      <c r="F997" s="225" t="n"/>
      <c r="G997" s="225" t="n"/>
      <c r="H997" s="225" t="n"/>
      <c r="I997" s="223" t="n">
        <v>57000</v>
      </c>
      <c r="J997" s="305" t="n">
        <v>0</v>
      </c>
      <c r="K997" s="305" t="n">
        <v>57000</v>
      </c>
      <c r="L997" s="224" t="n">
        <v>12000</v>
      </c>
    </row>
    <row r="998" ht="15" customHeight="1" s="153">
      <c r="A998" s="306" t="inlineStr">
        <is>
          <t>17/02/2026</t>
        </is>
      </c>
      <c r="B998" s="307" t="inlineStr">
        <is>
          <t>Febrero</t>
        </is>
      </c>
      <c r="C998" s="310" t="inlineStr">
        <is>
          <t>DANI PAPA BRUNO</t>
        </is>
      </c>
      <c r="D998" s="218" t="n"/>
      <c r="E998" s="218" t="n">
        <v>1</v>
      </c>
      <c r="F998" s="218" t="n"/>
      <c r="G998" s="218" t="n"/>
      <c r="H998" s="218" t="n"/>
      <c r="I998" s="216" t="n">
        <v>28500</v>
      </c>
      <c r="J998" s="309" t="n">
        <v>0</v>
      </c>
      <c r="K998" s="309" t="n">
        <v>28500</v>
      </c>
      <c r="L998" s="236" t="n">
        <v>6000</v>
      </c>
    </row>
    <row r="999" ht="15" customHeight="1" s="153">
      <c r="A999" s="302" t="inlineStr">
        <is>
          <t>07/03/2026</t>
        </is>
      </c>
      <c r="B999" s="303" t="inlineStr">
        <is>
          <t>Marzo</t>
        </is>
      </c>
      <c r="C999" s="311" t="inlineStr">
        <is>
          <t>DANI TALLER</t>
        </is>
      </c>
      <c r="D999" s="225" t="n">
        <v>1</v>
      </c>
      <c r="E999" s="225" t="n"/>
      <c r="F999" s="225" t="n"/>
      <c r="G999" s="225" t="n"/>
      <c r="H999" s="225" t="n"/>
      <c r="I999" s="223" t="n">
        <v>17000</v>
      </c>
      <c r="J999" s="305" t="n">
        <v>17000</v>
      </c>
      <c r="K999" s="305" t="n">
        <v>0</v>
      </c>
      <c r="L999" s="224" t="n">
        <v>2000</v>
      </c>
    </row>
    <row r="1000" ht="15" customHeight="1" s="153">
      <c r="A1000" s="306" t="inlineStr">
        <is>
          <t>09/04/2026</t>
        </is>
      </c>
      <c r="B1000" s="307" t="inlineStr">
        <is>
          <t>Abril</t>
        </is>
      </c>
      <c r="C1000" s="310" t="inlineStr">
        <is>
          <t>DANTE</t>
        </is>
      </c>
      <c r="D1000" s="218" t="n">
        <v>2</v>
      </c>
      <c r="E1000" s="218" t="n"/>
      <c r="F1000" s="218" t="n"/>
      <c r="G1000" s="218" t="n"/>
      <c r="H1000" s="218" t="n"/>
      <c r="I1000" s="216" t="n">
        <v>54000</v>
      </c>
      <c r="J1000" s="309" t="n">
        <v>54000</v>
      </c>
      <c r="K1000" s="309" t="n">
        <v>0</v>
      </c>
      <c r="L1000" s="236" t="n">
        <v>24000</v>
      </c>
    </row>
    <row r="1001" ht="15" customHeight="1" s="153">
      <c r="A1001" s="306" t="inlineStr">
        <is>
          <t>12/04/2026</t>
        </is>
      </c>
      <c r="B1001" s="307" t="inlineStr">
        <is>
          <t>Abril</t>
        </is>
      </c>
      <c r="C1001" s="310" t="inlineStr">
        <is>
          <t>DANTE</t>
        </is>
      </c>
      <c r="D1001" s="218" t="n">
        <v>2</v>
      </c>
      <c r="E1001" s="218" t="n"/>
      <c r="F1001" s="218" t="n"/>
      <c r="G1001" s="218" t="n"/>
      <c r="H1001" s="218" t="n"/>
      <c r="I1001" s="216" t="n">
        <v>54000</v>
      </c>
      <c r="J1001" s="309" t="n">
        <v>54000</v>
      </c>
      <c r="K1001" s="309" t="n">
        <v>0</v>
      </c>
      <c r="L1001" s="236" t="n">
        <v>24000</v>
      </c>
    </row>
    <row r="1002" ht="15" customHeight="1" s="153">
      <c r="A1002" s="302" t="inlineStr">
        <is>
          <t>13/03/2026</t>
        </is>
      </c>
      <c r="B1002" s="303" t="inlineStr">
        <is>
          <t>Marzo</t>
        </is>
      </c>
      <c r="C1002" s="311" t="inlineStr">
        <is>
          <t>DAVID LEIVA Y ALBERTI</t>
        </is>
      </c>
      <c r="D1002" s="225" t="n">
        <v>1</v>
      </c>
      <c r="E1002" s="225" t="n"/>
      <c r="F1002" s="225" t="n"/>
      <c r="G1002" s="225" t="n"/>
      <c r="H1002" s="225" t="n"/>
      <c r="I1002" s="223" t="n">
        <v>23000</v>
      </c>
      <c r="J1002" s="305" t="n">
        <v>23000</v>
      </c>
      <c r="K1002" s="305" t="n">
        <v>0</v>
      </c>
      <c r="L1002" s="224" t="n">
        <v>8000</v>
      </c>
    </row>
    <row r="1003" ht="15" customHeight="1" s="153">
      <c r="A1003" s="306" t="inlineStr">
        <is>
          <t>25/01/2026</t>
        </is>
      </c>
      <c r="B1003" s="307" t="inlineStr">
        <is>
          <t>Enero</t>
        </is>
      </c>
      <c r="C1003" s="310" t="inlineStr">
        <is>
          <t>DENIS 6169</t>
        </is>
      </c>
      <c r="D1003" s="218" t="n">
        <v>1</v>
      </c>
      <c r="E1003" s="218" t="n"/>
      <c r="F1003" s="218" t="n"/>
      <c r="G1003" s="218" t="n"/>
      <c r="H1003" s="218" t="n"/>
      <c r="I1003" s="216" t="n">
        <v>21000</v>
      </c>
      <c r="J1003" s="309" t="n">
        <v>21000</v>
      </c>
      <c r="K1003" s="309" t="n">
        <v>0</v>
      </c>
      <c r="L1003" s="236" t="n">
        <v>6000</v>
      </c>
    </row>
    <row r="1004" ht="15" customHeight="1" s="153">
      <c r="A1004" s="302" t="inlineStr">
        <is>
          <t>03/01/2026</t>
        </is>
      </c>
      <c r="B1004" s="303" t="inlineStr">
        <is>
          <t>Enero</t>
        </is>
      </c>
      <c r="C1004" s="311" t="inlineStr">
        <is>
          <t>DIOGENES ANTILLES 675</t>
        </is>
      </c>
      <c r="D1004" s="225" t="n"/>
      <c r="E1004" s="225" t="n"/>
      <c r="F1004" s="225" t="n">
        <v>1</v>
      </c>
      <c r="G1004" s="225" t="n"/>
      <c r="H1004" s="225" t="n"/>
      <c r="I1004" s="223" t="n">
        <v>76000</v>
      </c>
      <c r="J1004" s="305" t="n">
        <v>0</v>
      </c>
      <c r="K1004" s="305" t="n">
        <v>76000</v>
      </c>
      <c r="L1004" s="224" t="n">
        <v>16000</v>
      </c>
    </row>
    <row r="1005" ht="15" customHeight="1" s="153">
      <c r="A1005" s="306" t="inlineStr">
        <is>
          <t>26/01/2026</t>
        </is>
      </c>
      <c r="B1005" s="307" t="inlineStr">
        <is>
          <t>Enero</t>
        </is>
      </c>
      <c r="C1005" s="310" t="inlineStr">
        <is>
          <t>DOMINGO SILVA 4217</t>
        </is>
      </c>
      <c r="D1005" s="218" t="n">
        <v>2</v>
      </c>
      <c r="E1005" s="218" t="n">
        <v>1</v>
      </c>
      <c r="F1005" s="218" t="n"/>
      <c r="G1005" s="218" t="n"/>
      <c r="H1005" s="218" t="n"/>
      <c r="I1005" s="216" t="n">
        <v>51500</v>
      </c>
      <c r="J1005" s="309" t="n">
        <v>0</v>
      </c>
      <c r="K1005" s="309" t="n">
        <v>51500</v>
      </c>
      <c r="L1005" s="217" t="n">
        <v>-1000</v>
      </c>
    </row>
    <row r="1006" ht="15" customHeight="1" s="153">
      <c r="A1006" s="306" t="inlineStr">
        <is>
          <t>31/01/2026</t>
        </is>
      </c>
      <c r="B1006" s="307" t="inlineStr">
        <is>
          <t>Enero</t>
        </is>
      </c>
      <c r="C1006" s="310" t="inlineStr">
        <is>
          <t>DOMINGO SILVA 4217</t>
        </is>
      </c>
      <c r="D1006" s="218" t="n">
        <v>5</v>
      </c>
      <c r="E1006" s="218" t="n">
        <v>1</v>
      </c>
      <c r="F1006" s="218" t="n"/>
      <c r="G1006" s="218" t="n"/>
      <c r="H1006" s="218" t="n"/>
      <c r="I1006" s="216" t="n">
        <v>95000</v>
      </c>
      <c r="J1006" s="309" t="n">
        <v>0</v>
      </c>
      <c r="K1006" s="309" t="n">
        <v>95000</v>
      </c>
      <c r="L1006" s="217" t="n">
        <v>-2500</v>
      </c>
    </row>
    <row r="1007" ht="15" customHeight="1" s="153">
      <c r="A1007" s="306" t="inlineStr">
        <is>
          <t>24/02/2026</t>
        </is>
      </c>
      <c r="B1007" s="307" t="inlineStr">
        <is>
          <t>Febrero</t>
        </is>
      </c>
      <c r="C1007" s="310" t="inlineStr">
        <is>
          <t>DOMINGO SILVA 4217</t>
        </is>
      </c>
      <c r="D1007" s="218" t="n">
        <v>2</v>
      </c>
      <c r="E1007" s="218" t="n">
        <v>1</v>
      </c>
      <c r="F1007" s="218" t="n"/>
      <c r="G1007" s="218" t="n"/>
      <c r="H1007" s="218" t="n"/>
      <c r="I1007" s="216" t="n">
        <v>51500</v>
      </c>
      <c r="J1007" s="309" t="n">
        <v>51500</v>
      </c>
      <c r="K1007" s="309" t="n">
        <v>0</v>
      </c>
      <c r="L1007" s="217" t="n">
        <v>-1000</v>
      </c>
    </row>
    <row r="1008" ht="15" customHeight="1" s="153">
      <c r="A1008" s="306" t="inlineStr">
        <is>
          <t>21/03/2026</t>
        </is>
      </c>
      <c r="B1008" s="307" t="inlineStr">
        <is>
          <t>Marzo</t>
        </is>
      </c>
      <c r="C1008" s="310" t="inlineStr">
        <is>
          <t>DOMINGO SILVA 4217</t>
        </is>
      </c>
      <c r="D1008" s="218" t="n">
        <v>3</v>
      </c>
      <c r="E1008" s="218" t="n"/>
      <c r="F1008" s="218" t="n"/>
      <c r="G1008" s="218" t="n"/>
      <c r="H1008" s="218" t="n"/>
      <c r="I1008" s="216" t="n">
        <v>51000</v>
      </c>
      <c r="J1008" s="309" t="n">
        <v>0</v>
      </c>
      <c r="K1008" s="309" t="n">
        <v>51000</v>
      </c>
      <c r="L1008" s="236" t="n">
        <v>6000</v>
      </c>
    </row>
    <row r="1009" ht="15" customHeight="1" s="153">
      <c r="A1009" s="306" t="inlineStr">
        <is>
          <t>22/03/2026</t>
        </is>
      </c>
      <c r="B1009" s="307" t="inlineStr">
        <is>
          <t>Marzo</t>
        </is>
      </c>
      <c r="C1009" s="310" t="inlineStr">
        <is>
          <t>DOMINGO SILVA 4217</t>
        </is>
      </c>
      <c r="D1009" s="218" t="n">
        <v>3</v>
      </c>
      <c r="E1009" s="218" t="n"/>
      <c r="F1009" s="218" t="n"/>
      <c r="G1009" s="218" t="n"/>
      <c r="H1009" s="218" t="n"/>
      <c r="I1009" s="216" t="n">
        <v>51000</v>
      </c>
      <c r="J1009" s="309" t="n">
        <v>0</v>
      </c>
      <c r="K1009" s="309" t="n">
        <v>51000</v>
      </c>
      <c r="L1009" s="236" t="n">
        <v>6000</v>
      </c>
    </row>
    <row r="1010" ht="15" customHeight="1" s="153">
      <c r="A1010" s="306" t="inlineStr">
        <is>
          <t>01/04/2026</t>
        </is>
      </c>
      <c r="B1010" s="307" t="inlineStr">
        <is>
          <t>Abril</t>
        </is>
      </c>
      <c r="C1010" s="310" t="inlineStr">
        <is>
          <t>DOMINGO SILVA 4217</t>
        </is>
      </c>
      <c r="D1010" s="218" t="n">
        <v>2</v>
      </c>
      <c r="E1010" s="218" t="n">
        <v>1</v>
      </c>
      <c r="F1010" s="218" t="n"/>
      <c r="G1010" s="218" t="n"/>
      <c r="H1010" s="218" t="n"/>
      <c r="I1010" s="216" t="n">
        <v>66500</v>
      </c>
      <c r="J1010" s="309" t="n">
        <v>0</v>
      </c>
      <c r="K1010" s="309" t="n">
        <v>66500</v>
      </c>
      <c r="L1010" s="236" t="n">
        <v>14000</v>
      </c>
    </row>
    <row r="1011" ht="15" customHeight="1" s="153">
      <c r="A1011" s="306" t="inlineStr">
        <is>
          <t>19/04/2026</t>
        </is>
      </c>
      <c r="B1011" s="307" t="inlineStr">
        <is>
          <t>Abril</t>
        </is>
      </c>
      <c r="C1011" s="310" t="inlineStr">
        <is>
          <t>DOMINGO SILVA 4217</t>
        </is>
      </c>
      <c r="D1011" s="218" t="n">
        <v>4</v>
      </c>
      <c r="E1011" s="218" t="n"/>
      <c r="F1011" s="218" t="n"/>
      <c r="G1011" s="218" t="n"/>
      <c r="H1011" s="218" t="n"/>
      <c r="I1011" s="216" t="n">
        <v>76000</v>
      </c>
      <c r="J1011" s="309" t="n">
        <v>0</v>
      </c>
      <c r="K1011" s="309" t="n">
        <v>76000</v>
      </c>
      <c r="L1011" s="236" t="n">
        <v>16000</v>
      </c>
    </row>
    <row r="1012" ht="15" customHeight="1" s="153">
      <c r="A1012" s="302" t="inlineStr">
        <is>
          <t>16/02/2026</t>
        </is>
      </c>
      <c r="B1012" s="303" t="inlineStr">
        <is>
          <t>Febrero</t>
        </is>
      </c>
      <c r="C1012" s="311" t="inlineStr">
        <is>
          <t>DOMINGO SIVLA 4217</t>
        </is>
      </c>
      <c r="D1012" s="225" t="n">
        <v>4</v>
      </c>
      <c r="E1012" s="225" t="n">
        <v>1</v>
      </c>
      <c r="F1012" s="225" t="n"/>
      <c r="G1012" s="225" t="n"/>
      <c r="H1012" s="225" t="n"/>
      <c r="I1012" s="223" t="n">
        <v>80500</v>
      </c>
      <c r="J1012" s="305" t="n">
        <v>80500</v>
      </c>
      <c r="K1012" s="305" t="n">
        <v>0</v>
      </c>
      <c r="L1012" s="245" t="n">
        <v>-2000</v>
      </c>
    </row>
    <row r="1013" ht="15" customHeight="1" s="153">
      <c r="A1013" s="302" t="inlineStr">
        <is>
          <t>09/03/2026</t>
        </is>
      </c>
      <c r="B1013" s="303" t="inlineStr">
        <is>
          <t>Marzo</t>
        </is>
      </c>
      <c r="C1013" s="311" t="inlineStr">
        <is>
          <t>DOMINGO SIVLA 4217</t>
        </is>
      </c>
      <c r="D1013" s="225" t="n">
        <v>3</v>
      </c>
      <c r="E1013" s="225" t="n"/>
      <c r="F1013" s="225" t="n"/>
      <c r="G1013" s="225" t="n"/>
      <c r="H1013" s="225" t="n"/>
      <c r="I1013" s="223" t="n">
        <v>43500</v>
      </c>
      <c r="J1013" s="305" t="n">
        <v>0</v>
      </c>
      <c r="K1013" s="305" t="n">
        <v>43500</v>
      </c>
      <c r="L1013" s="245" t="n">
        <v>-1500</v>
      </c>
    </row>
    <row r="1014" ht="15" customHeight="1" s="153">
      <c r="A1014" s="306" t="inlineStr">
        <is>
          <t>21/04/2026</t>
        </is>
      </c>
      <c r="B1014" s="307" t="inlineStr">
        <is>
          <t>Abril</t>
        </is>
      </c>
      <c r="C1014" s="310" t="inlineStr">
        <is>
          <t>DORREGO 5575</t>
        </is>
      </c>
      <c r="D1014" s="218" t="n">
        <v>1</v>
      </c>
      <c r="E1014" s="218" t="n"/>
      <c r="F1014" s="218" t="n"/>
      <c r="G1014" s="218" t="n"/>
      <c r="H1014" s="218" t="n"/>
      <c r="I1014" s="216" t="n">
        <v>26000</v>
      </c>
      <c r="J1014" s="309" t="n">
        <v>20000</v>
      </c>
      <c r="K1014" s="309" t="n">
        <v>6000</v>
      </c>
      <c r="L1014" s="236" t="n">
        <v>11000</v>
      </c>
    </row>
    <row r="1015" ht="15" customHeight="1" s="153">
      <c r="A1015" s="302" t="inlineStr">
        <is>
          <t>03/01/2026</t>
        </is>
      </c>
      <c r="B1015" s="303" t="inlineStr">
        <is>
          <t>Enero</t>
        </is>
      </c>
      <c r="C1015" s="311" t="inlineStr">
        <is>
          <t>DRAXXO</t>
        </is>
      </c>
      <c r="D1015" s="225" t="n">
        <v>1</v>
      </c>
      <c r="E1015" s="225" t="n"/>
      <c r="F1015" s="225" t="n"/>
      <c r="G1015" s="225" t="n"/>
      <c r="H1015" s="225" t="n"/>
      <c r="I1015" s="223" t="n">
        <v>22000</v>
      </c>
      <c r="J1015" s="305" t="n">
        <v>22000</v>
      </c>
      <c r="K1015" s="305" t="n">
        <v>0</v>
      </c>
      <c r="L1015" s="224" t="n">
        <v>7000</v>
      </c>
    </row>
    <row r="1016" ht="15" customHeight="1" s="153">
      <c r="A1016" s="306" t="inlineStr">
        <is>
          <t>11/04/2026</t>
        </is>
      </c>
      <c r="B1016" s="307" t="inlineStr">
        <is>
          <t>Abril</t>
        </is>
      </c>
      <c r="C1016" s="310" t="inlineStr">
        <is>
          <t>DRAXXO COSTA</t>
        </is>
      </c>
      <c r="D1016" s="218" t="n">
        <v>1</v>
      </c>
      <c r="E1016" s="218" t="n"/>
      <c r="F1016" s="218" t="n"/>
      <c r="G1016" s="218" t="n"/>
      <c r="H1016" s="218" t="n"/>
      <c r="I1016" s="216" t="n">
        <v>26000</v>
      </c>
      <c r="J1016" s="309" t="n">
        <v>26000</v>
      </c>
      <c r="K1016" s="309" t="n">
        <v>0</v>
      </c>
      <c r="L1016" s="236" t="n">
        <v>11000</v>
      </c>
    </row>
    <row r="1017" ht="15" customHeight="1" s="153">
      <c r="A1017" s="302" t="inlineStr">
        <is>
          <t>22/03/2026</t>
        </is>
      </c>
      <c r="B1017" s="303" t="inlineStr">
        <is>
          <t>Marzo</t>
        </is>
      </c>
      <c r="C1017" s="311" t="inlineStr">
        <is>
          <t>DUSO 7678</t>
        </is>
      </c>
      <c r="D1017" s="225" t="n">
        <v>9</v>
      </c>
      <c r="E1017" s="225" t="n">
        <v>1</v>
      </c>
      <c r="F1017" s="225" t="n"/>
      <c r="G1017" s="225" t="n"/>
      <c r="H1017" s="225" t="n"/>
      <c r="I1017" s="223" t="n">
        <v>178500</v>
      </c>
      <c r="J1017" s="305" t="n">
        <v>100000</v>
      </c>
      <c r="K1017" s="305" t="n">
        <v>78500</v>
      </c>
      <c r="L1017" s="224" t="n">
        <v>21000</v>
      </c>
    </row>
    <row r="1018" ht="15" customHeight="1" s="153">
      <c r="A1018" s="306" t="inlineStr">
        <is>
          <t>02/01/2026</t>
        </is>
      </c>
      <c r="B1018" s="307" t="inlineStr">
        <is>
          <t>Enero</t>
        </is>
      </c>
      <c r="C1018" s="310" t="inlineStr">
        <is>
          <t>DUSSO 6638</t>
        </is>
      </c>
      <c r="D1018" s="218" t="n"/>
      <c r="E1018" s="218" t="n"/>
      <c r="F1018" s="218" t="n">
        <v>1</v>
      </c>
      <c r="G1018" s="218" t="n"/>
      <c r="H1018" s="218" t="n"/>
      <c r="I1018" s="216" t="n">
        <v>65000</v>
      </c>
      <c r="J1018" s="309" t="n">
        <v>65000</v>
      </c>
      <c r="K1018" s="309" t="n">
        <v>0</v>
      </c>
      <c r="L1018" s="236" t="n">
        <v>5000</v>
      </c>
    </row>
    <row r="1019" ht="15" customHeight="1" s="153">
      <c r="A1019" s="302" t="inlineStr">
        <is>
          <t>13/02/2026</t>
        </is>
      </c>
      <c r="B1019" s="303" t="inlineStr">
        <is>
          <t>Febrero</t>
        </is>
      </c>
      <c r="C1019" s="311" t="inlineStr">
        <is>
          <t>DUSSO 7678</t>
        </is>
      </c>
      <c r="D1019" s="225" t="n"/>
      <c r="E1019" s="225" t="n">
        <v>1</v>
      </c>
      <c r="F1019" s="225" t="n"/>
      <c r="G1019" s="225" t="n"/>
      <c r="H1019" s="225" t="n"/>
      <c r="I1019" s="223" t="n">
        <v>22000</v>
      </c>
      <c r="J1019" s="305" t="n">
        <v>22000</v>
      </c>
      <c r="K1019" s="305" t="n">
        <v>0</v>
      </c>
      <c r="L1019" s="245" t="n">
        <v>-500</v>
      </c>
    </row>
    <row r="1020" ht="15" customHeight="1" s="153">
      <c r="A1020" s="302" t="inlineStr">
        <is>
          <t>04/04/2026</t>
        </is>
      </c>
      <c r="B1020" s="303" t="inlineStr">
        <is>
          <t>Abril</t>
        </is>
      </c>
      <c r="C1020" s="311" t="inlineStr">
        <is>
          <t>DUSSO 7678</t>
        </is>
      </c>
      <c r="D1020" s="225" t="n">
        <v>4</v>
      </c>
      <c r="E1020" s="225" t="n">
        <v>2</v>
      </c>
      <c r="F1020" s="225" t="n"/>
      <c r="G1020" s="225" t="n"/>
      <c r="H1020" s="225" t="n"/>
      <c r="I1020" s="223" t="n">
        <v>133000</v>
      </c>
      <c r="J1020" s="305" t="n">
        <v>60000</v>
      </c>
      <c r="K1020" s="305" t="n">
        <v>73000</v>
      </c>
      <c r="L1020" s="224" t="n">
        <v>28000</v>
      </c>
    </row>
    <row r="1021" ht="15" customHeight="1" s="153">
      <c r="A1021" s="306" t="inlineStr">
        <is>
          <t>25/02/2026</t>
        </is>
      </c>
      <c r="B1021" s="307" t="inlineStr">
        <is>
          <t>Febrero</t>
        </is>
      </c>
      <c r="C1021" s="310" t="inlineStr">
        <is>
          <t>DUSSOP 7678</t>
        </is>
      </c>
      <c r="D1021" s="218" t="n">
        <v>2</v>
      </c>
      <c r="E1021" s="218" t="n">
        <v>1</v>
      </c>
      <c r="F1021" s="218" t="n"/>
      <c r="G1021" s="218" t="n"/>
      <c r="H1021" s="218" t="n"/>
      <c r="I1021" s="216" t="n">
        <v>51500</v>
      </c>
      <c r="J1021" s="309" t="n">
        <v>51500</v>
      </c>
      <c r="K1021" s="309" t="n">
        <v>0</v>
      </c>
      <c r="L1021" s="217" t="n">
        <v>-1000</v>
      </c>
    </row>
    <row r="1022" ht="15" customHeight="1" s="153">
      <c r="A1022" s="302" t="inlineStr">
        <is>
          <t>11/04/2026</t>
        </is>
      </c>
      <c r="B1022" s="303" t="inlineStr">
        <is>
          <t>Abril</t>
        </is>
      </c>
      <c r="C1022" s="311" t="inlineStr">
        <is>
          <t>E ISRAEL 4717</t>
        </is>
      </c>
      <c r="D1022" s="225" t="n">
        <v>1</v>
      </c>
      <c r="E1022" s="225" t="n"/>
      <c r="F1022" s="225" t="n"/>
      <c r="G1022" s="225" t="n"/>
      <c r="H1022" s="225" t="n"/>
      <c r="I1022" s="223" t="n">
        <v>26000</v>
      </c>
      <c r="J1022" s="305" t="n">
        <v>26000</v>
      </c>
      <c r="K1022" s="305" t="n">
        <v>0</v>
      </c>
      <c r="L1022" s="224" t="n">
        <v>11000</v>
      </c>
    </row>
    <row r="1023" ht="15" customHeight="1" s="153">
      <c r="A1023" s="306" t="inlineStr">
        <is>
          <t>23/02/2026</t>
        </is>
      </c>
      <c r="B1023" s="307" t="inlineStr">
        <is>
          <t>Febrero</t>
        </is>
      </c>
      <c r="C1023" s="310" t="inlineStr">
        <is>
          <t>E ZEBALLOS 4875 VIANDA</t>
        </is>
      </c>
      <c r="D1023" s="218" t="n">
        <v>1</v>
      </c>
      <c r="E1023" s="218" t="n"/>
      <c r="F1023" s="218" t="n"/>
      <c r="G1023" s="218" t="n"/>
      <c r="H1023" s="218" t="n"/>
      <c r="I1023" s="216" t="n">
        <v>19000</v>
      </c>
      <c r="J1023" s="309" t="n">
        <v>19000</v>
      </c>
      <c r="K1023" s="309" t="n">
        <v>0</v>
      </c>
      <c r="L1023" s="236" t="n">
        <v>4000</v>
      </c>
    </row>
    <row r="1024" ht="15" customHeight="1" s="153">
      <c r="A1024" s="302" t="inlineStr">
        <is>
          <t>13/03/2026</t>
        </is>
      </c>
      <c r="B1024" s="303" t="inlineStr">
        <is>
          <t>Marzo</t>
        </is>
      </c>
      <c r="C1024" s="311" t="inlineStr">
        <is>
          <t>E ZEVALLOS 4881</t>
        </is>
      </c>
      <c r="D1024" s="225" t="n">
        <v>1</v>
      </c>
      <c r="E1024" s="225" t="n"/>
      <c r="F1024" s="225" t="n"/>
      <c r="G1024" s="225" t="n"/>
      <c r="H1024" s="225" t="n"/>
      <c r="I1024" s="223" t="n">
        <v>23000</v>
      </c>
      <c r="J1024" s="305" t="n">
        <v>23000</v>
      </c>
      <c r="K1024" s="305" t="n">
        <v>0</v>
      </c>
      <c r="L1024" s="224" t="n">
        <v>8000</v>
      </c>
    </row>
    <row r="1025" ht="15" customHeight="1" s="153">
      <c r="A1025" s="306" t="inlineStr">
        <is>
          <t>14/01/2026</t>
        </is>
      </c>
      <c r="B1025" s="307" t="inlineStr">
        <is>
          <t>Enero</t>
        </is>
      </c>
      <c r="C1025" s="310" t="inlineStr">
        <is>
          <t>ECHEVERRAI 5430</t>
        </is>
      </c>
      <c r="D1025" s="218" t="n">
        <v>1</v>
      </c>
      <c r="E1025" s="218" t="n"/>
      <c r="F1025" s="218" t="n"/>
      <c r="G1025" s="218" t="n"/>
      <c r="H1025" s="218" t="n"/>
      <c r="I1025" s="216" t="n">
        <v>23000</v>
      </c>
      <c r="J1025" s="309" t="n">
        <v>23000</v>
      </c>
      <c r="K1025" s="309" t="n">
        <v>0</v>
      </c>
      <c r="L1025" s="236" t="n">
        <v>8000</v>
      </c>
    </row>
    <row r="1026" ht="15" customHeight="1" s="153">
      <c r="A1026" s="302" t="inlineStr">
        <is>
          <t>18/02/2026</t>
        </is>
      </c>
      <c r="B1026" s="303" t="inlineStr">
        <is>
          <t>Febrero</t>
        </is>
      </c>
      <c r="C1026" s="311" t="inlineStr">
        <is>
          <t>ECUADOR 3626</t>
        </is>
      </c>
      <c r="D1026" s="225" t="n">
        <v>1</v>
      </c>
      <c r="E1026" s="225" t="n"/>
      <c r="F1026" s="225" t="n"/>
      <c r="G1026" s="225" t="n"/>
      <c r="H1026" s="225" t="n"/>
      <c r="I1026" s="223" t="n">
        <v>22000</v>
      </c>
      <c r="J1026" s="305" t="n">
        <v>0</v>
      </c>
      <c r="K1026" s="305" t="n">
        <v>22000</v>
      </c>
      <c r="L1026" s="224" t="n">
        <v>7000</v>
      </c>
    </row>
    <row r="1027" ht="15" customHeight="1" s="153">
      <c r="A1027" s="306" t="inlineStr">
        <is>
          <t>26/03/2026</t>
        </is>
      </c>
      <c r="B1027" s="307" t="inlineStr">
        <is>
          <t>Marzo</t>
        </is>
      </c>
      <c r="C1027" s="310" t="inlineStr">
        <is>
          <t>ECUADOR 3735</t>
        </is>
      </c>
      <c r="D1027" s="218" t="n">
        <v>1</v>
      </c>
      <c r="E1027" s="218" t="n"/>
      <c r="F1027" s="218" t="n"/>
      <c r="G1027" s="218" t="n"/>
      <c r="H1027" s="218" t="n"/>
      <c r="I1027" s="216" t="n">
        <v>24500</v>
      </c>
      <c r="J1027" s="309" t="n">
        <v>0</v>
      </c>
      <c r="K1027" s="309" t="n">
        <v>24500</v>
      </c>
      <c r="L1027" s="236" t="n">
        <v>9500</v>
      </c>
    </row>
    <row r="1028" ht="15" customHeight="1" s="153">
      <c r="A1028" s="302" t="inlineStr">
        <is>
          <t>23/03/2026</t>
        </is>
      </c>
      <c r="B1028" s="303" t="inlineStr">
        <is>
          <t>Marzo</t>
        </is>
      </c>
      <c r="C1028" s="311" t="inlineStr">
        <is>
          <t>ECUADOR 4117</t>
        </is>
      </c>
      <c r="D1028" s="225" t="n"/>
      <c r="E1028" s="225" t="n"/>
      <c r="F1028" s="225" t="n">
        <v>1</v>
      </c>
      <c r="G1028" s="225" t="n"/>
      <c r="H1028" s="225" t="n"/>
      <c r="I1028" s="223" t="n">
        <v>80000</v>
      </c>
      <c r="J1028" s="305" t="n">
        <v>0</v>
      </c>
      <c r="K1028" s="305" t="n">
        <v>80000</v>
      </c>
      <c r="L1028" s="224" t="n">
        <v>20000</v>
      </c>
    </row>
    <row r="1029" ht="15" customHeight="1" s="153">
      <c r="A1029" s="306" t="inlineStr">
        <is>
          <t>15/03/2026</t>
        </is>
      </c>
      <c r="B1029" s="307" t="inlineStr">
        <is>
          <t>Marzo</t>
        </is>
      </c>
      <c r="C1029" s="310" t="inlineStr">
        <is>
          <t>ELI CARRIBAR</t>
        </is>
      </c>
      <c r="D1029" s="218" t="n">
        <v>1</v>
      </c>
      <c r="E1029" s="218" t="n"/>
      <c r="F1029" s="218" t="n"/>
      <c r="G1029" s="218" t="n"/>
      <c r="H1029" s="218" t="n"/>
      <c r="I1029" s="216" t="n">
        <v>20500</v>
      </c>
      <c r="J1029" s="309" t="n">
        <v>20500</v>
      </c>
      <c r="K1029" s="309" t="n">
        <v>0</v>
      </c>
      <c r="L1029" s="236" t="n">
        <v>5500</v>
      </c>
    </row>
    <row r="1030" ht="15" customHeight="1" s="153">
      <c r="A1030" s="302" t="inlineStr">
        <is>
          <t>22/04/2026</t>
        </is>
      </c>
      <c r="B1030" s="303" t="inlineStr">
        <is>
          <t>Abril</t>
        </is>
      </c>
      <c r="C1030" s="311" t="inlineStr">
        <is>
          <t>EMA COMBETO PJE MARSENGO</t>
        </is>
      </c>
      <c r="D1030" s="225" t="n"/>
      <c r="E1030" s="225" t="n">
        <v>1</v>
      </c>
      <c r="F1030" s="225" t="n"/>
      <c r="G1030" s="225" t="n"/>
      <c r="H1030" s="225" t="n"/>
      <c r="I1030" s="223" t="n">
        <v>37500</v>
      </c>
      <c r="J1030" s="305" t="n">
        <v>0</v>
      </c>
      <c r="K1030" s="305" t="n">
        <v>37500</v>
      </c>
      <c r="L1030" s="224" t="n">
        <v>15000</v>
      </c>
    </row>
    <row r="1031" ht="15" customHeight="1" s="153">
      <c r="A1031" s="306" t="inlineStr">
        <is>
          <t>04/03/2026</t>
        </is>
      </c>
      <c r="B1031" s="307" t="inlineStr">
        <is>
          <t>Marzo</t>
        </is>
      </c>
      <c r="C1031" s="310" t="inlineStr">
        <is>
          <t>EMIR</t>
        </is>
      </c>
      <c r="D1031" s="218" t="n">
        <v>1</v>
      </c>
      <c r="E1031" s="218" t="n"/>
      <c r="F1031" s="218" t="n"/>
      <c r="G1031" s="218" t="n"/>
      <c r="H1031" s="218" t="n"/>
      <c r="I1031" s="216" t="n">
        <v>22000</v>
      </c>
      <c r="J1031" s="309" t="n">
        <v>0</v>
      </c>
      <c r="K1031" s="309" t="n">
        <v>22000</v>
      </c>
      <c r="L1031" s="236" t="n">
        <v>7000</v>
      </c>
    </row>
    <row r="1032" ht="15" customHeight="1" s="153">
      <c r="A1032" s="306" t="inlineStr">
        <is>
          <t>22/04/2026</t>
        </is>
      </c>
      <c r="B1032" s="307" t="inlineStr">
        <is>
          <t>Abril</t>
        </is>
      </c>
      <c r="C1032" s="310" t="inlineStr">
        <is>
          <t>EMIR</t>
        </is>
      </c>
      <c r="D1032" s="218" t="n">
        <v>1</v>
      </c>
      <c r="E1032" s="218" t="n"/>
      <c r="F1032" s="218" t="n"/>
      <c r="G1032" s="218" t="n"/>
      <c r="H1032" s="218" t="n"/>
      <c r="I1032" s="216" t="n">
        <v>26000</v>
      </c>
      <c r="J1032" s="309" t="n">
        <v>0</v>
      </c>
      <c r="K1032" s="309" t="n">
        <v>26000</v>
      </c>
      <c r="L1032" s="236" t="n">
        <v>11000</v>
      </c>
    </row>
    <row r="1033" ht="15" customHeight="1" s="153">
      <c r="A1033" s="302" t="inlineStr">
        <is>
          <t>08/04/2026</t>
        </is>
      </c>
      <c r="B1033" s="303" t="inlineStr">
        <is>
          <t>Abril</t>
        </is>
      </c>
      <c r="C1033" s="311" t="inlineStr">
        <is>
          <t>ESC JUAN DE GARAY</t>
        </is>
      </c>
      <c r="D1033" s="225" t="n">
        <v>1</v>
      </c>
      <c r="E1033" s="225" t="n"/>
      <c r="F1033" s="225" t="n"/>
      <c r="G1033" s="225" t="n"/>
      <c r="H1033" s="225" t="n"/>
      <c r="I1033" s="223" t="n">
        <v>25000</v>
      </c>
      <c r="J1033" s="305" t="n">
        <v>25000</v>
      </c>
      <c r="K1033" s="305" t="n">
        <v>0</v>
      </c>
      <c r="L1033" s="224" t="n">
        <v>10000</v>
      </c>
    </row>
    <row r="1034" ht="15" customHeight="1" s="153">
      <c r="A1034" s="306" t="inlineStr">
        <is>
          <t>03/02/2026</t>
        </is>
      </c>
      <c r="B1034" s="307" t="inlineStr">
        <is>
          <t>Febrero</t>
        </is>
      </c>
      <c r="C1034" s="310" t="inlineStr">
        <is>
          <t>ESMERALDA 2376</t>
        </is>
      </c>
      <c r="D1034" s="218" t="n"/>
      <c r="E1034" s="218" t="n"/>
      <c r="F1034" s="218" t="n">
        <v>1</v>
      </c>
      <c r="G1034" s="218" t="n"/>
      <c r="H1034" s="218" t="n"/>
      <c r="I1034" s="216" t="n">
        <v>75000</v>
      </c>
      <c r="J1034" s="309" t="n">
        <v>0</v>
      </c>
      <c r="K1034" s="309" t="n">
        <v>75000</v>
      </c>
      <c r="L1034" s="236" t="n">
        <v>15000</v>
      </c>
    </row>
    <row r="1035" ht="15" customHeight="1" s="153">
      <c r="A1035" s="302" t="inlineStr">
        <is>
          <t>13/02/2026</t>
        </is>
      </c>
      <c r="B1035" s="303" t="inlineStr">
        <is>
          <t>Febrero</t>
        </is>
      </c>
      <c r="C1035" s="311" t="inlineStr">
        <is>
          <t>ESPORA 4321</t>
        </is>
      </c>
      <c r="D1035" s="225" t="n">
        <v>1</v>
      </c>
      <c r="E1035" s="225" t="n"/>
      <c r="F1035" s="225" t="n"/>
      <c r="G1035" s="225" t="n"/>
      <c r="H1035" s="225" t="n"/>
      <c r="I1035" s="223" t="n">
        <v>22000</v>
      </c>
      <c r="J1035" s="305" t="n">
        <v>22000</v>
      </c>
      <c r="K1035" s="305" t="n">
        <v>0</v>
      </c>
      <c r="L1035" s="224" t="n">
        <v>7000</v>
      </c>
    </row>
    <row r="1036" ht="15" customHeight="1" s="153">
      <c r="A1036" s="306" t="inlineStr">
        <is>
          <t>13/03/2026</t>
        </is>
      </c>
      <c r="B1036" s="307" t="inlineStr">
        <is>
          <t>Marzo</t>
        </is>
      </c>
      <c r="C1036" s="310" t="inlineStr">
        <is>
          <t>ESPORA 4858</t>
        </is>
      </c>
      <c r="D1036" s="218" t="n"/>
      <c r="E1036" s="218" t="n">
        <v>2</v>
      </c>
      <c r="F1036" s="218" t="n"/>
      <c r="G1036" s="218" t="n"/>
      <c r="H1036" s="218" t="n"/>
      <c r="I1036" s="216" t="n">
        <v>62000</v>
      </c>
      <c r="J1036" s="309" t="n">
        <v>0</v>
      </c>
      <c r="K1036" s="309" t="n">
        <v>62000</v>
      </c>
      <c r="L1036" s="236" t="n">
        <v>17000</v>
      </c>
    </row>
    <row r="1037" ht="15" customHeight="1" s="153">
      <c r="A1037" s="302" t="inlineStr">
        <is>
          <t>04/03/2026</t>
        </is>
      </c>
      <c r="B1037" s="303" t="inlineStr">
        <is>
          <t>Marzo</t>
        </is>
      </c>
      <c r="C1037" s="311" t="inlineStr">
        <is>
          <t>ESPORA 4874</t>
        </is>
      </c>
      <c r="D1037" s="225" t="n"/>
      <c r="E1037" s="225" t="n">
        <v>1</v>
      </c>
      <c r="F1037" s="225" t="n"/>
      <c r="G1037" s="225" t="n"/>
      <c r="H1037" s="225" t="n"/>
      <c r="I1037" s="223" t="n">
        <v>32000</v>
      </c>
      <c r="J1037" s="305" t="n">
        <v>0</v>
      </c>
      <c r="K1037" s="305" t="n">
        <v>32000</v>
      </c>
      <c r="L1037" s="224" t="n">
        <v>9500</v>
      </c>
    </row>
    <row r="1038" ht="15" customHeight="1" s="153">
      <c r="A1038" s="306" t="inlineStr">
        <is>
          <t>07/01/2026</t>
        </is>
      </c>
      <c r="B1038" s="307" t="inlineStr">
        <is>
          <t>Enero</t>
        </is>
      </c>
      <c r="C1038" s="310" t="inlineStr">
        <is>
          <t>ESPORA 5335</t>
        </is>
      </c>
      <c r="D1038" s="218" t="n"/>
      <c r="E1038" s="218" t="n"/>
      <c r="F1038" s="218" t="n">
        <v>1</v>
      </c>
      <c r="G1038" s="218" t="n"/>
      <c r="H1038" s="218" t="n"/>
      <c r="I1038" s="216" t="n">
        <v>77000</v>
      </c>
      <c r="J1038" s="309" t="n">
        <v>77000</v>
      </c>
      <c r="K1038" s="309" t="n">
        <v>0</v>
      </c>
      <c r="L1038" s="236" t="n">
        <v>17000</v>
      </c>
    </row>
    <row r="1039" ht="15" customHeight="1" s="153">
      <c r="A1039" s="302" t="inlineStr">
        <is>
          <t>27/02/2026</t>
        </is>
      </c>
      <c r="B1039" s="303" t="inlineStr">
        <is>
          <t>Febrero</t>
        </is>
      </c>
      <c r="C1039" s="311" t="inlineStr">
        <is>
          <t>ESTADO ISRAEL 5370</t>
        </is>
      </c>
      <c r="D1039" s="225" t="n">
        <v>1</v>
      </c>
      <c r="E1039" s="225" t="n"/>
      <c r="F1039" s="225" t="n"/>
      <c r="G1039" s="225" t="n"/>
      <c r="H1039" s="225" t="n"/>
      <c r="I1039" s="223" t="n">
        <v>22000</v>
      </c>
      <c r="J1039" s="305" t="n">
        <v>22000</v>
      </c>
      <c r="K1039" s="305" t="n">
        <v>0</v>
      </c>
      <c r="L1039" s="224" t="n">
        <v>7000</v>
      </c>
    </row>
    <row r="1040" ht="15" customHeight="1" s="153">
      <c r="A1040" s="306" t="inlineStr">
        <is>
          <t>26/02/2026</t>
        </is>
      </c>
      <c r="B1040" s="307" t="inlineStr">
        <is>
          <t>Febrero</t>
        </is>
      </c>
      <c r="C1040" s="310" t="inlineStr">
        <is>
          <t>ESTADO ISTRAEL 5370</t>
        </is>
      </c>
      <c r="D1040" s="218" t="n">
        <v>1</v>
      </c>
      <c r="E1040" s="218" t="n"/>
      <c r="F1040" s="218" t="n"/>
      <c r="G1040" s="218" t="n"/>
      <c r="H1040" s="218" t="n"/>
      <c r="I1040" s="216" t="n">
        <v>22000</v>
      </c>
      <c r="J1040" s="309" t="n">
        <v>22000</v>
      </c>
      <c r="K1040" s="309" t="n">
        <v>0</v>
      </c>
      <c r="L1040" s="236" t="n">
        <v>7000</v>
      </c>
    </row>
    <row r="1041" ht="15" customHeight="1" s="153">
      <c r="A1041" s="302" t="inlineStr">
        <is>
          <t>16/03/2026</t>
        </is>
      </c>
      <c r="B1041" s="303" t="inlineStr">
        <is>
          <t>Marzo</t>
        </is>
      </c>
      <c r="C1041" s="311" t="inlineStr">
        <is>
          <t>ESTANIS DEL CAMPO 1625</t>
        </is>
      </c>
      <c r="D1041" s="225" t="n">
        <v>1</v>
      </c>
      <c r="E1041" s="225" t="n"/>
      <c r="F1041" s="225" t="n"/>
      <c r="G1041" s="225" t="n"/>
      <c r="H1041" s="225" t="n"/>
      <c r="I1041" s="223" t="n">
        <v>23000</v>
      </c>
      <c r="J1041" s="305" t="n">
        <v>0</v>
      </c>
      <c r="K1041" s="305" t="n">
        <v>23000</v>
      </c>
      <c r="L1041" s="224" t="n">
        <v>8000</v>
      </c>
    </row>
    <row r="1042" ht="15" customHeight="1" s="153">
      <c r="A1042" s="306" t="inlineStr">
        <is>
          <t>21/04/2026</t>
        </is>
      </c>
      <c r="B1042" s="307" t="inlineStr">
        <is>
          <t>Abril</t>
        </is>
      </c>
      <c r="C1042" s="310" t="inlineStr">
        <is>
          <t>ESTANISLAO DEL CAMPO 1613</t>
        </is>
      </c>
      <c r="D1042" s="218" t="n">
        <v>1</v>
      </c>
      <c r="E1042" s="218" t="n"/>
      <c r="F1042" s="218" t="n"/>
      <c r="G1042" s="218" t="n"/>
      <c r="H1042" s="218" t="n"/>
      <c r="I1042" s="216" t="n">
        <v>26000</v>
      </c>
      <c r="J1042" s="309" t="n">
        <v>0</v>
      </c>
      <c r="K1042" s="309" t="n">
        <v>26000</v>
      </c>
      <c r="L1042" s="236" t="n">
        <v>11000</v>
      </c>
    </row>
    <row r="1043" ht="15" customHeight="1" s="153">
      <c r="A1043" s="302" t="inlineStr">
        <is>
          <t>06/02/2026</t>
        </is>
      </c>
      <c r="B1043" s="303" t="inlineStr">
        <is>
          <t>Febrero</t>
        </is>
      </c>
      <c r="C1043" s="311" t="inlineStr">
        <is>
          <t>ESTANISLAO ZEBALLOS 4560</t>
        </is>
      </c>
      <c r="D1043" s="225" t="n"/>
      <c r="E1043" s="225" t="n">
        <v>1</v>
      </c>
      <c r="F1043" s="225" t="n"/>
      <c r="G1043" s="225" t="n"/>
      <c r="H1043" s="225" t="n"/>
      <c r="I1043" s="223" t="n">
        <v>33000</v>
      </c>
      <c r="J1043" s="305" t="n">
        <v>33000</v>
      </c>
      <c r="K1043" s="305" t="n">
        <v>0</v>
      </c>
      <c r="L1043" s="224" t="n">
        <v>10500</v>
      </c>
    </row>
    <row r="1044" ht="15" customHeight="1" s="153">
      <c r="A1044" s="306" t="inlineStr">
        <is>
          <t>21/02/2026</t>
        </is>
      </c>
      <c r="B1044" s="307" t="inlineStr">
        <is>
          <t>Febrero</t>
        </is>
      </c>
      <c r="C1044" s="310" t="inlineStr">
        <is>
          <t>ESTELA PALZA</t>
        </is>
      </c>
      <c r="D1044" s="218" t="n">
        <v>3</v>
      </c>
      <c r="E1044" s="218" t="n"/>
      <c r="F1044" s="218" t="n"/>
      <c r="G1044" s="218" t="n"/>
      <c r="H1044" s="218" t="n"/>
      <c r="I1044" s="216" t="n">
        <v>45000</v>
      </c>
      <c r="J1044" s="309" t="n">
        <v>45000</v>
      </c>
      <c r="K1044" s="309" t="n">
        <v>0</v>
      </c>
      <c r="L1044" s="236" t="n">
        <v>0</v>
      </c>
    </row>
    <row r="1045" ht="15" customHeight="1" s="153">
      <c r="A1045" s="302" t="inlineStr">
        <is>
          <t>15/02/2026</t>
        </is>
      </c>
      <c r="B1045" s="303" t="inlineStr">
        <is>
          <t>Febrero</t>
        </is>
      </c>
      <c r="C1045" s="311" t="inlineStr">
        <is>
          <t>ESTELA PARAGUAY</t>
        </is>
      </c>
      <c r="D1045" s="225" t="n">
        <v>3</v>
      </c>
      <c r="E1045" s="225" t="n"/>
      <c r="F1045" s="225" t="n"/>
      <c r="G1045" s="225" t="n"/>
      <c r="H1045" s="225" t="n"/>
      <c r="I1045" s="223" t="n">
        <v>42000</v>
      </c>
      <c r="J1045" s="305" t="n">
        <v>42000</v>
      </c>
      <c r="K1045" s="305" t="n">
        <v>0</v>
      </c>
      <c r="L1045" s="245" t="n">
        <v>-3000</v>
      </c>
    </row>
    <row r="1046" ht="15" customHeight="1" s="153">
      <c r="A1046" s="306" t="inlineStr">
        <is>
          <t>18/01/2026</t>
        </is>
      </c>
      <c r="B1046" s="307" t="inlineStr">
        <is>
          <t>Enero</t>
        </is>
      </c>
      <c r="C1046" s="310" t="inlineStr">
        <is>
          <t>ESTELA PJE PARAGUAY</t>
        </is>
      </c>
      <c r="D1046" s="218" t="n">
        <v>4</v>
      </c>
      <c r="E1046" s="218" t="n"/>
      <c r="F1046" s="218" t="n"/>
      <c r="G1046" s="218" t="n"/>
      <c r="H1046" s="218" t="n"/>
      <c r="I1046" s="216" t="n">
        <v>56000</v>
      </c>
      <c r="J1046" s="309" t="n">
        <v>28000</v>
      </c>
      <c r="K1046" s="309" t="n">
        <v>28000</v>
      </c>
      <c r="L1046" s="217" t="n">
        <v>-4000</v>
      </c>
    </row>
    <row r="1047" ht="15" customHeight="1" s="153">
      <c r="A1047" s="302" t="inlineStr">
        <is>
          <t>10/04/2026</t>
        </is>
      </c>
      <c r="B1047" s="303" t="inlineStr">
        <is>
          <t>Abril</t>
        </is>
      </c>
      <c r="C1047" s="311" t="inlineStr">
        <is>
          <t>ESTRADA 2198</t>
        </is>
      </c>
      <c r="D1047" s="225" t="n"/>
      <c r="E1047" s="225" t="n"/>
      <c r="F1047" s="225" t="n">
        <v>1</v>
      </c>
      <c r="G1047" s="225" t="n"/>
      <c r="H1047" s="225" t="n"/>
      <c r="I1047" s="223" t="n">
        <v>95000</v>
      </c>
      <c r="J1047" s="305" t="n">
        <v>95000</v>
      </c>
      <c r="K1047" s="305" t="n">
        <v>0</v>
      </c>
      <c r="L1047" s="224" t="n">
        <v>35000</v>
      </c>
    </row>
    <row r="1048" ht="15" customHeight="1" s="153">
      <c r="A1048" s="306" t="inlineStr">
        <is>
          <t>13/03/2026</t>
        </is>
      </c>
      <c r="B1048" s="307" t="inlineStr">
        <is>
          <t>Marzo</t>
        </is>
      </c>
      <c r="C1048" s="310" t="inlineStr">
        <is>
          <t>EUROPA 6851</t>
        </is>
      </c>
      <c r="D1048" s="218" t="n">
        <v>1</v>
      </c>
      <c r="E1048" s="218" t="n"/>
      <c r="F1048" s="218" t="n"/>
      <c r="G1048" s="218" t="n"/>
      <c r="H1048" s="218" t="n"/>
      <c r="I1048" s="216" t="n">
        <v>21000</v>
      </c>
      <c r="J1048" s="309" t="n">
        <v>21000</v>
      </c>
      <c r="K1048" s="309" t="n">
        <v>0</v>
      </c>
      <c r="L1048" s="236" t="n">
        <v>6000</v>
      </c>
    </row>
    <row r="1049" ht="15" customHeight="1" s="153">
      <c r="A1049" s="302" t="inlineStr">
        <is>
          <t>30/01/2026</t>
        </is>
      </c>
      <c r="B1049" s="303" t="inlineStr">
        <is>
          <t>Enero</t>
        </is>
      </c>
      <c r="C1049" s="311" t="inlineStr">
        <is>
          <t>EUROPA 7251</t>
        </is>
      </c>
      <c r="D1049" s="225" t="n">
        <v>1</v>
      </c>
      <c r="E1049" s="225" t="n"/>
      <c r="F1049" s="225" t="n"/>
      <c r="G1049" s="225" t="n"/>
      <c r="H1049" s="225" t="n"/>
      <c r="I1049" s="223" t="n">
        <v>22000</v>
      </c>
      <c r="J1049" s="305" t="n">
        <v>0</v>
      </c>
      <c r="K1049" s="305" t="n">
        <v>22000</v>
      </c>
      <c r="L1049" s="224" t="n">
        <v>7000</v>
      </c>
    </row>
    <row r="1050" ht="15" customHeight="1" s="153">
      <c r="A1050" s="302" t="inlineStr">
        <is>
          <t>06/02/2026</t>
        </is>
      </c>
      <c r="B1050" s="303" t="inlineStr">
        <is>
          <t>Febrero</t>
        </is>
      </c>
      <c r="C1050" s="311" t="inlineStr">
        <is>
          <t>EUROPA 7251</t>
        </is>
      </c>
      <c r="D1050" s="225" t="n">
        <v>1</v>
      </c>
      <c r="E1050" s="225" t="n"/>
      <c r="F1050" s="225" t="n"/>
      <c r="G1050" s="225" t="n"/>
      <c r="H1050" s="225" t="n"/>
      <c r="I1050" s="223" t="n">
        <v>22000</v>
      </c>
      <c r="J1050" s="305" t="n">
        <v>0</v>
      </c>
      <c r="K1050" s="305" t="n">
        <v>22000</v>
      </c>
      <c r="L1050" s="224" t="n">
        <v>7000</v>
      </c>
    </row>
    <row r="1051" ht="15" customHeight="1" s="153">
      <c r="A1051" s="306" t="inlineStr">
        <is>
          <t>16/03/2026</t>
        </is>
      </c>
      <c r="B1051" s="307" t="inlineStr">
        <is>
          <t>Marzo</t>
        </is>
      </c>
      <c r="C1051" s="310" t="inlineStr">
        <is>
          <t>EUROPA 8762</t>
        </is>
      </c>
      <c r="D1051" s="218" t="n">
        <v>1</v>
      </c>
      <c r="E1051" s="218" t="n"/>
      <c r="F1051" s="218" t="n"/>
      <c r="G1051" s="218" t="n"/>
      <c r="H1051" s="218" t="n"/>
      <c r="I1051" s="216" t="n">
        <v>24500</v>
      </c>
      <c r="J1051" s="309" t="n">
        <v>24500</v>
      </c>
      <c r="K1051" s="309" t="n">
        <v>0</v>
      </c>
      <c r="L1051" s="236" t="n">
        <v>9500</v>
      </c>
    </row>
    <row r="1052" ht="15" customHeight="1" s="153">
      <c r="A1052" s="302" t="inlineStr">
        <is>
          <t>25/03/2026</t>
        </is>
      </c>
      <c r="B1052" s="303" t="inlineStr">
        <is>
          <t>Marzo</t>
        </is>
      </c>
      <c r="C1052" s="311" t="inlineStr">
        <is>
          <t>EUROPA 9186</t>
        </is>
      </c>
      <c r="D1052" s="225" t="n"/>
      <c r="E1052" s="225" t="n">
        <v>1</v>
      </c>
      <c r="F1052" s="225" t="n"/>
      <c r="G1052" s="225" t="n"/>
      <c r="H1052" s="225" t="n"/>
      <c r="I1052" s="223" t="n">
        <v>35500</v>
      </c>
      <c r="J1052" s="305" t="n">
        <v>35500</v>
      </c>
      <c r="K1052" s="305" t="n">
        <v>0</v>
      </c>
      <c r="L1052" s="224" t="n">
        <v>13000</v>
      </c>
    </row>
    <row r="1053" ht="15" customHeight="1" s="153">
      <c r="A1053" s="302" t="inlineStr">
        <is>
          <t>04/04/2026</t>
        </is>
      </c>
      <c r="B1053" s="303" t="inlineStr">
        <is>
          <t>Abril</t>
        </is>
      </c>
      <c r="C1053" s="311" t="inlineStr">
        <is>
          <t>EUROPA 9186</t>
        </is>
      </c>
      <c r="D1053" s="225" t="n"/>
      <c r="E1053" s="225" t="n"/>
      <c r="F1053" s="225" t="n">
        <v>1</v>
      </c>
      <c r="G1053" s="225" t="n"/>
      <c r="H1053" s="225" t="n"/>
      <c r="I1053" s="223" t="n">
        <v>90000</v>
      </c>
      <c r="J1053" s="305" t="n">
        <v>0</v>
      </c>
      <c r="K1053" s="305" t="n">
        <v>90000</v>
      </c>
      <c r="L1053" s="224" t="n">
        <v>30000</v>
      </c>
    </row>
    <row r="1054" ht="15" customHeight="1" s="153">
      <c r="A1054" s="306" t="inlineStr">
        <is>
          <t>23/02/2026</t>
        </is>
      </c>
      <c r="B1054" s="307" t="inlineStr">
        <is>
          <t>Febrero</t>
        </is>
      </c>
      <c r="C1054" s="310" t="inlineStr">
        <is>
          <t>EUROPA 9396</t>
        </is>
      </c>
      <c r="D1054" s="218" t="n"/>
      <c r="E1054" s="218" t="n"/>
      <c r="F1054" s="218" t="n">
        <v>1</v>
      </c>
      <c r="G1054" s="218" t="n"/>
      <c r="H1054" s="218" t="n"/>
      <c r="I1054" s="216" t="n">
        <v>76000</v>
      </c>
      <c r="J1054" s="309" t="n">
        <v>76000</v>
      </c>
      <c r="K1054" s="309" t="n">
        <v>0</v>
      </c>
      <c r="L1054" s="236" t="n">
        <v>16000</v>
      </c>
    </row>
    <row r="1055" ht="15" customHeight="1" s="153">
      <c r="A1055" s="302" t="inlineStr">
        <is>
          <t>08/04/2026</t>
        </is>
      </c>
      <c r="B1055" s="303" t="inlineStr">
        <is>
          <t>Abril</t>
        </is>
      </c>
      <c r="C1055" s="311" t="inlineStr">
        <is>
          <t>EX COMBATIENTE 5550</t>
        </is>
      </c>
      <c r="D1055" s="225" t="n">
        <v>1</v>
      </c>
      <c r="E1055" s="225" t="n"/>
      <c r="F1055" s="225" t="n"/>
      <c r="G1055" s="225" t="n"/>
      <c r="H1055" s="225" t="n"/>
      <c r="I1055" s="223" t="n">
        <v>26000</v>
      </c>
      <c r="J1055" s="305" t="n">
        <v>0</v>
      </c>
      <c r="K1055" s="305" t="n">
        <v>26000</v>
      </c>
      <c r="L1055" s="224" t="n">
        <v>11000</v>
      </c>
    </row>
    <row r="1056" ht="15" customHeight="1" s="153">
      <c r="A1056" s="306" t="inlineStr">
        <is>
          <t>03/02/2026</t>
        </is>
      </c>
      <c r="B1056" s="307" t="inlineStr">
        <is>
          <t>Febrero</t>
        </is>
      </c>
      <c r="C1056" s="310" t="inlineStr">
        <is>
          <t>EX COMBATIENTES 5220</t>
        </is>
      </c>
      <c r="D1056" s="218" t="n">
        <v>2</v>
      </c>
      <c r="E1056" s="218" t="n"/>
      <c r="F1056" s="218" t="n"/>
      <c r="G1056" s="218" t="n"/>
      <c r="H1056" s="218" t="n"/>
      <c r="I1056" s="216" t="n">
        <v>42000</v>
      </c>
      <c r="J1056" s="309" t="n">
        <v>0</v>
      </c>
      <c r="K1056" s="309" t="n">
        <v>42000</v>
      </c>
      <c r="L1056" s="236" t="n">
        <v>12000</v>
      </c>
    </row>
    <row r="1057" ht="15" customHeight="1" s="153">
      <c r="A1057" s="302" t="inlineStr">
        <is>
          <t>07/04/2026</t>
        </is>
      </c>
      <c r="B1057" s="303" t="inlineStr">
        <is>
          <t>Abril</t>
        </is>
      </c>
      <c r="C1057" s="311" t="inlineStr">
        <is>
          <t>EX COMBATIENTES 5433</t>
        </is>
      </c>
      <c r="D1057" s="225" t="n"/>
      <c r="E1057" s="225" t="n"/>
      <c r="F1057" s="225" t="n">
        <v>1</v>
      </c>
      <c r="G1057" s="225" t="n"/>
      <c r="H1057" s="225" t="n"/>
      <c r="I1057" s="223" t="n">
        <v>85000</v>
      </c>
      <c r="J1057" s="305" t="n">
        <v>85000</v>
      </c>
      <c r="K1057" s="305" t="n">
        <v>0</v>
      </c>
      <c r="L1057" s="224" t="n">
        <v>25000</v>
      </c>
    </row>
    <row r="1058" ht="15" customHeight="1" s="153">
      <c r="A1058" s="306" t="inlineStr">
        <is>
          <t>21/04/2026</t>
        </is>
      </c>
      <c r="B1058" s="307" t="inlineStr">
        <is>
          <t>Abril</t>
        </is>
      </c>
      <c r="C1058" s="310" t="inlineStr">
        <is>
          <t>EX COMBATIENTES 5520</t>
        </is>
      </c>
      <c r="D1058" s="218" t="n">
        <v>2</v>
      </c>
      <c r="E1058" s="218" t="n"/>
      <c r="F1058" s="218" t="n"/>
      <c r="G1058" s="218" t="n"/>
      <c r="H1058" s="218" t="n"/>
      <c r="I1058" s="216" t="n">
        <v>52000</v>
      </c>
      <c r="J1058" s="309" t="n">
        <v>0</v>
      </c>
      <c r="K1058" s="309" t="n">
        <v>52000</v>
      </c>
      <c r="L1058" s="236" t="n">
        <v>22000</v>
      </c>
    </row>
    <row r="1059" ht="15" customHeight="1" s="153">
      <c r="A1059" s="302" t="inlineStr">
        <is>
          <t>09/03/2026</t>
        </is>
      </c>
      <c r="B1059" s="303" t="inlineStr">
        <is>
          <t>Marzo</t>
        </is>
      </c>
      <c r="C1059" s="311" t="inlineStr">
        <is>
          <t>EX COMBATIENTES 5583</t>
        </is>
      </c>
      <c r="D1059" s="225" t="n">
        <v>1</v>
      </c>
      <c r="E1059" s="225" t="n"/>
      <c r="F1059" s="225" t="n"/>
      <c r="G1059" s="225" t="n"/>
      <c r="H1059" s="225" t="n"/>
      <c r="I1059" s="223" t="n">
        <v>21000</v>
      </c>
      <c r="J1059" s="305" t="n">
        <v>21000</v>
      </c>
      <c r="K1059" s="305" t="n">
        <v>0</v>
      </c>
      <c r="L1059" s="224" t="n">
        <v>6000</v>
      </c>
    </row>
    <row r="1060" ht="15" customHeight="1" s="153">
      <c r="A1060" s="306" t="inlineStr">
        <is>
          <t>03/03/2026</t>
        </is>
      </c>
      <c r="B1060" s="307" t="inlineStr">
        <is>
          <t>Marzo</t>
        </is>
      </c>
      <c r="C1060" s="310" t="inlineStr">
        <is>
          <t>EX COMBATIENTES 6532</t>
        </is>
      </c>
      <c r="D1060" s="218" t="n"/>
      <c r="E1060" s="218" t="n">
        <v>1</v>
      </c>
      <c r="F1060" s="218" t="n"/>
      <c r="G1060" s="218" t="n"/>
      <c r="H1060" s="218" t="n"/>
      <c r="I1060" s="216" t="n">
        <v>32000</v>
      </c>
      <c r="J1060" s="309" t="n">
        <v>32000</v>
      </c>
      <c r="K1060" s="309" t="n">
        <v>0</v>
      </c>
      <c r="L1060" s="236" t="n">
        <v>9500</v>
      </c>
    </row>
    <row r="1061" ht="15" customHeight="1" s="153">
      <c r="A1061" s="302" t="inlineStr">
        <is>
          <t>23/03/2026</t>
        </is>
      </c>
      <c r="B1061" s="303" t="inlineStr">
        <is>
          <t>Marzo</t>
        </is>
      </c>
      <c r="C1061" s="311" t="inlineStr">
        <is>
          <t>EXE</t>
        </is>
      </c>
      <c r="D1061" s="225" t="n"/>
      <c r="E1061" s="225" t="n"/>
      <c r="F1061" s="225" t="n">
        <v>1</v>
      </c>
      <c r="G1061" s="225" t="n"/>
      <c r="H1061" s="225" t="n"/>
      <c r="I1061" s="223" t="n">
        <v>77000</v>
      </c>
      <c r="J1061" s="305" t="n">
        <v>0</v>
      </c>
      <c r="K1061" s="305" t="n">
        <v>77000</v>
      </c>
      <c r="L1061" s="224" t="n">
        <v>17000</v>
      </c>
    </row>
    <row r="1062" ht="15" customHeight="1" s="153">
      <c r="A1062" s="302" t="inlineStr">
        <is>
          <t>16/04/2026</t>
        </is>
      </c>
      <c r="B1062" s="303" t="inlineStr">
        <is>
          <t>Abril</t>
        </is>
      </c>
      <c r="C1062" s="311" t="inlineStr">
        <is>
          <t>EXE</t>
        </is>
      </c>
      <c r="D1062" s="225" t="n"/>
      <c r="E1062" s="225" t="n"/>
      <c r="F1062" s="225" t="n">
        <v>1</v>
      </c>
      <c r="G1062" s="225" t="n"/>
      <c r="H1062" s="225" t="n"/>
      <c r="I1062" s="223" t="n">
        <v>82000</v>
      </c>
      <c r="J1062" s="305" t="n">
        <v>0</v>
      </c>
      <c r="K1062" s="305" t="n">
        <v>22000</v>
      </c>
      <c r="L1062" s="224" t="n">
        <v>22000</v>
      </c>
    </row>
    <row r="1063" ht="15" customHeight="1" s="153">
      <c r="A1063" s="302" t="inlineStr">
        <is>
          <t>19/04/2026</t>
        </is>
      </c>
      <c r="B1063" s="303" t="inlineStr">
        <is>
          <t>Abril</t>
        </is>
      </c>
      <c r="C1063" s="311" t="inlineStr">
        <is>
          <t>EXE</t>
        </is>
      </c>
      <c r="D1063" s="225" t="n"/>
      <c r="E1063" s="225" t="n"/>
      <c r="F1063" s="225" t="n">
        <v>1</v>
      </c>
      <c r="G1063" s="225" t="n"/>
      <c r="H1063" s="225" t="n"/>
      <c r="I1063" s="223" t="n">
        <v>82000</v>
      </c>
      <c r="J1063" s="305" t="n">
        <v>0</v>
      </c>
      <c r="K1063" s="305" t="n">
        <v>82000</v>
      </c>
      <c r="L1063" s="224" t="n">
        <v>22000</v>
      </c>
    </row>
    <row r="1064" ht="15" customHeight="1" s="153">
      <c r="A1064" s="306" t="inlineStr">
        <is>
          <t>02/01/2026</t>
        </is>
      </c>
      <c r="B1064" s="307" t="inlineStr">
        <is>
          <t>Enero</t>
        </is>
      </c>
      <c r="C1064" s="310" t="inlineStr">
        <is>
          <t>EXE</t>
        </is>
      </c>
      <c r="D1064" s="218" t="n"/>
      <c r="E1064" s="218" t="n"/>
      <c r="F1064" s="218" t="n">
        <v>1</v>
      </c>
      <c r="G1064" s="218" t="n"/>
      <c r="H1064" s="218" t="n"/>
      <c r="I1064" s="216" t="n">
        <v>69000</v>
      </c>
      <c r="J1064" s="309" t="n">
        <v>0</v>
      </c>
      <c r="K1064" s="309" t="n">
        <v>69000</v>
      </c>
      <c r="L1064" s="236" t="n">
        <v>9000</v>
      </c>
    </row>
    <row r="1065" ht="15" customHeight="1" s="153">
      <c r="A1065" s="306" t="inlineStr">
        <is>
          <t>08/01/2026</t>
        </is>
      </c>
      <c r="B1065" s="307" t="inlineStr">
        <is>
          <t>Enero</t>
        </is>
      </c>
      <c r="C1065" s="310" t="inlineStr">
        <is>
          <t>EXE</t>
        </is>
      </c>
      <c r="D1065" s="218" t="n"/>
      <c r="E1065" s="218" t="n"/>
      <c r="F1065" s="218" t="n">
        <v>1</v>
      </c>
      <c r="G1065" s="218" t="n"/>
      <c r="H1065" s="218" t="n"/>
      <c r="I1065" s="216" t="n">
        <v>69000</v>
      </c>
      <c r="J1065" s="309" t="n">
        <v>0</v>
      </c>
      <c r="K1065" s="309" t="n">
        <v>69000</v>
      </c>
      <c r="L1065" s="236" t="n">
        <v>9000</v>
      </c>
    </row>
    <row r="1066" ht="15" customHeight="1" s="153">
      <c r="A1066" s="306" t="inlineStr">
        <is>
          <t>17/01/2026</t>
        </is>
      </c>
      <c r="B1066" s="307" t="inlineStr">
        <is>
          <t>Enero</t>
        </is>
      </c>
      <c r="C1066" s="310" t="inlineStr">
        <is>
          <t>EXE</t>
        </is>
      </c>
      <c r="D1066" s="218" t="n"/>
      <c r="E1066" s="218" t="n"/>
      <c r="F1066" s="218" t="n">
        <v>1</v>
      </c>
      <c r="G1066" s="218" t="n"/>
      <c r="H1066" s="218" t="n"/>
      <c r="I1066" s="216" t="n">
        <v>69000</v>
      </c>
      <c r="J1066" s="309" t="n">
        <v>0</v>
      </c>
      <c r="K1066" s="309" t="n">
        <v>69000</v>
      </c>
      <c r="L1066" s="236" t="n">
        <v>9000</v>
      </c>
    </row>
    <row r="1067" ht="15" customHeight="1" s="153">
      <c r="A1067" s="306" t="inlineStr">
        <is>
          <t>19/01/2026</t>
        </is>
      </c>
      <c r="B1067" s="307" t="inlineStr">
        <is>
          <t>Enero</t>
        </is>
      </c>
      <c r="C1067" s="310" t="inlineStr">
        <is>
          <t>EXE</t>
        </is>
      </c>
      <c r="D1067" s="218" t="n"/>
      <c r="E1067" s="218" t="n"/>
      <c r="F1067" s="218" t="n">
        <v>1</v>
      </c>
      <c r="G1067" s="218" t="n"/>
      <c r="H1067" s="218" t="n"/>
      <c r="I1067" s="216" t="n">
        <v>69000</v>
      </c>
      <c r="J1067" s="309" t="n">
        <v>0</v>
      </c>
      <c r="K1067" s="309" t="n">
        <v>69000</v>
      </c>
      <c r="L1067" s="236" t="n">
        <v>9000</v>
      </c>
    </row>
    <row r="1068" ht="15" customHeight="1" s="153">
      <c r="A1068" s="306" t="inlineStr">
        <is>
          <t>24/01/2026</t>
        </is>
      </c>
      <c r="B1068" s="307" t="inlineStr">
        <is>
          <t>Enero</t>
        </is>
      </c>
      <c r="C1068" s="310" t="inlineStr">
        <is>
          <t>EXE</t>
        </is>
      </c>
      <c r="D1068" s="218" t="n"/>
      <c r="E1068" s="218" t="n"/>
      <c r="F1068" s="218" t="n">
        <v>1</v>
      </c>
      <c r="G1068" s="218" t="n"/>
      <c r="H1068" s="218" t="n"/>
      <c r="I1068" s="216" t="n">
        <v>69000</v>
      </c>
      <c r="J1068" s="309" t="n">
        <v>0</v>
      </c>
      <c r="K1068" s="309" t="n">
        <v>69000</v>
      </c>
      <c r="L1068" s="236" t="n">
        <v>9000</v>
      </c>
    </row>
    <row r="1069" ht="15" customHeight="1" s="153">
      <c r="A1069" s="306" t="inlineStr">
        <is>
          <t>30/01/2026</t>
        </is>
      </c>
      <c r="B1069" s="307" t="inlineStr">
        <is>
          <t>Enero</t>
        </is>
      </c>
      <c r="C1069" s="310" t="inlineStr">
        <is>
          <t>EXE</t>
        </is>
      </c>
      <c r="D1069" s="218" t="n"/>
      <c r="E1069" s="218" t="n"/>
      <c r="F1069" s="218" t="n">
        <v>1</v>
      </c>
      <c r="G1069" s="218" t="n"/>
      <c r="H1069" s="218" t="n"/>
      <c r="I1069" s="216" t="n">
        <v>69000</v>
      </c>
      <c r="J1069" s="309" t="n">
        <v>0</v>
      </c>
      <c r="K1069" s="309" t="n">
        <v>69000</v>
      </c>
      <c r="L1069" s="236" t="n">
        <v>9000</v>
      </c>
    </row>
    <row r="1070" ht="15" customHeight="1" s="153">
      <c r="A1070" s="306" t="inlineStr">
        <is>
          <t>07/02/2026</t>
        </is>
      </c>
      <c r="B1070" s="307" t="inlineStr">
        <is>
          <t>Febrero</t>
        </is>
      </c>
      <c r="C1070" s="310" t="inlineStr">
        <is>
          <t>EXE</t>
        </is>
      </c>
      <c r="D1070" s="218" t="n"/>
      <c r="E1070" s="218" t="n"/>
      <c r="F1070" s="218" t="n">
        <v>1</v>
      </c>
      <c r="G1070" s="218" t="n"/>
      <c r="H1070" s="218" t="n"/>
      <c r="I1070" s="216" t="n">
        <v>69000</v>
      </c>
      <c r="J1070" s="309" t="n">
        <v>0</v>
      </c>
      <c r="K1070" s="309" t="n">
        <v>69000</v>
      </c>
      <c r="L1070" s="236" t="n">
        <v>9000</v>
      </c>
    </row>
    <row r="1071" ht="15" customHeight="1" s="153">
      <c r="A1071" s="306" t="inlineStr">
        <is>
          <t>11/02/2026</t>
        </is>
      </c>
      <c r="B1071" s="307" t="inlineStr">
        <is>
          <t>Febrero</t>
        </is>
      </c>
      <c r="C1071" s="310" t="inlineStr">
        <is>
          <t>EXE</t>
        </is>
      </c>
      <c r="D1071" s="218" t="n"/>
      <c r="E1071" s="218" t="n"/>
      <c r="F1071" s="218" t="n">
        <v>1</v>
      </c>
      <c r="G1071" s="218" t="n"/>
      <c r="H1071" s="218" t="n"/>
      <c r="I1071" s="216" t="n">
        <v>69000</v>
      </c>
      <c r="J1071" s="309" t="n">
        <v>0</v>
      </c>
      <c r="K1071" s="309" t="n">
        <v>69000</v>
      </c>
      <c r="L1071" s="236" t="n">
        <v>9000</v>
      </c>
    </row>
    <row r="1072" ht="15" customHeight="1" s="153">
      <c r="A1072" s="306" t="inlineStr">
        <is>
          <t>15/02/2026</t>
        </is>
      </c>
      <c r="B1072" s="307" t="inlineStr">
        <is>
          <t>Febrero</t>
        </is>
      </c>
      <c r="C1072" s="310" t="inlineStr">
        <is>
          <t>EXE</t>
        </is>
      </c>
      <c r="D1072" s="218" t="n"/>
      <c r="E1072" s="218" t="n"/>
      <c r="F1072" s="218" t="n">
        <v>1</v>
      </c>
      <c r="G1072" s="218" t="n"/>
      <c r="H1072" s="218" t="n"/>
      <c r="I1072" s="216" t="n">
        <v>69000</v>
      </c>
      <c r="J1072" s="309" t="n">
        <v>0</v>
      </c>
      <c r="K1072" s="309" t="n">
        <v>69000</v>
      </c>
      <c r="L1072" s="236" t="n">
        <v>9000</v>
      </c>
    </row>
    <row r="1073" ht="15" customHeight="1" s="153">
      <c r="A1073" s="306" t="inlineStr">
        <is>
          <t>20/02/2026</t>
        </is>
      </c>
      <c r="B1073" s="307" t="inlineStr">
        <is>
          <t>Febrero</t>
        </is>
      </c>
      <c r="C1073" s="310" t="inlineStr">
        <is>
          <t>EXE</t>
        </is>
      </c>
      <c r="D1073" s="218" t="n"/>
      <c r="E1073" s="218" t="n"/>
      <c r="F1073" s="218" t="n">
        <v>1</v>
      </c>
      <c r="G1073" s="218" t="n"/>
      <c r="H1073" s="218" t="n"/>
      <c r="I1073" s="216" t="n">
        <v>72000</v>
      </c>
      <c r="J1073" s="309" t="n">
        <v>0</v>
      </c>
      <c r="K1073" s="309" t="n">
        <v>72000</v>
      </c>
      <c r="L1073" s="236" t="n">
        <v>12000</v>
      </c>
    </row>
    <row r="1074" ht="15" customHeight="1" s="153">
      <c r="A1074" s="306" t="inlineStr">
        <is>
          <t>26/02/2026</t>
        </is>
      </c>
      <c r="B1074" s="307" t="inlineStr">
        <is>
          <t>Febrero</t>
        </is>
      </c>
      <c r="C1074" s="310" t="inlineStr">
        <is>
          <t>EXE</t>
        </is>
      </c>
      <c r="D1074" s="218" t="n"/>
      <c r="E1074" s="218" t="n"/>
      <c r="F1074" s="218" t="n">
        <v>1</v>
      </c>
      <c r="G1074" s="218" t="n"/>
      <c r="H1074" s="218" t="n"/>
      <c r="I1074" s="216" t="n">
        <v>72000</v>
      </c>
      <c r="J1074" s="309" t="n">
        <v>0</v>
      </c>
      <c r="K1074" s="309" t="n">
        <v>72000</v>
      </c>
      <c r="L1074" s="236" t="n">
        <v>12000</v>
      </c>
    </row>
    <row r="1075" ht="15" customHeight="1" s="153">
      <c r="A1075" s="306" t="inlineStr">
        <is>
          <t>05/03/2026</t>
        </is>
      </c>
      <c r="B1075" s="307" t="inlineStr">
        <is>
          <t>Marzo</t>
        </is>
      </c>
      <c r="C1075" s="310" t="inlineStr">
        <is>
          <t>EXE</t>
        </is>
      </c>
      <c r="D1075" s="218" t="n"/>
      <c r="E1075" s="218" t="n"/>
      <c r="F1075" s="218" t="n">
        <v>1</v>
      </c>
      <c r="G1075" s="218" t="n"/>
      <c r="H1075" s="218" t="n"/>
      <c r="I1075" s="216" t="n">
        <v>72000</v>
      </c>
      <c r="J1075" s="309" t="n">
        <v>0</v>
      </c>
      <c r="K1075" s="309" t="n">
        <v>72000</v>
      </c>
      <c r="L1075" s="236" t="n">
        <v>12000</v>
      </c>
    </row>
    <row r="1076" ht="15" customHeight="1" s="153">
      <c r="A1076" s="306" t="inlineStr">
        <is>
          <t>10/03/2026</t>
        </is>
      </c>
      <c r="B1076" s="307" t="inlineStr">
        <is>
          <t>Marzo</t>
        </is>
      </c>
      <c r="C1076" s="310" t="inlineStr">
        <is>
          <t>EXE</t>
        </is>
      </c>
      <c r="D1076" s="218" t="n">
        <v>2</v>
      </c>
      <c r="E1076" s="218" t="n"/>
      <c r="F1076" s="218" t="n">
        <v>1</v>
      </c>
      <c r="G1076" s="218" t="n"/>
      <c r="H1076" s="218" t="n"/>
      <c r="I1076" s="216" t="n">
        <v>116000</v>
      </c>
      <c r="J1076" s="309" t="n">
        <v>0</v>
      </c>
      <c r="K1076" s="309" t="n">
        <v>116000</v>
      </c>
      <c r="L1076" s="236" t="n">
        <v>26000</v>
      </c>
    </row>
    <row r="1077" ht="15" customHeight="1" s="153">
      <c r="A1077" s="306" t="inlineStr">
        <is>
          <t>16/03/2026</t>
        </is>
      </c>
      <c r="B1077" s="307" t="inlineStr">
        <is>
          <t>Marzo</t>
        </is>
      </c>
      <c r="C1077" s="310" t="inlineStr">
        <is>
          <t>EXE</t>
        </is>
      </c>
      <c r="D1077" s="218" t="n"/>
      <c r="E1077" s="218" t="n"/>
      <c r="F1077" s="218" t="n">
        <v>1</v>
      </c>
      <c r="G1077" s="218" t="n"/>
      <c r="H1077" s="218" t="n"/>
      <c r="I1077" s="216" t="n">
        <v>77000</v>
      </c>
      <c r="J1077" s="309" t="n">
        <v>0</v>
      </c>
      <c r="K1077" s="309" t="n">
        <v>77000</v>
      </c>
      <c r="L1077" s="236" t="n">
        <v>17000</v>
      </c>
    </row>
    <row r="1078" ht="15" customHeight="1" s="153">
      <c r="A1078" s="306" t="inlineStr">
        <is>
          <t>02/04/2026</t>
        </is>
      </c>
      <c r="B1078" s="307" t="inlineStr">
        <is>
          <t>Abril</t>
        </is>
      </c>
      <c r="C1078" s="310" t="inlineStr">
        <is>
          <t>EXE</t>
        </is>
      </c>
      <c r="D1078" s="218" t="n"/>
      <c r="E1078" s="218" t="n"/>
      <c r="F1078" s="218" t="n">
        <v>1</v>
      </c>
      <c r="G1078" s="218" t="n"/>
      <c r="H1078" s="218" t="n"/>
      <c r="I1078" s="216" t="n">
        <v>82000</v>
      </c>
      <c r="J1078" s="309" t="n">
        <v>0</v>
      </c>
      <c r="K1078" s="309" t="n">
        <v>82000</v>
      </c>
      <c r="L1078" s="236" t="n">
        <v>22000</v>
      </c>
    </row>
    <row r="1079" ht="15" customHeight="1" s="153">
      <c r="A1079" s="306" t="inlineStr">
        <is>
          <t>09/04/2026</t>
        </is>
      </c>
      <c r="B1079" s="307" t="inlineStr">
        <is>
          <t>Abril</t>
        </is>
      </c>
      <c r="C1079" s="310" t="inlineStr">
        <is>
          <t>EXE</t>
        </is>
      </c>
      <c r="D1079" s="218" t="n"/>
      <c r="E1079" s="218" t="n"/>
      <c r="F1079" s="218" t="n">
        <v>1</v>
      </c>
      <c r="G1079" s="218" t="n"/>
      <c r="H1079" s="218" t="n"/>
      <c r="I1079" s="216" t="n">
        <v>82000</v>
      </c>
      <c r="J1079" s="309" t="n">
        <v>0</v>
      </c>
      <c r="K1079" s="309" t="n">
        <v>82000</v>
      </c>
      <c r="L1079" s="236" t="n">
        <v>22000</v>
      </c>
    </row>
    <row r="1080" ht="15" customHeight="1" s="153">
      <c r="A1080" s="302" t="inlineStr">
        <is>
          <t>09/03/2026</t>
        </is>
      </c>
      <c r="B1080" s="303" t="inlineStr">
        <is>
          <t>Marzo</t>
        </is>
      </c>
      <c r="C1080" s="311" t="inlineStr">
        <is>
          <t>F FERNANDEZ Y VIÑAS</t>
        </is>
      </c>
      <c r="D1080" s="225" t="n">
        <v>1</v>
      </c>
      <c r="E1080" s="225" t="n"/>
      <c r="F1080" s="225" t="n"/>
      <c r="G1080" s="225" t="n"/>
      <c r="H1080" s="225" t="n"/>
      <c r="I1080" s="223" t="n">
        <v>21000</v>
      </c>
      <c r="J1080" s="305" t="n">
        <v>21000</v>
      </c>
      <c r="K1080" s="305" t="n">
        <v>0</v>
      </c>
      <c r="L1080" s="224" t="n">
        <v>6000</v>
      </c>
    </row>
    <row r="1081" ht="15" customHeight="1" s="153">
      <c r="A1081" s="306" t="inlineStr">
        <is>
          <t>07/04/2026</t>
        </is>
      </c>
      <c r="B1081" s="307" t="inlineStr">
        <is>
          <t>Abril</t>
        </is>
      </c>
      <c r="C1081" s="310" t="inlineStr">
        <is>
          <t>F ZUVIRIA 7757</t>
        </is>
      </c>
      <c r="D1081" s="218" t="n"/>
      <c r="E1081" s="218" t="n"/>
      <c r="F1081" s="218" t="n">
        <v>1</v>
      </c>
      <c r="G1081" s="218" t="n"/>
      <c r="H1081" s="218" t="n"/>
      <c r="I1081" s="216" t="n">
        <v>85000</v>
      </c>
      <c r="J1081" s="309" t="n">
        <v>0</v>
      </c>
      <c r="K1081" s="309" t="n">
        <v>85000</v>
      </c>
      <c r="L1081" s="236" t="n">
        <v>25000</v>
      </c>
    </row>
    <row r="1082" ht="15" customHeight="1" s="153">
      <c r="A1082" s="302" t="inlineStr">
        <is>
          <t>03/03/2026</t>
        </is>
      </c>
      <c r="B1082" s="303" t="inlineStr">
        <is>
          <t>Marzo</t>
        </is>
      </c>
      <c r="C1082" s="311" t="inlineStr">
        <is>
          <t>F5 GABOTO</t>
        </is>
      </c>
      <c r="D1082" s="225" t="n">
        <v>1</v>
      </c>
      <c r="E1082" s="225" t="n"/>
      <c r="F1082" s="225" t="n"/>
      <c r="G1082" s="225" t="n"/>
      <c r="H1082" s="225" t="n"/>
      <c r="I1082" s="223" t="n">
        <v>20000</v>
      </c>
      <c r="J1082" s="305" t="n">
        <v>20000</v>
      </c>
      <c r="K1082" s="305" t="n">
        <v>0</v>
      </c>
      <c r="L1082" s="224" t="n">
        <v>5000</v>
      </c>
    </row>
    <row r="1083" ht="15" customHeight="1" s="153">
      <c r="A1083" s="306" t="inlineStr">
        <is>
          <t>09/01/2026</t>
        </is>
      </c>
      <c r="B1083" s="307" t="inlineStr">
        <is>
          <t>Enero</t>
        </is>
      </c>
      <c r="C1083" s="310" t="inlineStr">
        <is>
          <t>FABIAN</t>
        </is>
      </c>
      <c r="D1083" s="218" t="n">
        <v>1</v>
      </c>
      <c r="E1083" s="218" t="n"/>
      <c r="F1083" s="218" t="n"/>
      <c r="G1083" s="218" t="n"/>
      <c r="H1083" s="218" t="n"/>
      <c r="I1083" s="216" t="n">
        <v>20000</v>
      </c>
      <c r="J1083" s="309" t="n">
        <v>20000</v>
      </c>
      <c r="K1083" s="309" t="n">
        <v>0</v>
      </c>
      <c r="L1083" s="236" t="n">
        <v>5000</v>
      </c>
    </row>
    <row r="1084" ht="15" customHeight="1" s="153">
      <c r="A1084" s="302" t="inlineStr">
        <is>
          <t>21/04/2026</t>
        </is>
      </c>
      <c r="B1084" s="303" t="inlineStr">
        <is>
          <t>Abril</t>
        </is>
      </c>
      <c r="C1084" s="311" t="inlineStr">
        <is>
          <t>FABIAN ALADO VIA NORTE</t>
        </is>
      </c>
      <c r="D1084" s="225" t="n">
        <v>1</v>
      </c>
      <c r="E1084" s="225" t="n"/>
      <c r="F1084" s="225" t="n"/>
      <c r="G1084" s="225" t="n"/>
      <c r="H1084" s="225" t="n"/>
      <c r="I1084" s="223" t="n">
        <v>25000</v>
      </c>
      <c r="J1084" s="305" t="n">
        <v>0</v>
      </c>
      <c r="K1084" s="305" t="n">
        <v>25000</v>
      </c>
      <c r="L1084" s="224" t="n">
        <v>10000</v>
      </c>
    </row>
    <row r="1085" ht="15" customHeight="1" s="153">
      <c r="A1085" s="306" t="inlineStr">
        <is>
          <t>03/02/2026</t>
        </is>
      </c>
      <c r="B1085" s="307" t="inlineStr">
        <is>
          <t>Febrero</t>
        </is>
      </c>
      <c r="C1085" s="310" t="inlineStr">
        <is>
          <t>FABIAN BLAS PARERA</t>
        </is>
      </c>
      <c r="D1085" s="218" t="n">
        <v>1</v>
      </c>
      <c r="E1085" s="218" t="n">
        <v>1</v>
      </c>
      <c r="F1085" s="218" t="n"/>
      <c r="G1085" s="218" t="n"/>
      <c r="H1085" s="218" t="n"/>
      <c r="I1085" s="216" t="n">
        <v>50000</v>
      </c>
      <c r="J1085" s="309" t="n">
        <v>50000</v>
      </c>
      <c r="K1085" s="309" t="n">
        <v>0</v>
      </c>
      <c r="L1085" s="236" t="n">
        <v>12500</v>
      </c>
    </row>
    <row r="1086" ht="15" customHeight="1" s="153">
      <c r="A1086" s="302" t="inlineStr">
        <is>
          <t>05/03/2026</t>
        </is>
      </c>
      <c r="B1086" s="303" t="inlineStr">
        <is>
          <t>Marzo</t>
        </is>
      </c>
      <c r="C1086" s="311" t="inlineStr">
        <is>
          <t>FABIAN LUBRICENTRO</t>
        </is>
      </c>
      <c r="D1086" s="225" t="n">
        <v>1</v>
      </c>
      <c r="E1086" s="225" t="n"/>
      <c r="F1086" s="225" t="n"/>
      <c r="G1086" s="225" t="n"/>
      <c r="H1086" s="225" t="n"/>
      <c r="I1086" s="223" t="n">
        <v>21000</v>
      </c>
      <c r="J1086" s="305" t="n">
        <v>21000</v>
      </c>
      <c r="K1086" s="305" t="n">
        <v>0</v>
      </c>
      <c r="L1086" s="224" t="n">
        <v>6000</v>
      </c>
    </row>
    <row r="1087" ht="15" customHeight="1" s="153">
      <c r="A1087" s="306" t="inlineStr">
        <is>
          <t>02/02/2026</t>
        </is>
      </c>
      <c r="B1087" s="307" t="inlineStr">
        <is>
          <t>Febrero</t>
        </is>
      </c>
      <c r="C1087" s="310" t="inlineStr">
        <is>
          <t>FABIO PARISI</t>
        </is>
      </c>
      <c r="D1087" s="218" t="n"/>
      <c r="E1087" s="218" t="n"/>
      <c r="F1087" s="218" t="n"/>
      <c r="G1087" s="218" t="n">
        <v>20</v>
      </c>
      <c r="H1087" s="218" t="n"/>
      <c r="I1087" s="216" t="n">
        <v>67200</v>
      </c>
      <c r="J1087" s="309" t="n">
        <v>67200</v>
      </c>
      <c r="K1087" s="309" t="n">
        <v>0</v>
      </c>
      <c r="L1087" s="236" t="n">
        <v>21200</v>
      </c>
    </row>
    <row r="1088" ht="15" customHeight="1" s="153">
      <c r="A1088" s="302" t="inlineStr">
        <is>
          <t>03/01/2026</t>
        </is>
      </c>
      <c r="B1088" s="303" t="inlineStr">
        <is>
          <t>Enero</t>
        </is>
      </c>
      <c r="C1088" s="311" t="inlineStr">
        <is>
          <t>FACU DONA</t>
        </is>
      </c>
      <c r="D1088" s="225" t="n">
        <v>1</v>
      </c>
      <c r="E1088" s="225" t="n"/>
      <c r="F1088" s="225" t="n"/>
      <c r="G1088" s="225" t="n"/>
      <c r="H1088" s="225" t="n"/>
      <c r="I1088" s="223" t="n">
        <v>13500</v>
      </c>
      <c r="J1088" s="305" t="n">
        <v>13500</v>
      </c>
      <c r="K1088" s="305" t="n">
        <v>0</v>
      </c>
      <c r="L1088" s="245" t="n">
        <v>-1500</v>
      </c>
    </row>
    <row r="1089" ht="15" customHeight="1" s="153">
      <c r="A1089" s="306" t="inlineStr">
        <is>
          <t>22/02/2026</t>
        </is>
      </c>
      <c r="B1089" s="307" t="inlineStr">
        <is>
          <t>Febrero</t>
        </is>
      </c>
      <c r="C1089" s="310" t="inlineStr">
        <is>
          <t>FACUNDO ZUVIRIA 10235</t>
        </is>
      </c>
      <c r="D1089" s="218" t="n">
        <v>1</v>
      </c>
      <c r="E1089" s="218" t="n"/>
      <c r="F1089" s="218" t="n"/>
      <c r="G1089" s="218" t="n"/>
      <c r="H1089" s="218" t="n"/>
      <c r="I1089" s="216" t="n">
        <v>23000</v>
      </c>
      <c r="J1089" s="309" t="n">
        <v>0</v>
      </c>
      <c r="K1089" s="309" t="n">
        <v>23000</v>
      </c>
      <c r="L1089" s="236" t="n">
        <v>8000</v>
      </c>
    </row>
    <row r="1090" ht="15" customHeight="1" s="153">
      <c r="A1090" s="306" t="inlineStr">
        <is>
          <t>22/04/2026</t>
        </is>
      </c>
      <c r="B1090" s="307" t="inlineStr">
        <is>
          <t>Abril</t>
        </is>
      </c>
      <c r="C1090" s="310" t="inlineStr">
        <is>
          <t>FACUNDO ZUVIRIA 10235</t>
        </is>
      </c>
      <c r="D1090" s="218" t="n">
        <v>1</v>
      </c>
      <c r="E1090" s="218" t="n"/>
      <c r="F1090" s="218" t="n"/>
      <c r="G1090" s="218" t="n"/>
      <c r="H1090" s="218" t="n"/>
      <c r="I1090" s="216" t="n">
        <v>27000</v>
      </c>
      <c r="J1090" s="309" t="n">
        <v>0</v>
      </c>
      <c r="K1090" s="309" t="n">
        <v>27000</v>
      </c>
      <c r="L1090" s="236" t="n">
        <v>12000</v>
      </c>
    </row>
    <row r="1091" ht="15" customHeight="1" s="153">
      <c r="A1091" s="302" t="inlineStr">
        <is>
          <t>13/01/2026</t>
        </is>
      </c>
      <c r="B1091" s="303" t="inlineStr">
        <is>
          <t>Enero</t>
        </is>
      </c>
      <c r="C1091" s="311" t="inlineStr">
        <is>
          <t>FILOMEN A</t>
        </is>
      </c>
      <c r="D1091" s="225" t="n">
        <v>1</v>
      </c>
      <c r="E1091" s="225" t="n"/>
      <c r="F1091" s="225" t="n"/>
      <c r="G1091" s="225" t="n"/>
      <c r="H1091" s="225" t="n"/>
      <c r="I1091" s="223" t="n">
        <v>18000</v>
      </c>
      <c r="J1091" s="305" t="n">
        <v>18000</v>
      </c>
      <c r="K1091" s="305" t="n">
        <v>0</v>
      </c>
      <c r="L1091" s="224" t="n">
        <v>3000</v>
      </c>
    </row>
    <row r="1092" ht="15" customHeight="1" s="153">
      <c r="A1092" s="302" t="inlineStr">
        <is>
          <t>12/03/2026</t>
        </is>
      </c>
      <c r="B1092" s="303" t="inlineStr">
        <is>
          <t>Marzo</t>
        </is>
      </c>
      <c r="C1092" s="311" t="inlineStr">
        <is>
          <t>FILOMEN A</t>
        </is>
      </c>
      <c r="D1092" s="225" t="n">
        <v>2</v>
      </c>
      <c r="E1092" s="225" t="n"/>
      <c r="F1092" s="225" t="n"/>
      <c r="G1092" s="225" t="n"/>
      <c r="H1092" s="225" t="n"/>
      <c r="I1092" s="223" t="n">
        <v>38000</v>
      </c>
      <c r="J1092" s="305" t="n">
        <v>0</v>
      </c>
      <c r="K1092" s="305" t="n">
        <v>38000</v>
      </c>
      <c r="L1092" s="224" t="n">
        <v>8000</v>
      </c>
    </row>
    <row r="1093" ht="15" customHeight="1" s="153">
      <c r="A1093" s="306" t="inlineStr">
        <is>
          <t>03/01/2026</t>
        </is>
      </c>
      <c r="B1093" s="307" t="inlineStr">
        <is>
          <t>Enero</t>
        </is>
      </c>
      <c r="C1093" s="310" t="inlineStr">
        <is>
          <t>FILOMENA</t>
        </is>
      </c>
      <c r="D1093" s="218" t="n">
        <v>2</v>
      </c>
      <c r="E1093" s="218" t="n"/>
      <c r="F1093" s="218" t="n"/>
      <c r="G1093" s="218" t="n"/>
      <c r="H1093" s="218" t="n"/>
      <c r="I1093" s="216" t="n">
        <v>36000</v>
      </c>
      <c r="J1093" s="309" t="n">
        <v>0</v>
      </c>
      <c r="K1093" s="309" t="n">
        <v>36000</v>
      </c>
      <c r="L1093" s="236" t="n">
        <v>6000</v>
      </c>
    </row>
    <row r="1094" ht="15" customHeight="1" s="153">
      <c r="A1094" s="306" t="inlineStr">
        <is>
          <t>05/01/2026</t>
        </is>
      </c>
      <c r="B1094" s="307" t="inlineStr">
        <is>
          <t>Enero</t>
        </is>
      </c>
      <c r="C1094" s="310" t="inlineStr">
        <is>
          <t>FILOMENA</t>
        </is>
      </c>
      <c r="D1094" s="218" t="n">
        <v>2</v>
      </c>
      <c r="E1094" s="218" t="n"/>
      <c r="F1094" s="218" t="n"/>
      <c r="G1094" s="218" t="n"/>
      <c r="H1094" s="218" t="n"/>
      <c r="I1094" s="216" t="n">
        <v>36000</v>
      </c>
      <c r="J1094" s="309" t="n">
        <v>36000</v>
      </c>
      <c r="K1094" s="309" t="n">
        <v>0</v>
      </c>
      <c r="L1094" s="236" t="n">
        <v>6000</v>
      </c>
    </row>
    <row r="1095" ht="15" customHeight="1" s="153">
      <c r="A1095" s="306" t="inlineStr">
        <is>
          <t>08/01/2026</t>
        </is>
      </c>
      <c r="B1095" s="307" t="inlineStr">
        <is>
          <t>Enero</t>
        </is>
      </c>
      <c r="C1095" s="310" t="inlineStr">
        <is>
          <t>FILOMENA</t>
        </is>
      </c>
      <c r="D1095" s="218" t="n">
        <v>2</v>
      </c>
      <c r="E1095" s="218" t="n"/>
      <c r="F1095" s="218" t="n"/>
      <c r="G1095" s="218" t="n"/>
      <c r="H1095" s="218" t="n"/>
      <c r="I1095" s="216" t="n">
        <v>36000</v>
      </c>
      <c r="J1095" s="309" t="n">
        <v>36000</v>
      </c>
      <c r="K1095" s="309" t="n">
        <v>0</v>
      </c>
      <c r="L1095" s="236" t="n">
        <v>6000</v>
      </c>
    </row>
    <row r="1096" ht="15" customHeight="1" s="153">
      <c r="A1096" s="306" t="inlineStr">
        <is>
          <t>10/01/2026</t>
        </is>
      </c>
      <c r="B1096" s="307" t="inlineStr">
        <is>
          <t>Enero</t>
        </is>
      </c>
      <c r="C1096" s="310" t="inlineStr">
        <is>
          <t>FILOMENA</t>
        </is>
      </c>
      <c r="D1096" s="218" t="n">
        <v>2</v>
      </c>
      <c r="E1096" s="218" t="n"/>
      <c r="F1096" s="218" t="n"/>
      <c r="G1096" s="218" t="n"/>
      <c r="H1096" s="218" t="n"/>
      <c r="I1096" s="216" t="n">
        <v>36000</v>
      </c>
      <c r="J1096" s="309" t="n">
        <v>36000</v>
      </c>
      <c r="K1096" s="309" t="n">
        <v>0</v>
      </c>
      <c r="L1096" s="236" t="n">
        <v>6000</v>
      </c>
    </row>
    <row r="1097" ht="15" customHeight="1" s="153">
      <c r="A1097" s="306" t="inlineStr">
        <is>
          <t>11/01/2026</t>
        </is>
      </c>
      <c r="B1097" s="307" t="inlineStr">
        <is>
          <t>Enero</t>
        </is>
      </c>
      <c r="C1097" s="310" t="inlineStr">
        <is>
          <t>FILOMENA</t>
        </is>
      </c>
      <c r="D1097" s="218" t="n">
        <v>1</v>
      </c>
      <c r="E1097" s="218" t="n"/>
      <c r="F1097" s="218" t="n"/>
      <c r="G1097" s="218" t="n"/>
      <c r="H1097" s="218" t="n"/>
      <c r="I1097" s="216" t="n">
        <v>18000</v>
      </c>
      <c r="J1097" s="309" t="n">
        <v>18000</v>
      </c>
      <c r="K1097" s="309" t="n">
        <v>0</v>
      </c>
      <c r="L1097" s="236" t="n">
        <v>3000</v>
      </c>
    </row>
    <row r="1098" ht="15" customHeight="1" s="153">
      <c r="A1098" s="306" t="inlineStr">
        <is>
          <t>14/01/2026</t>
        </is>
      </c>
      <c r="B1098" s="307" t="inlineStr">
        <is>
          <t>Enero</t>
        </is>
      </c>
      <c r="C1098" s="310" t="inlineStr">
        <is>
          <t>FILOMENA</t>
        </is>
      </c>
      <c r="D1098" s="218" t="n">
        <v>1</v>
      </c>
      <c r="E1098" s="218" t="n"/>
      <c r="F1098" s="218" t="n"/>
      <c r="G1098" s="218" t="n"/>
      <c r="H1098" s="218" t="n"/>
      <c r="I1098" s="216" t="n">
        <v>18000</v>
      </c>
      <c r="J1098" s="309" t="n">
        <v>18000</v>
      </c>
      <c r="K1098" s="309" t="n">
        <v>0</v>
      </c>
      <c r="L1098" s="236" t="n">
        <v>3000</v>
      </c>
    </row>
    <row r="1099" ht="15" customHeight="1" s="153">
      <c r="A1099" s="306" t="inlineStr">
        <is>
          <t>16/01/2026</t>
        </is>
      </c>
      <c r="B1099" s="307" t="inlineStr">
        <is>
          <t>Enero</t>
        </is>
      </c>
      <c r="C1099" s="310" t="inlineStr">
        <is>
          <t>FILOMENA</t>
        </is>
      </c>
      <c r="D1099" s="218" t="n">
        <v>2</v>
      </c>
      <c r="E1099" s="218" t="n"/>
      <c r="F1099" s="218" t="n"/>
      <c r="G1099" s="218" t="n"/>
      <c r="H1099" s="218" t="n"/>
      <c r="I1099" s="216" t="n">
        <v>36000</v>
      </c>
      <c r="J1099" s="309" t="n">
        <v>36000</v>
      </c>
      <c r="K1099" s="309" t="n">
        <v>0</v>
      </c>
      <c r="L1099" s="236" t="n">
        <v>6000</v>
      </c>
    </row>
    <row r="1100" ht="15" customHeight="1" s="153">
      <c r="A1100" s="306" t="inlineStr">
        <is>
          <t>17/01/2026</t>
        </is>
      </c>
      <c r="B1100" s="307" t="inlineStr">
        <is>
          <t>Enero</t>
        </is>
      </c>
      <c r="C1100" s="310" t="inlineStr">
        <is>
          <t>FILOMENA</t>
        </is>
      </c>
      <c r="D1100" s="218" t="n">
        <v>1</v>
      </c>
      <c r="E1100" s="218" t="n"/>
      <c r="F1100" s="218" t="n"/>
      <c r="G1100" s="218" t="n"/>
      <c r="H1100" s="218" t="n"/>
      <c r="I1100" s="216" t="n">
        <v>18000</v>
      </c>
      <c r="J1100" s="309" t="n">
        <v>18000</v>
      </c>
      <c r="K1100" s="309" t="n">
        <v>0</v>
      </c>
      <c r="L1100" s="236" t="n">
        <v>3000</v>
      </c>
    </row>
    <row r="1101" ht="15" customHeight="1" s="153">
      <c r="A1101" s="306" t="inlineStr">
        <is>
          <t>20/01/2026</t>
        </is>
      </c>
      <c r="B1101" s="307" t="inlineStr">
        <is>
          <t>Enero</t>
        </is>
      </c>
      <c r="C1101" s="310" t="inlineStr">
        <is>
          <t>FILOMENA</t>
        </is>
      </c>
      <c r="D1101" s="218" t="n">
        <v>2</v>
      </c>
      <c r="E1101" s="218" t="n"/>
      <c r="F1101" s="218" t="n"/>
      <c r="G1101" s="218" t="n"/>
      <c r="H1101" s="218" t="n"/>
      <c r="I1101" s="216" t="n">
        <v>36000</v>
      </c>
      <c r="J1101" s="309" t="n">
        <v>36000</v>
      </c>
      <c r="K1101" s="309" t="n">
        <v>0</v>
      </c>
      <c r="L1101" s="236" t="n">
        <v>6000</v>
      </c>
    </row>
    <row r="1102" ht="15" customHeight="1" s="153">
      <c r="A1102" s="306" t="inlineStr">
        <is>
          <t>21/01/2026</t>
        </is>
      </c>
      <c r="B1102" s="307" t="inlineStr">
        <is>
          <t>Enero</t>
        </is>
      </c>
      <c r="C1102" s="310" t="inlineStr">
        <is>
          <t>FILOMENA</t>
        </is>
      </c>
      <c r="D1102" s="218" t="n">
        <v>2</v>
      </c>
      <c r="E1102" s="218" t="n"/>
      <c r="F1102" s="218" t="n"/>
      <c r="G1102" s="218" t="n"/>
      <c r="H1102" s="218" t="n"/>
      <c r="I1102" s="216" t="n">
        <v>36000</v>
      </c>
      <c r="J1102" s="309" t="n">
        <v>0</v>
      </c>
      <c r="K1102" s="309" t="n">
        <v>36000</v>
      </c>
      <c r="L1102" s="236" t="n">
        <v>6000</v>
      </c>
    </row>
    <row r="1103" ht="15" customHeight="1" s="153">
      <c r="A1103" s="306" t="inlineStr">
        <is>
          <t>23/01/2026</t>
        </is>
      </c>
      <c r="B1103" s="307" t="inlineStr">
        <is>
          <t>Enero</t>
        </is>
      </c>
      <c r="C1103" s="310" t="inlineStr">
        <is>
          <t>FILOMENA</t>
        </is>
      </c>
      <c r="D1103" s="218" t="n">
        <v>1</v>
      </c>
      <c r="E1103" s="218" t="n"/>
      <c r="F1103" s="218" t="n"/>
      <c r="G1103" s="218" t="n"/>
      <c r="H1103" s="218" t="n"/>
      <c r="I1103" s="216" t="n">
        <v>18000</v>
      </c>
      <c r="J1103" s="309" t="n">
        <v>18000</v>
      </c>
      <c r="K1103" s="309" t="n">
        <v>0</v>
      </c>
      <c r="L1103" s="236" t="n">
        <v>3000</v>
      </c>
    </row>
    <row r="1104" ht="15" customHeight="1" s="153">
      <c r="A1104" s="306" t="inlineStr">
        <is>
          <t>24/01/2026</t>
        </is>
      </c>
      <c r="B1104" s="307" t="inlineStr">
        <is>
          <t>Enero</t>
        </is>
      </c>
      <c r="C1104" s="310" t="inlineStr">
        <is>
          <t>FILOMENA</t>
        </is>
      </c>
      <c r="D1104" s="218" t="n">
        <v>2</v>
      </c>
      <c r="E1104" s="218" t="n"/>
      <c r="F1104" s="218" t="n"/>
      <c r="G1104" s="218" t="n"/>
      <c r="H1104" s="218" t="n"/>
      <c r="I1104" s="216" t="n">
        <v>36000</v>
      </c>
      <c r="J1104" s="309" t="n">
        <v>0</v>
      </c>
      <c r="K1104" s="309" t="n">
        <v>36000</v>
      </c>
      <c r="L1104" s="236" t="n">
        <v>6000</v>
      </c>
    </row>
    <row r="1105" ht="15" customHeight="1" s="153">
      <c r="A1105" s="306" t="inlineStr">
        <is>
          <t>26/01/2026</t>
        </is>
      </c>
      <c r="B1105" s="307" t="inlineStr">
        <is>
          <t>Enero</t>
        </is>
      </c>
      <c r="C1105" s="310" t="inlineStr">
        <is>
          <t>FILOMENA</t>
        </is>
      </c>
      <c r="D1105" s="218" t="n">
        <v>1</v>
      </c>
      <c r="E1105" s="218" t="n"/>
      <c r="F1105" s="218" t="n"/>
      <c r="G1105" s="218" t="n"/>
      <c r="H1105" s="218" t="n"/>
      <c r="I1105" s="216" t="n">
        <v>18000</v>
      </c>
      <c r="J1105" s="309" t="n">
        <v>18000</v>
      </c>
      <c r="K1105" s="309" t="n">
        <v>0</v>
      </c>
      <c r="L1105" s="236" t="n">
        <v>3000</v>
      </c>
    </row>
    <row r="1106" ht="15" customHeight="1" s="153">
      <c r="A1106" s="306" t="inlineStr">
        <is>
          <t>28/01/2026</t>
        </is>
      </c>
      <c r="B1106" s="307" t="inlineStr">
        <is>
          <t>Enero</t>
        </is>
      </c>
      <c r="C1106" s="310" t="inlineStr">
        <is>
          <t>FILOMENA</t>
        </is>
      </c>
      <c r="D1106" s="218" t="n">
        <v>2</v>
      </c>
      <c r="E1106" s="218" t="n"/>
      <c r="F1106" s="218" t="n"/>
      <c r="G1106" s="218" t="n"/>
      <c r="H1106" s="218" t="n"/>
      <c r="I1106" s="216" t="n">
        <v>36000</v>
      </c>
      <c r="J1106" s="309" t="n">
        <v>36000</v>
      </c>
      <c r="K1106" s="309" t="n">
        <v>0</v>
      </c>
      <c r="L1106" s="236" t="n">
        <v>6000</v>
      </c>
    </row>
    <row r="1107" ht="15" customHeight="1" s="153">
      <c r="A1107" s="306" t="inlineStr">
        <is>
          <t>30/01/2026</t>
        </is>
      </c>
      <c r="B1107" s="307" t="inlineStr">
        <is>
          <t>Enero</t>
        </is>
      </c>
      <c r="C1107" s="310" t="inlineStr">
        <is>
          <t>FILOMENA</t>
        </is>
      </c>
      <c r="D1107" s="218" t="n">
        <v>2</v>
      </c>
      <c r="E1107" s="218" t="n"/>
      <c r="F1107" s="218" t="n"/>
      <c r="G1107" s="218" t="n"/>
      <c r="H1107" s="218" t="n"/>
      <c r="I1107" s="216" t="n">
        <v>36000</v>
      </c>
      <c r="J1107" s="309" t="n">
        <v>36000</v>
      </c>
      <c r="K1107" s="309" t="n">
        <v>0</v>
      </c>
      <c r="L1107" s="236" t="n">
        <v>6000</v>
      </c>
    </row>
    <row r="1108" ht="15" customHeight="1" s="153">
      <c r="A1108" s="306" t="inlineStr">
        <is>
          <t>31/01/2026</t>
        </is>
      </c>
      <c r="B1108" s="307" t="inlineStr">
        <is>
          <t>Enero</t>
        </is>
      </c>
      <c r="C1108" s="310" t="inlineStr">
        <is>
          <t>FILOMENA</t>
        </is>
      </c>
      <c r="D1108" s="218" t="n">
        <v>1</v>
      </c>
      <c r="E1108" s="218" t="n"/>
      <c r="F1108" s="218" t="n"/>
      <c r="G1108" s="218" t="n"/>
      <c r="H1108" s="218" t="n"/>
      <c r="I1108" s="216" t="n">
        <v>18000</v>
      </c>
      <c r="J1108" s="309" t="n">
        <v>0</v>
      </c>
      <c r="K1108" s="309" t="n">
        <v>18000</v>
      </c>
      <c r="L1108" s="236" t="n">
        <v>3000</v>
      </c>
    </row>
    <row r="1109" ht="15" customHeight="1" s="153">
      <c r="A1109" s="306" t="inlineStr">
        <is>
          <t>02/02/2026</t>
        </is>
      </c>
      <c r="B1109" s="307" t="inlineStr">
        <is>
          <t>Febrero</t>
        </is>
      </c>
      <c r="C1109" s="310" t="inlineStr">
        <is>
          <t>FILOMENA</t>
        </is>
      </c>
      <c r="D1109" s="218" t="n">
        <v>2</v>
      </c>
      <c r="E1109" s="218" t="n"/>
      <c r="F1109" s="218" t="n"/>
      <c r="G1109" s="218" t="n"/>
      <c r="H1109" s="218" t="n"/>
      <c r="I1109" s="216" t="n">
        <v>36000</v>
      </c>
      <c r="J1109" s="309" t="n">
        <v>0</v>
      </c>
      <c r="K1109" s="309" t="n">
        <v>36000</v>
      </c>
      <c r="L1109" s="236" t="n">
        <v>6000</v>
      </c>
    </row>
    <row r="1110" ht="15" customHeight="1" s="153">
      <c r="A1110" s="306" t="inlineStr">
        <is>
          <t>03/02/2026</t>
        </is>
      </c>
      <c r="B1110" s="307" t="inlineStr">
        <is>
          <t>Febrero</t>
        </is>
      </c>
      <c r="C1110" s="310" t="inlineStr">
        <is>
          <t>FILOMENA</t>
        </is>
      </c>
      <c r="D1110" s="218" t="n">
        <v>1</v>
      </c>
      <c r="E1110" s="218" t="n"/>
      <c r="F1110" s="218" t="n"/>
      <c r="G1110" s="218" t="n"/>
      <c r="H1110" s="218" t="n"/>
      <c r="I1110" s="216" t="n">
        <v>18000</v>
      </c>
      <c r="J1110" s="309" t="n">
        <v>0</v>
      </c>
      <c r="K1110" s="309" t="n">
        <v>18000</v>
      </c>
      <c r="L1110" s="236" t="n">
        <v>3000</v>
      </c>
    </row>
    <row r="1111" ht="15" customHeight="1" s="153">
      <c r="A1111" s="306" t="inlineStr">
        <is>
          <t>05/02/2026</t>
        </is>
      </c>
      <c r="B1111" s="307" t="inlineStr">
        <is>
          <t>Febrero</t>
        </is>
      </c>
      <c r="C1111" s="310" t="inlineStr">
        <is>
          <t>FILOMENA</t>
        </is>
      </c>
      <c r="D1111" s="218" t="n">
        <v>2</v>
      </c>
      <c r="E1111" s="218" t="n"/>
      <c r="F1111" s="218" t="n"/>
      <c r="G1111" s="218" t="n"/>
      <c r="H1111" s="218" t="n"/>
      <c r="I1111" s="216" t="n">
        <v>36000</v>
      </c>
      <c r="J1111" s="309" t="n">
        <v>0</v>
      </c>
      <c r="K1111" s="309" t="n">
        <v>36000</v>
      </c>
      <c r="L1111" s="236" t="n">
        <v>6000</v>
      </c>
    </row>
    <row r="1112" ht="15" customHeight="1" s="153">
      <c r="A1112" s="306" t="inlineStr">
        <is>
          <t>06/02/2026</t>
        </is>
      </c>
      <c r="B1112" s="307" t="inlineStr">
        <is>
          <t>Febrero</t>
        </is>
      </c>
      <c r="C1112" s="310" t="inlineStr">
        <is>
          <t>FILOMENA</t>
        </is>
      </c>
      <c r="D1112" s="218" t="n">
        <v>1</v>
      </c>
      <c r="E1112" s="218" t="n"/>
      <c r="F1112" s="218" t="n"/>
      <c r="G1112" s="218" t="n"/>
      <c r="H1112" s="218" t="n"/>
      <c r="I1112" s="216" t="n">
        <v>18000</v>
      </c>
      <c r="J1112" s="309" t="n">
        <v>0</v>
      </c>
      <c r="K1112" s="309" t="n">
        <v>18000</v>
      </c>
      <c r="L1112" s="236" t="n">
        <v>3000</v>
      </c>
    </row>
    <row r="1113" ht="15" customHeight="1" s="153">
      <c r="A1113" s="306" t="inlineStr">
        <is>
          <t>07/02/2026</t>
        </is>
      </c>
      <c r="B1113" s="307" t="inlineStr">
        <is>
          <t>Febrero</t>
        </is>
      </c>
      <c r="C1113" s="310" t="inlineStr">
        <is>
          <t>FILOMENA</t>
        </is>
      </c>
      <c r="D1113" s="218" t="n">
        <v>1</v>
      </c>
      <c r="E1113" s="218" t="n"/>
      <c r="F1113" s="218" t="n"/>
      <c r="G1113" s="218" t="n"/>
      <c r="H1113" s="218" t="n"/>
      <c r="I1113" s="216" t="n">
        <v>18000</v>
      </c>
      <c r="J1113" s="309" t="n">
        <v>0</v>
      </c>
      <c r="K1113" s="309" t="n">
        <v>18000</v>
      </c>
      <c r="L1113" s="236" t="n">
        <v>3000</v>
      </c>
    </row>
    <row r="1114" ht="15" customHeight="1" s="153">
      <c r="A1114" s="306" t="inlineStr">
        <is>
          <t>09/02/2026</t>
        </is>
      </c>
      <c r="B1114" s="307" t="inlineStr">
        <is>
          <t>Febrero</t>
        </is>
      </c>
      <c r="C1114" s="310" t="inlineStr">
        <is>
          <t>FILOMENA</t>
        </is>
      </c>
      <c r="D1114" s="218" t="n">
        <v>1</v>
      </c>
      <c r="E1114" s="218" t="n"/>
      <c r="F1114" s="218" t="n"/>
      <c r="G1114" s="218" t="n"/>
      <c r="H1114" s="218" t="n"/>
      <c r="I1114" s="216" t="n">
        <v>18000</v>
      </c>
      <c r="J1114" s="309" t="n">
        <v>0</v>
      </c>
      <c r="K1114" s="309" t="n">
        <v>18000</v>
      </c>
      <c r="L1114" s="236" t="n">
        <v>3000</v>
      </c>
    </row>
    <row r="1115" ht="15" customHeight="1" s="153">
      <c r="A1115" s="306" t="inlineStr">
        <is>
          <t>11/02/2026</t>
        </is>
      </c>
      <c r="B1115" s="307" t="inlineStr">
        <is>
          <t>Febrero</t>
        </is>
      </c>
      <c r="C1115" s="310" t="inlineStr">
        <is>
          <t>FILOMENA</t>
        </is>
      </c>
      <c r="D1115" s="218" t="n">
        <v>1</v>
      </c>
      <c r="E1115" s="218" t="n"/>
      <c r="F1115" s="218" t="n"/>
      <c r="G1115" s="218" t="n"/>
      <c r="H1115" s="218" t="n"/>
      <c r="I1115" s="216" t="n">
        <v>18000</v>
      </c>
      <c r="J1115" s="309" t="n">
        <v>0</v>
      </c>
      <c r="K1115" s="309" t="n">
        <v>18000</v>
      </c>
      <c r="L1115" s="236" t="n">
        <v>3000</v>
      </c>
    </row>
    <row r="1116" ht="15" customHeight="1" s="153">
      <c r="A1116" s="306" t="inlineStr">
        <is>
          <t>13/02/2026</t>
        </is>
      </c>
      <c r="B1116" s="307" t="inlineStr">
        <is>
          <t>Febrero</t>
        </is>
      </c>
      <c r="C1116" s="310" t="inlineStr">
        <is>
          <t>FILOMENA</t>
        </is>
      </c>
      <c r="D1116" s="218" t="n">
        <v>3</v>
      </c>
      <c r="E1116" s="218" t="n"/>
      <c r="F1116" s="218" t="n"/>
      <c r="G1116" s="218" t="n"/>
      <c r="H1116" s="218" t="n"/>
      <c r="I1116" s="216" t="n">
        <v>54000</v>
      </c>
      <c r="J1116" s="309" t="n">
        <v>0</v>
      </c>
      <c r="K1116" s="309" t="n">
        <v>54000</v>
      </c>
      <c r="L1116" s="236" t="n">
        <v>9000</v>
      </c>
    </row>
    <row r="1117" ht="15" customHeight="1" s="153">
      <c r="A1117" s="306" t="inlineStr">
        <is>
          <t>15/02/2026</t>
        </is>
      </c>
      <c r="B1117" s="307" t="inlineStr">
        <is>
          <t>Febrero</t>
        </is>
      </c>
      <c r="C1117" s="310" t="inlineStr">
        <is>
          <t>FILOMENA</t>
        </is>
      </c>
      <c r="D1117" s="218" t="n">
        <v>1</v>
      </c>
      <c r="E1117" s="218" t="n"/>
      <c r="F1117" s="218" t="n"/>
      <c r="G1117" s="218" t="n"/>
      <c r="H1117" s="218" t="n"/>
      <c r="I1117" s="216" t="n">
        <v>18000</v>
      </c>
      <c r="J1117" s="309" t="n">
        <v>0</v>
      </c>
      <c r="K1117" s="309" t="n">
        <v>18000</v>
      </c>
      <c r="L1117" s="236" t="n">
        <v>3000</v>
      </c>
    </row>
    <row r="1118" ht="15" customHeight="1" s="153">
      <c r="A1118" s="306" t="inlineStr">
        <is>
          <t>17/02/2026</t>
        </is>
      </c>
      <c r="B1118" s="307" t="inlineStr">
        <is>
          <t>Febrero</t>
        </is>
      </c>
      <c r="C1118" s="310" t="inlineStr">
        <is>
          <t>FILOMENA</t>
        </is>
      </c>
      <c r="D1118" s="218" t="n">
        <v>2</v>
      </c>
      <c r="E1118" s="218" t="n"/>
      <c r="F1118" s="218" t="n"/>
      <c r="G1118" s="218" t="n"/>
      <c r="H1118" s="218" t="n"/>
      <c r="I1118" s="216" t="n">
        <v>36000</v>
      </c>
      <c r="J1118" s="309" t="n">
        <v>0</v>
      </c>
      <c r="K1118" s="309" t="n">
        <v>36000</v>
      </c>
      <c r="L1118" s="236" t="n">
        <v>6000</v>
      </c>
    </row>
    <row r="1119" ht="15" customHeight="1" s="153">
      <c r="A1119" s="306" t="inlineStr">
        <is>
          <t>20/02/2026</t>
        </is>
      </c>
      <c r="B1119" s="307" t="inlineStr">
        <is>
          <t>Febrero</t>
        </is>
      </c>
      <c r="C1119" s="310" t="inlineStr">
        <is>
          <t>FILOMENA</t>
        </is>
      </c>
      <c r="D1119" s="218" t="n">
        <v>1</v>
      </c>
      <c r="E1119" s="218" t="n"/>
      <c r="F1119" s="218" t="n"/>
      <c r="G1119" s="218" t="n"/>
      <c r="H1119" s="218" t="n"/>
      <c r="I1119" s="216" t="n">
        <v>19000</v>
      </c>
      <c r="J1119" s="309" t="n">
        <v>0</v>
      </c>
      <c r="K1119" s="309" t="n">
        <v>19000</v>
      </c>
      <c r="L1119" s="236" t="n">
        <v>4000</v>
      </c>
    </row>
    <row r="1120" ht="15" customHeight="1" s="153">
      <c r="A1120" s="306" t="inlineStr">
        <is>
          <t>21/02/2026</t>
        </is>
      </c>
      <c r="B1120" s="307" t="inlineStr">
        <is>
          <t>Febrero</t>
        </is>
      </c>
      <c r="C1120" s="310" t="inlineStr">
        <is>
          <t>FILOMENA</t>
        </is>
      </c>
      <c r="D1120" s="218" t="n">
        <v>2</v>
      </c>
      <c r="E1120" s="218" t="n"/>
      <c r="F1120" s="218" t="n"/>
      <c r="G1120" s="218" t="n"/>
      <c r="H1120" s="218" t="n"/>
      <c r="I1120" s="216" t="n">
        <v>38000</v>
      </c>
      <c r="J1120" s="309" t="n">
        <v>0</v>
      </c>
      <c r="K1120" s="309" t="n">
        <v>38000</v>
      </c>
      <c r="L1120" s="236" t="n">
        <v>8000</v>
      </c>
    </row>
    <row r="1121" ht="15" customHeight="1" s="153">
      <c r="A1121" s="306" t="inlineStr">
        <is>
          <t>22/02/2026</t>
        </is>
      </c>
      <c r="B1121" s="307" t="inlineStr">
        <is>
          <t>Febrero</t>
        </is>
      </c>
      <c r="C1121" s="310" t="inlineStr">
        <is>
          <t>FILOMENA</t>
        </is>
      </c>
      <c r="D1121" s="218" t="n">
        <v>1</v>
      </c>
      <c r="E1121" s="218" t="n"/>
      <c r="F1121" s="218" t="n"/>
      <c r="G1121" s="218" t="n"/>
      <c r="H1121" s="218" t="n"/>
      <c r="I1121" s="216" t="n">
        <v>19000</v>
      </c>
      <c r="J1121" s="309" t="n">
        <v>0</v>
      </c>
      <c r="K1121" s="309" t="n">
        <v>19000</v>
      </c>
      <c r="L1121" s="236" t="n">
        <v>4000</v>
      </c>
    </row>
    <row r="1122" ht="15" customHeight="1" s="153">
      <c r="A1122" s="306" t="inlineStr">
        <is>
          <t>24/02/2026</t>
        </is>
      </c>
      <c r="B1122" s="307" t="inlineStr">
        <is>
          <t>Febrero</t>
        </is>
      </c>
      <c r="C1122" s="310" t="inlineStr">
        <is>
          <t>FILOMENA</t>
        </is>
      </c>
      <c r="D1122" s="218" t="n">
        <v>1</v>
      </c>
      <c r="E1122" s="218" t="n"/>
      <c r="F1122" s="218" t="n"/>
      <c r="G1122" s="218" t="n"/>
      <c r="H1122" s="218" t="n"/>
      <c r="I1122" s="216" t="n">
        <v>19000</v>
      </c>
      <c r="J1122" s="309" t="n">
        <v>0</v>
      </c>
      <c r="K1122" s="309" t="n">
        <v>19000</v>
      </c>
      <c r="L1122" s="236" t="n">
        <v>4000</v>
      </c>
    </row>
    <row r="1123" ht="15" customHeight="1" s="153">
      <c r="A1123" s="306" t="inlineStr">
        <is>
          <t>28/02/2026</t>
        </is>
      </c>
      <c r="B1123" s="307" t="inlineStr">
        <is>
          <t>Febrero</t>
        </is>
      </c>
      <c r="C1123" s="310" t="inlineStr">
        <is>
          <t>FILOMENA</t>
        </is>
      </c>
      <c r="D1123" s="218" t="n">
        <v>2</v>
      </c>
      <c r="E1123" s="218" t="n"/>
      <c r="F1123" s="218" t="n"/>
      <c r="G1123" s="218" t="n"/>
      <c r="H1123" s="218" t="n"/>
      <c r="I1123" s="216" t="n">
        <v>38000</v>
      </c>
      <c r="J1123" s="309" t="n">
        <v>0</v>
      </c>
      <c r="K1123" s="309" t="n">
        <v>38000</v>
      </c>
      <c r="L1123" s="236" t="n">
        <v>8000</v>
      </c>
    </row>
    <row r="1124" ht="15" customHeight="1" s="153">
      <c r="A1124" s="306" t="inlineStr">
        <is>
          <t>02/03/2026</t>
        </is>
      </c>
      <c r="B1124" s="307" t="inlineStr">
        <is>
          <t>Marzo</t>
        </is>
      </c>
      <c r="C1124" s="310" t="inlineStr">
        <is>
          <t>FILOMENA</t>
        </is>
      </c>
      <c r="D1124" s="218" t="n">
        <v>2</v>
      </c>
      <c r="E1124" s="218" t="n"/>
      <c r="F1124" s="218" t="n"/>
      <c r="G1124" s="218" t="n"/>
      <c r="H1124" s="218" t="n"/>
      <c r="I1124" s="216" t="n">
        <v>38000</v>
      </c>
      <c r="J1124" s="309" t="n">
        <v>38000</v>
      </c>
      <c r="K1124" s="309" t="n">
        <v>0</v>
      </c>
      <c r="L1124" s="236" t="n">
        <v>8000</v>
      </c>
    </row>
    <row r="1125" ht="15" customHeight="1" s="153">
      <c r="A1125" s="306" t="inlineStr">
        <is>
          <t>05/03/2026</t>
        </is>
      </c>
      <c r="B1125" s="307" t="inlineStr">
        <is>
          <t>Marzo</t>
        </is>
      </c>
      <c r="C1125" s="310" t="inlineStr">
        <is>
          <t>FILOMENA</t>
        </is>
      </c>
      <c r="D1125" s="218" t="n">
        <v>1</v>
      </c>
      <c r="E1125" s="218" t="n"/>
      <c r="F1125" s="218" t="n"/>
      <c r="G1125" s="218" t="n"/>
      <c r="H1125" s="218" t="n"/>
      <c r="I1125" s="216" t="n">
        <v>19000</v>
      </c>
      <c r="J1125" s="309" t="n">
        <v>0</v>
      </c>
      <c r="K1125" s="309" t="n">
        <v>19000</v>
      </c>
      <c r="L1125" s="236" t="n">
        <v>4000</v>
      </c>
    </row>
    <row r="1126" ht="15" customHeight="1" s="153">
      <c r="A1126" s="306" t="inlineStr">
        <is>
          <t>06/03/2026</t>
        </is>
      </c>
      <c r="B1126" s="307" t="inlineStr">
        <is>
          <t>Marzo</t>
        </is>
      </c>
      <c r="C1126" s="310" t="inlineStr">
        <is>
          <t>FILOMENA</t>
        </is>
      </c>
      <c r="D1126" s="218" t="n">
        <v>1</v>
      </c>
      <c r="E1126" s="218" t="n"/>
      <c r="F1126" s="218" t="n"/>
      <c r="G1126" s="218" t="n"/>
      <c r="H1126" s="218" t="n"/>
      <c r="I1126" s="216" t="n">
        <v>19000</v>
      </c>
      <c r="J1126" s="309" t="n">
        <v>0</v>
      </c>
      <c r="K1126" s="309" t="n">
        <v>19000</v>
      </c>
      <c r="L1126" s="236" t="n">
        <v>4000</v>
      </c>
    </row>
    <row r="1127" ht="15" customHeight="1" s="153">
      <c r="A1127" s="306" t="inlineStr">
        <is>
          <t>07/03/2026</t>
        </is>
      </c>
      <c r="B1127" s="307" t="inlineStr">
        <is>
          <t>Marzo</t>
        </is>
      </c>
      <c r="C1127" s="310" t="inlineStr">
        <is>
          <t>FILOMENA</t>
        </is>
      </c>
      <c r="D1127" s="218" t="n">
        <v>2</v>
      </c>
      <c r="E1127" s="218" t="n"/>
      <c r="F1127" s="218" t="n"/>
      <c r="G1127" s="218" t="n"/>
      <c r="H1127" s="218" t="n"/>
      <c r="I1127" s="216" t="n">
        <v>38000</v>
      </c>
      <c r="J1127" s="309" t="n">
        <v>0</v>
      </c>
      <c r="K1127" s="309" t="n">
        <v>38000</v>
      </c>
      <c r="L1127" s="236" t="n">
        <v>8000</v>
      </c>
    </row>
    <row r="1128" ht="15" customHeight="1" s="153">
      <c r="A1128" s="306" t="inlineStr">
        <is>
          <t>10/03/2026</t>
        </is>
      </c>
      <c r="B1128" s="307" t="inlineStr">
        <is>
          <t>Marzo</t>
        </is>
      </c>
      <c r="C1128" s="310" t="inlineStr">
        <is>
          <t>FILOMENA</t>
        </is>
      </c>
      <c r="D1128" s="218" t="n">
        <v>2</v>
      </c>
      <c r="E1128" s="218" t="n"/>
      <c r="F1128" s="218" t="n"/>
      <c r="G1128" s="218" t="n"/>
      <c r="H1128" s="218" t="n"/>
      <c r="I1128" s="216" t="n">
        <v>38000</v>
      </c>
      <c r="J1128" s="309" t="n">
        <v>0</v>
      </c>
      <c r="K1128" s="309" t="n">
        <v>38000</v>
      </c>
      <c r="L1128" s="236" t="n">
        <v>8000</v>
      </c>
    </row>
    <row r="1129" ht="15" customHeight="1" s="153">
      <c r="A1129" s="306" t="inlineStr">
        <is>
          <t>14/03/2026</t>
        </is>
      </c>
      <c r="B1129" s="307" t="inlineStr">
        <is>
          <t>Marzo</t>
        </is>
      </c>
      <c r="C1129" s="310" t="inlineStr">
        <is>
          <t>FILOMENA</t>
        </is>
      </c>
      <c r="D1129" s="218" t="n">
        <v>1</v>
      </c>
      <c r="E1129" s="218" t="n"/>
      <c r="F1129" s="218" t="n"/>
      <c r="G1129" s="218" t="n"/>
      <c r="H1129" s="218" t="n"/>
      <c r="I1129" s="216" t="n">
        <v>20500</v>
      </c>
      <c r="J1129" s="309" t="n">
        <v>0</v>
      </c>
      <c r="K1129" s="309" t="n">
        <v>20500</v>
      </c>
      <c r="L1129" s="236" t="n">
        <v>5500</v>
      </c>
    </row>
    <row r="1130" ht="15" customHeight="1" s="153">
      <c r="A1130" s="306" t="inlineStr">
        <is>
          <t>15/03/2026</t>
        </is>
      </c>
      <c r="B1130" s="307" t="inlineStr">
        <is>
          <t>Marzo</t>
        </is>
      </c>
      <c r="C1130" s="310" t="inlineStr">
        <is>
          <t>FILOMENA</t>
        </is>
      </c>
      <c r="D1130" s="218" t="n">
        <v>2</v>
      </c>
      <c r="E1130" s="218" t="n"/>
      <c r="F1130" s="218" t="n"/>
      <c r="G1130" s="218" t="n"/>
      <c r="H1130" s="218" t="n"/>
      <c r="I1130" s="216" t="n">
        <v>41000</v>
      </c>
      <c r="J1130" s="309" t="n">
        <v>0</v>
      </c>
      <c r="K1130" s="309" t="n">
        <v>41000</v>
      </c>
      <c r="L1130" s="236" t="n">
        <v>11000</v>
      </c>
    </row>
    <row r="1131" ht="15" customHeight="1" s="153">
      <c r="A1131" s="306" t="inlineStr">
        <is>
          <t>18/03/2026</t>
        </is>
      </c>
      <c r="B1131" s="307" t="inlineStr">
        <is>
          <t>Marzo</t>
        </is>
      </c>
      <c r="C1131" s="310" t="inlineStr">
        <is>
          <t>FILOMENA</t>
        </is>
      </c>
      <c r="D1131" s="218" t="n">
        <v>2</v>
      </c>
      <c r="E1131" s="218" t="n"/>
      <c r="F1131" s="218" t="n"/>
      <c r="G1131" s="218" t="n"/>
      <c r="H1131" s="218" t="n"/>
      <c r="I1131" s="216" t="n">
        <v>41000</v>
      </c>
      <c r="J1131" s="309" t="n">
        <v>0</v>
      </c>
      <c r="K1131" s="309" t="n">
        <v>41000</v>
      </c>
      <c r="L1131" s="236" t="n">
        <v>11000</v>
      </c>
    </row>
    <row r="1132" ht="15" customHeight="1" s="153">
      <c r="A1132" s="306" t="inlineStr">
        <is>
          <t>20/03/2026</t>
        </is>
      </c>
      <c r="B1132" s="307" t="inlineStr">
        <is>
          <t>Marzo</t>
        </is>
      </c>
      <c r="C1132" s="310" t="inlineStr">
        <is>
          <t>FILOMENA</t>
        </is>
      </c>
      <c r="D1132" s="218" t="n">
        <v>2</v>
      </c>
      <c r="E1132" s="218" t="n"/>
      <c r="F1132" s="218" t="n"/>
      <c r="G1132" s="218" t="n"/>
      <c r="H1132" s="218" t="n"/>
      <c r="I1132" s="216" t="n">
        <v>41000</v>
      </c>
      <c r="J1132" s="309" t="n">
        <v>0</v>
      </c>
      <c r="K1132" s="309" t="n">
        <v>41000</v>
      </c>
      <c r="L1132" s="236" t="n">
        <v>11000</v>
      </c>
    </row>
    <row r="1133" ht="15" customHeight="1" s="153">
      <c r="A1133" s="306" t="inlineStr">
        <is>
          <t>22/03/2026</t>
        </is>
      </c>
      <c r="B1133" s="307" t="inlineStr">
        <is>
          <t>Marzo</t>
        </is>
      </c>
      <c r="C1133" s="310" t="inlineStr">
        <is>
          <t>FILOMENA</t>
        </is>
      </c>
      <c r="D1133" s="218" t="n">
        <v>1</v>
      </c>
      <c r="E1133" s="218" t="n"/>
      <c r="F1133" s="218" t="n"/>
      <c r="G1133" s="218" t="n"/>
      <c r="H1133" s="218" t="n"/>
      <c r="I1133" s="216" t="n">
        <v>20500</v>
      </c>
      <c r="J1133" s="309" t="n">
        <v>0</v>
      </c>
      <c r="K1133" s="309" t="n">
        <v>20500</v>
      </c>
      <c r="L1133" s="236" t="n">
        <v>5500</v>
      </c>
    </row>
    <row r="1134" ht="15" customHeight="1" s="153">
      <c r="A1134" s="306" t="inlineStr">
        <is>
          <t>24/03/2026</t>
        </is>
      </c>
      <c r="B1134" s="307" t="inlineStr">
        <is>
          <t>Marzo</t>
        </is>
      </c>
      <c r="C1134" s="310" t="inlineStr">
        <is>
          <t>FILOMENA</t>
        </is>
      </c>
      <c r="D1134" s="218" t="n">
        <v>2</v>
      </c>
      <c r="E1134" s="218" t="n"/>
      <c r="F1134" s="218" t="n"/>
      <c r="G1134" s="218" t="n"/>
      <c r="H1134" s="218" t="n"/>
      <c r="I1134" s="216" t="n">
        <v>41000</v>
      </c>
      <c r="J1134" s="309" t="n">
        <v>0</v>
      </c>
      <c r="K1134" s="309" t="n">
        <v>41000</v>
      </c>
      <c r="L1134" s="236" t="n">
        <v>11000</v>
      </c>
    </row>
    <row r="1135" ht="15" customHeight="1" s="153">
      <c r="A1135" s="306" t="inlineStr">
        <is>
          <t>01/04/2026</t>
        </is>
      </c>
      <c r="B1135" s="307" t="inlineStr">
        <is>
          <t>Abril</t>
        </is>
      </c>
      <c r="C1135" s="310" t="inlineStr">
        <is>
          <t>FILOMENA</t>
        </is>
      </c>
      <c r="D1135" s="218" t="n">
        <v>2</v>
      </c>
      <c r="E1135" s="218" t="n"/>
      <c r="F1135" s="218" t="n"/>
      <c r="G1135" s="218" t="n"/>
      <c r="H1135" s="218" t="n"/>
      <c r="I1135" s="216" t="n">
        <v>46000</v>
      </c>
      <c r="J1135" s="309" t="n">
        <v>0</v>
      </c>
      <c r="K1135" s="309" t="n">
        <v>46000</v>
      </c>
      <c r="L1135" s="236" t="n">
        <v>16000</v>
      </c>
    </row>
    <row r="1136" ht="15" customHeight="1" s="153">
      <c r="A1136" s="306" t="inlineStr">
        <is>
          <t>04/04/2026</t>
        </is>
      </c>
      <c r="B1136" s="307" t="inlineStr">
        <is>
          <t>Abril</t>
        </is>
      </c>
      <c r="C1136" s="310" t="inlineStr">
        <is>
          <t>FILOMENA</t>
        </is>
      </c>
      <c r="D1136" s="218" t="n">
        <v>2</v>
      </c>
      <c r="E1136" s="218" t="n"/>
      <c r="F1136" s="218" t="n"/>
      <c r="G1136" s="218" t="n"/>
      <c r="H1136" s="218" t="n"/>
      <c r="I1136" s="216" t="n">
        <v>46000</v>
      </c>
      <c r="J1136" s="309" t="n">
        <v>0</v>
      </c>
      <c r="K1136" s="309" t="n">
        <v>46000</v>
      </c>
      <c r="L1136" s="236" t="n">
        <v>16000</v>
      </c>
    </row>
    <row r="1137" ht="15" customHeight="1" s="153">
      <c r="A1137" s="306" t="inlineStr">
        <is>
          <t>07/04/2026</t>
        </is>
      </c>
      <c r="B1137" s="307" t="inlineStr">
        <is>
          <t>Abril</t>
        </is>
      </c>
      <c r="C1137" s="310" t="inlineStr">
        <is>
          <t>FILOMENA</t>
        </is>
      </c>
      <c r="D1137" s="218" t="n">
        <v>1</v>
      </c>
      <c r="E1137" s="218" t="n"/>
      <c r="F1137" s="218" t="n"/>
      <c r="G1137" s="218" t="n"/>
      <c r="H1137" s="218" t="n"/>
      <c r="I1137" s="216" t="n">
        <v>23000</v>
      </c>
      <c r="J1137" s="309" t="n">
        <v>0</v>
      </c>
      <c r="K1137" s="309" t="n">
        <v>23000</v>
      </c>
      <c r="L1137" s="236" t="n">
        <v>8000</v>
      </c>
    </row>
    <row r="1138" ht="15" customHeight="1" s="153">
      <c r="A1138" s="306" t="inlineStr">
        <is>
          <t>08/04/2026</t>
        </is>
      </c>
      <c r="B1138" s="307" t="inlineStr">
        <is>
          <t>Abril</t>
        </is>
      </c>
      <c r="C1138" s="310" t="inlineStr">
        <is>
          <t>FILOMENA</t>
        </is>
      </c>
      <c r="D1138" s="218" t="n">
        <v>1</v>
      </c>
      <c r="E1138" s="218" t="n"/>
      <c r="F1138" s="218" t="n"/>
      <c r="G1138" s="218" t="n"/>
      <c r="H1138" s="218" t="n"/>
      <c r="I1138" s="216" t="n">
        <v>23000</v>
      </c>
      <c r="J1138" s="309" t="n">
        <v>0</v>
      </c>
      <c r="K1138" s="309" t="n">
        <v>23000</v>
      </c>
      <c r="L1138" s="236" t="n">
        <v>8000</v>
      </c>
    </row>
    <row r="1139" ht="15" customHeight="1" s="153">
      <c r="A1139" s="306" t="inlineStr">
        <is>
          <t>10/04/2026</t>
        </is>
      </c>
      <c r="B1139" s="307" t="inlineStr">
        <is>
          <t>Abril</t>
        </is>
      </c>
      <c r="C1139" s="310" t="inlineStr">
        <is>
          <t>FILOMENA</t>
        </is>
      </c>
      <c r="D1139" s="218" t="n">
        <v>2</v>
      </c>
      <c r="E1139" s="218" t="n"/>
      <c r="F1139" s="218" t="n"/>
      <c r="G1139" s="218" t="n"/>
      <c r="H1139" s="218" t="n"/>
      <c r="I1139" s="216" t="n">
        <v>46000</v>
      </c>
      <c r="J1139" s="309" t="n">
        <v>0</v>
      </c>
      <c r="K1139" s="309" t="n">
        <v>46000</v>
      </c>
      <c r="L1139" s="236" t="n">
        <v>16000</v>
      </c>
    </row>
    <row r="1140" ht="15" customHeight="1" s="153">
      <c r="A1140" s="306" t="inlineStr">
        <is>
          <t>11/04/2026</t>
        </is>
      </c>
      <c r="B1140" s="307" t="inlineStr">
        <is>
          <t>Abril</t>
        </is>
      </c>
      <c r="C1140" s="310" t="inlineStr">
        <is>
          <t>FILOMENA</t>
        </is>
      </c>
      <c r="D1140" s="218" t="n">
        <v>2</v>
      </c>
      <c r="E1140" s="218" t="n"/>
      <c r="F1140" s="218" t="n"/>
      <c r="G1140" s="218" t="n"/>
      <c r="H1140" s="218" t="n"/>
      <c r="I1140" s="216" t="n">
        <v>46000</v>
      </c>
      <c r="J1140" s="309" t="n">
        <v>0</v>
      </c>
      <c r="K1140" s="309" t="n">
        <v>46000</v>
      </c>
      <c r="L1140" s="236" t="n">
        <v>16000</v>
      </c>
    </row>
    <row r="1141" ht="15" customHeight="1" s="153">
      <c r="A1141" s="306" t="inlineStr">
        <is>
          <t>13/04/2026</t>
        </is>
      </c>
      <c r="B1141" s="307" t="inlineStr">
        <is>
          <t>Abril</t>
        </is>
      </c>
      <c r="C1141" s="310" t="inlineStr">
        <is>
          <t>FILOMENA</t>
        </is>
      </c>
      <c r="D1141" s="218" t="n">
        <v>2</v>
      </c>
      <c r="E1141" s="218" t="n"/>
      <c r="F1141" s="218" t="n"/>
      <c r="G1141" s="218" t="n"/>
      <c r="H1141" s="218" t="n"/>
      <c r="I1141" s="216" t="n">
        <v>46000</v>
      </c>
      <c r="J1141" s="309" t="n">
        <v>0</v>
      </c>
      <c r="K1141" s="309" t="n">
        <v>46000</v>
      </c>
      <c r="L1141" s="236" t="n">
        <v>16000</v>
      </c>
    </row>
    <row r="1142" ht="15" customHeight="1" s="153">
      <c r="A1142" s="306" t="inlineStr">
        <is>
          <t>17/04/2026</t>
        </is>
      </c>
      <c r="B1142" s="307" t="inlineStr">
        <is>
          <t>Abril</t>
        </is>
      </c>
      <c r="C1142" s="310" t="inlineStr">
        <is>
          <t>FILOMENA</t>
        </is>
      </c>
      <c r="D1142" s="218" t="n">
        <v>3</v>
      </c>
      <c r="E1142" s="218" t="n"/>
      <c r="F1142" s="218" t="n"/>
      <c r="G1142" s="218" t="n"/>
      <c r="H1142" s="218" t="n"/>
      <c r="I1142" s="216" t="n">
        <v>69000</v>
      </c>
      <c r="J1142" s="309" t="n">
        <v>0</v>
      </c>
      <c r="K1142" s="309" t="n">
        <v>69000</v>
      </c>
      <c r="L1142" s="236" t="n">
        <v>24000</v>
      </c>
    </row>
    <row r="1143" ht="15" customHeight="1" s="153">
      <c r="A1143" s="306" t="inlineStr">
        <is>
          <t>18/04/2026</t>
        </is>
      </c>
      <c r="B1143" s="307" t="inlineStr">
        <is>
          <t>Abril</t>
        </is>
      </c>
      <c r="C1143" s="310" t="inlineStr">
        <is>
          <t>FILOMENA</t>
        </is>
      </c>
      <c r="D1143" s="218" t="n">
        <v>2</v>
      </c>
      <c r="E1143" s="218" t="n"/>
      <c r="F1143" s="218" t="n"/>
      <c r="G1143" s="218" t="n"/>
      <c r="H1143" s="218" t="n"/>
      <c r="I1143" s="216" t="n">
        <v>46000</v>
      </c>
      <c r="J1143" s="309" t="n">
        <v>0</v>
      </c>
      <c r="K1143" s="309" t="n">
        <v>46000</v>
      </c>
      <c r="L1143" s="236" t="n">
        <v>16000</v>
      </c>
    </row>
    <row r="1144" ht="15" customHeight="1" s="153">
      <c r="A1144" s="306" t="inlineStr">
        <is>
          <t>20/04/2026</t>
        </is>
      </c>
      <c r="B1144" s="307" t="inlineStr">
        <is>
          <t>Abril</t>
        </is>
      </c>
      <c r="C1144" s="310" t="inlineStr">
        <is>
          <t>FILOMENA</t>
        </is>
      </c>
      <c r="D1144" s="218" t="n">
        <v>2</v>
      </c>
      <c r="E1144" s="218" t="n"/>
      <c r="F1144" s="218" t="n"/>
      <c r="G1144" s="218" t="n"/>
      <c r="H1144" s="218" t="n"/>
      <c r="I1144" s="216" t="n">
        <v>46000</v>
      </c>
      <c r="J1144" s="309" t="n">
        <v>0</v>
      </c>
      <c r="K1144" s="309" t="n">
        <v>46000</v>
      </c>
      <c r="L1144" s="236" t="n">
        <v>16000</v>
      </c>
    </row>
    <row r="1145" ht="15" customHeight="1" s="153">
      <c r="A1145" s="302" t="inlineStr">
        <is>
          <t>19/01/2026</t>
        </is>
      </c>
      <c r="B1145" s="303" t="inlineStr">
        <is>
          <t>Enero</t>
        </is>
      </c>
      <c r="C1145" s="311" t="inlineStr">
        <is>
          <t>FLORENCIO FERNANDEZ 6033</t>
        </is>
      </c>
      <c r="D1145" s="225" t="n"/>
      <c r="E1145" s="225" t="n"/>
      <c r="F1145" s="225" t="n">
        <v>1</v>
      </c>
      <c r="G1145" s="225" t="n"/>
      <c r="H1145" s="225" t="n"/>
      <c r="I1145" s="223" t="n">
        <v>75000</v>
      </c>
      <c r="J1145" s="305" t="n">
        <v>75000</v>
      </c>
      <c r="K1145" s="305" t="n">
        <v>0</v>
      </c>
      <c r="L1145" s="224" t="n">
        <v>15000</v>
      </c>
    </row>
    <row r="1146" ht="15" customHeight="1" s="153">
      <c r="A1146" s="306" t="inlineStr">
        <is>
          <t>22/03/2026</t>
        </is>
      </c>
      <c r="B1146" s="307" t="inlineStr">
        <is>
          <t>Marzo</t>
        </is>
      </c>
      <c r="C1146" s="310" t="inlineStr">
        <is>
          <t>FLORENCIO SANCHEZ 4699</t>
        </is>
      </c>
      <c r="D1146" s="218" t="n">
        <v>1</v>
      </c>
      <c r="E1146" s="218" t="n"/>
      <c r="F1146" s="218" t="n"/>
      <c r="G1146" s="218" t="n"/>
      <c r="H1146" s="218" t="n"/>
      <c r="I1146" s="216" t="n">
        <v>23500</v>
      </c>
      <c r="J1146" s="309" t="n">
        <v>23500</v>
      </c>
      <c r="K1146" s="309" t="n">
        <v>0</v>
      </c>
      <c r="L1146" s="236" t="n">
        <v>8500</v>
      </c>
    </row>
    <row r="1147" ht="15" customHeight="1" s="153">
      <c r="A1147" s="302" t="inlineStr">
        <is>
          <t>19/03/2026</t>
        </is>
      </c>
      <c r="B1147" s="303" t="inlineStr">
        <is>
          <t>Marzo</t>
        </is>
      </c>
      <c r="C1147" s="311" t="inlineStr">
        <is>
          <t>FLORES 1 MON 5 ADENTRO</t>
        </is>
      </c>
      <c r="D1147" s="225" t="n">
        <v>1</v>
      </c>
      <c r="E1147" s="225" t="n"/>
      <c r="F1147" s="225" t="n"/>
      <c r="G1147" s="225" t="n"/>
      <c r="H1147" s="225" t="n"/>
      <c r="I1147" s="223" t="n">
        <v>24500</v>
      </c>
      <c r="J1147" s="305" t="n">
        <v>24500</v>
      </c>
      <c r="K1147" s="305" t="n">
        <v>0</v>
      </c>
      <c r="L1147" s="224" t="n">
        <v>9500</v>
      </c>
    </row>
    <row r="1148" ht="15" customHeight="1" s="153">
      <c r="A1148" s="306" t="inlineStr">
        <is>
          <t>04/04/2026</t>
        </is>
      </c>
      <c r="B1148" s="307" t="inlineStr">
        <is>
          <t>Abril</t>
        </is>
      </c>
      <c r="C1148" s="310" t="inlineStr">
        <is>
          <t>FLORES 2 CAS A75</t>
        </is>
      </c>
      <c r="D1148" s="218" t="n">
        <v>1</v>
      </c>
      <c r="E1148" s="218" t="n"/>
      <c r="F1148" s="218" t="n"/>
      <c r="G1148" s="218" t="n"/>
      <c r="H1148" s="218" t="n"/>
      <c r="I1148" s="216" t="n">
        <v>27000</v>
      </c>
      <c r="J1148" s="309" t="n">
        <v>27000</v>
      </c>
      <c r="K1148" s="309" t="n">
        <v>0</v>
      </c>
      <c r="L1148" s="236" t="n">
        <v>12000</v>
      </c>
    </row>
    <row r="1149" ht="15" customHeight="1" s="153">
      <c r="A1149" s="302" t="inlineStr">
        <is>
          <t>07/02/2026</t>
        </is>
      </c>
      <c r="B1149" s="303" t="inlineStr">
        <is>
          <t>Febrero</t>
        </is>
      </c>
      <c r="C1149" s="311" t="inlineStr">
        <is>
          <t>FLORES 2 TORRE 8</t>
        </is>
      </c>
      <c r="D1149" s="225" t="n">
        <v>1</v>
      </c>
      <c r="E1149" s="225" t="n"/>
      <c r="F1149" s="225" t="n"/>
      <c r="G1149" s="225" t="n"/>
      <c r="H1149" s="225" t="n"/>
      <c r="I1149" s="223" t="n">
        <v>22000</v>
      </c>
      <c r="J1149" s="305" t="n">
        <v>22000</v>
      </c>
      <c r="K1149" s="305" t="n">
        <v>0</v>
      </c>
      <c r="L1149" s="224" t="n">
        <v>7000</v>
      </c>
    </row>
    <row r="1150" ht="15" customHeight="1" s="153">
      <c r="A1150" s="306" t="inlineStr">
        <is>
          <t>27/01/2026</t>
        </is>
      </c>
      <c r="B1150" s="307" t="inlineStr">
        <is>
          <t>Enero</t>
        </is>
      </c>
      <c r="C1150" s="310" t="inlineStr">
        <is>
          <t>FLORES 22 CASA 75</t>
        </is>
      </c>
      <c r="D1150" s="218" t="n">
        <v>1</v>
      </c>
      <c r="E1150" s="218" t="n"/>
      <c r="F1150" s="218" t="n"/>
      <c r="G1150" s="218" t="n"/>
      <c r="H1150" s="218" t="n"/>
      <c r="I1150" s="216" t="n">
        <v>22000</v>
      </c>
      <c r="J1150" s="309" t="n">
        <v>22000</v>
      </c>
      <c r="K1150" s="309" t="n">
        <v>0</v>
      </c>
      <c r="L1150" s="236" t="n">
        <v>7000</v>
      </c>
    </row>
    <row r="1151" ht="15" customHeight="1" s="153">
      <c r="A1151" s="302" t="inlineStr">
        <is>
          <t>24/02/2026</t>
        </is>
      </c>
      <c r="B1151" s="303" t="inlineStr">
        <is>
          <t>Febrero</t>
        </is>
      </c>
      <c r="C1151" s="311" t="inlineStr">
        <is>
          <t>FORMOSA 6058</t>
        </is>
      </c>
      <c r="D1151" s="225" t="n">
        <v>1</v>
      </c>
      <c r="E1151" s="225" t="n"/>
      <c r="F1151" s="225" t="n"/>
      <c r="G1151" s="225" t="n"/>
      <c r="H1151" s="225" t="n">
        <v>3</v>
      </c>
      <c r="I1151" s="223" t="n">
        <v>41000</v>
      </c>
      <c r="J1151" s="305" t="n">
        <v>41000</v>
      </c>
      <c r="K1151" s="305" t="n">
        <v>0</v>
      </c>
      <c r="L1151" s="224" t="n">
        <v>23450</v>
      </c>
    </row>
    <row r="1152" ht="15" customHeight="1" s="153">
      <c r="A1152" s="302" t="inlineStr">
        <is>
          <t>10/04/2026</t>
        </is>
      </c>
      <c r="B1152" s="303" t="inlineStr">
        <is>
          <t>Abril</t>
        </is>
      </c>
      <c r="C1152" s="311" t="inlineStr">
        <is>
          <t>FORMOSA 6058</t>
        </is>
      </c>
      <c r="D1152" s="225" t="n">
        <v>1</v>
      </c>
      <c r="E1152" s="225" t="n"/>
      <c r="F1152" s="225" t="n"/>
      <c r="G1152" s="225" t="n"/>
      <c r="H1152" s="225" t="n">
        <v>3</v>
      </c>
      <c r="I1152" s="223" t="n">
        <v>45000</v>
      </c>
      <c r="J1152" s="305" t="n">
        <v>45000</v>
      </c>
      <c r="K1152" s="305" t="n">
        <v>0</v>
      </c>
      <c r="L1152" s="224" t="n">
        <v>27450</v>
      </c>
    </row>
    <row r="1153" ht="15" customHeight="1" s="153">
      <c r="A1153" s="306" t="inlineStr">
        <is>
          <t>30/01/2026</t>
        </is>
      </c>
      <c r="B1153" s="307" t="inlineStr">
        <is>
          <t>Enero</t>
        </is>
      </c>
      <c r="C1153" s="310" t="inlineStr">
        <is>
          <t>FORMOSOA 6058</t>
        </is>
      </c>
      <c r="D1153" s="218" t="n">
        <v>1</v>
      </c>
      <c r="E1153" s="218" t="n"/>
      <c r="F1153" s="218" t="n"/>
      <c r="G1153" s="218" t="n"/>
      <c r="H1153" s="218" t="n">
        <v>3</v>
      </c>
      <c r="I1153" s="216" t="n">
        <v>37900</v>
      </c>
      <c r="J1153" s="309" t="n">
        <v>37900</v>
      </c>
      <c r="K1153" s="309" t="n">
        <v>0</v>
      </c>
      <c r="L1153" s="236" t="n">
        <v>20350</v>
      </c>
    </row>
    <row r="1154" ht="15" customHeight="1" s="153">
      <c r="A1154" s="302" t="inlineStr">
        <is>
          <t>11/02/2026</t>
        </is>
      </c>
      <c r="B1154" s="303" t="inlineStr">
        <is>
          <t>Febrero</t>
        </is>
      </c>
      <c r="C1154" s="311" t="inlineStr">
        <is>
          <t>FRANCAI 2247</t>
        </is>
      </c>
      <c r="D1154" s="225" t="n">
        <v>1</v>
      </c>
      <c r="E1154" s="225" t="n"/>
      <c r="F1154" s="225" t="n"/>
      <c r="G1154" s="225" t="n"/>
      <c r="H1154" s="225" t="n"/>
      <c r="I1154" s="223" t="n">
        <v>22000</v>
      </c>
      <c r="J1154" s="305" t="n">
        <v>0</v>
      </c>
      <c r="K1154" s="305" t="n">
        <v>22000</v>
      </c>
      <c r="L1154" s="224" t="n">
        <v>7000</v>
      </c>
    </row>
    <row r="1155" ht="15" customHeight="1" s="153">
      <c r="A1155" s="306" t="inlineStr">
        <is>
          <t>04/04/2026</t>
        </is>
      </c>
      <c r="B1155" s="307" t="inlineStr">
        <is>
          <t>Abril</t>
        </is>
      </c>
      <c r="C1155" s="310" t="inlineStr">
        <is>
          <t>FRANCIA 1047</t>
        </is>
      </c>
      <c r="D1155" s="218" t="n">
        <v>1</v>
      </c>
      <c r="E1155" s="218" t="n"/>
      <c r="F1155" s="218" t="n"/>
      <c r="G1155" s="218" t="n"/>
      <c r="H1155" s="218" t="n"/>
      <c r="I1155" s="216" t="n">
        <v>26000</v>
      </c>
      <c r="J1155" s="309" t="n">
        <v>26000</v>
      </c>
      <c r="K1155" s="309" t="n">
        <v>0</v>
      </c>
      <c r="L1155" s="236" t="n">
        <v>11000</v>
      </c>
    </row>
    <row r="1156" ht="15" customHeight="1" s="153">
      <c r="A1156" s="302" t="inlineStr">
        <is>
          <t>15/03/2026</t>
        </is>
      </c>
      <c r="B1156" s="303" t="inlineStr">
        <is>
          <t>Marzo</t>
        </is>
      </c>
      <c r="C1156" s="311" t="inlineStr">
        <is>
          <t>FRANCIA 1872</t>
        </is>
      </c>
      <c r="D1156" s="225" t="n"/>
      <c r="E1156" s="225" t="n"/>
      <c r="F1156" s="225" t="n">
        <v>1</v>
      </c>
      <c r="G1156" s="225" t="n"/>
      <c r="H1156" s="225" t="n"/>
      <c r="I1156" s="223" t="n">
        <v>80000</v>
      </c>
      <c r="J1156" s="305" t="n">
        <v>80000</v>
      </c>
      <c r="K1156" s="305" t="n">
        <v>0</v>
      </c>
      <c r="L1156" s="224" t="n">
        <v>20000</v>
      </c>
    </row>
    <row r="1157" ht="15" customHeight="1" s="153">
      <c r="A1157" s="306" t="inlineStr">
        <is>
          <t>13/04/2026</t>
        </is>
      </c>
      <c r="B1157" s="307" t="inlineStr">
        <is>
          <t>Abril</t>
        </is>
      </c>
      <c r="C1157" s="310" t="inlineStr">
        <is>
          <t>FRANCIA 2247</t>
        </is>
      </c>
      <c r="D1157" s="218" t="n">
        <v>1</v>
      </c>
      <c r="E1157" s="218" t="n"/>
      <c r="F1157" s="218" t="n"/>
      <c r="G1157" s="218" t="n"/>
      <c r="H1157" s="218" t="n"/>
      <c r="I1157" s="216" t="n">
        <v>26000</v>
      </c>
      <c r="J1157" s="309" t="n">
        <v>0</v>
      </c>
      <c r="K1157" s="309" t="n">
        <v>26000</v>
      </c>
      <c r="L1157" s="236" t="n">
        <v>11000</v>
      </c>
    </row>
    <row r="1158" ht="15" customHeight="1" s="153">
      <c r="A1158" s="306" t="inlineStr">
        <is>
          <t>16/04/2026</t>
        </is>
      </c>
      <c r="B1158" s="307" t="inlineStr">
        <is>
          <t>Abril</t>
        </is>
      </c>
      <c r="C1158" s="310" t="inlineStr">
        <is>
          <t>FRANCIA 2247</t>
        </is>
      </c>
      <c r="D1158" s="218" t="n">
        <v>1</v>
      </c>
      <c r="E1158" s="218" t="n"/>
      <c r="F1158" s="218" t="n"/>
      <c r="G1158" s="218" t="n"/>
      <c r="H1158" s="218" t="n"/>
      <c r="I1158" s="216" t="n">
        <v>26000</v>
      </c>
      <c r="J1158" s="309" t="n">
        <v>26000</v>
      </c>
      <c r="K1158" s="309" t="n">
        <v>0</v>
      </c>
      <c r="L1158" s="236" t="n">
        <v>11000</v>
      </c>
    </row>
    <row r="1159" ht="15" customHeight="1" s="153">
      <c r="A1159" s="302" t="inlineStr">
        <is>
          <t>13/04/2026</t>
        </is>
      </c>
      <c r="B1159" s="303" t="inlineStr">
        <is>
          <t>Abril</t>
        </is>
      </c>
      <c r="C1159" s="311" t="inlineStr">
        <is>
          <t>FRANCIA 9250</t>
        </is>
      </c>
      <c r="D1159" s="225" t="n"/>
      <c r="E1159" s="225" t="n"/>
      <c r="F1159" s="225" t="n">
        <v>1</v>
      </c>
      <c r="G1159" s="225" t="n"/>
      <c r="H1159" s="225" t="n"/>
      <c r="I1159" s="223" t="n">
        <v>84000</v>
      </c>
      <c r="J1159" s="305" t="n">
        <v>0</v>
      </c>
      <c r="K1159" s="305" t="n">
        <v>84000</v>
      </c>
      <c r="L1159" s="224" t="n">
        <v>24000</v>
      </c>
    </row>
    <row r="1160" ht="15" customHeight="1" s="153">
      <c r="A1160" s="306" t="inlineStr">
        <is>
          <t>18/02/2026</t>
        </is>
      </c>
      <c r="B1160" s="307" t="inlineStr">
        <is>
          <t>Febrero</t>
        </is>
      </c>
      <c r="C1160" s="310" t="inlineStr">
        <is>
          <t>FRATERNIDAD</t>
        </is>
      </c>
      <c r="D1160" s="218" t="n">
        <v>1</v>
      </c>
      <c r="E1160" s="218" t="n"/>
      <c r="F1160" s="218" t="n"/>
      <c r="G1160" s="218" t="n"/>
      <c r="H1160" s="218" t="n"/>
      <c r="I1160" s="216" t="n">
        <v>21000</v>
      </c>
      <c r="J1160" s="309" t="n">
        <v>21000</v>
      </c>
      <c r="K1160" s="309" t="n">
        <v>0</v>
      </c>
      <c r="L1160" s="236" t="n">
        <v>6000</v>
      </c>
    </row>
    <row r="1161" ht="15" customHeight="1" s="153">
      <c r="A1161" s="306" t="inlineStr">
        <is>
          <t>13/03/2026</t>
        </is>
      </c>
      <c r="B1161" s="307" t="inlineStr">
        <is>
          <t>Marzo</t>
        </is>
      </c>
      <c r="C1161" s="310" t="inlineStr">
        <is>
          <t>FRATERNIDAD</t>
        </is>
      </c>
      <c r="D1161" s="218" t="n">
        <v>1</v>
      </c>
      <c r="E1161" s="218" t="n"/>
      <c r="F1161" s="218" t="n"/>
      <c r="G1161" s="218" t="n"/>
      <c r="H1161" s="218" t="n"/>
      <c r="I1161" s="216" t="n">
        <v>22000</v>
      </c>
      <c r="J1161" s="309" t="n">
        <v>22000</v>
      </c>
      <c r="K1161" s="309" t="n">
        <v>0</v>
      </c>
      <c r="L1161" s="236" t="n">
        <v>7000</v>
      </c>
    </row>
    <row r="1162" ht="15" customHeight="1" s="153">
      <c r="A1162" s="302" t="inlineStr">
        <is>
          <t>08/04/2026</t>
        </is>
      </c>
      <c r="B1162" s="303" t="inlineStr">
        <is>
          <t>Abril</t>
        </is>
      </c>
      <c r="C1162" s="311" t="inlineStr">
        <is>
          <t>FRATERNIDAD GUANELLA</t>
        </is>
      </c>
      <c r="D1162" s="225" t="n">
        <v>1</v>
      </c>
      <c r="E1162" s="225" t="n"/>
      <c r="F1162" s="225" t="n"/>
      <c r="G1162" s="225" t="n"/>
      <c r="H1162" s="225" t="n"/>
      <c r="I1162" s="223" t="n">
        <v>23000</v>
      </c>
      <c r="J1162" s="305" t="n">
        <v>23000</v>
      </c>
      <c r="K1162" s="305" t="n">
        <v>0</v>
      </c>
      <c r="L1162" s="224" t="n">
        <v>8000</v>
      </c>
    </row>
    <row r="1163" ht="15" customHeight="1" s="153">
      <c r="A1163" s="306" t="inlineStr">
        <is>
          <t>17/01/2026</t>
        </is>
      </c>
      <c r="B1163" s="307" t="inlineStr">
        <is>
          <t>Enero</t>
        </is>
      </c>
      <c r="C1163" s="310" t="inlineStr">
        <is>
          <t>FRATERNINDAD GUANELIANA</t>
        </is>
      </c>
      <c r="D1163" s="218" t="n">
        <v>1</v>
      </c>
      <c r="E1163" s="218" t="n"/>
      <c r="F1163" s="218" t="n"/>
      <c r="G1163" s="218" t="n"/>
      <c r="H1163" s="218" t="n"/>
      <c r="I1163" s="216" t="n">
        <v>20000</v>
      </c>
      <c r="J1163" s="309" t="n">
        <v>20000</v>
      </c>
      <c r="K1163" s="309" t="n">
        <v>0</v>
      </c>
      <c r="L1163" s="236" t="n">
        <v>5000</v>
      </c>
    </row>
    <row r="1164" ht="15" customHeight="1" s="153">
      <c r="A1164" s="302" t="inlineStr">
        <is>
          <t>19/04/2026</t>
        </is>
      </c>
      <c r="B1164" s="303" t="inlineStr">
        <is>
          <t>Abril</t>
        </is>
      </c>
      <c r="C1164" s="311" t="inlineStr">
        <is>
          <t>FRAY CAYETANO 3813</t>
        </is>
      </c>
      <c r="D1164" s="225" t="n"/>
      <c r="E1164" s="225" t="n"/>
      <c r="F1164" s="225" t="n">
        <v>1</v>
      </c>
      <c r="G1164" s="225" t="n"/>
      <c r="H1164" s="225" t="n"/>
      <c r="I1164" s="223" t="n">
        <v>90000</v>
      </c>
      <c r="J1164" s="305" t="n">
        <v>90000</v>
      </c>
      <c r="K1164" s="305" t="n">
        <v>0</v>
      </c>
      <c r="L1164" s="224" t="n">
        <v>30000</v>
      </c>
    </row>
    <row r="1165" ht="15" customHeight="1" s="153">
      <c r="A1165" s="306" t="inlineStr">
        <is>
          <t>07/03/2026</t>
        </is>
      </c>
      <c r="B1165" s="307" t="inlineStr">
        <is>
          <t>Marzo</t>
        </is>
      </c>
      <c r="C1165" s="310" t="inlineStr">
        <is>
          <t>FRAY CAYETANO 3823</t>
        </is>
      </c>
      <c r="D1165" s="218" t="n"/>
      <c r="E1165" s="218" t="n"/>
      <c r="F1165" s="218" t="n">
        <v>1</v>
      </c>
      <c r="G1165" s="218" t="n"/>
      <c r="H1165" s="218" t="n"/>
      <c r="I1165" s="216" t="n">
        <v>79000</v>
      </c>
      <c r="J1165" s="309" t="n">
        <v>79000</v>
      </c>
      <c r="K1165" s="309" t="n">
        <v>0</v>
      </c>
      <c r="L1165" s="236" t="n">
        <v>19000</v>
      </c>
    </row>
    <row r="1166" ht="15" customHeight="1" s="153">
      <c r="A1166" s="302" t="inlineStr">
        <is>
          <t>16/04/2026</t>
        </is>
      </c>
      <c r="B1166" s="303" t="inlineStr">
        <is>
          <t>Abril</t>
        </is>
      </c>
      <c r="C1166" s="311" t="inlineStr">
        <is>
          <t>FRAY CAYETANO 3920</t>
        </is>
      </c>
      <c r="D1166" s="225" t="n">
        <v>1</v>
      </c>
      <c r="E1166" s="225" t="n"/>
      <c r="F1166" s="225" t="n"/>
      <c r="G1166" s="225" t="n"/>
      <c r="H1166" s="225" t="n"/>
      <c r="I1166" s="223" t="n">
        <v>27000</v>
      </c>
      <c r="J1166" s="305" t="n">
        <v>0</v>
      </c>
      <c r="K1166" s="305" t="n">
        <v>27000</v>
      </c>
      <c r="L1166" s="224" t="n">
        <v>12000</v>
      </c>
    </row>
    <row r="1167" ht="15" customHeight="1" s="153">
      <c r="A1167" s="306" t="inlineStr">
        <is>
          <t>06/04/2026</t>
        </is>
      </c>
      <c r="B1167" s="307" t="inlineStr">
        <is>
          <t>Abril</t>
        </is>
      </c>
      <c r="C1167" s="310" t="inlineStr">
        <is>
          <t>FREIRE 6181</t>
        </is>
      </c>
      <c r="D1167" s="218" t="n"/>
      <c r="E1167" s="218" t="n"/>
      <c r="F1167" s="218" t="n">
        <v>1</v>
      </c>
      <c r="G1167" s="218" t="n"/>
      <c r="H1167" s="218" t="n"/>
      <c r="I1167" s="216" t="n">
        <v>96000</v>
      </c>
      <c r="J1167" s="309" t="n">
        <v>96000</v>
      </c>
      <c r="K1167" s="309" t="n">
        <v>0</v>
      </c>
      <c r="L1167" s="236" t="n">
        <v>36000</v>
      </c>
    </row>
    <row r="1168" ht="15" customHeight="1" s="153">
      <c r="A1168" s="302" t="inlineStr">
        <is>
          <t>20/04/2026</t>
        </is>
      </c>
      <c r="B1168" s="303" t="inlineStr">
        <is>
          <t>Abril</t>
        </is>
      </c>
      <c r="C1168" s="311" t="inlineStr">
        <is>
          <t>FRENCH 2382</t>
        </is>
      </c>
      <c r="D1168" s="225" t="n">
        <v>1</v>
      </c>
      <c r="E1168" s="225" t="n"/>
      <c r="F1168" s="225" t="n"/>
      <c r="G1168" s="225" t="n"/>
      <c r="H1168" s="225" t="n"/>
      <c r="I1168" s="223" t="n">
        <v>25000</v>
      </c>
      <c r="J1168" s="305" t="n">
        <v>25000</v>
      </c>
      <c r="K1168" s="305" t="n">
        <v>0</v>
      </c>
      <c r="L1168" s="224" t="n">
        <v>10000</v>
      </c>
    </row>
    <row r="1169" ht="15" customHeight="1" s="153">
      <c r="A1169" s="306" t="inlineStr">
        <is>
          <t>07/03/2026</t>
        </is>
      </c>
      <c r="B1169" s="307" t="inlineStr">
        <is>
          <t>Marzo</t>
        </is>
      </c>
      <c r="C1169" s="310" t="inlineStr">
        <is>
          <t>FRENCH BIS 2000 GONZA TORRI</t>
        </is>
      </c>
      <c r="D1169" s="218" t="n"/>
      <c r="E1169" s="218" t="n"/>
      <c r="F1169" s="218" t="n">
        <v>1</v>
      </c>
      <c r="G1169" s="218" t="n"/>
      <c r="H1169" s="218" t="n"/>
      <c r="I1169" s="216" t="n">
        <v>97000</v>
      </c>
      <c r="J1169" s="309" t="n">
        <v>0</v>
      </c>
      <c r="K1169" s="309" t="n">
        <v>97000</v>
      </c>
      <c r="L1169" s="236" t="n">
        <v>37000</v>
      </c>
    </row>
    <row r="1170" ht="15" customHeight="1" s="153">
      <c r="A1170" s="302" t="inlineStr">
        <is>
          <t>14/01/2026</t>
        </is>
      </c>
      <c r="B1170" s="303" t="inlineStr">
        <is>
          <t>Enero</t>
        </is>
      </c>
      <c r="C1170" s="311" t="inlineStr">
        <is>
          <t>FRESNO DE LOPEZ 8120</t>
        </is>
      </c>
      <c r="D1170" s="225" t="n">
        <v>1</v>
      </c>
      <c r="E1170" s="225" t="n"/>
      <c r="F1170" s="225" t="n"/>
      <c r="G1170" s="225" t="n"/>
      <c r="H1170" s="225" t="n"/>
      <c r="I1170" s="223" t="n">
        <v>22000</v>
      </c>
      <c r="J1170" s="305" t="n">
        <v>0</v>
      </c>
      <c r="K1170" s="305" t="n">
        <v>22000</v>
      </c>
      <c r="L1170" s="224" t="n">
        <v>7000</v>
      </c>
    </row>
    <row r="1171" ht="15" customHeight="1" s="153">
      <c r="A1171" s="306" t="inlineStr">
        <is>
          <t>22/02/2026</t>
        </is>
      </c>
      <c r="B1171" s="307" t="inlineStr">
        <is>
          <t>Febrero</t>
        </is>
      </c>
      <c r="C1171" s="310" t="inlineStr">
        <is>
          <t>GABOTO 7102</t>
        </is>
      </c>
      <c r="D1171" s="218" t="n"/>
      <c r="E1171" s="218" t="n">
        <v>1</v>
      </c>
      <c r="F1171" s="218" t="n"/>
      <c r="G1171" s="218" t="n"/>
      <c r="H1171" s="218" t="n"/>
      <c r="I1171" s="216" t="n">
        <v>33000</v>
      </c>
      <c r="J1171" s="309" t="n">
        <v>0</v>
      </c>
      <c r="K1171" s="309" t="n">
        <v>33000</v>
      </c>
      <c r="L1171" s="236" t="n">
        <v>10500</v>
      </c>
    </row>
    <row r="1172" ht="15" customHeight="1" s="153">
      <c r="A1172" s="302" t="inlineStr">
        <is>
          <t>02/04/2026</t>
        </is>
      </c>
      <c r="B1172" s="303" t="inlineStr">
        <is>
          <t>Abril</t>
        </is>
      </c>
      <c r="C1172" s="311" t="inlineStr">
        <is>
          <t>GABOTO 7298</t>
        </is>
      </c>
      <c r="D1172" s="225" t="n"/>
      <c r="E1172" s="225" t="n">
        <v>1</v>
      </c>
      <c r="F1172" s="225" t="n"/>
      <c r="G1172" s="225" t="n"/>
      <c r="H1172" s="225" t="n"/>
      <c r="I1172" s="223" t="n">
        <v>39000</v>
      </c>
      <c r="J1172" s="305" t="n">
        <v>39000</v>
      </c>
      <c r="K1172" s="305" t="n">
        <v>0</v>
      </c>
      <c r="L1172" s="224" t="n">
        <v>16500</v>
      </c>
    </row>
    <row r="1173" ht="15" customHeight="1" s="153">
      <c r="A1173" s="306" t="inlineStr">
        <is>
          <t>26/03/2026</t>
        </is>
      </c>
      <c r="B1173" s="307" t="inlineStr">
        <is>
          <t>Marzo</t>
        </is>
      </c>
      <c r="C1173" s="310" t="inlineStr">
        <is>
          <t>GABOTO 7320</t>
        </is>
      </c>
      <c r="D1173" s="218" t="n">
        <v>1</v>
      </c>
      <c r="E1173" s="218" t="n"/>
      <c r="F1173" s="218" t="n">
        <v>1</v>
      </c>
      <c r="G1173" s="218" t="n"/>
      <c r="H1173" s="218" t="n"/>
      <c r="I1173" s="216" t="n">
        <v>105000</v>
      </c>
      <c r="J1173" s="309" t="n">
        <v>105000</v>
      </c>
      <c r="K1173" s="309" t="n">
        <v>0</v>
      </c>
      <c r="L1173" s="236" t="n">
        <v>30000</v>
      </c>
    </row>
    <row r="1174" ht="15" customHeight="1" s="153">
      <c r="A1174" s="302" t="inlineStr">
        <is>
          <t>07/03/2026</t>
        </is>
      </c>
      <c r="B1174" s="303" t="inlineStr">
        <is>
          <t>Marzo</t>
        </is>
      </c>
      <c r="C1174" s="311" t="inlineStr">
        <is>
          <t>GABOTO 7445</t>
        </is>
      </c>
      <c r="D1174" s="225" t="n">
        <v>1</v>
      </c>
      <c r="E1174" s="225" t="n"/>
      <c r="F1174" s="225" t="n"/>
      <c r="G1174" s="225" t="n"/>
      <c r="H1174" s="225" t="n"/>
      <c r="I1174" s="223" t="n">
        <v>20000</v>
      </c>
      <c r="J1174" s="305" t="n">
        <v>20000</v>
      </c>
      <c r="K1174" s="305" t="n">
        <v>0</v>
      </c>
      <c r="L1174" s="224" t="n">
        <v>5000</v>
      </c>
    </row>
    <row r="1175" ht="15" customHeight="1" s="153">
      <c r="A1175" s="306" t="inlineStr">
        <is>
          <t>13/03/2026</t>
        </is>
      </c>
      <c r="B1175" s="307" t="inlineStr">
        <is>
          <t>Marzo</t>
        </is>
      </c>
      <c r="C1175" s="310" t="inlineStr">
        <is>
          <t>GABOTO 7484</t>
        </is>
      </c>
      <c r="D1175" s="218" t="n"/>
      <c r="E1175" s="218" t="n"/>
      <c r="F1175" s="218" t="n">
        <v>1</v>
      </c>
      <c r="G1175" s="218" t="n"/>
      <c r="H1175" s="218" t="n"/>
      <c r="I1175" s="216" t="n">
        <v>79900</v>
      </c>
      <c r="J1175" s="309" t="n">
        <v>79900</v>
      </c>
      <c r="K1175" s="309" t="n">
        <v>0</v>
      </c>
      <c r="L1175" s="236" t="n">
        <v>19900</v>
      </c>
    </row>
    <row r="1176" ht="15" customHeight="1" s="153">
      <c r="A1176" s="302" t="inlineStr">
        <is>
          <t>02/04/2026</t>
        </is>
      </c>
      <c r="B1176" s="303" t="inlineStr">
        <is>
          <t>Abril</t>
        </is>
      </c>
      <c r="C1176" s="311" t="inlineStr">
        <is>
          <t>GABOTO 8168</t>
        </is>
      </c>
      <c r="D1176" s="225" t="n"/>
      <c r="E1176" s="225" t="n"/>
      <c r="F1176" s="225" t="n">
        <v>1</v>
      </c>
      <c r="G1176" s="225" t="n"/>
      <c r="H1176" s="225" t="n"/>
      <c r="I1176" s="223" t="n">
        <v>83000</v>
      </c>
      <c r="J1176" s="305" t="n">
        <v>0</v>
      </c>
      <c r="K1176" s="305" t="n">
        <v>83000</v>
      </c>
      <c r="L1176" s="224" t="n">
        <v>23000</v>
      </c>
    </row>
    <row r="1177" ht="15" customHeight="1" s="153">
      <c r="A1177" s="306" t="inlineStr">
        <is>
          <t>11/01/2026</t>
        </is>
      </c>
      <c r="B1177" s="307" t="inlineStr">
        <is>
          <t>Enero</t>
        </is>
      </c>
      <c r="C1177" s="310" t="inlineStr">
        <is>
          <t>GARMENDIA 9249</t>
        </is>
      </c>
      <c r="D1177" s="218" t="n"/>
      <c r="E1177" s="218" t="n">
        <v>1</v>
      </c>
      <c r="F1177" s="218" t="n"/>
      <c r="G1177" s="218" t="n"/>
      <c r="H1177" s="218" t="n"/>
      <c r="I1177" s="216" t="n">
        <v>34000</v>
      </c>
      <c r="J1177" s="309" t="n">
        <v>0</v>
      </c>
      <c r="K1177" s="309" t="n">
        <v>34000</v>
      </c>
      <c r="L1177" s="236" t="n">
        <v>11500</v>
      </c>
    </row>
    <row r="1178" ht="15" customHeight="1" s="153">
      <c r="A1178" s="306" t="inlineStr">
        <is>
          <t>08/04/2026</t>
        </is>
      </c>
      <c r="B1178" s="307" t="inlineStr">
        <is>
          <t>Abril</t>
        </is>
      </c>
      <c r="C1178" s="310" t="inlineStr">
        <is>
          <t>GARMENDIA 9249</t>
        </is>
      </c>
      <c r="D1178" s="218" t="n"/>
      <c r="E1178" s="218" t="n">
        <v>1</v>
      </c>
      <c r="F1178" s="218" t="n"/>
      <c r="G1178" s="218" t="n"/>
      <c r="H1178" s="218" t="n"/>
      <c r="I1178" s="216" t="n">
        <v>35500</v>
      </c>
      <c r="J1178" s="309" t="n">
        <v>0</v>
      </c>
      <c r="K1178" s="309" t="n">
        <v>35500</v>
      </c>
      <c r="L1178" s="236" t="n">
        <v>13000</v>
      </c>
    </row>
    <row r="1179" ht="15" customHeight="1" s="153">
      <c r="A1179" s="302" t="inlineStr">
        <is>
          <t>02/01/2026</t>
        </is>
      </c>
      <c r="B1179" s="303" t="inlineStr">
        <is>
          <t>Enero</t>
        </is>
      </c>
      <c r="C1179" s="311" t="inlineStr">
        <is>
          <t>GARMENDIA 9250</t>
        </is>
      </c>
      <c r="D1179" s="225" t="n"/>
      <c r="E1179" s="225" t="n"/>
      <c r="F1179" s="225" t="n"/>
      <c r="G1179" s="225" t="n"/>
      <c r="H1179" s="225" t="n">
        <v>2</v>
      </c>
      <c r="I1179" s="223" t="n">
        <v>9600</v>
      </c>
      <c r="J1179" s="305" t="n">
        <v>0</v>
      </c>
      <c r="K1179" s="305" t="n">
        <v>9600</v>
      </c>
      <c r="L1179" s="224" t="n">
        <v>7900</v>
      </c>
    </row>
    <row r="1180" ht="15" customHeight="1" s="153">
      <c r="A1180" s="302" t="inlineStr">
        <is>
          <t>16/04/2026</t>
        </is>
      </c>
      <c r="B1180" s="303" t="inlineStr">
        <is>
          <t>Abril</t>
        </is>
      </c>
      <c r="C1180" s="311" t="inlineStr">
        <is>
          <t>GARMENDIA 9250</t>
        </is>
      </c>
      <c r="D1180" s="225" t="n"/>
      <c r="E1180" s="225" t="n"/>
      <c r="F1180" s="225" t="n">
        <v>1</v>
      </c>
      <c r="G1180" s="225" t="n"/>
      <c r="H1180" s="225" t="n"/>
      <c r="I1180" s="223" t="n">
        <v>90000</v>
      </c>
      <c r="J1180" s="305" t="n">
        <v>0</v>
      </c>
      <c r="K1180" s="305" t="n">
        <v>90000</v>
      </c>
      <c r="L1180" s="224" t="n">
        <v>30000</v>
      </c>
    </row>
    <row r="1181" ht="15" customHeight="1" s="153">
      <c r="A1181" s="302" t="inlineStr">
        <is>
          <t>17/04/2026</t>
        </is>
      </c>
      <c r="B1181" s="303" t="inlineStr">
        <is>
          <t>Abril</t>
        </is>
      </c>
      <c r="C1181" s="311" t="inlineStr">
        <is>
          <t>GARMENDIA 9250</t>
        </is>
      </c>
      <c r="D1181" s="225" t="n"/>
      <c r="E1181" s="225" t="n"/>
      <c r="F1181" s="225" t="n"/>
      <c r="G1181" s="225" t="n"/>
      <c r="H1181" s="225" t="n">
        <v>2</v>
      </c>
      <c r="I1181" s="223" t="n">
        <v>12000</v>
      </c>
      <c r="J1181" s="305" t="n">
        <v>0</v>
      </c>
      <c r="K1181" s="305" t="n">
        <v>12000</v>
      </c>
      <c r="L1181" s="224" t="n">
        <v>10300</v>
      </c>
    </row>
    <row r="1182" ht="15" customHeight="1" s="153">
      <c r="A1182" s="306" t="inlineStr">
        <is>
          <t>17/01/2026</t>
        </is>
      </c>
      <c r="B1182" s="307" t="inlineStr">
        <is>
          <t>Enero</t>
        </is>
      </c>
      <c r="C1182" s="310" t="inlineStr">
        <is>
          <t>GASTON AMARAL</t>
        </is>
      </c>
      <c r="D1182" s="218" t="n"/>
      <c r="E1182" s="218" t="n"/>
      <c r="F1182" s="218" t="n">
        <v>1</v>
      </c>
      <c r="G1182" s="218" t="n"/>
      <c r="H1182" s="218" t="n"/>
      <c r="I1182" s="216" t="n">
        <v>77000</v>
      </c>
      <c r="J1182" s="309" t="n">
        <v>77000</v>
      </c>
      <c r="K1182" s="309" t="n">
        <v>0</v>
      </c>
      <c r="L1182" s="236" t="n">
        <v>17000</v>
      </c>
    </row>
    <row r="1183" ht="15" customHeight="1" s="153">
      <c r="A1183" s="306" t="inlineStr">
        <is>
          <t>15/04/2026</t>
        </is>
      </c>
      <c r="B1183" s="307" t="inlineStr">
        <is>
          <t>Abril</t>
        </is>
      </c>
      <c r="C1183" s="310" t="inlineStr">
        <is>
          <t>GASTON AMARAL</t>
        </is>
      </c>
      <c r="D1183" s="218" t="n"/>
      <c r="E1183" s="218" t="n"/>
      <c r="F1183" s="218" t="n">
        <v>1</v>
      </c>
      <c r="G1183" s="218" t="n">
        <v>2</v>
      </c>
      <c r="H1183" s="218" t="n"/>
      <c r="I1183" s="216" t="n">
        <v>95000</v>
      </c>
      <c r="J1183" s="309" t="n">
        <v>95000</v>
      </c>
      <c r="K1183" s="309" t="n">
        <v>0</v>
      </c>
      <c r="L1183" s="236" t="n">
        <v>30400</v>
      </c>
    </row>
    <row r="1184" ht="15" customHeight="1" s="153">
      <c r="A1184" s="302" t="inlineStr">
        <is>
          <t>24/03/2026</t>
        </is>
      </c>
      <c r="B1184" s="303" t="inlineStr">
        <is>
          <t>Marzo</t>
        </is>
      </c>
      <c r="C1184" s="311" t="inlineStr">
        <is>
          <t>GDOR FREIRE 1047</t>
        </is>
      </c>
      <c r="D1184" s="225" t="n">
        <v>1</v>
      </c>
      <c r="E1184" s="225" t="n"/>
      <c r="F1184" s="225" t="n"/>
      <c r="G1184" s="225" t="n"/>
      <c r="H1184" s="225" t="n"/>
      <c r="I1184" s="223" t="n">
        <v>24500</v>
      </c>
      <c r="J1184" s="305" t="n">
        <v>24500</v>
      </c>
      <c r="K1184" s="305" t="n">
        <v>0</v>
      </c>
      <c r="L1184" s="224" t="n">
        <v>9500</v>
      </c>
    </row>
    <row r="1185" ht="15" customHeight="1" s="153">
      <c r="A1185" s="306" t="inlineStr">
        <is>
          <t>23/03/2026</t>
        </is>
      </c>
      <c r="B1185" s="307" t="inlineStr">
        <is>
          <t>Marzo</t>
        </is>
      </c>
      <c r="C1185" s="310" t="inlineStr">
        <is>
          <t>GDOR FREIRE 1055</t>
        </is>
      </c>
      <c r="D1185" s="218" t="n">
        <v>1</v>
      </c>
      <c r="E1185" s="218" t="n"/>
      <c r="F1185" s="218" t="n"/>
      <c r="G1185" s="218" t="n"/>
      <c r="H1185" s="218" t="n"/>
      <c r="I1185" s="216" t="n">
        <v>25000</v>
      </c>
      <c r="J1185" s="309" t="n">
        <v>25000</v>
      </c>
      <c r="K1185" s="309" t="n">
        <v>0</v>
      </c>
      <c r="L1185" s="236" t="n">
        <v>10000</v>
      </c>
    </row>
    <row r="1186" ht="15" customHeight="1" s="153">
      <c r="A1186" s="302" t="inlineStr">
        <is>
          <t>24/03/2026</t>
        </is>
      </c>
      <c r="B1186" s="303" t="inlineStr">
        <is>
          <t>Marzo</t>
        </is>
      </c>
      <c r="C1186" s="311" t="inlineStr">
        <is>
          <t>GDOR FREIRE 6445</t>
        </is>
      </c>
      <c r="D1186" s="225" t="n">
        <v>1</v>
      </c>
      <c r="E1186" s="225" t="n"/>
      <c r="F1186" s="225" t="n"/>
      <c r="G1186" s="225" t="n"/>
      <c r="H1186" s="225" t="n"/>
      <c r="I1186" s="223" t="n">
        <v>25000</v>
      </c>
      <c r="J1186" s="305" t="n">
        <v>0</v>
      </c>
      <c r="K1186" s="305" t="n">
        <v>25000</v>
      </c>
      <c r="L1186" s="224" t="n">
        <v>10000</v>
      </c>
    </row>
    <row r="1187" ht="15" customHeight="1" s="153">
      <c r="A1187" s="306" t="inlineStr">
        <is>
          <t>21/02/2026</t>
        </is>
      </c>
      <c r="B1187" s="307" t="inlineStr">
        <is>
          <t>Febrero</t>
        </is>
      </c>
      <c r="C1187" s="310" t="inlineStr">
        <is>
          <t>GENEIRO 8164</t>
        </is>
      </c>
      <c r="D1187" s="218" t="n">
        <v>1</v>
      </c>
      <c r="E1187" s="218" t="n"/>
      <c r="F1187" s="218" t="n"/>
      <c r="G1187" s="218" t="n"/>
      <c r="H1187" s="218" t="n"/>
      <c r="I1187" s="216" t="n">
        <v>22000</v>
      </c>
      <c r="J1187" s="309" t="n">
        <v>0</v>
      </c>
      <c r="K1187" s="309" t="n">
        <v>22000</v>
      </c>
      <c r="L1187" s="236" t="n">
        <v>7000</v>
      </c>
    </row>
    <row r="1188" ht="15" customHeight="1" s="153">
      <c r="A1188" s="302" t="inlineStr">
        <is>
          <t>01/04/2026</t>
        </is>
      </c>
      <c r="B1188" s="303" t="inlineStr">
        <is>
          <t>Abril</t>
        </is>
      </c>
      <c r="C1188" s="311" t="inlineStr">
        <is>
          <t>GENEIRO 8200</t>
        </is>
      </c>
      <c r="D1188" s="225" t="n"/>
      <c r="E1188" s="225" t="n">
        <v>1</v>
      </c>
      <c r="F1188" s="225" t="n"/>
      <c r="G1188" s="225" t="n"/>
      <c r="H1188" s="225" t="n"/>
      <c r="I1188" s="223" t="n">
        <v>39000</v>
      </c>
      <c r="J1188" s="305" t="n">
        <v>39000</v>
      </c>
      <c r="K1188" s="305" t="n">
        <v>0</v>
      </c>
      <c r="L1188" s="224" t="n">
        <v>16500</v>
      </c>
    </row>
    <row r="1189" ht="15" customHeight="1" s="153">
      <c r="A1189" s="306" t="inlineStr">
        <is>
          <t>04/03/2026</t>
        </is>
      </c>
      <c r="B1189" s="307" t="inlineStr">
        <is>
          <t>Marzo</t>
        </is>
      </c>
      <c r="C1189" s="310" t="inlineStr">
        <is>
          <t>GENEIRO 8200 CASA 2</t>
        </is>
      </c>
      <c r="D1189" s="218" t="n">
        <v>1</v>
      </c>
      <c r="E1189" s="218" t="n"/>
      <c r="F1189" s="218" t="n"/>
      <c r="G1189" s="218" t="n"/>
      <c r="H1189" s="218" t="n"/>
      <c r="I1189" s="216" t="n">
        <v>21000</v>
      </c>
      <c r="J1189" s="309" t="n">
        <v>21000</v>
      </c>
      <c r="K1189" s="309" t="n">
        <v>0</v>
      </c>
      <c r="L1189" s="236" t="n">
        <v>6000</v>
      </c>
    </row>
    <row r="1190" ht="15" customHeight="1" s="153">
      <c r="A1190" s="302" t="inlineStr">
        <is>
          <t>02/03/2026</t>
        </is>
      </c>
      <c r="B1190" s="303" t="inlineStr">
        <is>
          <t>Marzo</t>
        </is>
      </c>
      <c r="C1190" s="311" t="inlineStr">
        <is>
          <t>GENEIRO 8249</t>
        </is>
      </c>
      <c r="D1190" s="225" t="n">
        <v>1</v>
      </c>
      <c r="E1190" s="225" t="n"/>
      <c r="F1190" s="225" t="n"/>
      <c r="G1190" s="225" t="n"/>
      <c r="H1190" s="225" t="n"/>
      <c r="I1190" s="223" t="n">
        <v>21000</v>
      </c>
      <c r="J1190" s="305" t="n">
        <v>0</v>
      </c>
      <c r="K1190" s="305" t="n">
        <v>21000</v>
      </c>
      <c r="L1190" s="224" t="n">
        <v>6000</v>
      </c>
    </row>
    <row r="1191" ht="15" customHeight="1" s="153">
      <c r="A1191" s="306" t="inlineStr">
        <is>
          <t>08/02/2026</t>
        </is>
      </c>
      <c r="B1191" s="307" t="inlineStr">
        <is>
          <t>Febrero</t>
        </is>
      </c>
      <c r="C1191" s="310" t="inlineStr">
        <is>
          <t>GENEIRO 8264</t>
        </is>
      </c>
      <c r="D1191" s="218" t="n"/>
      <c r="E1191" s="218" t="n">
        <v>1</v>
      </c>
      <c r="F1191" s="218" t="n"/>
      <c r="G1191" s="218" t="n"/>
      <c r="H1191" s="218" t="n"/>
      <c r="I1191" s="216" t="n">
        <v>33000</v>
      </c>
      <c r="J1191" s="309" t="n">
        <v>33000</v>
      </c>
      <c r="K1191" s="309" t="n">
        <v>0</v>
      </c>
      <c r="L1191" s="236" t="n">
        <v>10500</v>
      </c>
    </row>
    <row r="1192" ht="15" customHeight="1" s="153">
      <c r="A1192" s="302" t="inlineStr">
        <is>
          <t>03/02/2026</t>
        </is>
      </c>
      <c r="B1192" s="303" t="inlineStr">
        <is>
          <t>Febrero</t>
        </is>
      </c>
      <c r="C1192" s="311" t="inlineStr">
        <is>
          <t>GENERAL PAZ 6050</t>
        </is>
      </c>
      <c r="D1192" s="225" t="n">
        <v>1</v>
      </c>
      <c r="E1192" s="225" t="n"/>
      <c r="F1192" s="225" t="n"/>
      <c r="G1192" s="225" t="n"/>
      <c r="H1192" s="225" t="n"/>
      <c r="I1192" s="223" t="n">
        <v>22000</v>
      </c>
      <c r="J1192" s="305" t="n">
        <v>0</v>
      </c>
      <c r="K1192" s="305" t="n">
        <v>22000</v>
      </c>
      <c r="L1192" s="224" t="n">
        <v>7000</v>
      </c>
    </row>
    <row r="1193" ht="15" customHeight="1" s="153">
      <c r="A1193" s="306" t="inlineStr">
        <is>
          <t>21/01/2026</t>
        </is>
      </c>
      <c r="B1193" s="307" t="inlineStr">
        <is>
          <t>Enero</t>
        </is>
      </c>
      <c r="C1193" s="310" t="inlineStr">
        <is>
          <t>GENERAL PAZ 7826</t>
        </is>
      </c>
      <c r="D1193" s="218" t="n">
        <v>1</v>
      </c>
      <c r="E1193" s="218" t="n"/>
      <c r="F1193" s="218" t="n"/>
      <c r="G1193" s="218" t="n"/>
      <c r="H1193" s="218" t="n"/>
      <c r="I1193" s="216" t="n">
        <v>22000</v>
      </c>
      <c r="J1193" s="309" t="n">
        <v>22000</v>
      </c>
      <c r="K1193" s="309" t="n">
        <v>0</v>
      </c>
      <c r="L1193" s="236" t="n">
        <v>7000</v>
      </c>
    </row>
    <row r="1194" ht="15" customHeight="1" s="153">
      <c r="A1194" s="306" t="inlineStr">
        <is>
          <t>27/01/2026</t>
        </is>
      </c>
      <c r="B1194" s="307" t="inlineStr">
        <is>
          <t>Enero</t>
        </is>
      </c>
      <c r="C1194" s="310" t="inlineStr">
        <is>
          <t>GENERAL PAZ 7826</t>
        </is>
      </c>
      <c r="D1194" s="218" t="n">
        <v>1</v>
      </c>
      <c r="E1194" s="218" t="n"/>
      <c r="F1194" s="218" t="n"/>
      <c r="G1194" s="218" t="n"/>
      <c r="H1194" s="218" t="n"/>
      <c r="I1194" s="216" t="n">
        <v>22000</v>
      </c>
      <c r="J1194" s="309" t="n">
        <v>22000</v>
      </c>
      <c r="K1194" s="309" t="n">
        <v>0</v>
      </c>
      <c r="L1194" s="236" t="n">
        <v>7000</v>
      </c>
    </row>
    <row r="1195" ht="15" customHeight="1" s="153">
      <c r="A1195" s="306" t="inlineStr">
        <is>
          <t>04/02/2026</t>
        </is>
      </c>
      <c r="B1195" s="307" t="inlineStr">
        <is>
          <t>Febrero</t>
        </is>
      </c>
      <c r="C1195" s="310" t="inlineStr">
        <is>
          <t>GENERAL PAZ 7826</t>
        </is>
      </c>
      <c r="D1195" s="218" t="n">
        <v>1</v>
      </c>
      <c r="E1195" s="218" t="n"/>
      <c r="F1195" s="218" t="n"/>
      <c r="G1195" s="218" t="n"/>
      <c r="H1195" s="218" t="n"/>
      <c r="I1195" s="216" t="n">
        <v>22000</v>
      </c>
      <c r="J1195" s="309" t="n">
        <v>22000</v>
      </c>
      <c r="K1195" s="309" t="n">
        <v>0</v>
      </c>
      <c r="L1195" s="236" t="n">
        <v>7000</v>
      </c>
    </row>
    <row r="1196" ht="15" customHeight="1" s="153">
      <c r="A1196" s="306" t="inlineStr">
        <is>
          <t>13/02/2026</t>
        </is>
      </c>
      <c r="B1196" s="307" t="inlineStr">
        <is>
          <t>Febrero</t>
        </is>
      </c>
      <c r="C1196" s="310" t="inlineStr">
        <is>
          <t>GENERAL PAZ 7826</t>
        </is>
      </c>
      <c r="D1196" s="218" t="n">
        <v>1</v>
      </c>
      <c r="E1196" s="218" t="n"/>
      <c r="F1196" s="218" t="n">
        <v>1</v>
      </c>
      <c r="G1196" s="218" t="n"/>
      <c r="H1196" s="218" t="n"/>
      <c r="I1196" s="216" t="n">
        <v>96000</v>
      </c>
      <c r="J1196" s="309" t="n">
        <v>96000</v>
      </c>
      <c r="K1196" s="309" t="n">
        <v>0</v>
      </c>
      <c r="L1196" s="236" t="n">
        <v>21000</v>
      </c>
    </row>
    <row r="1197" ht="15" customHeight="1" s="153">
      <c r="A1197" s="302" t="inlineStr">
        <is>
          <t>01/02/2026</t>
        </is>
      </c>
      <c r="B1197" s="303" t="inlineStr">
        <is>
          <t>Febrero</t>
        </is>
      </c>
      <c r="C1197" s="311" t="inlineStr">
        <is>
          <t>GENERAL PAZ 7989</t>
        </is>
      </c>
      <c r="D1197" s="225" t="n">
        <v>1</v>
      </c>
      <c r="E1197" s="225" t="n"/>
      <c r="F1197" s="225" t="n"/>
      <c r="G1197" s="225" t="n"/>
      <c r="H1197" s="225" t="n"/>
      <c r="I1197" s="223" t="n">
        <v>22000</v>
      </c>
      <c r="J1197" s="305" t="n">
        <v>22000</v>
      </c>
      <c r="K1197" s="305" t="n">
        <v>0</v>
      </c>
      <c r="L1197" s="224" t="n">
        <v>7000</v>
      </c>
    </row>
    <row r="1198" ht="15" customHeight="1" s="153">
      <c r="A1198" s="306" t="inlineStr">
        <is>
          <t>15/01/2026</t>
        </is>
      </c>
      <c r="B1198" s="307" t="inlineStr">
        <is>
          <t>Enero</t>
        </is>
      </c>
      <c r="C1198" s="310" t="inlineStr">
        <is>
          <t>GISE</t>
        </is>
      </c>
      <c r="D1198" s="218" t="n"/>
      <c r="E1198" s="218" t="n"/>
      <c r="F1198" s="218" t="n"/>
      <c r="G1198" s="218" t="n">
        <v>2</v>
      </c>
      <c r="H1198" s="218" t="n"/>
      <c r="I1198" s="216" t="n">
        <v>6900</v>
      </c>
      <c r="J1198" s="309" t="n">
        <v>0</v>
      </c>
      <c r="K1198" s="309" t="n">
        <v>6900</v>
      </c>
      <c r="L1198" s="236" t="n">
        <v>2300</v>
      </c>
    </row>
    <row r="1199" ht="15" customHeight="1" s="153">
      <c r="A1199" s="302" t="inlineStr">
        <is>
          <t>17/02/2026</t>
        </is>
      </c>
      <c r="B1199" s="303" t="inlineStr">
        <is>
          <t>Febrero</t>
        </is>
      </c>
      <c r="C1199" s="311" t="inlineStr">
        <is>
          <t>GISE PANA</t>
        </is>
      </c>
      <c r="D1199" s="225" t="n">
        <v>1</v>
      </c>
      <c r="E1199" s="225" t="n"/>
      <c r="F1199" s="225" t="n"/>
      <c r="G1199" s="225" t="n">
        <v>1</v>
      </c>
      <c r="H1199" s="225" t="n"/>
      <c r="I1199" s="223" t="n">
        <v>21300</v>
      </c>
      <c r="J1199" s="305" t="n">
        <v>0</v>
      </c>
      <c r="K1199" s="305" t="n">
        <v>21300</v>
      </c>
      <c r="L1199" s="224" t="n">
        <v>4000</v>
      </c>
    </row>
    <row r="1200" ht="15" customHeight="1" s="153">
      <c r="A1200" s="302" t="inlineStr">
        <is>
          <t>26/02/2026</t>
        </is>
      </c>
      <c r="B1200" s="303" t="inlineStr">
        <is>
          <t>Febrero</t>
        </is>
      </c>
      <c r="C1200" s="311" t="inlineStr">
        <is>
          <t>GISE PANA</t>
        </is>
      </c>
      <c r="D1200" s="225" t="n">
        <v>1</v>
      </c>
      <c r="E1200" s="225" t="n"/>
      <c r="F1200" s="225" t="n"/>
      <c r="G1200" s="225" t="n"/>
      <c r="H1200" s="225" t="n"/>
      <c r="I1200" s="223" t="n">
        <v>18500</v>
      </c>
      <c r="J1200" s="305" t="n">
        <v>0</v>
      </c>
      <c r="K1200" s="305" t="n">
        <v>18500</v>
      </c>
      <c r="L1200" s="224" t="n">
        <v>3500</v>
      </c>
    </row>
    <row r="1201" ht="15" customHeight="1" s="153">
      <c r="A1201" s="306" t="inlineStr">
        <is>
          <t>17/01/2026</t>
        </is>
      </c>
      <c r="B1201" s="307" t="inlineStr">
        <is>
          <t>Enero</t>
        </is>
      </c>
      <c r="C1201" s="310" t="inlineStr">
        <is>
          <t>GOLD BURGUER</t>
        </is>
      </c>
      <c r="D1201" s="218" t="n"/>
      <c r="E1201" s="218" t="n"/>
      <c r="F1201" s="218" t="n">
        <v>2</v>
      </c>
      <c r="G1201" s="218" t="n"/>
      <c r="H1201" s="218" t="n"/>
      <c r="I1201" s="216" t="n">
        <v>158000</v>
      </c>
      <c r="J1201" s="309" t="n">
        <v>0</v>
      </c>
      <c r="K1201" s="309" t="n">
        <v>158000</v>
      </c>
      <c r="L1201" s="236" t="n">
        <v>38000</v>
      </c>
    </row>
    <row r="1202" ht="15" customHeight="1" s="153">
      <c r="A1202" s="306" t="inlineStr">
        <is>
          <t>28/01/2026</t>
        </is>
      </c>
      <c r="B1202" s="307" t="inlineStr">
        <is>
          <t>Enero</t>
        </is>
      </c>
      <c r="C1202" s="310" t="inlineStr">
        <is>
          <t>GOLD BURGUER</t>
        </is>
      </c>
      <c r="D1202" s="218" t="n"/>
      <c r="E1202" s="218" t="n"/>
      <c r="F1202" s="218" t="n">
        <v>2</v>
      </c>
      <c r="G1202" s="218" t="n"/>
      <c r="H1202" s="218" t="n"/>
      <c r="I1202" s="216" t="n">
        <v>158000</v>
      </c>
      <c r="J1202" s="309" t="n">
        <v>158000</v>
      </c>
      <c r="K1202" s="309" t="n">
        <v>0</v>
      </c>
      <c r="L1202" s="236" t="n">
        <v>38000</v>
      </c>
    </row>
    <row r="1203" ht="15" customHeight="1" s="153">
      <c r="A1203" s="306" t="inlineStr">
        <is>
          <t>09/02/2026</t>
        </is>
      </c>
      <c r="B1203" s="307" t="inlineStr">
        <is>
          <t>Febrero</t>
        </is>
      </c>
      <c r="C1203" s="310" t="inlineStr">
        <is>
          <t>GOLD BURGUER</t>
        </is>
      </c>
      <c r="D1203" s="218" t="n"/>
      <c r="E1203" s="218" t="n"/>
      <c r="F1203" s="218" t="n">
        <v>2</v>
      </c>
      <c r="G1203" s="218" t="n"/>
      <c r="H1203" s="218" t="n"/>
      <c r="I1203" s="216" t="n">
        <v>164000</v>
      </c>
      <c r="J1203" s="309" t="n">
        <v>164000</v>
      </c>
      <c r="K1203" s="309" t="n">
        <v>0</v>
      </c>
      <c r="L1203" s="236" t="n">
        <v>44000</v>
      </c>
    </row>
    <row r="1204" ht="15" customHeight="1" s="153">
      <c r="A1204" s="306" t="inlineStr">
        <is>
          <t>20/02/2026</t>
        </is>
      </c>
      <c r="B1204" s="307" t="inlineStr">
        <is>
          <t>Febrero</t>
        </is>
      </c>
      <c r="C1204" s="310" t="inlineStr">
        <is>
          <t>GOLD BURGUER</t>
        </is>
      </c>
      <c r="D1204" s="218" t="n"/>
      <c r="E1204" s="218" t="n"/>
      <c r="F1204" s="218" t="n">
        <v>2</v>
      </c>
      <c r="G1204" s="218" t="n"/>
      <c r="H1204" s="218" t="n"/>
      <c r="I1204" s="216" t="n">
        <v>164000</v>
      </c>
      <c r="J1204" s="309" t="n">
        <v>164000</v>
      </c>
      <c r="K1204" s="309" t="n">
        <v>0</v>
      </c>
      <c r="L1204" s="236" t="n">
        <v>44000</v>
      </c>
    </row>
    <row r="1205" ht="15" customHeight="1" s="153">
      <c r="A1205" s="302" t="inlineStr">
        <is>
          <t>06/01/2026</t>
        </is>
      </c>
      <c r="B1205" s="303" t="inlineStr">
        <is>
          <t>Enero</t>
        </is>
      </c>
      <c r="C1205" s="311" t="inlineStr">
        <is>
          <t>GOLD COSTA ESTE</t>
        </is>
      </c>
      <c r="D1205" s="225" t="n"/>
      <c r="E1205" s="225" t="n"/>
      <c r="F1205" s="225" t="n">
        <v>3</v>
      </c>
      <c r="G1205" s="225" t="n"/>
      <c r="H1205" s="225" t="n"/>
      <c r="I1205" s="223" t="n">
        <v>231000</v>
      </c>
      <c r="J1205" s="305" t="n">
        <v>0</v>
      </c>
      <c r="K1205" s="305" t="n">
        <v>231000</v>
      </c>
      <c r="L1205" s="224" t="n">
        <v>51000</v>
      </c>
    </row>
    <row r="1206" ht="15" customHeight="1" s="153">
      <c r="A1206" s="306" t="inlineStr">
        <is>
          <t>04/04/2026</t>
        </is>
      </c>
      <c r="B1206" s="307" t="inlineStr">
        <is>
          <t>Abril</t>
        </is>
      </c>
      <c r="C1206" s="310" t="inlineStr">
        <is>
          <t>GOLRD BURGER</t>
        </is>
      </c>
      <c r="D1206" s="218" t="n">
        <v>5</v>
      </c>
      <c r="E1206" s="218" t="n"/>
      <c r="F1206" s="218" t="n"/>
      <c r="G1206" s="218" t="n"/>
      <c r="H1206" s="218" t="n"/>
      <c r="I1206" s="216" t="n">
        <v>115000</v>
      </c>
      <c r="J1206" s="309" t="n">
        <v>115000</v>
      </c>
      <c r="K1206" s="309" t="n">
        <v>0</v>
      </c>
      <c r="L1206" s="236" t="n">
        <v>40000</v>
      </c>
    </row>
    <row r="1207" ht="15" customHeight="1" s="153">
      <c r="A1207" s="302" t="inlineStr">
        <is>
          <t>02/04/2026</t>
        </is>
      </c>
      <c r="B1207" s="303" t="inlineStr">
        <is>
          <t>Abril</t>
        </is>
      </c>
      <c r="C1207" s="311" t="inlineStr">
        <is>
          <t>GOROSTIAGA 4619</t>
        </is>
      </c>
      <c r="D1207" s="225" t="n"/>
      <c r="E1207" s="225" t="n"/>
      <c r="F1207" s="225" t="n">
        <v>1</v>
      </c>
      <c r="G1207" s="225" t="n"/>
      <c r="H1207" s="225" t="n"/>
      <c r="I1207" s="223" t="n">
        <v>88000</v>
      </c>
      <c r="J1207" s="305" t="n">
        <v>0</v>
      </c>
      <c r="K1207" s="305" t="n">
        <v>88000</v>
      </c>
      <c r="L1207" s="224" t="n">
        <v>28000</v>
      </c>
    </row>
    <row r="1208" ht="15" customHeight="1" s="153">
      <c r="A1208" s="306" t="inlineStr">
        <is>
          <t>05/03/2026</t>
        </is>
      </c>
      <c r="B1208" s="307" t="inlineStr">
        <is>
          <t>Marzo</t>
        </is>
      </c>
      <c r="C1208" s="310" t="inlineStr">
        <is>
          <t>GOROSTIAGA 4659</t>
        </is>
      </c>
      <c r="D1208" s="218" t="n"/>
      <c r="E1208" s="218" t="n"/>
      <c r="F1208" s="218" t="n">
        <v>1</v>
      </c>
      <c r="G1208" s="218" t="n"/>
      <c r="H1208" s="218" t="n"/>
      <c r="I1208" s="216" t="n">
        <v>76000</v>
      </c>
      <c r="J1208" s="309" t="n">
        <v>0</v>
      </c>
      <c r="K1208" s="309" t="n">
        <v>76000</v>
      </c>
      <c r="L1208" s="236" t="n">
        <v>16000</v>
      </c>
    </row>
    <row r="1209" ht="15" customHeight="1" s="153">
      <c r="A1209" s="302" t="inlineStr">
        <is>
          <t>28/02/2026</t>
        </is>
      </c>
      <c r="B1209" s="303" t="inlineStr">
        <is>
          <t>Febrero</t>
        </is>
      </c>
      <c r="C1209" s="311" t="inlineStr">
        <is>
          <t>GORRIT 6638</t>
        </is>
      </c>
      <c r="D1209" s="225" t="n">
        <v>1</v>
      </c>
      <c r="E1209" s="225" t="n"/>
      <c r="F1209" s="225" t="n"/>
      <c r="G1209" s="225" t="n"/>
      <c r="H1209" s="225" t="n"/>
      <c r="I1209" s="223" t="n">
        <v>21000</v>
      </c>
      <c r="J1209" s="305" t="n">
        <v>21000</v>
      </c>
      <c r="K1209" s="305" t="n">
        <v>0</v>
      </c>
      <c r="L1209" s="224" t="n">
        <v>6000</v>
      </c>
    </row>
    <row r="1210" ht="15" customHeight="1" s="153">
      <c r="A1210" s="306" t="inlineStr">
        <is>
          <t>05/02/2026</t>
        </is>
      </c>
      <c r="B1210" s="307" t="inlineStr">
        <is>
          <t>Abril</t>
        </is>
      </c>
      <c r="C1210" s="310" t="inlineStr">
        <is>
          <t>GORRITI 1418</t>
        </is>
      </c>
      <c r="D1210" s="218" t="n"/>
      <c r="E1210" s="218" t="n"/>
      <c r="F1210" s="218" t="n">
        <v>1</v>
      </c>
      <c r="G1210" s="218" t="n"/>
      <c r="H1210" s="218" t="n"/>
      <c r="I1210" s="216" t="n">
        <v>90000</v>
      </c>
      <c r="J1210" s="309" t="n">
        <v>0</v>
      </c>
      <c r="K1210" s="309" t="n">
        <v>90000</v>
      </c>
      <c r="L1210" s="236" t="n">
        <v>30000</v>
      </c>
    </row>
    <row r="1211" ht="15" customHeight="1" s="153">
      <c r="A1211" s="302" t="inlineStr">
        <is>
          <t>15/04/2026</t>
        </is>
      </c>
      <c r="B1211" s="303" t="inlineStr">
        <is>
          <t>Abril</t>
        </is>
      </c>
      <c r="C1211" s="311" t="inlineStr">
        <is>
          <t>GORRITI 1971</t>
        </is>
      </c>
      <c r="D1211" s="225" t="n"/>
      <c r="E1211" s="225" t="n">
        <v>1</v>
      </c>
      <c r="F1211" s="225" t="n"/>
      <c r="G1211" s="225" t="n"/>
      <c r="H1211" s="225" t="n"/>
      <c r="I1211" s="223" t="n">
        <v>39000</v>
      </c>
      <c r="J1211" s="305" t="n">
        <v>39000</v>
      </c>
      <c r="K1211" s="305" t="n">
        <v>0</v>
      </c>
      <c r="L1211" s="224" t="n">
        <v>16500</v>
      </c>
    </row>
    <row r="1212" ht="15" customHeight="1" s="153">
      <c r="A1212" s="306" t="inlineStr">
        <is>
          <t>08/01/2026</t>
        </is>
      </c>
      <c r="B1212" s="307" t="inlineStr">
        <is>
          <t>Enero</t>
        </is>
      </c>
      <c r="C1212" s="310" t="inlineStr">
        <is>
          <t>GORRITI 4331</t>
        </is>
      </c>
      <c r="D1212" s="218" t="n"/>
      <c r="E1212" s="218" t="n">
        <v>1</v>
      </c>
      <c r="F1212" s="218" t="n"/>
      <c r="G1212" s="218" t="n"/>
      <c r="H1212" s="218" t="n"/>
      <c r="I1212" s="216" t="n">
        <v>33000</v>
      </c>
      <c r="J1212" s="309" t="n">
        <v>0</v>
      </c>
      <c r="K1212" s="309" t="n">
        <v>33000</v>
      </c>
      <c r="L1212" s="236" t="n">
        <v>10500</v>
      </c>
    </row>
    <row r="1213" ht="15" customHeight="1" s="153">
      <c r="A1213" s="302" t="inlineStr">
        <is>
          <t>31/01/2026</t>
        </is>
      </c>
      <c r="B1213" s="303" t="inlineStr">
        <is>
          <t>Enero</t>
        </is>
      </c>
      <c r="C1213" s="311" t="inlineStr">
        <is>
          <t>GORRITI 4600</t>
        </is>
      </c>
      <c r="D1213" s="225" t="n"/>
      <c r="E1213" s="225" t="n"/>
      <c r="F1213" s="225" t="n">
        <v>1</v>
      </c>
      <c r="G1213" s="225" t="n"/>
      <c r="H1213" s="225" t="n"/>
      <c r="I1213" s="223" t="n">
        <v>72000</v>
      </c>
      <c r="J1213" s="305" t="n">
        <v>72000</v>
      </c>
      <c r="K1213" s="305" t="n">
        <v>0</v>
      </c>
      <c r="L1213" s="224" t="n">
        <v>12000</v>
      </c>
    </row>
    <row r="1214" ht="15" customHeight="1" s="153">
      <c r="A1214" s="306" t="inlineStr">
        <is>
          <t>27/01/2026</t>
        </is>
      </c>
      <c r="B1214" s="307" t="inlineStr">
        <is>
          <t>Enero</t>
        </is>
      </c>
      <c r="C1214" s="310" t="inlineStr">
        <is>
          <t>GORRITI 4661</t>
        </is>
      </c>
      <c r="D1214" s="218" t="n">
        <v>1</v>
      </c>
      <c r="E1214" s="218" t="n"/>
      <c r="F1214" s="218" t="n"/>
      <c r="G1214" s="218" t="n"/>
      <c r="H1214" s="218" t="n"/>
      <c r="I1214" s="216" t="n">
        <v>22000</v>
      </c>
      <c r="J1214" s="309" t="n">
        <v>0</v>
      </c>
      <c r="K1214" s="309" t="n">
        <v>22000</v>
      </c>
      <c r="L1214" s="236" t="n">
        <v>7000</v>
      </c>
    </row>
    <row r="1215" ht="15" customHeight="1" s="153">
      <c r="A1215" s="306" t="inlineStr">
        <is>
          <t>19/03/2026</t>
        </is>
      </c>
      <c r="B1215" s="307" t="inlineStr">
        <is>
          <t>Marzo</t>
        </is>
      </c>
      <c r="C1215" s="310" t="inlineStr">
        <is>
          <t>GORRITI 4661</t>
        </is>
      </c>
      <c r="D1215" s="218" t="n">
        <v>1</v>
      </c>
      <c r="E1215" s="218" t="n"/>
      <c r="F1215" s="218" t="n"/>
      <c r="G1215" s="218" t="n"/>
      <c r="H1215" s="218" t="n"/>
      <c r="I1215" s="216" t="n">
        <v>24500</v>
      </c>
      <c r="J1215" s="309" t="n">
        <v>0</v>
      </c>
      <c r="K1215" s="309" t="n">
        <v>24500</v>
      </c>
      <c r="L1215" s="236" t="n">
        <v>9500</v>
      </c>
    </row>
    <row r="1216" ht="15" customHeight="1" s="153">
      <c r="A1216" s="302" t="inlineStr">
        <is>
          <t>24/03/2026</t>
        </is>
      </c>
      <c r="B1216" s="303" t="inlineStr">
        <is>
          <t>Marzo</t>
        </is>
      </c>
      <c r="C1216" s="311" t="inlineStr">
        <is>
          <t>GORRITI 5019</t>
        </is>
      </c>
      <c r="D1216" s="225" t="n">
        <v>4</v>
      </c>
      <c r="E1216" s="225" t="n"/>
      <c r="F1216" s="225" t="n"/>
      <c r="G1216" s="225" t="n"/>
      <c r="H1216" s="225" t="n"/>
      <c r="I1216" s="223" t="n">
        <v>64000</v>
      </c>
      <c r="J1216" s="305" t="n">
        <v>0</v>
      </c>
      <c r="K1216" s="305" t="n">
        <v>64000</v>
      </c>
      <c r="L1216" s="224" t="n">
        <v>4000</v>
      </c>
    </row>
    <row r="1217" ht="15" customHeight="1" s="153">
      <c r="A1217" s="306" t="inlineStr">
        <is>
          <t>14/03/2026</t>
        </is>
      </c>
      <c r="B1217" s="307" t="inlineStr">
        <is>
          <t>Marzo</t>
        </is>
      </c>
      <c r="C1217" s="310" t="inlineStr">
        <is>
          <t>GORRITI 5376</t>
        </is>
      </c>
      <c r="D1217" s="218" t="n">
        <v>1</v>
      </c>
      <c r="E1217" s="218" t="n"/>
      <c r="F1217" s="218" t="n"/>
      <c r="G1217" s="218" t="n"/>
      <c r="H1217" s="218" t="n"/>
      <c r="I1217" s="216" t="n">
        <v>23000</v>
      </c>
      <c r="J1217" s="309" t="n">
        <v>23000</v>
      </c>
      <c r="K1217" s="309" t="n">
        <v>0</v>
      </c>
      <c r="L1217" s="236" t="n">
        <v>8000</v>
      </c>
    </row>
    <row r="1218" ht="15" customHeight="1" s="153">
      <c r="A1218" s="302" t="inlineStr">
        <is>
          <t>24/01/2026</t>
        </is>
      </c>
      <c r="B1218" s="303" t="inlineStr">
        <is>
          <t>Enero</t>
        </is>
      </c>
      <c r="C1218" s="311" t="inlineStr">
        <is>
          <t>GORRITI 6512</t>
        </is>
      </c>
      <c r="D1218" s="225" t="n"/>
      <c r="E1218" s="225" t="n"/>
      <c r="F1218" s="225" t="n">
        <v>1</v>
      </c>
      <c r="G1218" s="225" t="n"/>
      <c r="H1218" s="225" t="n"/>
      <c r="I1218" s="223" t="n">
        <v>72000</v>
      </c>
      <c r="J1218" s="305" t="n">
        <v>0</v>
      </c>
      <c r="K1218" s="305" t="n">
        <v>72000</v>
      </c>
      <c r="L1218" s="224" t="n">
        <v>12000</v>
      </c>
    </row>
    <row r="1219" ht="15" customHeight="1" s="153">
      <c r="A1219" s="306" t="inlineStr">
        <is>
          <t>24/02/2026</t>
        </is>
      </c>
      <c r="B1219" s="307" t="inlineStr">
        <is>
          <t>Febrero</t>
        </is>
      </c>
      <c r="C1219" s="310" t="inlineStr">
        <is>
          <t>GORRITI 6742</t>
        </is>
      </c>
      <c r="D1219" s="218" t="n">
        <v>1</v>
      </c>
      <c r="E1219" s="218" t="n"/>
      <c r="F1219" s="218" t="n"/>
      <c r="G1219" s="218" t="n"/>
      <c r="H1219" s="218" t="n"/>
      <c r="I1219" s="216" t="n">
        <v>21000</v>
      </c>
      <c r="J1219" s="309" t="n">
        <v>21000</v>
      </c>
      <c r="K1219" s="309" t="n">
        <v>0</v>
      </c>
      <c r="L1219" s="236" t="n">
        <v>6000</v>
      </c>
    </row>
    <row r="1220" ht="15" customHeight="1" s="153">
      <c r="A1220" s="306" t="inlineStr">
        <is>
          <t>10/04/2026</t>
        </is>
      </c>
      <c r="B1220" s="307" t="inlineStr">
        <is>
          <t>Abril</t>
        </is>
      </c>
      <c r="C1220" s="310" t="inlineStr">
        <is>
          <t>GORRITI 6742</t>
        </is>
      </c>
      <c r="D1220" s="218" t="n">
        <v>1</v>
      </c>
      <c r="E1220" s="218" t="n"/>
      <c r="F1220" s="218" t="n"/>
      <c r="G1220" s="218" t="n"/>
      <c r="H1220" s="218" t="n"/>
      <c r="I1220" s="216" t="n">
        <v>26000</v>
      </c>
      <c r="J1220" s="309" t="n">
        <v>26000</v>
      </c>
      <c r="K1220" s="309" t="n">
        <v>0</v>
      </c>
      <c r="L1220" s="236" t="n">
        <v>11000</v>
      </c>
    </row>
    <row r="1221" ht="15" customHeight="1" s="153">
      <c r="A1221" s="302" t="inlineStr">
        <is>
          <t>03/01/2026</t>
        </is>
      </c>
      <c r="B1221" s="303" t="inlineStr">
        <is>
          <t>Enero</t>
        </is>
      </c>
      <c r="C1221" s="311" t="inlineStr">
        <is>
          <t>GRAL PAZ 7826</t>
        </is>
      </c>
      <c r="D1221" s="225" t="n">
        <v>1</v>
      </c>
      <c r="E1221" s="225" t="n"/>
      <c r="F1221" s="225" t="n"/>
      <c r="G1221" s="225" t="n"/>
      <c r="H1221" s="225" t="n"/>
      <c r="I1221" s="223" t="n">
        <v>22000</v>
      </c>
      <c r="J1221" s="305" t="n">
        <v>22000</v>
      </c>
      <c r="K1221" s="305" t="n">
        <v>0</v>
      </c>
      <c r="L1221" s="224" t="n">
        <v>7000</v>
      </c>
    </row>
    <row r="1222" ht="15" customHeight="1" s="153">
      <c r="A1222" s="302" t="inlineStr">
        <is>
          <t>14/03/2026</t>
        </is>
      </c>
      <c r="B1222" s="303" t="inlineStr">
        <is>
          <t>Marzo</t>
        </is>
      </c>
      <c r="C1222" s="311" t="inlineStr">
        <is>
          <t>GRAL PAZ 7826</t>
        </is>
      </c>
      <c r="D1222" s="225" t="n"/>
      <c r="E1222" s="225" t="n"/>
      <c r="F1222" s="225" t="n">
        <v>2</v>
      </c>
      <c r="G1222" s="225" t="n"/>
      <c r="H1222" s="225" t="n"/>
      <c r="I1222" s="223" t="n">
        <v>156000</v>
      </c>
      <c r="J1222" s="305" t="n">
        <v>0</v>
      </c>
      <c r="K1222" s="305" t="n">
        <v>156000</v>
      </c>
      <c r="L1222" s="224" t="n">
        <v>36000</v>
      </c>
    </row>
    <row r="1223" ht="15" customHeight="1" s="153">
      <c r="A1223" s="306" t="inlineStr">
        <is>
          <t>10/01/2026</t>
        </is>
      </c>
      <c r="B1223" s="307" t="inlineStr">
        <is>
          <t>Enero</t>
        </is>
      </c>
      <c r="C1223" s="310" t="inlineStr">
        <is>
          <t>GRAL PAZ 7989</t>
        </is>
      </c>
      <c r="D1223" s="218" t="n">
        <v>1</v>
      </c>
      <c r="E1223" s="218" t="n"/>
      <c r="F1223" s="218" t="n"/>
      <c r="G1223" s="218" t="n"/>
      <c r="H1223" s="218" t="n"/>
      <c r="I1223" s="216" t="n">
        <v>22000</v>
      </c>
      <c r="J1223" s="309" t="n">
        <v>22000</v>
      </c>
      <c r="K1223" s="309" t="n">
        <v>0</v>
      </c>
      <c r="L1223" s="236" t="n">
        <v>7000</v>
      </c>
    </row>
    <row r="1224" ht="15" customHeight="1" s="153">
      <c r="A1224" s="302" t="inlineStr">
        <is>
          <t>08/02/2026</t>
        </is>
      </c>
      <c r="B1224" s="303" t="inlineStr">
        <is>
          <t>Febrero</t>
        </is>
      </c>
      <c r="C1224" s="311" t="inlineStr">
        <is>
          <t>GRINGO ILGATO</t>
        </is>
      </c>
      <c r="D1224" s="225" t="n">
        <v>1</v>
      </c>
      <c r="E1224" s="225" t="n"/>
      <c r="F1224" s="225" t="n">
        <v>1</v>
      </c>
      <c r="G1224" s="225" t="n"/>
      <c r="H1224" s="225" t="n"/>
      <c r="I1224" s="223" t="n">
        <v>99000</v>
      </c>
      <c r="J1224" s="305" t="n">
        <v>99000</v>
      </c>
      <c r="K1224" s="305" t="n">
        <v>0</v>
      </c>
      <c r="L1224" s="224" t="n">
        <v>24000</v>
      </c>
    </row>
    <row r="1225" ht="15" customHeight="1" s="153">
      <c r="A1225" s="306" t="inlineStr">
        <is>
          <t>04/04/2026</t>
        </is>
      </c>
      <c r="B1225" s="307" t="inlineStr">
        <is>
          <t>Abril</t>
        </is>
      </c>
      <c r="C1225" s="310" t="inlineStr">
        <is>
          <t>GUANELA 4543</t>
        </is>
      </c>
      <c r="D1225" s="218" t="n">
        <v>1</v>
      </c>
      <c r="E1225" s="218" t="n"/>
      <c r="F1225" s="218" t="n"/>
      <c r="G1225" s="218" t="n"/>
      <c r="H1225" s="218" t="n"/>
      <c r="I1225" s="216" t="n">
        <v>25000</v>
      </c>
      <c r="J1225" s="309" t="n">
        <v>0</v>
      </c>
      <c r="K1225" s="309" t="n">
        <v>25000</v>
      </c>
      <c r="L1225" s="236" t="n">
        <v>10000</v>
      </c>
    </row>
    <row r="1226" ht="15" customHeight="1" s="153">
      <c r="A1226" s="302" t="inlineStr">
        <is>
          <t>30/01/2026</t>
        </is>
      </c>
      <c r="B1226" s="303" t="inlineStr">
        <is>
          <t>Enero</t>
        </is>
      </c>
      <c r="C1226" s="311" t="inlineStr">
        <is>
          <t>GUANELLA 4543</t>
        </is>
      </c>
      <c r="D1226" s="225" t="n">
        <v>1</v>
      </c>
      <c r="E1226" s="225" t="n"/>
      <c r="F1226" s="225" t="n"/>
      <c r="G1226" s="225" t="n"/>
      <c r="H1226" s="225" t="n"/>
      <c r="I1226" s="223" t="n">
        <v>21000</v>
      </c>
      <c r="J1226" s="305" t="n">
        <v>0</v>
      </c>
      <c r="K1226" s="305" t="n">
        <v>21000</v>
      </c>
      <c r="L1226" s="224" t="n">
        <v>6000</v>
      </c>
    </row>
    <row r="1227" ht="15" customHeight="1" s="153">
      <c r="A1227" s="306" t="inlineStr">
        <is>
          <t>05/03/2026</t>
        </is>
      </c>
      <c r="B1227" s="307" t="inlineStr">
        <is>
          <t>Marzo</t>
        </is>
      </c>
      <c r="C1227" s="310" t="inlineStr">
        <is>
          <t>GUEMES 4421</t>
        </is>
      </c>
      <c r="D1227" s="218" t="n">
        <v>1</v>
      </c>
      <c r="E1227" s="218" t="n"/>
      <c r="F1227" s="218" t="n"/>
      <c r="G1227" s="218" t="n"/>
      <c r="H1227" s="218" t="n"/>
      <c r="I1227" s="216" t="n">
        <v>21000</v>
      </c>
      <c r="J1227" s="309" t="n">
        <v>0</v>
      </c>
      <c r="K1227" s="309" t="n">
        <v>21000</v>
      </c>
      <c r="L1227" s="236" t="n">
        <v>6000</v>
      </c>
    </row>
    <row r="1228" ht="15" customHeight="1" s="153">
      <c r="A1228" s="306" t="inlineStr">
        <is>
          <t>22/04/2026</t>
        </is>
      </c>
      <c r="B1228" s="307" t="inlineStr">
        <is>
          <t>Abril</t>
        </is>
      </c>
      <c r="C1228" s="310" t="inlineStr">
        <is>
          <t>GUEMES 4421</t>
        </is>
      </c>
      <c r="D1228" s="218" t="n">
        <v>1</v>
      </c>
      <c r="E1228" s="218" t="n"/>
      <c r="F1228" s="218" t="n"/>
      <c r="G1228" s="218" t="n"/>
      <c r="H1228" s="218" t="n"/>
      <c r="I1228" s="216" t="n">
        <v>27000</v>
      </c>
      <c r="J1228" s="309" t="n">
        <v>0</v>
      </c>
      <c r="K1228" s="309" t="n">
        <v>27000</v>
      </c>
      <c r="L1228" s="236" t="n">
        <v>12000</v>
      </c>
    </row>
    <row r="1229" ht="15" customHeight="1" s="153">
      <c r="A1229" s="302" t="inlineStr">
        <is>
          <t>12/01/2026</t>
        </is>
      </c>
      <c r="B1229" s="303" t="inlineStr">
        <is>
          <t>Enero</t>
        </is>
      </c>
      <c r="C1229" s="311" t="inlineStr">
        <is>
          <t>HERNANDARIAS 5150</t>
        </is>
      </c>
      <c r="D1229" s="225" t="n"/>
      <c r="E1229" s="225" t="n"/>
      <c r="F1229" s="225" t="n">
        <v>1</v>
      </c>
      <c r="G1229" s="225" t="n"/>
      <c r="H1229" s="225" t="n"/>
      <c r="I1229" s="223" t="n">
        <v>73000</v>
      </c>
      <c r="J1229" s="305" t="n">
        <v>0</v>
      </c>
      <c r="K1229" s="305" t="n">
        <v>73000</v>
      </c>
      <c r="L1229" s="224" t="n">
        <v>13000</v>
      </c>
    </row>
    <row r="1230" ht="15" customHeight="1" s="153">
      <c r="A1230" s="306" t="inlineStr">
        <is>
          <t>22/01/2026</t>
        </is>
      </c>
      <c r="B1230" s="307" t="inlineStr">
        <is>
          <t>Enero</t>
        </is>
      </c>
      <c r="C1230" s="310" t="inlineStr">
        <is>
          <t>HERNANDARIAS 5211</t>
        </is>
      </c>
      <c r="D1230" s="218" t="n"/>
      <c r="E1230" s="218" t="n">
        <v>1</v>
      </c>
      <c r="F1230" s="218" t="n"/>
      <c r="G1230" s="218" t="n"/>
      <c r="H1230" s="218" t="n"/>
      <c r="I1230" s="216" t="n">
        <v>36000</v>
      </c>
      <c r="J1230" s="309" t="n">
        <v>0</v>
      </c>
      <c r="K1230" s="309" t="n">
        <v>36000</v>
      </c>
      <c r="L1230" s="236" t="n">
        <v>13500</v>
      </c>
    </row>
    <row r="1231" ht="15" customHeight="1" s="153">
      <c r="A1231" s="302" t="inlineStr">
        <is>
          <t>19/01/2026</t>
        </is>
      </c>
      <c r="B1231" s="303" t="inlineStr">
        <is>
          <t>Enero</t>
        </is>
      </c>
      <c r="C1231" s="311" t="inlineStr">
        <is>
          <t>HERNANDARIAS 5356</t>
        </is>
      </c>
      <c r="D1231" s="225" t="n"/>
      <c r="E1231" s="225" t="n">
        <v>1</v>
      </c>
      <c r="F1231" s="225" t="n"/>
      <c r="G1231" s="225" t="n"/>
      <c r="H1231" s="225" t="n"/>
      <c r="I1231" s="223" t="n">
        <v>32000</v>
      </c>
      <c r="J1231" s="305" t="n">
        <v>32000</v>
      </c>
      <c r="K1231" s="305" t="n">
        <v>0</v>
      </c>
      <c r="L1231" s="224" t="n">
        <v>9500</v>
      </c>
    </row>
    <row r="1232" ht="15" customHeight="1" s="153">
      <c r="A1232" s="302" t="inlineStr">
        <is>
          <t>07/04/2026</t>
        </is>
      </c>
      <c r="B1232" s="303" t="inlineStr">
        <is>
          <t>Abril</t>
        </is>
      </c>
      <c r="C1232" s="311" t="inlineStr">
        <is>
          <t>HERNANDARIAS 5356</t>
        </is>
      </c>
      <c r="D1232" s="225" t="n">
        <v>1</v>
      </c>
      <c r="E1232" s="225" t="n"/>
      <c r="F1232" s="225" t="n"/>
      <c r="G1232" s="225" t="n"/>
      <c r="H1232" s="225" t="n"/>
      <c r="I1232" s="223" t="n">
        <v>25000</v>
      </c>
      <c r="J1232" s="305" t="n">
        <v>25000</v>
      </c>
      <c r="K1232" s="305" t="n">
        <v>0</v>
      </c>
      <c r="L1232" s="224" t="n">
        <v>10000</v>
      </c>
    </row>
    <row r="1233" ht="15" customHeight="1" s="153">
      <c r="A1233" s="306" t="inlineStr">
        <is>
          <t>07/03/2026</t>
        </is>
      </c>
      <c r="B1233" s="307" t="inlineStr">
        <is>
          <t>Marzo</t>
        </is>
      </c>
      <c r="C1233" s="310" t="inlineStr">
        <is>
          <t>HNO OTNIEL</t>
        </is>
      </c>
      <c r="D1233" s="218" t="n"/>
      <c r="E1233" s="218" t="n"/>
      <c r="F1233" s="218" t="n"/>
      <c r="G1233" s="218" t="n"/>
      <c r="H1233" s="218" t="n">
        <v>1</v>
      </c>
      <c r="I1233" s="216" t="n">
        <v>5500</v>
      </c>
      <c r="J1233" s="309" t="n">
        <v>0</v>
      </c>
      <c r="K1233" s="309" t="n">
        <v>5500</v>
      </c>
      <c r="L1233" s="236" t="n">
        <v>4650</v>
      </c>
    </row>
    <row r="1234" ht="15" customHeight="1" s="153">
      <c r="A1234" s="302" t="inlineStr">
        <is>
          <t>13/02/2026</t>
        </is>
      </c>
      <c r="B1234" s="303" t="inlineStr">
        <is>
          <t>Febrero</t>
        </is>
      </c>
      <c r="C1234" s="311" t="inlineStr">
        <is>
          <t>HOTEL ROYAL</t>
        </is>
      </c>
      <c r="D1234" s="225" t="n"/>
      <c r="E1234" s="225" t="n"/>
      <c r="F1234" s="225" t="n">
        <v>1</v>
      </c>
      <c r="G1234" s="225" t="n"/>
      <c r="H1234" s="225" t="n"/>
      <c r="I1234" s="223" t="n">
        <v>77000</v>
      </c>
      <c r="J1234" s="305" t="n">
        <v>77000</v>
      </c>
      <c r="K1234" s="305" t="n">
        <v>0</v>
      </c>
      <c r="L1234" s="224" t="n">
        <v>17000</v>
      </c>
    </row>
    <row r="1235" ht="15" customHeight="1" s="153">
      <c r="A1235" s="306" t="inlineStr">
        <is>
          <t>16/04/2026</t>
        </is>
      </c>
      <c r="B1235" s="307" t="inlineStr">
        <is>
          <t>Abril</t>
        </is>
      </c>
      <c r="C1235" s="310" t="inlineStr">
        <is>
          <t>HUERGO 1868</t>
        </is>
      </c>
      <c r="D1235" s="218" t="n">
        <v>1</v>
      </c>
      <c r="E1235" s="218" t="n"/>
      <c r="F1235" s="218" t="n"/>
      <c r="G1235" s="218" t="n"/>
      <c r="H1235" s="218" t="n"/>
      <c r="I1235" s="216" t="n">
        <v>26000</v>
      </c>
      <c r="J1235" s="309" t="n">
        <v>26000</v>
      </c>
      <c r="K1235" s="309" t="n">
        <v>0</v>
      </c>
      <c r="L1235" s="236" t="n">
        <v>11000</v>
      </c>
    </row>
    <row r="1236" ht="15" customHeight="1" s="153">
      <c r="A1236" s="302" t="inlineStr">
        <is>
          <t>06/04/2026</t>
        </is>
      </c>
      <c r="B1236" s="303" t="inlineStr">
        <is>
          <t>Abril</t>
        </is>
      </c>
      <c r="C1236" s="311" t="inlineStr">
        <is>
          <t>HUERGO 2487</t>
        </is>
      </c>
      <c r="D1236" s="225" t="n">
        <v>1</v>
      </c>
      <c r="E1236" s="225" t="n"/>
      <c r="F1236" s="225" t="n"/>
      <c r="G1236" s="225" t="n"/>
      <c r="H1236" s="225" t="n"/>
      <c r="I1236" s="223" t="n">
        <v>25000</v>
      </c>
      <c r="J1236" s="305" t="n">
        <v>0</v>
      </c>
      <c r="K1236" s="305" t="n">
        <v>25000</v>
      </c>
      <c r="L1236" s="224" t="n">
        <v>10000</v>
      </c>
    </row>
    <row r="1237" ht="15" customHeight="1" s="153">
      <c r="A1237" s="306" t="inlineStr">
        <is>
          <t>18/04/2026</t>
        </is>
      </c>
      <c r="B1237" s="307" t="inlineStr">
        <is>
          <t>Abril</t>
        </is>
      </c>
      <c r="C1237" s="310" t="inlineStr">
        <is>
          <t>HUERGO 4365</t>
        </is>
      </c>
      <c r="D1237" s="218" t="n">
        <v>1</v>
      </c>
      <c r="E1237" s="218" t="n"/>
      <c r="F1237" s="218" t="n"/>
      <c r="G1237" s="218" t="n"/>
      <c r="H1237" s="218" t="n"/>
      <c r="I1237" s="216" t="n">
        <v>25000</v>
      </c>
      <c r="J1237" s="309" t="n">
        <v>0</v>
      </c>
      <c r="K1237" s="309" t="n">
        <v>25000</v>
      </c>
      <c r="L1237" s="236" t="n">
        <v>10000</v>
      </c>
    </row>
    <row r="1238" ht="15" customHeight="1" s="153">
      <c r="A1238" s="302" t="inlineStr">
        <is>
          <t>13/03/2026</t>
        </is>
      </c>
      <c r="B1238" s="303" t="inlineStr">
        <is>
          <t>Marzo</t>
        </is>
      </c>
      <c r="C1238" s="311" t="inlineStr">
        <is>
          <t>I CRESPO 7337</t>
        </is>
      </c>
      <c r="D1238" s="225" t="n"/>
      <c r="E1238" s="225" t="n">
        <v>1</v>
      </c>
      <c r="F1238" s="225" t="n"/>
      <c r="G1238" s="225" t="n"/>
      <c r="H1238" s="225" t="n"/>
      <c r="I1238" s="223" t="n">
        <v>36000</v>
      </c>
      <c r="J1238" s="305" t="n">
        <v>0</v>
      </c>
      <c r="K1238" s="305" t="n">
        <v>36000</v>
      </c>
      <c r="L1238" s="224" t="n">
        <v>13500</v>
      </c>
    </row>
    <row r="1239" ht="15" customHeight="1" s="153">
      <c r="A1239" s="306" t="inlineStr">
        <is>
          <t>24/03/2026</t>
        </is>
      </c>
      <c r="B1239" s="307" t="inlineStr">
        <is>
          <t>Marzo</t>
        </is>
      </c>
      <c r="C1239" s="310" t="inlineStr">
        <is>
          <t>I CRESPO 8180</t>
        </is>
      </c>
      <c r="D1239" s="218" t="n">
        <v>1</v>
      </c>
      <c r="E1239" s="218" t="n"/>
      <c r="F1239" s="218" t="n"/>
      <c r="G1239" s="218" t="n"/>
      <c r="H1239" s="218" t="n"/>
      <c r="I1239" s="216" t="n">
        <v>25000</v>
      </c>
      <c r="J1239" s="309" t="n">
        <v>25000</v>
      </c>
      <c r="K1239" s="309" t="n">
        <v>0</v>
      </c>
      <c r="L1239" s="236" t="n">
        <v>10000</v>
      </c>
    </row>
    <row r="1240" ht="15" customHeight="1" s="153">
      <c r="A1240" s="302" t="inlineStr">
        <is>
          <t>05/03/2026</t>
        </is>
      </c>
      <c r="B1240" s="303" t="inlineStr">
        <is>
          <t>Marzo</t>
        </is>
      </c>
      <c r="C1240" s="311" t="inlineStr">
        <is>
          <t>IGUALDAD</t>
        </is>
      </c>
      <c r="D1240" s="225" t="n">
        <v>1</v>
      </c>
      <c r="E1240" s="225" t="n"/>
      <c r="F1240" s="225" t="n"/>
      <c r="G1240" s="225" t="n"/>
      <c r="H1240" s="225" t="n"/>
      <c r="I1240" s="223" t="n">
        <v>20000</v>
      </c>
      <c r="J1240" s="305" t="n">
        <v>20000</v>
      </c>
      <c r="K1240" s="305" t="n">
        <v>0</v>
      </c>
      <c r="L1240" s="224" t="n">
        <v>5000</v>
      </c>
    </row>
    <row r="1241" ht="15" customHeight="1" s="153">
      <c r="A1241" s="302" t="inlineStr">
        <is>
          <t>12/03/2026</t>
        </is>
      </c>
      <c r="B1241" s="303" t="inlineStr">
        <is>
          <t>Marzo</t>
        </is>
      </c>
      <c r="C1241" s="311" t="inlineStr">
        <is>
          <t>IGUALDAD</t>
        </is>
      </c>
      <c r="D1241" s="225" t="n">
        <v>1</v>
      </c>
      <c r="E1241" s="225" t="n"/>
      <c r="F1241" s="225" t="n"/>
      <c r="G1241" s="225" t="n"/>
      <c r="H1241" s="225" t="n"/>
      <c r="I1241" s="223" t="n">
        <v>21000</v>
      </c>
      <c r="J1241" s="305" t="n">
        <v>21000</v>
      </c>
      <c r="K1241" s="305" t="n">
        <v>0</v>
      </c>
      <c r="L1241" s="224" t="n">
        <v>6000</v>
      </c>
    </row>
    <row r="1242" ht="15" customHeight="1" s="153">
      <c r="A1242" s="302" t="inlineStr">
        <is>
          <t>10/04/2026</t>
        </is>
      </c>
      <c r="B1242" s="303" t="inlineStr">
        <is>
          <t>Abril</t>
        </is>
      </c>
      <c r="C1242" s="311" t="inlineStr">
        <is>
          <t>IGUALDAD</t>
        </is>
      </c>
      <c r="D1242" s="225" t="n">
        <v>1</v>
      </c>
      <c r="E1242" s="225" t="n"/>
      <c r="F1242" s="225" t="n"/>
      <c r="G1242" s="225" t="n"/>
      <c r="H1242" s="225" t="n"/>
      <c r="I1242" s="223" t="n">
        <v>23000</v>
      </c>
      <c r="J1242" s="305" t="n">
        <v>0</v>
      </c>
      <c r="K1242" s="305" t="n">
        <v>23000</v>
      </c>
      <c r="L1242" s="224" t="n">
        <v>8000</v>
      </c>
    </row>
    <row r="1243" ht="15" customHeight="1" s="153">
      <c r="A1243" s="306" t="inlineStr">
        <is>
          <t>17/02/2026</t>
        </is>
      </c>
      <c r="B1243" s="307" t="inlineStr">
        <is>
          <t>Febrero</t>
        </is>
      </c>
      <c r="C1243" s="310" t="inlineStr">
        <is>
          <t>IL GATO PEPE</t>
        </is>
      </c>
      <c r="D1243" s="218" t="n"/>
      <c r="E1243" s="218" t="n"/>
      <c r="F1243" s="218" t="n">
        <v>1</v>
      </c>
      <c r="G1243" s="218" t="n"/>
      <c r="H1243" s="218" t="n"/>
      <c r="I1243" s="216" t="n">
        <v>78000</v>
      </c>
      <c r="J1243" s="309" t="n">
        <v>0</v>
      </c>
      <c r="K1243" s="309" t="n">
        <v>78000</v>
      </c>
      <c r="L1243" s="236" t="n">
        <v>18000</v>
      </c>
    </row>
    <row r="1244" ht="15" customHeight="1" s="153">
      <c r="A1244" s="302" t="inlineStr">
        <is>
          <t>12/04/2026</t>
        </is>
      </c>
      <c r="B1244" s="303" t="inlineStr">
        <is>
          <t>Abril</t>
        </is>
      </c>
      <c r="C1244" s="311" t="inlineStr">
        <is>
          <t>ILGATO</t>
        </is>
      </c>
      <c r="D1244" s="225" t="n"/>
      <c r="E1244" s="225" t="n"/>
      <c r="F1244" s="225" t="n">
        <v>1</v>
      </c>
      <c r="G1244" s="225" t="n"/>
      <c r="H1244" s="225" t="n"/>
      <c r="I1244" s="223" t="n">
        <v>92000</v>
      </c>
      <c r="J1244" s="305" t="n">
        <v>0</v>
      </c>
      <c r="K1244" s="305" t="n">
        <v>92000</v>
      </c>
      <c r="L1244" s="224" t="n">
        <v>32000</v>
      </c>
    </row>
    <row r="1245" ht="15" customHeight="1" s="153">
      <c r="A1245" s="306" t="inlineStr">
        <is>
          <t>16/04/2026</t>
        </is>
      </c>
      <c r="B1245" s="307" t="inlineStr">
        <is>
          <t>Abril</t>
        </is>
      </c>
      <c r="C1245" s="310" t="inlineStr">
        <is>
          <t>ILGATO NEGRO CASA</t>
        </is>
      </c>
      <c r="D1245" s="218" t="n">
        <v>1</v>
      </c>
      <c r="E1245" s="218" t="n"/>
      <c r="F1245" s="218" t="n"/>
      <c r="G1245" s="218" t="n"/>
      <c r="H1245" s="218" t="n"/>
      <c r="I1245" s="216" t="n">
        <v>26000</v>
      </c>
      <c r="J1245" s="309" t="n">
        <v>26000</v>
      </c>
      <c r="K1245" s="309" t="n">
        <v>0</v>
      </c>
      <c r="L1245" s="236" t="n">
        <v>11000</v>
      </c>
    </row>
    <row r="1246" ht="15" customHeight="1" s="153">
      <c r="A1246" s="302" t="inlineStr">
        <is>
          <t>18/04/2026</t>
        </is>
      </c>
      <c r="B1246" s="303" t="inlineStr">
        <is>
          <t>Abril</t>
        </is>
      </c>
      <c r="C1246" s="311" t="inlineStr">
        <is>
          <t>INGENIERO 6866</t>
        </is>
      </c>
      <c r="D1246" s="225" t="n">
        <v>1</v>
      </c>
      <c r="E1246" s="225" t="n"/>
      <c r="F1246" s="225" t="n"/>
      <c r="G1246" s="225" t="n"/>
      <c r="H1246" s="225" t="n"/>
      <c r="I1246" s="223" t="n">
        <v>25000</v>
      </c>
      <c r="J1246" s="305" t="n">
        <v>0</v>
      </c>
      <c r="K1246" s="305" t="n">
        <v>25000</v>
      </c>
      <c r="L1246" s="224" t="n">
        <v>10000</v>
      </c>
    </row>
    <row r="1247" ht="15" customHeight="1" s="153">
      <c r="A1247" s="306" t="inlineStr">
        <is>
          <t>17/03/2026</t>
        </is>
      </c>
      <c r="B1247" s="307" t="inlineStr">
        <is>
          <t>Marzo</t>
        </is>
      </c>
      <c r="C1247" s="310" t="inlineStr">
        <is>
          <t>INGENIERO 8364</t>
        </is>
      </c>
      <c r="D1247" s="218" t="n"/>
      <c r="E1247" s="218" t="n"/>
      <c r="F1247" s="218" t="n">
        <v>1</v>
      </c>
      <c r="G1247" s="218" t="n"/>
      <c r="H1247" s="218" t="n"/>
      <c r="I1247" s="216" t="n">
        <v>83000</v>
      </c>
      <c r="J1247" s="309" t="n">
        <v>0</v>
      </c>
      <c r="K1247" s="309" t="n">
        <v>83000</v>
      </c>
      <c r="L1247" s="236" t="n">
        <v>23000</v>
      </c>
    </row>
    <row r="1248" ht="15" customHeight="1" s="153">
      <c r="A1248" s="302" t="inlineStr">
        <is>
          <t>23/01/2026</t>
        </is>
      </c>
      <c r="B1248" s="303" t="inlineStr">
        <is>
          <t>Enero</t>
        </is>
      </c>
      <c r="C1248" s="311" t="inlineStr">
        <is>
          <t>INGENIEROS 5501</t>
        </is>
      </c>
      <c r="D1248" s="225" t="n">
        <v>1</v>
      </c>
      <c r="E1248" s="225" t="n"/>
      <c r="F1248" s="225" t="n"/>
      <c r="G1248" s="225" t="n"/>
      <c r="H1248" s="225" t="n"/>
      <c r="I1248" s="223" t="n">
        <v>22000</v>
      </c>
      <c r="J1248" s="305" t="n">
        <v>22000</v>
      </c>
      <c r="K1248" s="305" t="n">
        <v>0</v>
      </c>
      <c r="L1248" s="224" t="n">
        <v>7000</v>
      </c>
    </row>
    <row r="1249" ht="15" customHeight="1" s="153">
      <c r="A1249" s="306" t="inlineStr">
        <is>
          <t>26/02/2026</t>
        </is>
      </c>
      <c r="B1249" s="307" t="inlineStr">
        <is>
          <t>Febrero</t>
        </is>
      </c>
      <c r="C1249" s="310" t="inlineStr">
        <is>
          <t>INGENIEROS 5511</t>
        </is>
      </c>
      <c r="D1249" s="218" t="n">
        <v>1</v>
      </c>
      <c r="E1249" s="218" t="n"/>
      <c r="F1249" s="218" t="n"/>
      <c r="G1249" s="218" t="n"/>
      <c r="H1249" s="218" t="n"/>
      <c r="I1249" s="216" t="n">
        <v>22000</v>
      </c>
      <c r="J1249" s="309" t="n">
        <v>0</v>
      </c>
      <c r="K1249" s="309" t="n">
        <v>22000</v>
      </c>
      <c r="L1249" s="236" t="n">
        <v>7000</v>
      </c>
    </row>
    <row r="1250" ht="15" customHeight="1" s="153">
      <c r="A1250" s="302" t="inlineStr">
        <is>
          <t>16/04/2026</t>
        </is>
      </c>
      <c r="B1250" s="303" t="inlineStr">
        <is>
          <t>Abril</t>
        </is>
      </c>
      <c r="C1250" s="311" t="inlineStr">
        <is>
          <t>IRALA 2865</t>
        </is>
      </c>
      <c r="D1250" s="225" t="n">
        <v>1</v>
      </c>
      <c r="E1250" s="225" t="n"/>
      <c r="F1250" s="225" t="n"/>
      <c r="G1250" s="225" t="n"/>
      <c r="H1250" s="225" t="n"/>
      <c r="I1250" s="223" t="n">
        <v>26500</v>
      </c>
      <c r="J1250" s="305" t="n">
        <v>0</v>
      </c>
      <c r="K1250" s="305" t="n">
        <v>26500</v>
      </c>
      <c r="L1250" s="224" t="n">
        <v>11500</v>
      </c>
    </row>
    <row r="1251" ht="15" customHeight="1" s="153">
      <c r="A1251" s="306" t="inlineStr">
        <is>
          <t>18/04/2026</t>
        </is>
      </c>
      <c r="B1251" s="307" t="inlineStr">
        <is>
          <t>Abril</t>
        </is>
      </c>
      <c r="C1251" s="310" t="inlineStr">
        <is>
          <t>IRMA</t>
        </is>
      </c>
      <c r="D1251" s="218" t="n">
        <v>1</v>
      </c>
      <c r="E1251" s="218" t="n"/>
      <c r="F1251" s="218" t="n"/>
      <c r="G1251" s="218" t="n"/>
      <c r="H1251" s="218" t="n"/>
      <c r="I1251" s="216" t="n">
        <v>26000</v>
      </c>
      <c r="J1251" s="309" t="n">
        <v>26000</v>
      </c>
      <c r="K1251" s="309" t="n">
        <v>0</v>
      </c>
      <c r="L1251" s="236" t="n">
        <v>11000</v>
      </c>
    </row>
    <row r="1252" ht="15" customHeight="1" s="153">
      <c r="A1252" s="302" t="inlineStr">
        <is>
          <t>02/03/2026</t>
        </is>
      </c>
      <c r="B1252" s="303" t="inlineStr">
        <is>
          <t>Marzo</t>
        </is>
      </c>
      <c r="C1252" s="311" t="inlineStr">
        <is>
          <t>IRMA INGENIEROS 5501</t>
        </is>
      </c>
      <c r="D1252" s="225" t="n">
        <v>1</v>
      </c>
      <c r="E1252" s="225" t="n"/>
      <c r="F1252" s="225" t="n"/>
      <c r="G1252" s="225" t="n"/>
      <c r="H1252" s="225" t="n"/>
      <c r="I1252" s="223" t="n">
        <v>23000</v>
      </c>
      <c r="J1252" s="305" t="n">
        <v>23000</v>
      </c>
      <c r="K1252" s="305" t="n">
        <v>0</v>
      </c>
      <c r="L1252" s="224" t="n">
        <v>8000</v>
      </c>
    </row>
    <row r="1253" ht="15" customHeight="1" s="153">
      <c r="A1253" s="306" t="inlineStr">
        <is>
          <t>04/03/2026</t>
        </is>
      </c>
      <c r="B1253" s="307" t="inlineStr">
        <is>
          <t>Marzo</t>
        </is>
      </c>
      <c r="C1253" s="310" t="inlineStr">
        <is>
          <t>J CAMPILLO 1637</t>
        </is>
      </c>
      <c r="D1253" s="218" t="n"/>
      <c r="E1253" s="218" t="n">
        <v>1</v>
      </c>
      <c r="F1253" s="218" t="n"/>
      <c r="G1253" s="218" t="n"/>
      <c r="H1253" s="218" t="n"/>
      <c r="I1253" s="216" t="n">
        <v>33000</v>
      </c>
      <c r="J1253" s="309" t="n">
        <v>33000</v>
      </c>
      <c r="K1253" s="309" t="n">
        <v>0</v>
      </c>
      <c r="L1253" s="236" t="n">
        <v>10500</v>
      </c>
    </row>
    <row r="1254" ht="15" customHeight="1" s="153">
      <c r="A1254" s="302" t="inlineStr">
        <is>
          <t>16/04/2026</t>
        </is>
      </c>
      <c r="B1254" s="303" t="inlineStr">
        <is>
          <t>Abril</t>
        </is>
      </c>
      <c r="C1254" s="311" t="inlineStr">
        <is>
          <t>J CAMPILLO 3481</t>
        </is>
      </c>
      <c r="D1254" s="225" t="n">
        <v>1</v>
      </c>
      <c r="E1254" s="225" t="n"/>
      <c r="F1254" s="225" t="n"/>
      <c r="G1254" s="225" t="n"/>
      <c r="H1254" s="225" t="n"/>
      <c r="I1254" s="223" t="n">
        <v>27000</v>
      </c>
      <c r="J1254" s="305" t="n">
        <v>27000</v>
      </c>
      <c r="K1254" s="305" t="n">
        <v>0</v>
      </c>
      <c r="L1254" s="224" t="n">
        <v>12000</v>
      </c>
    </row>
    <row r="1255" ht="15" customHeight="1" s="153">
      <c r="A1255" s="306" t="inlineStr">
        <is>
          <t>04/01/2026</t>
        </is>
      </c>
      <c r="B1255" s="307" t="inlineStr">
        <is>
          <t>Enero</t>
        </is>
      </c>
      <c r="C1255" s="310" t="inlineStr">
        <is>
          <t>J CIBILS 2519</t>
        </is>
      </c>
      <c r="D1255" s="218" t="n"/>
      <c r="E1255" s="218" t="n"/>
      <c r="F1255" s="218" t="n">
        <v>1</v>
      </c>
      <c r="G1255" s="218" t="n"/>
      <c r="H1255" s="218" t="n"/>
      <c r="I1255" s="216" t="n">
        <v>72000</v>
      </c>
      <c r="J1255" s="309" t="n">
        <v>0</v>
      </c>
      <c r="K1255" s="309" t="n">
        <v>72000</v>
      </c>
      <c r="L1255" s="236" t="n">
        <v>12000</v>
      </c>
    </row>
    <row r="1256" ht="15" customHeight="1" s="153">
      <c r="A1256" s="302" t="inlineStr">
        <is>
          <t>14/03/2026</t>
        </is>
      </c>
      <c r="B1256" s="303" t="inlineStr">
        <is>
          <t>Marzo</t>
        </is>
      </c>
      <c r="C1256" s="311" t="inlineStr">
        <is>
          <t>J D SOLIS 10529</t>
        </is>
      </c>
      <c r="D1256" s="225" t="n"/>
      <c r="E1256" s="225" t="n"/>
      <c r="F1256" s="225" t="n">
        <v>2</v>
      </c>
      <c r="G1256" s="225" t="n"/>
      <c r="H1256" s="225" t="n"/>
      <c r="I1256" s="223" t="n">
        <v>166000</v>
      </c>
      <c r="J1256" s="305" t="n">
        <v>0</v>
      </c>
      <c r="K1256" s="305" t="n">
        <v>166000</v>
      </c>
      <c r="L1256" s="224" t="n">
        <v>46000</v>
      </c>
    </row>
    <row r="1257" ht="15" customHeight="1" s="153">
      <c r="A1257" s="306" t="inlineStr">
        <is>
          <t>14/03/2026</t>
        </is>
      </c>
      <c r="B1257" s="307" t="inlineStr">
        <is>
          <t>Marzo</t>
        </is>
      </c>
      <c r="C1257" s="310" t="inlineStr">
        <is>
          <t>J DE LA ROSA 459</t>
        </is>
      </c>
      <c r="D1257" s="218" t="n">
        <v>1</v>
      </c>
      <c r="E1257" s="218" t="n"/>
      <c r="F1257" s="218" t="n"/>
      <c r="G1257" s="218" t="n"/>
      <c r="H1257" s="218" t="n"/>
      <c r="I1257" s="216" t="n">
        <v>23000</v>
      </c>
      <c r="J1257" s="309" t="n">
        <v>0</v>
      </c>
      <c r="K1257" s="309" t="n">
        <v>23000</v>
      </c>
      <c r="L1257" s="236" t="n">
        <v>8000</v>
      </c>
    </row>
    <row r="1258" ht="15" customHeight="1" s="153">
      <c r="A1258" s="302" t="inlineStr">
        <is>
          <t>07/03/2026</t>
        </is>
      </c>
      <c r="B1258" s="303" t="inlineStr">
        <is>
          <t>Marzo</t>
        </is>
      </c>
      <c r="C1258" s="311" t="inlineStr">
        <is>
          <t>J P LOPEZ 1875</t>
        </is>
      </c>
      <c r="D1258" s="225" t="n"/>
      <c r="E1258" s="225" t="n">
        <v>1</v>
      </c>
      <c r="F1258" s="225" t="n"/>
      <c r="G1258" s="225" t="n"/>
      <c r="H1258" s="225" t="n"/>
      <c r="I1258" s="223" t="n">
        <v>33000</v>
      </c>
      <c r="J1258" s="305" t="n">
        <v>33000</v>
      </c>
      <c r="K1258" s="305" t="n">
        <v>0</v>
      </c>
      <c r="L1258" s="224" t="n">
        <v>10500</v>
      </c>
    </row>
    <row r="1259" ht="15" customHeight="1" s="153">
      <c r="A1259" s="306" t="inlineStr">
        <is>
          <t>04/04/2026</t>
        </is>
      </c>
      <c r="B1259" s="307" t="inlineStr">
        <is>
          <t>Abril</t>
        </is>
      </c>
      <c r="C1259" s="310" t="inlineStr">
        <is>
          <t>JAURETCHE 10100</t>
        </is>
      </c>
      <c r="D1259" s="218" t="n">
        <v>1</v>
      </c>
      <c r="E1259" s="218" t="n"/>
      <c r="F1259" s="218" t="n"/>
      <c r="G1259" s="218" t="n"/>
      <c r="H1259" s="218" t="n"/>
      <c r="I1259" s="216" t="n">
        <v>25000</v>
      </c>
      <c r="J1259" s="309" t="n">
        <v>20000</v>
      </c>
      <c r="K1259" s="309" t="n">
        <v>5000</v>
      </c>
      <c r="L1259" s="236" t="n">
        <v>10000</v>
      </c>
    </row>
    <row r="1260" ht="15" customHeight="1" s="153">
      <c r="A1260" s="302" t="inlineStr">
        <is>
          <t>20/01/2026</t>
        </is>
      </c>
      <c r="B1260" s="303" t="inlineStr">
        <is>
          <t>Enero</t>
        </is>
      </c>
      <c r="C1260" s="311" t="inlineStr">
        <is>
          <t>JAVIER DE LA ROSA 2480</t>
        </is>
      </c>
      <c r="D1260" s="225" t="n">
        <v>1</v>
      </c>
      <c r="E1260" s="225" t="n"/>
      <c r="F1260" s="225" t="n"/>
      <c r="G1260" s="225" t="n"/>
      <c r="H1260" s="225" t="n"/>
      <c r="I1260" s="223" t="n">
        <v>21000</v>
      </c>
      <c r="J1260" s="305" t="n">
        <v>0</v>
      </c>
      <c r="K1260" s="305" t="n">
        <v>21000</v>
      </c>
      <c r="L1260" s="224" t="n">
        <v>6000</v>
      </c>
    </row>
    <row r="1261" ht="15" customHeight="1" s="153">
      <c r="A1261" s="306" t="inlineStr">
        <is>
          <t>15/04/2026</t>
        </is>
      </c>
      <c r="B1261" s="307" t="inlineStr">
        <is>
          <t>Abril</t>
        </is>
      </c>
      <c r="C1261" s="310" t="inlineStr">
        <is>
          <t>JAVIER DE LA ROSA 459</t>
        </is>
      </c>
      <c r="D1261" s="218" t="n">
        <v>1</v>
      </c>
      <c r="E1261" s="218" t="n">
        <v>1</v>
      </c>
      <c r="F1261" s="218" t="n"/>
      <c r="G1261" s="218" t="n"/>
      <c r="H1261" s="218" t="n"/>
      <c r="I1261" s="216" t="n">
        <v>61500</v>
      </c>
      <c r="J1261" s="309" t="n">
        <v>0</v>
      </c>
      <c r="K1261" s="309" t="n">
        <v>61500</v>
      </c>
      <c r="L1261" s="236" t="n">
        <v>24000</v>
      </c>
    </row>
    <row r="1262" ht="15" customHeight="1" s="153">
      <c r="A1262" s="302" t="inlineStr">
        <is>
          <t>20/04/2026</t>
        </is>
      </c>
      <c r="B1262" s="303" t="inlineStr">
        <is>
          <t>Abril</t>
        </is>
      </c>
      <c r="C1262" s="311" t="inlineStr">
        <is>
          <t>JAVIER DE LA ROSA 5767</t>
        </is>
      </c>
      <c r="D1262" s="225" t="n"/>
      <c r="E1262" s="225" t="n">
        <v>1</v>
      </c>
      <c r="F1262" s="225" t="n"/>
      <c r="G1262" s="225" t="n"/>
      <c r="H1262" s="225" t="n"/>
      <c r="I1262" s="223" t="n">
        <v>37500</v>
      </c>
      <c r="J1262" s="305" t="n">
        <v>0</v>
      </c>
      <c r="K1262" s="305" t="n">
        <v>37500</v>
      </c>
      <c r="L1262" s="224" t="n">
        <v>15000</v>
      </c>
    </row>
    <row r="1263" ht="15" customHeight="1" s="153">
      <c r="A1263" s="306" t="inlineStr">
        <is>
          <t>08/01/2026</t>
        </is>
      </c>
      <c r="B1263" s="307" t="inlineStr">
        <is>
          <t>Enero</t>
        </is>
      </c>
      <c r="C1263" s="310" t="inlineStr">
        <is>
          <t>JEMA BURGUER</t>
        </is>
      </c>
      <c r="D1263" s="218" t="n"/>
      <c r="E1263" s="218" t="n"/>
      <c r="F1263" s="218" t="n"/>
      <c r="G1263" s="218" t="n"/>
      <c r="H1263" s="218" t="n">
        <v>3</v>
      </c>
      <c r="I1263" s="216" t="n">
        <v>14400</v>
      </c>
      <c r="J1263" s="309" t="n">
        <v>14400</v>
      </c>
      <c r="K1263" s="309" t="n">
        <v>0</v>
      </c>
      <c r="L1263" s="236" t="n">
        <v>11850</v>
      </c>
    </row>
    <row r="1264" ht="15" customHeight="1" s="153">
      <c r="A1264" s="302" t="inlineStr">
        <is>
          <t>16/04/2026</t>
        </is>
      </c>
      <c r="B1264" s="303" t="inlineStr">
        <is>
          <t>Abril</t>
        </is>
      </c>
      <c r="C1264" s="311" t="inlineStr">
        <is>
          <t>JJ VALLE 5511</t>
        </is>
      </c>
      <c r="D1264" s="225" t="n">
        <v>1</v>
      </c>
      <c r="E1264" s="225" t="n"/>
      <c r="F1264" s="225" t="n"/>
      <c r="G1264" s="225" t="n"/>
      <c r="H1264" s="225" t="n"/>
      <c r="I1264" s="223" t="n">
        <v>26000</v>
      </c>
      <c r="J1264" s="305" t="n">
        <v>26000</v>
      </c>
      <c r="K1264" s="305" t="n">
        <v>0</v>
      </c>
      <c r="L1264" s="224" t="n">
        <v>11000</v>
      </c>
    </row>
    <row r="1265" ht="15" customHeight="1" s="153">
      <c r="A1265" s="306" t="inlineStr">
        <is>
          <t>12/01/2026</t>
        </is>
      </c>
      <c r="B1265" s="307" t="inlineStr">
        <is>
          <t>Enero</t>
        </is>
      </c>
      <c r="C1265" s="310" t="inlineStr">
        <is>
          <t>JM ZUVIRIA 2143</t>
        </is>
      </c>
      <c r="D1265" s="218" t="n"/>
      <c r="E1265" s="218" t="n">
        <v>1</v>
      </c>
      <c r="F1265" s="218" t="n"/>
      <c r="G1265" s="218" t="n"/>
      <c r="H1265" s="218" t="n"/>
      <c r="I1265" s="216" t="n">
        <v>34000</v>
      </c>
      <c r="J1265" s="309" t="n">
        <v>34000</v>
      </c>
      <c r="K1265" s="309" t="n">
        <v>0</v>
      </c>
      <c r="L1265" s="236" t="n">
        <v>11500</v>
      </c>
    </row>
    <row r="1266" ht="15" customHeight="1" s="153">
      <c r="A1266" s="302" t="inlineStr">
        <is>
          <t>24/03/2026</t>
        </is>
      </c>
      <c r="B1266" s="303" t="inlineStr">
        <is>
          <t>Marzo</t>
        </is>
      </c>
      <c r="C1266" s="311" t="inlineStr">
        <is>
          <t>JM ZUVIRIA 3439</t>
        </is>
      </c>
      <c r="D1266" s="225" t="n">
        <v>1</v>
      </c>
      <c r="E1266" s="225" t="n"/>
      <c r="F1266" s="225" t="n"/>
      <c r="G1266" s="225" t="n"/>
      <c r="H1266" s="225" t="n"/>
      <c r="I1266" s="223" t="n">
        <v>24000</v>
      </c>
      <c r="J1266" s="305" t="n">
        <v>0</v>
      </c>
      <c r="K1266" s="305" t="n">
        <v>24000</v>
      </c>
      <c r="L1266" s="224" t="n">
        <v>9000</v>
      </c>
    </row>
    <row r="1267" ht="15" customHeight="1" s="153">
      <c r="A1267" s="306" t="inlineStr">
        <is>
          <t>24/03/2026</t>
        </is>
      </c>
      <c r="B1267" s="307" t="inlineStr">
        <is>
          <t>Marzo</t>
        </is>
      </c>
      <c r="C1267" s="310" t="inlineStr">
        <is>
          <t>JORGE VIANDA</t>
        </is>
      </c>
      <c r="D1267" s="218" t="n">
        <v>1</v>
      </c>
      <c r="E1267" s="218" t="n"/>
      <c r="F1267" s="218" t="n"/>
      <c r="G1267" s="218" t="n"/>
      <c r="H1267" s="218" t="n"/>
      <c r="I1267" s="216" t="n">
        <v>20000</v>
      </c>
      <c r="J1267" s="309" t="n">
        <v>20000</v>
      </c>
      <c r="K1267" s="309" t="n">
        <v>0</v>
      </c>
      <c r="L1267" s="236" t="n">
        <v>5000</v>
      </c>
    </row>
    <row r="1268" ht="15" customHeight="1" s="153">
      <c r="A1268" s="302" t="inlineStr">
        <is>
          <t>13/03/2026</t>
        </is>
      </c>
      <c r="B1268" s="303" t="inlineStr">
        <is>
          <t>Marzo</t>
        </is>
      </c>
      <c r="C1268" s="311" t="inlineStr">
        <is>
          <t>JORGE VIANDAS</t>
        </is>
      </c>
      <c r="D1268" s="225" t="n">
        <v>1</v>
      </c>
      <c r="E1268" s="225" t="n"/>
      <c r="F1268" s="225" t="n"/>
      <c r="G1268" s="225" t="n"/>
      <c r="H1268" s="225" t="n"/>
      <c r="I1268" s="223" t="n">
        <v>20000</v>
      </c>
      <c r="J1268" s="305" t="n">
        <v>20000</v>
      </c>
      <c r="K1268" s="305" t="n">
        <v>0</v>
      </c>
      <c r="L1268" s="224" t="n">
        <v>5000</v>
      </c>
    </row>
    <row r="1269" ht="15" customHeight="1" s="153">
      <c r="A1269" s="306" t="inlineStr">
        <is>
          <t>01/03/2026</t>
        </is>
      </c>
      <c r="B1269" s="307" t="inlineStr">
        <is>
          <t>Marzo</t>
        </is>
      </c>
      <c r="C1269" s="310" t="inlineStr">
        <is>
          <t>JOSE CIBILS</t>
        </is>
      </c>
      <c r="D1269" s="218" t="n"/>
      <c r="E1269" s="218" t="n"/>
      <c r="F1269" s="218" t="n">
        <v>1</v>
      </c>
      <c r="G1269" s="218" t="n"/>
      <c r="H1269" s="218" t="n"/>
      <c r="I1269" s="216" t="n">
        <v>76000</v>
      </c>
      <c r="J1269" s="309" t="n">
        <v>0</v>
      </c>
      <c r="K1269" s="309" t="n">
        <v>76000</v>
      </c>
      <c r="L1269" s="236" t="n">
        <v>16000</v>
      </c>
    </row>
    <row r="1270" ht="15" customHeight="1" s="153">
      <c r="A1270" s="302" t="inlineStr">
        <is>
          <t>04/04/2026</t>
        </is>
      </c>
      <c r="B1270" s="303" t="inlineStr">
        <is>
          <t>Abril</t>
        </is>
      </c>
      <c r="C1270" s="311" t="inlineStr">
        <is>
          <t>JOSE CIBILS 2467</t>
        </is>
      </c>
      <c r="D1270" s="225" t="n"/>
      <c r="E1270" s="225" t="n"/>
      <c r="F1270" s="225" t="n">
        <v>1</v>
      </c>
      <c r="G1270" s="225" t="n"/>
      <c r="H1270" s="225" t="n"/>
      <c r="I1270" s="223" t="n">
        <v>84000</v>
      </c>
      <c r="J1270" s="305" t="n">
        <v>0</v>
      </c>
      <c r="K1270" s="305" t="n">
        <v>84000</v>
      </c>
      <c r="L1270" s="224" t="n">
        <v>24000</v>
      </c>
    </row>
    <row r="1271" ht="15" customHeight="1" s="153">
      <c r="A1271" s="306" t="inlineStr">
        <is>
          <t>14/01/2026</t>
        </is>
      </c>
      <c r="B1271" s="307" t="inlineStr">
        <is>
          <t>Enero</t>
        </is>
      </c>
      <c r="C1271" s="310" t="inlineStr">
        <is>
          <t>JOSE MONTEVERA</t>
        </is>
      </c>
      <c r="D1271" s="218" t="n"/>
      <c r="E1271" s="218" t="n"/>
      <c r="F1271" s="218" t="n">
        <v>1</v>
      </c>
      <c r="G1271" s="218" t="n"/>
      <c r="H1271" s="218" t="n"/>
      <c r="I1271" s="216" t="n">
        <v>77000</v>
      </c>
      <c r="J1271" s="309" t="n">
        <v>77000</v>
      </c>
      <c r="K1271" s="309" t="n">
        <v>0</v>
      </c>
      <c r="L1271" s="236" t="n">
        <v>17000</v>
      </c>
    </row>
    <row r="1272" ht="15" customHeight="1" s="153">
      <c r="A1272" s="306" t="inlineStr">
        <is>
          <t>18/03/2026</t>
        </is>
      </c>
      <c r="B1272" s="307" t="inlineStr">
        <is>
          <t>Marzo</t>
        </is>
      </c>
      <c r="C1272" s="310" t="inlineStr">
        <is>
          <t>JOSE MONTEVERA</t>
        </is>
      </c>
      <c r="D1272" s="218" t="n"/>
      <c r="E1272" s="218" t="n"/>
      <c r="F1272" s="218" t="n">
        <v>1</v>
      </c>
      <c r="G1272" s="218" t="n"/>
      <c r="H1272" s="218" t="n"/>
      <c r="I1272" s="216" t="n">
        <v>83000</v>
      </c>
      <c r="J1272" s="309" t="n">
        <v>83000</v>
      </c>
      <c r="K1272" s="309" t="n">
        <v>0</v>
      </c>
      <c r="L1272" s="236" t="n">
        <v>23000</v>
      </c>
    </row>
    <row r="1273" ht="15" customHeight="1" s="153">
      <c r="A1273" s="302" t="inlineStr">
        <is>
          <t>07/04/2026</t>
        </is>
      </c>
      <c r="B1273" s="303" t="inlineStr">
        <is>
          <t>Abril</t>
        </is>
      </c>
      <c r="C1273" s="311" t="inlineStr">
        <is>
          <t>JP LOPE 2580</t>
        </is>
      </c>
      <c r="D1273" s="225" t="n">
        <v>1</v>
      </c>
      <c r="E1273" s="225" t="n"/>
      <c r="F1273" s="225" t="n"/>
      <c r="G1273" s="225" t="n"/>
      <c r="H1273" s="225" t="n"/>
      <c r="I1273" s="223" t="n">
        <v>26000</v>
      </c>
      <c r="J1273" s="305" t="n">
        <v>26000</v>
      </c>
      <c r="K1273" s="305" t="n">
        <v>0</v>
      </c>
      <c r="L1273" s="224" t="n">
        <v>11000</v>
      </c>
    </row>
    <row r="1274" ht="15" customHeight="1" s="153">
      <c r="A1274" s="306" t="inlineStr">
        <is>
          <t>22/02/2026</t>
        </is>
      </c>
      <c r="B1274" s="307" t="inlineStr">
        <is>
          <t>Febrero</t>
        </is>
      </c>
      <c r="C1274" s="310" t="inlineStr">
        <is>
          <t>JP LOPEZ 2045</t>
        </is>
      </c>
      <c r="D1274" s="218" t="n">
        <v>1</v>
      </c>
      <c r="E1274" s="218" t="n"/>
      <c r="F1274" s="218" t="n"/>
      <c r="G1274" s="218" t="n"/>
      <c r="H1274" s="218" t="n"/>
      <c r="I1274" s="216" t="n">
        <v>22000</v>
      </c>
      <c r="J1274" s="309" t="n">
        <v>22000</v>
      </c>
      <c r="K1274" s="309" t="n">
        <v>0</v>
      </c>
      <c r="L1274" s="236" t="n">
        <v>7000</v>
      </c>
    </row>
    <row r="1275" ht="15" customHeight="1" s="153">
      <c r="A1275" s="302" t="inlineStr">
        <is>
          <t>27/01/2026</t>
        </is>
      </c>
      <c r="B1275" s="303" t="inlineStr">
        <is>
          <t>Enero</t>
        </is>
      </c>
      <c r="C1275" s="311" t="inlineStr">
        <is>
          <t>JP LOPEZ 2580</t>
        </is>
      </c>
      <c r="D1275" s="225" t="n">
        <v>1</v>
      </c>
      <c r="E1275" s="225" t="n"/>
      <c r="F1275" s="225" t="n"/>
      <c r="G1275" s="225" t="n"/>
      <c r="H1275" s="225" t="n"/>
      <c r="I1275" s="223" t="n">
        <v>22000</v>
      </c>
      <c r="J1275" s="305" t="n">
        <v>22000</v>
      </c>
      <c r="K1275" s="305" t="n">
        <v>0</v>
      </c>
      <c r="L1275" s="224" t="n">
        <v>7000</v>
      </c>
    </row>
    <row r="1276" ht="15" customHeight="1" s="153">
      <c r="A1276" s="306" t="inlineStr">
        <is>
          <t>16/02/2026</t>
        </is>
      </c>
      <c r="B1276" s="307" t="inlineStr">
        <is>
          <t>Febrero</t>
        </is>
      </c>
      <c r="C1276" s="310" t="inlineStr">
        <is>
          <t>JUAN AZUAGA</t>
        </is>
      </c>
      <c r="D1276" s="218" t="n">
        <v>1</v>
      </c>
      <c r="E1276" s="218" t="n"/>
      <c r="F1276" s="218" t="n"/>
      <c r="G1276" s="218" t="n"/>
      <c r="H1276" s="218" t="n"/>
      <c r="I1276" s="216" t="n">
        <v>17000</v>
      </c>
      <c r="J1276" s="309" t="n">
        <v>17000</v>
      </c>
      <c r="K1276" s="309" t="n">
        <v>0</v>
      </c>
      <c r="L1276" s="236" t="n">
        <v>2000</v>
      </c>
    </row>
    <row r="1277" ht="15" customHeight="1" s="153">
      <c r="A1277" s="306" t="inlineStr">
        <is>
          <t>16/04/2026</t>
        </is>
      </c>
      <c r="B1277" s="307" t="inlineStr">
        <is>
          <t>Abril</t>
        </is>
      </c>
      <c r="C1277" s="310" t="inlineStr">
        <is>
          <t>JUAN AZUAGA</t>
        </is>
      </c>
      <c r="D1277" s="218" t="n">
        <v>1</v>
      </c>
      <c r="E1277" s="218" t="n"/>
      <c r="F1277" s="218" t="n"/>
      <c r="G1277" s="218" t="n"/>
      <c r="H1277" s="218" t="n"/>
      <c r="I1277" s="216" t="n">
        <v>20000</v>
      </c>
      <c r="J1277" s="309" t="n">
        <v>20000</v>
      </c>
      <c r="K1277" s="309" t="n">
        <v>0</v>
      </c>
      <c r="L1277" s="236" t="n">
        <v>5000</v>
      </c>
    </row>
    <row r="1278" ht="15" customHeight="1" s="153">
      <c r="A1278" s="302" t="inlineStr">
        <is>
          <t>20/04/2026</t>
        </is>
      </c>
      <c r="B1278" s="303" t="inlineStr">
        <is>
          <t>Abril</t>
        </is>
      </c>
      <c r="C1278" s="311" t="inlineStr">
        <is>
          <t>JUAN DE GARAY 3453</t>
        </is>
      </c>
      <c r="D1278" s="225" t="n">
        <v>1</v>
      </c>
      <c r="E1278" s="225" t="n"/>
      <c r="F1278" s="225" t="n"/>
      <c r="G1278" s="225" t="n"/>
      <c r="H1278" s="225" t="n"/>
      <c r="I1278" s="223" t="n">
        <v>26000</v>
      </c>
      <c r="J1278" s="305" t="n">
        <v>26000</v>
      </c>
      <c r="K1278" s="305" t="n">
        <v>0</v>
      </c>
      <c r="L1278" s="224" t="n">
        <v>11000</v>
      </c>
    </row>
    <row r="1279" ht="15" customHeight="1" s="153">
      <c r="A1279" s="306" t="inlineStr">
        <is>
          <t>09/01/2026</t>
        </is>
      </c>
      <c r="B1279" s="307" t="inlineStr">
        <is>
          <t>Enero</t>
        </is>
      </c>
      <c r="C1279" s="310" t="inlineStr">
        <is>
          <t>JUJUY 3451</t>
        </is>
      </c>
      <c r="D1279" s="218" t="n">
        <v>1</v>
      </c>
      <c r="E1279" s="218" t="n"/>
      <c r="F1279" s="218" t="n"/>
      <c r="G1279" s="218" t="n"/>
      <c r="H1279" s="218" t="n"/>
      <c r="I1279" s="216" t="n">
        <v>22000</v>
      </c>
      <c r="J1279" s="309" t="n">
        <v>22000</v>
      </c>
      <c r="K1279" s="309" t="n">
        <v>0</v>
      </c>
      <c r="L1279" s="236" t="n">
        <v>7000</v>
      </c>
    </row>
    <row r="1280" ht="15" customHeight="1" s="153">
      <c r="A1280" s="302" t="inlineStr">
        <is>
          <t>13/03/2026</t>
        </is>
      </c>
      <c r="B1280" s="303" t="inlineStr">
        <is>
          <t>Marzo</t>
        </is>
      </c>
      <c r="C1280" s="311" t="inlineStr">
        <is>
          <t>L Y PLANES 3884</t>
        </is>
      </c>
      <c r="D1280" s="225" t="n"/>
      <c r="E1280" s="225" t="n"/>
      <c r="F1280" s="225" t="n">
        <v>1</v>
      </c>
      <c r="G1280" s="225" t="n"/>
      <c r="H1280" s="225" t="n"/>
      <c r="I1280" s="223" t="n">
        <v>79900</v>
      </c>
      <c r="J1280" s="305" t="n">
        <v>0</v>
      </c>
      <c r="K1280" s="305" t="n">
        <v>79900</v>
      </c>
      <c r="L1280" s="224" t="n">
        <v>19900</v>
      </c>
    </row>
    <row r="1281" ht="15" customHeight="1" s="153">
      <c r="A1281" s="306" t="inlineStr">
        <is>
          <t>17/02/2026</t>
        </is>
      </c>
      <c r="B1281" s="307" t="inlineStr">
        <is>
          <t>Febrero</t>
        </is>
      </c>
      <c r="C1281" s="310" t="inlineStr">
        <is>
          <t>LA MADRID 2059</t>
        </is>
      </c>
      <c r="D1281" s="218" t="n">
        <v>1</v>
      </c>
      <c r="E1281" s="218" t="n"/>
      <c r="F1281" s="218" t="n"/>
      <c r="G1281" s="218" t="n"/>
      <c r="H1281" s="218" t="n"/>
      <c r="I1281" s="216" t="n">
        <v>22000</v>
      </c>
      <c r="J1281" s="309" t="n">
        <v>22000</v>
      </c>
      <c r="K1281" s="309" t="n">
        <v>0</v>
      </c>
      <c r="L1281" s="236" t="n">
        <v>7000</v>
      </c>
    </row>
    <row r="1282" ht="15" customHeight="1" s="153">
      <c r="A1282" s="302" t="inlineStr">
        <is>
          <t>30/01/2026</t>
        </is>
      </c>
      <c r="B1282" s="303" t="inlineStr">
        <is>
          <t>Enero</t>
        </is>
      </c>
      <c r="C1282" s="311" t="inlineStr">
        <is>
          <t>LA MADRID 4736</t>
        </is>
      </c>
      <c r="D1282" s="225" t="n">
        <v>1</v>
      </c>
      <c r="E1282" s="225" t="n"/>
      <c r="F1282" s="225" t="n"/>
      <c r="G1282" s="225" t="n"/>
      <c r="H1282" s="225" t="n"/>
      <c r="I1282" s="223" t="n">
        <v>21000</v>
      </c>
      <c r="J1282" s="305" t="n">
        <v>21000</v>
      </c>
      <c r="K1282" s="305" t="n">
        <v>0</v>
      </c>
      <c r="L1282" s="224" t="n">
        <v>6000</v>
      </c>
    </row>
    <row r="1283" ht="15" customHeight="1" s="153">
      <c r="A1283" s="306" t="inlineStr">
        <is>
          <t>24/03/2026</t>
        </is>
      </c>
      <c r="B1283" s="307" t="inlineStr">
        <is>
          <t>Marzo</t>
        </is>
      </c>
      <c r="C1283" s="310" t="inlineStr">
        <is>
          <t>LA MADRID 6330</t>
        </is>
      </c>
      <c r="D1283" s="218" t="n">
        <v>1</v>
      </c>
      <c r="E1283" s="218" t="n"/>
      <c r="F1283" s="218" t="n"/>
      <c r="G1283" s="218" t="n"/>
      <c r="H1283" s="218" t="n"/>
      <c r="I1283" s="216" t="n">
        <v>16500</v>
      </c>
      <c r="J1283" s="309" t="n">
        <v>16500</v>
      </c>
      <c r="K1283" s="309" t="n">
        <v>0</v>
      </c>
      <c r="L1283" s="236" t="n">
        <v>1500</v>
      </c>
    </row>
    <row r="1284" ht="15" customHeight="1" s="153">
      <c r="A1284" s="302" t="inlineStr">
        <is>
          <t>01/04/2026</t>
        </is>
      </c>
      <c r="B1284" s="303" t="inlineStr">
        <is>
          <t>Abril</t>
        </is>
      </c>
      <c r="C1284" s="311" t="inlineStr">
        <is>
          <t>LA MADRID 7175</t>
        </is>
      </c>
      <c r="D1284" s="225" t="n"/>
      <c r="E1284" s="225" t="n">
        <v>1</v>
      </c>
      <c r="F1284" s="225" t="n"/>
      <c r="G1284" s="225" t="n"/>
      <c r="H1284" s="225" t="n"/>
      <c r="I1284" s="223" t="n">
        <v>39000</v>
      </c>
      <c r="J1284" s="305" t="n">
        <v>0</v>
      </c>
      <c r="K1284" s="305" t="n">
        <v>39000</v>
      </c>
      <c r="L1284" s="224" t="n">
        <v>16500</v>
      </c>
    </row>
    <row r="1285" ht="15" customHeight="1" s="153">
      <c r="A1285" s="306" t="inlineStr">
        <is>
          <t>18/04/2026</t>
        </is>
      </c>
      <c r="B1285" s="307" t="inlineStr">
        <is>
          <t>Abril</t>
        </is>
      </c>
      <c r="C1285" s="310" t="inlineStr">
        <is>
          <t>LA PAZ 4556</t>
        </is>
      </c>
      <c r="D1285" s="218" t="n">
        <v>1</v>
      </c>
      <c r="E1285" s="218" t="n"/>
      <c r="F1285" s="218" t="n"/>
      <c r="G1285" s="218" t="n"/>
      <c r="H1285" s="218" t="n"/>
      <c r="I1285" s="216" t="n">
        <v>25000</v>
      </c>
      <c r="J1285" s="309" t="n">
        <v>0</v>
      </c>
      <c r="K1285" s="309" t="n">
        <v>25000</v>
      </c>
      <c r="L1285" s="236" t="n">
        <v>10000</v>
      </c>
    </row>
    <row r="1286" ht="15" customHeight="1" s="153">
      <c r="A1286" s="302" t="inlineStr">
        <is>
          <t>05/02/2026</t>
        </is>
      </c>
      <c r="B1286" s="303" t="inlineStr">
        <is>
          <t>Abril</t>
        </is>
      </c>
      <c r="C1286" s="311" t="inlineStr">
        <is>
          <t>LA PLATA 2834</t>
        </is>
      </c>
      <c r="D1286" s="225" t="n"/>
      <c r="E1286" s="225" t="n"/>
      <c r="F1286" s="225" t="n">
        <v>1</v>
      </c>
      <c r="G1286" s="225" t="n"/>
      <c r="H1286" s="225" t="n"/>
      <c r="I1286" s="223" t="n">
        <v>90000</v>
      </c>
      <c r="J1286" s="305" t="n">
        <v>0</v>
      </c>
      <c r="K1286" s="305" t="n">
        <v>90000</v>
      </c>
      <c r="L1286" s="224" t="n">
        <v>30000</v>
      </c>
    </row>
    <row r="1287" ht="15" customHeight="1" s="153">
      <c r="A1287" s="306" t="inlineStr">
        <is>
          <t>28/02/2026</t>
        </is>
      </c>
      <c r="B1287" s="307" t="inlineStr">
        <is>
          <t>Febrero</t>
        </is>
      </c>
      <c r="C1287" s="310" t="inlineStr">
        <is>
          <t>LA RIOJA 3552</t>
        </is>
      </c>
      <c r="D1287" s="218" t="n">
        <v>1</v>
      </c>
      <c r="E1287" s="218" t="n"/>
      <c r="F1287" s="218" t="n"/>
      <c r="G1287" s="218" t="n"/>
      <c r="H1287" s="218" t="n"/>
      <c r="I1287" s="216" t="n">
        <v>23000</v>
      </c>
      <c r="J1287" s="309" t="n">
        <v>23000</v>
      </c>
      <c r="K1287" s="309" t="n">
        <v>0</v>
      </c>
      <c r="L1287" s="236" t="n">
        <v>8000</v>
      </c>
    </row>
    <row r="1288" ht="15" customHeight="1" s="153">
      <c r="A1288" s="302" t="inlineStr">
        <is>
          <t>03/02/2026</t>
        </is>
      </c>
      <c r="B1288" s="303" t="inlineStr">
        <is>
          <t>Febrero</t>
        </is>
      </c>
      <c r="C1288" s="311" t="inlineStr">
        <is>
          <t>LA SALLE 3151</t>
        </is>
      </c>
      <c r="D1288" s="225" t="n"/>
      <c r="E1288" s="225" t="n"/>
      <c r="F1288" s="225" t="n">
        <v>1</v>
      </c>
      <c r="G1288" s="225" t="n"/>
      <c r="H1288" s="225" t="n"/>
      <c r="I1288" s="223" t="n">
        <v>73500</v>
      </c>
      <c r="J1288" s="305" t="n">
        <v>73500</v>
      </c>
      <c r="K1288" s="305" t="n">
        <v>0</v>
      </c>
      <c r="L1288" s="224" t="n">
        <v>13500</v>
      </c>
    </row>
    <row r="1289" ht="15" customHeight="1" s="153">
      <c r="A1289" s="306" t="inlineStr">
        <is>
          <t>16/03/2026</t>
        </is>
      </c>
      <c r="B1289" s="307" t="inlineStr">
        <is>
          <t>Marzo</t>
        </is>
      </c>
      <c r="C1289" s="310" t="inlineStr">
        <is>
          <t>LA SALLE 4625</t>
        </is>
      </c>
      <c r="D1289" s="218" t="n"/>
      <c r="E1289" s="218" t="n"/>
      <c r="F1289" s="218" t="n">
        <v>1</v>
      </c>
      <c r="G1289" s="218" t="n"/>
      <c r="H1289" s="218" t="n"/>
      <c r="I1289" s="216" t="n">
        <v>83000</v>
      </c>
      <c r="J1289" s="309" t="n">
        <v>0</v>
      </c>
      <c r="K1289" s="309" t="n">
        <v>83000</v>
      </c>
      <c r="L1289" s="236" t="n">
        <v>23000</v>
      </c>
    </row>
    <row r="1290" ht="15" customHeight="1" s="153">
      <c r="A1290" s="302" t="inlineStr">
        <is>
          <t>06/04/2026</t>
        </is>
      </c>
      <c r="B1290" s="303" t="inlineStr">
        <is>
          <t>Abril</t>
        </is>
      </c>
      <c r="C1290" s="311" t="inlineStr">
        <is>
          <t>LA SALLE 6030</t>
        </is>
      </c>
      <c r="D1290" s="225" t="n"/>
      <c r="E1290" s="225" t="n"/>
      <c r="F1290" s="225" t="n">
        <v>1</v>
      </c>
      <c r="G1290" s="225" t="n"/>
      <c r="H1290" s="225" t="n"/>
      <c r="I1290" s="223" t="n">
        <v>86000</v>
      </c>
      <c r="J1290" s="305" t="n">
        <v>86000</v>
      </c>
      <c r="K1290" s="305" t="n">
        <v>0</v>
      </c>
      <c r="L1290" s="224" t="n">
        <v>26000</v>
      </c>
    </row>
    <row r="1291" ht="15" customHeight="1" s="153">
      <c r="A1291" s="306" t="inlineStr">
        <is>
          <t>04/04/2026</t>
        </is>
      </c>
      <c r="B1291" s="307" t="inlineStr">
        <is>
          <t>Abril</t>
        </is>
      </c>
      <c r="C1291" s="310" t="inlineStr">
        <is>
          <t>LA SALLE Y PUBLICO</t>
        </is>
      </c>
      <c r="D1291" s="218" t="n"/>
      <c r="E1291" s="218" t="n"/>
      <c r="F1291" s="218" t="n">
        <v>1</v>
      </c>
      <c r="G1291" s="218" t="n"/>
      <c r="H1291" s="218" t="n"/>
      <c r="I1291" s="216" t="n">
        <v>84000</v>
      </c>
      <c r="J1291" s="309" t="n">
        <v>0</v>
      </c>
      <c r="K1291" s="309" t="n">
        <v>84000</v>
      </c>
      <c r="L1291" s="236" t="n">
        <v>24000</v>
      </c>
    </row>
    <row r="1292" ht="15" customHeight="1" s="153">
      <c r="A1292" s="302" t="inlineStr">
        <is>
          <t>16/01/2026</t>
        </is>
      </c>
      <c r="B1292" s="303" t="inlineStr">
        <is>
          <t>Enero</t>
        </is>
      </c>
      <c r="C1292" s="311" t="inlineStr">
        <is>
          <t>LALO</t>
        </is>
      </c>
      <c r="D1292" s="225" t="n"/>
      <c r="E1292" s="225" t="n"/>
      <c r="F1292" s="225" t="n">
        <v>1</v>
      </c>
      <c r="G1292" s="225" t="n"/>
      <c r="H1292" s="225" t="n"/>
      <c r="I1292" s="223" t="n">
        <v>77000</v>
      </c>
      <c r="J1292" s="305" t="n">
        <v>77000</v>
      </c>
      <c r="K1292" s="305" t="n">
        <v>0</v>
      </c>
      <c r="L1292" s="224" t="n">
        <v>17000</v>
      </c>
    </row>
    <row r="1293" ht="15" customHeight="1" s="153">
      <c r="A1293" s="302" t="inlineStr">
        <is>
          <t>27/02/2026</t>
        </is>
      </c>
      <c r="B1293" s="303" t="inlineStr">
        <is>
          <t>Febrero</t>
        </is>
      </c>
      <c r="C1293" s="311" t="inlineStr">
        <is>
          <t>LALO</t>
        </is>
      </c>
      <c r="D1293" s="225" t="n"/>
      <c r="E1293" s="225" t="n"/>
      <c r="F1293" s="225" t="n">
        <v>1</v>
      </c>
      <c r="G1293" s="225" t="n"/>
      <c r="H1293" s="225" t="n"/>
      <c r="I1293" s="223" t="n">
        <v>76000</v>
      </c>
      <c r="J1293" s="305" t="n">
        <v>76000</v>
      </c>
      <c r="K1293" s="305" t="n">
        <v>0</v>
      </c>
      <c r="L1293" s="224" t="n">
        <v>16000</v>
      </c>
    </row>
    <row r="1294" ht="15" customHeight="1" s="153">
      <c r="A1294" s="306" t="inlineStr">
        <is>
          <t>04/04/2026</t>
        </is>
      </c>
      <c r="B1294" s="307" t="inlineStr">
        <is>
          <t>Abril</t>
        </is>
      </c>
      <c r="C1294" s="310" t="inlineStr">
        <is>
          <t>LAPACHOS 1840</t>
        </is>
      </c>
      <c r="D1294" s="218" t="n"/>
      <c r="E1294" s="218" t="n"/>
      <c r="F1294" s="218" t="n">
        <v>1</v>
      </c>
      <c r="G1294" s="218" t="n"/>
      <c r="H1294" s="218" t="n"/>
      <c r="I1294" s="216" t="n">
        <v>86000</v>
      </c>
      <c r="J1294" s="309" t="n">
        <v>0</v>
      </c>
      <c r="K1294" s="309" t="n">
        <v>86000</v>
      </c>
      <c r="L1294" s="236" t="n">
        <v>26000</v>
      </c>
    </row>
    <row r="1295" ht="15" customHeight="1" s="153">
      <c r="A1295" s="302" t="inlineStr">
        <is>
          <t>30/01/2026</t>
        </is>
      </c>
      <c r="B1295" s="303" t="inlineStr">
        <is>
          <t>Enero</t>
        </is>
      </c>
      <c r="C1295" s="311" t="inlineStr">
        <is>
          <t>LARGUIA 6924</t>
        </is>
      </c>
      <c r="D1295" s="225" t="n">
        <v>1</v>
      </c>
      <c r="E1295" s="225" t="n"/>
      <c r="F1295" s="225" t="n"/>
      <c r="G1295" s="225" t="n"/>
      <c r="H1295" s="225" t="n"/>
      <c r="I1295" s="223" t="n">
        <v>21000</v>
      </c>
      <c r="J1295" s="305" t="n">
        <v>21000</v>
      </c>
      <c r="K1295" s="305" t="n">
        <v>0</v>
      </c>
      <c r="L1295" s="224" t="n">
        <v>6000</v>
      </c>
    </row>
    <row r="1296" ht="15" customHeight="1" s="153">
      <c r="A1296" s="302" t="inlineStr">
        <is>
          <t>05/03/2026</t>
        </is>
      </c>
      <c r="B1296" s="303" t="inlineStr">
        <is>
          <t>Marzo</t>
        </is>
      </c>
      <c r="C1296" s="311" t="inlineStr">
        <is>
          <t>LARGUIA 6924</t>
        </is>
      </c>
      <c r="D1296" s="225" t="n">
        <v>1</v>
      </c>
      <c r="E1296" s="225" t="n"/>
      <c r="F1296" s="225" t="n"/>
      <c r="G1296" s="225" t="n"/>
      <c r="H1296" s="225" t="n"/>
      <c r="I1296" s="223" t="n">
        <v>22500</v>
      </c>
      <c r="J1296" s="305" t="n">
        <v>0</v>
      </c>
      <c r="K1296" s="305" t="n">
        <v>22500</v>
      </c>
      <c r="L1296" s="224" t="n">
        <v>7500</v>
      </c>
    </row>
    <row r="1297" ht="15" customHeight="1" s="153">
      <c r="A1297" s="302" t="inlineStr">
        <is>
          <t>02/04/2026</t>
        </is>
      </c>
      <c r="B1297" s="303" t="inlineStr">
        <is>
          <t>Abril</t>
        </is>
      </c>
      <c r="C1297" s="311" t="inlineStr">
        <is>
          <t>LARGUIA 6924</t>
        </is>
      </c>
      <c r="D1297" s="225" t="n">
        <v>1</v>
      </c>
      <c r="E1297" s="225" t="n"/>
      <c r="F1297" s="225" t="n"/>
      <c r="G1297" s="225" t="n"/>
      <c r="H1297" s="225" t="n"/>
      <c r="I1297" s="223" t="n">
        <v>25000</v>
      </c>
      <c r="J1297" s="305" t="n">
        <v>25000</v>
      </c>
      <c r="K1297" s="305" t="n">
        <v>0</v>
      </c>
      <c r="L1297" s="224" t="n">
        <v>10000</v>
      </c>
    </row>
    <row r="1298" ht="15" customHeight="1" s="153">
      <c r="A1298" s="302" t="inlineStr">
        <is>
          <t>21/04/2026</t>
        </is>
      </c>
      <c r="B1298" s="303" t="inlineStr">
        <is>
          <t>Abril</t>
        </is>
      </c>
      <c r="C1298" s="311" t="inlineStr">
        <is>
          <t>LARGUIA 6924</t>
        </is>
      </c>
      <c r="D1298" s="225" t="n">
        <v>1</v>
      </c>
      <c r="E1298" s="225" t="n"/>
      <c r="F1298" s="225" t="n"/>
      <c r="G1298" s="225" t="n"/>
      <c r="H1298" s="225" t="n"/>
      <c r="I1298" s="223" t="n">
        <v>25000</v>
      </c>
      <c r="J1298" s="305" t="n">
        <v>25000</v>
      </c>
      <c r="K1298" s="305" t="n">
        <v>0</v>
      </c>
      <c r="L1298" s="224" t="n">
        <v>10000</v>
      </c>
    </row>
    <row r="1299" ht="15" customHeight="1" s="153">
      <c r="A1299" s="306" t="inlineStr">
        <is>
          <t>25/03/2026</t>
        </is>
      </c>
      <c r="B1299" s="307" t="inlineStr">
        <is>
          <t>Marzo</t>
        </is>
      </c>
      <c r="C1299" s="310" t="inlineStr">
        <is>
          <t>LARGUIA 7150</t>
        </is>
      </c>
      <c r="D1299" s="218" t="n"/>
      <c r="E1299" s="218" t="n">
        <v>1</v>
      </c>
      <c r="F1299" s="218" t="n"/>
      <c r="G1299" s="218" t="n"/>
      <c r="H1299" s="218" t="n"/>
      <c r="I1299" s="216" t="n">
        <v>33500</v>
      </c>
      <c r="J1299" s="309" t="n">
        <v>33500</v>
      </c>
      <c r="K1299" s="309" t="n">
        <v>0</v>
      </c>
      <c r="L1299" s="236" t="n">
        <v>11000</v>
      </c>
    </row>
    <row r="1300" ht="15" customHeight="1" s="153">
      <c r="A1300" s="302" t="inlineStr">
        <is>
          <t>25/03/2026</t>
        </is>
      </c>
      <c r="B1300" s="303" t="inlineStr">
        <is>
          <t>Marzo</t>
        </is>
      </c>
      <c r="C1300" s="311" t="inlineStr">
        <is>
          <t>LARGUIA 7186</t>
        </is>
      </c>
      <c r="D1300" s="225" t="n"/>
      <c r="E1300" s="225" t="n"/>
      <c r="F1300" s="225" t="n">
        <v>1</v>
      </c>
      <c r="G1300" s="225" t="n"/>
      <c r="H1300" s="225" t="n"/>
      <c r="I1300" s="223" t="n">
        <v>80000</v>
      </c>
      <c r="J1300" s="305" t="n">
        <v>0</v>
      </c>
      <c r="K1300" s="305" t="n">
        <v>80000</v>
      </c>
      <c r="L1300" s="224" t="n">
        <v>20000</v>
      </c>
    </row>
    <row r="1301" ht="15" customHeight="1" s="153">
      <c r="A1301" s="306" t="inlineStr">
        <is>
          <t>04/04/2026</t>
        </is>
      </c>
      <c r="B1301" s="307" t="inlineStr">
        <is>
          <t>Abril</t>
        </is>
      </c>
      <c r="C1301" s="310" t="inlineStr">
        <is>
          <t>LARGUIA 7251</t>
        </is>
      </c>
      <c r="D1301" s="218" t="n">
        <v>1</v>
      </c>
      <c r="E1301" s="218" t="n"/>
      <c r="F1301" s="218" t="n"/>
      <c r="G1301" s="218" t="n"/>
      <c r="H1301" s="218" t="n"/>
      <c r="I1301" s="216" t="n">
        <v>27000</v>
      </c>
      <c r="J1301" s="309" t="n">
        <v>27000</v>
      </c>
      <c r="K1301" s="309" t="n">
        <v>0</v>
      </c>
      <c r="L1301" s="236" t="n">
        <v>12000</v>
      </c>
    </row>
    <row r="1302" ht="15" customHeight="1" s="153">
      <c r="A1302" s="302" t="inlineStr">
        <is>
          <t>20/04/2026</t>
        </is>
      </c>
      <c r="B1302" s="303" t="inlineStr">
        <is>
          <t>Abril</t>
        </is>
      </c>
      <c r="C1302" s="311" t="inlineStr">
        <is>
          <t>LARGUIA 7287</t>
        </is>
      </c>
      <c r="D1302" s="225" t="n">
        <v>2</v>
      </c>
      <c r="E1302" s="225" t="n"/>
      <c r="F1302" s="225" t="n">
        <v>1</v>
      </c>
      <c r="G1302" s="225" t="n"/>
      <c r="H1302" s="225" t="n"/>
      <c r="I1302" s="223" t="n">
        <v>132000</v>
      </c>
      <c r="J1302" s="305" t="n">
        <v>132000</v>
      </c>
      <c r="K1302" s="305" t="n">
        <v>0</v>
      </c>
      <c r="L1302" s="224" t="n">
        <v>42000</v>
      </c>
    </row>
    <row r="1303" ht="15" customHeight="1" s="153">
      <c r="A1303" s="306" t="inlineStr">
        <is>
          <t>23/03/2026</t>
        </is>
      </c>
      <c r="B1303" s="307" t="inlineStr">
        <is>
          <t>Marzo</t>
        </is>
      </c>
      <c r="C1303" s="310" t="inlineStr">
        <is>
          <t>LARGUIA 7824</t>
        </is>
      </c>
      <c r="D1303" s="218" t="n"/>
      <c r="E1303" s="218" t="n"/>
      <c r="F1303" s="218" t="n">
        <v>1</v>
      </c>
      <c r="G1303" s="218" t="n"/>
      <c r="H1303" s="218" t="n"/>
      <c r="I1303" s="216" t="n">
        <v>80000</v>
      </c>
      <c r="J1303" s="309" t="n">
        <v>0</v>
      </c>
      <c r="K1303" s="309" t="n">
        <v>80000</v>
      </c>
      <c r="L1303" s="236" t="n">
        <v>20000</v>
      </c>
    </row>
    <row r="1304" ht="15" customHeight="1" s="153">
      <c r="A1304" s="302" t="inlineStr">
        <is>
          <t>12/01/2026</t>
        </is>
      </c>
      <c r="B1304" s="303" t="inlineStr">
        <is>
          <t>Enero</t>
        </is>
      </c>
      <c r="C1304" s="311" t="inlineStr">
        <is>
          <t>LARGUIA 8629</t>
        </is>
      </c>
      <c r="D1304" s="225" t="n">
        <v>1</v>
      </c>
      <c r="E1304" s="225" t="n"/>
      <c r="F1304" s="225" t="n"/>
      <c r="G1304" s="225" t="n"/>
      <c r="H1304" s="225" t="n"/>
      <c r="I1304" s="223" t="n">
        <v>22000</v>
      </c>
      <c r="J1304" s="305" t="n">
        <v>0</v>
      </c>
      <c r="K1304" s="305" t="n">
        <v>22000</v>
      </c>
      <c r="L1304" s="224" t="n">
        <v>7000</v>
      </c>
    </row>
    <row r="1305" ht="15" customHeight="1" s="153">
      <c r="A1305" s="306" t="inlineStr">
        <is>
          <t>07/04/2026</t>
        </is>
      </c>
      <c r="B1305" s="307" t="inlineStr">
        <is>
          <t>Abril</t>
        </is>
      </c>
      <c r="C1305" s="310" t="inlineStr">
        <is>
          <t>LARGUIA 9655</t>
        </is>
      </c>
      <c r="D1305" s="218" t="n"/>
      <c r="E1305" s="218" t="n">
        <v>1</v>
      </c>
      <c r="F1305" s="218" t="n"/>
      <c r="G1305" s="218" t="n"/>
      <c r="H1305" s="218" t="n"/>
      <c r="I1305" s="216" t="n">
        <v>39000</v>
      </c>
      <c r="J1305" s="309" t="n">
        <v>0</v>
      </c>
      <c r="K1305" s="309" t="n">
        <v>39000</v>
      </c>
      <c r="L1305" s="236" t="n">
        <v>16500</v>
      </c>
    </row>
    <row r="1306" ht="15" customHeight="1" s="153">
      <c r="A1306" s="302" t="inlineStr">
        <is>
          <t>15/03/2026</t>
        </is>
      </c>
      <c r="B1306" s="303" t="inlineStr">
        <is>
          <t>Marzo</t>
        </is>
      </c>
      <c r="C1306" s="311" t="inlineStr">
        <is>
          <t>LARREA 3164</t>
        </is>
      </c>
      <c r="D1306" s="225" t="n"/>
      <c r="E1306" s="225" t="n"/>
      <c r="F1306" s="225" t="n">
        <v>1</v>
      </c>
      <c r="G1306" s="225" t="n"/>
      <c r="H1306" s="225" t="n"/>
      <c r="I1306" s="223" t="n">
        <v>79900</v>
      </c>
      <c r="J1306" s="305" t="n">
        <v>0</v>
      </c>
      <c r="K1306" s="305" t="n">
        <v>79900</v>
      </c>
      <c r="L1306" s="224" t="n">
        <v>19900</v>
      </c>
    </row>
    <row r="1307" ht="15" customHeight="1" s="153">
      <c r="A1307" s="306" t="inlineStr">
        <is>
          <t>14/02/2026</t>
        </is>
      </c>
      <c r="B1307" s="307" t="inlineStr">
        <is>
          <t>Febrero</t>
        </is>
      </c>
      <c r="C1307" s="310" t="inlineStr">
        <is>
          <t>LARREA 3339</t>
        </is>
      </c>
      <c r="D1307" s="218" t="n">
        <v>2</v>
      </c>
      <c r="E1307" s="218" t="n"/>
      <c r="F1307" s="218" t="n"/>
      <c r="G1307" s="218" t="n"/>
      <c r="H1307" s="218" t="n"/>
      <c r="I1307" s="216" t="n">
        <v>30000</v>
      </c>
      <c r="J1307" s="309" t="n">
        <v>30000</v>
      </c>
      <c r="K1307" s="309" t="n">
        <v>0</v>
      </c>
      <c r="L1307" s="236" t="n">
        <v>0</v>
      </c>
    </row>
    <row r="1308" ht="15" customHeight="1" s="153">
      <c r="A1308" s="306" t="inlineStr">
        <is>
          <t>23/03/2026</t>
        </is>
      </c>
      <c r="B1308" s="307" t="inlineStr">
        <is>
          <t>Marzo</t>
        </is>
      </c>
      <c r="C1308" s="310" t="inlineStr">
        <is>
          <t>LARREA 3339</t>
        </is>
      </c>
      <c r="D1308" s="218" t="n">
        <v>4</v>
      </c>
      <c r="E1308" s="218" t="n"/>
      <c r="F1308" s="218" t="n"/>
      <c r="G1308" s="218" t="n"/>
      <c r="H1308" s="218" t="n"/>
      <c r="I1308" s="216" t="n">
        <v>68000</v>
      </c>
      <c r="J1308" s="309" t="n">
        <v>68000</v>
      </c>
      <c r="K1308" s="309" t="n">
        <v>0</v>
      </c>
      <c r="L1308" s="236" t="n">
        <v>8000</v>
      </c>
    </row>
    <row r="1309" ht="15" customHeight="1" s="153">
      <c r="A1309" s="302" t="inlineStr">
        <is>
          <t>09/03/2026</t>
        </is>
      </c>
      <c r="B1309" s="303" t="inlineStr">
        <is>
          <t>Marzo</t>
        </is>
      </c>
      <c r="C1309" s="311" t="inlineStr">
        <is>
          <t>LARREA 5068</t>
        </is>
      </c>
      <c r="D1309" s="225" t="n">
        <v>1</v>
      </c>
      <c r="E1309" s="225" t="n"/>
      <c r="F1309" s="225" t="n"/>
      <c r="G1309" s="225" t="n"/>
      <c r="H1309" s="225" t="n"/>
      <c r="I1309" s="223" t="n">
        <v>22000</v>
      </c>
      <c r="J1309" s="305" t="n">
        <v>22000</v>
      </c>
      <c r="K1309" s="305" t="n">
        <v>0</v>
      </c>
      <c r="L1309" s="224" t="n">
        <v>7000</v>
      </c>
    </row>
    <row r="1310" ht="15" customHeight="1" s="153">
      <c r="A1310" s="306" t="inlineStr">
        <is>
          <t>18/03/2026</t>
        </is>
      </c>
      <c r="B1310" s="307" t="inlineStr">
        <is>
          <t>Marzo</t>
        </is>
      </c>
      <c r="C1310" s="310" t="inlineStr">
        <is>
          <t>LAS FLORES 1 Y MILLAN MEDINA</t>
        </is>
      </c>
      <c r="D1310" s="218" t="n">
        <v>1</v>
      </c>
      <c r="E1310" s="218" t="n"/>
      <c r="F1310" s="218" t="n"/>
      <c r="G1310" s="218" t="n"/>
      <c r="H1310" s="218" t="n"/>
      <c r="I1310" s="216" t="n">
        <v>24500</v>
      </c>
      <c r="J1310" s="309" t="n">
        <v>0</v>
      </c>
      <c r="K1310" s="309" t="n">
        <v>24500</v>
      </c>
      <c r="L1310" s="236" t="n">
        <v>9500</v>
      </c>
    </row>
    <row r="1311" ht="15" customHeight="1" s="153">
      <c r="A1311" s="302" t="inlineStr">
        <is>
          <t>05/02/2026</t>
        </is>
      </c>
      <c r="B1311" s="303" t="inlineStr">
        <is>
          <t>Abril</t>
        </is>
      </c>
      <c r="C1311" s="311" t="inlineStr">
        <is>
          <t>LAS HERAS 5471</t>
        </is>
      </c>
      <c r="D1311" s="225" t="n">
        <v>2</v>
      </c>
      <c r="E1311" s="225" t="n"/>
      <c r="F1311" s="225" t="n"/>
      <c r="G1311" s="225" t="n"/>
      <c r="H1311" s="225" t="n"/>
      <c r="I1311" s="223" t="n">
        <v>50000</v>
      </c>
      <c r="J1311" s="305" t="n">
        <v>0</v>
      </c>
      <c r="K1311" s="305" t="n">
        <v>50000</v>
      </c>
      <c r="L1311" s="224" t="n">
        <v>20000</v>
      </c>
    </row>
    <row r="1312" ht="15" customHeight="1" s="153">
      <c r="A1312" s="306" t="inlineStr">
        <is>
          <t>01/03/2026</t>
        </is>
      </c>
      <c r="B1312" s="307" t="inlineStr">
        <is>
          <t>Marzo</t>
        </is>
      </c>
      <c r="C1312" s="310" t="inlineStr">
        <is>
          <t>LAS HERAS Y GORRITI</t>
        </is>
      </c>
      <c r="D1312" s="218" t="n"/>
      <c r="E1312" s="218" t="n"/>
      <c r="F1312" s="218" t="n">
        <v>1</v>
      </c>
      <c r="G1312" s="218" t="n"/>
      <c r="H1312" s="218" t="n"/>
      <c r="I1312" s="216" t="n">
        <v>75000</v>
      </c>
      <c r="J1312" s="309" t="n">
        <v>0</v>
      </c>
      <c r="K1312" s="309" t="n">
        <v>75000</v>
      </c>
      <c r="L1312" s="236" t="n">
        <v>15000</v>
      </c>
    </row>
    <row r="1313" ht="15" customHeight="1" s="153">
      <c r="A1313" s="302" t="inlineStr">
        <is>
          <t>10/03/2026</t>
        </is>
      </c>
      <c r="B1313" s="303" t="inlineStr">
        <is>
          <t>Marzo</t>
        </is>
      </c>
      <c r="C1313" s="311" t="inlineStr">
        <is>
          <t>LASAGA 7023</t>
        </is>
      </c>
      <c r="D1313" s="225" t="n"/>
      <c r="E1313" s="225" t="n">
        <v>1</v>
      </c>
      <c r="F1313" s="225" t="n"/>
      <c r="G1313" s="225" t="n"/>
      <c r="H1313" s="225" t="n"/>
      <c r="I1313" s="223" t="n">
        <v>33000</v>
      </c>
      <c r="J1313" s="305" t="n">
        <v>33000</v>
      </c>
      <c r="K1313" s="305" t="n">
        <v>0</v>
      </c>
      <c r="L1313" s="224" t="n">
        <v>10500</v>
      </c>
    </row>
    <row r="1314" ht="15" customHeight="1" s="153">
      <c r="A1314" s="306" t="inlineStr">
        <is>
          <t>12/01/2026</t>
        </is>
      </c>
      <c r="B1314" s="307" t="inlineStr">
        <is>
          <t>Enero</t>
        </is>
      </c>
      <c r="C1314" s="310" t="inlineStr">
        <is>
          <t>LAVADERO</t>
        </is>
      </c>
      <c r="D1314" s="218" t="n">
        <v>1</v>
      </c>
      <c r="E1314" s="218" t="n"/>
      <c r="F1314" s="218" t="n"/>
      <c r="G1314" s="218" t="n"/>
      <c r="H1314" s="218" t="n"/>
      <c r="I1314" s="216" t="n">
        <v>14500</v>
      </c>
      <c r="J1314" s="309" t="n">
        <v>0</v>
      </c>
      <c r="K1314" s="309" t="n">
        <v>14500</v>
      </c>
      <c r="L1314" s="217" t="n">
        <v>-500</v>
      </c>
    </row>
    <row r="1315" ht="15" customHeight="1" s="153">
      <c r="A1315" s="306" t="inlineStr">
        <is>
          <t>19/01/2026</t>
        </is>
      </c>
      <c r="B1315" s="307" t="inlineStr">
        <is>
          <t>Enero</t>
        </is>
      </c>
      <c r="C1315" s="310" t="inlineStr">
        <is>
          <t>LAVADERO</t>
        </is>
      </c>
      <c r="D1315" s="218" t="n">
        <v>1</v>
      </c>
      <c r="E1315" s="218" t="n"/>
      <c r="F1315" s="218" t="n"/>
      <c r="G1315" s="218" t="n"/>
      <c r="H1315" s="218" t="n"/>
      <c r="I1315" s="216" t="n">
        <v>14500</v>
      </c>
      <c r="J1315" s="309" t="n">
        <v>0</v>
      </c>
      <c r="K1315" s="309" t="n">
        <v>14500</v>
      </c>
      <c r="L1315" s="217" t="n">
        <v>-500</v>
      </c>
    </row>
    <row r="1316" ht="15" customHeight="1" s="153">
      <c r="A1316" s="306" t="inlineStr">
        <is>
          <t>29/01/2026</t>
        </is>
      </c>
      <c r="B1316" s="307" t="inlineStr">
        <is>
          <t>Enero</t>
        </is>
      </c>
      <c r="C1316" s="310" t="inlineStr">
        <is>
          <t>LAVADERO</t>
        </is>
      </c>
      <c r="D1316" s="218" t="n">
        <v>1</v>
      </c>
      <c r="E1316" s="218" t="n"/>
      <c r="F1316" s="218" t="n"/>
      <c r="G1316" s="218" t="n"/>
      <c r="H1316" s="218" t="n"/>
      <c r="I1316" s="216" t="n">
        <v>14500</v>
      </c>
      <c r="J1316" s="309" t="n">
        <v>0</v>
      </c>
      <c r="K1316" s="309" t="n">
        <v>14500</v>
      </c>
      <c r="L1316" s="217" t="n">
        <v>-500</v>
      </c>
    </row>
    <row r="1317" ht="15" customHeight="1" s="153">
      <c r="A1317" s="306" t="inlineStr">
        <is>
          <t>04/02/2026</t>
        </is>
      </c>
      <c r="B1317" s="307" t="inlineStr">
        <is>
          <t>Febrero</t>
        </is>
      </c>
      <c r="C1317" s="310" t="inlineStr">
        <is>
          <t>LAVADERO</t>
        </is>
      </c>
      <c r="D1317" s="218" t="n"/>
      <c r="E1317" s="218" t="n">
        <v>1</v>
      </c>
      <c r="F1317" s="218" t="n"/>
      <c r="G1317" s="218" t="n"/>
      <c r="H1317" s="218" t="n"/>
      <c r="I1317" s="216" t="n">
        <v>22000</v>
      </c>
      <c r="J1317" s="309" t="n">
        <v>0</v>
      </c>
      <c r="K1317" s="309" t="n">
        <v>22000</v>
      </c>
      <c r="L1317" s="217" t="n">
        <v>-500</v>
      </c>
    </row>
    <row r="1318" ht="15" customHeight="1" s="153">
      <c r="A1318" s="306" t="inlineStr">
        <is>
          <t>25/02/2026</t>
        </is>
      </c>
      <c r="B1318" s="307" t="inlineStr">
        <is>
          <t>Febrero</t>
        </is>
      </c>
      <c r="C1318" s="310" t="inlineStr">
        <is>
          <t>LAVADERO</t>
        </is>
      </c>
      <c r="D1318" s="218" t="n">
        <v>1</v>
      </c>
      <c r="E1318" s="218" t="n"/>
      <c r="F1318" s="218" t="n"/>
      <c r="G1318" s="218" t="n"/>
      <c r="H1318" s="218" t="n"/>
      <c r="I1318" s="216" t="n">
        <v>14500</v>
      </c>
      <c r="J1318" s="309" t="n">
        <v>0</v>
      </c>
      <c r="K1318" s="309" t="n">
        <v>14500</v>
      </c>
      <c r="L1318" s="217" t="n">
        <v>-500</v>
      </c>
    </row>
    <row r="1319" ht="15" customHeight="1" s="153">
      <c r="A1319" s="306" t="inlineStr">
        <is>
          <t>28/02/2026</t>
        </is>
      </c>
      <c r="B1319" s="307" t="inlineStr">
        <is>
          <t>Febrero</t>
        </is>
      </c>
      <c r="C1319" s="310" t="inlineStr">
        <is>
          <t>LAVADERO</t>
        </is>
      </c>
      <c r="D1319" s="218" t="n">
        <v>1</v>
      </c>
      <c r="E1319" s="218" t="n">
        <v>1</v>
      </c>
      <c r="F1319" s="218" t="n"/>
      <c r="G1319" s="218" t="n"/>
      <c r="H1319" s="218" t="n"/>
      <c r="I1319" s="216" t="n">
        <v>36500</v>
      </c>
      <c r="J1319" s="309" t="n">
        <v>36500</v>
      </c>
      <c r="K1319" s="309" t="n">
        <v>0</v>
      </c>
      <c r="L1319" s="217" t="n">
        <v>-1000</v>
      </c>
    </row>
    <row r="1320" ht="15" customHeight="1" s="153">
      <c r="A1320" s="306" t="inlineStr">
        <is>
          <t>05/03/2026</t>
        </is>
      </c>
      <c r="B1320" s="307" t="inlineStr">
        <is>
          <t>Marzo</t>
        </is>
      </c>
      <c r="C1320" s="310" t="inlineStr">
        <is>
          <t>LAVADERO</t>
        </is>
      </c>
      <c r="D1320" s="218" t="n">
        <v>1</v>
      </c>
      <c r="E1320" s="218" t="n"/>
      <c r="F1320" s="218" t="n"/>
      <c r="G1320" s="218" t="n"/>
      <c r="H1320" s="218" t="n"/>
      <c r="I1320" s="216" t="n">
        <v>14500</v>
      </c>
      <c r="J1320" s="309" t="n">
        <v>0</v>
      </c>
      <c r="K1320" s="309" t="n">
        <v>14500</v>
      </c>
      <c r="L1320" s="217" t="n">
        <v>-500</v>
      </c>
    </row>
    <row r="1321" ht="15" customHeight="1" s="153">
      <c r="A1321" s="306" t="inlineStr">
        <is>
          <t>07/03/2026</t>
        </is>
      </c>
      <c r="B1321" s="307" t="inlineStr">
        <is>
          <t>Marzo</t>
        </is>
      </c>
      <c r="C1321" s="310" t="inlineStr">
        <is>
          <t>LAVADERO</t>
        </is>
      </c>
      <c r="D1321" s="218" t="n">
        <v>1</v>
      </c>
      <c r="E1321" s="218" t="n"/>
      <c r="F1321" s="218" t="n"/>
      <c r="G1321" s="218" t="n"/>
      <c r="H1321" s="218" t="n"/>
      <c r="I1321" s="216" t="n">
        <v>14500</v>
      </c>
      <c r="J1321" s="309" t="n">
        <v>14500</v>
      </c>
      <c r="K1321" s="309" t="n">
        <v>0</v>
      </c>
      <c r="L1321" s="217" t="n">
        <v>-500</v>
      </c>
    </row>
    <row r="1322" ht="15" customHeight="1" s="153">
      <c r="A1322" s="306" t="inlineStr">
        <is>
          <t>18/03/2026</t>
        </is>
      </c>
      <c r="B1322" s="307" t="inlineStr">
        <is>
          <t>Marzo</t>
        </is>
      </c>
      <c r="C1322" s="310" t="inlineStr">
        <is>
          <t>LAVADERO</t>
        </is>
      </c>
      <c r="D1322" s="218" t="n">
        <v>1</v>
      </c>
      <c r="E1322" s="218" t="n"/>
      <c r="F1322" s="218" t="n"/>
      <c r="G1322" s="218" t="n"/>
      <c r="H1322" s="218" t="n"/>
      <c r="I1322" s="216" t="n">
        <v>17000</v>
      </c>
      <c r="J1322" s="309" t="n">
        <v>0</v>
      </c>
      <c r="K1322" s="309" t="n">
        <v>17000</v>
      </c>
      <c r="L1322" s="236" t="n">
        <v>2000</v>
      </c>
    </row>
    <row r="1323" ht="15" customHeight="1" s="153">
      <c r="A1323" s="306" t="inlineStr">
        <is>
          <t>19/03/2026</t>
        </is>
      </c>
      <c r="B1323" s="307" t="inlineStr">
        <is>
          <t>Marzo</t>
        </is>
      </c>
      <c r="C1323" s="310" t="inlineStr">
        <is>
          <t>LAVADERO</t>
        </is>
      </c>
      <c r="D1323" s="218" t="n">
        <v>1</v>
      </c>
      <c r="E1323" s="218" t="n"/>
      <c r="F1323" s="218" t="n"/>
      <c r="G1323" s="218" t="n"/>
      <c r="H1323" s="218" t="n"/>
      <c r="I1323" s="216" t="n">
        <v>17000</v>
      </c>
      <c r="J1323" s="309" t="n">
        <v>0</v>
      </c>
      <c r="K1323" s="309" t="n">
        <v>17000</v>
      </c>
      <c r="L1323" s="236" t="n">
        <v>2000</v>
      </c>
    </row>
    <row r="1324" ht="15" customHeight="1" s="153">
      <c r="A1324" s="302" t="inlineStr">
        <is>
          <t>05/01/2026</t>
        </is>
      </c>
      <c r="B1324" s="303" t="inlineStr">
        <is>
          <t>Enero</t>
        </is>
      </c>
      <c r="C1324" s="311" t="inlineStr">
        <is>
          <t>LAVAISE 1074</t>
        </is>
      </c>
      <c r="D1324" s="225" t="n">
        <v>1</v>
      </c>
      <c r="E1324" s="225" t="n"/>
      <c r="F1324" s="225" t="n"/>
      <c r="G1324" s="225" t="n"/>
      <c r="H1324" s="225" t="n">
        <v>2</v>
      </c>
      <c r="I1324" s="223" t="n">
        <v>33600</v>
      </c>
      <c r="J1324" s="305" t="n">
        <v>0</v>
      </c>
      <c r="K1324" s="305" t="n">
        <v>33600</v>
      </c>
      <c r="L1324" s="224" t="n">
        <v>16900</v>
      </c>
    </row>
    <row r="1325" ht="15" customHeight="1" s="153">
      <c r="A1325" s="302" t="inlineStr">
        <is>
          <t>06/02/2026</t>
        </is>
      </c>
      <c r="B1325" s="303" t="inlineStr">
        <is>
          <t>Febrero</t>
        </is>
      </c>
      <c r="C1325" s="311" t="inlineStr">
        <is>
          <t>LAVAISE 1074</t>
        </is>
      </c>
      <c r="D1325" s="225" t="n"/>
      <c r="E1325" s="225" t="n"/>
      <c r="F1325" s="225" t="n"/>
      <c r="G1325" s="225" t="n"/>
      <c r="H1325" s="225" t="n">
        <v>2</v>
      </c>
      <c r="I1325" s="223" t="n">
        <v>11600</v>
      </c>
      <c r="J1325" s="305" t="n">
        <v>0</v>
      </c>
      <c r="K1325" s="305" t="n">
        <v>11600</v>
      </c>
      <c r="L1325" s="224" t="n">
        <v>9900</v>
      </c>
    </row>
    <row r="1326" ht="15" customHeight="1" s="153">
      <c r="A1326" s="302" t="inlineStr">
        <is>
          <t>05/03/2026</t>
        </is>
      </c>
      <c r="B1326" s="303" t="inlineStr">
        <is>
          <t>Marzo</t>
        </is>
      </c>
      <c r="C1326" s="311" t="inlineStr">
        <is>
          <t>LAVAISE 1074</t>
        </is>
      </c>
      <c r="D1326" s="225" t="n"/>
      <c r="E1326" s="225" t="n"/>
      <c r="F1326" s="225" t="n"/>
      <c r="G1326" s="225" t="n"/>
      <c r="H1326" s="225" t="n">
        <v>2</v>
      </c>
      <c r="I1326" s="223" t="n">
        <v>12000</v>
      </c>
      <c r="J1326" s="305" t="n">
        <v>0</v>
      </c>
      <c r="K1326" s="305" t="n">
        <v>12000</v>
      </c>
      <c r="L1326" s="224" t="n">
        <v>10300</v>
      </c>
    </row>
    <row r="1327" ht="15" customHeight="1" s="153">
      <c r="A1327" s="306" t="inlineStr">
        <is>
          <t>05/02/2026</t>
        </is>
      </c>
      <c r="B1327" s="307" t="inlineStr">
        <is>
          <t>Abril</t>
        </is>
      </c>
      <c r="C1327" s="310" t="inlineStr">
        <is>
          <t>LAVAISE 2118</t>
        </is>
      </c>
      <c r="D1327" s="218" t="n"/>
      <c r="E1327" s="218" t="n"/>
      <c r="F1327" s="218" t="n">
        <v>1</v>
      </c>
      <c r="G1327" s="218" t="n"/>
      <c r="H1327" s="218" t="n"/>
      <c r="I1327" s="216" t="n">
        <v>87000</v>
      </c>
      <c r="J1327" s="309" t="n">
        <v>0</v>
      </c>
      <c r="K1327" s="309" t="n">
        <v>87000</v>
      </c>
      <c r="L1327" s="236" t="n">
        <v>27000</v>
      </c>
    </row>
    <row r="1328" ht="15" customHeight="1" s="153">
      <c r="A1328" s="302" t="inlineStr">
        <is>
          <t>10/04/2026</t>
        </is>
      </c>
      <c r="B1328" s="303" t="inlineStr">
        <is>
          <t>Abril</t>
        </is>
      </c>
      <c r="C1328" s="311" t="inlineStr">
        <is>
          <t>LAVAISE 3458</t>
        </is>
      </c>
      <c r="D1328" s="225" t="n"/>
      <c r="E1328" s="225" t="n">
        <v>1</v>
      </c>
      <c r="F1328" s="225" t="n"/>
      <c r="G1328" s="225" t="n"/>
      <c r="H1328" s="225" t="n"/>
      <c r="I1328" s="223" t="n">
        <v>35000</v>
      </c>
      <c r="J1328" s="305" t="n">
        <v>35000</v>
      </c>
      <c r="K1328" s="305" t="n">
        <v>0</v>
      </c>
      <c r="L1328" s="224" t="n">
        <v>12500</v>
      </c>
    </row>
    <row r="1329" ht="15" customHeight="1" s="153">
      <c r="A1329" s="306" t="inlineStr">
        <is>
          <t>16/01/2026</t>
        </is>
      </c>
      <c r="B1329" s="307" t="inlineStr">
        <is>
          <t>Enero</t>
        </is>
      </c>
      <c r="C1329" s="310" t="inlineStr">
        <is>
          <t>LAVAISE 3786</t>
        </is>
      </c>
      <c r="D1329" s="218" t="n">
        <v>2</v>
      </c>
      <c r="E1329" s="218" t="n"/>
      <c r="F1329" s="218" t="n"/>
      <c r="G1329" s="218" t="n"/>
      <c r="H1329" s="218" t="n"/>
      <c r="I1329" s="216" t="n">
        <v>42000</v>
      </c>
      <c r="J1329" s="309" t="n">
        <v>42000</v>
      </c>
      <c r="K1329" s="309" t="n">
        <v>0</v>
      </c>
      <c r="L1329" s="236" t="n">
        <v>12000</v>
      </c>
    </row>
    <row r="1330" ht="15" customHeight="1" s="153">
      <c r="A1330" s="306" t="inlineStr">
        <is>
          <t>09/02/2026</t>
        </is>
      </c>
      <c r="B1330" s="307" t="inlineStr">
        <is>
          <t>Febrero</t>
        </is>
      </c>
      <c r="C1330" s="310" t="inlineStr">
        <is>
          <t>LAVAISE 3786</t>
        </is>
      </c>
      <c r="D1330" s="218" t="n">
        <v>1</v>
      </c>
      <c r="E1330" s="218" t="n">
        <v>1</v>
      </c>
      <c r="F1330" s="218" t="n"/>
      <c r="G1330" s="218" t="n"/>
      <c r="H1330" s="218" t="n"/>
      <c r="I1330" s="216" t="n">
        <v>51500</v>
      </c>
      <c r="J1330" s="309" t="n">
        <v>51500</v>
      </c>
      <c r="K1330" s="309" t="n">
        <v>0</v>
      </c>
      <c r="L1330" s="236" t="n">
        <v>14000</v>
      </c>
    </row>
    <row r="1331" ht="15" customHeight="1" s="153">
      <c r="A1331" s="306" t="inlineStr">
        <is>
          <t>20/03/2026</t>
        </is>
      </c>
      <c r="B1331" s="307" t="inlineStr">
        <is>
          <t>Marzo</t>
        </is>
      </c>
      <c r="C1331" s="310" t="inlineStr">
        <is>
          <t>LAVAISE 3786</t>
        </is>
      </c>
      <c r="D1331" s="218" t="n">
        <v>1</v>
      </c>
      <c r="E1331" s="218" t="n">
        <v>1</v>
      </c>
      <c r="F1331" s="218" t="n"/>
      <c r="G1331" s="218" t="n"/>
      <c r="H1331" s="218" t="n"/>
      <c r="I1331" s="216" t="n">
        <v>58000</v>
      </c>
      <c r="J1331" s="309" t="n">
        <v>0</v>
      </c>
      <c r="K1331" s="309" t="n">
        <v>58000</v>
      </c>
      <c r="L1331" s="236" t="n">
        <v>20500</v>
      </c>
    </row>
    <row r="1332" ht="15" customHeight="1" s="153">
      <c r="A1332" s="306" t="inlineStr">
        <is>
          <t>08/04/2026</t>
        </is>
      </c>
      <c r="B1332" s="307" t="inlineStr">
        <is>
          <t>Abril</t>
        </is>
      </c>
      <c r="C1332" s="310" t="inlineStr">
        <is>
          <t>LAVAISE 3786</t>
        </is>
      </c>
      <c r="D1332" s="218" t="n">
        <v>1</v>
      </c>
      <c r="E1332" s="218" t="n"/>
      <c r="F1332" s="218" t="n"/>
      <c r="G1332" s="218" t="n"/>
      <c r="H1332" s="218" t="n"/>
      <c r="I1332" s="216" t="n">
        <v>25000</v>
      </c>
      <c r="J1332" s="309" t="n">
        <v>0</v>
      </c>
      <c r="K1332" s="309" t="n">
        <v>25000</v>
      </c>
      <c r="L1332" s="236" t="n">
        <v>10000</v>
      </c>
    </row>
    <row r="1333" ht="15" customHeight="1" s="153">
      <c r="A1333" s="302" t="inlineStr">
        <is>
          <t>07/03/2026</t>
        </is>
      </c>
      <c r="B1333" s="303" t="inlineStr">
        <is>
          <t>Marzo</t>
        </is>
      </c>
      <c r="C1333" s="311" t="inlineStr">
        <is>
          <t>LAVAISE 4366</t>
        </is>
      </c>
      <c r="D1333" s="225" t="n"/>
      <c r="E1333" s="225" t="n">
        <v>1</v>
      </c>
      <c r="F1333" s="225" t="n"/>
      <c r="G1333" s="225" t="n"/>
      <c r="H1333" s="225" t="n"/>
      <c r="I1333" s="223" t="n">
        <v>31500</v>
      </c>
      <c r="J1333" s="305" t="n">
        <v>31500</v>
      </c>
      <c r="K1333" s="305" t="n">
        <v>0</v>
      </c>
      <c r="L1333" s="224" t="n">
        <v>9000</v>
      </c>
    </row>
    <row r="1334" ht="15" customHeight="1" s="153">
      <c r="A1334" s="306" t="inlineStr">
        <is>
          <t>04/03/2026</t>
        </is>
      </c>
      <c r="B1334" s="307" t="inlineStr">
        <is>
          <t>Marzo</t>
        </is>
      </c>
      <c r="C1334" s="310" t="inlineStr">
        <is>
          <t>LEMAN 7856</t>
        </is>
      </c>
      <c r="D1334" s="218" t="n">
        <v>1</v>
      </c>
      <c r="E1334" s="218" t="n"/>
      <c r="F1334" s="218" t="n"/>
      <c r="G1334" s="218" t="n"/>
      <c r="H1334" s="218" t="n"/>
      <c r="I1334" s="216" t="n">
        <v>20000</v>
      </c>
      <c r="J1334" s="309" t="n">
        <v>20000</v>
      </c>
      <c r="K1334" s="309" t="n">
        <v>0</v>
      </c>
      <c r="L1334" s="236" t="n">
        <v>5000</v>
      </c>
    </row>
    <row r="1335" ht="15" customHeight="1" s="153">
      <c r="A1335" s="302" t="inlineStr">
        <is>
          <t>20/04/2026</t>
        </is>
      </c>
      <c r="B1335" s="303" t="inlineStr">
        <is>
          <t>Abril</t>
        </is>
      </c>
      <c r="C1335" s="311" t="inlineStr">
        <is>
          <t>LEO MASARA</t>
        </is>
      </c>
      <c r="D1335" s="225" t="n">
        <v>1</v>
      </c>
      <c r="E1335" s="225" t="n"/>
      <c r="F1335" s="225" t="n"/>
      <c r="G1335" s="225" t="n"/>
      <c r="H1335" s="225" t="n"/>
      <c r="I1335" s="223" t="n">
        <v>25000</v>
      </c>
      <c r="J1335" s="305" t="n">
        <v>25000</v>
      </c>
      <c r="K1335" s="305" t="n">
        <v>0</v>
      </c>
      <c r="L1335" s="224" t="n">
        <v>10000</v>
      </c>
    </row>
    <row r="1336" ht="15" customHeight="1" s="153">
      <c r="A1336" s="306" t="inlineStr">
        <is>
          <t>02/04/2026</t>
        </is>
      </c>
      <c r="B1336" s="307" t="inlineStr">
        <is>
          <t>Abril</t>
        </is>
      </c>
      <c r="C1336" s="310" t="inlineStr">
        <is>
          <t>LINIERS 3735</t>
        </is>
      </c>
      <c r="D1336" s="218" t="n">
        <v>1</v>
      </c>
      <c r="E1336" s="218" t="n"/>
      <c r="F1336" s="218" t="n"/>
      <c r="G1336" s="218" t="n"/>
      <c r="H1336" s="218" t="n"/>
      <c r="I1336" s="216" t="n">
        <v>26000</v>
      </c>
      <c r="J1336" s="309" t="n">
        <v>26000</v>
      </c>
      <c r="K1336" s="309" t="n">
        <v>0</v>
      </c>
      <c r="L1336" s="236" t="n">
        <v>11000</v>
      </c>
    </row>
    <row r="1337" ht="15" customHeight="1" s="153">
      <c r="A1337" s="302" t="inlineStr">
        <is>
          <t>10/04/2026</t>
        </is>
      </c>
      <c r="B1337" s="303" t="inlineStr">
        <is>
          <t>Abril</t>
        </is>
      </c>
      <c r="C1337" s="311" t="inlineStr">
        <is>
          <t>LLERENA 3161</t>
        </is>
      </c>
      <c r="D1337" s="225" t="n">
        <v>1</v>
      </c>
      <c r="E1337" s="225" t="n"/>
      <c r="F1337" s="225" t="n"/>
      <c r="G1337" s="225" t="n"/>
      <c r="H1337" s="225" t="n"/>
      <c r="I1337" s="223" t="n">
        <v>26000</v>
      </c>
      <c r="J1337" s="305" t="n">
        <v>0</v>
      </c>
      <c r="K1337" s="305" t="n">
        <v>26000</v>
      </c>
      <c r="L1337" s="224" t="n">
        <v>11000</v>
      </c>
    </row>
    <row r="1338" ht="15" customHeight="1" s="153">
      <c r="A1338" s="306" t="inlineStr">
        <is>
          <t>20/04/2026</t>
        </is>
      </c>
      <c r="B1338" s="307" t="inlineStr">
        <is>
          <t>Abril</t>
        </is>
      </c>
      <c r="C1338" s="310" t="inlineStr">
        <is>
          <t>LLERENA 3746</t>
        </is>
      </c>
      <c r="D1338" s="218" t="n"/>
      <c r="E1338" s="218" t="n"/>
      <c r="F1338" s="218" t="n">
        <v>1</v>
      </c>
      <c r="G1338" s="218" t="n"/>
      <c r="H1338" s="218" t="n"/>
      <c r="I1338" s="216" t="n">
        <v>85000</v>
      </c>
      <c r="J1338" s="309" t="n">
        <v>60000</v>
      </c>
      <c r="K1338" s="309" t="n">
        <v>25000</v>
      </c>
      <c r="L1338" s="236" t="n">
        <v>25000</v>
      </c>
    </row>
    <row r="1339" ht="15" customHeight="1" s="153">
      <c r="A1339" s="302" t="inlineStr">
        <is>
          <t>13/04/2026</t>
        </is>
      </c>
      <c r="B1339" s="303" t="inlineStr">
        <is>
          <t>Abril</t>
        </is>
      </c>
      <c r="C1339" s="311" t="inlineStr">
        <is>
          <t>LOBATO</t>
        </is>
      </c>
      <c r="D1339" s="225" t="n"/>
      <c r="E1339" s="225" t="n"/>
      <c r="F1339" s="225" t="n">
        <v>1</v>
      </c>
      <c r="G1339" s="225" t="n"/>
      <c r="H1339" s="225" t="n"/>
      <c r="I1339" s="223" t="n">
        <v>85000</v>
      </c>
      <c r="J1339" s="305" t="n">
        <v>85000</v>
      </c>
      <c r="K1339" s="305" t="n">
        <v>0</v>
      </c>
      <c r="L1339" s="224" t="n">
        <v>25000</v>
      </c>
    </row>
    <row r="1340" ht="15" customHeight="1" s="153">
      <c r="A1340" s="306" t="inlineStr">
        <is>
          <t>09/01/2026</t>
        </is>
      </c>
      <c r="B1340" s="307" t="inlineStr">
        <is>
          <t>Enero</t>
        </is>
      </c>
      <c r="C1340" s="310" t="inlineStr">
        <is>
          <t>LOBATO BARBARA</t>
        </is>
      </c>
      <c r="D1340" s="218" t="n"/>
      <c r="E1340" s="218" t="n"/>
      <c r="F1340" s="218" t="n">
        <v>1</v>
      </c>
      <c r="G1340" s="218" t="n"/>
      <c r="H1340" s="218" t="n"/>
      <c r="I1340" s="216" t="n">
        <v>75000</v>
      </c>
      <c r="J1340" s="309" t="n">
        <v>75000</v>
      </c>
      <c r="K1340" s="309" t="n">
        <v>0</v>
      </c>
      <c r="L1340" s="236" t="n">
        <v>15000</v>
      </c>
    </row>
    <row r="1341" ht="15" customHeight="1" s="153">
      <c r="A1341" s="302" t="inlineStr">
        <is>
          <t>07/03/2026</t>
        </is>
      </c>
      <c r="B1341" s="303" t="inlineStr">
        <is>
          <t>Marzo</t>
        </is>
      </c>
      <c r="C1341" s="311" t="inlineStr">
        <is>
          <t>LOBOS</t>
        </is>
      </c>
      <c r="D1341" s="225" t="n"/>
      <c r="E1341" s="225" t="n"/>
      <c r="F1341" s="225" t="n">
        <v>1</v>
      </c>
      <c r="G1341" s="225" t="n"/>
      <c r="H1341" s="225" t="n"/>
      <c r="I1341" s="223" t="n">
        <v>79000</v>
      </c>
      <c r="J1341" s="305" t="n">
        <v>79000</v>
      </c>
      <c r="K1341" s="305" t="n">
        <v>0</v>
      </c>
      <c r="L1341" s="224" t="n">
        <v>19000</v>
      </c>
    </row>
    <row r="1342" ht="15" customHeight="1" s="153">
      <c r="A1342" s="306" t="inlineStr">
        <is>
          <t>27/01/2026</t>
        </is>
      </c>
      <c r="B1342" s="307" t="inlineStr">
        <is>
          <t>Enero</t>
        </is>
      </c>
      <c r="C1342" s="310" t="inlineStr">
        <is>
          <t>LOBOS ROCIO</t>
        </is>
      </c>
      <c r="D1342" s="218" t="n"/>
      <c r="E1342" s="218" t="n"/>
      <c r="F1342" s="218" t="n">
        <v>1</v>
      </c>
      <c r="G1342" s="218" t="n"/>
      <c r="H1342" s="218" t="n"/>
      <c r="I1342" s="216" t="n">
        <v>77000</v>
      </c>
      <c r="J1342" s="309" t="n">
        <v>77000</v>
      </c>
      <c r="K1342" s="309" t="n">
        <v>0</v>
      </c>
      <c r="L1342" s="236" t="n">
        <v>17000</v>
      </c>
    </row>
    <row r="1343" ht="15" customHeight="1" s="153">
      <c r="A1343" s="302" t="inlineStr">
        <is>
          <t>21/01/2026</t>
        </is>
      </c>
      <c r="B1343" s="303" t="inlineStr">
        <is>
          <t>Enero</t>
        </is>
      </c>
      <c r="C1343" s="311" t="inlineStr">
        <is>
          <t>LOLI</t>
        </is>
      </c>
      <c r="D1343" s="225" t="n"/>
      <c r="E1343" s="225" t="n"/>
      <c r="F1343" s="225" t="n"/>
      <c r="G1343" s="225" t="n">
        <v>6</v>
      </c>
      <c r="H1343" s="225" t="n"/>
      <c r="I1343" s="223" t="n">
        <v>21000</v>
      </c>
      <c r="J1343" s="305" t="n">
        <v>21000</v>
      </c>
      <c r="K1343" s="305" t="n">
        <v>0</v>
      </c>
      <c r="L1343" s="224" t="n">
        <v>7200</v>
      </c>
    </row>
    <row r="1344" ht="15" customHeight="1" s="153">
      <c r="A1344" s="302" t="inlineStr">
        <is>
          <t>07/03/2026</t>
        </is>
      </c>
      <c r="B1344" s="303" t="inlineStr">
        <is>
          <t>Marzo</t>
        </is>
      </c>
      <c r="C1344" s="311" t="inlineStr">
        <is>
          <t>LOLI</t>
        </is>
      </c>
      <c r="D1344" s="225" t="n"/>
      <c r="E1344" s="225" t="n">
        <v>1</v>
      </c>
      <c r="F1344" s="225" t="n"/>
      <c r="G1344" s="225" t="n">
        <v>6</v>
      </c>
      <c r="H1344" s="225" t="n"/>
      <c r="I1344" s="223" t="n">
        <v>54000</v>
      </c>
      <c r="J1344" s="305" t="n">
        <v>54000</v>
      </c>
      <c r="K1344" s="305" t="n">
        <v>0</v>
      </c>
      <c r="L1344" s="224" t="n">
        <v>17700</v>
      </c>
    </row>
    <row r="1345" ht="15" customHeight="1" s="153">
      <c r="A1345" s="302" t="inlineStr">
        <is>
          <t>08/04/2026</t>
        </is>
      </c>
      <c r="B1345" s="303" t="inlineStr">
        <is>
          <t>Abril</t>
        </is>
      </c>
      <c r="C1345" s="311" t="inlineStr">
        <is>
          <t>LOLI</t>
        </is>
      </c>
      <c r="D1345" s="225" t="n">
        <v>1</v>
      </c>
      <c r="E1345" s="225" t="n"/>
      <c r="F1345" s="225" t="n"/>
      <c r="G1345" s="225" t="n">
        <v>6</v>
      </c>
      <c r="H1345" s="225" t="n"/>
      <c r="I1345" s="223" t="n">
        <v>49000</v>
      </c>
      <c r="J1345" s="305" t="n">
        <v>49000</v>
      </c>
      <c r="K1345" s="305" t="n">
        <v>0</v>
      </c>
      <c r="L1345" s="224" t="n">
        <v>20200</v>
      </c>
    </row>
    <row r="1346" ht="15" customHeight="1" s="153">
      <c r="A1346" s="306" t="inlineStr">
        <is>
          <t>27/02/2026</t>
        </is>
      </c>
      <c r="B1346" s="307" t="inlineStr">
        <is>
          <t>Febrero</t>
        </is>
      </c>
      <c r="C1346" s="310" t="inlineStr">
        <is>
          <t>LOPEZ Y PLANES 4069 CLUB</t>
        </is>
      </c>
      <c r="D1346" s="218" t="n">
        <v>1</v>
      </c>
      <c r="E1346" s="218" t="n"/>
      <c r="F1346" s="218" t="n"/>
      <c r="G1346" s="218" t="n"/>
      <c r="H1346" s="218" t="n"/>
      <c r="I1346" s="216" t="n">
        <v>21000</v>
      </c>
      <c r="J1346" s="309" t="n">
        <v>21000</v>
      </c>
      <c r="K1346" s="309" t="n">
        <v>0</v>
      </c>
      <c r="L1346" s="236" t="n">
        <v>6000</v>
      </c>
    </row>
    <row r="1347" ht="15" customHeight="1" s="153">
      <c r="A1347" s="302" t="inlineStr">
        <is>
          <t>22/04/2026</t>
        </is>
      </c>
      <c r="B1347" s="303" t="inlineStr">
        <is>
          <t>Abril</t>
        </is>
      </c>
      <c r="C1347" s="311" t="inlineStr">
        <is>
          <t>LOPEZ Y PLANES 4585</t>
        </is>
      </c>
      <c r="D1347" s="225" t="n">
        <v>1</v>
      </c>
      <c r="E1347" s="225" t="n"/>
      <c r="F1347" s="225" t="n"/>
      <c r="G1347" s="225" t="n"/>
      <c r="H1347" s="225" t="n"/>
      <c r="I1347" s="223" t="n">
        <v>25000</v>
      </c>
      <c r="J1347" s="305" t="n">
        <v>0</v>
      </c>
      <c r="K1347" s="305" t="n">
        <v>25000</v>
      </c>
      <c r="L1347" s="224" t="n">
        <v>10000</v>
      </c>
    </row>
    <row r="1348" ht="15" customHeight="1" s="153">
      <c r="A1348" s="306" t="inlineStr">
        <is>
          <t>19/03/2026</t>
        </is>
      </c>
      <c r="B1348" s="307" t="inlineStr">
        <is>
          <t>Marzo</t>
        </is>
      </c>
      <c r="C1348" s="310" t="inlineStr">
        <is>
          <t>LOPEZ Y PLANES 4630</t>
        </is>
      </c>
      <c r="D1348" s="218" t="n"/>
      <c r="E1348" s="218" t="n"/>
      <c r="F1348" s="218" t="n">
        <v>1</v>
      </c>
      <c r="G1348" s="218" t="n"/>
      <c r="H1348" s="218" t="n"/>
      <c r="I1348" s="216" t="n">
        <v>80000</v>
      </c>
      <c r="J1348" s="309" t="n">
        <v>80000</v>
      </c>
      <c r="K1348" s="309" t="n">
        <v>0</v>
      </c>
      <c r="L1348" s="236" t="n">
        <v>20000</v>
      </c>
    </row>
    <row r="1349" ht="15" customHeight="1" s="153">
      <c r="A1349" s="302" t="inlineStr">
        <is>
          <t>20/04/2026</t>
        </is>
      </c>
      <c r="B1349" s="303" t="inlineStr">
        <is>
          <t>Abril</t>
        </is>
      </c>
      <c r="C1349" s="311" t="inlineStr">
        <is>
          <t>LOPEZ Y PLANES 4765</t>
        </is>
      </c>
      <c r="D1349" s="225" t="n">
        <v>1</v>
      </c>
      <c r="E1349" s="225" t="n"/>
      <c r="F1349" s="225" t="n"/>
      <c r="G1349" s="225" t="n"/>
      <c r="H1349" s="225" t="n"/>
      <c r="I1349" s="223" t="n">
        <v>25000</v>
      </c>
      <c r="J1349" s="305" t="n">
        <v>0</v>
      </c>
      <c r="K1349" s="305" t="n">
        <v>25000</v>
      </c>
      <c r="L1349" s="224" t="n">
        <v>10000</v>
      </c>
    </row>
    <row r="1350" ht="15" customHeight="1" s="153">
      <c r="A1350" s="306" t="inlineStr">
        <is>
          <t>05/02/2026</t>
        </is>
      </c>
      <c r="B1350" s="307" t="inlineStr">
        <is>
          <t>Abril</t>
        </is>
      </c>
      <c r="C1350" s="310" t="inlineStr">
        <is>
          <t>LOS PARAISOS 3422</t>
        </is>
      </c>
      <c r="D1350" s="218" t="n"/>
      <c r="E1350" s="218" t="n"/>
      <c r="F1350" s="218" t="n">
        <v>1</v>
      </c>
      <c r="G1350" s="218" t="n"/>
      <c r="H1350" s="218" t="n"/>
      <c r="I1350" s="216" t="n">
        <v>86000</v>
      </c>
      <c r="J1350" s="309" t="n">
        <v>0</v>
      </c>
      <c r="K1350" s="309" t="n">
        <v>86000</v>
      </c>
      <c r="L1350" s="236" t="n">
        <v>26000</v>
      </c>
    </row>
    <row r="1351" ht="15" customHeight="1" s="153">
      <c r="A1351" s="302" t="inlineStr">
        <is>
          <t>01/01/2026</t>
        </is>
      </c>
      <c r="B1351" s="303" t="inlineStr">
        <is>
          <t>Enero</t>
        </is>
      </c>
      <c r="C1351" s="311" t="inlineStr">
        <is>
          <t>LOS PORKI</t>
        </is>
      </c>
      <c r="D1351" s="225" t="n"/>
      <c r="E1351" s="225" t="n"/>
      <c r="F1351" s="225" t="n">
        <v>1</v>
      </c>
      <c r="G1351" s="225" t="n"/>
      <c r="H1351" s="225" t="n"/>
      <c r="I1351" s="223" t="n">
        <v>69000</v>
      </c>
      <c r="J1351" s="305" t="n">
        <v>0</v>
      </c>
      <c r="K1351" s="305" t="n">
        <v>69000</v>
      </c>
      <c r="L1351" s="224" t="n">
        <v>9000</v>
      </c>
    </row>
    <row r="1352" ht="15" customHeight="1" s="153">
      <c r="A1352" s="302" t="inlineStr">
        <is>
          <t>23/03/2026</t>
        </is>
      </c>
      <c r="B1352" s="303" t="inlineStr">
        <is>
          <t>Marzo</t>
        </is>
      </c>
      <c r="C1352" s="311" t="inlineStr">
        <is>
          <t>LOS PORKI</t>
        </is>
      </c>
      <c r="D1352" s="225" t="n"/>
      <c r="E1352" s="225" t="n"/>
      <c r="F1352" s="225" t="n">
        <v>1</v>
      </c>
      <c r="G1352" s="225" t="n"/>
      <c r="H1352" s="225" t="n"/>
      <c r="I1352" s="223" t="n">
        <v>77000</v>
      </c>
      <c r="J1352" s="305" t="n">
        <v>0</v>
      </c>
      <c r="K1352" s="305" t="n">
        <v>77000</v>
      </c>
      <c r="L1352" s="224" t="n">
        <v>17000</v>
      </c>
    </row>
    <row r="1353" ht="15" customHeight="1" s="153">
      <c r="A1353" s="306" t="inlineStr">
        <is>
          <t>12/04/2026</t>
        </is>
      </c>
      <c r="B1353" s="307" t="inlineStr">
        <is>
          <t>Abril</t>
        </is>
      </c>
      <c r="C1353" s="310" t="inlineStr">
        <is>
          <t>LUCAS MANSILLA</t>
        </is>
      </c>
      <c r="D1353" s="218" t="n">
        <v>1</v>
      </c>
      <c r="E1353" s="218" t="n"/>
      <c r="F1353" s="218" t="n"/>
      <c r="G1353" s="218" t="n"/>
      <c r="H1353" s="218" t="n"/>
      <c r="I1353" s="216" t="n">
        <v>27000</v>
      </c>
      <c r="J1353" s="309" t="n">
        <v>27000</v>
      </c>
      <c r="K1353" s="309" t="n">
        <v>0</v>
      </c>
      <c r="L1353" s="236" t="n">
        <v>12000</v>
      </c>
    </row>
    <row r="1354" ht="15" customHeight="1" s="153">
      <c r="A1354" s="302" t="inlineStr">
        <is>
          <t>01/04/2026</t>
        </is>
      </c>
      <c r="B1354" s="303" t="inlineStr">
        <is>
          <t>Abril</t>
        </is>
      </c>
      <c r="C1354" s="311" t="inlineStr">
        <is>
          <t>LUCHIO</t>
        </is>
      </c>
      <c r="D1354" s="225" t="n"/>
      <c r="E1354" s="225" t="n"/>
      <c r="F1354" s="225" t="n"/>
      <c r="G1354" s="225" t="n"/>
      <c r="H1354" s="225" t="n">
        <v>1</v>
      </c>
      <c r="I1354" s="223" t="n">
        <v>6000</v>
      </c>
      <c r="J1354" s="305" t="n">
        <v>0</v>
      </c>
      <c r="K1354" s="305" t="n">
        <v>6000</v>
      </c>
      <c r="L1354" s="224" t="n">
        <v>5150</v>
      </c>
    </row>
    <row r="1355" ht="15" customHeight="1" s="153">
      <c r="A1355" s="306" t="inlineStr">
        <is>
          <t>03/01/2026</t>
        </is>
      </c>
      <c r="B1355" s="307" t="inlineStr">
        <is>
          <t>Enero</t>
        </is>
      </c>
      <c r="C1355" s="310" t="inlineStr">
        <is>
          <t>LUCHO</t>
        </is>
      </c>
      <c r="D1355" s="218" t="n">
        <v>1</v>
      </c>
      <c r="E1355" s="218" t="n"/>
      <c r="F1355" s="218" t="n"/>
      <c r="G1355" s="218" t="n"/>
      <c r="H1355" s="218" t="n"/>
      <c r="I1355" s="216" t="n">
        <v>13000</v>
      </c>
      <c r="J1355" s="309" t="n">
        <v>13000</v>
      </c>
      <c r="K1355" s="309" t="n">
        <v>0</v>
      </c>
      <c r="L1355" s="217" t="n">
        <v>-2000</v>
      </c>
    </row>
    <row r="1356" ht="15" customHeight="1" s="153">
      <c r="A1356" s="306" t="inlineStr">
        <is>
          <t>05/01/2026</t>
        </is>
      </c>
      <c r="B1356" s="307" t="inlineStr">
        <is>
          <t>Enero</t>
        </is>
      </c>
      <c r="C1356" s="310" t="inlineStr">
        <is>
          <t>LUCHO</t>
        </is>
      </c>
      <c r="D1356" s="218" t="n">
        <v>2</v>
      </c>
      <c r="E1356" s="218" t="n"/>
      <c r="F1356" s="218" t="n"/>
      <c r="G1356" s="218" t="n"/>
      <c r="H1356" s="218" t="n"/>
      <c r="I1356" s="216" t="n">
        <v>26000</v>
      </c>
      <c r="J1356" s="309" t="n">
        <v>26000</v>
      </c>
      <c r="K1356" s="309" t="n">
        <v>0</v>
      </c>
      <c r="L1356" s="217" t="n">
        <v>-4000</v>
      </c>
    </row>
    <row r="1357" ht="15" customHeight="1" s="153">
      <c r="A1357" s="306" t="inlineStr">
        <is>
          <t>06/01/2026</t>
        </is>
      </c>
      <c r="B1357" s="307" t="inlineStr">
        <is>
          <t>Enero</t>
        </is>
      </c>
      <c r="C1357" s="310" t="inlineStr">
        <is>
          <t>LUCHO</t>
        </is>
      </c>
      <c r="D1357" s="218" t="n"/>
      <c r="E1357" s="218" t="n"/>
      <c r="F1357" s="218" t="n"/>
      <c r="G1357" s="218" t="n"/>
      <c r="H1357" s="218" t="n">
        <v>1</v>
      </c>
      <c r="I1357" s="216" t="n">
        <v>4800</v>
      </c>
      <c r="J1357" s="309" t="n">
        <v>4800</v>
      </c>
      <c r="K1357" s="309" t="n">
        <v>0</v>
      </c>
      <c r="L1357" s="236" t="n">
        <v>3950</v>
      </c>
    </row>
    <row r="1358" ht="15" customHeight="1" s="153">
      <c r="A1358" s="306" t="inlineStr">
        <is>
          <t>07/01/2026</t>
        </is>
      </c>
      <c r="B1358" s="307" t="inlineStr">
        <is>
          <t>Enero</t>
        </is>
      </c>
      <c r="C1358" s="310" t="inlineStr">
        <is>
          <t>LUCHO</t>
        </is>
      </c>
      <c r="D1358" s="218" t="n"/>
      <c r="E1358" s="218" t="n">
        <v>1</v>
      </c>
      <c r="F1358" s="218" t="n"/>
      <c r="G1358" s="218" t="n"/>
      <c r="H1358" s="218" t="n"/>
      <c r="I1358" s="216" t="n">
        <v>21000</v>
      </c>
      <c r="J1358" s="309" t="n">
        <v>21000</v>
      </c>
      <c r="K1358" s="309" t="n">
        <v>0</v>
      </c>
      <c r="L1358" s="217" t="n">
        <v>-1500</v>
      </c>
    </row>
    <row r="1359" ht="15" customHeight="1" s="153">
      <c r="A1359" s="306" t="inlineStr">
        <is>
          <t>11/01/2026</t>
        </is>
      </c>
      <c r="B1359" s="307" t="inlineStr">
        <is>
          <t>Enero</t>
        </is>
      </c>
      <c r="C1359" s="310" t="inlineStr">
        <is>
          <t>LUCHO</t>
        </is>
      </c>
      <c r="D1359" s="218" t="n">
        <v>4</v>
      </c>
      <c r="E1359" s="218" t="n"/>
      <c r="F1359" s="218" t="n"/>
      <c r="G1359" s="218" t="n"/>
      <c r="H1359" s="218" t="n"/>
      <c r="I1359" s="216" t="n">
        <v>58000</v>
      </c>
      <c r="J1359" s="309" t="n">
        <v>58000</v>
      </c>
      <c r="K1359" s="309" t="n">
        <v>0</v>
      </c>
      <c r="L1359" s="217" t="n">
        <v>-2000</v>
      </c>
    </row>
    <row r="1360" ht="15" customHeight="1" s="153">
      <c r="A1360" s="306" t="inlineStr">
        <is>
          <t>15/01/2026</t>
        </is>
      </c>
      <c r="B1360" s="307" t="inlineStr">
        <is>
          <t>Enero</t>
        </is>
      </c>
      <c r="C1360" s="310" t="inlineStr">
        <is>
          <t>LUCHO</t>
        </is>
      </c>
      <c r="D1360" s="218" t="n">
        <v>2</v>
      </c>
      <c r="E1360" s="218" t="n"/>
      <c r="F1360" s="218" t="n"/>
      <c r="G1360" s="218" t="n"/>
      <c r="H1360" s="218" t="n"/>
      <c r="I1360" s="216" t="n">
        <v>29000</v>
      </c>
      <c r="J1360" s="309" t="n">
        <v>0</v>
      </c>
      <c r="K1360" s="309" t="n">
        <v>29000</v>
      </c>
      <c r="L1360" s="217" t="n">
        <v>-1000</v>
      </c>
    </row>
    <row r="1361" ht="15" customHeight="1" s="153">
      <c r="A1361" s="306" t="inlineStr">
        <is>
          <t>18/01/2026</t>
        </is>
      </c>
      <c r="B1361" s="307" t="inlineStr">
        <is>
          <t>Enero</t>
        </is>
      </c>
      <c r="C1361" s="310" t="inlineStr">
        <is>
          <t>LUCHO</t>
        </is>
      </c>
      <c r="D1361" s="218" t="n">
        <v>2</v>
      </c>
      <c r="E1361" s="218" t="n"/>
      <c r="F1361" s="218" t="n"/>
      <c r="G1361" s="218" t="n"/>
      <c r="H1361" s="218" t="n"/>
      <c r="I1361" s="216" t="n">
        <v>29000</v>
      </c>
      <c r="J1361" s="309" t="n">
        <v>29000</v>
      </c>
      <c r="K1361" s="309" t="n">
        <v>0</v>
      </c>
      <c r="L1361" s="217" t="n">
        <v>-1000</v>
      </c>
    </row>
    <row r="1362" ht="15" customHeight="1" s="153">
      <c r="A1362" s="306" t="inlineStr">
        <is>
          <t>19/01/2026</t>
        </is>
      </c>
      <c r="B1362" s="307" t="inlineStr">
        <is>
          <t>Enero</t>
        </is>
      </c>
      <c r="C1362" s="310" t="inlineStr">
        <is>
          <t>LUCHO</t>
        </is>
      </c>
      <c r="D1362" s="218" t="n">
        <v>3</v>
      </c>
      <c r="E1362" s="218" t="n"/>
      <c r="F1362" s="218" t="n"/>
      <c r="G1362" s="218" t="n"/>
      <c r="H1362" s="218" t="n"/>
      <c r="I1362" s="216" t="n">
        <v>43500</v>
      </c>
      <c r="J1362" s="309" t="n">
        <v>43500</v>
      </c>
      <c r="K1362" s="309" t="n">
        <v>0</v>
      </c>
      <c r="L1362" s="217" t="n">
        <v>-1500</v>
      </c>
    </row>
    <row r="1363" ht="15" customHeight="1" s="153">
      <c r="A1363" s="306" t="inlineStr">
        <is>
          <t>20/01/2026</t>
        </is>
      </c>
      <c r="B1363" s="307" t="inlineStr">
        <is>
          <t>Enero</t>
        </is>
      </c>
      <c r="C1363" s="310" t="inlineStr">
        <is>
          <t>LUCHO</t>
        </is>
      </c>
      <c r="D1363" s="218" t="n">
        <v>2</v>
      </c>
      <c r="E1363" s="218" t="n"/>
      <c r="F1363" s="218" t="n"/>
      <c r="G1363" s="218" t="n"/>
      <c r="H1363" s="218" t="n"/>
      <c r="I1363" s="216" t="n">
        <v>29000</v>
      </c>
      <c r="J1363" s="309" t="n">
        <v>29000</v>
      </c>
      <c r="K1363" s="309" t="n">
        <v>0</v>
      </c>
      <c r="L1363" s="217" t="n">
        <v>-1000</v>
      </c>
    </row>
    <row r="1364" ht="15" customHeight="1" s="153">
      <c r="A1364" s="306" t="inlineStr">
        <is>
          <t>24/01/2026</t>
        </is>
      </c>
      <c r="B1364" s="307" t="inlineStr">
        <is>
          <t>Enero</t>
        </is>
      </c>
      <c r="C1364" s="310" t="inlineStr">
        <is>
          <t>LUCHO</t>
        </is>
      </c>
      <c r="D1364" s="218" t="n">
        <v>2</v>
      </c>
      <c r="E1364" s="218" t="n"/>
      <c r="F1364" s="218" t="n"/>
      <c r="G1364" s="218" t="n"/>
      <c r="H1364" s="218" t="n"/>
      <c r="I1364" s="216" t="n">
        <v>29000</v>
      </c>
      <c r="J1364" s="309" t="n">
        <v>29000</v>
      </c>
      <c r="K1364" s="309" t="n">
        <v>0</v>
      </c>
      <c r="L1364" s="217" t="n">
        <v>-1000</v>
      </c>
    </row>
    <row r="1365" ht="15" customHeight="1" s="153">
      <c r="A1365" s="306" t="inlineStr">
        <is>
          <t>26/01/2026</t>
        </is>
      </c>
      <c r="B1365" s="307" t="inlineStr">
        <is>
          <t>Enero</t>
        </is>
      </c>
      <c r="C1365" s="310" t="inlineStr">
        <is>
          <t>LUCHO</t>
        </is>
      </c>
      <c r="D1365" s="218" t="n"/>
      <c r="E1365" s="218" t="n"/>
      <c r="F1365" s="218" t="n"/>
      <c r="G1365" s="218" t="n"/>
      <c r="H1365" s="218" t="n">
        <v>1</v>
      </c>
      <c r="I1365" s="216" t="n">
        <v>5000</v>
      </c>
      <c r="J1365" s="309" t="n">
        <v>0</v>
      </c>
      <c r="K1365" s="309" t="n">
        <v>5000</v>
      </c>
      <c r="L1365" s="236" t="n">
        <v>4150</v>
      </c>
    </row>
    <row r="1366" ht="15" customHeight="1" s="153">
      <c r="A1366" s="306" t="inlineStr">
        <is>
          <t>28/01/2026</t>
        </is>
      </c>
      <c r="B1366" s="307" t="inlineStr">
        <is>
          <t>Enero</t>
        </is>
      </c>
      <c r="C1366" s="310" t="inlineStr">
        <is>
          <t>LUCHO</t>
        </is>
      </c>
      <c r="D1366" s="218" t="n">
        <v>1</v>
      </c>
      <c r="E1366" s="218" t="n"/>
      <c r="F1366" s="218" t="n"/>
      <c r="G1366" s="218" t="n"/>
      <c r="H1366" s="218" t="n"/>
      <c r="I1366" s="216" t="n">
        <v>14500</v>
      </c>
      <c r="J1366" s="309" t="n">
        <v>14500</v>
      </c>
      <c r="K1366" s="309" t="n">
        <v>0</v>
      </c>
      <c r="L1366" s="217" t="n">
        <v>-500</v>
      </c>
    </row>
    <row r="1367" ht="15" customHeight="1" s="153">
      <c r="A1367" s="306" t="inlineStr">
        <is>
          <t>30/01/2026</t>
        </is>
      </c>
      <c r="B1367" s="307" t="inlineStr">
        <is>
          <t>Enero</t>
        </is>
      </c>
      <c r="C1367" s="310" t="inlineStr">
        <is>
          <t>LUCHO</t>
        </is>
      </c>
      <c r="D1367" s="218" t="n">
        <v>1</v>
      </c>
      <c r="E1367" s="218" t="n"/>
      <c r="F1367" s="218" t="n"/>
      <c r="G1367" s="218" t="n"/>
      <c r="H1367" s="218" t="n"/>
      <c r="I1367" s="216" t="n">
        <v>14500</v>
      </c>
      <c r="J1367" s="309" t="n">
        <v>14500</v>
      </c>
      <c r="K1367" s="309" t="n">
        <v>0</v>
      </c>
      <c r="L1367" s="217" t="n">
        <v>-500</v>
      </c>
    </row>
    <row r="1368" ht="15" customHeight="1" s="153">
      <c r="A1368" s="306" t="inlineStr">
        <is>
          <t>02/02/2026</t>
        </is>
      </c>
      <c r="B1368" s="307" t="inlineStr">
        <is>
          <t>Febrero</t>
        </is>
      </c>
      <c r="C1368" s="310" t="inlineStr">
        <is>
          <t>LUCHO</t>
        </is>
      </c>
      <c r="D1368" s="218" t="n">
        <v>1</v>
      </c>
      <c r="E1368" s="218" t="n"/>
      <c r="F1368" s="218" t="n"/>
      <c r="G1368" s="218" t="n"/>
      <c r="H1368" s="218" t="n"/>
      <c r="I1368" s="216" t="n">
        <v>14500</v>
      </c>
      <c r="J1368" s="309" t="n">
        <v>14500</v>
      </c>
      <c r="K1368" s="309" t="n">
        <v>0</v>
      </c>
      <c r="L1368" s="217" t="n">
        <v>-500</v>
      </c>
    </row>
    <row r="1369" ht="15" customHeight="1" s="153">
      <c r="A1369" s="306" t="inlineStr">
        <is>
          <t>03/02/2026</t>
        </is>
      </c>
      <c r="B1369" s="307" t="inlineStr">
        <is>
          <t>Febrero</t>
        </is>
      </c>
      <c r="C1369" s="310" t="inlineStr">
        <is>
          <t>LUCHO</t>
        </is>
      </c>
      <c r="D1369" s="218" t="n">
        <v>1</v>
      </c>
      <c r="E1369" s="218" t="n"/>
      <c r="F1369" s="218" t="n"/>
      <c r="G1369" s="218" t="n"/>
      <c r="H1369" s="218" t="n"/>
      <c r="I1369" s="216" t="n">
        <v>14500</v>
      </c>
      <c r="J1369" s="309" t="n">
        <v>14500</v>
      </c>
      <c r="K1369" s="309" t="n">
        <v>0</v>
      </c>
      <c r="L1369" s="217" t="n">
        <v>-500</v>
      </c>
    </row>
    <row r="1370" ht="15" customHeight="1" s="153">
      <c r="A1370" s="306" t="inlineStr">
        <is>
          <t>06/02/2026</t>
        </is>
      </c>
      <c r="B1370" s="307" t="inlineStr">
        <is>
          <t>Febrero</t>
        </is>
      </c>
      <c r="C1370" s="310" t="inlineStr">
        <is>
          <t>LUCHO</t>
        </is>
      </c>
      <c r="D1370" s="218" t="n"/>
      <c r="E1370" s="218" t="n"/>
      <c r="F1370" s="218" t="n"/>
      <c r="G1370" s="218" t="n"/>
      <c r="H1370" s="218" t="n">
        <v>1</v>
      </c>
      <c r="I1370" s="216" t="n">
        <v>5000</v>
      </c>
      <c r="J1370" s="309" t="n">
        <v>0</v>
      </c>
      <c r="K1370" s="309" t="n">
        <v>5000</v>
      </c>
      <c r="L1370" s="236" t="n">
        <v>4150</v>
      </c>
    </row>
    <row r="1371" ht="15" customHeight="1" s="153">
      <c r="A1371" s="306" t="inlineStr">
        <is>
          <t>07/02/2026</t>
        </is>
      </c>
      <c r="B1371" s="307" t="inlineStr">
        <is>
          <t>Febrero</t>
        </is>
      </c>
      <c r="C1371" s="310" t="inlineStr">
        <is>
          <t>LUCHO</t>
        </is>
      </c>
      <c r="D1371" s="218" t="n">
        <v>2</v>
      </c>
      <c r="E1371" s="218" t="n"/>
      <c r="F1371" s="218" t="n"/>
      <c r="G1371" s="218" t="n"/>
      <c r="H1371" s="218" t="n"/>
      <c r="I1371" s="216" t="n">
        <v>29000</v>
      </c>
      <c r="J1371" s="309" t="n">
        <v>29000</v>
      </c>
      <c r="K1371" s="309" t="n">
        <v>0</v>
      </c>
      <c r="L1371" s="217" t="n">
        <v>-1000</v>
      </c>
    </row>
    <row r="1372" ht="15" customHeight="1" s="153">
      <c r="A1372" s="306" t="inlineStr">
        <is>
          <t>08/02/2026</t>
        </is>
      </c>
      <c r="B1372" s="307" t="inlineStr">
        <is>
          <t>Febrero</t>
        </is>
      </c>
      <c r="C1372" s="310" t="inlineStr">
        <is>
          <t>LUCHO</t>
        </is>
      </c>
      <c r="D1372" s="218" t="n"/>
      <c r="E1372" s="218" t="n">
        <v>1</v>
      </c>
      <c r="F1372" s="218" t="n"/>
      <c r="G1372" s="218" t="n"/>
      <c r="H1372" s="218" t="n"/>
      <c r="I1372" s="216" t="n">
        <v>22500</v>
      </c>
      <c r="J1372" s="309" t="n">
        <v>22500</v>
      </c>
      <c r="K1372" s="309" t="n">
        <v>0</v>
      </c>
      <c r="L1372" s="236" t="n">
        <v>0</v>
      </c>
    </row>
    <row r="1373" ht="15" customHeight="1" s="153">
      <c r="A1373" s="306" t="inlineStr">
        <is>
          <t>12/02/2026</t>
        </is>
      </c>
      <c r="B1373" s="307" t="inlineStr">
        <is>
          <t>Febrero</t>
        </is>
      </c>
      <c r="C1373" s="310" t="inlineStr">
        <is>
          <t>LUCHO</t>
        </is>
      </c>
      <c r="D1373" s="218" t="n">
        <v>3</v>
      </c>
      <c r="E1373" s="218" t="n"/>
      <c r="F1373" s="218" t="n"/>
      <c r="G1373" s="218" t="n"/>
      <c r="H1373" s="218" t="n"/>
      <c r="I1373" s="216" t="n">
        <v>43500</v>
      </c>
      <c r="J1373" s="309" t="n">
        <v>0</v>
      </c>
      <c r="K1373" s="309" t="n">
        <v>43500</v>
      </c>
      <c r="L1373" s="217" t="n">
        <v>-1500</v>
      </c>
    </row>
    <row r="1374" ht="15" customHeight="1" s="153">
      <c r="A1374" s="306" t="inlineStr">
        <is>
          <t>13/02/2026</t>
        </is>
      </c>
      <c r="B1374" s="307" t="inlineStr">
        <is>
          <t>Febrero</t>
        </is>
      </c>
      <c r="C1374" s="310" t="inlineStr">
        <is>
          <t>LUCHO</t>
        </is>
      </c>
      <c r="D1374" s="218" t="n">
        <v>4</v>
      </c>
      <c r="E1374" s="218" t="n">
        <v>1</v>
      </c>
      <c r="F1374" s="218" t="n"/>
      <c r="G1374" s="218" t="n"/>
      <c r="H1374" s="218" t="n"/>
      <c r="I1374" s="216" t="n">
        <v>80500</v>
      </c>
      <c r="J1374" s="309" t="n">
        <v>80500</v>
      </c>
      <c r="K1374" s="309" t="n">
        <v>0</v>
      </c>
      <c r="L1374" s="217" t="n">
        <v>-2000</v>
      </c>
    </row>
    <row r="1375" ht="15" customHeight="1" s="153">
      <c r="A1375" s="306" t="inlineStr">
        <is>
          <t>14/02/2026</t>
        </is>
      </c>
      <c r="B1375" s="307" t="inlineStr">
        <is>
          <t>Febrero</t>
        </is>
      </c>
      <c r="C1375" s="310" t="inlineStr">
        <is>
          <t>LUCHO</t>
        </is>
      </c>
      <c r="D1375" s="218" t="n">
        <v>1</v>
      </c>
      <c r="E1375" s="218" t="n"/>
      <c r="F1375" s="218" t="n"/>
      <c r="G1375" s="218" t="n"/>
      <c r="H1375" s="218" t="n"/>
      <c r="I1375" s="216" t="n">
        <v>14500</v>
      </c>
      <c r="J1375" s="309" t="n">
        <v>14500</v>
      </c>
      <c r="K1375" s="309" t="n">
        <v>0</v>
      </c>
      <c r="L1375" s="217" t="n">
        <v>-500</v>
      </c>
    </row>
    <row r="1376" ht="15" customHeight="1" s="153">
      <c r="A1376" s="306" t="inlineStr">
        <is>
          <t>16/02/2026</t>
        </is>
      </c>
      <c r="B1376" s="307" t="inlineStr">
        <is>
          <t>Febrero</t>
        </is>
      </c>
      <c r="C1376" s="310" t="inlineStr">
        <is>
          <t>LUCHO</t>
        </is>
      </c>
      <c r="D1376" s="218" t="n">
        <v>1</v>
      </c>
      <c r="E1376" s="218" t="n"/>
      <c r="F1376" s="218" t="n"/>
      <c r="G1376" s="218" t="n"/>
      <c r="H1376" s="218" t="n">
        <v>1</v>
      </c>
      <c r="I1376" s="216" t="n">
        <v>19500</v>
      </c>
      <c r="J1376" s="309" t="n">
        <v>19500</v>
      </c>
      <c r="K1376" s="309" t="n">
        <v>0</v>
      </c>
      <c r="L1376" s="236" t="n">
        <v>3650</v>
      </c>
    </row>
    <row r="1377" ht="15" customHeight="1" s="153">
      <c r="A1377" s="306" t="inlineStr">
        <is>
          <t>21/02/2026</t>
        </is>
      </c>
      <c r="B1377" s="307" t="inlineStr">
        <is>
          <t>Febrero</t>
        </is>
      </c>
      <c r="C1377" s="310" t="inlineStr">
        <is>
          <t>LUCHO</t>
        </is>
      </c>
      <c r="D1377" s="218" t="n">
        <v>3</v>
      </c>
      <c r="E1377" s="218" t="n"/>
      <c r="F1377" s="218" t="n"/>
      <c r="G1377" s="218" t="n"/>
      <c r="H1377" s="218" t="n"/>
      <c r="I1377" s="216" t="n">
        <v>45000</v>
      </c>
      <c r="J1377" s="309" t="n">
        <v>45000</v>
      </c>
      <c r="K1377" s="309" t="n">
        <v>0</v>
      </c>
      <c r="L1377" s="236" t="n">
        <v>0</v>
      </c>
    </row>
    <row r="1378" ht="15" customHeight="1" s="153">
      <c r="A1378" s="306" t="inlineStr">
        <is>
          <t>23/02/2026</t>
        </is>
      </c>
      <c r="B1378" s="307" t="inlineStr">
        <is>
          <t>Febrero</t>
        </is>
      </c>
      <c r="C1378" s="310" t="inlineStr">
        <is>
          <t>LUCHO</t>
        </is>
      </c>
      <c r="D1378" s="218" t="n">
        <v>1</v>
      </c>
      <c r="E1378" s="218" t="n">
        <v>1</v>
      </c>
      <c r="F1378" s="218" t="n"/>
      <c r="G1378" s="218" t="n"/>
      <c r="H1378" s="218" t="n"/>
      <c r="I1378" s="216" t="n">
        <v>38500</v>
      </c>
      <c r="J1378" s="309" t="n">
        <v>38500</v>
      </c>
      <c r="K1378" s="309" t="n">
        <v>0</v>
      </c>
      <c r="L1378" s="236" t="n">
        <v>1000</v>
      </c>
    </row>
    <row r="1379" ht="15" customHeight="1" s="153">
      <c r="A1379" s="306" t="inlineStr">
        <is>
          <t>26/02/2026</t>
        </is>
      </c>
      <c r="B1379" s="307" t="inlineStr">
        <is>
          <t>Febrero</t>
        </is>
      </c>
      <c r="C1379" s="310" t="inlineStr">
        <is>
          <t>LUCHO</t>
        </is>
      </c>
      <c r="D1379" s="218" t="n"/>
      <c r="E1379" s="218" t="n"/>
      <c r="F1379" s="218" t="n"/>
      <c r="G1379" s="218" t="n"/>
      <c r="H1379" s="218" t="n">
        <v>1</v>
      </c>
      <c r="I1379" s="216" t="n">
        <v>5000</v>
      </c>
      <c r="J1379" s="309" t="n">
        <v>0</v>
      </c>
      <c r="K1379" s="309" t="n">
        <v>5000</v>
      </c>
      <c r="L1379" s="236" t="n">
        <v>4150</v>
      </c>
    </row>
    <row r="1380" ht="15" customHeight="1" s="153">
      <c r="A1380" s="306" t="inlineStr">
        <is>
          <t>27/02/2026</t>
        </is>
      </c>
      <c r="B1380" s="307" t="inlineStr">
        <is>
          <t>Febrero</t>
        </is>
      </c>
      <c r="C1380" s="310" t="inlineStr">
        <is>
          <t>LUCHO</t>
        </is>
      </c>
      <c r="D1380" s="218" t="n"/>
      <c r="E1380" s="218" t="n">
        <v>1</v>
      </c>
      <c r="F1380" s="218" t="n"/>
      <c r="G1380" s="218" t="n"/>
      <c r="H1380" s="218" t="n"/>
      <c r="I1380" s="216" t="n">
        <v>23000</v>
      </c>
      <c r="J1380" s="309" t="n">
        <v>23000</v>
      </c>
      <c r="K1380" s="309" t="n">
        <v>0</v>
      </c>
      <c r="L1380" s="236" t="n">
        <v>500</v>
      </c>
    </row>
    <row r="1381" ht="15" customHeight="1" s="153">
      <c r="A1381" s="306" t="inlineStr">
        <is>
          <t>28/02/2026</t>
        </is>
      </c>
      <c r="B1381" s="307" t="inlineStr">
        <is>
          <t>Febrero</t>
        </is>
      </c>
      <c r="C1381" s="310" t="inlineStr">
        <is>
          <t>LUCHO</t>
        </is>
      </c>
      <c r="D1381" s="218" t="n">
        <v>1</v>
      </c>
      <c r="E1381" s="218" t="n"/>
      <c r="F1381" s="218" t="n"/>
      <c r="G1381" s="218" t="n"/>
      <c r="H1381" s="218" t="n"/>
      <c r="I1381" s="216" t="n">
        <v>15000</v>
      </c>
      <c r="J1381" s="309" t="n">
        <v>0</v>
      </c>
      <c r="K1381" s="309" t="n">
        <v>15000</v>
      </c>
      <c r="L1381" s="236" t="n">
        <v>0</v>
      </c>
    </row>
    <row r="1382" ht="15" customHeight="1" s="153">
      <c r="A1382" s="306" t="inlineStr">
        <is>
          <t>03/03/2026</t>
        </is>
      </c>
      <c r="B1382" s="307" t="inlineStr">
        <is>
          <t>Marzo</t>
        </is>
      </c>
      <c r="C1382" s="310" t="inlineStr">
        <is>
          <t>LUCHO</t>
        </is>
      </c>
      <c r="D1382" s="218" t="n">
        <v>1</v>
      </c>
      <c r="E1382" s="218" t="n"/>
      <c r="F1382" s="218" t="n"/>
      <c r="G1382" s="218" t="n"/>
      <c r="H1382" s="218" t="n"/>
      <c r="I1382" s="216" t="n">
        <v>15000</v>
      </c>
      <c r="J1382" s="309" t="n">
        <v>15000</v>
      </c>
      <c r="K1382" s="309" t="n">
        <v>0</v>
      </c>
      <c r="L1382" s="236" t="n">
        <v>0</v>
      </c>
    </row>
    <row r="1383" ht="15" customHeight="1" s="153">
      <c r="A1383" s="306" t="inlineStr">
        <is>
          <t>04/03/2026</t>
        </is>
      </c>
      <c r="B1383" s="307" t="inlineStr">
        <is>
          <t>Marzo</t>
        </is>
      </c>
      <c r="C1383" s="310" t="inlineStr">
        <is>
          <t>LUCHO</t>
        </is>
      </c>
      <c r="D1383" s="218" t="n">
        <v>3</v>
      </c>
      <c r="E1383" s="218" t="n"/>
      <c r="F1383" s="218" t="n"/>
      <c r="G1383" s="218" t="n"/>
      <c r="H1383" s="218" t="n"/>
      <c r="I1383" s="216" t="n">
        <v>45000</v>
      </c>
      <c r="J1383" s="309" t="n">
        <v>45000</v>
      </c>
      <c r="K1383" s="309" t="n">
        <v>0</v>
      </c>
      <c r="L1383" s="236" t="n">
        <v>0</v>
      </c>
    </row>
    <row r="1384" ht="15" customHeight="1" s="153">
      <c r="A1384" s="306" t="inlineStr">
        <is>
          <t>07/03/2026</t>
        </is>
      </c>
      <c r="B1384" s="307" t="inlineStr">
        <is>
          <t>Marzo</t>
        </is>
      </c>
      <c r="C1384" s="310" t="inlineStr">
        <is>
          <t>LUCHO</t>
        </is>
      </c>
      <c r="D1384" s="218" t="n">
        <v>2</v>
      </c>
      <c r="E1384" s="218" t="n"/>
      <c r="F1384" s="218" t="n"/>
      <c r="G1384" s="218" t="n"/>
      <c r="H1384" s="218" t="n"/>
      <c r="I1384" s="216" t="n">
        <v>30000</v>
      </c>
      <c r="J1384" s="309" t="n">
        <v>0</v>
      </c>
      <c r="K1384" s="309" t="n">
        <v>30000</v>
      </c>
      <c r="L1384" s="236" t="n">
        <v>0</v>
      </c>
    </row>
    <row r="1385" ht="15" customHeight="1" s="153">
      <c r="A1385" s="306" t="inlineStr">
        <is>
          <t>07/03/2026</t>
        </is>
      </c>
      <c r="B1385" s="307" t="inlineStr">
        <is>
          <t>Marzo</t>
        </is>
      </c>
      <c r="C1385" s="310" t="inlineStr">
        <is>
          <t>LUCHO</t>
        </is>
      </c>
      <c r="D1385" s="218" t="n"/>
      <c r="E1385" s="218" t="n"/>
      <c r="F1385" s="218" t="n"/>
      <c r="G1385" s="218" t="n"/>
      <c r="H1385" s="218" t="n">
        <v>1</v>
      </c>
      <c r="I1385" s="216" t="n">
        <v>5500</v>
      </c>
      <c r="J1385" s="309" t="n">
        <v>5500</v>
      </c>
      <c r="K1385" s="309" t="n">
        <v>0</v>
      </c>
      <c r="L1385" s="236" t="n">
        <v>4650</v>
      </c>
    </row>
    <row r="1386" ht="15" customHeight="1" s="153">
      <c r="A1386" s="306" t="inlineStr">
        <is>
          <t>10/03/2026</t>
        </is>
      </c>
      <c r="B1386" s="307" t="inlineStr">
        <is>
          <t>Marzo</t>
        </is>
      </c>
      <c r="C1386" s="310" t="inlineStr">
        <is>
          <t>LUCHO</t>
        </is>
      </c>
      <c r="D1386" s="218" t="n">
        <v>1</v>
      </c>
      <c r="E1386" s="218" t="n"/>
      <c r="F1386" s="218" t="n"/>
      <c r="G1386" s="218" t="n"/>
      <c r="H1386" s="218" t="n"/>
      <c r="I1386" s="216" t="n">
        <v>15500</v>
      </c>
      <c r="J1386" s="309" t="n">
        <v>15500</v>
      </c>
      <c r="K1386" s="309" t="n">
        <v>0</v>
      </c>
      <c r="L1386" s="236" t="n">
        <v>500</v>
      </c>
    </row>
    <row r="1387" ht="15" customHeight="1" s="153">
      <c r="A1387" s="306" t="inlineStr">
        <is>
          <t>11/03/2026</t>
        </is>
      </c>
      <c r="B1387" s="307" t="inlineStr">
        <is>
          <t>Marzo</t>
        </is>
      </c>
      <c r="C1387" s="310" t="inlineStr">
        <is>
          <t>LUCHO</t>
        </is>
      </c>
      <c r="D1387" s="218" t="n">
        <v>1</v>
      </c>
      <c r="E1387" s="218" t="n"/>
      <c r="F1387" s="218" t="n"/>
      <c r="G1387" s="218" t="n"/>
      <c r="H1387" s="218" t="n"/>
      <c r="I1387" s="216" t="n">
        <v>15500</v>
      </c>
      <c r="J1387" s="309" t="n">
        <v>15500</v>
      </c>
      <c r="K1387" s="309" t="n">
        <v>0</v>
      </c>
      <c r="L1387" s="236" t="n">
        <v>500</v>
      </c>
    </row>
    <row r="1388" ht="15" customHeight="1" s="153">
      <c r="A1388" s="306" t="inlineStr">
        <is>
          <t>12/03/2026</t>
        </is>
      </c>
      <c r="B1388" s="307" t="inlineStr">
        <is>
          <t>Marzo</t>
        </is>
      </c>
      <c r="C1388" s="310" t="inlineStr">
        <is>
          <t>LUCHO</t>
        </is>
      </c>
      <c r="D1388" s="218" t="n">
        <v>1</v>
      </c>
      <c r="E1388" s="218" t="n"/>
      <c r="F1388" s="218" t="n"/>
      <c r="G1388" s="218" t="n"/>
      <c r="H1388" s="218" t="n"/>
      <c r="I1388" s="216" t="n">
        <v>15500</v>
      </c>
      <c r="J1388" s="309" t="n">
        <v>15500</v>
      </c>
      <c r="K1388" s="309" t="n">
        <v>0</v>
      </c>
      <c r="L1388" s="236" t="n">
        <v>500</v>
      </c>
    </row>
    <row r="1389" ht="15" customHeight="1" s="153">
      <c r="A1389" s="306" t="inlineStr">
        <is>
          <t>19/03/2026</t>
        </is>
      </c>
      <c r="B1389" s="307" t="inlineStr">
        <is>
          <t>Marzo</t>
        </is>
      </c>
      <c r="C1389" s="310" t="inlineStr">
        <is>
          <t>LUCHO</t>
        </is>
      </c>
      <c r="D1389" s="218" t="n"/>
      <c r="E1389" s="218" t="n">
        <v>1</v>
      </c>
      <c r="F1389" s="218" t="n"/>
      <c r="G1389" s="218" t="n"/>
      <c r="H1389" s="218" t="n"/>
      <c r="I1389" s="216" t="n">
        <v>25500</v>
      </c>
      <c r="J1389" s="309" t="n">
        <v>0</v>
      </c>
      <c r="K1389" s="309" t="n">
        <v>25500</v>
      </c>
      <c r="L1389" s="236" t="n">
        <v>3000</v>
      </c>
    </row>
    <row r="1390" ht="15" customHeight="1" s="153">
      <c r="A1390" s="306" t="inlineStr">
        <is>
          <t>23/03/2026</t>
        </is>
      </c>
      <c r="B1390" s="307" t="inlineStr">
        <is>
          <t>Marzo</t>
        </is>
      </c>
      <c r="C1390" s="310" t="inlineStr">
        <is>
          <t>LUCHO</t>
        </is>
      </c>
      <c r="D1390" s="218" t="n">
        <v>1</v>
      </c>
      <c r="E1390" s="218" t="n"/>
      <c r="F1390" s="218" t="n"/>
      <c r="G1390" s="218" t="n"/>
      <c r="H1390" s="218" t="n"/>
      <c r="I1390" s="216" t="n">
        <v>17000</v>
      </c>
      <c r="J1390" s="309" t="n">
        <v>17000</v>
      </c>
      <c r="K1390" s="309" t="n">
        <v>0</v>
      </c>
      <c r="L1390" s="236" t="n">
        <v>2000</v>
      </c>
    </row>
    <row r="1391" ht="15" customHeight="1" s="153">
      <c r="A1391" s="306" t="inlineStr">
        <is>
          <t>25/03/2026</t>
        </is>
      </c>
      <c r="B1391" s="307" t="inlineStr">
        <is>
          <t>Marzo</t>
        </is>
      </c>
      <c r="C1391" s="310" t="inlineStr">
        <is>
          <t>LUCHO</t>
        </is>
      </c>
      <c r="D1391" s="218" t="n">
        <v>2</v>
      </c>
      <c r="E1391" s="218" t="n"/>
      <c r="F1391" s="218" t="n"/>
      <c r="G1391" s="218" t="n"/>
      <c r="H1391" s="218" t="n"/>
      <c r="I1391" s="216" t="n">
        <v>34000</v>
      </c>
      <c r="J1391" s="309" t="n">
        <v>0</v>
      </c>
      <c r="K1391" s="309" t="n">
        <v>34000</v>
      </c>
      <c r="L1391" s="236" t="n">
        <v>4000</v>
      </c>
    </row>
    <row r="1392" ht="15" customHeight="1" s="153">
      <c r="A1392" s="306" t="inlineStr">
        <is>
          <t>25/03/2026</t>
        </is>
      </c>
      <c r="B1392" s="307" t="inlineStr">
        <is>
          <t>Marzo</t>
        </is>
      </c>
      <c r="C1392" s="310" t="inlineStr">
        <is>
          <t>LUCHO</t>
        </is>
      </c>
      <c r="D1392" s="218" t="n">
        <v>2</v>
      </c>
      <c r="E1392" s="218" t="n"/>
      <c r="F1392" s="218" t="n"/>
      <c r="G1392" s="218" t="n"/>
      <c r="H1392" s="218" t="n"/>
      <c r="I1392" s="216" t="n">
        <v>34000</v>
      </c>
      <c r="J1392" s="309" t="n">
        <v>34000</v>
      </c>
      <c r="K1392" s="309" t="n">
        <v>0</v>
      </c>
      <c r="L1392" s="236" t="n">
        <v>4000</v>
      </c>
    </row>
    <row r="1393" ht="15" customHeight="1" s="153">
      <c r="A1393" s="306" t="inlineStr">
        <is>
          <t>01/04/2026</t>
        </is>
      </c>
      <c r="B1393" s="307" t="inlineStr">
        <is>
          <t>Abril</t>
        </is>
      </c>
      <c r="C1393" s="310" t="inlineStr">
        <is>
          <t>LUCHO</t>
        </is>
      </c>
      <c r="D1393" s="218" t="n">
        <v>1</v>
      </c>
      <c r="E1393" s="218" t="n"/>
      <c r="F1393" s="218" t="n"/>
      <c r="G1393" s="218" t="n"/>
      <c r="H1393" s="218" t="n"/>
      <c r="I1393" s="216" t="n">
        <v>19000</v>
      </c>
      <c r="J1393" s="309" t="n">
        <v>0</v>
      </c>
      <c r="K1393" s="309" t="n">
        <v>19000</v>
      </c>
      <c r="L1393" s="236" t="n">
        <v>4000</v>
      </c>
    </row>
    <row r="1394" ht="15" customHeight="1" s="153">
      <c r="A1394" s="306" t="inlineStr">
        <is>
          <t>01/04/2026</t>
        </is>
      </c>
      <c r="B1394" s="307" t="inlineStr">
        <is>
          <t>Abril</t>
        </is>
      </c>
      <c r="C1394" s="310" t="inlineStr">
        <is>
          <t>LUCHO</t>
        </is>
      </c>
      <c r="D1394" s="218" t="n">
        <v>1</v>
      </c>
      <c r="E1394" s="218" t="n">
        <v>1</v>
      </c>
      <c r="F1394" s="218" t="n"/>
      <c r="G1394" s="218" t="n"/>
      <c r="H1394" s="218" t="n"/>
      <c r="I1394" s="216" t="n">
        <v>47500</v>
      </c>
      <c r="J1394" s="309" t="n">
        <v>0</v>
      </c>
      <c r="K1394" s="309" t="n">
        <v>47500</v>
      </c>
      <c r="L1394" s="236" t="n">
        <v>10000</v>
      </c>
    </row>
    <row r="1395" ht="15" customHeight="1" s="153">
      <c r="A1395" s="306" t="inlineStr">
        <is>
          <t>04/04/2026</t>
        </is>
      </c>
      <c r="B1395" s="307" t="inlineStr">
        <is>
          <t>Abril</t>
        </is>
      </c>
      <c r="C1395" s="310" t="inlineStr">
        <is>
          <t>LUCHO</t>
        </is>
      </c>
      <c r="D1395" s="218" t="n">
        <v>1</v>
      </c>
      <c r="E1395" s="218" t="n"/>
      <c r="F1395" s="218" t="n"/>
      <c r="G1395" s="218" t="n"/>
      <c r="H1395" s="218" t="n"/>
      <c r="I1395" s="216" t="n">
        <v>19000</v>
      </c>
      <c r="J1395" s="309" t="n">
        <v>0</v>
      </c>
      <c r="K1395" s="309" t="n">
        <v>19000</v>
      </c>
      <c r="L1395" s="236" t="n">
        <v>4000</v>
      </c>
    </row>
    <row r="1396" ht="15" customHeight="1" s="153">
      <c r="A1396" s="306" t="inlineStr">
        <is>
          <t>07/04/2026</t>
        </is>
      </c>
      <c r="B1396" s="307" t="inlineStr">
        <is>
          <t>Abril</t>
        </is>
      </c>
      <c r="C1396" s="310" t="inlineStr">
        <is>
          <t>LUCHO</t>
        </is>
      </c>
      <c r="D1396" s="218" t="n">
        <v>3</v>
      </c>
      <c r="E1396" s="218" t="n"/>
      <c r="F1396" s="218" t="n"/>
      <c r="G1396" s="218" t="n"/>
      <c r="H1396" s="218" t="n"/>
      <c r="I1396" s="216" t="n">
        <v>57000</v>
      </c>
      <c r="J1396" s="309" t="n">
        <v>57000</v>
      </c>
      <c r="K1396" s="309" t="n">
        <v>0</v>
      </c>
      <c r="L1396" s="236" t="n">
        <v>12000</v>
      </c>
    </row>
    <row r="1397" ht="15" customHeight="1" s="153">
      <c r="A1397" s="306" t="inlineStr">
        <is>
          <t>07/04/2026</t>
        </is>
      </c>
      <c r="B1397" s="307" t="inlineStr">
        <is>
          <t>Abril</t>
        </is>
      </c>
      <c r="C1397" s="310" t="inlineStr">
        <is>
          <t>LUCHO</t>
        </is>
      </c>
      <c r="D1397" s="218" t="n">
        <v>2</v>
      </c>
      <c r="E1397" s="218" t="n"/>
      <c r="F1397" s="218" t="n"/>
      <c r="G1397" s="218" t="n"/>
      <c r="H1397" s="218" t="n"/>
      <c r="I1397" s="216" t="n">
        <v>38000</v>
      </c>
      <c r="J1397" s="309" t="n">
        <v>38000</v>
      </c>
      <c r="K1397" s="309" t="n">
        <v>0</v>
      </c>
      <c r="L1397" s="236" t="n">
        <v>8000</v>
      </c>
    </row>
    <row r="1398" ht="15" customHeight="1" s="153">
      <c r="A1398" s="306" t="inlineStr">
        <is>
          <t>12/04/2026</t>
        </is>
      </c>
      <c r="B1398" s="307" t="inlineStr">
        <is>
          <t>Abril</t>
        </is>
      </c>
      <c r="C1398" s="310" t="inlineStr">
        <is>
          <t>LUCHO</t>
        </is>
      </c>
      <c r="D1398" s="218" t="n">
        <v>5</v>
      </c>
      <c r="E1398" s="218" t="n"/>
      <c r="F1398" s="218" t="n"/>
      <c r="G1398" s="218" t="n"/>
      <c r="H1398" s="218" t="n"/>
      <c r="I1398" s="216" t="n">
        <v>95000</v>
      </c>
      <c r="J1398" s="309" t="n">
        <v>95000</v>
      </c>
      <c r="K1398" s="309" t="n">
        <v>0</v>
      </c>
      <c r="L1398" s="236" t="n">
        <v>20000</v>
      </c>
    </row>
    <row r="1399" ht="15" customHeight="1" s="153">
      <c r="A1399" s="306" t="inlineStr">
        <is>
          <t>16/04/2026</t>
        </is>
      </c>
      <c r="B1399" s="307" t="inlineStr">
        <is>
          <t>Abril</t>
        </is>
      </c>
      <c r="C1399" s="310" t="inlineStr">
        <is>
          <t>LUCHO</t>
        </is>
      </c>
      <c r="D1399" s="218" t="n">
        <v>2</v>
      </c>
      <c r="E1399" s="218" t="n"/>
      <c r="F1399" s="218" t="n"/>
      <c r="G1399" s="218" t="n"/>
      <c r="H1399" s="218" t="n">
        <v>2</v>
      </c>
      <c r="I1399" s="216" t="n">
        <v>50000</v>
      </c>
      <c r="J1399" s="309" t="n">
        <v>50000</v>
      </c>
      <c r="K1399" s="309" t="n">
        <v>0</v>
      </c>
      <c r="L1399" s="236" t="n">
        <v>18300</v>
      </c>
    </row>
    <row r="1400" ht="15" customHeight="1" s="153">
      <c r="A1400" s="306" t="inlineStr">
        <is>
          <t>17/04/2026</t>
        </is>
      </c>
      <c r="B1400" s="307" t="inlineStr">
        <is>
          <t>Abril</t>
        </is>
      </c>
      <c r="C1400" s="310" t="inlineStr">
        <is>
          <t>LUCHO</t>
        </is>
      </c>
      <c r="D1400" s="218" t="n">
        <v>2</v>
      </c>
      <c r="E1400" s="218" t="n"/>
      <c r="F1400" s="218" t="n"/>
      <c r="G1400" s="218" t="n"/>
      <c r="H1400" s="218" t="n"/>
      <c r="I1400" s="216" t="n">
        <v>38000</v>
      </c>
      <c r="J1400" s="309" t="n">
        <v>20000</v>
      </c>
      <c r="K1400" s="309" t="n">
        <v>18000</v>
      </c>
      <c r="L1400" s="236" t="n">
        <v>8000</v>
      </c>
    </row>
    <row r="1401" ht="15" customHeight="1" s="153">
      <c r="A1401" s="306" t="inlineStr">
        <is>
          <t>19/04/2026</t>
        </is>
      </c>
      <c r="B1401" s="307" t="inlineStr">
        <is>
          <t>Abril</t>
        </is>
      </c>
      <c r="C1401" s="310" t="inlineStr">
        <is>
          <t>LUCHO</t>
        </is>
      </c>
      <c r="D1401" s="218" t="n">
        <v>1</v>
      </c>
      <c r="E1401" s="218" t="n"/>
      <c r="F1401" s="218" t="n"/>
      <c r="G1401" s="218" t="n"/>
      <c r="H1401" s="218" t="n"/>
      <c r="I1401" s="216" t="n">
        <v>19000</v>
      </c>
      <c r="J1401" s="309" t="n">
        <v>19000</v>
      </c>
      <c r="K1401" s="309" t="n">
        <v>0</v>
      </c>
      <c r="L1401" s="236" t="n">
        <v>4000</v>
      </c>
    </row>
    <row r="1402" ht="15" customHeight="1" s="153">
      <c r="A1402" s="306" t="inlineStr">
        <is>
          <t>20/04/2026</t>
        </is>
      </c>
      <c r="B1402" s="307" t="inlineStr">
        <is>
          <t>Abril</t>
        </is>
      </c>
      <c r="C1402" s="310" t="inlineStr">
        <is>
          <t>LUCHO</t>
        </is>
      </c>
      <c r="D1402" s="218" t="n"/>
      <c r="E1402" s="218" t="n">
        <v>1</v>
      </c>
      <c r="F1402" s="218" t="n"/>
      <c r="G1402" s="218" t="n"/>
      <c r="H1402" s="218" t="n"/>
      <c r="I1402" s="216" t="n">
        <v>28500</v>
      </c>
      <c r="J1402" s="309" t="n">
        <v>0</v>
      </c>
      <c r="K1402" s="309" t="n">
        <v>28500</v>
      </c>
      <c r="L1402" s="236" t="n">
        <v>6000</v>
      </c>
    </row>
    <row r="1403" ht="15" customHeight="1" s="153">
      <c r="A1403" s="302" t="inlineStr">
        <is>
          <t>13/03/2026</t>
        </is>
      </c>
      <c r="B1403" s="303" t="inlineStr">
        <is>
          <t>Marzo</t>
        </is>
      </c>
      <c r="C1403" s="311" t="inlineStr">
        <is>
          <t>LUCHO3</t>
        </is>
      </c>
      <c r="D1403" s="225" t="n">
        <v>3</v>
      </c>
      <c r="E1403" s="225" t="n"/>
      <c r="F1403" s="225" t="n"/>
      <c r="G1403" s="225" t="n"/>
      <c r="H1403" s="225" t="n"/>
      <c r="I1403" s="223" t="n">
        <v>51000</v>
      </c>
      <c r="J1403" s="305" t="n">
        <v>51000</v>
      </c>
      <c r="K1403" s="305" t="n">
        <v>0</v>
      </c>
      <c r="L1403" s="224" t="n">
        <v>6000</v>
      </c>
    </row>
    <row r="1404" ht="15" customHeight="1" s="153">
      <c r="A1404" s="306" t="inlineStr">
        <is>
          <t>17/03/2026</t>
        </is>
      </c>
      <c r="B1404" s="307" t="inlineStr">
        <is>
          <t>Marzo</t>
        </is>
      </c>
      <c r="C1404" s="310" t="inlineStr">
        <is>
          <t>LUCHOI</t>
        </is>
      </c>
      <c r="D1404" s="218" t="n">
        <v>1</v>
      </c>
      <c r="E1404" s="218" t="n"/>
      <c r="F1404" s="218" t="n"/>
      <c r="G1404" s="218" t="n"/>
      <c r="H1404" s="218" t="n">
        <v>2</v>
      </c>
      <c r="I1404" s="216" t="n">
        <v>29000</v>
      </c>
      <c r="J1404" s="309" t="n">
        <v>0</v>
      </c>
      <c r="K1404" s="309" t="n">
        <v>29000</v>
      </c>
      <c r="L1404" s="236" t="n">
        <v>12300</v>
      </c>
    </row>
    <row r="1405" ht="15" customHeight="1" s="153">
      <c r="A1405" s="302" t="inlineStr">
        <is>
          <t>03/01/2026</t>
        </is>
      </c>
      <c r="B1405" s="303" t="inlineStr">
        <is>
          <t>Enero</t>
        </is>
      </c>
      <c r="C1405" s="311" t="inlineStr">
        <is>
          <t>LUCIANDO LEIVA Y ALBERTI</t>
        </is>
      </c>
      <c r="D1405" s="225" t="n">
        <v>1</v>
      </c>
      <c r="E1405" s="225" t="n"/>
      <c r="F1405" s="225" t="n"/>
      <c r="G1405" s="225" t="n"/>
      <c r="H1405" s="225" t="n"/>
      <c r="I1405" s="223" t="n">
        <v>20500</v>
      </c>
      <c r="J1405" s="305" t="n">
        <v>20500</v>
      </c>
      <c r="K1405" s="305" t="n">
        <v>0</v>
      </c>
      <c r="L1405" s="224" t="n">
        <v>5500</v>
      </c>
    </row>
    <row r="1406" ht="15" customHeight="1" s="153">
      <c r="A1406" s="306" t="inlineStr">
        <is>
          <t>06/02/2026</t>
        </is>
      </c>
      <c r="B1406" s="307" t="inlineStr">
        <is>
          <t>Febrero</t>
        </is>
      </c>
      <c r="C1406" s="310" t="inlineStr">
        <is>
          <t>LUCIANO LEIVA Y ABLERTI</t>
        </is>
      </c>
      <c r="D1406" s="218" t="n">
        <v>1</v>
      </c>
      <c r="E1406" s="218" t="n"/>
      <c r="F1406" s="218" t="n"/>
      <c r="G1406" s="218" t="n"/>
      <c r="H1406" s="218" t="n"/>
      <c r="I1406" s="216" t="n">
        <v>20000</v>
      </c>
      <c r="J1406" s="309" t="n">
        <v>20000</v>
      </c>
      <c r="K1406" s="309" t="n">
        <v>0</v>
      </c>
      <c r="L1406" s="236" t="n">
        <v>5000</v>
      </c>
    </row>
    <row r="1407" ht="15" customHeight="1" s="153">
      <c r="A1407" s="302" t="inlineStr">
        <is>
          <t>22/02/2026</t>
        </is>
      </c>
      <c r="B1407" s="303" t="inlineStr">
        <is>
          <t>Febrero</t>
        </is>
      </c>
      <c r="C1407" s="311" t="inlineStr">
        <is>
          <t>M CANDIOTI 5256</t>
        </is>
      </c>
      <c r="D1407" s="225" t="n">
        <v>1</v>
      </c>
      <c r="E1407" s="225" t="n"/>
      <c r="F1407" s="225" t="n"/>
      <c r="G1407" s="225" t="n"/>
      <c r="H1407" s="225" t="n"/>
      <c r="I1407" s="223" t="n">
        <v>22000</v>
      </c>
      <c r="J1407" s="305" t="n">
        <v>22000</v>
      </c>
      <c r="K1407" s="305" t="n">
        <v>0</v>
      </c>
      <c r="L1407" s="224" t="n">
        <v>7000</v>
      </c>
    </row>
    <row r="1408" ht="15" customHeight="1" s="153">
      <c r="A1408" s="306" t="inlineStr">
        <is>
          <t>06/03/2026</t>
        </is>
      </c>
      <c r="B1408" s="307" t="inlineStr">
        <is>
          <t>Marzo</t>
        </is>
      </c>
      <c r="C1408" s="310" t="inlineStr">
        <is>
          <t>M CANDIOTI 5759</t>
        </is>
      </c>
      <c r="D1408" s="218" t="n">
        <v>1</v>
      </c>
      <c r="E1408" s="218" t="n"/>
      <c r="F1408" s="218" t="n"/>
      <c r="G1408" s="218" t="n"/>
      <c r="H1408" s="218" t="n"/>
      <c r="I1408" s="216" t="n">
        <v>23000</v>
      </c>
      <c r="J1408" s="309" t="n">
        <v>23000</v>
      </c>
      <c r="K1408" s="309" t="n">
        <v>0</v>
      </c>
      <c r="L1408" s="236" t="n">
        <v>8000</v>
      </c>
    </row>
    <row r="1409" ht="15" customHeight="1" s="153">
      <c r="A1409" s="302" t="inlineStr">
        <is>
          <t>03/04/2026</t>
        </is>
      </c>
      <c r="B1409" s="303" t="inlineStr">
        <is>
          <t>Abril</t>
        </is>
      </c>
      <c r="C1409" s="311" t="inlineStr">
        <is>
          <t>M CANDIOTI 6141</t>
        </is>
      </c>
      <c r="D1409" s="225" t="n">
        <v>1</v>
      </c>
      <c r="E1409" s="225" t="n"/>
      <c r="F1409" s="225" t="n"/>
      <c r="G1409" s="225" t="n"/>
      <c r="H1409" s="225" t="n"/>
      <c r="I1409" s="223" t="n">
        <v>26000</v>
      </c>
      <c r="J1409" s="305" t="n">
        <v>26000</v>
      </c>
      <c r="K1409" s="305" t="n">
        <v>0</v>
      </c>
      <c r="L1409" s="224" t="n">
        <v>11000</v>
      </c>
    </row>
    <row r="1410" ht="15" customHeight="1" s="153">
      <c r="A1410" s="306" t="inlineStr">
        <is>
          <t>11/01/2026</t>
        </is>
      </c>
      <c r="B1410" s="307" t="inlineStr">
        <is>
          <t>Enero</t>
        </is>
      </c>
      <c r="C1410" s="310" t="inlineStr">
        <is>
          <t>M CANDIOTI 6281</t>
        </is>
      </c>
      <c r="D1410" s="218" t="n">
        <v>1</v>
      </c>
      <c r="E1410" s="218" t="n"/>
      <c r="F1410" s="218" t="n"/>
      <c r="G1410" s="218" t="n"/>
      <c r="H1410" s="218" t="n"/>
      <c r="I1410" s="216" t="n">
        <v>22000</v>
      </c>
      <c r="J1410" s="309" t="n">
        <v>0</v>
      </c>
      <c r="K1410" s="309" t="n">
        <v>22000</v>
      </c>
      <c r="L1410" s="236" t="n">
        <v>7000</v>
      </c>
    </row>
    <row r="1411" ht="15" customHeight="1" s="153">
      <c r="A1411" s="302" t="inlineStr">
        <is>
          <t>13/04/2026</t>
        </is>
      </c>
      <c r="B1411" s="303" t="inlineStr">
        <is>
          <t>Abril</t>
        </is>
      </c>
      <c r="C1411" s="311" t="inlineStr">
        <is>
          <t>M ZAPATA 1328</t>
        </is>
      </c>
      <c r="D1411" s="225" t="n">
        <v>1</v>
      </c>
      <c r="E1411" s="225" t="n"/>
      <c r="F1411" s="225" t="n"/>
      <c r="G1411" s="225" t="n"/>
      <c r="H1411" s="225" t="n"/>
      <c r="I1411" s="223" t="n">
        <v>26000</v>
      </c>
      <c r="J1411" s="305" t="n">
        <v>26000</v>
      </c>
      <c r="K1411" s="305" t="n">
        <v>0</v>
      </c>
      <c r="L1411" s="224" t="n">
        <v>11000</v>
      </c>
    </row>
    <row r="1412" ht="15" customHeight="1" s="153">
      <c r="A1412" s="306" t="inlineStr">
        <is>
          <t>20/03/2026</t>
        </is>
      </c>
      <c r="B1412" s="307" t="inlineStr">
        <is>
          <t>Marzo</t>
        </is>
      </c>
      <c r="C1412" s="310" t="inlineStr">
        <is>
          <t>M ZAPATA 2101</t>
        </is>
      </c>
      <c r="D1412" s="218" t="n">
        <v>3</v>
      </c>
      <c r="E1412" s="218" t="n"/>
      <c r="F1412" s="218" t="n"/>
      <c r="G1412" s="218" t="n"/>
      <c r="H1412" s="218" t="n"/>
      <c r="I1412" s="216" t="n">
        <v>52500</v>
      </c>
      <c r="J1412" s="309" t="n">
        <v>40000</v>
      </c>
      <c r="K1412" s="309" t="n">
        <v>12500</v>
      </c>
      <c r="L1412" s="236" t="n">
        <v>7500</v>
      </c>
    </row>
    <row r="1413" ht="15" customHeight="1" s="153">
      <c r="A1413" s="306" t="inlineStr">
        <is>
          <t>01/04/2026</t>
        </is>
      </c>
      <c r="B1413" s="307" t="inlineStr">
        <is>
          <t>Abril</t>
        </is>
      </c>
      <c r="C1413" s="310" t="inlineStr">
        <is>
          <t>M ZAPATA 2101</t>
        </is>
      </c>
      <c r="D1413" s="218" t="n">
        <v>2</v>
      </c>
      <c r="E1413" s="218" t="n"/>
      <c r="F1413" s="218" t="n"/>
      <c r="G1413" s="218" t="n"/>
      <c r="H1413" s="218" t="n"/>
      <c r="I1413" s="216" t="n">
        <v>39000</v>
      </c>
      <c r="J1413" s="309" t="n">
        <v>39000</v>
      </c>
      <c r="K1413" s="309" t="n">
        <v>0</v>
      </c>
      <c r="L1413" s="236" t="n">
        <v>9000</v>
      </c>
    </row>
    <row r="1414" ht="15" customHeight="1" s="153">
      <c r="A1414" s="302" t="inlineStr">
        <is>
          <t>04/01/2026</t>
        </is>
      </c>
      <c r="B1414" s="303" t="inlineStr">
        <is>
          <t>Enero</t>
        </is>
      </c>
      <c r="C1414" s="311" t="inlineStr">
        <is>
          <t>M ZAPATA 3304</t>
        </is>
      </c>
      <c r="D1414" s="225" t="n">
        <v>1</v>
      </c>
      <c r="E1414" s="225" t="n"/>
      <c r="F1414" s="225" t="n"/>
      <c r="G1414" s="225" t="n"/>
      <c r="H1414" s="225" t="n"/>
      <c r="I1414" s="223" t="n">
        <v>22000</v>
      </c>
      <c r="J1414" s="305" t="n">
        <v>0</v>
      </c>
      <c r="K1414" s="305" t="n">
        <v>22000</v>
      </c>
      <c r="L1414" s="224" t="n">
        <v>7000</v>
      </c>
    </row>
    <row r="1415" ht="15" customHeight="1" s="153">
      <c r="A1415" s="306" t="inlineStr">
        <is>
          <t>23/01/2026</t>
        </is>
      </c>
      <c r="B1415" s="307" t="inlineStr">
        <is>
          <t>Enero</t>
        </is>
      </c>
      <c r="C1415" s="310" t="inlineStr">
        <is>
          <t>MACHUCA RAMONA1</t>
        </is>
      </c>
      <c r="D1415" s="218" t="n"/>
      <c r="E1415" s="218" t="n"/>
      <c r="F1415" s="218" t="n">
        <v>1</v>
      </c>
      <c r="G1415" s="218" t="n"/>
      <c r="H1415" s="218" t="n"/>
      <c r="I1415" s="216" t="n">
        <v>75000</v>
      </c>
      <c r="J1415" s="309" t="n">
        <v>75000</v>
      </c>
      <c r="K1415" s="309" t="n">
        <v>0</v>
      </c>
      <c r="L1415" s="236" t="n">
        <v>15000</v>
      </c>
    </row>
    <row r="1416" ht="15" customHeight="1" s="153">
      <c r="A1416" s="302" t="inlineStr">
        <is>
          <t>11/03/2026</t>
        </is>
      </c>
      <c r="B1416" s="303" t="inlineStr">
        <is>
          <t>Marzo</t>
        </is>
      </c>
      <c r="C1416" s="311" t="inlineStr">
        <is>
          <t>MADAME CHEESE</t>
        </is>
      </c>
      <c r="D1416" s="225" t="n"/>
      <c r="E1416" s="225" t="n">
        <v>1</v>
      </c>
      <c r="F1416" s="225" t="n"/>
      <c r="G1416" s="225" t="n"/>
      <c r="H1416" s="225" t="n"/>
      <c r="I1416" s="223" t="n">
        <v>30000</v>
      </c>
      <c r="J1416" s="305" t="n">
        <v>0</v>
      </c>
      <c r="K1416" s="305" t="n">
        <v>30000</v>
      </c>
      <c r="L1416" s="224" t="n">
        <v>7500</v>
      </c>
    </row>
    <row r="1417" ht="15" customHeight="1" s="153">
      <c r="A1417" s="306" t="inlineStr">
        <is>
          <t>09/04/2026</t>
        </is>
      </c>
      <c r="B1417" s="307" t="inlineStr">
        <is>
          <t>Abril</t>
        </is>
      </c>
      <c r="C1417" s="310" t="inlineStr">
        <is>
          <t>MALAVER 4238</t>
        </is>
      </c>
      <c r="D1417" s="218" t="n"/>
      <c r="E1417" s="218" t="n">
        <v>1</v>
      </c>
      <c r="F1417" s="218" t="n"/>
      <c r="G1417" s="218" t="n"/>
      <c r="H1417" s="218" t="n"/>
      <c r="I1417" s="216" t="n">
        <v>36500</v>
      </c>
      <c r="J1417" s="309" t="n">
        <v>0</v>
      </c>
      <c r="K1417" s="309" t="n">
        <v>36500</v>
      </c>
      <c r="L1417" s="236" t="n">
        <v>14000</v>
      </c>
    </row>
    <row r="1418" ht="15" customHeight="1" s="153">
      <c r="A1418" s="302" t="inlineStr">
        <is>
          <t>01/04/2026</t>
        </is>
      </c>
      <c r="B1418" s="303" t="inlineStr">
        <is>
          <t>Abril</t>
        </is>
      </c>
      <c r="C1418" s="311" t="inlineStr">
        <is>
          <t>MAMA NICO BUSTO</t>
        </is>
      </c>
      <c r="D1418" s="225" t="n">
        <v>1</v>
      </c>
      <c r="E1418" s="225" t="n"/>
      <c r="F1418" s="225" t="n"/>
      <c r="G1418" s="225" t="n">
        <v>10</v>
      </c>
      <c r="H1418" s="225" t="n"/>
      <c r="I1418" s="223" t="n">
        <v>61000</v>
      </c>
      <c r="J1418" s="305" t="n">
        <v>0</v>
      </c>
      <c r="K1418" s="305" t="n">
        <v>61000</v>
      </c>
      <c r="L1418" s="224" t="n">
        <v>23000</v>
      </c>
    </row>
    <row r="1419" ht="15" customHeight="1" s="153">
      <c r="A1419" s="306" t="inlineStr">
        <is>
          <t>06/03/2026</t>
        </is>
      </c>
      <c r="B1419" s="307" t="inlineStr">
        <is>
          <t>Marzo</t>
        </is>
      </c>
      <c r="C1419" s="310" t="inlineStr">
        <is>
          <t>MANTOVANI 6537</t>
        </is>
      </c>
      <c r="D1419" s="218" t="n">
        <v>1</v>
      </c>
      <c r="E1419" s="218" t="n"/>
      <c r="F1419" s="218" t="n"/>
      <c r="G1419" s="218" t="n"/>
      <c r="H1419" s="218" t="n"/>
      <c r="I1419" s="216" t="n">
        <v>21000</v>
      </c>
      <c r="J1419" s="309" t="n">
        <v>21000</v>
      </c>
      <c r="K1419" s="309" t="n">
        <v>0</v>
      </c>
      <c r="L1419" s="236" t="n">
        <v>6000</v>
      </c>
    </row>
    <row r="1420" ht="15" customHeight="1" s="153">
      <c r="A1420" s="302" t="inlineStr">
        <is>
          <t>05/02/2026</t>
        </is>
      </c>
      <c r="B1420" s="303" t="inlineStr">
        <is>
          <t>Abril</t>
        </is>
      </c>
      <c r="C1420" s="311" t="inlineStr">
        <is>
          <t>MANTOVANI 6752</t>
        </is>
      </c>
      <c r="D1420" s="225" t="n">
        <v>1</v>
      </c>
      <c r="E1420" s="225" t="n"/>
      <c r="F1420" s="225" t="n"/>
      <c r="G1420" s="225" t="n"/>
      <c r="H1420" s="225" t="n"/>
      <c r="I1420" s="223" t="n">
        <v>25000</v>
      </c>
      <c r="J1420" s="305" t="n">
        <v>0</v>
      </c>
      <c r="K1420" s="305" t="n">
        <v>25000</v>
      </c>
      <c r="L1420" s="224" t="n">
        <v>10000</v>
      </c>
    </row>
    <row r="1421" ht="15" customHeight="1" s="153">
      <c r="A1421" s="306" t="inlineStr">
        <is>
          <t>10/03/2026</t>
        </is>
      </c>
      <c r="B1421" s="307" t="inlineStr">
        <is>
          <t>Marzo</t>
        </is>
      </c>
      <c r="C1421" s="310" t="inlineStr">
        <is>
          <t>MARCE DUSSO</t>
        </is>
      </c>
      <c r="D1421" s="218" t="n">
        <v>4</v>
      </c>
      <c r="E1421" s="218" t="n"/>
      <c r="F1421" s="218" t="n">
        <v>1</v>
      </c>
      <c r="G1421" s="218" t="n"/>
      <c r="H1421" s="218" t="n"/>
      <c r="I1421" s="216" t="n">
        <v>132000</v>
      </c>
      <c r="J1421" s="309" t="n">
        <v>0</v>
      </c>
      <c r="K1421" s="309" t="n">
        <v>132000</v>
      </c>
      <c r="L1421" s="236" t="n">
        <v>12000</v>
      </c>
    </row>
    <row r="1422" ht="15" customHeight="1" s="153">
      <c r="A1422" s="302" t="inlineStr">
        <is>
          <t>25/02/2026</t>
        </is>
      </c>
      <c r="B1422" s="303" t="inlineStr">
        <is>
          <t>Febrero</t>
        </is>
      </c>
      <c r="C1422" s="311" t="inlineStr">
        <is>
          <t>MARCIAL CANDIOTI 6141</t>
        </is>
      </c>
      <c r="D1422" s="225" t="n">
        <v>1</v>
      </c>
      <c r="E1422" s="225" t="n"/>
      <c r="F1422" s="225" t="n"/>
      <c r="G1422" s="225" t="n"/>
      <c r="H1422" s="225" t="n"/>
      <c r="I1422" s="223" t="n">
        <v>22000</v>
      </c>
      <c r="J1422" s="305" t="n">
        <v>22000</v>
      </c>
      <c r="K1422" s="305" t="n">
        <v>0</v>
      </c>
      <c r="L1422" s="224" t="n">
        <v>7000</v>
      </c>
    </row>
    <row r="1423" ht="15" customHeight="1" s="153">
      <c r="A1423" s="306" t="inlineStr">
        <is>
          <t>06/02/2026</t>
        </is>
      </c>
      <c r="B1423" s="307" t="inlineStr">
        <is>
          <t>Febrero</t>
        </is>
      </c>
      <c r="C1423" s="310" t="inlineStr">
        <is>
          <t>MARCIAL CANDIOTI 8968</t>
        </is>
      </c>
      <c r="D1423" s="218" t="n"/>
      <c r="E1423" s="218" t="n"/>
      <c r="F1423" s="218" t="n">
        <v>1</v>
      </c>
      <c r="G1423" s="218" t="n"/>
      <c r="H1423" s="218" t="n"/>
      <c r="I1423" s="216" t="n">
        <v>77000</v>
      </c>
      <c r="J1423" s="309" t="n">
        <v>0</v>
      </c>
      <c r="K1423" s="309" t="n">
        <v>77000</v>
      </c>
      <c r="L1423" s="236" t="n">
        <v>17000</v>
      </c>
    </row>
    <row r="1424" ht="15" customHeight="1" s="153">
      <c r="A1424" s="302" t="inlineStr">
        <is>
          <t>08/04/2026</t>
        </is>
      </c>
      <c r="B1424" s="303" t="inlineStr">
        <is>
          <t>Abril</t>
        </is>
      </c>
      <c r="C1424" s="311" t="inlineStr">
        <is>
          <t>MARIANA</t>
        </is>
      </c>
      <c r="D1424" s="225" t="n"/>
      <c r="E1424" s="225" t="n"/>
      <c r="F1424" s="225" t="n">
        <v>1</v>
      </c>
      <c r="G1424" s="225" t="n"/>
      <c r="H1424" s="225" t="n"/>
      <c r="I1424" s="223" t="n">
        <v>90000</v>
      </c>
      <c r="J1424" s="305" t="n">
        <v>90000</v>
      </c>
      <c r="K1424" s="305" t="n">
        <v>0</v>
      </c>
      <c r="L1424" s="224" t="n">
        <v>30000</v>
      </c>
    </row>
    <row r="1425" ht="15" customHeight="1" s="153">
      <c r="A1425" s="306" t="inlineStr">
        <is>
          <t>25/03/2026</t>
        </is>
      </c>
      <c r="B1425" s="307" t="inlineStr">
        <is>
          <t>Marzo</t>
        </is>
      </c>
      <c r="C1425" s="310" t="inlineStr">
        <is>
          <t>MARIELA</t>
        </is>
      </c>
      <c r="D1425" s="218" t="n"/>
      <c r="E1425" s="218" t="n"/>
      <c r="F1425" s="218" t="n">
        <v>2</v>
      </c>
      <c r="G1425" s="218" t="n">
        <v>20</v>
      </c>
      <c r="H1425" s="218" t="n"/>
      <c r="I1425" s="216" t="n">
        <v>219000</v>
      </c>
      <c r="J1425" s="309" t="n">
        <v>0</v>
      </c>
      <c r="K1425" s="309" t="n">
        <v>219000</v>
      </c>
      <c r="L1425" s="236" t="n">
        <v>53000</v>
      </c>
    </row>
    <row r="1426" ht="15" customHeight="1" s="153">
      <c r="A1426" s="302" t="inlineStr">
        <is>
          <t>15/04/2026</t>
        </is>
      </c>
      <c r="B1426" s="303" t="inlineStr">
        <is>
          <t>Abril</t>
        </is>
      </c>
      <c r="C1426" s="311" t="inlineStr">
        <is>
          <t>MARIO</t>
        </is>
      </c>
      <c r="D1426" s="225" t="n">
        <v>3</v>
      </c>
      <c r="E1426" s="225" t="n"/>
      <c r="F1426" s="225" t="n"/>
      <c r="G1426" s="225" t="n"/>
      <c r="H1426" s="225" t="n"/>
      <c r="I1426" s="223" t="n">
        <v>57000</v>
      </c>
      <c r="J1426" s="305" t="n">
        <v>0</v>
      </c>
      <c r="K1426" s="305" t="n">
        <v>57000</v>
      </c>
      <c r="L1426" s="224" t="n">
        <v>12000</v>
      </c>
    </row>
    <row r="1427" ht="15" customHeight="1" s="153">
      <c r="A1427" s="306" t="inlineStr">
        <is>
          <t>14/02/2026</t>
        </is>
      </c>
      <c r="B1427" s="307" t="inlineStr">
        <is>
          <t>Febrero</t>
        </is>
      </c>
      <c r="C1427" s="310" t="inlineStr">
        <is>
          <t>MARTIN ZAPATA 2101</t>
        </is>
      </c>
      <c r="D1427" s="218" t="n">
        <v>3</v>
      </c>
      <c r="E1427" s="218" t="n"/>
      <c r="F1427" s="218" t="n"/>
      <c r="G1427" s="218" t="n"/>
      <c r="H1427" s="218" t="n"/>
      <c r="I1427" s="216" t="n">
        <v>45000</v>
      </c>
      <c r="J1427" s="309" t="n">
        <v>0</v>
      </c>
      <c r="K1427" s="309" t="n">
        <v>45000</v>
      </c>
      <c r="L1427" s="236" t="n">
        <v>0</v>
      </c>
    </row>
    <row r="1428" ht="15" customHeight="1" s="153">
      <c r="A1428" s="302" t="inlineStr">
        <is>
          <t>28/02/2026</t>
        </is>
      </c>
      <c r="B1428" s="303" t="inlineStr">
        <is>
          <t>Febrero</t>
        </is>
      </c>
      <c r="C1428" s="311" t="inlineStr">
        <is>
          <t>MARTIN ZPATA 2101</t>
        </is>
      </c>
      <c r="D1428" s="225" t="n">
        <v>1</v>
      </c>
      <c r="E1428" s="225" t="n"/>
      <c r="F1428" s="225" t="n"/>
      <c r="G1428" s="225" t="n"/>
      <c r="H1428" s="225" t="n"/>
      <c r="I1428" s="223" t="n">
        <v>15000</v>
      </c>
      <c r="J1428" s="305" t="n">
        <v>0</v>
      </c>
      <c r="K1428" s="305" t="n">
        <v>15000</v>
      </c>
      <c r="L1428" s="224" t="n">
        <v>0</v>
      </c>
    </row>
    <row r="1429" ht="15" customHeight="1" s="153">
      <c r="A1429" s="306" t="inlineStr">
        <is>
          <t>09/02/2026</t>
        </is>
      </c>
      <c r="B1429" s="307" t="inlineStr">
        <is>
          <t>Febrero</t>
        </is>
      </c>
      <c r="C1429" s="310" t="inlineStr">
        <is>
          <t>MARTINEZ 3221</t>
        </is>
      </c>
      <c r="D1429" s="218" t="n">
        <v>2</v>
      </c>
      <c r="E1429" s="218" t="n"/>
      <c r="F1429" s="218" t="n">
        <v>1</v>
      </c>
      <c r="G1429" s="218" t="n"/>
      <c r="H1429" s="218" t="n"/>
      <c r="I1429" s="216" t="n">
        <v>119000</v>
      </c>
      <c r="J1429" s="309" t="n">
        <v>0</v>
      </c>
      <c r="K1429" s="309" t="n">
        <v>119000</v>
      </c>
      <c r="L1429" s="236" t="n">
        <v>29000</v>
      </c>
    </row>
    <row r="1430" ht="15" customHeight="1" s="153">
      <c r="A1430" s="306" t="inlineStr">
        <is>
          <t>25/03/2026</t>
        </is>
      </c>
      <c r="B1430" s="307" t="inlineStr">
        <is>
          <t>Marzo</t>
        </is>
      </c>
      <c r="C1430" s="310" t="inlineStr">
        <is>
          <t>MARTINEZ 3221</t>
        </is>
      </c>
      <c r="D1430" s="218" t="n">
        <v>1</v>
      </c>
      <c r="E1430" s="218" t="n"/>
      <c r="F1430" s="218" t="n">
        <v>1</v>
      </c>
      <c r="G1430" s="218" t="n"/>
      <c r="H1430" s="218" t="n"/>
      <c r="I1430" s="216" t="n">
        <v>108000</v>
      </c>
      <c r="J1430" s="309" t="n">
        <v>0</v>
      </c>
      <c r="K1430" s="309" t="n">
        <v>108000</v>
      </c>
      <c r="L1430" s="236" t="n">
        <v>33000</v>
      </c>
    </row>
    <row r="1431" ht="15" customHeight="1" s="153">
      <c r="A1431" s="302" t="inlineStr">
        <is>
          <t>06/03/2026</t>
        </is>
      </c>
      <c r="B1431" s="303" t="inlineStr">
        <is>
          <t>Marzo</t>
        </is>
      </c>
      <c r="C1431" s="311" t="inlineStr">
        <is>
          <t>MATEU 3378</t>
        </is>
      </c>
      <c r="D1431" s="225" t="n">
        <v>1</v>
      </c>
      <c r="E1431" s="225" t="n"/>
      <c r="F1431" s="225" t="n"/>
      <c r="G1431" s="225" t="n"/>
      <c r="H1431" s="225" t="n"/>
      <c r="I1431" s="223" t="n">
        <v>20000</v>
      </c>
      <c r="J1431" s="305" t="n">
        <v>20000</v>
      </c>
      <c r="K1431" s="305" t="n">
        <v>0</v>
      </c>
      <c r="L1431" s="224" t="n">
        <v>5000</v>
      </c>
    </row>
    <row r="1432" ht="15" customHeight="1" s="153">
      <c r="A1432" s="306" t="inlineStr">
        <is>
          <t>05/01/2026</t>
        </is>
      </c>
      <c r="B1432" s="307" t="inlineStr">
        <is>
          <t>Enero</t>
        </is>
      </c>
      <c r="C1432" s="310" t="inlineStr">
        <is>
          <t>MAURITO</t>
        </is>
      </c>
      <c r="D1432" s="218" t="n">
        <v>2</v>
      </c>
      <c r="E1432" s="218" t="n"/>
      <c r="F1432" s="218" t="n"/>
      <c r="G1432" s="218" t="n"/>
      <c r="H1432" s="218" t="n"/>
      <c r="I1432" s="216" t="n">
        <v>26000</v>
      </c>
      <c r="J1432" s="309" t="n">
        <v>0</v>
      </c>
      <c r="K1432" s="309" t="n">
        <v>26000</v>
      </c>
      <c r="L1432" s="217" t="n">
        <v>-4000</v>
      </c>
    </row>
    <row r="1433" ht="15" customHeight="1" s="153">
      <c r="A1433" s="302" t="inlineStr">
        <is>
          <t>13/01/2026</t>
        </is>
      </c>
      <c r="B1433" s="303" t="inlineStr">
        <is>
          <t>Enero</t>
        </is>
      </c>
      <c r="C1433" s="311" t="inlineStr">
        <is>
          <t>MAURO</t>
        </is>
      </c>
      <c r="D1433" s="225" t="n">
        <v>2</v>
      </c>
      <c r="E1433" s="225" t="n"/>
      <c r="F1433" s="225" t="n"/>
      <c r="G1433" s="225" t="n"/>
      <c r="H1433" s="225" t="n"/>
      <c r="I1433" s="223" t="n">
        <v>29000</v>
      </c>
      <c r="J1433" s="305" t="n">
        <v>0</v>
      </c>
      <c r="K1433" s="305" t="n">
        <v>29000</v>
      </c>
      <c r="L1433" s="245" t="n">
        <v>-1000</v>
      </c>
    </row>
    <row r="1434" ht="15" customHeight="1" s="153">
      <c r="A1434" s="306" t="inlineStr">
        <is>
          <t>02/02/2026</t>
        </is>
      </c>
      <c r="B1434" s="307" t="inlineStr">
        <is>
          <t>Febrero</t>
        </is>
      </c>
      <c r="C1434" s="310" t="inlineStr">
        <is>
          <t>MAXI HERMANO</t>
        </is>
      </c>
      <c r="D1434" s="218" t="n"/>
      <c r="E1434" s="218" t="n"/>
      <c r="F1434" s="218" t="n"/>
      <c r="G1434" s="218" t="n"/>
      <c r="H1434" s="218" t="n">
        <v>1</v>
      </c>
      <c r="I1434" s="216" t="n">
        <v>5000</v>
      </c>
      <c r="J1434" s="309" t="n">
        <v>0</v>
      </c>
      <c r="K1434" s="309" t="n">
        <v>5000</v>
      </c>
      <c r="L1434" s="236" t="n">
        <v>4150</v>
      </c>
    </row>
    <row r="1435" ht="15" customHeight="1" s="153">
      <c r="A1435" s="302" t="inlineStr">
        <is>
          <t>20/02/2026</t>
        </is>
      </c>
      <c r="B1435" s="303" t="inlineStr">
        <is>
          <t>Febrero</t>
        </is>
      </c>
      <c r="C1435" s="311" t="inlineStr">
        <is>
          <t>MAXI HNO OTNIEL</t>
        </is>
      </c>
      <c r="D1435" s="225" t="n"/>
      <c r="E1435" s="225" t="n"/>
      <c r="F1435" s="225" t="n"/>
      <c r="G1435" s="225" t="n"/>
      <c r="H1435" s="225" t="n">
        <v>1</v>
      </c>
      <c r="I1435" s="223" t="n">
        <v>5500</v>
      </c>
      <c r="J1435" s="305" t="n">
        <v>0</v>
      </c>
      <c r="K1435" s="305" t="n">
        <v>5500</v>
      </c>
      <c r="L1435" s="224" t="n">
        <v>4650</v>
      </c>
    </row>
    <row r="1436" ht="15" customHeight="1" s="153">
      <c r="A1436" s="306" t="inlineStr">
        <is>
          <t>20/01/2026</t>
        </is>
      </c>
      <c r="B1436" s="307" t="inlineStr">
        <is>
          <t>Enero</t>
        </is>
      </c>
      <c r="C1436" s="310" t="inlineStr">
        <is>
          <t>MISIONES 5281</t>
        </is>
      </c>
      <c r="D1436" s="218" t="n"/>
      <c r="E1436" s="218" t="n"/>
      <c r="F1436" s="218" t="n">
        <v>1</v>
      </c>
      <c r="G1436" s="218" t="n"/>
      <c r="H1436" s="218" t="n"/>
      <c r="I1436" s="216" t="n">
        <v>77000</v>
      </c>
      <c r="J1436" s="309" t="n">
        <v>0</v>
      </c>
      <c r="K1436" s="309" t="n">
        <v>77000</v>
      </c>
      <c r="L1436" s="236" t="n">
        <v>17000</v>
      </c>
    </row>
    <row r="1437" ht="15" customHeight="1" s="153">
      <c r="A1437" s="302" t="inlineStr">
        <is>
          <t>15/02/2026</t>
        </is>
      </c>
      <c r="B1437" s="303" t="inlineStr">
        <is>
          <t>Febrero</t>
        </is>
      </c>
      <c r="C1437" s="311" t="inlineStr">
        <is>
          <t>MISIONES 5780</t>
        </is>
      </c>
      <c r="D1437" s="225" t="n">
        <v>1</v>
      </c>
      <c r="E1437" s="225" t="n"/>
      <c r="F1437" s="225" t="n"/>
      <c r="G1437" s="225" t="n"/>
      <c r="H1437" s="225" t="n"/>
      <c r="I1437" s="223" t="n">
        <v>22000</v>
      </c>
      <c r="J1437" s="305" t="n">
        <v>22000</v>
      </c>
      <c r="K1437" s="305" t="n">
        <v>0</v>
      </c>
      <c r="L1437" s="224" t="n">
        <v>7000</v>
      </c>
    </row>
    <row r="1438" ht="15" customHeight="1" s="153">
      <c r="A1438" s="306" t="inlineStr">
        <is>
          <t>12/02/2026</t>
        </is>
      </c>
      <c r="B1438" s="307" t="inlineStr">
        <is>
          <t>Febrero</t>
        </is>
      </c>
      <c r="C1438" s="310" t="inlineStr">
        <is>
          <t>MISIONES 6381 PANA</t>
        </is>
      </c>
      <c r="D1438" s="218" t="n">
        <v>1</v>
      </c>
      <c r="E1438" s="218" t="n"/>
      <c r="F1438" s="218" t="n">
        <v>1</v>
      </c>
      <c r="G1438" s="218" t="n"/>
      <c r="H1438" s="218" t="n"/>
      <c r="I1438" s="216" t="n">
        <v>93000</v>
      </c>
      <c r="J1438" s="309" t="n">
        <v>0</v>
      </c>
      <c r="K1438" s="309" t="n">
        <v>93000</v>
      </c>
      <c r="L1438" s="236" t="n">
        <v>18000</v>
      </c>
    </row>
    <row r="1439" ht="15" customHeight="1" s="153">
      <c r="A1439" s="302" t="inlineStr">
        <is>
          <t>01/04/2026</t>
        </is>
      </c>
      <c r="B1439" s="303" t="inlineStr">
        <is>
          <t>Abril</t>
        </is>
      </c>
      <c r="C1439" s="311" t="inlineStr">
        <is>
          <t>MITRE 4930</t>
        </is>
      </c>
      <c r="D1439" s="225" t="n">
        <v>1</v>
      </c>
      <c r="E1439" s="225" t="n"/>
      <c r="F1439" s="225" t="n"/>
      <c r="G1439" s="225" t="n"/>
      <c r="H1439" s="225" t="n"/>
      <c r="I1439" s="223" t="n">
        <v>27000</v>
      </c>
      <c r="J1439" s="305" t="n">
        <v>27000</v>
      </c>
      <c r="K1439" s="305" t="n">
        <v>0</v>
      </c>
      <c r="L1439" s="224" t="n">
        <v>12000</v>
      </c>
    </row>
    <row r="1440" ht="15" customHeight="1" s="153">
      <c r="A1440" s="306" t="inlineStr">
        <is>
          <t>03/02/2026</t>
        </is>
      </c>
      <c r="B1440" s="307" t="inlineStr">
        <is>
          <t>Febrero</t>
        </is>
      </c>
      <c r="C1440" s="310" t="inlineStr">
        <is>
          <t>MOLINA FLORES 1</t>
        </is>
      </c>
      <c r="D1440" s="218" t="n"/>
      <c r="E1440" s="218" t="n"/>
      <c r="F1440" s="218" t="n">
        <v>1</v>
      </c>
      <c r="G1440" s="218" t="n"/>
      <c r="H1440" s="218" t="n"/>
      <c r="I1440" s="216" t="n">
        <v>75000</v>
      </c>
      <c r="J1440" s="309" t="n">
        <v>75000</v>
      </c>
      <c r="K1440" s="309" t="n">
        <v>0</v>
      </c>
      <c r="L1440" s="236" t="n">
        <v>15000</v>
      </c>
    </row>
    <row r="1441" ht="15" customHeight="1" s="153">
      <c r="A1441" s="306" t="inlineStr">
        <is>
          <t>22/03/2026</t>
        </is>
      </c>
      <c r="B1441" s="307" t="inlineStr">
        <is>
          <t>Marzo</t>
        </is>
      </c>
      <c r="C1441" s="310" t="inlineStr">
        <is>
          <t>MOLINA FLORES 1</t>
        </is>
      </c>
      <c r="D1441" s="218" t="n"/>
      <c r="E1441" s="218" t="n"/>
      <c r="F1441" s="218" t="n">
        <v>1</v>
      </c>
      <c r="G1441" s="218" t="n"/>
      <c r="H1441" s="218" t="n"/>
      <c r="I1441" s="216" t="n">
        <v>80000</v>
      </c>
      <c r="J1441" s="309" t="n">
        <v>80000</v>
      </c>
      <c r="K1441" s="309" t="n">
        <v>0</v>
      </c>
      <c r="L1441" s="236" t="n">
        <v>20000</v>
      </c>
    </row>
    <row r="1442" ht="15" customHeight="1" s="153">
      <c r="A1442" s="302" t="inlineStr">
        <is>
          <t>31/01/2026</t>
        </is>
      </c>
      <c r="B1442" s="303" t="inlineStr">
        <is>
          <t>Enero</t>
        </is>
      </c>
      <c r="C1442" s="311" t="inlineStr">
        <is>
          <t>MOLINERO</t>
        </is>
      </c>
      <c r="D1442" s="225" t="n">
        <v>1</v>
      </c>
      <c r="E1442" s="225" t="n"/>
      <c r="F1442" s="225" t="n"/>
      <c r="G1442" s="225" t="n"/>
      <c r="H1442" s="225" t="n"/>
      <c r="I1442" s="223" t="n">
        <v>21000</v>
      </c>
      <c r="J1442" s="305" t="n">
        <v>21000</v>
      </c>
      <c r="K1442" s="305" t="n">
        <v>0</v>
      </c>
      <c r="L1442" s="224" t="n">
        <v>6000</v>
      </c>
    </row>
    <row r="1443" ht="15" customHeight="1" s="153">
      <c r="A1443" s="306" t="inlineStr">
        <is>
          <t>18/02/2026</t>
        </is>
      </c>
      <c r="B1443" s="307" t="inlineStr">
        <is>
          <t>Febrero</t>
        </is>
      </c>
      <c r="C1443" s="310" t="inlineStr">
        <is>
          <t>MONTIEL 9165</t>
        </is>
      </c>
      <c r="D1443" s="218" t="n"/>
      <c r="E1443" s="218" t="n"/>
      <c r="F1443" s="218" t="n">
        <v>1</v>
      </c>
      <c r="G1443" s="218" t="n"/>
      <c r="H1443" s="218" t="n"/>
      <c r="I1443" s="216" t="n">
        <v>72000</v>
      </c>
      <c r="J1443" s="309" t="n">
        <v>0</v>
      </c>
      <c r="K1443" s="309" t="n">
        <v>72000</v>
      </c>
      <c r="L1443" s="236" t="n">
        <v>12000</v>
      </c>
    </row>
    <row r="1444" ht="15" customHeight="1" s="153">
      <c r="A1444" s="302" t="inlineStr">
        <is>
          <t>08/01/2026</t>
        </is>
      </c>
      <c r="B1444" s="303" t="inlineStr">
        <is>
          <t>Enero</t>
        </is>
      </c>
      <c r="C1444" s="311" t="inlineStr">
        <is>
          <t>NACHI CUEVA</t>
        </is>
      </c>
      <c r="D1444" s="225" t="n">
        <v>1</v>
      </c>
      <c r="E1444" s="225" t="n">
        <v>1</v>
      </c>
      <c r="F1444" s="225" t="n"/>
      <c r="G1444" s="225" t="n"/>
      <c r="H1444" s="225" t="n"/>
      <c r="I1444" s="223" t="n">
        <v>45000</v>
      </c>
      <c r="J1444" s="305" t="n">
        <v>45000</v>
      </c>
      <c r="K1444" s="305" t="n">
        <v>0</v>
      </c>
      <c r="L1444" s="224" t="n">
        <v>7500</v>
      </c>
    </row>
    <row r="1445" ht="15" customHeight="1" s="153">
      <c r="A1445" s="306" t="inlineStr">
        <is>
          <t>15/01/2026</t>
        </is>
      </c>
      <c r="B1445" s="307" t="inlineStr">
        <is>
          <t>Enero</t>
        </is>
      </c>
      <c r="C1445" s="310" t="inlineStr">
        <is>
          <t>NACHO</t>
        </is>
      </c>
      <c r="D1445" s="218" t="n">
        <v>1</v>
      </c>
      <c r="E1445" s="218" t="n"/>
      <c r="F1445" s="218" t="n"/>
      <c r="G1445" s="218" t="n"/>
      <c r="H1445" s="218" t="n"/>
      <c r="I1445" s="216" t="n">
        <v>18000</v>
      </c>
      <c r="J1445" s="309" t="n">
        <v>18000</v>
      </c>
      <c r="K1445" s="309" t="n">
        <v>0</v>
      </c>
      <c r="L1445" s="236" t="n">
        <v>3000</v>
      </c>
    </row>
    <row r="1446" ht="15" customHeight="1" s="153">
      <c r="A1446" s="306" t="inlineStr">
        <is>
          <t>19/01/2026</t>
        </is>
      </c>
      <c r="B1446" s="307" t="inlineStr">
        <is>
          <t>Febrero</t>
        </is>
      </c>
      <c r="C1446" s="310" t="inlineStr">
        <is>
          <t>NACHO</t>
        </is>
      </c>
      <c r="D1446" s="218" t="n">
        <v>1</v>
      </c>
      <c r="E1446" s="218" t="n"/>
      <c r="F1446" s="218" t="n"/>
      <c r="G1446" s="218" t="n"/>
      <c r="H1446" s="218" t="n"/>
      <c r="I1446" s="216" t="n">
        <v>19000</v>
      </c>
      <c r="J1446" s="309" t="n">
        <v>19000</v>
      </c>
      <c r="K1446" s="309" t="n">
        <v>0</v>
      </c>
      <c r="L1446" s="236" t="n">
        <v>4000</v>
      </c>
    </row>
    <row r="1447" ht="15" customHeight="1" s="153">
      <c r="A1447" s="306" t="inlineStr">
        <is>
          <t>04/02/2026</t>
        </is>
      </c>
      <c r="B1447" s="307" t="inlineStr">
        <is>
          <t>Febrero</t>
        </is>
      </c>
      <c r="C1447" s="310" t="inlineStr">
        <is>
          <t>NACHO</t>
        </is>
      </c>
      <c r="D1447" s="218" t="n"/>
      <c r="E1447" s="218" t="n">
        <v>1</v>
      </c>
      <c r="F1447" s="218" t="n"/>
      <c r="G1447" s="218" t="n"/>
      <c r="H1447" s="218" t="n"/>
      <c r="I1447" s="216" t="n">
        <v>27000</v>
      </c>
      <c r="J1447" s="309" t="n">
        <v>0</v>
      </c>
      <c r="K1447" s="309" t="n">
        <v>27000</v>
      </c>
      <c r="L1447" s="236" t="n">
        <v>4500</v>
      </c>
    </row>
    <row r="1448" ht="15" customHeight="1" s="153">
      <c r="A1448" s="306" t="inlineStr">
        <is>
          <t>07/02/2026</t>
        </is>
      </c>
      <c r="B1448" s="307" t="inlineStr">
        <is>
          <t>Febrero</t>
        </is>
      </c>
      <c r="C1448" s="310" t="inlineStr">
        <is>
          <t>NACHO</t>
        </is>
      </c>
      <c r="D1448" s="218" t="n">
        <v>1</v>
      </c>
      <c r="E1448" s="218" t="n"/>
      <c r="F1448" s="218" t="n"/>
      <c r="G1448" s="218" t="n"/>
      <c r="H1448" s="218" t="n"/>
      <c r="I1448" s="216" t="n">
        <v>18000</v>
      </c>
      <c r="J1448" s="309" t="n">
        <v>0</v>
      </c>
      <c r="K1448" s="309" t="n">
        <v>18000</v>
      </c>
      <c r="L1448" s="236" t="n">
        <v>3000</v>
      </c>
    </row>
    <row r="1449" ht="15" customHeight="1" s="153">
      <c r="A1449" s="306" t="inlineStr">
        <is>
          <t>11/02/2026</t>
        </is>
      </c>
      <c r="B1449" s="307" t="inlineStr">
        <is>
          <t>Febrero</t>
        </is>
      </c>
      <c r="C1449" s="310" t="inlineStr">
        <is>
          <t>NACHO</t>
        </is>
      </c>
      <c r="D1449" s="218" t="n">
        <v>1</v>
      </c>
      <c r="E1449" s="218" t="n"/>
      <c r="F1449" s="218" t="n"/>
      <c r="G1449" s="218" t="n"/>
      <c r="H1449" s="218" t="n"/>
      <c r="I1449" s="216" t="n">
        <v>18000</v>
      </c>
      <c r="J1449" s="309" t="n">
        <v>0</v>
      </c>
      <c r="K1449" s="309" t="n">
        <v>18000</v>
      </c>
      <c r="L1449" s="236" t="n">
        <v>3000</v>
      </c>
    </row>
    <row r="1450" ht="15" customHeight="1" s="153">
      <c r="A1450" s="306" t="inlineStr">
        <is>
          <t>13/02/2026</t>
        </is>
      </c>
      <c r="B1450" s="307" t="inlineStr">
        <is>
          <t>Febrero</t>
        </is>
      </c>
      <c r="C1450" s="310" t="inlineStr">
        <is>
          <t>NACHO</t>
        </is>
      </c>
      <c r="D1450" s="218" t="n"/>
      <c r="E1450" s="218" t="n">
        <v>1</v>
      </c>
      <c r="F1450" s="218" t="n"/>
      <c r="G1450" s="218" t="n"/>
      <c r="H1450" s="218" t="n"/>
      <c r="I1450" s="216" t="n">
        <v>27000</v>
      </c>
      <c r="J1450" s="309" t="n">
        <v>0</v>
      </c>
      <c r="K1450" s="309" t="n">
        <v>27000</v>
      </c>
      <c r="L1450" s="236" t="n">
        <v>4500</v>
      </c>
    </row>
    <row r="1451" ht="15" customHeight="1" s="153">
      <c r="A1451" s="306" t="inlineStr">
        <is>
          <t>18/02/2026</t>
        </is>
      </c>
      <c r="B1451" s="307" t="inlineStr">
        <is>
          <t>Febrero</t>
        </is>
      </c>
      <c r="C1451" s="310" t="inlineStr">
        <is>
          <t>NACHO</t>
        </is>
      </c>
      <c r="D1451" s="218" t="n">
        <v>1</v>
      </c>
      <c r="E1451" s="218" t="n"/>
      <c r="F1451" s="218" t="n"/>
      <c r="G1451" s="218" t="n"/>
      <c r="H1451" s="218" t="n"/>
      <c r="I1451" s="216" t="n">
        <v>18000</v>
      </c>
      <c r="J1451" s="309" t="n">
        <v>18000</v>
      </c>
      <c r="K1451" s="309" t="n">
        <v>0</v>
      </c>
      <c r="L1451" s="236" t="n">
        <v>3000</v>
      </c>
    </row>
    <row r="1452" ht="15" customHeight="1" s="153">
      <c r="A1452" s="306" t="inlineStr">
        <is>
          <t>20/02/2026</t>
        </is>
      </c>
      <c r="B1452" s="307" t="inlineStr">
        <is>
          <t>Febrero</t>
        </is>
      </c>
      <c r="C1452" s="310" t="inlineStr">
        <is>
          <t>NACHO</t>
        </is>
      </c>
      <c r="D1452" s="218" t="n">
        <v>1</v>
      </c>
      <c r="E1452" s="218" t="n"/>
      <c r="F1452" s="218" t="n"/>
      <c r="G1452" s="218" t="n"/>
      <c r="H1452" s="218" t="n"/>
      <c r="I1452" s="216" t="n">
        <v>19000</v>
      </c>
      <c r="J1452" s="309" t="n">
        <v>0</v>
      </c>
      <c r="K1452" s="309" t="n">
        <v>19000</v>
      </c>
      <c r="L1452" s="236" t="n">
        <v>4000</v>
      </c>
    </row>
    <row r="1453" ht="15" customHeight="1" s="153">
      <c r="A1453" s="306" t="inlineStr">
        <is>
          <t>25/02/2026</t>
        </is>
      </c>
      <c r="B1453" s="307" t="inlineStr">
        <is>
          <t>Febrero</t>
        </is>
      </c>
      <c r="C1453" s="310" t="inlineStr">
        <is>
          <t>NACHO</t>
        </is>
      </c>
      <c r="D1453" s="218" t="n"/>
      <c r="E1453" s="218" t="n">
        <v>1</v>
      </c>
      <c r="F1453" s="218" t="n"/>
      <c r="G1453" s="218" t="n"/>
      <c r="H1453" s="218" t="n"/>
      <c r="I1453" s="216" t="n">
        <v>28500</v>
      </c>
      <c r="J1453" s="309" t="n">
        <v>0</v>
      </c>
      <c r="K1453" s="309" t="n">
        <v>28500</v>
      </c>
      <c r="L1453" s="236" t="n">
        <v>6000</v>
      </c>
    </row>
    <row r="1454" ht="15" customHeight="1" s="153">
      <c r="A1454" s="306" t="inlineStr">
        <is>
          <t>01/03/2026</t>
        </is>
      </c>
      <c r="B1454" s="307" t="inlineStr">
        <is>
          <t>Marzo</t>
        </is>
      </c>
      <c r="C1454" s="310" t="inlineStr">
        <is>
          <t>NACHO</t>
        </is>
      </c>
      <c r="D1454" s="218" t="n">
        <v>1</v>
      </c>
      <c r="E1454" s="218" t="n"/>
      <c r="F1454" s="218" t="n"/>
      <c r="G1454" s="218" t="n"/>
      <c r="H1454" s="218" t="n"/>
      <c r="I1454" s="216" t="n">
        <v>19000</v>
      </c>
      <c r="J1454" s="309" t="n">
        <v>0</v>
      </c>
      <c r="K1454" s="309" t="n">
        <v>19000</v>
      </c>
      <c r="L1454" s="236" t="n">
        <v>4000</v>
      </c>
    </row>
    <row r="1455" ht="15" customHeight="1" s="153">
      <c r="A1455" s="306" t="inlineStr">
        <is>
          <t>06/03/2026</t>
        </is>
      </c>
      <c r="B1455" s="307" t="inlineStr">
        <is>
          <t>Marzo</t>
        </is>
      </c>
      <c r="C1455" s="310" t="inlineStr">
        <is>
          <t>NACHO</t>
        </is>
      </c>
      <c r="D1455" s="218" t="n">
        <v>1</v>
      </c>
      <c r="E1455" s="218" t="n"/>
      <c r="F1455" s="218" t="n"/>
      <c r="G1455" s="218" t="n"/>
      <c r="H1455" s="218" t="n"/>
      <c r="I1455" s="216" t="n">
        <v>19000</v>
      </c>
      <c r="J1455" s="309" t="n">
        <v>0</v>
      </c>
      <c r="K1455" s="309" t="n">
        <v>19000</v>
      </c>
      <c r="L1455" s="236" t="n">
        <v>4000</v>
      </c>
    </row>
    <row r="1456" ht="15" customHeight="1" s="153">
      <c r="A1456" s="306" t="inlineStr">
        <is>
          <t>07/03/2026</t>
        </is>
      </c>
      <c r="B1456" s="307" t="inlineStr">
        <is>
          <t>Marzo</t>
        </is>
      </c>
      <c r="C1456" s="310" t="inlineStr">
        <is>
          <t>NACHO</t>
        </is>
      </c>
      <c r="D1456" s="218" t="n"/>
      <c r="E1456" s="218" t="n">
        <v>2</v>
      </c>
      <c r="F1456" s="218" t="n"/>
      <c r="G1456" s="218" t="n"/>
      <c r="H1456" s="218" t="n"/>
      <c r="I1456" s="216" t="n">
        <v>28500</v>
      </c>
      <c r="J1456" s="309" t="n">
        <v>0</v>
      </c>
      <c r="K1456" s="309" t="n">
        <v>28500</v>
      </c>
      <c r="L1456" s="217" t="n">
        <v>-16500</v>
      </c>
    </row>
    <row r="1457" ht="15" customHeight="1" s="153">
      <c r="A1457" s="306" t="inlineStr">
        <is>
          <t>13/03/2026</t>
        </is>
      </c>
      <c r="B1457" s="307" t="inlineStr">
        <is>
          <t>Marzo</t>
        </is>
      </c>
      <c r="C1457" s="310" t="inlineStr">
        <is>
          <t>NACHO</t>
        </is>
      </c>
      <c r="D1457" s="218" t="n">
        <v>1</v>
      </c>
      <c r="E1457" s="218" t="n"/>
      <c r="F1457" s="218" t="n"/>
      <c r="G1457" s="218" t="n"/>
      <c r="H1457" s="218" t="n"/>
      <c r="I1457" s="216" t="n">
        <v>20500</v>
      </c>
      <c r="J1457" s="309" t="n">
        <v>20500</v>
      </c>
      <c r="K1457" s="309" t="n">
        <v>0</v>
      </c>
      <c r="L1457" s="236" t="n">
        <v>5500</v>
      </c>
    </row>
    <row r="1458" ht="15" customHeight="1" s="153">
      <c r="A1458" s="306" t="inlineStr">
        <is>
          <t>18/03/2026</t>
        </is>
      </c>
      <c r="B1458" s="307" t="inlineStr">
        <is>
          <t>Marzo</t>
        </is>
      </c>
      <c r="C1458" s="310" t="inlineStr">
        <is>
          <t>NACHO</t>
        </is>
      </c>
      <c r="D1458" s="218" t="n">
        <v>2</v>
      </c>
      <c r="E1458" s="218" t="n"/>
      <c r="F1458" s="218" t="n"/>
      <c r="G1458" s="218" t="n"/>
      <c r="H1458" s="218" t="n"/>
      <c r="I1458" s="216" t="n">
        <v>41000</v>
      </c>
      <c r="J1458" s="309" t="n">
        <v>41000</v>
      </c>
      <c r="K1458" s="309" t="n">
        <v>0</v>
      </c>
      <c r="L1458" s="236" t="n">
        <v>11000</v>
      </c>
    </row>
    <row r="1459" ht="15" customHeight="1" s="153">
      <c r="A1459" s="306" t="inlineStr">
        <is>
          <t>21/03/2026</t>
        </is>
      </c>
      <c r="B1459" s="307" t="inlineStr">
        <is>
          <t>Marzo</t>
        </is>
      </c>
      <c r="C1459" s="310" t="inlineStr">
        <is>
          <t>NACHO</t>
        </is>
      </c>
      <c r="D1459" s="218" t="n">
        <v>1</v>
      </c>
      <c r="E1459" s="218" t="n"/>
      <c r="F1459" s="218" t="n"/>
      <c r="G1459" s="218" t="n"/>
      <c r="H1459" s="218" t="n"/>
      <c r="I1459" s="216" t="n">
        <v>20500</v>
      </c>
      <c r="J1459" s="309" t="n">
        <v>0</v>
      </c>
      <c r="K1459" s="309" t="n">
        <v>20500</v>
      </c>
      <c r="L1459" s="236" t="n">
        <v>5500</v>
      </c>
    </row>
    <row r="1460" ht="15" customHeight="1" s="153">
      <c r="A1460" s="306" t="inlineStr">
        <is>
          <t>22/03/2026</t>
        </is>
      </c>
      <c r="B1460" s="307" t="inlineStr">
        <is>
          <t>Marzo</t>
        </is>
      </c>
      <c r="C1460" s="310" t="inlineStr">
        <is>
          <t>NACHO</t>
        </is>
      </c>
      <c r="D1460" s="218" t="n"/>
      <c r="E1460" s="218" t="n">
        <v>1</v>
      </c>
      <c r="F1460" s="218" t="n"/>
      <c r="G1460" s="218" t="n"/>
      <c r="H1460" s="218" t="n"/>
      <c r="I1460" s="216" t="n">
        <v>31000</v>
      </c>
      <c r="J1460" s="309" t="n">
        <v>0</v>
      </c>
      <c r="K1460" s="309" t="n">
        <v>31000</v>
      </c>
      <c r="L1460" s="236" t="n">
        <v>8500</v>
      </c>
    </row>
    <row r="1461" ht="15" customHeight="1" s="153">
      <c r="A1461" s="306" t="inlineStr">
        <is>
          <t>02/04/2026</t>
        </is>
      </c>
      <c r="B1461" s="307" t="inlineStr">
        <is>
          <t>Abril</t>
        </is>
      </c>
      <c r="C1461" s="310" t="inlineStr">
        <is>
          <t>NACHO</t>
        </is>
      </c>
      <c r="D1461" s="218" t="n">
        <v>1</v>
      </c>
      <c r="E1461" s="218" t="n">
        <v>1</v>
      </c>
      <c r="F1461" s="218" t="n"/>
      <c r="G1461" s="218" t="n"/>
      <c r="H1461" s="218" t="n"/>
      <c r="I1461" s="216" t="n">
        <v>56500</v>
      </c>
      <c r="J1461" s="309" t="n">
        <v>56500</v>
      </c>
      <c r="K1461" s="309" t="n">
        <v>0</v>
      </c>
      <c r="L1461" s="236" t="n">
        <v>19000</v>
      </c>
    </row>
    <row r="1462" ht="15" customHeight="1" s="153">
      <c r="A1462" s="302" t="inlineStr">
        <is>
          <t>03/01/2026</t>
        </is>
      </c>
      <c r="B1462" s="303" t="inlineStr">
        <is>
          <t>Enero</t>
        </is>
      </c>
      <c r="C1462" s="311" t="inlineStr">
        <is>
          <t>NACHO CUEVA</t>
        </is>
      </c>
      <c r="D1462" s="225" t="n">
        <v>2</v>
      </c>
      <c r="E1462" s="225" t="n"/>
      <c r="F1462" s="225" t="n"/>
      <c r="G1462" s="225" t="n"/>
      <c r="H1462" s="225" t="n"/>
      <c r="I1462" s="223" t="n">
        <v>34000</v>
      </c>
      <c r="J1462" s="305" t="n">
        <v>34000</v>
      </c>
      <c r="K1462" s="305" t="n">
        <v>0</v>
      </c>
      <c r="L1462" s="224" t="n">
        <v>4000</v>
      </c>
    </row>
    <row r="1463" ht="15" customHeight="1" s="153">
      <c r="A1463" s="302" t="inlineStr">
        <is>
          <t>23/01/2026</t>
        </is>
      </c>
      <c r="B1463" s="303" t="inlineStr">
        <is>
          <t>Enero</t>
        </is>
      </c>
      <c r="C1463" s="311" t="inlineStr">
        <is>
          <t>NACHO CUEVA</t>
        </is>
      </c>
      <c r="D1463" s="225" t="n">
        <v>1</v>
      </c>
      <c r="E1463" s="225" t="n">
        <v>1</v>
      </c>
      <c r="F1463" s="225" t="n"/>
      <c r="G1463" s="225" t="n"/>
      <c r="H1463" s="225" t="n"/>
      <c r="I1463" s="223" t="n">
        <v>45000</v>
      </c>
      <c r="J1463" s="305" t="n">
        <v>45000</v>
      </c>
      <c r="K1463" s="305" t="n">
        <v>0</v>
      </c>
      <c r="L1463" s="224" t="n">
        <v>7500</v>
      </c>
    </row>
    <row r="1464" ht="15" customHeight="1" s="153">
      <c r="A1464" s="302" t="inlineStr">
        <is>
          <t>28/01/2026</t>
        </is>
      </c>
      <c r="B1464" s="303" t="inlineStr">
        <is>
          <t>Enero</t>
        </is>
      </c>
      <c r="C1464" s="311" t="inlineStr">
        <is>
          <t>NACHO CUEVA</t>
        </is>
      </c>
      <c r="D1464" s="225" t="n">
        <v>2</v>
      </c>
      <c r="E1464" s="225" t="n"/>
      <c r="F1464" s="225" t="n"/>
      <c r="G1464" s="225" t="n"/>
      <c r="H1464" s="225" t="n"/>
      <c r="I1464" s="223" t="n">
        <v>36000</v>
      </c>
      <c r="J1464" s="305" t="n">
        <v>36000</v>
      </c>
      <c r="K1464" s="305" t="n">
        <v>0</v>
      </c>
      <c r="L1464" s="224" t="n">
        <v>6000</v>
      </c>
    </row>
    <row r="1465" ht="15" customHeight="1" s="153">
      <c r="A1465" s="306" t="inlineStr">
        <is>
          <t>31/01/2026</t>
        </is>
      </c>
      <c r="B1465" s="307" t="inlineStr">
        <is>
          <t>Enero</t>
        </is>
      </c>
      <c r="C1465" s="310" t="inlineStr">
        <is>
          <t>NAMUNCURA 4436</t>
        </is>
      </c>
      <c r="D1465" s="218" t="n"/>
      <c r="E1465" s="218" t="n"/>
      <c r="F1465" s="218" t="n">
        <v>1</v>
      </c>
      <c r="G1465" s="218" t="n"/>
      <c r="H1465" s="218" t="n"/>
      <c r="I1465" s="216" t="n">
        <v>75000</v>
      </c>
      <c r="J1465" s="309" t="n">
        <v>0</v>
      </c>
      <c r="K1465" s="309" t="n">
        <v>75000</v>
      </c>
      <c r="L1465" s="236" t="n">
        <v>15000</v>
      </c>
    </row>
    <row r="1466" ht="15" customHeight="1" s="153">
      <c r="A1466" s="306" t="inlineStr">
        <is>
          <t>07/03/2026</t>
        </is>
      </c>
      <c r="B1466" s="307" t="inlineStr">
        <is>
          <t>Marzo</t>
        </is>
      </c>
      <c r="C1466" s="310" t="inlineStr">
        <is>
          <t>NAMUNCURA 4436</t>
        </is>
      </c>
      <c r="D1466" s="218" t="n"/>
      <c r="E1466" s="218" t="n"/>
      <c r="F1466" s="218" t="n">
        <v>1</v>
      </c>
      <c r="G1466" s="218" t="n"/>
      <c r="H1466" s="218" t="n"/>
      <c r="I1466" s="216" t="n">
        <v>76000</v>
      </c>
      <c r="J1466" s="309" t="n">
        <v>0</v>
      </c>
      <c r="K1466" s="309" t="n">
        <v>76000</v>
      </c>
      <c r="L1466" s="236" t="n">
        <v>16000</v>
      </c>
    </row>
    <row r="1467" ht="15" customHeight="1" s="153">
      <c r="A1467" s="306" t="inlineStr">
        <is>
          <t>07/04/2026</t>
        </is>
      </c>
      <c r="B1467" s="307" t="inlineStr">
        <is>
          <t>Abril</t>
        </is>
      </c>
      <c r="C1467" s="310" t="inlineStr">
        <is>
          <t>NAMUNCURA 4436</t>
        </is>
      </c>
      <c r="D1467" s="218" t="n"/>
      <c r="E1467" s="218" t="n"/>
      <c r="F1467" s="218" t="n">
        <v>1</v>
      </c>
      <c r="G1467" s="218" t="n"/>
      <c r="H1467" s="218" t="n"/>
      <c r="I1467" s="216" t="n">
        <v>86000</v>
      </c>
      <c r="J1467" s="309" t="n">
        <v>0</v>
      </c>
      <c r="K1467" s="309" t="n">
        <v>86000</v>
      </c>
      <c r="L1467" s="236" t="n">
        <v>26000</v>
      </c>
    </row>
    <row r="1468" ht="15" customHeight="1" s="153">
      <c r="A1468" s="302" t="inlineStr">
        <is>
          <t>06/04/2026</t>
        </is>
      </c>
      <c r="B1468" s="303" t="inlineStr">
        <is>
          <t>Abril</t>
        </is>
      </c>
      <c r="C1468" s="311" t="inlineStr">
        <is>
          <t>NAMUNCURA 4439</t>
        </is>
      </c>
      <c r="D1468" s="225" t="n"/>
      <c r="E1468" s="225" t="n">
        <v>1</v>
      </c>
      <c r="F1468" s="225" t="n"/>
      <c r="G1468" s="225" t="n"/>
      <c r="H1468" s="225" t="n"/>
      <c r="I1468" s="223" t="n">
        <v>36500</v>
      </c>
      <c r="J1468" s="305" t="n">
        <v>36500</v>
      </c>
      <c r="K1468" s="305" t="n">
        <v>0</v>
      </c>
      <c r="L1468" s="224" t="n">
        <v>14000</v>
      </c>
    </row>
    <row r="1469" ht="15" customHeight="1" s="153">
      <c r="A1469" s="306" t="inlineStr">
        <is>
          <t>08/04/2026</t>
        </is>
      </c>
      <c r="B1469" s="307" t="inlineStr">
        <is>
          <t>Abril</t>
        </is>
      </c>
      <c r="C1469" s="310" t="inlineStr">
        <is>
          <t>NECOCHEA 3837</t>
        </is>
      </c>
      <c r="D1469" s="218" t="n">
        <v>2</v>
      </c>
      <c r="E1469" s="218" t="n"/>
      <c r="F1469" s="218" t="n"/>
      <c r="G1469" s="218" t="n"/>
      <c r="H1469" s="218" t="n"/>
      <c r="I1469" s="216" t="n">
        <v>52000</v>
      </c>
      <c r="J1469" s="309" t="n">
        <v>52000</v>
      </c>
      <c r="K1469" s="309" t="n">
        <v>0</v>
      </c>
      <c r="L1469" s="236" t="n">
        <v>22000</v>
      </c>
    </row>
    <row r="1470" ht="15" customHeight="1" s="153">
      <c r="A1470" s="302" t="inlineStr">
        <is>
          <t>12/04/2026</t>
        </is>
      </c>
      <c r="B1470" s="303" t="inlineStr">
        <is>
          <t>Abril</t>
        </is>
      </c>
      <c r="C1470" s="311" t="inlineStr">
        <is>
          <t>NECOCHEA 3933</t>
        </is>
      </c>
      <c r="D1470" s="225" t="n"/>
      <c r="E1470" s="225" t="n"/>
      <c r="F1470" s="225" t="n">
        <v>1</v>
      </c>
      <c r="G1470" s="225" t="n"/>
      <c r="H1470" s="225" t="n"/>
      <c r="I1470" s="223" t="n">
        <v>80000</v>
      </c>
      <c r="J1470" s="305" t="n">
        <v>0</v>
      </c>
      <c r="K1470" s="305" t="n">
        <v>80000</v>
      </c>
      <c r="L1470" s="224" t="n">
        <v>20000</v>
      </c>
    </row>
    <row r="1471" ht="15" customHeight="1" s="153">
      <c r="A1471" s="306" t="inlineStr">
        <is>
          <t>17/03/2026</t>
        </is>
      </c>
      <c r="B1471" s="307" t="inlineStr">
        <is>
          <t>Marzo</t>
        </is>
      </c>
      <c r="C1471" s="310" t="inlineStr">
        <is>
          <t>NECOCHEA 5587</t>
        </is>
      </c>
      <c r="D1471" s="218" t="n">
        <v>2</v>
      </c>
      <c r="E1471" s="218" t="n"/>
      <c r="F1471" s="218" t="n"/>
      <c r="G1471" s="218" t="n"/>
      <c r="H1471" s="218" t="n"/>
      <c r="I1471" s="216" t="n">
        <v>49000</v>
      </c>
      <c r="J1471" s="309" t="n">
        <v>0</v>
      </c>
      <c r="K1471" s="309" t="n">
        <v>49000</v>
      </c>
      <c r="L1471" s="236" t="n">
        <v>19000</v>
      </c>
    </row>
    <row r="1472" ht="15" customHeight="1" s="153">
      <c r="A1472" s="302" t="inlineStr">
        <is>
          <t>19/03/2026</t>
        </is>
      </c>
      <c r="B1472" s="303" t="inlineStr">
        <is>
          <t>Marzo</t>
        </is>
      </c>
      <c r="C1472" s="311" t="inlineStr">
        <is>
          <t>NEUQUEN 7046</t>
        </is>
      </c>
      <c r="D1472" s="225" t="n">
        <v>1</v>
      </c>
      <c r="E1472" s="225" t="n"/>
      <c r="F1472" s="225" t="n"/>
      <c r="G1472" s="225" t="n"/>
      <c r="H1472" s="225" t="n"/>
      <c r="I1472" s="223" t="n">
        <v>24500</v>
      </c>
      <c r="J1472" s="305" t="n">
        <v>24500</v>
      </c>
      <c r="K1472" s="305" t="n">
        <v>0</v>
      </c>
      <c r="L1472" s="224" t="n">
        <v>9500</v>
      </c>
    </row>
    <row r="1473" ht="15" customHeight="1" s="153">
      <c r="A1473" s="306" t="inlineStr">
        <is>
          <t>16/04/2026</t>
        </is>
      </c>
      <c r="B1473" s="307" t="inlineStr">
        <is>
          <t>Abril</t>
        </is>
      </c>
      <c r="C1473" s="310" t="inlineStr">
        <is>
          <t>NIC OBUSTO</t>
        </is>
      </c>
      <c r="D1473" s="218" t="n"/>
      <c r="E1473" s="218" t="n"/>
      <c r="F1473" s="218" t="n"/>
      <c r="G1473" s="218" t="n">
        <v>10</v>
      </c>
      <c r="H1473" s="218" t="n"/>
      <c r="I1473" s="216" t="n">
        <v>35500</v>
      </c>
      <c r="J1473" s="309" t="n">
        <v>0</v>
      </c>
      <c r="K1473" s="309" t="n">
        <v>35500</v>
      </c>
      <c r="L1473" s="236" t="n">
        <v>12500</v>
      </c>
    </row>
    <row r="1474" ht="15" customHeight="1" s="153">
      <c r="A1474" s="302" t="inlineStr">
        <is>
          <t>18/03/2026</t>
        </is>
      </c>
      <c r="B1474" s="303" t="inlineStr">
        <is>
          <t>Marzo</t>
        </is>
      </c>
      <c r="C1474" s="311" t="inlineStr">
        <is>
          <t>NINGO HIJA</t>
        </is>
      </c>
      <c r="D1474" s="225" t="n"/>
      <c r="E1474" s="225" t="n">
        <v>1</v>
      </c>
      <c r="F1474" s="225" t="n"/>
      <c r="G1474" s="225" t="n"/>
      <c r="H1474" s="225" t="n"/>
      <c r="I1474" s="223" t="n">
        <v>34000</v>
      </c>
      <c r="J1474" s="305" t="n">
        <v>0</v>
      </c>
      <c r="K1474" s="305" t="n">
        <v>34000</v>
      </c>
      <c r="L1474" s="224" t="n">
        <v>11500</v>
      </c>
    </row>
    <row r="1475" ht="15" customHeight="1" s="153">
      <c r="A1475" s="306" t="inlineStr">
        <is>
          <t>13/01/2026</t>
        </is>
      </c>
      <c r="B1475" s="307" t="inlineStr">
        <is>
          <t>Enero</t>
        </is>
      </c>
      <c r="C1475" s="310" t="inlineStr">
        <is>
          <t>NOGALES 2412</t>
        </is>
      </c>
      <c r="D1475" s="218" t="n"/>
      <c r="E1475" s="218" t="n"/>
      <c r="F1475" s="218" t="n">
        <v>1</v>
      </c>
      <c r="G1475" s="218" t="n"/>
      <c r="H1475" s="218" t="n"/>
      <c r="I1475" s="216" t="n">
        <v>77000</v>
      </c>
      <c r="J1475" s="309" t="n">
        <v>0</v>
      </c>
      <c r="K1475" s="309" t="n">
        <v>77000</v>
      </c>
      <c r="L1475" s="236" t="n">
        <v>17000</v>
      </c>
    </row>
    <row r="1476" ht="15" customHeight="1" s="153">
      <c r="A1476" s="306" t="inlineStr">
        <is>
          <t>23/03/2026</t>
        </is>
      </c>
      <c r="B1476" s="307" t="inlineStr">
        <is>
          <t>Marzo</t>
        </is>
      </c>
      <c r="C1476" s="310" t="inlineStr">
        <is>
          <t>NOGALES 2412</t>
        </is>
      </c>
      <c r="D1476" s="218" t="n"/>
      <c r="E1476" s="218" t="n"/>
      <c r="F1476" s="218" t="n">
        <v>1</v>
      </c>
      <c r="G1476" s="218" t="n"/>
      <c r="H1476" s="218" t="n"/>
      <c r="I1476" s="216" t="n">
        <v>83000</v>
      </c>
      <c r="J1476" s="309" t="n">
        <v>0</v>
      </c>
      <c r="K1476" s="309" t="n">
        <v>83000</v>
      </c>
      <c r="L1476" s="236" t="n">
        <v>23000</v>
      </c>
    </row>
    <row r="1477" ht="15" customHeight="1" s="153">
      <c r="A1477" s="302" t="inlineStr">
        <is>
          <t>19/01/2026</t>
        </is>
      </c>
      <c r="B1477" s="303" t="inlineStr">
        <is>
          <t>Febrero</t>
        </is>
      </c>
      <c r="C1477" s="311" t="inlineStr">
        <is>
          <t>NOGALES 2426</t>
        </is>
      </c>
      <c r="D1477" s="225" t="n">
        <v>1</v>
      </c>
      <c r="E1477" s="225" t="n"/>
      <c r="F1477" s="225" t="n"/>
      <c r="G1477" s="225" t="n"/>
      <c r="H1477" s="225" t="n"/>
      <c r="I1477" s="223" t="n">
        <v>22000</v>
      </c>
      <c r="J1477" s="305" t="n">
        <v>22000</v>
      </c>
      <c r="K1477" s="305" t="n">
        <v>0</v>
      </c>
      <c r="L1477" s="224" t="n">
        <v>7000</v>
      </c>
    </row>
    <row r="1478" ht="15" customHeight="1" s="153">
      <c r="A1478" s="306" t="inlineStr">
        <is>
          <t>20/03/2026</t>
        </is>
      </c>
      <c r="B1478" s="307" t="inlineStr">
        <is>
          <t>Marzo</t>
        </is>
      </c>
      <c r="C1478" s="310" t="inlineStr">
        <is>
          <t>NOGALES 2651</t>
        </is>
      </c>
      <c r="D1478" s="218" t="n"/>
      <c r="E1478" s="218" t="n"/>
      <c r="F1478" s="218" t="n">
        <v>1</v>
      </c>
      <c r="G1478" s="218" t="n"/>
      <c r="H1478" s="218" t="n"/>
      <c r="I1478" s="216" t="n">
        <v>80000</v>
      </c>
      <c r="J1478" s="309" t="n">
        <v>80000</v>
      </c>
      <c r="K1478" s="309" t="n">
        <v>0</v>
      </c>
      <c r="L1478" s="236" t="n">
        <v>20000</v>
      </c>
    </row>
    <row r="1479" ht="15" customHeight="1" s="153">
      <c r="A1479" s="302" t="inlineStr">
        <is>
          <t>20/04/2026</t>
        </is>
      </c>
      <c r="B1479" s="303" t="inlineStr">
        <is>
          <t>Abril</t>
        </is>
      </c>
      <c r="C1479" s="311" t="inlineStr">
        <is>
          <t>NOGALES 3462</t>
        </is>
      </c>
      <c r="D1479" s="225" t="n"/>
      <c r="E1479" s="225" t="n">
        <v>1</v>
      </c>
      <c r="F1479" s="225" t="n"/>
      <c r="G1479" s="225" t="n"/>
      <c r="H1479" s="225" t="n"/>
      <c r="I1479" s="223" t="n">
        <v>39000</v>
      </c>
      <c r="J1479" s="305" t="n">
        <v>39000</v>
      </c>
      <c r="K1479" s="305" t="n">
        <v>0</v>
      </c>
      <c r="L1479" s="224" t="n">
        <v>16500</v>
      </c>
    </row>
    <row r="1480" ht="15" customHeight="1" s="153">
      <c r="A1480" s="306" t="inlineStr">
        <is>
          <t>21/02/2026</t>
        </is>
      </c>
      <c r="B1480" s="307" t="inlineStr">
        <is>
          <t>Febrero</t>
        </is>
      </c>
      <c r="C1480" s="310" t="inlineStr">
        <is>
          <t>NOGALES2651</t>
        </is>
      </c>
      <c r="D1480" s="218" t="n"/>
      <c r="E1480" s="218" t="n"/>
      <c r="F1480" s="218" t="n">
        <v>1</v>
      </c>
      <c r="G1480" s="218" t="n"/>
      <c r="H1480" s="218" t="n"/>
      <c r="I1480" s="216" t="n">
        <v>76000</v>
      </c>
      <c r="J1480" s="309" t="n">
        <v>0</v>
      </c>
      <c r="K1480" s="309" t="n">
        <v>76000</v>
      </c>
      <c r="L1480" s="236" t="n">
        <v>16000</v>
      </c>
    </row>
    <row r="1481" ht="15" customHeight="1" s="153">
      <c r="A1481" s="302" t="inlineStr">
        <is>
          <t>27/02/2026</t>
        </is>
      </c>
      <c r="B1481" s="303" t="inlineStr">
        <is>
          <t>Febrero</t>
        </is>
      </c>
      <c r="C1481" s="311" t="inlineStr">
        <is>
          <t>ORREGO Y MENDIETA</t>
        </is>
      </c>
      <c r="D1481" s="225" t="n"/>
      <c r="E1481" s="225" t="n"/>
      <c r="F1481" s="225" t="n">
        <v>1</v>
      </c>
      <c r="G1481" s="225" t="n"/>
      <c r="H1481" s="225" t="n"/>
      <c r="I1481" s="223" t="n">
        <v>79000</v>
      </c>
      <c r="J1481" s="305" t="n">
        <v>79000</v>
      </c>
      <c r="K1481" s="305" t="n">
        <v>0</v>
      </c>
      <c r="L1481" s="224" t="n">
        <v>19000</v>
      </c>
    </row>
    <row r="1482" ht="15" customHeight="1" s="153">
      <c r="A1482" s="306" t="inlineStr">
        <is>
          <t>03/01/2026</t>
        </is>
      </c>
      <c r="B1482" s="307" t="inlineStr">
        <is>
          <t>Enero</t>
        </is>
      </c>
      <c r="C1482" s="310" t="inlineStr">
        <is>
          <t>OTNIEL</t>
        </is>
      </c>
      <c r="D1482" s="218" t="n"/>
      <c r="E1482" s="218" t="n"/>
      <c r="F1482" s="218" t="n">
        <v>1</v>
      </c>
      <c r="G1482" s="218" t="n"/>
      <c r="H1482" s="218" t="n"/>
      <c r="I1482" s="216" t="n">
        <v>69000</v>
      </c>
      <c r="J1482" s="309" t="n">
        <v>0</v>
      </c>
      <c r="K1482" s="309" t="n">
        <v>69000</v>
      </c>
      <c r="L1482" s="236" t="n">
        <v>9000</v>
      </c>
    </row>
    <row r="1483" ht="15" customHeight="1" s="153">
      <c r="A1483" s="306" t="inlineStr">
        <is>
          <t>03/01/2026</t>
        </is>
      </c>
      <c r="B1483" s="307" t="inlineStr">
        <is>
          <t>Enero</t>
        </is>
      </c>
      <c r="C1483" s="310" t="inlineStr">
        <is>
          <t>OTNIEL</t>
        </is>
      </c>
      <c r="D1483" s="218" t="n"/>
      <c r="E1483" s="218" t="n"/>
      <c r="F1483" s="218" t="n"/>
      <c r="G1483" s="218" t="n"/>
      <c r="H1483" s="218" t="n">
        <v>2</v>
      </c>
      <c r="I1483" s="216" t="n">
        <v>9600</v>
      </c>
      <c r="J1483" s="309" t="n">
        <v>4800</v>
      </c>
      <c r="K1483" s="309" t="n">
        <v>4800</v>
      </c>
      <c r="L1483" s="236" t="n">
        <v>7900</v>
      </c>
    </row>
    <row r="1484" ht="15" customHeight="1" s="153">
      <c r="A1484" s="306" t="inlineStr">
        <is>
          <t>08/01/2026</t>
        </is>
      </c>
      <c r="B1484" s="307" t="inlineStr">
        <is>
          <t>Enero</t>
        </is>
      </c>
      <c r="C1484" s="310" t="inlineStr">
        <is>
          <t>OTNIEL</t>
        </is>
      </c>
      <c r="D1484" s="218" t="n">
        <v>1</v>
      </c>
      <c r="E1484" s="218" t="n"/>
      <c r="F1484" s="218" t="n">
        <v>1</v>
      </c>
      <c r="G1484" s="218" t="n"/>
      <c r="H1484" s="218" t="n">
        <v>3</v>
      </c>
      <c r="I1484" s="216" t="n">
        <v>101400</v>
      </c>
      <c r="J1484" s="309" t="n">
        <v>0</v>
      </c>
      <c r="K1484" s="309" t="n">
        <v>101400</v>
      </c>
      <c r="L1484" s="236" t="n">
        <v>23850</v>
      </c>
    </row>
    <row r="1485" ht="15" customHeight="1" s="153">
      <c r="A1485" s="306" t="inlineStr">
        <is>
          <t>09/01/2026</t>
        </is>
      </c>
      <c r="B1485" s="307" t="inlineStr">
        <is>
          <t>Enero</t>
        </is>
      </c>
      <c r="C1485" s="310" t="inlineStr">
        <is>
          <t>OTNIEL</t>
        </is>
      </c>
      <c r="D1485" s="218" t="n"/>
      <c r="E1485" s="218" t="n"/>
      <c r="F1485" s="218" t="n"/>
      <c r="G1485" s="218" t="n">
        <v>4</v>
      </c>
      <c r="H1485" s="218" t="n"/>
      <c r="I1485" s="216" t="n">
        <v>14400</v>
      </c>
      <c r="J1485" s="309" t="n">
        <v>14400</v>
      </c>
      <c r="K1485" s="309" t="n">
        <v>0</v>
      </c>
      <c r="L1485" s="236" t="n">
        <v>5200</v>
      </c>
    </row>
    <row r="1486" ht="15" customHeight="1" s="153">
      <c r="A1486" s="306" t="inlineStr">
        <is>
          <t>12/01/2026</t>
        </is>
      </c>
      <c r="B1486" s="307" t="inlineStr">
        <is>
          <t>Enero</t>
        </is>
      </c>
      <c r="C1486" s="310" t="inlineStr">
        <is>
          <t>OTNIEL</t>
        </is>
      </c>
      <c r="D1486" s="218" t="n"/>
      <c r="E1486" s="218" t="n">
        <v>1</v>
      </c>
      <c r="F1486" s="218" t="n"/>
      <c r="G1486" s="218" t="n"/>
      <c r="H1486" s="218" t="n"/>
      <c r="I1486" s="216" t="n">
        <v>28500</v>
      </c>
      <c r="J1486" s="309" t="n">
        <v>0</v>
      </c>
      <c r="K1486" s="309" t="n">
        <v>28500</v>
      </c>
      <c r="L1486" s="236" t="n">
        <v>6000</v>
      </c>
    </row>
    <row r="1487" ht="15" customHeight="1" s="153">
      <c r="A1487" s="306" t="inlineStr">
        <is>
          <t>16/01/2026</t>
        </is>
      </c>
      <c r="B1487" s="307" t="inlineStr">
        <is>
          <t>Enero</t>
        </is>
      </c>
      <c r="C1487" s="310" t="inlineStr">
        <is>
          <t>OTNIEL</t>
        </is>
      </c>
      <c r="D1487" s="218" t="n">
        <v>1</v>
      </c>
      <c r="E1487" s="218" t="n">
        <v>1</v>
      </c>
      <c r="F1487" s="218" t="n"/>
      <c r="G1487" s="218" t="n"/>
      <c r="H1487" s="218" t="n">
        <v>2</v>
      </c>
      <c r="I1487" s="216" t="n">
        <v>57500</v>
      </c>
      <c r="J1487" s="309" t="n">
        <v>0</v>
      </c>
      <c r="K1487" s="309" t="n">
        <v>57500</v>
      </c>
      <c r="L1487" s="236" t="n">
        <v>18300</v>
      </c>
    </row>
    <row r="1488" ht="15" customHeight="1" s="153">
      <c r="A1488" s="306" t="inlineStr">
        <is>
          <t>22/01/2026</t>
        </is>
      </c>
      <c r="B1488" s="307" t="inlineStr">
        <is>
          <t>Enero</t>
        </is>
      </c>
      <c r="C1488" s="310" t="inlineStr">
        <is>
          <t>OTNIEL</t>
        </is>
      </c>
      <c r="D1488" s="218" t="n"/>
      <c r="E1488" s="218" t="n">
        <v>1</v>
      </c>
      <c r="F1488" s="218" t="n"/>
      <c r="G1488" s="218" t="n"/>
      <c r="H1488" s="218" t="n">
        <v>1</v>
      </c>
      <c r="I1488" s="216" t="n">
        <v>33500</v>
      </c>
      <c r="J1488" s="309" t="n">
        <v>0</v>
      </c>
      <c r="K1488" s="309" t="n">
        <v>33500</v>
      </c>
      <c r="L1488" s="236" t="n">
        <v>10150</v>
      </c>
    </row>
    <row r="1489" ht="15" customHeight="1" s="153">
      <c r="A1489" s="306" t="inlineStr">
        <is>
          <t>26/01/2026</t>
        </is>
      </c>
      <c r="B1489" s="307" t="inlineStr">
        <is>
          <t>Enero</t>
        </is>
      </c>
      <c r="C1489" s="310" t="inlineStr">
        <is>
          <t>OTNIEL</t>
        </is>
      </c>
      <c r="D1489" s="218" t="n"/>
      <c r="E1489" s="218" t="n"/>
      <c r="F1489" s="218" t="n"/>
      <c r="G1489" s="218" t="n"/>
      <c r="H1489" s="218" t="n">
        <v>1</v>
      </c>
      <c r="I1489" s="216" t="n">
        <v>5000</v>
      </c>
      <c r="J1489" s="309" t="n">
        <v>5000</v>
      </c>
      <c r="K1489" s="309" t="n">
        <v>0</v>
      </c>
      <c r="L1489" s="236" t="n">
        <v>4150</v>
      </c>
    </row>
    <row r="1490" ht="15" customHeight="1" s="153">
      <c r="A1490" s="306" t="inlineStr">
        <is>
          <t>27/01/2026</t>
        </is>
      </c>
      <c r="B1490" s="307" t="inlineStr">
        <is>
          <t>Enero</t>
        </is>
      </c>
      <c r="C1490" s="310" t="inlineStr">
        <is>
          <t>OTNIEL</t>
        </is>
      </c>
      <c r="D1490" s="218" t="n"/>
      <c r="E1490" s="218" t="n">
        <v>1</v>
      </c>
      <c r="F1490" s="218" t="n">
        <v>1</v>
      </c>
      <c r="G1490" s="218" t="n"/>
      <c r="H1490" s="218" t="n"/>
      <c r="I1490" s="216" t="n">
        <v>99500</v>
      </c>
      <c r="J1490" s="309" t="n">
        <v>0</v>
      </c>
      <c r="K1490" s="309" t="n">
        <v>99500</v>
      </c>
      <c r="L1490" s="236" t="n">
        <v>17000</v>
      </c>
    </row>
    <row r="1491" ht="15" customHeight="1" s="153">
      <c r="A1491" s="306" t="inlineStr">
        <is>
          <t>31/01/2026</t>
        </is>
      </c>
      <c r="B1491" s="307" t="inlineStr">
        <is>
          <t>Enero</t>
        </is>
      </c>
      <c r="C1491" s="310" t="inlineStr">
        <is>
          <t>OTNIEL</t>
        </is>
      </c>
      <c r="D1491" s="218" t="n"/>
      <c r="E1491" s="218" t="n"/>
      <c r="F1491" s="218" t="n"/>
      <c r="G1491" s="218" t="n"/>
      <c r="H1491" s="218" t="n">
        <v>1</v>
      </c>
      <c r="I1491" s="216" t="n">
        <v>5000</v>
      </c>
      <c r="J1491" s="309" t="n">
        <v>0</v>
      </c>
      <c r="K1491" s="309" t="n">
        <v>5000</v>
      </c>
      <c r="L1491" s="236" t="n">
        <v>4150</v>
      </c>
    </row>
    <row r="1492" ht="15" customHeight="1" s="153">
      <c r="A1492" s="306" t="inlineStr">
        <is>
          <t>01/02/2026</t>
        </is>
      </c>
      <c r="B1492" s="307" t="inlineStr">
        <is>
          <t>Febrero</t>
        </is>
      </c>
      <c r="C1492" s="310" t="inlineStr">
        <is>
          <t>OTNIEL</t>
        </is>
      </c>
      <c r="D1492" s="218" t="n">
        <v>1</v>
      </c>
      <c r="E1492" s="218" t="n">
        <v>1</v>
      </c>
      <c r="F1492" s="218" t="n">
        <v>1</v>
      </c>
      <c r="G1492" s="218" t="n"/>
      <c r="H1492" s="218" t="n">
        <v>1</v>
      </c>
      <c r="I1492" s="216" t="n">
        <v>123500</v>
      </c>
      <c r="J1492" s="309" t="n">
        <v>120000</v>
      </c>
      <c r="K1492" s="309" t="n">
        <v>3500</v>
      </c>
      <c r="L1492" s="236" t="n">
        <v>25150</v>
      </c>
    </row>
    <row r="1493" ht="15" customHeight="1" s="153">
      <c r="A1493" s="306" t="inlineStr">
        <is>
          <t>04/02/2026</t>
        </is>
      </c>
      <c r="B1493" s="307" t="inlineStr">
        <is>
          <t>Febrero</t>
        </is>
      </c>
      <c r="C1493" s="310" t="inlineStr">
        <is>
          <t>OTNIEL</t>
        </is>
      </c>
      <c r="D1493" s="218" t="n"/>
      <c r="E1493" s="218" t="n"/>
      <c r="F1493" s="218" t="n"/>
      <c r="G1493" s="218" t="n"/>
      <c r="H1493" s="218" t="n">
        <v>4</v>
      </c>
      <c r="I1493" s="216" t="n">
        <v>20000</v>
      </c>
      <c r="J1493" s="309" t="n">
        <v>20000</v>
      </c>
      <c r="K1493" s="309" t="n">
        <v>0</v>
      </c>
      <c r="L1493" s="236" t="n">
        <v>16600</v>
      </c>
    </row>
    <row r="1494" ht="15" customHeight="1" s="153">
      <c r="A1494" s="306" t="inlineStr">
        <is>
          <t>05/02/2026</t>
        </is>
      </c>
      <c r="B1494" s="307" t="inlineStr">
        <is>
          <t>Febrero</t>
        </is>
      </c>
      <c r="C1494" s="310" t="inlineStr">
        <is>
          <t>OTNIEL</t>
        </is>
      </c>
      <c r="D1494" s="218" t="n"/>
      <c r="E1494" s="218" t="n"/>
      <c r="F1494" s="218" t="n">
        <v>1</v>
      </c>
      <c r="G1494" s="218" t="n"/>
      <c r="H1494" s="218" t="n"/>
      <c r="I1494" s="216" t="n">
        <v>71000</v>
      </c>
      <c r="J1494" s="309" t="n">
        <v>0</v>
      </c>
      <c r="K1494" s="309" t="n">
        <v>71000</v>
      </c>
      <c r="L1494" s="236" t="n">
        <v>11000</v>
      </c>
    </row>
    <row r="1495" ht="15" customHeight="1" s="153">
      <c r="A1495" s="306" t="inlineStr">
        <is>
          <t>08/02/2026</t>
        </is>
      </c>
      <c r="B1495" s="307" t="inlineStr">
        <is>
          <t>Febrero</t>
        </is>
      </c>
      <c r="C1495" s="310" t="inlineStr">
        <is>
          <t>OTNIEL</t>
        </is>
      </c>
      <c r="D1495" s="218" t="n">
        <v>1</v>
      </c>
      <c r="E1495" s="218" t="n"/>
      <c r="F1495" s="218" t="n"/>
      <c r="G1495" s="218" t="n"/>
      <c r="H1495" s="218" t="n">
        <v>1</v>
      </c>
      <c r="I1495" s="216" t="n">
        <v>24000</v>
      </c>
      <c r="J1495" s="309" t="n">
        <v>0</v>
      </c>
      <c r="K1495" s="309" t="n">
        <v>24000</v>
      </c>
      <c r="L1495" s="236" t="n">
        <v>8150</v>
      </c>
    </row>
    <row r="1496" ht="15" customHeight="1" s="153">
      <c r="A1496" s="306" t="inlineStr">
        <is>
          <t>12/02/2026</t>
        </is>
      </c>
      <c r="B1496" s="307" t="inlineStr">
        <is>
          <t>Febrero</t>
        </is>
      </c>
      <c r="C1496" s="310" t="inlineStr">
        <is>
          <t>OTNIEL</t>
        </is>
      </c>
      <c r="D1496" s="218" t="n">
        <v>1</v>
      </c>
      <c r="E1496" s="218" t="n">
        <v>1</v>
      </c>
      <c r="F1496" s="218" t="n"/>
      <c r="G1496" s="218" t="n"/>
      <c r="H1496" s="218" t="n"/>
      <c r="I1496" s="216" t="n">
        <v>47500</v>
      </c>
      <c r="J1496" s="309" t="n">
        <v>0</v>
      </c>
      <c r="K1496" s="309" t="n">
        <v>47500</v>
      </c>
      <c r="L1496" s="236" t="n">
        <v>10000</v>
      </c>
    </row>
    <row r="1497" ht="15" customHeight="1" s="153">
      <c r="A1497" s="306" t="inlineStr">
        <is>
          <t>14/02/2026</t>
        </is>
      </c>
      <c r="B1497" s="307" t="inlineStr">
        <is>
          <t>Febrero</t>
        </is>
      </c>
      <c r="C1497" s="310" t="inlineStr">
        <is>
          <t>OTNIEL</t>
        </is>
      </c>
      <c r="D1497" s="218" t="n"/>
      <c r="E1497" s="218" t="n"/>
      <c r="F1497" s="218" t="n">
        <v>1</v>
      </c>
      <c r="G1497" s="218" t="n"/>
      <c r="H1497" s="218" t="n">
        <v>2</v>
      </c>
      <c r="I1497" s="216" t="n">
        <v>81000</v>
      </c>
      <c r="J1497" s="309" t="n">
        <v>0</v>
      </c>
      <c r="K1497" s="309" t="n">
        <v>81000</v>
      </c>
      <c r="L1497" s="236" t="n">
        <v>19300</v>
      </c>
    </row>
    <row r="1498" ht="15" customHeight="1" s="153">
      <c r="A1498" s="306" t="inlineStr">
        <is>
          <t>17/02/2026</t>
        </is>
      </c>
      <c r="B1498" s="307" t="inlineStr">
        <is>
          <t>Febrero</t>
        </is>
      </c>
      <c r="C1498" s="310" t="inlineStr">
        <is>
          <t>OTNIEL</t>
        </is>
      </c>
      <c r="D1498" s="218" t="n"/>
      <c r="E1498" s="218" t="n"/>
      <c r="F1498" s="218" t="n"/>
      <c r="G1498" s="218" t="n"/>
      <c r="H1498" s="218" t="n">
        <v>2</v>
      </c>
      <c r="I1498" s="216" t="n">
        <v>10000</v>
      </c>
      <c r="J1498" s="309" t="n">
        <v>0</v>
      </c>
      <c r="K1498" s="309" t="n">
        <v>10000</v>
      </c>
      <c r="L1498" s="236" t="n">
        <v>8300</v>
      </c>
    </row>
    <row r="1499" ht="15" customHeight="1" s="153">
      <c r="A1499" s="306" t="inlineStr">
        <is>
          <t>21/02/2026</t>
        </is>
      </c>
      <c r="B1499" s="307" t="inlineStr">
        <is>
          <t>Febrero</t>
        </is>
      </c>
      <c r="C1499" s="310" t="inlineStr">
        <is>
          <t>OTNIEL</t>
        </is>
      </c>
      <c r="D1499" s="218" t="n"/>
      <c r="E1499" s="218" t="n">
        <v>2</v>
      </c>
      <c r="F1499" s="218" t="n">
        <v>1</v>
      </c>
      <c r="G1499" s="218" t="n"/>
      <c r="H1499" s="218" t="n"/>
      <c r="I1499" s="216" t="n">
        <v>132000</v>
      </c>
      <c r="J1499" s="309" t="n">
        <v>132000</v>
      </c>
      <c r="K1499" s="309" t="n">
        <v>0</v>
      </c>
      <c r="L1499" s="236" t="n">
        <v>27000</v>
      </c>
    </row>
    <row r="1500" ht="15" customHeight="1" s="153">
      <c r="A1500" s="306" t="inlineStr">
        <is>
          <t>28/02/2026</t>
        </is>
      </c>
      <c r="B1500" s="307" t="inlineStr">
        <is>
          <t>Febrero</t>
        </is>
      </c>
      <c r="C1500" s="310" t="inlineStr">
        <is>
          <t>OTNIEL</t>
        </is>
      </c>
      <c r="D1500" s="218" t="n"/>
      <c r="E1500" s="218" t="n"/>
      <c r="F1500" s="218" t="n">
        <v>1</v>
      </c>
      <c r="G1500" s="218" t="n"/>
      <c r="H1500" s="218" t="n">
        <v>1</v>
      </c>
      <c r="I1500" s="216" t="n">
        <v>77000</v>
      </c>
      <c r="J1500" s="309" t="n">
        <v>0</v>
      </c>
      <c r="K1500" s="309" t="n">
        <v>77000</v>
      </c>
      <c r="L1500" s="236" t="n">
        <v>16150</v>
      </c>
    </row>
    <row r="1501" ht="15" customHeight="1" s="153">
      <c r="A1501" s="306" t="inlineStr">
        <is>
          <t>03/03/2026</t>
        </is>
      </c>
      <c r="B1501" s="307" t="inlineStr">
        <is>
          <t>Marzo</t>
        </is>
      </c>
      <c r="C1501" s="310" t="inlineStr">
        <is>
          <t>OTNIEL</t>
        </is>
      </c>
      <c r="D1501" s="218" t="n">
        <v>1</v>
      </c>
      <c r="E1501" s="218" t="n">
        <v>1</v>
      </c>
      <c r="F1501" s="218" t="n">
        <v>1</v>
      </c>
      <c r="G1501" s="218" t="n"/>
      <c r="H1501" s="218" t="n">
        <v>1</v>
      </c>
      <c r="I1501" s="216" t="n">
        <v>127500</v>
      </c>
      <c r="J1501" s="309" t="n">
        <v>0</v>
      </c>
      <c r="K1501" s="309" t="n">
        <v>127500</v>
      </c>
      <c r="L1501" s="236" t="n">
        <v>29150</v>
      </c>
    </row>
    <row r="1502" ht="15" customHeight="1" s="153">
      <c r="A1502" s="306" t="inlineStr">
        <is>
          <t>06/03/2026</t>
        </is>
      </c>
      <c r="B1502" s="307" t="inlineStr">
        <is>
          <t>Marzo</t>
        </is>
      </c>
      <c r="C1502" s="310" t="inlineStr">
        <is>
          <t>OTNIEL</t>
        </is>
      </c>
      <c r="D1502" s="218" t="n"/>
      <c r="E1502" s="218" t="n"/>
      <c r="F1502" s="218" t="n"/>
      <c r="G1502" s="218" t="n"/>
      <c r="H1502" s="218" t="n">
        <v>1</v>
      </c>
      <c r="I1502" s="216" t="n">
        <v>5500</v>
      </c>
      <c r="J1502" s="309" t="n">
        <v>0</v>
      </c>
      <c r="K1502" s="309" t="n">
        <v>5500</v>
      </c>
      <c r="L1502" s="236" t="n">
        <v>4650</v>
      </c>
    </row>
    <row r="1503" ht="15" customHeight="1" s="153">
      <c r="A1503" s="306" t="inlineStr">
        <is>
          <t>09/03/2026</t>
        </is>
      </c>
      <c r="B1503" s="307" t="inlineStr">
        <is>
          <t>Marzo</t>
        </is>
      </c>
      <c r="C1503" s="310" t="inlineStr">
        <is>
          <t>OTNIEL</t>
        </is>
      </c>
      <c r="D1503" s="218" t="n"/>
      <c r="E1503" s="218" t="n"/>
      <c r="F1503" s="218" t="n"/>
      <c r="G1503" s="218" t="n">
        <v>4</v>
      </c>
      <c r="H1503" s="218" t="n"/>
      <c r="I1503" s="216" t="n">
        <v>14000</v>
      </c>
      <c r="J1503" s="309" t="n">
        <v>0</v>
      </c>
      <c r="K1503" s="309" t="n">
        <v>14000</v>
      </c>
      <c r="L1503" s="236" t="n">
        <v>4800</v>
      </c>
    </row>
    <row r="1504" ht="15" customHeight="1" s="153">
      <c r="A1504" s="306" t="inlineStr">
        <is>
          <t>11/03/2026</t>
        </is>
      </c>
      <c r="B1504" s="307" t="inlineStr">
        <is>
          <t>Marzo</t>
        </is>
      </c>
      <c r="C1504" s="310" t="inlineStr">
        <is>
          <t>OTNIEL</t>
        </is>
      </c>
      <c r="D1504" s="218" t="n"/>
      <c r="E1504" s="218" t="n">
        <v>2</v>
      </c>
      <c r="F1504" s="218" t="n"/>
      <c r="G1504" s="218" t="n"/>
      <c r="H1504" s="218" t="n"/>
      <c r="I1504" s="216" t="n">
        <v>60000</v>
      </c>
      <c r="J1504" s="309" t="n">
        <v>0</v>
      </c>
      <c r="K1504" s="309" t="n">
        <v>60000</v>
      </c>
      <c r="L1504" s="236" t="n">
        <v>15000</v>
      </c>
    </row>
    <row r="1505" ht="15" customHeight="1" s="153">
      <c r="A1505" s="306" t="inlineStr">
        <is>
          <t>13/03/2026</t>
        </is>
      </c>
      <c r="B1505" s="307" t="inlineStr">
        <is>
          <t>Marzo</t>
        </is>
      </c>
      <c r="C1505" s="310" t="inlineStr">
        <is>
          <t>OTNIEL</t>
        </is>
      </c>
      <c r="D1505" s="218" t="n"/>
      <c r="E1505" s="218" t="n"/>
      <c r="F1505" s="218" t="n"/>
      <c r="G1505" s="218" t="n"/>
      <c r="H1505" s="218" t="n">
        <v>2</v>
      </c>
      <c r="I1505" s="216" t="n">
        <v>11000</v>
      </c>
      <c r="J1505" s="309" t="n">
        <v>0</v>
      </c>
      <c r="K1505" s="309" t="n">
        <v>11000</v>
      </c>
      <c r="L1505" s="236" t="n">
        <v>9300</v>
      </c>
    </row>
    <row r="1506" ht="15" customHeight="1" s="153">
      <c r="A1506" s="306" t="inlineStr">
        <is>
          <t>13/03/2026</t>
        </is>
      </c>
      <c r="B1506" s="307" t="inlineStr">
        <is>
          <t>Marzo</t>
        </is>
      </c>
      <c r="C1506" s="310" t="inlineStr">
        <is>
          <t>OTNIEL</t>
        </is>
      </c>
      <c r="D1506" s="218" t="n"/>
      <c r="E1506" s="218" t="n"/>
      <c r="F1506" s="218" t="n">
        <v>1</v>
      </c>
      <c r="G1506" s="218" t="n"/>
      <c r="H1506" s="218" t="n"/>
      <c r="I1506" s="216" t="n">
        <v>77000</v>
      </c>
      <c r="J1506" s="309" t="n">
        <v>0</v>
      </c>
      <c r="K1506" s="309" t="n">
        <v>77000</v>
      </c>
      <c r="L1506" s="236" t="n">
        <v>17000</v>
      </c>
    </row>
    <row r="1507" ht="15" customHeight="1" s="153">
      <c r="A1507" s="306" t="inlineStr">
        <is>
          <t>16/03/2026</t>
        </is>
      </c>
      <c r="B1507" s="307" t="inlineStr">
        <is>
          <t>Marzo</t>
        </is>
      </c>
      <c r="C1507" s="310" t="inlineStr">
        <is>
          <t>OTNIEL</t>
        </is>
      </c>
      <c r="D1507" s="218" t="n">
        <v>1</v>
      </c>
      <c r="E1507" s="218" t="n"/>
      <c r="F1507" s="218" t="n">
        <v>1</v>
      </c>
      <c r="G1507" s="218" t="n"/>
      <c r="H1507" s="218" t="n"/>
      <c r="I1507" s="216" t="n">
        <v>98000</v>
      </c>
      <c r="J1507" s="309" t="n">
        <v>0</v>
      </c>
      <c r="K1507" s="309" t="n">
        <v>98000</v>
      </c>
      <c r="L1507" s="236" t="n">
        <v>23000</v>
      </c>
    </row>
    <row r="1508" ht="15" customHeight="1" s="153">
      <c r="A1508" s="306" t="inlineStr">
        <is>
          <t>21/03/2026</t>
        </is>
      </c>
      <c r="B1508" s="307" t="inlineStr">
        <is>
          <t>Marzo</t>
        </is>
      </c>
      <c r="C1508" s="310" t="inlineStr">
        <is>
          <t>OTNIEL</t>
        </is>
      </c>
      <c r="D1508" s="218" t="n"/>
      <c r="E1508" s="218" t="n"/>
      <c r="F1508" s="218" t="n"/>
      <c r="G1508" s="218" t="n"/>
      <c r="H1508" s="218" t="n">
        <v>2</v>
      </c>
      <c r="I1508" s="216" t="n">
        <v>11000</v>
      </c>
      <c r="J1508" s="309" t="n">
        <v>0</v>
      </c>
      <c r="K1508" s="309" t="n">
        <v>11000</v>
      </c>
      <c r="L1508" s="236" t="n">
        <v>9300</v>
      </c>
    </row>
    <row r="1509" ht="15" customHeight="1" s="153">
      <c r="A1509" s="306" t="inlineStr">
        <is>
          <t>22/03/2026</t>
        </is>
      </c>
      <c r="B1509" s="307" t="inlineStr">
        <is>
          <t>Marzo</t>
        </is>
      </c>
      <c r="C1509" s="310" t="inlineStr">
        <is>
          <t>OTNIEL</t>
        </is>
      </c>
      <c r="D1509" s="218" t="n"/>
      <c r="E1509" s="218" t="n"/>
      <c r="F1509" s="218" t="n"/>
      <c r="G1509" s="218" t="n"/>
      <c r="H1509" s="218" t="n">
        <v>2</v>
      </c>
      <c r="I1509" s="216" t="n">
        <v>11000</v>
      </c>
      <c r="J1509" s="309" t="n">
        <v>0</v>
      </c>
      <c r="K1509" s="309" t="n">
        <v>11000</v>
      </c>
      <c r="L1509" s="236" t="n">
        <v>9300</v>
      </c>
    </row>
    <row r="1510" ht="15" customHeight="1" s="153">
      <c r="A1510" s="306" t="inlineStr">
        <is>
          <t>23/03/2026</t>
        </is>
      </c>
      <c r="B1510" s="307" t="inlineStr">
        <is>
          <t>Marzo</t>
        </is>
      </c>
      <c r="C1510" s="310" t="inlineStr">
        <is>
          <t>OTNIEL</t>
        </is>
      </c>
      <c r="D1510" s="218" t="n"/>
      <c r="E1510" s="218" t="n">
        <v>2</v>
      </c>
      <c r="F1510" s="218" t="n">
        <v>1</v>
      </c>
      <c r="G1510" s="218" t="n"/>
      <c r="H1510" s="218" t="n"/>
      <c r="I1510" s="216" t="n">
        <v>141000</v>
      </c>
      <c r="J1510" s="309" t="n">
        <v>141000</v>
      </c>
      <c r="K1510" s="309" t="n">
        <v>0</v>
      </c>
      <c r="L1510" s="236" t="n">
        <v>36000</v>
      </c>
    </row>
    <row r="1511" ht="15" customHeight="1" s="153">
      <c r="A1511" s="306" t="inlineStr">
        <is>
          <t>01/04/2026</t>
        </is>
      </c>
      <c r="B1511" s="307" t="inlineStr">
        <is>
          <t>Abril</t>
        </is>
      </c>
      <c r="C1511" s="310" t="inlineStr">
        <is>
          <t>OTNIEL</t>
        </is>
      </c>
      <c r="D1511" s="218" t="n"/>
      <c r="E1511" s="218" t="n"/>
      <c r="F1511" s="218" t="n"/>
      <c r="G1511" s="218" t="n"/>
      <c r="H1511" s="218" t="n">
        <v>3</v>
      </c>
      <c r="I1511" s="216" t="n">
        <v>16500</v>
      </c>
      <c r="J1511" s="309" t="n">
        <v>0</v>
      </c>
      <c r="K1511" s="309" t="n">
        <v>16500</v>
      </c>
      <c r="L1511" s="236" t="n">
        <v>13950</v>
      </c>
    </row>
    <row r="1512" ht="15" customHeight="1" s="153">
      <c r="A1512" s="306" t="inlineStr">
        <is>
          <t>02/04/2026</t>
        </is>
      </c>
      <c r="B1512" s="307" t="inlineStr">
        <is>
          <t>Abril</t>
        </is>
      </c>
      <c r="C1512" s="310" t="inlineStr">
        <is>
          <t>OTNIEL</t>
        </is>
      </c>
      <c r="D1512" s="218" t="n">
        <v>1</v>
      </c>
      <c r="E1512" s="218" t="n">
        <v>1</v>
      </c>
      <c r="F1512" s="218" t="n"/>
      <c r="G1512" s="218" t="n"/>
      <c r="H1512" s="218" t="n"/>
      <c r="I1512" s="216" t="n">
        <v>57000</v>
      </c>
      <c r="J1512" s="309" t="n">
        <v>0</v>
      </c>
      <c r="K1512" s="309" t="n">
        <v>57000</v>
      </c>
      <c r="L1512" s="236" t="n">
        <v>19500</v>
      </c>
    </row>
    <row r="1513" ht="15" customHeight="1" s="153">
      <c r="A1513" s="306" t="inlineStr">
        <is>
          <t>06/04/2026</t>
        </is>
      </c>
      <c r="B1513" s="307" t="inlineStr">
        <is>
          <t>Abril</t>
        </is>
      </c>
      <c r="C1513" s="310" t="inlineStr">
        <is>
          <t>OTNIEL</t>
        </is>
      </c>
      <c r="D1513" s="218" t="n"/>
      <c r="E1513" s="218" t="n">
        <v>2</v>
      </c>
      <c r="F1513" s="218" t="n"/>
      <c r="G1513" s="218" t="n"/>
      <c r="H1513" s="218" t="n"/>
      <c r="I1513" s="216" t="n">
        <v>68000</v>
      </c>
      <c r="J1513" s="309" t="n">
        <v>0</v>
      </c>
      <c r="K1513" s="309" t="n">
        <v>68000</v>
      </c>
      <c r="L1513" s="236" t="n">
        <v>23000</v>
      </c>
    </row>
    <row r="1514" ht="15" customHeight="1" s="153">
      <c r="A1514" s="306" t="inlineStr">
        <is>
          <t>09/04/2026</t>
        </is>
      </c>
      <c r="B1514" s="307" t="inlineStr">
        <is>
          <t>Abril</t>
        </is>
      </c>
      <c r="C1514" s="310" t="inlineStr">
        <is>
          <t>OTNIEL</t>
        </is>
      </c>
      <c r="D1514" s="218" t="n"/>
      <c r="E1514" s="218" t="n"/>
      <c r="F1514" s="218" t="n">
        <v>1</v>
      </c>
      <c r="G1514" s="218" t="n">
        <v>4</v>
      </c>
      <c r="H1514" s="218" t="n">
        <v>4</v>
      </c>
      <c r="I1514" s="216" t="n">
        <v>124800</v>
      </c>
      <c r="J1514" s="309" t="n">
        <v>103000</v>
      </c>
      <c r="K1514" s="309" t="n">
        <v>20800</v>
      </c>
      <c r="L1514" s="236" t="n">
        <v>52200</v>
      </c>
    </row>
    <row r="1515" ht="15" customHeight="1" s="153">
      <c r="A1515" s="306" t="inlineStr">
        <is>
          <t>11/04/2026</t>
        </is>
      </c>
      <c r="B1515" s="307" t="inlineStr">
        <is>
          <t>Abril</t>
        </is>
      </c>
      <c r="C1515" s="310" t="inlineStr">
        <is>
          <t>OTNIEL</t>
        </is>
      </c>
      <c r="D1515" s="218" t="n"/>
      <c r="E1515" s="218" t="n">
        <v>1</v>
      </c>
      <c r="F1515" s="218" t="n"/>
      <c r="G1515" s="218" t="n"/>
      <c r="H1515" s="218" t="n"/>
      <c r="I1515" s="216" t="n">
        <v>34000</v>
      </c>
      <c r="J1515" s="309" t="n">
        <v>0</v>
      </c>
      <c r="K1515" s="309" t="n">
        <v>34000</v>
      </c>
      <c r="L1515" s="236" t="n">
        <v>11500</v>
      </c>
    </row>
    <row r="1516" ht="15" customHeight="1" s="153">
      <c r="A1516" s="306" t="inlineStr">
        <is>
          <t>16/04/2026</t>
        </is>
      </c>
      <c r="B1516" s="307" t="inlineStr">
        <is>
          <t>Abril</t>
        </is>
      </c>
      <c r="C1516" s="310" t="inlineStr">
        <is>
          <t>OTNIEL</t>
        </is>
      </c>
      <c r="D1516" s="218" t="n"/>
      <c r="E1516" s="218" t="n">
        <v>1</v>
      </c>
      <c r="F1516" s="218" t="n">
        <v>1</v>
      </c>
      <c r="G1516" s="218" t="n"/>
      <c r="H1516" s="218" t="n"/>
      <c r="I1516" s="216" t="n">
        <v>115000</v>
      </c>
      <c r="J1516" s="309" t="n">
        <v>115000</v>
      </c>
      <c r="K1516" s="309" t="n">
        <v>0</v>
      </c>
      <c r="L1516" s="236" t="n">
        <v>32500</v>
      </c>
    </row>
    <row r="1517" ht="15" customHeight="1" s="153">
      <c r="A1517" s="302" t="inlineStr">
        <is>
          <t>12/01/2026</t>
        </is>
      </c>
      <c r="B1517" s="303" t="inlineStr">
        <is>
          <t>Enero</t>
        </is>
      </c>
      <c r="C1517" s="311" t="inlineStr">
        <is>
          <t>P CEBALLOS 8134</t>
        </is>
      </c>
      <c r="D1517" s="225" t="n">
        <v>2</v>
      </c>
      <c r="E1517" s="225" t="n">
        <v>1</v>
      </c>
      <c r="F1517" s="225" t="n"/>
      <c r="G1517" s="225" t="n"/>
      <c r="H1517" s="225" t="n"/>
      <c r="I1517" s="223" t="n">
        <v>49000</v>
      </c>
      <c r="J1517" s="305" t="n">
        <v>0</v>
      </c>
      <c r="K1517" s="305" t="n">
        <v>49000</v>
      </c>
      <c r="L1517" s="245" t="n">
        <v>-3500</v>
      </c>
    </row>
    <row r="1518" ht="15" customHeight="1" s="153">
      <c r="A1518" s="302" t="inlineStr">
        <is>
          <t>04/03/2026</t>
        </is>
      </c>
      <c r="B1518" s="303" t="inlineStr">
        <is>
          <t>Marzo</t>
        </is>
      </c>
      <c r="C1518" s="311" t="inlineStr">
        <is>
          <t>P CEBALLOS 8134</t>
        </is>
      </c>
      <c r="D1518" s="225" t="n">
        <v>3</v>
      </c>
      <c r="E1518" s="225" t="n">
        <v>1</v>
      </c>
      <c r="F1518" s="225" t="n"/>
      <c r="G1518" s="225" t="n"/>
      <c r="H1518" s="225" t="n"/>
      <c r="I1518" s="223" t="n">
        <v>68000</v>
      </c>
      <c r="J1518" s="305" t="n">
        <v>0</v>
      </c>
      <c r="K1518" s="305" t="n">
        <v>68000</v>
      </c>
      <c r="L1518" s="224" t="n">
        <v>500</v>
      </c>
    </row>
    <row r="1519" ht="15" customHeight="1" s="153">
      <c r="A1519" s="302" t="inlineStr">
        <is>
          <t>17/03/2026</t>
        </is>
      </c>
      <c r="B1519" s="303" t="inlineStr">
        <is>
          <t>Marzo</t>
        </is>
      </c>
      <c r="C1519" s="311" t="inlineStr">
        <is>
          <t>P CEBALLOS 8134</t>
        </is>
      </c>
      <c r="D1519" s="225" t="n">
        <v>2</v>
      </c>
      <c r="E1519" s="225" t="n"/>
      <c r="F1519" s="225" t="n"/>
      <c r="G1519" s="225" t="n"/>
      <c r="H1519" s="225" t="n"/>
      <c r="I1519" s="223" t="n">
        <v>34000</v>
      </c>
      <c r="J1519" s="305" t="n">
        <v>34000</v>
      </c>
      <c r="K1519" s="305" t="n">
        <v>0</v>
      </c>
      <c r="L1519" s="224" t="n">
        <v>4000</v>
      </c>
    </row>
    <row r="1520" ht="15" customHeight="1" s="153">
      <c r="A1520" s="306" t="inlineStr">
        <is>
          <t>07/03/2026</t>
        </is>
      </c>
      <c r="B1520" s="307" t="inlineStr">
        <is>
          <t>Marzo</t>
        </is>
      </c>
      <c r="C1520" s="310" t="inlineStr">
        <is>
          <t>P DE VEGA 1428</t>
        </is>
      </c>
      <c r="D1520" s="218" t="n">
        <v>1</v>
      </c>
      <c r="E1520" s="218" t="n"/>
      <c r="F1520" s="218" t="n"/>
      <c r="G1520" s="218" t="n"/>
      <c r="H1520" s="218" t="n"/>
      <c r="I1520" s="216" t="n">
        <v>22000</v>
      </c>
      <c r="J1520" s="309" t="n">
        <v>22000</v>
      </c>
      <c r="K1520" s="309" t="n">
        <v>0</v>
      </c>
      <c r="L1520" s="236" t="n">
        <v>7000</v>
      </c>
    </row>
    <row r="1521" ht="15" customHeight="1" s="153">
      <c r="A1521" s="302" t="inlineStr">
        <is>
          <t>15/03/2026</t>
        </is>
      </c>
      <c r="B1521" s="303" t="inlineStr">
        <is>
          <t>Marzo</t>
        </is>
      </c>
      <c r="C1521" s="311" t="inlineStr">
        <is>
          <t>P GENESIO 2128</t>
        </is>
      </c>
      <c r="D1521" s="225" t="n"/>
      <c r="E1521" s="225" t="n"/>
      <c r="F1521" s="225" t="n">
        <v>1</v>
      </c>
      <c r="G1521" s="225" t="n"/>
      <c r="H1521" s="225" t="n"/>
      <c r="I1521" s="223" t="n">
        <v>82000</v>
      </c>
      <c r="J1521" s="305" t="n">
        <v>0</v>
      </c>
      <c r="K1521" s="305" t="n">
        <v>82000</v>
      </c>
      <c r="L1521" s="224" t="n">
        <v>22000</v>
      </c>
    </row>
    <row r="1522" ht="15" customHeight="1" s="153">
      <c r="A1522" s="306" t="inlineStr">
        <is>
          <t>23/03/2026</t>
        </is>
      </c>
      <c r="B1522" s="307" t="inlineStr">
        <is>
          <t>Marzo</t>
        </is>
      </c>
      <c r="C1522" s="310" t="inlineStr">
        <is>
          <t>P GENESIO 4501</t>
        </is>
      </c>
      <c r="D1522" s="218" t="n">
        <v>1</v>
      </c>
      <c r="E1522" s="218" t="n"/>
      <c r="F1522" s="218" t="n"/>
      <c r="G1522" s="218" t="n"/>
      <c r="H1522" s="218" t="n"/>
      <c r="I1522" s="216" t="n">
        <v>24500</v>
      </c>
      <c r="J1522" s="309" t="n">
        <v>24500</v>
      </c>
      <c r="K1522" s="309" t="n">
        <v>0</v>
      </c>
      <c r="L1522" s="236" t="n">
        <v>9500</v>
      </c>
    </row>
    <row r="1523" ht="15" customHeight="1" s="153">
      <c r="A1523" s="302" t="inlineStr">
        <is>
          <t>23/03/2026</t>
        </is>
      </c>
      <c r="B1523" s="303" t="inlineStr">
        <is>
          <t>Marzo</t>
        </is>
      </c>
      <c r="C1523" s="311" t="inlineStr">
        <is>
          <t>P GENESIO 5799</t>
        </is>
      </c>
      <c r="D1523" s="225" t="n">
        <v>1</v>
      </c>
      <c r="E1523" s="225" t="n"/>
      <c r="F1523" s="225" t="n"/>
      <c r="G1523" s="225" t="n"/>
      <c r="H1523" s="225" t="n"/>
      <c r="I1523" s="223" t="n">
        <v>24000</v>
      </c>
      <c r="J1523" s="305" t="n">
        <v>24000</v>
      </c>
      <c r="K1523" s="305" t="n">
        <v>0</v>
      </c>
      <c r="L1523" s="224" t="n">
        <v>9000</v>
      </c>
    </row>
    <row r="1524" ht="15" customHeight="1" s="153">
      <c r="A1524" s="306" t="inlineStr">
        <is>
          <t>25/03/2026</t>
        </is>
      </c>
      <c r="B1524" s="307" t="inlineStr">
        <is>
          <t>Marzo</t>
        </is>
      </c>
      <c r="C1524" s="310" t="inlineStr">
        <is>
          <t>P GENESIO 5851</t>
        </is>
      </c>
      <c r="D1524" s="218" t="n">
        <v>1</v>
      </c>
      <c r="E1524" s="218" t="n"/>
      <c r="F1524" s="218" t="n"/>
      <c r="G1524" s="218" t="n"/>
      <c r="H1524" s="218" t="n"/>
      <c r="I1524" s="216" t="n">
        <v>24500</v>
      </c>
      <c r="J1524" s="309" t="n">
        <v>24500</v>
      </c>
      <c r="K1524" s="309" t="n">
        <v>0</v>
      </c>
      <c r="L1524" s="236" t="n">
        <v>9500</v>
      </c>
    </row>
    <row r="1525" ht="15" customHeight="1" s="153">
      <c r="A1525" s="302" t="inlineStr">
        <is>
          <t>06/02/2026</t>
        </is>
      </c>
      <c r="B1525" s="303" t="inlineStr">
        <is>
          <t>Febrero</t>
        </is>
      </c>
      <c r="C1525" s="311" t="inlineStr">
        <is>
          <t>PADRE GENESIO 4501</t>
        </is>
      </c>
      <c r="D1525" s="225" t="n">
        <v>1</v>
      </c>
      <c r="E1525" s="225" t="n"/>
      <c r="F1525" s="225" t="n"/>
      <c r="G1525" s="225" t="n"/>
      <c r="H1525" s="225" t="n"/>
      <c r="I1525" s="223" t="n">
        <v>21000</v>
      </c>
      <c r="J1525" s="305" t="n">
        <v>0</v>
      </c>
      <c r="K1525" s="305" t="n">
        <v>21000</v>
      </c>
      <c r="L1525" s="224" t="n">
        <v>6000</v>
      </c>
    </row>
    <row r="1526" ht="15" customHeight="1" s="153">
      <c r="A1526" s="306" t="inlineStr">
        <is>
          <t>02/02/2026</t>
        </is>
      </c>
      <c r="B1526" s="307" t="inlineStr">
        <is>
          <t>Febrero</t>
        </is>
      </c>
      <c r="C1526" s="310" t="inlineStr">
        <is>
          <t>PALLARES 8200</t>
        </is>
      </c>
      <c r="D1526" s="218" t="n">
        <v>2</v>
      </c>
      <c r="E1526" s="218" t="n"/>
      <c r="F1526" s="218" t="n"/>
      <c r="G1526" s="218" t="n"/>
      <c r="H1526" s="218" t="n"/>
      <c r="I1526" s="216" t="n">
        <v>42000</v>
      </c>
      <c r="J1526" s="309" t="n">
        <v>0</v>
      </c>
      <c r="K1526" s="309" t="n">
        <v>42000</v>
      </c>
      <c r="L1526" s="236" t="n">
        <v>12000</v>
      </c>
    </row>
    <row r="1527" ht="15" customHeight="1" s="153">
      <c r="A1527" s="302" t="inlineStr">
        <is>
          <t>25/03/2026</t>
        </is>
      </c>
      <c r="B1527" s="303" t="inlineStr">
        <is>
          <t>Marzo</t>
        </is>
      </c>
      <c r="C1527" s="311" t="inlineStr">
        <is>
          <t>PAMPA 4751</t>
        </is>
      </c>
      <c r="D1527" s="225" t="n">
        <v>1</v>
      </c>
      <c r="E1527" s="225" t="n"/>
      <c r="F1527" s="225" t="n"/>
      <c r="G1527" s="225" t="n"/>
      <c r="H1527" s="225" t="n"/>
      <c r="I1527" s="223" t="n">
        <v>25000</v>
      </c>
      <c r="J1527" s="305" t="n">
        <v>25000</v>
      </c>
      <c r="K1527" s="305" t="n">
        <v>0</v>
      </c>
      <c r="L1527" s="224" t="n">
        <v>10000</v>
      </c>
    </row>
    <row r="1528" ht="15" customHeight="1" s="153">
      <c r="A1528" s="306" t="inlineStr">
        <is>
          <t>18/02/2026</t>
        </is>
      </c>
      <c r="B1528" s="307" t="inlineStr">
        <is>
          <t>Febrero</t>
        </is>
      </c>
      <c r="C1528" s="310" t="inlineStr">
        <is>
          <t>PAMPA 5745</t>
        </is>
      </c>
      <c r="D1528" s="218" t="n">
        <v>1</v>
      </c>
      <c r="E1528" s="218" t="n"/>
      <c r="F1528" s="218" t="n"/>
      <c r="G1528" s="218" t="n"/>
      <c r="H1528" s="218" t="n"/>
      <c r="I1528" s="216" t="n">
        <v>22000</v>
      </c>
      <c r="J1528" s="309" t="n">
        <v>22000</v>
      </c>
      <c r="K1528" s="309" t="n">
        <v>0</v>
      </c>
      <c r="L1528" s="236" t="n">
        <v>7000</v>
      </c>
    </row>
    <row r="1529" ht="15" customHeight="1" s="153">
      <c r="A1529" s="302" t="inlineStr">
        <is>
          <t>04/01/2026</t>
        </is>
      </c>
      <c r="B1529" s="303" t="inlineStr">
        <is>
          <t>Enero</t>
        </is>
      </c>
      <c r="C1529" s="311" t="inlineStr">
        <is>
          <t>PANA ALBERTI</t>
        </is>
      </c>
      <c r="D1529" s="225" t="n">
        <v>1</v>
      </c>
      <c r="E1529" s="225" t="n"/>
      <c r="F1529" s="225" t="n">
        <v>1</v>
      </c>
      <c r="G1529" s="225" t="n"/>
      <c r="H1529" s="225" t="n"/>
      <c r="I1529" s="223" t="n">
        <v>87000</v>
      </c>
      <c r="J1529" s="305" t="n">
        <v>87000</v>
      </c>
      <c r="K1529" s="305" t="n">
        <v>0</v>
      </c>
      <c r="L1529" s="224" t="n">
        <v>12000</v>
      </c>
    </row>
    <row r="1530" ht="15" customHeight="1" s="153">
      <c r="A1530" s="302" t="inlineStr">
        <is>
          <t>11/01/2026</t>
        </is>
      </c>
      <c r="B1530" s="303" t="inlineStr">
        <is>
          <t>Enero</t>
        </is>
      </c>
      <c r="C1530" s="311" t="inlineStr">
        <is>
          <t>PANA ALBERTI</t>
        </is>
      </c>
      <c r="D1530" s="225" t="n"/>
      <c r="E1530" s="225" t="n"/>
      <c r="F1530" s="225" t="n">
        <v>1</v>
      </c>
      <c r="G1530" s="225" t="n"/>
      <c r="H1530" s="225" t="n"/>
      <c r="I1530" s="223" t="n">
        <v>69000</v>
      </c>
      <c r="J1530" s="305" t="n">
        <v>69000</v>
      </c>
      <c r="K1530" s="305" t="n">
        <v>0</v>
      </c>
      <c r="L1530" s="224" t="n">
        <v>9000</v>
      </c>
    </row>
    <row r="1531" ht="15" customHeight="1" s="153">
      <c r="A1531" s="302" t="inlineStr">
        <is>
          <t>20/01/2026</t>
        </is>
      </c>
      <c r="B1531" s="303" t="inlineStr">
        <is>
          <t>Enero</t>
        </is>
      </c>
      <c r="C1531" s="311" t="inlineStr">
        <is>
          <t>PANA ALBERTI</t>
        </is>
      </c>
      <c r="D1531" s="225" t="n"/>
      <c r="E1531" s="225" t="n"/>
      <c r="F1531" s="225" t="n">
        <v>1</v>
      </c>
      <c r="G1531" s="225" t="n"/>
      <c r="H1531" s="225" t="n"/>
      <c r="I1531" s="223" t="n">
        <v>71000</v>
      </c>
      <c r="J1531" s="305" t="n">
        <v>71000</v>
      </c>
      <c r="K1531" s="305" t="n">
        <v>0</v>
      </c>
      <c r="L1531" s="224" t="n">
        <v>11000</v>
      </c>
    </row>
    <row r="1532" ht="15" customHeight="1" s="153">
      <c r="A1532" s="302" t="inlineStr">
        <is>
          <t>27/01/2026</t>
        </is>
      </c>
      <c r="B1532" s="303" t="inlineStr">
        <is>
          <t>Enero</t>
        </is>
      </c>
      <c r="C1532" s="311" t="inlineStr">
        <is>
          <t>PANA ALBERTI</t>
        </is>
      </c>
      <c r="D1532" s="225" t="n"/>
      <c r="E1532" s="225" t="n"/>
      <c r="F1532" s="225" t="n">
        <v>1</v>
      </c>
      <c r="G1532" s="225" t="n"/>
      <c r="H1532" s="225" t="n"/>
      <c r="I1532" s="223" t="n">
        <v>71000</v>
      </c>
      <c r="J1532" s="305" t="n">
        <v>71000</v>
      </c>
      <c r="K1532" s="305" t="n">
        <v>0</v>
      </c>
      <c r="L1532" s="224" t="n">
        <v>11000</v>
      </c>
    </row>
    <row r="1533" ht="15" customHeight="1" s="153">
      <c r="A1533" s="302" t="inlineStr">
        <is>
          <t>04/02/2026</t>
        </is>
      </c>
      <c r="B1533" s="303" t="inlineStr">
        <is>
          <t>Febrero</t>
        </is>
      </c>
      <c r="C1533" s="311" t="inlineStr">
        <is>
          <t>PANA ALBERTI</t>
        </is>
      </c>
      <c r="D1533" s="225" t="n"/>
      <c r="E1533" s="225" t="n"/>
      <c r="F1533" s="225" t="n">
        <v>1</v>
      </c>
      <c r="G1533" s="225" t="n"/>
      <c r="H1533" s="225" t="n"/>
      <c r="I1533" s="223" t="n">
        <v>71000</v>
      </c>
      <c r="J1533" s="305" t="n">
        <v>71000</v>
      </c>
      <c r="K1533" s="305" t="n">
        <v>0</v>
      </c>
      <c r="L1533" s="224" t="n">
        <v>11000</v>
      </c>
    </row>
    <row r="1534" ht="15" customHeight="1" s="153">
      <c r="A1534" s="302" t="inlineStr">
        <is>
          <t>11/02/2026</t>
        </is>
      </c>
      <c r="B1534" s="303" t="inlineStr">
        <is>
          <t>Febrero</t>
        </is>
      </c>
      <c r="C1534" s="311" t="inlineStr">
        <is>
          <t>PANA ALBERTI</t>
        </is>
      </c>
      <c r="D1534" s="225" t="n"/>
      <c r="E1534" s="225" t="n"/>
      <c r="F1534" s="225" t="n">
        <v>1</v>
      </c>
      <c r="G1534" s="225" t="n"/>
      <c r="H1534" s="225" t="n"/>
      <c r="I1534" s="223" t="n">
        <v>72000</v>
      </c>
      <c r="J1534" s="305" t="n">
        <v>72000</v>
      </c>
      <c r="K1534" s="305" t="n">
        <v>0</v>
      </c>
      <c r="L1534" s="224" t="n">
        <v>12000</v>
      </c>
    </row>
    <row r="1535" ht="15" customHeight="1" s="153">
      <c r="A1535" s="302" t="inlineStr">
        <is>
          <t>18/02/2026</t>
        </is>
      </c>
      <c r="B1535" s="303" t="inlineStr">
        <is>
          <t>Febrero</t>
        </is>
      </c>
      <c r="C1535" s="311" t="inlineStr">
        <is>
          <t>PANA ALBERTI</t>
        </is>
      </c>
      <c r="D1535" s="225" t="n"/>
      <c r="E1535" s="225" t="n">
        <v>1</v>
      </c>
      <c r="F1535" s="225" t="n"/>
      <c r="G1535" s="225" t="n"/>
      <c r="H1535" s="225" t="n"/>
      <c r="I1535" s="223" t="n">
        <v>28500</v>
      </c>
      <c r="J1535" s="305" t="n">
        <v>28500</v>
      </c>
      <c r="K1535" s="305" t="n">
        <v>0</v>
      </c>
      <c r="L1535" s="224" t="n">
        <v>6000</v>
      </c>
    </row>
    <row r="1536" ht="15" customHeight="1" s="153">
      <c r="A1536" s="302" t="inlineStr">
        <is>
          <t>20/02/2026</t>
        </is>
      </c>
      <c r="B1536" s="303" t="inlineStr">
        <is>
          <t>Febrero</t>
        </is>
      </c>
      <c r="C1536" s="311" t="inlineStr">
        <is>
          <t>PANA ALBERTI</t>
        </is>
      </c>
      <c r="D1536" s="225" t="n">
        <v>1</v>
      </c>
      <c r="E1536" s="225" t="n"/>
      <c r="F1536" s="225" t="n"/>
      <c r="G1536" s="225" t="n"/>
      <c r="H1536" s="225" t="n"/>
      <c r="I1536" s="223" t="n">
        <v>20000</v>
      </c>
      <c r="J1536" s="305" t="n">
        <v>20000</v>
      </c>
      <c r="K1536" s="305" t="n">
        <v>0</v>
      </c>
      <c r="L1536" s="224" t="n">
        <v>5000</v>
      </c>
    </row>
    <row r="1537" ht="15" customHeight="1" s="153">
      <c r="A1537" s="302" t="inlineStr">
        <is>
          <t>03/03/2026</t>
        </is>
      </c>
      <c r="B1537" s="303" t="inlineStr">
        <is>
          <t>Marzo</t>
        </is>
      </c>
      <c r="C1537" s="311" t="inlineStr">
        <is>
          <t>PANA ALBERTI</t>
        </is>
      </c>
      <c r="D1537" s="225" t="n"/>
      <c r="E1537" s="225" t="n"/>
      <c r="F1537" s="225" t="n">
        <v>1</v>
      </c>
      <c r="G1537" s="225" t="n"/>
      <c r="H1537" s="225" t="n"/>
      <c r="I1537" s="223" t="n">
        <v>72000</v>
      </c>
      <c r="J1537" s="305" t="n">
        <v>72000</v>
      </c>
      <c r="K1537" s="305" t="n">
        <v>0</v>
      </c>
      <c r="L1537" s="224" t="n">
        <v>12000</v>
      </c>
    </row>
    <row r="1538" ht="15" customHeight="1" s="153">
      <c r="A1538" s="302" t="inlineStr">
        <is>
          <t>06/03/2026</t>
        </is>
      </c>
      <c r="B1538" s="303" t="inlineStr">
        <is>
          <t>Marzo</t>
        </is>
      </c>
      <c r="C1538" s="311" t="inlineStr">
        <is>
          <t>PANA ALBERTI</t>
        </is>
      </c>
      <c r="D1538" s="225" t="n"/>
      <c r="E1538" s="225" t="n"/>
      <c r="F1538" s="225" t="n">
        <v>1</v>
      </c>
      <c r="G1538" s="225" t="n"/>
      <c r="H1538" s="225" t="n"/>
      <c r="I1538" s="223" t="n">
        <v>72000</v>
      </c>
      <c r="J1538" s="305" t="n">
        <v>72000</v>
      </c>
      <c r="K1538" s="305" t="n">
        <v>0</v>
      </c>
      <c r="L1538" s="224" t="n">
        <v>12000</v>
      </c>
    </row>
    <row r="1539" ht="15" customHeight="1" s="153">
      <c r="A1539" s="302" t="inlineStr">
        <is>
          <t>19/03/2026</t>
        </is>
      </c>
      <c r="B1539" s="303" t="inlineStr">
        <is>
          <t>Marzo</t>
        </is>
      </c>
      <c r="C1539" s="311" t="inlineStr">
        <is>
          <t>PANA ALBERTI</t>
        </is>
      </c>
      <c r="D1539" s="225" t="n"/>
      <c r="E1539" s="225" t="n"/>
      <c r="F1539" s="225" t="n">
        <v>1</v>
      </c>
      <c r="G1539" s="225" t="n"/>
      <c r="H1539" s="225" t="n"/>
      <c r="I1539" s="223" t="n">
        <v>77000</v>
      </c>
      <c r="J1539" s="305" t="n">
        <v>77000</v>
      </c>
      <c r="K1539" s="305" t="n">
        <v>0</v>
      </c>
      <c r="L1539" s="224" t="n">
        <v>17000</v>
      </c>
    </row>
    <row r="1540" ht="15" customHeight="1" s="153">
      <c r="A1540" s="302" t="inlineStr">
        <is>
          <t>07/04/2026</t>
        </is>
      </c>
      <c r="B1540" s="303" t="inlineStr">
        <is>
          <t>Abril</t>
        </is>
      </c>
      <c r="C1540" s="311" t="inlineStr">
        <is>
          <t>PANA ALBERTI</t>
        </is>
      </c>
      <c r="D1540" s="225" t="n"/>
      <c r="E1540" s="225" t="n"/>
      <c r="F1540" s="225" t="n">
        <v>1</v>
      </c>
      <c r="G1540" s="225" t="n"/>
      <c r="H1540" s="225" t="n"/>
      <c r="I1540" s="223" t="n">
        <v>82000</v>
      </c>
      <c r="J1540" s="305" t="n">
        <v>82000</v>
      </c>
      <c r="K1540" s="305" t="n">
        <v>0</v>
      </c>
      <c r="L1540" s="224" t="n">
        <v>22000</v>
      </c>
    </row>
    <row r="1541" ht="15" customHeight="1" s="153">
      <c r="A1541" s="302" t="inlineStr">
        <is>
          <t>11/04/2026</t>
        </is>
      </c>
      <c r="B1541" s="303" t="inlineStr">
        <is>
          <t>Abril</t>
        </is>
      </c>
      <c r="C1541" s="311" t="inlineStr">
        <is>
          <t>PANA ALBERTI</t>
        </is>
      </c>
      <c r="D1541" s="225" t="n"/>
      <c r="E1541" s="225" t="n"/>
      <c r="F1541" s="225" t="n">
        <v>1</v>
      </c>
      <c r="G1541" s="225" t="n"/>
      <c r="H1541" s="225" t="n"/>
      <c r="I1541" s="223" t="n">
        <v>82000</v>
      </c>
      <c r="J1541" s="305" t="n">
        <v>82000</v>
      </c>
      <c r="K1541" s="305" t="n">
        <v>0</v>
      </c>
      <c r="L1541" s="224" t="n">
        <v>22000</v>
      </c>
    </row>
    <row r="1542" ht="15" customHeight="1" s="153">
      <c r="A1542" s="302" t="inlineStr">
        <is>
          <t>22/04/2026</t>
        </is>
      </c>
      <c r="B1542" s="303" t="inlineStr">
        <is>
          <t>Abril</t>
        </is>
      </c>
      <c r="C1542" s="311" t="inlineStr">
        <is>
          <t>PANA ALBERTI</t>
        </is>
      </c>
      <c r="D1542" s="225" t="n"/>
      <c r="E1542" s="225" t="n"/>
      <c r="F1542" s="225" t="n">
        <v>1</v>
      </c>
      <c r="G1542" s="225" t="n"/>
      <c r="H1542" s="225" t="n"/>
      <c r="I1542" s="223" t="n">
        <v>82000</v>
      </c>
      <c r="J1542" s="305" t="n">
        <v>82000</v>
      </c>
      <c r="K1542" s="305" t="n">
        <v>0</v>
      </c>
      <c r="L1542" s="224" t="n">
        <v>22000</v>
      </c>
    </row>
    <row r="1543" ht="15" customHeight="1" s="153">
      <c r="A1543" s="306" t="inlineStr">
        <is>
          <t>23/03/2026</t>
        </is>
      </c>
      <c r="B1543" s="307" t="inlineStr">
        <is>
          <t>Marzo</t>
        </is>
      </c>
      <c r="C1543" s="310" t="inlineStr">
        <is>
          <t>PANA BERUTI</t>
        </is>
      </c>
      <c r="D1543" s="218" t="n"/>
      <c r="E1543" s="218" t="n"/>
      <c r="F1543" s="218" t="n">
        <v>1</v>
      </c>
      <c r="G1543" s="218" t="n"/>
      <c r="H1543" s="218" t="n"/>
      <c r="I1543" s="216" t="n">
        <v>73000</v>
      </c>
      <c r="J1543" s="309" t="n">
        <v>0</v>
      </c>
      <c r="K1543" s="309" t="n">
        <v>73000</v>
      </c>
      <c r="L1543" s="236" t="n">
        <v>13000</v>
      </c>
    </row>
    <row r="1544" ht="15" customHeight="1" s="153">
      <c r="A1544" s="302" t="inlineStr">
        <is>
          <t>08/04/2026</t>
        </is>
      </c>
      <c r="B1544" s="303" t="inlineStr">
        <is>
          <t>Abril</t>
        </is>
      </c>
      <c r="C1544" s="311" t="inlineStr">
        <is>
          <t>PANA BERUTI 3850</t>
        </is>
      </c>
      <c r="D1544" s="225" t="n">
        <v>3</v>
      </c>
      <c r="E1544" s="225" t="n"/>
      <c r="F1544" s="225" t="n">
        <v>1</v>
      </c>
      <c r="G1544" s="225" t="n"/>
      <c r="H1544" s="225" t="n"/>
      <c r="I1544" s="223" t="n">
        <v>142000</v>
      </c>
      <c r="J1544" s="305" t="n">
        <v>66000</v>
      </c>
      <c r="K1544" s="305" t="n">
        <v>76000</v>
      </c>
      <c r="L1544" s="224" t="n">
        <v>37000</v>
      </c>
    </row>
    <row r="1545" ht="15" customHeight="1" s="153">
      <c r="A1545" s="306" t="inlineStr">
        <is>
          <t>21/01/2026</t>
        </is>
      </c>
      <c r="B1545" s="307" t="inlineStr">
        <is>
          <t>Enero</t>
        </is>
      </c>
      <c r="C1545" s="310" t="inlineStr">
        <is>
          <t>PANA BERUTI 6400</t>
        </is>
      </c>
      <c r="D1545" s="218" t="n"/>
      <c r="E1545" s="218" t="n"/>
      <c r="F1545" s="218" t="n">
        <v>1</v>
      </c>
      <c r="G1545" s="218" t="n"/>
      <c r="H1545" s="218" t="n"/>
      <c r="I1545" s="216" t="n">
        <v>65000</v>
      </c>
      <c r="J1545" s="309" t="n">
        <v>65000</v>
      </c>
      <c r="K1545" s="309" t="n">
        <v>0</v>
      </c>
      <c r="L1545" s="236" t="n">
        <v>5000</v>
      </c>
    </row>
    <row r="1546" ht="15" customHeight="1" s="153">
      <c r="A1546" s="306" t="inlineStr">
        <is>
          <t>11/02/2026</t>
        </is>
      </c>
      <c r="B1546" s="307" t="inlineStr">
        <is>
          <t>Febrero</t>
        </is>
      </c>
      <c r="C1546" s="310" t="inlineStr">
        <is>
          <t>PANA BERUTI 6400</t>
        </is>
      </c>
      <c r="D1546" s="218" t="n"/>
      <c r="E1546" s="218" t="n"/>
      <c r="F1546" s="218" t="n">
        <v>1</v>
      </c>
      <c r="G1546" s="218" t="n"/>
      <c r="H1546" s="218" t="n"/>
      <c r="I1546" s="216" t="n">
        <v>65000</v>
      </c>
      <c r="J1546" s="309" t="n">
        <v>65000</v>
      </c>
      <c r="K1546" s="309" t="n">
        <v>0</v>
      </c>
      <c r="L1546" s="236" t="n">
        <v>5000</v>
      </c>
    </row>
    <row r="1547" ht="15" customHeight="1" s="153">
      <c r="A1547" s="306" t="inlineStr">
        <is>
          <t>27/02/2026</t>
        </is>
      </c>
      <c r="B1547" s="307" t="inlineStr">
        <is>
          <t>Febrero</t>
        </is>
      </c>
      <c r="C1547" s="310" t="inlineStr">
        <is>
          <t>PANA BERUTI 6400</t>
        </is>
      </c>
      <c r="D1547" s="218" t="n"/>
      <c r="E1547" s="218" t="n"/>
      <c r="F1547" s="218" t="n">
        <v>1</v>
      </c>
      <c r="G1547" s="218" t="n"/>
      <c r="H1547" s="218" t="n"/>
      <c r="I1547" s="216" t="n">
        <v>67000</v>
      </c>
      <c r="J1547" s="309" t="n">
        <v>67000</v>
      </c>
      <c r="K1547" s="309" t="n">
        <v>0</v>
      </c>
      <c r="L1547" s="236" t="n">
        <v>7000</v>
      </c>
    </row>
    <row r="1548" ht="15" customHeight="1" s="153">
      <c r="A1548" s="306" t="inlineStr">
        <is>
          <t>08/04/2026</t>
        </is>
      </c>
      <c r="B1548" s="307" t="inlineStr">
        <is>
          <t>Abril</t>
        </is>
      </c>
      <c r="C1548" s="310" t="inlineStr">
        <is>
          <t>PANA BERUTI 6400</t>
        </is>
      </c>
      <c r="D1548" s="218" t="n"/>
      <c r="E1548" s="218" t="n"/>
      <c r="F1548" s="218" t="n">
        <v>1</v>
      </c>
      <c r="G1548" s="218" t="n"/>
      <c r="H1548" s="218" t="n"/>
      <c r="I1548" s="216" t="n">
        <v>75000</v>
      </c>
      <c r="J1548" s="309" t="n">
        <v>0</v>
      </c>
      <c r="K1548" s="309" t="n">
        <v>75000</v>
      </c>
      <c r="L1548" s="236" t="n">
        <v>15000</v>
      </c>
    </row>
    <row r="1549" ht="15" customHeight="1" s="153">
      <c r="A1549" s="306" t="inlineStr">
        <is>
          <t>22/04/2026</t>
        </is>
      </c>
      <c r="B1549" s="307" t="inlineStr">
        <is>
          <t>Abril</t>
        </is>
      </c>
      <c r="C1549" s="310" t="inlineStr">
        <is>
          <t>PANA BERUTI 6400</t>
        </is>
      </c>
      <c r="D1549" s="218" t="n"/>
      <c r="E1549" s="218" t="n"/>
      <c r="F1549" s="218" t="n">
        <v>1</v>
      </c>
      <c r="G1549" s="218" t="n"/>
      <c r="H1549" s="218" t="n"/>
      <c r="I1549" s="216" t="n">
        <v>75000</v>
      </c>
      <c r="J1549" s="309" t="n">
        <v>5000</v>
      </c>
      <c r="K1549" s="309" t="n">
        <v>70000</v>
      </c>
      <c r="L1549" s="236" t="n">
        <v>15000</v>
      </c>
    </row>
    <row r="1550" ht="15" customHeight="1" s="153">
      <c r="A1550" s="302" t="inlineStr">
        <is>
          <t>22/04/2026</t>
        </is>
      </c>
      <c r="B1550" s="303" t="inlineStr">
        <is>
          <t>Abril</t>
        </is>
      </c>
      <c r="C1550" s="311" t="inlineStr">
        <is>
          <t>PANA BERUTI 6726</t>
        </is>
      </c>
      <c r="D1550" s="225" t="n"/>
      <c r="E1550" s="225" t="n"/>
      <c r="F1550" s="225" t="n">
        <v>1</v>
      </c>
      <c r="G1550" s="225" t="n"/>
      <c r="H1550" s="225" t="n"/>
      <c r="I1550" s="223" t="n">
        <v>78000</v>
      </c>
      <c r="J1550" s="305" t="n">
        <v>78000</v>
      </c>
      <c r="K1550" s="305" t="n">
        <v>0</v>
      </c>
      <c r="L1550" s="224" t="n">
        <v>18000</v>
      </c>
    </row>
    <row r="1551" ht="15" customHeight="1" s="153">
      <c r="A1551" s="306" t="inlineStr">
        <is>
          <t>16/02/2026</t>
        </is>
      </c>
      <c r="B1551" s="307" t="inlineStr">
        <is>
          <t>Febrero</t>
        </is>
      </c>
      <c r="C1551" s="310" t="inlineStr">
        <is>
          <t>PANA BONEO</t>
        </is>
      </c>
      <c r="D1551" s="218" t="n">
        <v>1</v>
      </c>
      <c r="E1551" s="218" t="n"/>
      <c r="F1551" s="218" t="n">
        <v>1</v>
      </c>
      <c r="G1551" s="218" t="n"/>
      <c r="H1551" s="218" t="n"/>
      <c r="I1551" s="216" t="n">
        <v>82500</v>
      </c>
      <c r="J1551" s="309" t="n">
        <v>82500</v>
      </c>
      <c r="K1551" s="309" t="n">
        <v>0</v>
      </c>
      <c r="L1551" s="236" t="n">
        <v>7500</v>
      </c>
    </row>
    <row r="1552" ht="15" customHeight="1" s="153">
      <c r="A1552" s="302" t="inlineStr">
        <is>
          <t>06/04/2026</t>
        </is>
      </c>
      <c r="B1552" s="303" t="inlineStr">
        <is>
          <t>Abril</t>
        </is>
      </c>
      <c r="C1552" s="311" t="inlineStr">
        <is>
          <t>PANA COLODRERO 1258</t>
        </is>
      </c>
      <c r="D1552" s="225" t="n"/>
      <c r="E1552" s="225" t="n"/>
      <c r="F1552" s="225" t="n">
        <v>1</v>
      </c>
      <c r="G1552" s="225" t="n"/>
      <c r="H1552" s="225" t="n"/>
      <c r="I1552" s="223" t="n">
        <v>78000</v>
      </c>
      <c r="J1552" s="305" t="n">
        <v>0</v>
      </c>
      <c r="K1552" s="305" t="n">
        <v>78000</v>
      </c>
      <c r="L1552" s="224" t="n">
        <v>18000</v>
      </c>
    </row>
    <row r="1553" ht="15" customHeight="1" s="153">
      <c r="A1553" s="306" t="inlineStr">
        <is>
          <t>26/03/2026</t>
        </is>
      </c>
      <c r="B1553" s="307" t="inlineStr">
        <is>
          <t>Marzo</t>
        </is>
      </c>
      <c r="C1553" s="310" t="inlineStr">
        <is>
          <t>PANA FIGUEROA</t>
        </is>
      </c>
      <c r="D1553" s="218" t="n"/>
      <c r="E1553" s="218" t="n"/>
      <c r="F1553" s="218" t="n">
        <v>1</v>
      </c>
      <c r="G1553" s="218" t="n"/>
      <c r="H1553" s="218" t="n"/>
      <c r="I1553" s="216" t="n">
        <v>70000</v>
      </c>
      <c r="J1553" s="309" t="n">
        <v>40000</v>
      </c>
      <c r="K1553" s="309" t="n">
        <v>30000</v>
      </c>
      <c r="L1553" s="236" t="n">
        <v>10000</v>
      </c>
    </row>
    <row r="1554" ht="15" customHeight="1" s="153">
      <c r="A1554" s="302" t="inlineStr">
        <is>
          <t>01/01/2026</t>
        </is>
      </c>
      <c r="B1554" s="303" t="inlineStr">
        <is>
          <t>Enero</t>
        </is>
      </c>
      <c r="C1554" s="311" t="inlineStr">
        <is>
          <t>PANA GENESIO</t>
        </is>
      </c>
      <c r="D1554" s="225" t="n">
        <v>1</v>
      </c>
      <c r="E1554" s="225" t="n"/>
      <c r="F1554" s="225" t="n">
        <v>1</v>
      </c>
      <c r="G1554" s="225" t="n"/>
      <c r="H1554" s="225" t="n"/>
      <c r="I1554" s="223" t="n">
        <v>88500</v>
      </c>
      <c r="J1554" s="305" t="n">
        <v>0</v>
      </c>
      <c r="K1554" s="305" t="n">
        <v>88500</v>
      </c>
      <c r="L1554" s="224" t="n">
        <v>13500</v>
      </c>
    </row>
    <row r="1555" ht="15" customHeight="1" s="153">
      <c r="A1555" s="302" t="inlineStr">
        <is>
          <t>08/01/2026</t>
        </is>
      </c>
      <c r="B1555" s="303" t="inlineStr">
        <is>
          <t>Enero</t>
        </is>
      </c>
      <c r="C1555" s="311" t="inlineStr">
        <is>
          <t>PANA GENESIO</t>
        </is>
      </c>
      <c r="D1555" s="225" t="n"/>
      <c r="E1555" s="225" t="n"/>
      <c r="F1555" s="225" t="n">
        <v>1</v>
      </c>
      <c r="G1555" s="225" t="n"/>
      <c r="H1555" s="225" t="n"/>
      <c r="I1555" s="223" t="n">
        <v>69000</v>
      </c>
      <c r="J1555" s="305" t="n">
        <v>69000</v>
      </c>
      <c r="K1555" s="305" t="n">
        <v>0</v>
      </c>
      <c r="L1555" s="224" t="n">
        <v>9000</v>
      </c>
    </row>
    <row r="1556" ht="15" customHeight="1" s="153">
      <c r="A1556" s="302" t="inlineStr">
        <is>
          <t>13/01/2026</t>
        </is>
      </c>
      <c r="B1556" s="303" t="inlineStr">
        <is>
          <t>Enero</t>
        </is>
      </c>
      <c r="C1556" s="311" t="inlineStr">
        <is>
          <t>PANA GENESIO</t>
        </is>
      </c>
      <c r="D1556" s="225" t="n"/>
      <c r="E1556" s="225" t="n"/>
      <c r="F1556" s="225" t="n">
        <v>1</v>
      </c>
      <c r="G1556" s="225" t="n"/>
      <c r="H1556" s="225" t="n"/>
      <c r="I1556" s="223" t="n">
        <v>69000</v>
      </c>
      <c r="J1556" s="305" t="n">
        <v>0</v>
      </c>
      <c r="K1556" s="305" t="n">
        <v>69000</v>
      </c>
      <c r="L1556" s="224" t="n">
        <v>9000</v>
      </c>
    </row>
    <row r="1557" ht="15" customHeight="1" s="153">
      <c r="A1557" s="302" t="inlineStr">
        <is>
          <t>18/01/2026</t>
        </is>
      </c>
      <c r="B1557" s="303" t="inlineStr">
        <is>
          <t>Enero</t>
        </is>
      </c>
      <c r="C1557" s="311" t="inlineStr">
        <is>
          <t>PANA GENESIO</t>
        </is>
      </c>
      <c r="D1557" s="225" t="n"/>
      <c r="E1557" s="225" t="n"/>
      <c r="F1557" s="225" t="n">
        <v>1</v>
      </c>
      <c r="G1557" s="225" t="n"/>
      <c r="H1557" s="225" t="n"/>
      <c r="I1557" s="223" t="n">
        <v>69000</v>
      </c>
      <c r="J1557" s="305" t="n">
        <v>0</v>
      </c>
      <c r="K1557" s="305" t="n">
        <v>69000</v>
      </c>
      <c r="L1557" s="224" t="n">
        <v>9000</v>
      </c>
    </row>
    <row r="1558" ht="15" customHeight="1" s="153">
      <c r="A1558" s="302" t="inlineStr">
        <is>
          <t>19/01/2026</t>
        </is>
      </c>
      <c r="B1558" s="303" t="inlineStr">
        <is>
          <t>Febrero</t>
        </is>
      </c>
      <c r="C1558" s="311" t="inlineStr">
        <is>
          <t>PANA GENESIO</t>
        </is>
      </c>
      <c r="D1558" s="225" t="n"/>
      <c r="E1558" s="225" t="n"/>
      <c r="F1558" s="225" t="n">
        <v>1</v>
      </c>
      <c r="G1558" s="225" t="n"/>
      <c r="H1558" s="225" t="n"/>
      <c r="I1558" s="223" t="n">
        <v>69000</v>
      </c>
      <c r="J1558" s="305" t="n">
        <v>69000</v>
      </c>
      <c r="K1558" s="305" t="n">
        <v>0</v>
      </c>
      <c r="L1558" s="224" t="n">
        <v>9000</v>
      </c>
    </row>
    <row r="1559" ht="15" customHeight="1" s="153">
      <c r="A1559" s="302" t="inlineStr">
        <is>
          <t>23/01/2026</t>
        </is>
      </c>
      <c r="B1559" s="303" t="inlineStr">
        <is>
          <t>Enero</t>
        </is>
      </c>
      <c r="C1559" s="311" t="inlineStr">
        <is>
          <t>PANA GENESIO</t>
        </is>
      </c>
      <c r="D1559" s="225" t="n"/>
      <c r="E1559" s="225" t="n"/>
      <c r="F1559" s="225" t="n">
        <v>1</v>
      </c>
      <c r="G1559" s="225" t="n"/>
      <c r="H1559" s="225" t="n"/>
      <c r="I1559" s="223" t="n">
        <v>69000</v>
      </c>
      <c r="J1559" s="305" t="n">
        <v>69000</v>
      </c>
      <c r="K1559" s="305" t="n">
        <v>0</v>
      </c>
      <c r="L1559" s="224" t="n">
        <v>9000</v>
      </c>
    </row>
    <row r="1560" ht="15" customHeight="1" s="153">
      <c r="A1560" s="302" t="inlineStr">
        <is>
          <t>26/01/2026</t>
        </is>
      </c>
      <c r="B1560" s="303" t="inlineStr">
        <is>
          <t>Enero</t>
        </is>
      </c>
      <c r="C1560" s="311" t="inlineStr">
        <is>
          <t>PANA GENESIO</t>
        </is>
      </c>
      <c r="D1560" s="225" t="n"/>
      <c r="E1560" s="225" t="n"/>
      <c r="F1560" s="225" t="n">
        <v>1</v>
      </c>
      <c r="G1560" s="225" t="n"/>
      <c r="H1560" s="225" t="n"/>
      <c r="I1560" s="223" t="n">
        <v>69000</v>
      </c>
      <c r="J1560" s="305" t="n">
        <v>0</v>
      </c>
      <c r="K1560" s="305" t="n">
        <v>69000</v>
      </c>
      <c r="L1560" s="224" t="n">
        <v>9000</v>
      </c>
    </row>
    <row r="1561" ht="15" customHeight="1" s="153">
      <c r="A1561" s="302" t="inlineStr">
        <is>
          <t>29/01/2026</t>
        </is>
      </c>
      <c r="B1561" s="303" t="inlineStr">
        <is>
          <t>Enero</t>
        </is>
      </c>
      <c r="C1561" s="311" t="inlineStr">
        <is>
          <t>PANA GENESIO</t>
        </is>
      </c>
      <c r="D1561" s="225" t="n">
        <v>1</v>
      </c>
      <c r="E1561" s="225" t="n"/>
      <c r="F1561" s="225" t="n">
        <v>1</v>
      </c>
      <c r="G1561" s="225" t="n"/>
      <c r="H1561" s="225" t="n"/>
      <c r="I1561" s="223" t="n">
        <v>87000</v>
      </c>
      <c r="J1561" s="305" t="n">
        <v>87000</v>
      </c>
      <c r="K1561" s="305" t="n">
        <v>0</v>
      </c>
      <c r="L1561" s="224" t="n">
        <v>12000</v>
      </c>
    </row>
    <row r="1562" ht="15" customHeight="1" s="153">
      <c r="A1562" s="302" t="inlineStr">
        <is>
          <t>04/02/2026</t>
        </is>
      </c>
      <c r="B1562" s="303" t="inlineStr">
        <is>
          <t>Febrero</t>
        </is>
      </c>
      <c r="C1562" s="311" t="inlineStr">
        <is>
          <t>PANA GENESIO</t>
        </is>
      </c>
      <c r="D1562" s="225" t="n"/>
      <c r="E1562" s="225" t="n"/>
      <c r="F1562" s="225" t="n">
        <v>1</v>
      </c>
      <c r="G1562" s="225" t="n"/>
      <c r="H1562" s="225" t="n"/>
      <c r="I1562" s="223" t="n">
        <v>69000</v>
      </c>
      <c r="J1562" s="305" t="n">
        <v>69000</v>
      </c>
      <c r="K1562" s="305" t="n">
        <v>0</v>
      </c>
      <c r="L1562" s="224" t="n">
        <v>9000</v>
      </c>
    </row>
    <row r="1563" ht="15" customHeight="1" s="153">
      <c r="A1563" s="302" t="inlineStr">
        <is>
          <t>07/02/2026</t>
        </is>
      </c>
      <c r="B1563" s="303" t="inlineStr">
        <is>
          <t>Febrero</t>
        </is>
      </c>
      <c r="C1563" s="311" t="inlineStr">
        <is>
          <t>PANA GENESIO</t>
        </is>
      </c>
      <c r="D1563" s="225" t="n"/>
      <c r="E1563" s="225" t="n"/>
      <c r="F1563" s="225" t="n">
        <v>1</v>
      </c>
      <c r="G1563" s="225" t="n"/>
      <c r="H1563" s="225" t="n"/>
      <c r="I1563" s="223" t="n">
        <v>69000</v>
      </c>
      <c r="J1563" s="305" t="n">
        <v>0</v>
      </c>
      <c r="K1563" s="305" t="n">
        <v>69000</v>
      </c>
      <c r="L1563" s="224" t="n">
        <v>9000</v>
      </c>
    </row>
    <row r="1564" ht="15" customHeight="1" s="153">
      <c r="A1564" s="302" t="inlineStr">
        <is>
          <t>11/02/2026</t>
        </is>
      </c>
      <c r="B1564" s="303" t="inlineStr">
        <is>
          <t>Febrero</t>
        </is>
      </c>
      <c r="C1564" s="311" t="inlineStr">
        <is>
          <t>PANA GENESIO</t>
        </is>
      </c>
      <c r="D1564" s="225" t="n"/>
      <c r="E1564" s="225" t="n"/>
      <c r="F1564" s="225" t="n">
        <v>1</v>
      </c>
      <c r="G1564" s="225" t="n"/>
      <c r="H1564" s="225" t="n"/>
      <c r="I1564" s="223" t="n">
        <v>69000</v>
      </c>
      <c r="J1564" s="305" t="n">
        <v>0</v>
      </c>
      <c r="K1564" s="305" t="n">
        <v>69000</v>
      </c>
      <c r="L1564" s="224" t="n">
        <v>9000</v>
      </c>
    </row>
    <row r="1565" ht="15" customHeight="1" s="153">
      <c r="A1565" s="302" t="inlineStr">
        <is>
          <t>15/02/2026</t>
        </is>
      </c>
      <c r="B1565" s="303" t="inlineStr">
        <is>
          <t>Febrero</t>
        </is>
      </c>
      <c r="C1565" s="311" t="inlineStr">
        <is>
          <t>PANA GENESIO</t>
        </is>
      </c>
      <c r="D1565" s="225" t="n"/>
      <c r="E1565" s="225" t="n"/>
      <c r="F1565" s="225" t="n">
        <v>1</v>
      </c>
      <c r="G1565" s="225" t="n"/>
      <c r="H1565" s="225" t="n"/>
      <c r="I1565" s="223" t="n">
        <v>69000</v>
      </c>
      <c r="J1565" s="305" t="n">
        <v>40000</v>
      </c>
      <c r="K1565" s="305" t="n">
        <v>29000</v>
      </c>
      <c r="L1565" s="224" t="n">
        <v>9000</v>
      </c>
    </row>
    <row r="1566" ht="15" customHeight="1" s="153">
      <c r="A1566" s="302" t="inlineStr">
        <is>
          <t>15/02/2026</t>
        </is>
      </c>
      <c r="B1566" s="303" t="inlineStr">
        <is>
          <t>Febrero</t>
        </is>
      </c>
      <c r="C1566" s="311" t="inlineStr">
        <is>
          <t>PANA GENESIO</t>
        </is>
      </c>
      <c r="D1566" s="225" t="n">
        <v>1</v>
      </c>
      <c r="E1566" s="225" t="n"/>
      <c r="F1566" s="225" t="n"/>
      <c r="G1566" s="225" t="n"/>
      <c r="H1566" s="225" t="n"/>
      <c r="I1566" s="223" t="n">
        <v>19000</v>
      </c>
      <c r="J1566" s="305" t="n">
        <v>0</v>
      </c>
      <c r="K1566" s="305" t="n">
        <v>19000</v>
      </c>
      <c r="L1566" s="224" t="n">
        <v>4000</v>
      </c>
    </row>
    <row r="1567" ht="15" customHeight="1" s="153">
      <c r="A1567" s="302" t="inlineStr">
        <is>
          <t>24/02/2026</t>
        </is>
      </c>
      <c r="B1567" s="303" t="inlineStr">
        <is>
          <t>Febrero</t>
        </is>
      </c>
      <c r="C1567" s="311" t="inlineStr">
        <is>
          <t>PANA GENESIO</t>
        </is>
      </c>
      <c r="D1567" s="225" t="n"/>
      <c r="E1567" s="225" t="n"/>
      <c r="F1567" s="225" t="n">
        <v>1</v>
      </c>
      <c r="G1567" s="225" t="n"/>
      <c r="H1567" s="225" t="n"/>
      <c r="I1567" s="223" t="n">
        <v>69000</v>
      </c>
      <c r="J1567" s="305" t="n">
        <v>0</v>
      </c>
      <c r="K1567" s="305" t="n">
        <v>69000</v>
      </c>
      <c r="L1567" s="224" t="n">
        <v>9000</v>
      </c>
    </row>
    <row r="1568" ht="15" customHeight="1" s="153">
      <c r="A1568" s="302" t="inlineStr">
        <is>
          <t>27/02/2026</t>
        </is>
      </c>
      <c r="B1568" s="303" t="inlineStr">
        <is>
          <t>Febrero</t>
        </is>
      </c>
      <c r="C1568" s="311" t="inlineStr">
        <is>
          <t>PANA GENESIO</t>
        </is>
      </c>
      <c r="D1568" s="225" t="n"/>
      <c r="E1568" s="225" t="n"/>
      <c r="F1568" s="225" t="n">
        <v>1</v>
      </c>
      <c r="G1568" s="225" t="n"/>
      <c r="H1568" s="225" t="n"/>
      <c r="I1568" s="223" t="n">
        <v>69000</v>
      </c>
      <c r="J1568" s="305" t="n">
        <v>69000</v>
      </c>
      <c r="K1568" s="305" t="n">
        <v>0</v>
      </c>
      <c r="L1568" s="224" t="n">
        <v>9000</v>
      </c>
    </row>
    <row r="1569" ht="15" customHeight="1" s="153">
      <c r="A1569" s="302" t="inlineStr">
        <is>
          <t>03/03/2026</t>
        </is>
      </c>
      <c r="B1569" s="303" t="inlineStr">
        <is>
          <t>Marzo</t>
        </is>
      </c>
      <c r="C1569" s="311" t="inlineStr">
        <is>
          <t>PANA GENESIO</t>
        </is>
      </c>
      <c r="D1569" s="225" t="n"/>
      <c r="E1569" s="225" t="n"/>
      <c r="F1569" s="225" t="n">
        <v>1</v>
      </c>
      <c r="G1569" s="225" t="n"/>
      <c r="H1569" s="225" t="n"/>
      <c r="I1569" s="223" t="n">
        <v>69000</v>
      </c>
      <c r="J1569" s="305" t="n">
        <v>0</v>
      </c>
      <c r="K1569" s="305" t="n">
        <v>69000</v>
      </c>
      <c r="L1569" s="224" t="n">
        <v>9000</v>
      </c>
    </row>
    <row r="1570" ht="15" customHeight="1" s="153">
      <c r="A1570" s="302" t="inlineStr">
        <is>
          <t>04/03/2026</t>
        </is>
      </c>
      <c r="B1570" s="303" t="inlineStr">
        <is>
          <t>Marzo</t>
        </is>
      </c>
      <c r="C1570" s="311" t="inlineStr">
        <is>
          <t>PANA GENESIO</t>
        </is>
      </c>
      <c r="D1570" s="225" t="n">
        <v>1</v>
      </c>
      <c r="E1570" s="225" t="n"/>
      <c r="F1570" s="225" t="n"/>
      <c r="G1570" s="225" t="n"/>
      <c r="H1570" s="225" t="n"/>
      <c r="I1570" s="223" t="n">
        <v>19000</v>
      </c>
      <c r="J1570" s="305" t="n">
        <v>0</v>
      </c>
      <c r="K1570" s="305" t="n">
        <v>19000</v>
      </c>
      <c r="L1570" s="224" t="n">
        <v>4000</v>
      </c>
    </row>
    <row r="1571" ht="15" customHeight="1" s="153">
      <c r="A1571" s="302" t="inlineStr">
        <is>
          <t>06/03/2026</t>
        </is>
      </c>
      <c r="B1571" s="303" t="inlineStr">
        <is>
          <t>Marzo</t>
        </is>
      </c>
      <c r="C1571" s="311" t="inlineStr">
        <is>
          <t>PANA GENESIO</t>
        </is>
      </c>
      <c r="D1571" s="225" t="n"/>
      <c r="E1571" s="225" t="n"/>
      <c r="F1571" s="225" t="n">
        <v>1</v>
      </c>
      <c r="G1571" s="225" t="n"/>
      <c r="H1571" s="225" t="n"/>
      <c r="I1571" s="223" t="n">
        <v>69000</v>
      </c>
      <c r="J1571" s="305" t="n">
        <v>0</v>
      </c>
      <c r="K1571" s="305" t="n">
        <v>69000</v>
      </c>
      <c r="L1571" s="224" t="n">
        <v>9000</v>
      </c>
    </row>
    <row r="1572" ht="15" customHeight="1" s="153">
      <c r="A1572" s="302" t="inlineStr">
        <is>
          <t>09/03/2026</t>
        </is>
      </c>
      <c r="B1572" s="303" t="inlineStr">
        <is>
          <t>Marzo</t>
        </is>
      </c>
      <c r="C1572" s="311" t="inlineStr">
        <is>
          <t>PANA GENESIO</t>
        </is>
      </c>
      <c r="D1572" s="225" t="n">
        <v>1</v>
      </c>
      <c r="E1572" s="225" t="n"/>
      <c r="F1572" s="225" t="n"/>
      <c r="G1572" s="225" t="n"/>
      <c r="H1572" s="225" t="n"/>
      <c r="I1572" s="223" t="n">
        <v>19000</v>
      </c>
      <c r="J1572" s="305" t="n">
        <v>0</v>
      </c>
      <c r="K1572" s="305" t="n">
        <v>19000</v>
      </c>
      <c r="L1572" s="224" t="n">
        <v>4000</v>
      </c>
    </row>
    <row r="1573" ht="15" customHeight="1" s="153">
      <c r="A1573" s="306" t="inlineStr">
        <is>
          <t>24/02/2026</t>
        </is>
      </c>
      <c r="B1573" s="307" t="inlineStr">
        <is>
          <t>Febrero</t>
        </is>
      </c>
      <c r="C1573" s="310" t="inlineStr">
        <is>
          <t>PANA GISE</t>
        </is>
      </c>
      <c r="D1573" s="218" t="n"/>
      <c r="E1573" s="218" t="n"/>
      <c r="F1573" s="218" t="n"/>
      <c r="G1573" s="218" t="n">
        <v>2</v>
      </c>
      <c r="H1573" s="218" t="n"/>
      <c r="I1573" s="216" t="n">
        <v>6800</v>
      </c>
      <c r="J1573" s="309" t="n">
        <v>0</v>
      </c>
      <c r="K1573" s="309" t="n">
        <v>6800</v>
      </c>
      <c r="L1573" s="236" t="n">
        <v>2200</v>
      </c>
    </row>
    <row r="1574" ht="15" customHeight="1" s="153">
      <c r="A1574" s="302" t="inlineStr">
        <is>
          <t>11/04/2026</t>
        </is>
      </c>
      <c r="B1574" s="303" t="inlineStr">
        <is>
          <t>Abril</t>
        </is>
      </c>
      <c r="C1574" s="311" t="inlineStr">
        <is>
          <t>PANA GISELA</t>
        </is>
      </c>
      <c r="D1574" s="225" t="n"/>
      <c r="E1574" s="225" t="n"/>
      <c r="F1574" s="225" t="n"/>
      <c r="G1574" s="225" t="n">
        <v>2</v>
      </c>
      <c r="H1574" s="225" t="n"/>
      <c r="I1574" s="223" t="n">
        <v>7200</v>
      </c>
      <c r="J1574" s="305" t="n">
        <v>0</v>
      </c>
      <c r="K1574" s="305" t="n">
        <v>7200</v>
      </c>
      <c r="L1574" s="224" t="n">
        <v>2600</v>
      </c>
    </row>
    <row r="1575" ht="15" customHeight="1" s="153">
      <c r="A1575" s="306" t="inlineStr">
        <is>
          <t>10/01/2026</t>
        </is>
      </c>
      <c r="B1575" s="307" t="inlineStr">
        <is>
          <t>Enero</t>
        </is>
      </c>
      <c r="C1575" s="310" t="inlineStr">
        <is>
          <t>PANA GORRITI</t>
        </is>
      </c>
      <c r="D1575" s="218" t="n"/>
      <c r="E1575" s="218" t="n"/>
      <c r="F1575" s="218" t="n">
        <v>1</v>
      </c>
      <c r="G1575" s="218" t="n"/>
      <c r="H1575" s="218" t="n"/>
      <c r="I1575" s="216" t="n">
        <v>72000</v>
      </c>
      <c r="J1575" s="309" t="n">
        <v>72000</v>
      </c>
      <c r="K1575" s="309" t="n">
        <v>0</v>
      </c>
      <c r="L1575" s="236" t="n">
        <v>12000</v>
      </c>
    </row>
    <row r="1576" ht="15" customHeight="1" s="153">
      <c r="A1576" s="306" t="inlineStr">
        <is>
          <t>12/01/2026</t>
        </is>
      </c>
      <c r="B1576" s="307" t="inlineStr">
        <is>
          <t>Enero</t>
        </is>
      </c>
      <c r="C1576" s="310" t="inlineStr">
        <is>
          <t>PANA GORRITI</t>
        </is>
      </c>
      <c r="D1576" s="218" t="n"/>
      <c r="E1576" s="218" t="n"/>
      <c r="F1576" s="218" t="n">
        <v>1</v>
      </c>
      <c r="G1576" s="218" t="n"/>
      <c r="H1576" s="218" t="n"/>
      <c r="I1576" s="216" t="n">
        <v>72000</v>
      </c>
      <c r="J1576" s="309" t="n">
        <v>72000</v>
      </c>
      <c r="K1576" s="309" t="n">
        <v>0</v>
      </c>
      <c r="L1576" s="236" t="n">
        <v>12000</v>
      </c>
    </row>
    <row r="1577" ht="15" customHeight="1" s="153">
      <c r="A1577" s="302" t="inlineStr">
        <is>
          <t>21/01/2026</t>
        </is>
      </c>
      <c r="B1577" s="303" t="inlineStr">
        <is>
          <t>Enero</t>
        </is>
      </c>
      <c r="C1577" s="311" t="inlineStr">
        <is>
          <t>PANA GORRITI 4600</t>
        </is>
      </c>
      <c r="D1577" s="225" t="n"/>
      <c r="E1577" s="225" t="n"/>
      <c r="F1577" s="225" t="n">
        <v>1</v>
      </c>
      <c r="G1577" s="225" t="n"/>
      <c r="H1577" s="225" t="n"/>
      <c r="I1577" s="223" t="n">
        <v>72000</v>
      </c>
      <c r="J1577" s="305" t="n">
        <v>72000</v>
      </c>
      <c r="K1577" s="305" t="n">
        <v>0</v>
      </c>
      <c r="L1577" s="224" t="n">
        <v>12000</v>
      </c>
    </row>
    <row r="1578" ht="15" customHeight="1" s="153">
      <c r="A1578" s="302" t="inlineStr">
        <is>
          <t>10/02/2026</t>
        </is>
      </c>
      <c r="B1578" s="303" t="inlineStr">
        <is>
          <t>Febrero</t>
        </is>
      </c>
      <c r="C1578" s="311" t="inlineStr">
        <is>
          <t>PANA GORRITI 4600</t>
        </is>
      </c>
      <c r="D1578" s="225" t="n"/>
      <c r="E1578" s="225" t="n"/>
      <c r="F1578" s="225" t="n">
        <v>1</v>
      </c>
      <c r="G1578" s="225" t="n"/>
      <c r="H1578" s="225" t="n"/>
      <c r="I1578" s="223" t="n">
        <v>74000</v>
      </c>
      <c r="J1578" s="305" t="n">
        <v>74000</v>
      </c>
      <c r="K1578" s="305" t="n">
        <v>0</v>
      </c>
      <c r="L1578" s="224" t="n">
        <v>14000</v>
      </c>
    </row>
    <row r="1579" ht="15" customHeight="1" s="153">
      <c r="A1579" s="302" t="inlineStr">
        <is>
          <t>11/02/2026</t>
        </is>
      </c>
      <c r="B1579" s="303" t="inlineStr">
        <is>
          <t>Febrero</t>
        </is>
      </c>
      <c r="C1579" s="311" t="inlineStr">
        <is>
          <t>PANA GORRITI 4600</t>
        </is>
      </c>
      <c r="D1579" s="225" t="n"/>
      <c r="E1579" s="225" t="n"/>
      <c r="F1579" s="225" t="n">
        <v>1</v>
      </c>
      <c r="G1579" s="225" t="n"/>
      <c r="H1579" s="225" t="n"/>
      <c r="I1579" s="223" t="n">
        <v>74000</v>
      </c>
      <c r="J1579" s="305" t="n">
        <v>74000</v>
      </c>
      <c r="K1579" s="305" t="n">
        <v>0</v>
      </c>
      <c r="L1579" s="224" t="n">
        <v>14000</v>
      </c>
    </row>
    <row r="1580" ht="15" customHeight="1" s="153">
      <c r="A1580" s="302" t="inlineStr">
        <is>
          <t>04/03/2026</t>
        </is>
      </c>
      <c r="B1580" s="303" t="inlineStr">
        <is>
          <t>Marzo</t>
        </is>
      </c>
      <c r="C1580" s="311" t="inlineStr">
        <is>
          <t>PANA GORRITI 4600</t>
        </is>
      </c>
      <c r="D1580" s="225" t="n"/>
      <c r="E1580" s="225" t="n"/>
      <c r="F1580" s="225" t="n">
        <v>1</v>
      </c>
      <c r="G1580" s="225" t="n"/>
      <c r="H1580" s="225" t="n"/>
      <c r="I1580" s="223" t="n">
        <v>74000</v>
      </c>
      <c r="J1580" s="305" t="n">
        <v>74000</v>
      </c>
      <c r="K1580" s="305" t="n">
        <v>0</v>
      </c>
      <c r="L1580" s="224" t="n">
        <v>14000</v>
      </c>
    </row>
    <row r="1581" ht="15" customHeight="1" s="153">
      <c r="A1581" s="302" t="inlineStr">
        <is>
          <t>18/03/2026</t>
        </is>
      </c>
      <c r="B1581" s="303" t="inlineStr">
        <is>
          <t>Marzo</t>
        </is>
      </c>
      <c r="C1581" s="311" t="inlineStr">
        <is>
          <t>PANA GORRITI 4600</t>
        </is>
      </c>
      <c r="D1581" s="225" t="n"/>
      <c r="E1581" s="225" t="n"/>
      <c r="F1581" s="225" t="n">
        <v>1</v>
      </c>
      <c r="G1581" s="225" t="n"/>
      <c r="H1581" s="225" t="n"/>
      <c r="I1581" s="223" t="n">
        <v>79000</v>
      </c>
      <c r="J1581" s="305" t="n">
        <v>0</v>
      </c>
      <c r="K1581" s="305" t="n">
        <v>79000</v>
      </c>
      <c r="L1581" s="224" t="n">
        <v>19000</v>
      </c>
    </row>
    <row r="1582" ht="15" customHeight="1" s="153">
      <c r="A1582" s="302" t="inlineStr">
        <is>
          <t>08/04/2026</t>
        </is>
      </c>
      <c r="B1582" s="303" t="inlineStr">
        <is>
          <t>Abril</t>
        </is>
      </c>
      <c r="C1582" s="311" t="inlineStr">
        <is>
          <t>PANA GORRITI 4600</t>
        </is>
      </c>
      <c r="D1582" s="225" t="n"/>
      <c r="E1582" s="225" t="n"/>
      <c r="F1582" s="225" t="n">
        <v>1</v>
      </c>
      <c r="G1582" s="225" t="n"/>
      <c r="H1582" s="225" t="n"/>
      <c r="I1582" s="223" t="n">
        <v>82000</v>
      </c>
      <c r="J1582" s="305" t="n">
        <v>82000</v>
      </c>
      <c r="K1582" s="305" t="n">
        <v>0</v>
      </c>
      <c r="L1582" s="224" t="n">
        <v>22000</v>
      </c>
    </row>
    <row r="1583" ht="15" customHeight="1" s="153">
      <c r="A1583" s="306" t="inlineStr">
        <is>
          <t>07/01/2026</t>
        </is>
      </c>
      <c r="B1583" s="307" t="inlineStr">
        <is>
          <t>Enero</t>
        </is>
      </c>
      <c r="C1583" s="310" t="inlineStr">
        <is>
          <t>PANA HNO FIGUERIOA</t>
        </is>
      </c>
      <c r="D1583" s="218" t="n"/>
      <c r="E1583" s="218" t="n"/>
      <c r="F1583" s="218" t="n">
        <v>1</v>
      </c>
      <c r="G1583" s="218" t="n"/>
      <c r="H1583" s="218" t="n"/>
      <c r="I1583" s="216" t="n">
        <v>65000</v>
      </c>
      <c r="J1583" s="309" t="n">
        <v>0</v>
      </c>
      <c r="K1583" s="309" t="n">
        <v>65000</v>
      </c>
      <c r="L1583" s="236" t="n">
        <v>5000</v>
      </c>
    </row>
    <row r="1584" ht="15" customHeight="1" s="153">
      <c r="A1584" s="302" t="inlineStr">
        <is>
          <t>13/03/2026</t>
        </is>
      </c>
      <c r="B1584" s="303" t="inlineStr">
        <is>
          <t>Marzo</t>
        </is>
      </c>
      <c r="C1584" s="311" t="inlineStr">
        <is>
          <t>PANA HNO FIGUEROA</t>
        </is>
      </c>
      <c r="D1584" s="225" t="n"/>
      <c r="E1584" s="225" t="n"/>
      <c r="F1584" s="225" t="n">
        <v>1</v>
      </c>
      <c r="G1584" s="225" t="n"/>
      <c r="H1584" s="225" t="n"/>
      <c r="I1584" s="223" t="n">
        <v>70000</v>
      </c>
      <c r="J1584" s="305" t="n">
        <v>70000</v>
      </c>
      <c r="K1584" s="305" t="n">
        <v>0</v>
      </c>
      <c r="L1584" s="224" t="n">
        <v>10000</v>
      </c>
    </row>
    <row r="1585" ht="15" customHeight="1" s="153">
      <c r="A1585" s="306" t="inlineStr">
        <is>
          <t>05/03/2026</t>
        </is>
      </c>
      <c r="B1585" s="307" t="inlineStr">
        <is>
          <t>Marzo</t>
        </is>
      </c>
      <c r="C1585" s="310" t="inlineStr">
        <is>
          <t>PANA VIEYTE 3800</t>
        </is>
      </c>
      <c r="D1585" s="218" t="n"/>
      <c r="E1585" s="218" t="n"/>
      <c r="F1585" s="218" t="n">
        <v>2</v>
      </c>
      <c r="G1585" s="218" t="n"/>
      <c r="H1585" s="218" t="n"/>
      <c r="I1585" s="216" t="n">
        <v>148000</v>
      </c>
      <c r="J1585" s="309" t="n">
        <v>0</v>
      </c>
      <c r="K1585" s="309" t="n">
        <v>148000</v>
      </c>
      <c r="L1585" s="236" t="n">
        <v>28000</v>
      </c>
    </row>
    <row r="1586" ht="15" customHeight="1" s="153">
      <c r="A1586" s="302" t="inlineStr">
        <is>
          <t>02/01/2026</t>
        </is>
      </c>
      <c r="B1586" s="303" t="inlineStr">
        <is>
          <t>Enero</t>
        </is>
      </c>
      <c r="C1586" s="311" t="inlineStr">
        <is>
          <t>PANA VIEYTES</t>
        </is>
      </c>
      <c r="D1586" s="225" t="n"/>
      <c r="E1586" s="225" t="n"/>
      <c r="F1586" s="225" t="n">
        <v>1</v>
      </c>
      <c r="G1586" s="225" t="n"/>
      <c r="H1586" s="225" t="n"/>
      <c r="I1586" s="223" t="n">
        <v>65000</v>
      </c>
      <c r="J1586" s="305" t="n">
        <v>65000</v>
      </c>
      <c r="K1586" s="305" t="n">
        <v>0</v>
      </c>
      <c r="L1586" s="224" t="n">
        <v>5000</v>
      </c>
    </row>
    <row r="1587" ht="15" customHeight="1" s="153">
      <c r="A1587" s="302" t="inlineStr">
        <is>
          <t>05/01/2026</t>
        </is>
      </c>
      <c r="B1587" s="303" t="inlineStr">
        <is>
          <t>Enero</t>
        </is>
      </c>
      <c r="C1587" s="311" t="inlineStr">
        <is>
          <t>PANA VIEYTES</t>
        </is>
      </c>
      <c r="D1587" s="225" t="n">
        <v>1</v>
      </c>
      <c r="E1587" s="225" t="n"/>
      <c r="F1587" s="225" t="n"/>
      <c r="G1587" s="225" t="n"/>
      <c r="H1587" s="225" t="n"/>
      <c r="I1587" s="223" t="n">
        <v>16000</v>
      </c>
      <c r="J1587" s="305" t="n">
        <v>0</v>
      </c>
      <c r="K1587" s="305" t="n">
        <v>16000</v>
      </c>
      <c r="L1587" s="224" t="n">
        <v>1000</v>
      </c>
    </row>
    <row r="1588" ht="15" customHeight="1" s="153">
      <c r="A1588" s="302" t="inlineStr">
        <is>
          <t>09/01/2026</t>
        </is>
      </c>
      <c r="B1588" s="303" t="inlineStr">
        <is>
          <t>Enero</t>
        </is>
      </c>
      <c r="C1588" s="311" t="inlineStr">
        <is>
          <t>PANA VIEYTES</t>
        </is>
      </c>
      <c r="D1588" s="225" t="n">
        <v>1</v>
      </c>
      <c r="E1588" s="225" t="n"/>
      <c r="F1588" s="225" t="n"/>
      <c r="G1588" s="225" t="n">
        <v>1</v>
      </c>
      <c r="H1588" s="225" t="n"/>
      <c r="I1588" s="223" t="n">
        <v>19700</v>
      </c>
      <c r="J1588" s="305" t="n">
        <v>0</v>
      </c>
      <c r="K1588" s="305" t="n">
        <v>19700</v>
      </c>
      <c r="L1588" s="224" t="n">
        <v>2400</v>
      </c>
    </row>
    <row r="1589" ht="15" customHeight="1" s="153">
      <c r="A1589" s="302" t="inlineStr">
        <is>
          <t>13/01/2026</t>
        </is>
      </c>
      <c r="B1589" s="303" t="inlineStr">
        <is>
          <t>Enero</t>
        </is>
      </c>
      <c r="C1589" s="311" t="inlineStr">
        <is>
          <t>PANA VIEYTES</t>
        </is>
      </c>
      <c r="D1589" s="225" t="n">
        <v>1</v>
      </c>
      <c r="E1589" s="225" t="n"/>
      <c r="F1589" s="225" t="n"/>
      <c r="G1589" s="225" t="n"/>
      <c r="H1589" s="225" t="n"/>
      <c r="I1589" s="223" t="n">
        <v>17500</v>
      </c>
      <c r="J1589" s="305" t="n">
        <v>0</v>
      </c>
      <c r="K1589" s="305" t="n">
        <v>17500</v>
      </c>
      <c r="L1589" s="224" t="n">
        <v>2500</v>
      </c>
    </row>
    <row r="1590" ht="15" customHeight="1" s="153">
      <c r="A1590" s="302" t="inlineStr">
        <is>
          <t>16/01/2026</t>
        </is>
      </c>
      <c r="B1590" s="303" t="inlineStr">
        <is>
          <t>Enero</t>
        </is>
      </c>
      <c r="C1590" s="311" t="inlineStr">
        <is>
          <t>PANA VIEYTES</t>
        </is>
      </c>
      <c r="D1590" s="225" t="n">
        <v>1</v>
      </c>
      <c r="E1590" s="225" t="n"/>
      <c r="F1590" s="225" t="n"/>
      <c r="G1590" s="225" t="n"/>
      <c r="H1590" s="225" t="n"/>
      <c r="I1590" s="223" t="n">
        <v>17500</v>
      </c>
      <c r="J1590" s="305" t="n">
        <v>0</v>
      </c>
      <c r="K1590" s="305" t="n">
        <v>17500</v>
      </c>
      <c r="L1590" s="224" t="n">
        <v>2500</v>
      </c>
    </row>
    <row r="1591" ht="15" customHeight="1" s="153">
      <c r="A1591" s="306" t="inlineStr">
        <is>
          <t>08/01/2026</t>
        </is>
      </c>
      <c r="B1591" s="307" t="inlineStr">
        <is>
          <t>Enero</t>
        </is>
      </c>
      <c r="C1591" s="310" t="inlineStr">
        <is>
          <t>PANA VIEYTES 3800</t>
        </is>
      </c>
      <c r="D1591" s="218" t="n"/>
      <c r="E1591" s="218" t="n"/>
      <c r="F1591" s="218" t="n">
        <v>1</v>
      </c>
      <c r="G1591" s="218" t="n"/>
      <c r="H1591" s="218" t="n"/>
      <c r="I1591" s="216" t="n">
        <v>69000</v>
      </c>
      <c r="J1591" s="309" t="n">
        <v>69000</v>
      </c>
      <c r="K1591" s="309" t="n">
        <v>0</v>
      </c>
      <c r="L1591" s="236" t="n">
        <v>9000</v>
      </c>
    </row>
    <row r="1592" ht="15" customHeight="1" s="153">
      <c r="A1592" s="306" t="inlineStr">
        <is>
          <t>03/02/2026</t>
        </is>
      </c>
      <c r="B1592" s="307" t="inlineStr">
        <is>
          <t>Febrero</t>
        </is>
      </c>
      <c r="C1592" s="310" t="inlineStr">
        <is>
          <t>PANA VIEYTES 3800</t>
        </is>
      </c>
      <c r="D1592" s="218" t="n"/>
      <c r="E1592" s="218" t="n"/>
      <c r="F1592" s="218" t="n">
        <v>1</v>
      </c>
      <c r="G1592" s="218" t="n"/>
      <c r="H1592" s="218" t="n"/>
      <c r="I1592" s="216" t="n">
        <v>71000</v>
      </c>
      <c r="J1592" s="309" t="n">
        <v>0</v>
      </c>
      <c r="K1592" s="309" t="n">
        <v>71000</v>
      </c>
      <c r="L1592" s="236" t="n">
        <v>11000</v>
      </c>
    </row>
    <row r="1593" ht="15" customHeight="1" s="153">
      <c r="A1593" s="306" t="inlineStr">
        <is>
          <t>11/02/2026</t>
        </is>
      </c>
      <c r="B1593" s="307" t="inlineStr">
        <is>
          <t>Febrero</t>
        </is>
      </c>
      <c r="C1593" s="310" t="inlineStr">
        <is>
          <t>PANA VIEYTES 3800</t>
        </is>
      </c>
      <c r="D1593" s="218" t="n"/>
      <c r="E1593" s="218" t="n"/>
      <c r="F1593" s="218" t="n">
        <v>1</v>
      </c>
      <c r="G1593" s="218" t="n"/>
      <c r="H1593" s="218" t="n"/>
      <c r="I1593" s="216" t="n">
        <v>72000</v>
      </c>
      <c r="J1593" s="309" t="n">
        <v>0</v>
      </c>
      <c r="K1593" s="309" t="n">
        <v>72000</v>
      </c>
      <c r="L1593" s="236" t="n">
        <v>12000</v>
      </c>
    </row>
    <row r="1594" ht="15" customHeight="1" s="153">
      <c r="A1594" s="306" t="inlineStr">
        <is>
          <t>08/04/2026</t>
        </is>
      </c>
      <c r="B1594" s="307" t="inlineStr">
        <is>
          <t>Abril</t>
        </is>
      </c>
      <c r="C1594" s="310" t="inlineStr">
        <is>
          <t>PANA VIEYTES 3800</t>
        </is>
      </c>
      <c r="D1594" s="218" t="n"/>
      <c r="E1594" s="218" t="n"/>
      <c r="F1594" s="218" t="n">
        <v>1</v>
      </c>
      <c r="G1594" s="218" t="n"/>
      <c r="H1594" s="218" t="n"/>
      <c r="I1594" s="216" t="n">
        <v>82000</v>
      </c>
      <c r="J1594" s="309" t="n">
        <v>0</v>
      </c>
      <c r="K1594" s="309" t="n">
        <v>82000</v>
      </c>
      <c r="L1594" s="236" t="n">
        <v>22000</v>
      </c>
    </row>
    <row r="1595" ht="15" customHeight="1" s="153">
      <c r="A1595" s="302" t="inlineStr">
        <is>
          <t>08/01/2026</t>
        </is>
      </c>
      <c r="B1595" s="303" t="inlineStr">
        <is>
          <t>Enero</t>
        </is>
      </c>
      <c r="C1595" s="311" t="inlineStr">
        <is>
          <t>PANA VIEYTES 4500</t>
        </is>
      </c>
      <c r="D1595" s="225" t="n"/>
      <c r="E1595" s="225" t="n"/>
      <c r="F1595" s="225" t="n">
        <v>1</v>
      </c>
      <c r="G1595" s="225" t="n"/>
      <c r="H1595" s="225" t="n"/>
      <c r="I1595" s="223" t="n">
        <v>65000</v>
      </c>
      <c r="J1595" s="305" t="n">
        <v>65000</v>
      </c>
      <c r="K1595" s="305" t="n">
        <v>0</v>
      </c>
      <c r="L1595" s="224" t="n">
        <v>5000</v>
      </c>
    </row>
    <row r="1596" ht="15" customHeight="1" s="153">
      <c r="A1596" s="302" t="inlineStr">
        <is>
          <t>19/01/2026</t>
        </is>
      </c>
      <c r="B1596" s="303" t="inlineStr">
        <is>
          <t>Enero</t>
        </is>
      </c>
      <c r="C1596" s="311" t="inlineStr">
        <is>
          <t>PANA VIEYTES 4500</t>
        </is>
      </c>
      <c r="D1596" s="225" t="n"/>
      <c r="E1596" s="225" t="n"/>
      <c r="F1596" s="225" t="n">
        <v>1</v>
      </c>
      <c r="G1596" s="225" t="n"/>
      <c r="H1596" s="225" t="n"/>
      <c r="I1596" s="223" t="n">
        <v>66000</v>
      </c>
      <c r="J1596" s="305" t="n">
        <v>66000</v>
      </c>
      <c r="K1596" s="305" t="n">
        <v>0</v>
      </c>
      <c r="L1596" s="224" t="n">
        <v>6000</v>
      </c>
    </row>
    <row r="1597" ht="15" customHeight="1" s="153">
      <c r="A1597" s="302" t="inlineStr">
        <is>
          <t>26/01/2026</t>
        </is>
      </c>
      <c r="B1597" s="303" t="inlineStr">
        <is>
          <t>Enero</t>
        </is>
      </c>
      <c r="C1597" s="311" t="inlineStr">
        <is>
          <t>PANA VIEYTES 4500</t>
        </is>
      </c>
      <c r="D1597" s="225" t="n">
        <v>1</v>
      </c>
      <c r="E1597" s="225" t="n"/>
      <c r="F1597" s="225" t="n">
        <v>1</v>
      </c>
      <c r="G1597" s="225" t="n"/>
      <c r="H1597" s="225" t="n"/>
      <c r="I1597" s="223" t="n">
        <v>83000</v>
      </c>
      <c r="J1597" s="305" t="n">
        <v>83000</v>
      </c>
      <c r="K1597" s="305" t="n">
        <v>0</v>
      </c>
      <c r="L1597" s="224" t="n">
        <v>8000</v>
      </c>
    </row>
    <row r="1598" ht="15" customHeight="1" s="153">
      <c r="A1598" s="302" t="inlineStr">
        <is>
          <t>03/02/2026</t>
        </is>
      </c>
      <c r="B1598" s="303" t="inlineStr">
        <is>
          <t>Febrero</t>
        </is>
      </c>
      <c r="C1598" s="311" t="inlineStr">
        <is>
          <t>PANA VIEYTES 4500</t>
        </is>
      </c>
      <c r="D1598" s="225" t="n"/>
      <c r="E1598" s="225" t="n"/>
      <c r="F1598" s="225" t="n">
        <v>1</v>
      </c>
      <c r="G1598" s="225" t="n"/>
      <c r="H1598" s="225" t="n"/>
      <c r="I1598" s="223" t="n">
        <v>66000</v>
      </c>
      <c r="J1598" s="305" t="n">
        <v>66000</v>
      </c>
      <c r="K1598" s="305" t="n">
        <v>0</v>
      </c>
      <c r="L1598" s="224" t="n">
        <v>6000</v>
      </c>
    </row>
    <row r="1599" ht="15" customHeight="1" s="153">
      <c r="A1599" s="302" t="inlineStr">
        <is>
          <t>11/02/2026</t>
        </is>
      </c>
      <c r="B1599" s="303" t="inlineStr">
        <is>
          <t>Febrero</t>
        </is>
      </c>
      <c r="C1599" s="311" t="inlineStr">
        <is>
          <t>PANA VIEYTES 4500</t>
        </is>
      </c>
      <c r="D1599" s="225" t="n"/>
      <c r="E1599" s="225" t="n"/>
      <c r="F1599" s="225" t="n">
        <v>1</v>
      </c>
      <c r="G1599" s="225" t="n"/>
      <c r="H1599" s="225" t="n"/>
      <c r="I1599" s="223" t="n">
        <v>66000</v>
      </c>
      <c r="J1599" s="305" t="n">
        <v>0</v>
      </c>
      <c r="K1599" s="305" t="n">
        <v>66000</v>
      </c>
      <c r="L1599" s="224" t="n">
        <v>6000</v>
      </c>
    </row>
    <row r="1600" ht="15" customHeight="1" s="153">
      <c r="A1600" s="302" t="inlineStr">
        <is>
          <t>26/02/2026</t>
        </is>
      </c>
      <c r="B1600" s="303" t="inlineStr">
        <is>
          <t>Febrero</t>
        </is>
      </c>
      <c r="C1600" s="311" t="inlineStr">
        <is>
          <t>PANA VIEYTES 4500</t>
        </is>
      </c>
      <c r="D1600" s="225" t="n"/>
      <c r="E1600" s="225" t="n"/>
      <c r="F1600" s="225" t="n">
        <v>1</v>
      </c>
      <c r="G1600" s="225" t="n"/>
      <c r="H1600" s="225" t="n"/>
      <c r="I1600" s="223" t="n">
        <v>68000</v>
      </c>
      <c r="J1600" s="305" t="n">
        <v>68000</v>
      </c>
      <c r="K1600" s="305" t="n">
        <v>0</v>
      </c>
      <c r="L1600" s="224" t="n">
        <v>8000</v>
      </c>
    </row>
    <row r="1601" ht="15" customHeight="1" s="153">
      <c r="A1601" s="302" t="inlineStr">
        <is>
          <t>07/03/2026</t>
        </is>
      </c>
      <c r="B1601" s="303" t="inlineStr">
        <is>
          <t>Marzo</t>
        </is>
      </c>
      <c r="C1601" s="311" t="inlineStr">
        <is>
          <t>PANA VIEYTES 4500</t>
        </is>
      </c>
      <c r="D1601" s="225" t="n"/>
      <c r="E1601" s="225" t="n"/>
      <c r="F1601" s="225" t="n">
        <v>1</v>
      </c>
      <c r="G1601" s="225" t="n"/>
      <c r="H1601" s="225" t="n"/>
      <c r="I1601" s="223" t="n">
        <v>68000</v>
      </c>
      <c r="J1601" s="305" t="n">
        <v>0</v>
      </c>
      <c r="K1601" s="305" t="n">
        <v>68000</v>
      </c>
      <c r="L1601" s="224" t="n">
        <v>8000</v>
      </c>
    </row>
    <row r="1602" ht="15" customHeight="1" s="153">
      <c r="A1602" s="302" t="inlineStr">
        <is>
          <t>18/03/2026</t>
        </is>
      </c>
      <c r="B1602" s="303" t="inlineStr">
        <is>
          <t>Marzo</t>
        </is>
      </c>
      <c r="C1602" s="311" t="inlineStr">
        <is>
          <t>PANA VIEYTES 4500</t>
        </is>
      </c>
      <c r="D1602" s="225" t="n"/>
      <c r="E1602" s="225" t="n"/>
      <c r="F1602" s="225" t="n">
        <v>1</v>
      </c>
      <c r="G1602" s="225" t="n"/>
      <c r="H1602" s="225" t="n"/>
      <c r="I1602" s="223" t="n">
        <v>73000</v>
      </c>
      <c r="J1602" s="305" t="n">
        <v>73000</v>
      </c>
      <c r="K1602" s="305" t="n">
        <v>0</v>
      </c>
      <c r="L1602" s="224" t="n">
        <v>13000</v>
      </c>
    </row>
    <row r="1603" ht="15" customHeight="1" s="153">
      <c r="A1603" s="302" t="inlineStr">
        <is>
          <t>24/03/2026</t>
        </is>
      </c>
      <c r="B1603" s="303" t="inlineStr">
        <is>
          <t>Marzo</t>
        </is>
      </c>
      <c r="C1603" s="311" t="inlineStr">
        <is>
          <t>PANA VIEYTES 4500</t>
        </is>
      </c>
      <c r="D1603" s="225" t="n"/>
      <c r="E1603" s="225" t="n"/>
      <c r="F1603" s="225" t="n">
        <v>1</v>
      </c>
      <c r="G1603" s="225" t="n"/>
      <c r="H1603" s="225" t="n"/>
      <c r="I1603" s="223" t="n">
        <v>73000</v>
      </c>
      <c r="J1603" s="305" t="n">
        <v>73000</v>
      </c>
      <c r="K1603" s="305" t="n">
        <v>0</v>
      </c>
      <c r="L1603" s="224" t="n">
        <v>13000</v>
      </c>
    </row>
    <row r="1604" ht="15" customHeight="1" s="153">
      <c r="A1604" s="302" t="inlineStr">
        <is>
          <t>01/04/2026</t>
        </is>
      </c>
      <c r="B1604" s="303" t="inlineStr">
        <is>
          <t>Abril</t>
        </is>
      </c>
      <c r="C1604" s="311" t="inlineStr">
        <is>
          <t>PANA VIEYTES 4500</t>
        </is>
      </c>
      <c r="D1604" s="225" t="n"/>
      <c r="E1604" s="225" t="n"/>
      <c r="F1604" s="225" t="n">
        <v>1</v>
      </c>
      <c r="G1604" s="225" t="n"/>
      <c r="H1604" s="225" t="n"/>
      <c r="I1604" s="223" t="n">
        <v>78000</v>
      </c>
      <c r="J1604" s="305" t="n">
        <v>0</v>
      </c>
      <c r="K1604" s="305" t="n">
        <v>78000</v>
      </c>
      <c r="L1604" s="224" t="n">
        <v>18000</v>
      </c>
    </row>
    <row r="1605" ht="15" customHeight="1" s="153">
      <c r="A1605" s="302" t="inlineStr">
        <is>
          <t>11/04/2026</t>
        </is>
      </c>
      <c r="B1605" s="303" t="inlineStr">
        <is>
          <t>Abril</t>
        </is>
      </c>
      <c r="C1605" s="311" t="inlineStr">
        <is>
          <t>PANA VIEYTES 4500</t>
        </is>
      </c>
      <c r="D1605" s="225" t="n"/>
      <c r="E1605" s="225" t="n"/>
      <c r="F1605" s="225" t="n">
        <v>1</v>
      </c>
      <c r="G1605" s="225" t="n"/>
      <c r="H1605" s="225" t="n"/>
      <c r="I1605" s="223" t="n">
        <v>78000</v>
      </c>
      <c r="J1605" s="305" t="n">
        <v>0</v>
      </c>
      <c r="K1605" s="305" t="n">
        <v>78000</v>
      </c>
      <c r="L1605" s="224" t="n">
        <v>18000</v>
      </c>
    </row>
    <row r="1606" ht="15" customHeight="1" s="153">
      <c r="A1606" s="302" t="inlineStr">
        <is>
          <t>16/04/2026</t>
        </is>
      </c>
      <c r="B1606" s="303" t="inlineStr">
        <is>
          <t>Abril</t>
        </is>
      </c>
      <c r="C1606" s="311" t="inlineStr">
        <is>
          <t>PANA VIEYTES 4500</t>
        </is>
      </c>
      <c r="D1606" s="225" t="n"/>
      <c r="E1606" s="225" t="n"/>
      <c r="F1606" s="225" t="n">
        <v>1</v>
      </c>
      <c r="G1606" s="225" t="n"/>
      <c r="H1606" s="225" t="n"/>
      <c r="I1606" s="223" t="n">
        <v>78000</v>
      </c>
      <c r="J1606" s="305" t="n">
        <v>0</v>
      </c>
      <c r="K1606" s="305" t="n">
        <v>78000</v>
      </c>
      <c r="L1606" s="224" t="n">
        <v>18000</v>
      </c>
    </row>
    <row r="1607" ht="15" customHeight="1" s="153">
      <c r="A1607" s="306" t="inlineStr">
        <is>
          <t>13/02/2026</t>
        </is>
      </c>
      <c r="B1607" s="307" t="inlineStr">
        <is>
          <t>Febrero</t>
        </is>
      </c>
      <c r="C1607" s="310" t="inlineStr">
        <is>
          <t>PANA VIEYTES GISE</t>
        </is>
      </c>
      <c r="D1607" s="218" t="n">
        <v>1</v>
      </c>
      <c r="E1607" s="218" t="n"/>
      <c r="F1607" s="218" t="n"/>
      <c r="G1607" s="218" t="n"/>
      <c r="H1607" s="218" t="n"/>
      <c r="I1607" s="216" t="n">
        <v>17500</v>
      </c>
      <c r="J1607" s="309" t="n">
        <v>0</v>
      </c>
      <c r="K1607" s="309" t="n">
        <v>17500</v>
      </c>
      <c r="L1607" s="236" t="n">
        <v>2500</v>
      </c>
    </row>
    <row r="1608" ht="15" customHeight="1" s="153">
      <c r="A1608" s="302" t="inlineStr">
        <is>
          <t>20/01/2026</t>
        </is>
      </c>
      <c r="B1608" s="303" t="inlineStr">
        <is>
          <t>Enero</t>
        </is>
      </c>
      <c r="C1608" s="311" t="inlineStr">
        <is>
          <t>PANA VIEYTES GISELA</t>
        </is>
      </c>
      <c r="D1608" s="225" t="n">
        <v>1</v>
      </c>
      <c r="E1608" s="225" t="n"/>
      <c r="F1608" s="225" t="n"/>
      <c r="G1608" s="225" t="n"/>
      <c r="H1608" s="225" t="n"/>
      <c r="I1608" s="223" t="n">
        <v>17500</v>
      </c>
      <c r="J1608" s="305" t="n">
        <v>0</v>
      </c>
      <c r="K1608" s="305" t="n">
        <v>17500</v>
      </c>
      <c r="L1608" s="224" t="n">
        <v>2500</v>
      </c>
    </row>
    <row r="1609" ht="15" customHeight="1" s="153">
      <c r="A1609" s="302" t="inlineStr">
        <is>
          <t>26/01/2026</t>
        </is>
      </c>
      <c r="B1609" s="303" t="inlineStr">
        <is>
          <t>Enero</t>
        </is>
      </c>
      <c r="C1609" s="311" t="inlineStr">
        <is>
          <t>PANA VIEYTES GISELA</t>
        </is>
      </c>
      <c r="D1609" s="225" t="n">
        <v>1</v>
      </c>
      <c r="E1609" s="225" t="n"/>
      <c r="F1609" s="225" t="n"/>
      <c r="G1609" s="225" t="n"/>
      <c r="H1609" s="225" t="n"/>
      <c r="I1609" s="223" t="n">
        <v>17500</v>
      </c>
      <c r="J1609" s="305" t="n">
        <v>0</v>
      </c>
      <c r="K1609" s="305" t="n">
        <v>17500</v>
      </c>
      <c r="L1609" s="224" t="n">
        <v>2500</v>
      </c>
    </row>
    <row r="1610" ht="15" customHeight="1" s="153">
      <c r="A1610" s="302" t="inlineStr">
        <is>
          <t>29/01/2026</t>
        </is>
      </c>
      <c r="B1610" s="303" t="inlineStr">
        <is>
          <t>Enero</t>
        </is>
      </c>
      <c r="C1610" s="311" t="inlineStr">
        <is>
          <t>PANA VIEYTES GISELA</t>
        </is>
      </c>
      <c r="D1610" s="225" t="n"/>
      <c r="E1610" s="225" t="n"/>
      <c r="F1610" s="225" t="n"/>
      <c r="G1610" s="225" t="n">
        <v>2</v>
      </c>
      <c r="H1610" s="225" t="n"/>
      <c r="I1610" s="223" t="n">
        <v>6900</v>
      </c>
      <c r="J1610" s="305" t="n">
        <v>0</v>
      </c>
      <c r="K1610" s="305" t="n">
        <v>6900</v>
      </c>
      <c r="L1610" s="224" t="n">
        <v>2300</v>
      </c>
    </row>
    <row r="1611" ht="15" customHeight="1" s="153">
      <c r="A1611" s="302" t="inlineStr">
        <is>
          <t>30/01/2026</t>
        </is>
      </c>
      <c r="B1611" s="303" t="inlineStr">
        <is>
          <t>Enero</t>
        </is>
      </c>
      <c r="C1611" s="311" t="inlineStr">
        <is>
          <t>PANA VIEYTES GISELA</t>
        </is>
      </c>
      <c r="D1611" s="225" t="n">
        <v>1</v>
      </c>
      <c r="E1611" s="225" t="n"/>
      <c r="F1611" s="225" t="n"/>
      <c r="G1611" s="225" t="n">
        <v>1</v>
      </c>
      <c r="H1611" s="225" t="n"/>
      <c r="I1611" s="223" t="n">
        <v>21200</v>
      </c>
      <c r="J1611" s="305" t="n">
        <v>0</v>
      </c>
      <c r="K1611" s="305" t="n">
        <v>21200</v>
      </c>
      <c r="L1611" s="224" t="n">
        <v>3900</v>
      </c>
    </row>
    <row r="1612" ht="15" customHeight="1" s="153">
      <c r="A1612" s="302" t="inlineStr">
        <is>
          <t>03/02/2026</t>
        </is>
      </c>
      <c r="B1612" s="303" t="inlineStr">
        <is>
          <t>Febrero</t>
        </is>
      </c>
      <c r="C1612" s="311" t="inlineStr">
        <is>
          <t>PANA VIEYTES GISELA</t>
        </is>
      </c>
      <c r="D1612" s="225" t="n">
        <v>1</v>
      </c>
      <c r="E1612" s="225" t="n"/>
      <c r="F1612" s="225" t="n"/>
      <c r="G1612" s="225" t="n"/>
      <c r="H1612" s="225" t="n"/>
      <c r="I1612" s="223" t="n">
        <v>17500</v>
      </c>
      <c r="J1612" s="305" t="n">
        <v>0</v>
      </c>
      <c r="K1612" s="305" t="n">
        <v>17500</v>
      </c>
      <c r="L1612" s="224" t="n">
        <v>2500</v>
      </c>
    </row>
    <row r="1613" ht="15" customHeight="1" s="153">
      <c r="A1613" s="302" t="inlineStr">
        <is>
          <t>05/02/2026</t>
        </is>
      </c>
      <c r="B1613" s="303" t="inlineStr">
        <is>
          <t>Febrero</t>
        </is>
      </c>
      <c r="C1613" s="311" t="inlineStr">
        <is>
          <t>PANA VIEYTES GISELA</t>
        </is>
      </c>
      <c r="D1613" s="225" t="n">
        <v>1</v>
      </c>
      <c r="E1613" s="225" t="n"/>
      <c r="F1613" s="225" t="n"/>
      <c r="G1613" s="225" t="n">
        <v>1</v>
      </c>
      <c r="H1613" s="225" t="n"/>
      <c r="I1613" s="223" t="n">
        <v>21200</v>
      </c>
      <c r="J1613" s="305" t="n">
        <v>0</v>
      </c>
      <c r="K1613" s="305" t="n">
        <v>21200</v>
      </c>
      <c r="L1613" s="224" t="n">
        <v>3900</v>
      </c>
    </row>
    <row r="1614" ht="15" customHeight="1" s="153">
      <c r="A1614" s="302" t="inlineStr">
        <is>
          <t>05/02/2026</t>
        </is>
      </c>
      <c r="B1614" s="303" t="inlineStr">
        <is>
          <t>Abril</t>
        </is>
      </c>
      <c r="C1614" s="311" t="inlineStr">
        <is>
          <t>PANA VIEYTES GISELA</t>
        </is>
      </c>
      <c r="D1614" s="225" t="n">
        <v>1</v>
      </c>
      <c r="E1614" s="225" t="n"/>
      <c r="F1614" s="225" t="n"/>
      <c r="G1614" s="225" t="n"/>
      <c r="H1614" s="225" t="n"/>
      <c r="I1614" s="223" t="n">
        <v>22000</v>
      </c>
      <c r="J1614" s="305" t="n">
        <v>0</v>
      </c>
      <c r="K1614" s="305" t="n">
        <v>22000</v>
      </c>
      <c r="L1614" s="224" t="n">
        <v>7000</v>
      </c>
    </row>
    <row r="1615" ht="15" customHeight="1" s="153">
      <c r="A1615" s="302" t="inlineStr">
        <is>
          <t>10/03/2026</t>
        </is>
      </c>
      <c r="B1615" s="303" t="inlineStr">
        <is>
          <t>Marzo</t>
        </is>
      </c>
      <c r="C1615" s="311" t="inlineStr">
        <is>
          <t>PANA VIEYTES GISELA</t>
        </is>
      </c>
      <c r="D1615" s="225" t="n"/>
      <c r="E1615" s="225" t="n"/>
      <c r="F1615" s="225" t="n"/>
      <c r="G1615" s="225" t="n">
        <v>2</v>
      </c>
      <c r="H1615" s="225" t="n"/>
      <c r="I1615" s="223" t="n">
        <v>7000</v>
      </c>
      <c r="J1615" s="305" t="n">
        <v>0</v>
      </c>
      <c r="K1615" s="305" t="n">
        <v>7000</v>
      </c>
      <c r="L1615" s="224" t="n">
        <v>2400</v>
      </c>
    </row>
    <row r="1616" ht="15" customHeight="1" s="153">
      <c r="A1616" s="302" t="inlineStr">
        <is>
          <t>16/04/2026</t>
        </is>
      </c>
      <c r="B1616" s="303" t="inlineStr">
        <is>
          <t>Abril</t>
        </is>
      </c>
      <c r="C1616" s="311" t="inlineStr">
        <is>
          <t>PANA VIEYTES GISELA</t>
        </is>
      </c>
      <c r="D1616" s="225" t="n">
        <v>1</v>
      </c>
      <c r="E1616" s="225" t="n"/>
      <c r="F1616" s="225" t="n"/>
      <c r="G1616" s="225" t="n"/>
      <c r="H1616" s="225" t="n"/>
      <c r="I1616" s="223" t="n">
        <v>22000</v>
      </c>
      <c r="J1616" s="305" t="n">
        <v>0</v>
      </c>
      <c r="K1616" s="305" t="n">
        <v>22000</v>
      </c>
      <c r="L1616" s="224" t="n">
        <v>7000</v>
      </c>
    </row>
    <row r="1617" ht="15" customHeight="1" s="153">
      <c r="A1617" s="306" t="inlineStr">
        <is>
          <t>05/03/2026</t>
        </is>
      </c>
      <c r="B1617" s="307" t="inlineStr">
        <is>
          <t>Marzo</t>
        </is>
      </c>
      <c r="C1617" s="310" t="inlineStr">
        <is>
          <t>PANA VOEYTES 4500</t>
        </is>
      </c>
      <c r="D1617" s="218" t="n"/>
      <c r="E1617" s="218" t="n"/>
      <c r="F1617" s="218" t="n">
        <v>1</v>
      </c>
      <c r="G1617" s="218" t="n"/>
      <c r="H1617" s="218" t="n"/>
      <c r="I1617" s="216" t="n">
        <v>68000</v>
      </c>
      <c r="J1617" s="309" t="n">
        <v>0</v>
      </c>
      <c r="K1617" s="309" t="n">
        <v>68000</v>
      </c>
      <c r="L1617" s="236" t="n">
        <v>8000</v>
      </c>
    </row>
    <row r="1618" ht="15" customHeight="1" s="153">
      <c r="A1618" s="306" t="inlineStr">
        <is>
          <t>04/04/2026</t>
        </is>
      </c>
      <c r="B1618" s="307" t="inlineStr">
        <is>
          <t>Abril</t>
        </is>
      </c>
      <c r="C1618" s="310" t="inlineStr">
        <is>
          <t>PANA VOEYTES 4500</t>
        </is>
      </c>
      <c r="D1618" s="218" t="n"/>
      <c r="E1618" s="218" t="n"/>
      <c r="F1618" s="218" t="n">
        <v>1</v>
      </c>
      <c r="G1618" s="218" t="n"/>
      <c r="H1618" s="218" t="n"/>
      <c r="I1618" s="216" t="n">
        <v>78000</v>
      </c>
      <c r="J1618" s="309" t="n">
        <v>0</v>
      </c>
      <c r="K1618" s="309" t="n">
        <v>78000</v>
      </c>
      <c r="L1618" s="236" t="n">
        <v>18000</v>
      </c>
    </row>
    <row r="1619" ht="15" customHeight="1" s="153">
      <c r="A1619" s="302" t="inlineStr">
        <is>
          <t>11/03/2026</t>
        </is>
      </c>
      <c r="B1619" s="303" t="inlineStr">
        <is>
          <t>Marzo</t>
        </is>
      </c>
      <c r="C1619" s="311" t="inlineStr">
        <is>
          <t>PANAALBERTI</t>
        </is>
      </c>
      <c r="D1619" s="225" t="n">
        <v>1</v>
      </c>
      <c r="E1619" s="225" t="n"/>
      <c r="F1619" s="225" t="n"/>
      <c r="G1619" s="225" t="n"/>
      <c r="H1619" s="225" t="n"/>
      <c r="I1619" s="223" t="n">
        <v>20000</v>
      </c>
      <c r="J1619" s="305" t="n">
        <v>20000</v>
      </c>
      <c r="K1619" s="305" t="n">
        <v>0</v>
      </c>
      <c r="L1619" s="224" t="n">
        <v>5000</v>
      </c>
    </row>
    <row r="1620" ht="15" customHeight="1" s="153">
      <c r="A1620" s="306" t="inlineStr">
        <is>
          <t>18/04/2026</t>
        </is>
      </c>
      <c r="B1620" s="307" t="inlineStr">
        <is>
          <t>Abril</t>
        </is>
      </c>
      <c r="C1620" s="310" t="inlineStr">
        <is>
          <t>PANADERIA BAGUETE</t>
        </is>
      </c>
      <c r="D1620" s="218" t="n"/>
      <c r="E1620" s="218" t="n"/>
      <c r="F1620" s="218" t="n">
        <v>1</v>
      </c>
      <c r="G1620" s="218" t="n"/>
      <c r="H1620" s="218" t="n"/>
      <c r="I1620" s="216" t="n">
        <v>75000</v>
      </c>
      <c r="J1620" s="309" t="n">
        <v>0</v>
      </c>
      <c r="K1620" s="309" t="n">
        <v>75000</v>
      </c>
      <c r="L1620" s="236" t="n">
        <v>15000</v>
      </c>
    </row>
    <row r="1621" ht="15" customHeight="1" s="153">
      <c r="A1621" s="306" t="inlineStr">
        <is>
          <t>22/04/2026</t>
        </is>
      </c>
      <c r="B1621" s="307" t="inlineStr">
        <is>
          <t>Abril</t>
        </is>
      </c>
      <c r="C1621" s="310" t="inlineStr">
        <is>
          <t>PANADERIA BAGUETE</t>
        </is>
      </c>
      <c r="D1621" s="218" t="n"/>
      <c r="E1621" s="218" t="n"/>
      <c r="F1621" s="218" t="n">
        <v>1</v>
      </c>
      <c r="G1621" s="218" t="n"/>
      <c r="H1621" s="218" t="n"/>
      <c r="I1621" s="216" t="n">
        <v>75000</v>
      </c>
      <c r="J1621" s="309" t="n">
        <v>0</v>
      </c>
      <c r="K1621" s="309" t="n">
        <v>75000</v>
      </c>
      <c r="L1621" s="236" t="n">
        <v>15000</v>
      </c>
    </row>
    <row r="1622" ht="15" customHeight="1" s="153">
      <c r="A1622" s="302" t="inlineStr">
        <is>
          <t>26/02/2026</t>
        </is>
      </c>
      <c r="B1622" s="303" t="inlineStr">
        <is>
          <t>Febrero</t>
        </is>
      </c>
      <c r="C1622" s="311" t="inlineStr">
        <is>
          <t>PAPA BRUNO</t>
        </is>
      </c>
      <c r="D1622" s="225" t="n"/>
      <c r="E1622" s="225" t="n">
        <v>1</v>
      </c>
      <c r="F1622" s="225" t="n"/>
      <c r="G1622" s="225" t="n"/>
      <c r="H1622" s="225" t="n"/>
      <c r="I1622" s="223" t="n">
        <v>29000</v>
      </c>
      <c r="J1622" s="305" t="n">
        <v>0</v>
      </c>
      <c r="K1622" s="305" t="n">
        <v>29000</v>
      </c>
      <c r="L1622" s="224" t="n">
        <v>6500</v>
      </c>
    </row>
    <row r="1623" ht="15" customHeight="1" s="153">
      <c r="A1623" s="306" t="inlineStr">
        <is>
          <t>05/03/2026</t>
        </is>
      </c>
      <c r="B1623" s="307" t="inlineStr">
        <is>
          <t>Marzo</t>
        </is>
      </c>
      <c r="C1623" s="310" t="inlineStr">
        <is>
          <t>PARAGUAY 10333</t>
        </is>
      </c>
      <c r="D1623" s="218" t="n"/>
      <c r="E1623" s="218" t="n"/>
      <c r="F1623" s="218" t="n">
        <v>1</v>
      </c>
      <c r="G1623" s="218" t="n"/>
      <c r="H1623" s="218" t="n"/>
      <c r="I1623" s="216" t="n">
        <v>75000</v>
      </c>
      <c r="J1623" s="309" t="n">
        <v>75000</v>
      </c>
      <c r="K1623" s="309" t="n">
        <v>0</v>
      </c>
      <c r="L1623" s="236" t="n">
        <v>15000</v>
      </c>
    </row>
    <row r="1624" ht="15" customHeight="1" s="153">
      <c r="A1624" s="302" t="inlineStr">
        <is>
          <t>31/01/2026</t>
        </is>
      </c>
      <c r="B1624" s="303" t="inlineStr">
        <is>
          <t>Enero</t>
        </is>
      </c>
      <c r="C1624" s="311" t="inlineStr">
        <is>
          <t>PARRI BLAS PARERA</t>
        </is>
      </c>
      <c r="D1624" s="225" t="n">
        <v>1</v>
      </c>
      <c r="E1624" s="225" t="n"/>
      <c r="F1624" s="225" t="n"/>
      <c r="G1624" s="225" t="n"/>
      <c r="H1624" s="225" t="n"/>
      <c r="I1624" s="223" t="n">
        <v>17000</v>
      </c>
      <c r="J1624" s="305" t="n">
        <v>0</v>
      </c>
      <c r="K1624" s="305" t="n">
        <v>17000</v>
      </c>
      <c r="L1624" s="224" t="n">
        <v>2000</v>
      </c>
    </row>
    <row r="1625" ht="15" customHeight="1" s="153">
      <c r="A1625" s="302" t="inlineStr">
        <is>
          <t>22/02/2026</t>
        </is>
      </c>
      <c r="B1625" s="303" t="inlineStr">
        <is>
          <t>Febrero</t>
        </is>
      </c>
      <c r="C1625" s="311" t="inlineStr">
        <is>
          <t>PARRI BLAS PARERA</t>
        </is>
      </c>
      <c r="D1625" s="225" t="n">
        <v>1</v>
      </c>
      <c r="E1625" s="225" t="n"/>
      <c r="F1625" s="225" t="n"/>
      <c r="G1625" s="225" t="n"/>
      <c r="H1625" s="225" t="n"/>
      <c r="I1625" s="223" t="n">
        <v>17000</v>
      </c>
      <c r="J1625" s="305" t="n">
        <v>0</v>
      </c>
      <c r="K1625" s="305" t="n">
        <v>17000</v>
      </c>
      <c r="L1625" s="224" t="n">
        <v>2000</v>
      </c>
    </row>
    <row r="1626" ht="15" customHeight="1" s="153">
      <c r="A1626" s="306" t="inlineStr">
        <is>
          <t>01/02/2026</t>
        </is>
      </c>
      <c r="B1626" s="307" t="inlineStr">
        <is>
          <t>Febrero</t>
        </is>
      </c>
      <c r="C1626" s="310" t="inlineStr">
        <is>
          <t>PARRI GABOTO</t>
        </is>
      </c>
      <c r="D1626" s="218" t="n">
        <v>1</v>
      </c>
      <c r="E1626" s="218" t="n"/>
      <c r="F1626" s="218" t="n"/>
      <c r="G1626" s="218" t="n"/>
      <c r="H1626" s="218" t="n"/>
      <c r="I1626" s="216" t="n">
        <v>19500</v>
      </c>
      <c r="J1626" s="309" t="n">
        <v>0</v>
      </c>
      <c r="K1626" s="309" t="n">
        <v>19500</v>
      </c>
      <c r="L1626" s="236" t="n">
        <v>4500</v>
      </c>
    </row>
    <row r="1627" ht="15" customHeight="1" s="153">
      <c r="A1627" s="306" t="inlineStr">
        <is>
          <t>05/02/2026</t>
        </is>
      </c>
      <c r="B1627" s="307" t="inlineStr">
        <is>
          <t>Abril</t>
        </is>
      </c>
      <c r="C1627" s="310" t="inlineStr">
        <is>
          <t>PARRI GABOTO</t>
        </is>
      </c>
      <c r="D1627" s="218" t="n">
        <v>1</v>
      </c>
      <c r="E1627" s="218" t="n"/>
      <c r="F1627" s="218" t="n"/>
      <c r="G1627" s="218" t="n"/>
      <c r="H1627" s="218" t="n"/>
      <c r="I1627" s="216" t="n">
        <v>23000</v>
      </c>
      <c r="J1627" s="309" t="n">
        <v>0</v>
      </c>
      <c r="K1627" s="309" t="n">
        <v>23000</v>
      </c>
      <c r="L1627" s="236" t="n">
        <v>8000</v>
      </c>
    </row>
    <row r="1628" ht="15" customHeight="1" s="153">
      <c r="A1628" s="306" t="inlineStr">
        <is>
          <t>15/02/2026</t>
        </is>
      </c>
      <c r="B1628" s="307" t="inlineStr">
        <is>
          <t>Febrero</t>
        </is>
      </c>
      <c r="C1628" s="310" t="inlineStr">
        <is>
          <t>PARRI GABOTO</t>
        </is>
      </c>
      <c r="D1628" s="218" t="n">
        <v>1</v>
      </c>
      <c r="E1628" s="218" t="n"/>
      <c r="F1628" s="218" t="n"/>
      <c r="G1628" s="218" t="n"/>
      <c r="H1628" s="218" t="n"/>
      <c r="I1628" s="216" t="n">
        <v>18500</v>
      </c>
      <c r="J1628" s="309" t="n">
        <v>0</v>
      </c>
      <c r="K1628" s="309" t="n">
        <v>18500</v>
      </c>
      <c r="L1628" s="236" t="n">
        <v>3500</v>
      </c>
    </row>
    <row r="1629" ht="15" customHeight="1" s="153">
      <c r="A1629" s="306" t="inlineStr">
        <is>
          <t>22/03/2026</t>
        </is>
      </c>
      <c r="B1629" s="307" t="inlineStr">
        <is>
          <t>Marzo</t>
        </is>
      </c>
      <c r="C1629" s="310" t="inlineStr">
        <is>
          <t>PARRI GABOTO</t>
        </is>
      </c>
      <c r="D1629" s="218" t="n">
        <v>2</v>
      </c>
      <c r="E1629" s="218" t="n"/>
      <c r="F1629" s="218" t="n"/>
      <c r="G1629" s="218" t="n"/>
      <c r="H1629" s="218" t="n"/>
      <c r="I1629" s="216" t="n">
        <v>42000</v>
      </c>
      <c r="J1629" s="309" t="n">
        <v>0</v>
      </c>
      <c r="K1629" s="309" t="n">
        <v>42000</v>
      </c>
      <c r="L1629" s="236" t="n">
        <v>12000</v>
      </c>
    </row>
    <row r="1630" ht="15" customHeight="1" s="153">
      <c r="A1630" s="302" t="inlineStr">
        <is>
          <t>04/01/2026</t>
        </is>
      </c>
      <c r="B1630" s="303" t="inlineStr">
        <is>
          <t>Enero</t>
        </is>
      </c>
      <c r="C1630" s="311" t="inlineStr">
        <is>
          <t>PARRILA BLAS PARERA</t>
        </is>
      </c>
      <c r="D1630" s="225" t="n">
        <v>1</v>
      </c>
      <c r="E1630" s="225" t="n"/>
      <c r="F1630" s="225" t="n"/>
      <c r="G1630" s="225" t="n"/>
      <c r="H1630" s="225" t="n"/>
      <c r="I1630" s="223" t="n">
        <v>16000</v>
      </c>
      <c r="J1630" s="305" t="n">
        <v>0</v>
      </c>
      <c r="K1630" s="305" t="n">
        <v>16000</v>
      </c>
      <c r="L1630" s="224" t="n">
        <v>1000</v>
      </c>
    </row>
    <row r="1631" ht="15" customHeight="1" s="153">
      <c r="A1631" s="306" t="inlineStr">
        <is>
          <t>20/04/2026</t>
        </is>
      </c>
      <c r="B1631" s="307" t="inlineStr">
        <is>
          <t>Abril</t>
        </is>
      </c>
      <c r="C1631" s="310" t="inlineStr">
        <is>
          <t>PASAJE QUIROGA 5244</t>
        </is>
      </c>
      <c r="D1631" s="218" t="n"/>
      <c r="E1631" s="218" t="n">
        <v>1</v>
      </c>
      <c r="F1631" s="218" t="n"/>
      <c r="G1631" s="218" t="n"/>
      <c r="H1631" s="218" t="n"/>
      <c r="I1631" s="216" t="n">
        <v>37500</v>
      </c>
      <c r="J1631" s="309" t="n">
        <v>0</v>
      </c>
      <c r="K1631" s="309" t="n">
        <v>37500</v>
      </c>
      <c r="L1631" s="236" t="n">
        <v>15000</v>
      </c>
    </row>
    <row r="1632" ht="15" customHeight="1" s="153">
      <c r="A1632" s="302" t="inlineStr">
        <is>
          <t>12/02/2026</t>
        </is>
      </c>
      <c r="B1632" s="303" t="inlineStr">
        <is>
          <t>Febrero</t>
        </is>
      </c>
      <c r="C1632" s="311" t="inlineStr">
        <is>
          <t>PASAJE ROCA 6371</t>
        </is>
      </c>
      <c r="D1632" s="225" t="n">
        <v>1</v>
      </c>
      <c r="E1632" s="225" t="n"/>
      <c r="F1632" s="225" t="n"/>
      <c r="G1632" s="225" t="n"/>
      <c r="H1632" s="225" t="n"/>
      <c r="I1632" s="223" t="n">
        <v>22000</v>
      </c>
      <c r="J1632" s="305" t="n">
        <v>0</v>
      </c>
      <c r="K1632" s="305" t="n">
        <v>22000</v>
      </c>
      <c r="L1632" s="224" t="n">
        <v>7000</v>
      </c>
    </row>
    <row r="1633" ht="15" customHeight="1" s="153">
      <c r="A1633" s="306" t="inlineStr">
        <is>
          <t>05/01/2026</t>
        </is>
      </c>
      <c r="B1633" s="307" t="inlineStr">
        <is>
          <t>Enero</t>
        </is>
      </c>
      <c r="C1633" s="310" t="inlineStr">
        <is>
          <t>PAULO</t>
        </is>
      </c>
      <c r="D1633" s="218" t="n">
        <v>2</v>
      </c>
      <c r="E1633" s="218" t="n">
        <v>1</v>
      </c>
      <c r="F1633" s="218" t="n"/>
      <c r="G1633" s="218" t="n"/>
      <c r="H1633" s="218" t="n"/>
      <c r="I1633" s="216" t="n">
        <v>45000</v>
      </c>
      <c r="J1633" s="309" t="n">
        <v>45000</v>
      </c>
      <c r="K1633" s="309" t="n">
        <v>0</v>
      </c>
      <c r="L1633" s="217" t="n">
        <v>-7500</v>
      </c>
    </row>
    <row r="1634" ht="15" customHeight="1" s="153">
      <c r="A1634" s="306" t="inlineStr">
        <is>
          <t>17/01/2026</t>
        </is>
      </c>
      <c r="B1634" s="307" t="inlineStr">
        <is>
          <t>Enero</t>
        </is>
      </c>
      <c r="C1634" s="310" t="inlineStr">
        <is>
          <t>PAULO</t>
        </is>
      </c>
      <c r="D1634" s="218" t="n">
        <v>3</v>
      </c>
      <c r="E1634" s="218" t="n"/>
      <c r="F1634" s="218" t="n"/>
      <c r="G1634" s="218" t="n"/>
      <c r="H1634" s="218" t="n"/>
      <c r="I1634" s="216" t="n">
        <v>43500</v>
      </c>
      <c r="J1634" s="309" t="n">
        <v>43500</v>
      </c>
      <c r="K1634" s="309" t="n">
        <v>0</v>
      </c>
      <c r="L1634" s="217" t="n">
        <v>-1500</v>
      </c>
    </row>
    <row r="1635" ht="15" customHeight="1" s="153">
      <c r="A1635" s="306" t="inlineStr">
        <is>
          <t>27/01/2026</t>
        </is>
      </c>
      <c r="B1635" s="307" t="inlineStr">
        <is>
          <t>Enero</t>
        </is>
      </c>
      <c r="C1635" s="310" t="inlineStr">
        <is>
          <t>PAULO</t>
        </is>
      </c>
      <c r="D1635" s="218" t="n">
        <v>2</v>
      </c>
      <c r="E1635" s="218" t="n"/>
      <c r="F1635" s="218" t="n"/>
      <c r="G1635" s="218" t="n"/>
      <c r="H1635" s="218" t="n"/>
      <c r="I1635" s="216" t="n">
        <v>29000</v>
      </c>
      <c r="J1635" s="309" t="n">
        <v>0</v>
      </c>
      <c r="K1635" s="309" t="n">
        <v>29000</v>
      </c>
      <c r="L1635" s="217" t="n">
        <v>-1000</v>
      </c>
    </row>
    <row r="1636" ht="15" customHeight="1" s="153">
      <c r="A1636" s="306" t="inlineStr">
        <is>
          <t>31/01/2026</t>
        </is>
      </c>
      <c r="B1636" s="307" t="inlineStr">
        <is>
          <t>Enero</t>
        </is>
      </c>
      <c r="C1636" s="310" t="inlineStr">
        <is>
          <t>PAULO</t>
        </is>
      </c>
      <c r="D1636" s="218" t="n">
        <v>2</v>
      </c>
      <c r="E1636" s="218" t="n"/>
      <c r="F1636" s="218" t="n"/>
      <c r="G1636" s="218" t="n"/>
      <c r="H1636" s="218" t="n"/>
      <c r="I1636" s="216" t="n">
        <v>29000</v>
      </c>
      <c r="J1636" s="309" t="n">
        <v>0</v>
      </c>
      <c r="K1636" s="309" t="n">
        <v>29000</v>
      </c>
      <c r="L1636" s="217" t="n">
        <v>-1000</v>
      </c>
    </row>
    <row r="1637" ht="15" customHeight="1" s="153">
      <c r="A1637" s="306" t="inlineStr">
        <is>
          <t>08/02/2026</t>
        </is>
      </c>
      <c r="B1637" s="307" t="inlineStr">
        <is>
          <t>Febrero</t>
        </is>
      </c>
      <c r="C1637" s="310" t="inlineStr">
        <is>
          <t>PAULO</t>
        </is>
      </c>
      <c r="D1637" s="218" t="n">
        <v>2</v>
      </c>
      <c r="E1637" s="218" t="n"/>
      <c r="F1637" s="218" t="n"/>
      <c r="G1637" s="218" t="n"/>
      <c r="H1637" s="218" t="n"/>
      <c r="I1637" s="216" t="n">
        <v>29000</v>
      </c>
      <c r="J1637" s="309" t="n">
        <v>29000</v>
      </c>
      <c r="K1637" s="309" t="n">
        <v>0</v>
      </c>
      <c r="L1637" s="217" t="n">
        <v>-1000</v>
      </c>
    </row>
    <row r="1638" ht="15" customHeight="1" s="153">
      <c r="A1638" s="306" t="inlineStr">
        <is>
          <t>15/02/2026</t>
        </is>
      </c>
      <c r="B1638" s="307" t="inlineStr">
        <is>
          <t>Febrero</t>
        </is>
      </c>
      <c r="C1638" s="310" t="inlineStr">
        <is>
          <t>PAULO</t>
        </is>
      </c>
      <c r="D1638" s="218" t="n">
        <v>3</v>
      </c>
      <c r="E1638" s="218" t="n"/>
      <c r="F1638" s="218" t="n"/>
      <c r="G1638" s="218" t="n"/>
      <c r="H1638" s="218" t="n"/>
      <c r="I1638" s="216" t="n">
        <v>43500</v>
      </c>
      <c r="J1638" s="309" t="n">
        <v>43500</v>
      </c>
      <c r="K1638" s="309" t="n">
        <v>0</v>
      </c>
      <c r="L1638" s="217" t="n">
        <v>-1500</v>
      </c>
    </row>
    <row r="1639" ht="15" customHeight="1" s="153">
      <c r="A1639" s="306" t="inlineStr">
        <is>
          <t>18/02/2026</t>
        </is>
      </c>
      <c r="B1639" s="307" t="inlineStr">
        <is>
          <t>Febrero</t>
        </is>
      </c>
      <c r="C1639" s="310" t="inlineStr">
        <is>
          <t>PAULO</t>
        </is>
      </c>
      <c r="D1639" s="218" t="n">
        <v>2</v>
      </c>
      <c r="E1639" s="218" t="n"/>
      <c r="F1639" s="218" t="n"/>
      <c r="G1639" s="218" t="n"/>
      <c r="H1639" s="218" t="n"/>
      <c r="I1639" s="216" t="n">
        <v>29000</v>
      </c>
      <c r="J1639" s="309" t="n">
        <v>29000</v>
      </c>
      <c r="K1639" s="309" t="n">
        <v>0</v>
      </c>
      <c r="L1639" s="217" t="n">
        <v>-1000</v>
      </c>
    </row>
    <row r="1640" ht="15" customHeight="1" s="153">
      <c r="A1640" s="306" t="inlineStr">
        <is>
          <t>22/02/2026</t>
        </is>
      </c>
      <c r="B1640" s="307" t="inlineStr">
        <is>
          <t>Febrero</t>
        </is>
      </c>
      <c r="C1640" s="310" t="inlineStr">
        <is>
          <t>PAULO</t>
        </is>
      </c>
      <c r="D1640" s="218" t="n">
        <v>3</v>
      </c>
      <c r="E1640" s="218" t="n"/>
      <c r="F1640" s="218" t="n"/>
      <c r="G1640" s="218" t="n"/>
      <c r="H1640" s="218" t="n"/>
      <c r="I1640" s="216" t="n">
        <v>43500</v>
      </c>
      <c r="J1640" s="309" t="n">
        <v>43500</v>
      </c>
      <c r="K1640" s="309" t="n">
        <v>0</v>
      </c>
      <c r="L1640" s="217" t="n">
        <v>-1500</v>
      </c>
    </row>
    <row r="1641" ht="15" customHeight="1" s="153">
      <c r="A1641" s="306" t="inlineStr">
        <is>
          <t>10/03/2026</t>
        </is>
      </c>
      <c r="B1641" s="307" t="inlineStr">
        <is>
          <t>Marzo</t>
        </is>
      </c>
      <c r="C1641" s="310" t="inlineStr">
        <is>
          <t>PAULO</t>
        </is>
      </c>
      <c r="D1641" s="218" t="n">
        <v>3</v>
      </c>
      <c r="E1641" s="218" t="n"/>
      <c r="F1641" s="218" t="n"/>
      <c r="G1641" s="218" t="n"/>
      <c r="H1641" s="218" t="n"/>
      <c r="I1641" s="216" t="n">
        <v>46500</v>
      </c>
      <c r="J1641" s="309" t="n">
        <v>46500</v>
      </c>
      <c r="K1641" s="309" t="n">
        <v>0</v>
      </c>
      <c r="L1641" s="236" t="n">
        <v>1500</v>
      </c>
    </row>
    <row r="1642" ht="15" customHeight="1" s="153">
      <c r="A1642" s="306" t="inlineStr">
        <is>
          <t>25/03/2026</t>
        </is>
      </c>
      <c r="B1642" s="307" t="inlineStr">
        <is>
          <t>Marzo</t>
        </is>
      </c>
      <c r="C1642" s="310" t="inlineStr">
        <is>
          <t>PAULO</t>
        </is>
      </c>
      <c r="D1642" s="218" t="n">
        <v>2</v>
      </c>
      <c r="E1642" s="218" t="n"/>
      <c r="F1642" s="218" t="n"/>
      <c r="G1642" s="218" t="n"/>
      <c r="H1642" s="218" t="n"/>
      <c r="I1642" s="216" t="n">
        <v>34000</v>
      </c>
      <c r="J1642" s="309" t="n">
        <v>34000</v>
      </c>
      <c r="K1642" s="309" t="n">
        <v>0</v>
      </c>
      <c r="L1642" s="236" t="n">
        <v>4000</v>
      </c>
    </row>
    <row r="1643" ht="15" customHeight="1" s="153">
      <c r="A1643" s="306" t="inlineStr">
        <is>
          <t>11/04/2026</t>
        </is>
      </c>
      <c r="B1643" s="307" t="inlineStr">
        <is>
          <t>Abril</t>
        </is>
      </c>
      <c r="C1643" s="310" t="inlineStr">
        <is>
          <t>PAULO</t>
        </is>
      </c>
      <c r="D1643" s="218" t="n">
        <v>2</v>
      </c>
      <c r="E1643" s="218" t="n"/>
      <c r="F1643" s="218" t="n"/>
      <c r="G1643" s="218" t="n"/>
      <c r="H1643" s="218" t="n"/>
      <c r="I1643" s="216" t="n">
        <v>37000</v>
      </c>
      <c r="J1643" s="309" t="n">
        <v>0</v>
      </c>
      <c r="K1643" s="309" t="n">
        <v>37000</v>
      </c>
      <c r="L1643" s="236" t="n">
        <v>7000</v>
      </c>
    </row>
    <row r="1644" ht="15" customHeight="1" s="153">
      <c r="A1644" s="306" t="inlineStr">
        <is>
          <t>13/04/2026</t>
        </is>
      </c>
      <c r="B1644" s="307" t="inlineStr">
        <is>
          <t>Abril</t>
        </is>
      </c>
      <c r="C1644" s="310" t="inlineStr">
        <is>
          <t>PAULO</t>
        </is>
      </c>
      <c r="D1644" s="218" t="n">
        <v>3</v>
      </c>
      <c r="E1644" s="218" t="n"/>
      <c r="F1644" s="218" t="n"/>
      <c r="G1644" s="218" t="n"/>
      <c r="H1644" s="218" t="n"/>
      <c r="I1644" s="216" t="n">
        <v>57000</v>
      </c>
      <c r="J1644" s="309" t="n">
        <v>0</v>
      </c>
      <c r="K1644" s="309" t="n">
        <v>57000</v>
      </c>
      <c r="L1644" s="236" t="n">
        <v>12000</v>
      </c>
    </row>
    <row r="1645" ht="15" customHeight="1" s="153">
      <c r="A1645" s="302" t="inlineStr">
        <is>
          <t>20/01/2026</t>
        </is>
      </c>
      <c r="B1645" s="303" t="inlineStr">
        <is>
          <t>Enero</t>
        </is>
      </c>
      <c r="C1645" s="311" t="inlineStr">
        <is>
          <t>PAVON 2124</t>
        </is>
      </c>
      <c r="D1645" s="225" t="n"/>
      <c r="E1645" s="225" t="n">
        <v>1</v>
      </c>
      <c r="F1645" s="225" t="n"/>
      <c r="G1645" s="225" t="n"/>
      <c r="H1645" s="225" t="n"/>
      <c r="I1645" s="223" t="n">
        <v>33000</v>
      </c>
      <c r="J1645" s="305" t="n">
        <v>33000</v>
      </c>
      <c r="K1645" s="305" t="n">
        <v>0</v>
      </c>
      <c r="L1645" s="224" t="n">
        <v>10500</v>
      </c>
    </row>
    <row r="1646" ht="15" customHeight="1" s="153">
      <c r="A1646" s="302" t="inlineStr">
        <is>
          <t>03/04/2026</t>
        </is>
      </c>
      <c r="B1646" s="303" t="inlineStr">
        <is>
          <t>Abril</t>
        </is>
      </c>
      <c r="C1646" s="311" t="inlineStr">
        <is>
          <t>PAVON 2124</t>
        </is>
      </c>
      <c r="D1646" s="225" t="n"/>
      <c r="E1646" s="225" t="n">
        <v>1</v>
      </c>
      <c r="F1646" s="225" t="n"/>
      <c r="G1646" s="225" t="n"/>
      <c r="H1646" s="225" t="n"/>
      <c r="I1646" s="223" t="n">
        <v>39000</v>
      </c>
      <c r="J1646" s="305" t="n">
        <v>39000</v>
      </c>
      <c r="K1646" s="305" t="n">
        <v>0</v>
      </c>
      <c r="L1646" s="224" t="n">
        <v>16500</v>
      </c>
    </row>
    <row r="1647" ht="15" customHeight="1" s="153">
      <c r="A1647" s="306" t="inlineStr">
        <is>
          <t>21/02/2026</t>
        </is>
      </c>
      <c r="B1647" s="307" t="inlineStr">
        <is>
          <t>Febrero</t>
        </is>
      </c>
      <c r="C1647" s="310" t="inlineStr">
        <is>
          <t>PAVON 2612</t>
        </is>
      </c>
      <c r="D1647" s="218" t="n"/>
      <c r="E1647" s="218" t="n"/>
      <c r="F1647" s="218" t="n">
        <v>1</v>
      </c>
      <c r="G1647" s="218" t="n"/>
      <c r="H1647" s="218" t="n"/>
      <c r="I1647" s="216" t="n">
        <v>68000</v>
      </c>
      <c r="J1647" s="309" t="n">
        <v>0</v>
      </c>
      <c r="K1647" s="309" t="n">
        <v>68000</v>
      </c>
      <c r="L1647" s="236" t="n">
        <v>8000</v>
      </c>
    </row>
    <row r="1648" ht="15" customHeight="1" s="153">
      <c r="A1648" s="302" t="inlineStr">
        <is>
          <t>13/04/2026</t>
        </is>
      </c>
      <c r="B1648" s="303" t="inlineStr">
        <is>
          <t>Abril</t>
        </is>
      </c>
      <c r="C1648" s="311" t="inlineStr">
        <is>
          <t>PAVON 3435</t>
        </is>
      </c>
      <c r="D1648" s="225" t="n"/>
      <c r="E1648" s="225" t="n"/>
      <c r="F1648" s="225" t="n">
        <v>1</v>
      </c>
      <c r="G1648" s="225" t="n"/>
      <c r="H1648" s="225" t="n"/>
      <c r="I1648" s="223" t="n">
        <v>78000</v>
      </c>
      <c r="J1648" s="305" t="n">
        <v>0</v>
      </c>
      <c r="K1648" s="305" t="n">
        <v>78000</v>
      </c>
      <c r="L1648" s="224" t="n">
        <v>18000</v>
      </c>
    </row>
    <row r="1649" ht="15" customHeight="1" s="153">
      <c r="A1649" s="306" t="inlineStr">
        <is>
          <t>25/03/2026</t>
        </is>
      </c>
      <c r="B1649" s="307" t="inlineStr">
        <is>
          <t>Marzo</t>
        </is>
      </c>
      <c r="C1649" s="310" t="inlineStr">
        <is>
          <t>PAVON 4712</t>
        </is>
      </c>
      <c r="D1649" s="218" t="n"/>
      <c r="E1649" s="218" t="n">
        <v>1</v>
      </c>
      <c r="F1649" s="218" t="n"/>
      <c r="G1649" s="218" t="n"/>
      <c r="H1649" s="218" t="n"/>
      <c r="I1649" s="216" t="n">
        <v>33500</v>
      </c>
      <c r="J1649" s="309" t="n">
        <v>33500</v>
      </c>
      <c r="K1649" s="309" t="n">
        <v>0</v>
      </c>
      <c r="L1649" s="236" t="n">
        <v>11000</v>
      </c>
    </row>
    <row r="1650" ht="15" customHeight="1" s="153">
      <c r="A1650" s="302" t="inlineStr">
        <is>
          <t>05/02/2026</t>
        </is>
      </c>
      <c r="B1650" s="303" t="inlineStr">
        <is>
          <t>Febrero</t>
        </is>
      </c>
      <c r="C1650" s="311" t="inlineStr">
        <is>
          <t>PEDRO CEBALLOS 8134</t>
        </is>
      </c>
      <c r="D1650" s="225" t="n">
        <v>2</v>
      </c>
      <c r="E1650" s="225" t="n"/>
      <c r="F1650" s="225" t="n"/>
      <c r="G1650" s="225" t="n"/>
      <c r="H1650" s="225" t="n"/>
      <c r="I1650" s="223" t="n">
        <v>29000</v>
      </c>
      <c r="J1650" s="305" t="n">
        <v>29000</v>
      </c>
      <c r="K1650" s="305" t="n">
        <v>0</v>
      </c>
      <c r="L1650" s="245" t="n">
        <v>-1000</v>
      </c>
    </row>
    <row r="1651" ht="15" customHeight="1" s="153">
      <c r="A1651" s="302" t="inlineStr">
        <is>
          <t>20/02/2026</t>
        </is>
      </c>
      <c r="B1651" s="303" t="inlineStr">
        <is>
          <t>Febrero</t>
        </is>
      </c>
      <c r="C1651" s="311" t="inlineStr">
        <is>
          <t>PEDRO CEBALLOS 8134</t>
        </is>
      </c>
      <c r="D1651" s="225" t="n">
        <v>2</v>
      </c>
      <c r="E1651" s="225" t="n"/>
      <c r="F1651" s="225" t="n"/>
      <c r="G1651" s="225" t="n"/>
      <c r="H1651" s="225" t="n"/>
      <c r="I1651" s="223" t="n">
        <v>29000</v>
      </c>
      <c r="J1651" s="305" t="n">
        <v>29000</v>
      </c>
      <c r="K1651" s="305" t="n">
        <v>0</v>
      </c>
      <c r="L1651" s="245" t="n">
        <v>-1000</v>
      </c>
    </row>
    <row r="1652" ht="15" customHeight="1" s="153">
      <c r="A1652" s="302" t="inlineStr">
        <is>
          <t>10/04/2026</t>
        </is>
      </c>
      <c r="B1652" s="303" t="inlineStr">
        <is>
          <t>Abril</t>
        </is>
      </c>
      <c r="C1652" s="311" t="inlineStr">
        <is>
          <t>PEDRO CEBALLOS 8134</t>
        </is>
      </c>
      <c r="D1652" s="225" t="n">
        <v>2</v>
      </c>
      <c r="E1652" s="225" t="n"/>
      <c r="F1652" s="225" t="n"/>
      <c r="G1652" s="225" t="n"/>
      <c r="H1652" s="225" t="n"/>
      <c r="I1652" s="223" t="n">
        <v>38000</v>
      </c>
      <c r="J1652" s="305" t="n">
        <v>38000</v>
      </c>
      <c r="K1652" s="305" t="n">
        <v>0</v>
      </c>
      <c r="L1652" s="224" t="n">
        <v>8000</v>
      </c>
    </row>
    <row r="1653" ht="15" customHeight="1" s="153">
      <c r="A1653" s="306" t="inlineStr">
        <is>
          <t>20/02/2026</t>
        </is>
      </c>
      <c r="B1653" s="307" t="inlineStr">
        <is>
          <t>Febrero</t>
        </is>
      </c>
      <c r="C1653" s="310" t="inlineStr">
        <is>
          <t>PEDRO DE VERGA 1428</t>
        </is>
      </c>
      <c r="D1653" s="218" t="n">
        <v>1</v>
      </c>
      <c r="E1653" s="218" t="n"/>
      <c r="F1653" s="218" t="n"/>
      <c r="G1653" s="218" t="n"/>
      <c r="H1653" s="218" t="n"/>
      <c r="I1653" s="216" t="n">
        <v>22000</v>
      </c>
      <c r="J1653" s="309" t="n">
        <v>0</v>
      </c>
      <c r="K1653" s="309" t="n">
        <v>22000</v>
      </c>
      <c r="L1653" s="236" t="n">
        <v>7000</v>
      </c>
    </row>
    <row r="1654" ht="15" customHeight="1" s="153">
      <c r="A1654" s="302" t="inlineStr">
        <is>
          <t>17/04/2026</t>
        </is>
      </c>
      <c r="B1654" s="303" t="inlineStr">
        <is>
          <t>Abril</t>
        </is>
      </c>
      <c r="C1654" s="311" t="inlineStr">
        <is>
          <t>PEDRO ESPINOSA 3169</t>
        </is>
      </c>
      <c r="D1654" s="225" t="n"/>
      <c r="E1654" s="225" t="n"/>
      <c r="F1654" s="225" t="n">
        <v>1</v>
      </c>
      <c r="G1654" s="225" t="n"/>
      <c r="H1654" s="225" t="n"/>
      <c r="I1654" s="223" t="n">
        <v>84000</v>
      </c>
      <c r="J1654" s="305" t="n">
        <v>0</v>
      </c>
      <c r="K1654" s="305" t="n">
        <v>84000</v>
      </c>
      <c r="L1654" s="224" t="n">
        <v>24000</v>
      </c>
    </row>
    <row r="1655" ht="15" customHeight="1" s="153">
      <c r="A1655" s="306" t="inlineStr">
        <is>
          <t>11/02/2026</t>
        </is>
      </c>
      <c r="B1655" s="307" t="inlineStr">
        <is>
          <t>Febrero</t>
        </is>
      </c>
      <c r="C1655" s="310" t="inlineStr">
        <is>
          <t>PEDRO FERRE 2213</t>
        </is>
      </c>
      <c r="D1655" s="218" t="n">
        <v>1</v>
      </c>
      <c r="E1655" s="218" t="n"/>
      <c r="F1655" s="218" t="n"/>
      <c r="G1655" s="218" t="n"/>
      <c r="H1655" s="218" t="n"/>
      <c r="I1655" s="216" t="n">
        <v>22000</v>
      </c>
      <c r="J1655" s="309" t="n">
        <v>22000</v>
      </c>
      <c r="K1655" s="309" t="n">
        <v>0</v>
      </c>
      <c r="L1655" s="236" t="n">
        <v>7000</v>
      </c>
    </row>
    <row r="1656" ht="15" customHeight="1" s="153">
      <c r="A1656" s="302" t="inlineStr">
        <is>
          <t>25/01/2026</t>
        </is>
      </c>
      <c r="B1656" s="303" t="inlineStr">
        <is>
          <t>Enero</t>
        </is>
      </c>
      <c r="C1656" s="311" t="inlineStr">
        <is>
          <t>PEDRO TAPPA 9731</t>
        </is>
      </c>
      <c r="D1656" s="225" t="n">
        <v>1</v>
      </c>
      <c r="E1656" s="225" t="n"/>
      <c r="F1656" s="225" t="n"/>
      <c r="G1656" s="225" t="n"/>
      <c r="H1656" s="225" t="n"/>
      <c r="I1656" s="223" t="n">
        <v>22000</v>
      </c>
      <c r="J1656" s="305" t="n">
        <v>22000</v>
      </c>
      <c r="K1656" s="305" t="n">
        <v>0</v>
      </c>
      <c r="L1656" s="224" t="n">
        <v>7000</v>
      </c>
    </row>
    <row r="1657" ht="15" customHeight="1" s="153">
      <c r="A1657" s="306" t="inlineStr">
        <is>
          <t>09/04/2026</t>
        </is>
      </c>
      <c r="B1657" s="307" t="inlineStr">
        <is>
          <t>Abril</t>
        </is>
      </c>
      <c r="C1657" s="310" t="inlineStr">
        <is>
          <t>PEDRO VEGA 4343</t>
        </is>
      </c>
      <c r="D1657" s="218" t="n"/>
      <c r="E1657" s="218" t="n"/>
      <c r="F1657" s="218" t="n">
        <v>1</v>
      </c>
      <c r="G1657" s="218" t="n"/>
      <c r="H1657" s="218" t="n"/>
      <c r="I1657" s="216" t="n">
        <v>90000</v>
      </c>
      <c r="J1657" s="309" t="n">
        <v>90000</v>
      </c>
      <c r="K1657" s="309" t="n">
        <v>0</v>
      </c>
      <c r="L1657" s="236" t="n">
        <v>30000</v>
      </c>
    </row>
    <row r="1658" ht="15" customHeight="1" s="153">
      <c r="A1658" s="302" t="inlineStr">
        <is>
          <t>19/01/2026</t>
        </is>
      </c>
      <c r="B1658" s="303" t="inlineStr">
        <is>
          <t>Febrero</t>
        </is>
      </c>
      <c r="C1658" s="311" t="inlineStr">
        <is>
          <t>PEDRO ZENTENO</t>
        </is>
      </c>
      <c r="D1658" s="225" t="n">
        <v>1</v>
      </c>
      <c r="E1658" s="225" t="n"/>
      <c r="F1658" s="225" t="n"/>
      <c r="G1658" s="225" t="n"/>
      <c r="H1658" s="225" t="n"/>
      <c r="I1658" s="223" t="n">
        <v>22000</v>
      </c>
      <c r="J1658" s="305" t="n">
        <v>22000</v>
      </c>
      <c r="K1658" s="305" t="n">
        <v>0</v>
      </c>
      <c r="L1658" s="224" t="n">
        <v>7000</v>
      </c>
    </row>
    <row r="1659" ht="15" customHeight="1" s="153">
      <c r="A1659" s="306" t="inlineStr">
        <is>
          <t>13/02/2026</t>
        </is>
      </c>
      <c r="B1659" s="307" t="inlineStr">
        <is>
          <t>Febrero</t>
        </is>
      </c>
      <c r="C1659" s="310" t="inlineStr">
        <is>
          <t>PEDRO ZENTENO 2744</t>
        </is>
      </c>
      <c r="D1659" s="218" t="n">
        <v>1</v>
      </c>
      <c r="E1659" s="218" t="n"/>
      <c r="F1659" s="218" t="n"/>
      <c r="G1659" s="218" t="n"/>
      <c r="H1659" s="218" t="n"/>
      <c r="I1659" s="216" t="n">
        <v>22000</v>
      </c>
      <c r="J1659" s="309" t="n">
        <v>22000</v>
      </c>
      <c r="K1659" s="309" t="n">
        <v>0</v>
      </c>
      <c r="L1659" s="236" t="n">
        <v>7000</v>
      </c>
    </row>
    <row r="1660" ht="15" customHeight="1" s="153">
      <c r="A1660" s="302" t="inlineStr">
        <is>
          <t>30/01/2026</t>
        </is>
      </c>
      <c r="B1660" s="303" t="inlineStr">
        <is>
          <t>Enero</t>
        </is>
      </c>
      <c r="C1660" s="311" t="inlineStr">
        <is>
          <t>PENALOZA 6438</t>
        </is>
      </c>
      <c r="D1660" s="225" t="n">
        <v>1</v>
      </c>
      <c r="E1660" s="225" t="n"/>
      <c r="F1660" s="225" t="n"/>
      <c r="G1660" s="225" t="n"/>
      <c r="H1660" s="225" t="n"/>
      <c r="I1660" s="223" t="n">
        <v>21000</v>
      </c>
      <c r="J1660" s="305" t="n">
        <v>21000</v>
      </c>
      <c r="K1660" s="305" t="n">
        <v>0</v>
      </c>
      <c r="L1660" s="224" t="n">
        <v>6000</v>
      </c>
    </row>
    <row r="1661" ht="15" customHeight="1" s="153">
      <c r="A1661" s="306" t="inlineStr">
        <is>
          <t>09/03/2026</t>
        </is>
      </c>
      <c r="B1661" s="307" t="inlineStr">
        <is>
          <t>Marzo</t>
        </is>
      </c>
      <c r="C1661" s="310" t="inlineStr">
        <is>
          <t>PENALOZA 7220</t>
        </is>
      </c>
      <c r="D1661" s="218" t="n"/>
      <c r="E1661" s="218" t="n"/>
      <c r="F1661" s="218" t="n">
        <v>1</v>
      </c>
      <c r="G1661" s="218" t="n"/>
      <c r="H1661" s="218" t="n"/>
      <c r="I1661" s="216" t="n">
        <v>74000</v>
      </c>
      <c r="J1661" s="309" t="n">
        <v>0</v>
      </c>
      <c r="K1661" s="309" t="n">
        <v>74000</v>
      </c>
      <c r="L1661" s="236" t="n">
        <v>14000</v>
      </c>
    </row>
    <row r="1662" ht="15" customHeight="1" s="153">
      <c r="A1662" s="302" t="inlineStr">
        <is>
          <t>05/02/2026</t>
        </is>
      </c>
      <c r="B1662" s="303" t="inlineStr">
        <is>
          <t>Abril</t>
        </is>
      </c>
      <c r="C1662" s="311" t="inlineStr">
        <is>
          <t>PENALOZA 9757</t>
        </is>
      </c>
      <c r="D1662" s="225" t="n">
        <v>1</v>
      </c>
      <c r="E1662" s="225" t="n"/>
      <c r="F1662" s="225" t="n"/>
      <c r="G1662" s="225" t="n"/>
      <c r="H1662" s="225" t="n"/>
      <c r="I1662" s="223" t="n">
        <v>25500</v>
      </c>
      <c r="J1662" s="305" t="n">
        <v>0</v>
      </c>
      <c r="K1662" s="305" t="n">
        <v>25500</v>
      </c>
      <c r="L1662" s="224" t="n">
        <v>10500</v>
      </c>
    </row>
    <row r="1663" ht="15" customHeight="1" s="153">
      <c r="A1663" s="302" t="inlineStr">
        <is>
          <t>21/02/2026</t>
        </is>
      </c>
      <c r="B1663" s="303" t="inlineStr">
        <is>
          <t>Febrero</t>
        </is>
      </c>
      <c r="C1663" s="311" t="inlineStr">
        <is>
          <t>PENALOZA 9757</t>
        </is>
      </c>
      <c r="D1663" s="225" t="n">
        <v>1</v>
      </c>
      <c r="E1663" s="225" t="n"/>
      <c r="F1663" s="225" t="n"/>
      <c r="G1663" s="225" t="n"/>
      <c r="H1663" s="225" t="n"/>
      <c r="I1663" s="223" t="n">
        <v>22000</v>
      </c>
      <c r="J1663" s="305" t="n">
        <v>0</v>
      </c>
      <c r="K1663" s="305" t="n">
        <v>22000</v>
      </c>
      <c r="L1663" s="224" t="n">
        <v>7000</v>
      </c>
    </row>
    <row r="1664" ht="15" customHeight="1" s="153">
      <c r="A1664" s="302" t="inlineStr">
        <is>
          <t>14/03/2026</t>
        </is>
      </c>
      <c r="B1664" s="303" t="inlineStr">
        <is>
          <t>Marzo</t>
        </is>
      </c>
      <c r="C1664" s="311" t="inlineStr">
        <is>
          <t>PENALOZA 9757</t>
        </is>
      </c>
      <c r="D1664" s="225" t="n">
        <v>1</v>
      </c>
      <c r="E1664" s="225" t="n"/>
      <c r="F1664" s="225" t="n"/>
      <c r="G1664" s="225" t="n"/>
      <c r="H1664" s="225" t="n"/>
      <c r="I1664" s="223" t="n">
        <v>23000</v>
      </c>
      <c r="J1664" s="305" t="n">
        <v>23000</v>
      </c>
      <c r="K1664" s="305" t="n">
        <v>0</v>
      </c>
      <c r="L1664" s="224" t="n">
        <v>8000</v>
      </c>
    </row>
    <row r="1665" ht="15" customHeight="1" s="153">
      <c r="A1665" s="306" t="inlineStr">
        <is>
          <t>25/03/2026</t>
        </is>
      </c>
      <c r="B1665" s="307" t="inlineStr">
        <is>
          <t>Marzo</t>
        </is>
      </c>
      <c r="C1665" s="310" t="inlineStr">
        <is>
          <t>PERU 3841</t>
        </is>
      </c>
      <c r="D1665" s="218" t="n">
        <v>1</v>
      </c>
      <c r="E1665" s="218" t="n"/>
      <c r="F1665" s="218" t="n"/>
      <c r="G1665" s="218" t="n"/>
      <c r="H1665" s="218" t="n"/>
      <c r="I1665" s="216" t="n">
        <v>24500</v>
      </c>
      <c r="J1665" s="309" t="n">
        <v>0</v>
      </c>
      <c r="K1665" s="309" t="n">
        <v>24500</v>
      </c>
      <c r="L1665" s="236" t="n">
        <v>9500</v>
      </c>
    </row>
    <row r="1666" ht="15" customHeight="1" s="153">
      <c r="A1666" s="302" t="inlineStr">
        <is>
          <t>22/04/2026</t>
        </is>
      </c>
      <c r="B1666" s="303" t="inlineStr">
        <is>
          <t>Abril</t>
        </is>
      </c>
      <c r="C1666" s="311" t="inlineStr">
        <is>
          <t>PEÑALOZA 7716</t>
        </is>
      </c>
      <c r="D1666" s="225" t="n">
        <v>1</v>
      </c>
      <c r="E1666" s="225" t="n"/>
      <c r="F1666" s="225" t="n"/>
      <c r="G1666" s="225" t="n"/>
      <c r="H1666" s="225" t="n"/>
      <c r="I1666" s="223" t="n">
        <v>25000</v>
      </c>
      <c r="J1666" s="305" t="n">
        <v>0</v>
      </c>
      <c r="K1666" s="305" t="n">
        <v>25000</v>
      </c>
      <c r="L1666" s="224" t="n">
        <v>10000</v>
      </c>
    </row>
    <row r="1667" ht="15" customHeight="1" s="153">
      <c r="A1667" s="306" t="inlineStr">
        <is>
          <t>20/04/2026</t>
        </is>
      </c>
      <c r="B1667" s="307" t="inlineStr">
        <is>
          <t>Abril</t>
        </is>
      </c>
      <c r="C1667" s="310" t="inlineStr">
        <is>
          <t>PEÑALOZA 9757</t>
        </is>
      </c>
      <c r="D1667" s="218" t="n">
        <v>1</v>
      </c>
      <c r="E1667" s="218" t="n"/>
      <c r="F1667" s="218" t="n"/>
      <c r="G1667" s="218" t="n"/>
      <c r="H1667" s="218" t="n"/>
      <c r="I1667" s="216" t="n">
        <v>26000</v>
      </c>
      <c r="J1667" s="309" t="n">
        <v>26000</v>
      </c>
      <c r="K1667" s="309" t="n">
        <v>0</v>
      </c>
      <c r="L1667" s="236" t="n">
        <v>11000</v>
      </c>
    </row>
    <row r="1668" ht="15" customHeight="1" s="153">
      <c r="A1668" s="302" t="inlineStr">
        <is>
          <t>17/01/2026</t>
        </is>
      </c>
      <c r="B1668" s="303" t="inlineStr">
        <is>
          <t>Enero</t>
        </is>
      </c>
      <c r="C1668" s="311" t="inlineStr">
        <is>
          <t>PICHI</t>
        </is>
      </c>
      <c r="D1668" s="225" t="n">
        <v>1</v>
      </c>
      <c r="E1668" s="225" t="n"/>
      <c r="F1668" s="225" t="n"/>
      <c r="G1668" s="225" t="n"/>
      <c r="H1668" s="225" t="n"/>
      <c r="I1668" s="223" t="n">
        <v>18000</v>
      </c>
      <c r="J1668" s="305" t="n">
        <v>18000</v>
      </c>
      <c r="K1668" s="305" t="n">
        <v>0</v>
      </c>
      <c r="L1668" s="224" t="n">
        <v>3000</v>
      </c>
    </row>
    <row r="1669" ht="15" customHeight="1" s="153">
      <c r="A1669" s="302" t="inlineStr">
        <is>
          <t>17/02/2026</t>
        </is>
      </c>
      <c r="B1669" s="303" t="inlineStr">
        <is>
          <t>Febrero</t>
        </is>
      </c>
      <c r="C1669" s="311" t="inlineStr">
        <is>
          <t>PICHI</t>
        </is>
      </c>
      <c r="D1669" s="225" t="n">
        <v>1</v>
      </c>
      <c r="E1669" s="225" t="n"/>
      <c r="F1669" s="225" t="n"/>
      <c r="G1669" s="225" t="n"/>
      <c r="H1669" s="225" t="n"/>
      <c r="I1669" s="223" t="n">
        <v>18000</v>
      </c>
      <c r="J1669" s="305" t="n">
        <v>18000</v>
      </c>
      <c r="K1669" s="305" t="n">
        <v>0</v>
      </c>
      <c r="L1669" s="224" t="n">
        <v>3000</v>
      </c>
    </row>
    <row r="1670" ht="15" customHeight="1" s="153">
      <c r="A1670" s="302" t="inlineStr">
        <is>
          <t>18/04/2026</t>
        </is>
      </c>
      <c r="B1670" s="303" t="inlineStr">
        <is>
          <t>Abril</t>
        </is>
      </c>
      <c r="C1670" s="311" t="inlineStr">
        <is>
          <t>PICHI</t>
        </is>
      </c>
      <c r="D1670" s="225" t="n">
        <v>1</v>
      </c>
      <c r="E1670" s="225" t="n"/>
      <c r="F1670" s="225" t="n"/>
      <c r="G1670" s="225" t="n"/>
      <c r="H1670" s="225" t="n"/>
      <c r="I1670" s="223" t="n">
        <v>23000</v>
      </c>
      <c r="J1670" s="305" t="n">
        <v>11000</v>
      </c>
      <c r="K1670" s="305" t="n">
        <v>12000</v>
      </c>
      <c r="L1670" s="224" t="n">
        <v>8000</v>
      </c>
    </row>
    <row r="1671" ht="15" customHeight="1" s="153">
      <c r="A1671" s="306" t="inlineStr">
        <is>
          <t>09/04/2026</t>
        </is>
      </c>
      <c r="B1671" s="307" t="inlineStr">
        <is>
          <t>Abril</t>
        </is>
      </c>
      <c r="C1671" s="310" t="inlineStr">
        <is>
          <t>PIEDRABUENA 1927</t>
        </is>
      </c>
      <c r="D1671" s="218" t="n"/>
      <c r="E1671" s="218" t="n"/>
      <c r="F1671" s="218" t="n">
        <v>1</v>
      </c>
      <c r="G1671" s="218" t="n"/>
      <c r="H1671" s="218" t="n"/>
      <c r="I1671" s="216" t="n">
        <v>86000</v>
      </c>
      <c r="J1671" s="309" t="n">
        <v>86000</v>
      </c>
      <c r="K1671" s="309" t="n">
        <v>0</v>
      </c>
      <c r="L1671" s="236" t="n">
        <v>26000</v>
      </c>
    </row>
    <row r="1672" ht="15" customHeight="1" s="153">
      <c r="A1672" s="302" t="inlineStr">
        <is>
          <t>03/03/2026</t>
        </is>
      </c>
      <c r="B1672" s="303" t="inlineStr">
        <is>
          <t>Marzo</t>
        </is>
      </c>
      <c r="C1672" s="311" t="inlineStr">
        <is>
          <t>PIEDRABUENA 4506</t>
        </is>
      </c>
      <c r="D1672" s="225" t="n"/>
      <c r="E1672" s="225" t="n"/>
      <c r="F1672" s="225" t="n">
        <v>1</v>
      </c>
      <c r="G1672" s="225" t="n"/>
      <c r="H1672" s="225" t="n"/>
      <c r="I1672" s="223" t="n">
        <v>77000</v>
      </c>
      <c r="J1672" s="305" t="n">
        <v>77000</v>
      </c>
      <c r="K1672" s="305" t="n">
        <v>0</v>
      </c>
      <c r="L1672" s="224" t="n">
        <v>17000</v>
      </c>
    </row>
    <row r="1673" ht="15" customHeight="1" s="153">
      <c r="A1673" s="306" t="inlineStr">
        <is>
          <t>10/03/2026</t>
        </is>
      </c>
      <c r="B1673" s="307" t="inlineStr">
        <is>
          <t>Marzo</t>
        </is>
      </c>
      <c r="C1673" s="310" t="inlineStr">
        <is>
          <t>PIEDRABUENA 4599</t>
        </is>
      </c>
      <c r="D1673" s="218" t="n"/>
      <c r="E1673" s="218" t="n"/>
      <c r="F1673" s="218" t="n">
        <v>1</v>
      </c>
      <c r="G1673" s="218" t="n"/>
      <c r="H1673" s="218" t="n"/>
      <c r="I1673" s="216" t="n">
        <v>76000</v>
      </c>
      <c r="J1673" s="309" t="n">
        <v>0</v>
      </c>
      <c r="K1673" s="309" t="n">
        <v>76000</v>
      </c>
      <c r="L1673" s="236" t="n">
        <v>16000</v>
      </c>
    </row>
    <row r="1674" ht="15" customHeight="1" s="153">
      <c r="A1674" s="302" t="inlineStr">
        <is>
          <t>27/02/2026</t>
        </is>
      </c>
      <c r="B1674" s="303" t="inlineStr">
        <is>
          <t>Febrero</t>
        </is>
      </c>
      <c r="C1674" s="311" t="inlineStr">
        <is>
          <t>PIO PANDOLFO 9061</t>
        </is>
      </c>
      <c r="D1674" s="225" t="n">
        <v>1</v>
      </c>
      <c r="E1674" s="225" t="n"/>
      <c r="F1674" s="225" t="n"/>
      <c r="G1674" s="225" t="n"/>
      <c r="H1674" s="225" t="n"/>
      <c r="I1674" s="223" t="n">
        <v>23000</v>
      </c>
      <c r="J1674" s="305" t="n">
        <v>23000</v>
      </c>
      <c r="K1674" s="305" t="n">
        <v>0</v>
      </c>
      <c r="L1674" s="224" t="n">
        <v>8000</v>
      </c>
    </row>
    <row r="1675" ht="15" customHeight="1" s="153">
      <c r="A1675" s="306" t="inlineStr">
        <is>
          <t>28/01/2026</t>
        </is>
      </c>
      <c r="B1675" s="307" t="inlineStr">
        <is>
          <t>Enero</t>
        </is>
      </c>
      <c r="C1675" s="310" t="inlineStr">
        <is>
          <t>PIRU</t>
        </is>
      </c>
      <c r="D1675" s="218" t="n"/>
      <c r="E1675" s="218" t="n">
        <v>1</v>
      </c>
      <c r="F1675" s="218" t="n"/>
      <c r="G1675" s="218" t="n"/>
      <c r="H1675" s="218" t="n"/>
      <c r="I1675" s="216" t="n">
        <v>31000</v>
      </c>
      <c r="J1675" s="309" t="n">
        <v>31000</v>
      </c>
      <c r="K1675" s="309" t="n">
        <v>0</v>
      </c>
      <c r="L1675" s="236" t="n">
        <v>8500</v>
      </c>
    </row>
    <row r="1676" ht="15" customHeight="1" s="153">
      <c r="A1676" s="306" t="inlineStr">
        <is>
          <t>05/02/2026</t>
        </is>
      </c>
      <c r="B1676" s="307" t="inlineStr">
        <is>
          <t>Abril</t>
        </is>
      </c>
      <c r="C1676" s="310" t="inlineStr">
        <is>
          <t>PIRU</t>
        </is>
      </c>
      <c r="D1676" s="218" t="n"/>
      <c r="E1676" s="218" t="n">
        <v>1</v>
      </c>
      <c r="F1676" s="218" t="n"/>
      <c r="G1676" s="218" t="n"/>
      <c r="H1676" s="218" t="n"/>
      <c r="I1676" s="216" t="n">
        <v>35500</v>
      </c>
      <c r="J1676" s="309" t="n">
        <v>0</v>
      </c>
      <c r="K1676" s="309" t="n">
        <v>35500</v>
      </c>
      <c r="L1676" s="236" t="n">
        <v>13000</v>
      </c>
    </row>
    <row r="1677" ht="15" customHeight="1" s="153">
      <c r="A1677" s="306" t="inlineStr">
        <is>
          <t>04/03/2026</t>
        </is>
      </c>
      <c r="B1677" s="307" t="inlineStr">
        <is>
          <t>Marzo</t>
        </is>
      </c>
      <c r="C1677" s="310" t="inlineStr">
        <is>
          <t>PIRU</t>
        </is>
      </c>
      <c r="D1677" s="218" t="n"/>
      <c r="E1677" s="218" t="n">
        <v>1</v>
      </c>
      <c r="F1677" s="218" t="n"/>
      <c r="G1677" s="218" t="n"/>
      <c r="H1677" s="218" t="n"/>
      <c r="I1677" s="216" t="n">
        <v>31500</v>
      </c>
      <c r="J1677" s="309" t="n">
        <v>31500</v>
      </c>
      <c r="K1677" s="309" t="n">
        <v>0</v>
      </c>
      <c r="L1677" s="236" t="n">
        <v>9000</v>
      </c>
    </row>
    <row r="1678" ht="15" customHeight="1" s="153">
      <c r="A1678" s="302" t="inlineStr">
        <is>
          <t>19/04/2026</t>
        </is>
      </c>
      <c r="B1678" s="303" t="inlineStr">
        <is>
          <t>Abril</t>
        </is>
      </c>
      <c r="C1678" s="311" t="inlineStr">
        <is>
          <t>PIZZA TRUCK</t>
        </is>
      </c>
      <c r="D1678" s="225" t="n">
        <v>1</v>
      </c>
      <c r="E1678" s="225" t="n"/>
      <c r="F1678" s="225" t="n"/>
      <c r="G1678" s="225" t="n"/>
      <c r="H1678" s="225" t="n"/>
      <c r="I1678" s="223" t="n">
        <v>22000</v>
      </c>
      <c r="J1678" s="305" t="n">
        <v>0</v>
      </c>
      <c r="K1678" s="305" t="n">
        <v>22000</v>
      </c>
      <c r="L1678" s="224" t="n">
        <v>7000</v>
      </c>
    </row>
    <row r="1679" ht="15" customHeight="1" s="153">
      <c r="A1679" s="306" t="inlineStr">
        <is>
          <t>10/04/2026</t>
        </is>
      </c>
      <c r="B1679" s="307" t="inlineStr">
        <is>
          <t>Abril</t>
        </is>
      </c>
      <c r="C1679" s="310" t="inlineStr">
        <is>
          <t>PJE AGUIAR 9340</t>
        </is>
      </c>
      <c r="D1679" s="218" t="n"/>
      <c r="E1679" s="218" t="n">
        <v>1</v>
      </c>
      <c r="F1679" s="218" t="n"/>
      <c r="G1679" s="218" t="n"/>
      <c r="H1679" s="218" t="n"/>
      <c r="I1679" s="216" t="n">
        <v>36500</v>
      </c>
      <c r="J1679" s="309" t="n">
        <v>0</v>
      </c>
      <c r="K1679" s="309" t="n">
        <v>36500</v>
      </c>
      <c r="L1679" s="236" t="n">
        <v>14000</v>
      </c>
    </row>
    <row r="1680" ht="15" customHeight="1" s="153">
      <c r="A1680" s="302" t="inlineStr">
        <is>
          <t>06/04/2026</t>
        </is>
      </c>
      <c r="B1680" s="303" t="inlineStr">
        <is>
          <t>Abril</t>
        </is>
      </c>
      <c r="C1680" s="311" t="inlineStr">
        <is>
          <t>PJE GIMNASIA 5186</t>
        </is>
      </c>
      <c r="D1680" s="225" t="n">
        <v>1</v>
      </c>
      <c r="E1680" s="225" t="n"/>
      <c r="F1680" s="225" t="n"/>
      <c r="G1680" s="225" t="n"/>
      <c r="H1680" s="225" t="n"/>
      <c r="I1680" s="223" t="n">
        <v>27000</v>
      </c>
      <c r="J1680" s="305" t="n">
        <v>27000</v>
      </c>
      <c r="K1680" s="305" t="n">
        <v>0</v>
      </c>
      <c r="L1680" s="224" t="n">
        <v>12000</v>
      </c>
    </row>
    <row r="1681" ht="15" customHeight="1" s="153">
      <c r="A1681" s="306" t="inlineStr">
        <is>
          <t>14/03/2026</t>
        </is>
      </c>
      <c r="B1681" s="307" t="inlineStr">
        <is>
          <t>Marzo</t>
        </is>
      </c>
      <c r="C1681" s="310" t="inlineStr">
        <is>
          <t>PJE LUIS BELTRAN 4362</t>
        </is>
      </c>
      <c r="D1681" s="218" t="n"/>
      <c r="E1681" s="218" t="n"/>
      <c r="F1681" s="218" t="n">
        <v>1</v>
      </c>
      <c r="G1681" s="218" t="n"/>
      <c r="H1681" s="218" t="n"/>
      <c r="I1681" s="216" t="n">
        <v>79900</v>
      </c>
      <c r="J1681" s="309" t="n">
        <v>79900</v>
      </c>
      <c r="K1681" s="309" t="n">
        <v>0</v>
      </c>
      <c r="L1681" s="236" t="n">
        <v>19900</v>
      </c>
    </row>
    <row r="1682" ht="15" customHeight="1" s="153">
      <c r="A1682" s="302" t="inlineStr">
        <is>
          <t>06/04/2026</t>
        </is>
      </c>
      <c r="B1682" s="303" t="inlineStr">
        <is>
          <t>Abril</t>
        </is>
      </c>
      <c r="C1682" s="311" t="inlineStr">
        <is>
          <t>PJE MANUE LEIVA 4230</t>
        </is>
      </c>
      <c r="D1682" s="225" t="n">
        <v>1</v>
      </c>
      <c r="E1682" s="225" t="n"/>
      <c r="F1682" s="225" t="n"/>
      <c r="G1682" s="225" t="n"/>
      <c r="H1682" s="225" t="n"/>
      <c r="I1682" s="223" t="n">
        <v>26000</v>
      </c>
      <c r="J1682" s="305" t="n">
        <v>26000</v>
      </c>
      <c r="K1682" s="305" t="n">
        <v>0</v>
      </c>
      <c r="L1682" s="224" t="n">
        <v>11000</v>
      </c>
    </row>
    <row r="1683" ht="15" customHeight="1" s="153">
      <c r="A1683" s="306" t="inlineStr">
        <is>
          <t>06/01/2026</t>
        </is>
      </c>
      <c r="B1683" s="307" t="inlineStr">
        <is>
          <t>Enero</t>
        </is>
      </c>
      <c r="C1683" s="310" t="inlineStr">
        <is>
          <t>PJE MITRE 2409</t>
        </is>
      </c>
      <c r="D1683" s="218" t="n">
        <v>1</v>
      </c>
      <c r="E1683" s="218" t="n"/>
      <c r="F1683" s="218" t="n"/>
      <c r="G1683" s="218" t="n"/>
      <c r="H1683" s="218" t="n"/>
      <c r="I1683" s="216" t="n">
        <v>19500</v>
      </c>
      <c r="J1683" s="309" t="n">
        <v>19500</v>
      </c>
      <c r="K1683" s="309" t="n">
        <v>0</v>
      </c>
      <c r="L1683" s="236" t="n">
        <v>4500</v>
      </c>
    </row>
    <row r="1684" ht="15" customHeight="1" s="153">
      <c r="A1684" s="302" t="inlineStr">
        <is>
          <t>24/03/2026</t>
        </is>
      </c>
      <c r="B1684" s="303" t="inlineStr">
        <is>
          <t>Marzo</t>
        </is>
      </c>
      <c r="C1684" s="311" t="inlineStr">
        <is>
          <t>PJE PAEZ Y 25 MAYO</t>
        </is>
      </c>
      <c r="D1684" s="225" t="n"/>
      <c r="E1684" s="225" t="n">
        <v>1</v>
      </c>
      <c r="F1684" s="225" t="n"/>
      <c r="G1684" s="225" t="n"/>
      <c r="H1684" s="225" t="n"/>
      <c r="I1684" s="223" t="n">
        <v>37500</v>
      </c>
      <c r="J1684" s="305" t="n">
        <v>0</v>
      </c>
      <c r="K1684" s="305" t="n">
        <v>37500</v>
      </c>
      <c r="L1684" s="224" t="n">
        <v>15000</v>
      </c>
    </row>
    <row r="1685" ht="15" customHeight="1" s="153">
      <c r="A1685" s="306" t="inlineStr">
        <is>
          <t>28/01/2026</t>
        </is>
      </c>
      <c r="B1685" s="307" t="inlineStr">
        <is>
          <t>Enero</t>
        </is>
      </c>
      <c r="C1685" s="310" t="inlineStr">
        <is>
          <t>PJE PUBLICO  2553</t>
        </is>
      </c>
      <c r="D1685" s="218" t="n">
        <v>1</v>
      </c>
      <c r="E1685" s="218" t="n"/>
      <c r="F1685" s="218" t="n"/>
      <c r="G1685" s="218" t="n"/>
      <c r="H1685" s="218" t="n"/>
      <c r="I1685" s="216" t="n">
        <v>22000</v>
      </c>
      <c r="J1685" s="309" t="n">
        <v>22000</v>
      </c>
      <c r="K1685" s="309" t="n">
        <v>0</v>
      </c>
      <c r="L1685" s="236" t="n">
        <v>7000</v>
      </c>
    </row>
    <row r="1686" ht="15" customHeight="1" s="153">
      <c r="A1686" s="302" t="inlineStr">
        <is>
          <t>24/03/2026</t>
        </is>
      </c>
      <c r="B1686" s="303" t="inlineStr">
        <is>
          <t>Marzo</t>
        </is>
      </c>
      <c r="C1686" s="311" t="inlineStr">
        <is>
          <t>PJE PUBLICO 2035</t>
        </is>
      </c>
      <c r="D1686" s="225" t="n"/>
      <c r="E1686" s="225" t="n"/>
      <c r="F1686" s="225" t="n">
        <v>1</v>
      </c>
      <c r="G1686" s="225" t="n"/>
      <c r="H1686" s="225" t="n"/>
      <c r="I1686" s="223" t="n">
        <v>80000</v>
      </c>
      <c r="J1686" s="305" t="n">
        <v>0</v>
      </c>
      <c r="K1686" s="305" t="n">
        <v>80000</v>
      </c>
      <c r="L1686" s="224" t="n">
        <v>20000</v>
      </c>
    </row>
    <row r="1687" ht="15" customHeight="1" s="153">
      <c r="A1687" s="306" t="inlineStr">
        <is>
          <t>14/03/2026</t>
        </is>
      </c>
      <c r="B1687" s="307" t="inlineStr">
        <is>
          <t>Marzo</t>
        </is>
      </c>
      <c r="C1687" s="310" t="inlineStr">
        <is>
          <t>PJE ROCA 6371</t>
        </is>
      </c>
      <c r="D1687" s="218" t="n"/>
      <c r="E1687" s="218" t="n"/>
      <c r="F1687" s="218" t="n">
        <v>1</v>
      </c>
      <c r="G1687" s="218" t="n"/>
      <c r="H1687" s="218" t="n"/>
      <c r="I1687" s="216" t="n">
        <v>77000</v>
      </c>
      <c r="J1687" s="309" t="n">
        <v>77000</v>
      </c>
      <c r="K1687" s="309" t="n">
        <v>0</v>
      </c>
      <c r="L1687" s="236" t="n">
        <v>17000</v>
      </c>
    </row>
    <row r="1688" ht="15" customHeight="1" s="153">
      <c r="A1688" s="302" t="inlineStr">
        <is>
          <t>14/03/2026</t>
        </is>
      </c>
      <c r="B1688" s="303" t="inlineStr">
        <is>
          <t>Marzo</t>
        </is>
      </c>
      <c r="C1688" s="311" t="inlineStr">
        <is>
          <t>POLLERIA ARISTOBULO</t>
        </is>
      </c>
      <c r="D1688" s="225" t="n">
        <v>2</v>
      </c>
      <c r="E1688" s="225" t="n"/>
      <c r="F1688" s="225" t="n"/>
      <c r="G1688" s="225" t="n"/>
      <c r="H1688" s="225" t="n"/>
      <c r="I1688" s="223" t="n">
        <v>32000</v>
      </c>
      <c r="J1688" s="305" t="n">
        <v>32000</v>
      </c>
      <c r="K1688" s="305" t="n">
        <v>0</v>
      </c>
      <c r="L1688" s="224" t="n">
        <v>2000</v>
      </c>
    </row>
    <row r="1689" ht="15" customHeight="1" s="153">
      <c r="A1689" s="306" t="inlineStr">
        <is>
          <t>18/01/2026</t>
        </is>
      </c>
      <c r="B1689" s="307" t="inlineStr">
        <is>
          <t>Enero</t>
        </is>
      </c>
      <c r="C1689" s="310" t="inlineStr">
        <is>
          <t>POLLERIA BLAS PARERA</t>
        </is>
      </c>
      <c r="D1689" s="218" t="n">
        <v>1</v>
      </c>
      <c r="E1689" s="218" t="n"/>
      <c r="F1689" s="218" t="n"/>
      <c r="G1689" s="218" t="n"/>
      <c r="H1689" s="218" t="n"/>
      <c r="I1689" s="216" t="n">
        <v>17000</v>
      </c>
      <c r="J1689" s="309" t="n">
        <v>17000</v>
      </c>
      <c r="K1689" s="309" t="n">
        <v>0</v>
      </c>
      <c r="L1689" s="236" t="n">
        <v>2000</v>
      </c>
    </row>
    <row r="1690" ht="15" customHeight="1" s="153">
      <c r="A1690" s="306" t="inlineStr">
        <is>
          <t>01/02/2026</t>
        </is>
      </c>
      <c r="B1690" s="307" t="inlineStr">
        <is>
          <t>Febrero</t>
        </is>
      </c>
      <c r="C1690" s="310" t="inlineStr">
        <is>
          <t>POLLERIA BLAS PARERA</t>
        </is>
      </c>
      <c r="D1690" s="218" t="n">
        <v>1</v>
      </c>
      <c r="E1690" s="218" t="n"/>
      <c r="F1690" s="218" t="n"/>
      <c r="G1690" s="218" t="n"/>
      <c r="H1690" s="218" t="n"/>
      <c r="I1690" s="216" t="n">
        <v>17000</v>
      </c>
      <c r="J1690" s="309" t="n">
        <v>17000</v>
      </c>
      <c r="K1690" s="309" t="n">
        <v>0</v>
      </c>
      <c r="L1690" s="236" t="n">
        <v>2000</v>
      </c>
    </row>
    <row r="1691" ht="15" customHeight="1" s="153">
      <c r="A1691" s="306" t="inlineStr">
        <is>
          <t>15/02/2026</t>
        </is>
      </c>
      <c r="B1691" s="307" t="inlineStr">
        <is>
          <t>Febrero</t>
        </is>
      </c>
      <c r="C1691" s="310" t="inlineStr">
        <is>
          <t>POLLERIA BLAS PARERA</t>
        </is>
      </c>
      <c r="D1691" s="218" t="n">
        <v>1</v>
      </c>
      <c r="E1691" s="218" t="n"/>
      <c r="F1691" s="218" t="n"/>
      <c r="G1691" s="218" t="n"/>
      <c r="H1691" s="218" t="n"/>
      <c r="I1691" s="216" t="n">
        <v>17000</v>
      </c>
      <c r="J1691" s="309" t="n">
        <v>17000</v>
      </c>
      <c r="K1691" s="309" t="n">
        <v>0</v>
      </c>
      <c r="L1691" s="236" t="n">
        <v>2000</v>
      </c>
    </row>
    <row r="1692" ht="15" customHeight="1" s="153">
      <c r="A1692" s="302" t="inlineStr">
        <is>
          <t>03/03/2026</t>
        </is>
      </c>
      <c r="B1692" s="303" t="inlineStr">
        <is>
          <t>Marzo</t>
        </is>
      </c>
      <c r="C1692" s="311" t="inlineStr">
        <is>
          <t>POLLERIA BLASPA</t>
        </is>
      </c>
      <c r="D1692" s="225" t="n">
        <v>1</v>
      </c>
      <c r="E1692" s="225" t="n"/>
      <c r="F1692" s="225" t="n"/>
      <c r="G1692" s="225" t="n"/>
      <c r="H1692" s="225" t="n"/>
      <c r="I1692" s="223" t="n">
        <v>18000</v>
      </c>
      <c r="J1692" s="305" t="n">
        <v>18000</v>
      </c>
      <c r="K1692" s="305" t="n">
        <v>0</v>
      </c>
      <c r="L1692" s="224" t="n">
        <v>3000</v>
      </c>
    </row>
    <row r="1693" ht="15" customHeight="1" s="153">
      <c r="A1693" s="306" t="inlineStr">
        <is>
          <t>08/01/2026</t>
        </is>
      </c>
      <c r="B1693" s="307" t="inlineStr">
        <is>
          <t>Enero</t>
        </is>
      </c>
      <c r="C1693" s="310" t="inlineStr">
        <is>
          <t>POLLERIA. BLAS PAREA</t>
        </is>
      </c>
      <c r="D1693" s="218" t="n">
        <v>1</v>
      </c>
      <c r="E1693" s="218" t="n"/>
      <c r="F1693" s="218" t="n"/>
      <c r="G1693" s="218" t="n"/>
      <c r="H1693" s="218" t="n"/>
      <c r="I1693" s="216" t="n">
        <v>17000</v>
      </c>
      <c r="J1693" s="309" t="n">
        <v>17000</v>
      </c>
      <c r="K1693" s="309" t="n">
        <v>0</v>
      </c>
      <c r="L1693" s="236" t="n">
        <v>2000</v>
      </c>
    </row>
    <row r="1694" ht="15" customHeight="1" s="153">
      <c r="A1694" s="302" t="inlineStr">
        <is>
          <t>06/02/2026</t>
        </is>
      </c>
      <c r="B1694" s="303" t="inlineStr">
        <is>
          <t>Febrero</t>
        </is>
      </c>
      <c r="C1694" s="311" t="inlineStr">
        <is>
          <t>PORKIS</t>
        </is>
      </c>
      <c r="D1694" s="225" t="n">
        <v>1</v>
      </c>
      <c r="E1694" s="225" t="n"/>
      <c r="F1694" s="225" t="n"/>
      <c r="G1694" s="225" t="n"/>
      <c r="H1694" s="225" t="n"/>
      <c r="I1694" s="223" t="n">
        <v>18500</v>
      </c>
      <c r="J1694" s="305" t="n">
        <v>0</v>
      </c>
      <c r="K1694" s="305" t="n">
        <v>18500</v>
      </c>
      <c r="L1694" s="224" t="n">
        <v>3500</v>
      </c>
    </row>
    <row r="1695" ht="15" customHeight="1" s="153">
      <c r="A1695" s="302" t="inlineStr">
        <is>
          <t>17/04/2026</t>
        </is>
      </c>
      <c r="B1695" s="303" t="inlineStr">
        <is>
          <t>Abril</t>
        </is>
      </c>
      <c r="C1695" s="311" t="inlineStr">
        <is>
          <t>PORKIS</t>
        </is>
      </c>
      <c r="D1695" s="225" t="n">
        <v>1</v>
      </c>
      <c r="E1695" s="225" t="n"/>
      <c r="F1695" s="225" t="n"/>
      <c r="G1695" s="225" t="n"/>
      <c r="H1695" s="225" t="n"/>
      <c r="I1695" s="223" t="n">
        <v>23000</v>
      </c>
      <c r="J1695" s="305" t="n">
        <v>0</v>
      </c>
      <c r="K1695" s="305" t="n">
        <v>23000</v>
      </c>
      <c r="L1695" s="224" t="n">
        <v>8000</v>
      </c>
    </row>
    <row r="1696" ht="15" customHeight="1" s="153">
      <c r="A1696" s="302" t="inlineStr">
        <is>
          <t>19/04/2026</t>
        </is>
      </c>
      <c r="B1696" s="303" t="inlineStr">
        <is>
          <t>Abril</t>
        </is>
      </c>
      <c r="C1696" s="311" t="inlineStr">
        <is>
          <t>PORKIS</t>
        </is>
      </c>
      <c r="D1696" s="225" t="n"/>
      <c r="E1696" s="225" t="n"/>
      <c r="F1696" s="225" t="n">
        <v>1</v>
      </c>
      <c r="G1696" s="225" t="n"/>
      <c r="H1696" s="225" t="n"/>
      <c r="I1696" s="223" t="n">
        <v>82000</v>
      </c>
      <c r="J1696" s="305" t="n">
        <v>0</v>
      </c>
      <c r="K1696" s="305" t="n">
        <v>82000</v>
      </c>
      <c r="L1696" s="224" t="n">
        <v>22000</v>
      </c>
    </row>
    <row r="1697" ht="15" customHeight="1" s="153">
      <c r="A1697" s="306" t="inlineStr">
        <is>
          <t>04/04/2026</t>
        </is>
      </c>
      <c r="B1697" s="307" t="inlineStr">
        <is>
          <t>Abril</t>
        </is>
      </c>
      <c r="C1697" s="310" t="inlineStr">
        <is>
          <t>POSTA COLASTINE</t>
        </is>
      </c>
      <c r="D1697" s="218" t="n">
        <v>5</v>
      </c>
      <c r="E1697" s="218" t="n"/>
      <c r="F1697" s="218" t="n"/>
      <c r="G1697" s="218" t="n"/>
      <c r="H1697" s="218" t="n"/>
      <c r="I1697" s="216" t="n">
        <v>100000</v>
      </c>
      <c r="J1697" s="309" t="n">
        <v>100000</v>
      </c>
      <c r="K1697" s="309" t="n">
        <v>0</v>
      </c>
      <c r="L1697" s="236" t="n">
        <v>25000</v>
      </c>
    </row>
    <row r="1698" ht="15" customHeight="1" s="153">
      <c r="A1698" s="302" t="inlineStr">
        <is>
          <t>01/04/2026</t>
        </is>
      </c>
      <c r="B1698" s="303" t="inlineStr">
        <is>
          <t>Abril</t>
        </is>
      </c>
      <c r="C1698" s="311" t="inlineStr">
        <is>
          <t>POSTA EL TORO</t>
        </is>
      </c>
      <c r="D1698" s="225" t="n">
        <v>2</v>
      </c>
      <c r="E1698" s="225" t="n"/>
      <c r="F1698" s="225" t="n"/>
      <c r="G1698" s="225" t="n"/>
      <c r="H1698" s="225" t="n"/>
      <c r="I1698" s="223" t="n">
        <v>38000</v>
      </c>
      <c r="J1698" s="305" t="n">
        <v>38000</v>
      </c>
      <c r="K1698" s="305" t="n">
        <v>0</v>
      </c>
      <c r="L1698" s="224" t="n">
        <v>8000</v>
      </c>
    </row>
    <row r="1699" ht="15" customHeight="1" s="153">
      <c r="A1699" s="306" t="inlineStr">
        <is>
          <t>06/03/2026</t>
        </is>
      </c>
      <c r="B1699" s="307" t="inlineStr">
        <is>
          <t>Marzo</t>
        </is>
      </c>
      <c r="C1699" s="310" t="inlineStr">
        <is>
          <t>PUBLICO 1829</t>
        </is>
      </c>
      <c r="D1699" s="218" t="n"/>
      <c r="E1699" s="218" t="n"/>
      <c r="F1699" s="218" t="n">
        <v>1</v>
      </c>
      <c r="G1699" s="218" t="n"/>
      <c r="H1699" s="218" t="n"/>
      <c r="I1699" s="216" t="n">
        <v>76000</v>
      </c>
      <c r="J1699" s="309" t="n">
        <v>0</v>
      </c>
      <c r="K1699" s="309" t="n">
        <v>76000</v>
      </c>
      <c r="L1699" s="236" t="n">
        <v>16000</v>
      </c>
    </row>
    <row r="1700" ht="15" customHeight="1" s="153">
      <c r="A1700" s="302" t="inlineStr">
        <is>
          <t>11/03/2026</t>
        </is>
      </c>
      <c r="B1700" s="303" t="inlineStr">
        <is>
          <t>Marzo</t>
        </is>
      </c>
      <c r="C1700" s="311" t="inlineStr">
        <is>
          <t>PUBLICO 2383</t>
        </is>
      </c>
      <c r="D1700" s="225" t="n">
        <v>1</v>
      </c>
      <c r="E1700" s="225" t="n"/>
      <c r="F1700" s="225" t="n">
        <v>1</v>
      </c>
      <c r="G1700" s="225" t="n"/>
      <c r="H1700" s="225" t="n"/>
      <c r="I1700" s="223" t="n">
        <v>104000</v>
      </c>
      <c r="J1700" s="305" t="n">
        <v>0</v>
      </c>
      <c r="K1700" s="305" t="n">
        <v>104000</v>
      </c>
      <c r="L1700" s="224" t="n">
        <v>29000</v>
      </c>
    </row>
    <row r="1701" ht="15" customHeight="1" s="153">
      <c r="A1701" s="306" t="inlineStr">
        <is>
          <t>25/03/2026</t>
        </is>
      </c>
      <c r="B1701" s="307" t="inlineStr">
        <is>
          <t>Marzo</t>
        </is>
      </c>
      <c r="C1701" s="310" t="inlineStr">
        <is>
          <t>PUBLICO 2454</t>
        </is>
      </c>
      <c r="D1701" s="218" t="n"/>
      <c r="E1701" s="218" t="n">
        <v>1</v>
      </c>
      <c r="F1701" s="218" t="n"/>
      <c r="G1701" s="218" t="n"/>
      <c r="H1701" s="218" t="n"/>
      <c r="I1701" s="216" t="n">
        <v>37500</v>
      </c>
      <c r="J1701" s="309" t="n">
        <v>37500</v>
      </c>
      <c r="K1701" s="309" t="n">
        <v>0</v>
      </c>
      <c r="L1701" s="236" t="n">
        <v>15000</v>
      </c>
    </row>
    <row r="1702" ht="15" customHeight="1" s="153">
      <c r="A1702" s="302" t="inlineStr">
        <is>
          <t>14/03/2026</t>
        </is>
      </c>
      <c r="B1702" s="303" t="inlineStr">
        <is>
          <t>Marzo</t>
        </is>
      </c>
      <c r="C1702" s="311" t="inlineStr">
        <is>
          <t>PUBLICO 2527</t>
        </is>
      </c>
      <c r="D1702" s="225" t="n">
        <v>1</v>
      </c>
      <c r="E1702" s="225" t="n">
        <v>1</v>
      </c>
      <c r="F1702" s="225" t="n"/>
      <c r="G1702" s="225" t="n"/>
      <c r="H1702" s="225" t="n"/>
      <c r="I1702" s="223" t="n">
        <v>55500</v>
      </c>
      <c r="J1702" s="305" t="n">
        <v>55500</v>
      </c>
      <c r="K1702" s="305" t="n">
        <v>0</v>
      </c>
      <c r="L1702" s="224" t="n">
        <v>18000</v>
      </c>
    </row>
    <row r="1703" ht="15" customHeight="1" s="153">
      <c r="A1703" s="306" t="inlineStr">
        <is>
          <t>11/02/2026</t>
        </is>
      </c>
      <c r="B1703" s="307" t="inlineStr">
        <is>
          <t>Febrero</t>
        </is>
      </c>
      <c r="C1703" s="310" t="inlineStr">
        <is>
          <t>PUBLICO 2550</t>
        </is>
      </c>
      <c r="D1703" s="218" t="n"/>
      <c r="E1703" s="218" t="n"/>
      <c r="F1703" s="218" t="n">
        <v>1</v>
      </c>
      <c r="G1703" s="218" t="n"/>
      <c r="H1703" s="218" t="n"/>
      <c r="I1703" s="216" t="n">
        <v>74000</v>
      </c>
      <c r="J1703" s="309" t="n">
        <v>0</v>
      </c>
      <c r="K1703" s="309" t="n">
        <v>74000</v>
      </c>
      <c r="L1703" s="236" t="n">
        <v>14000</v>
      </c>
    </row>
    <row r="1704" ht="15" customHeight="1" s="153">
      <c r="A1704" s="306" t="inlineStr">
        <is>
          <t>24/03/2026</t>
        </is>
      </c>
      <c r="B1704" s="307" t="inlineStr">
        <is>
          <t>Marzo</t>
        </is>
      </c>
      <c r="C1704" s="310" t="inlineStr">
        <is>
          <t>PUBLICO 2550</t>
        </is>
      </c>
      <c r="D1704" s="218" t="n"/>
      <c r="E1704" s="218" t="n"/>
      <c r="F1704" s="218" t="n">
        <v>1</v>
      </c>
      <c r="G1704" s="218" t="n"/>
      <c r="H1704" s="218" t="n"/>
      <c r="I1704" s="216" t="n">
        <v>79000</v>
      </c>
      <c r="J1704" s="309" t="n">
        <v>0</v>
      </c>
      <c r="K1704" s="309" t="n">
        <v>79000</v>
      </c>
      <c r="L1704" s="236" t="n">
        <v>19000</v>
      </c>
    </row>
    <row r="1705" ht="15" customHeight="1" s="153">
      <c r="A1705" s="302" t="inlineStr">
        <is>
          <t>07/04/2026</t>
        </is>
      </c>
      <c r="B1705" s="303" t="inlineStr">
        <is>
          <t>Abril</t>
        </is>
      </c>
      <c r="C1705" s="311" t="inlineStr">
        <is>
          <t>PUBLICO 3640</t>
        </is>
      </c>
      <c r="D1705" s="225" t="n">
        <v>1</v>
      </c>
      <c r="E1705" s="225" t="n"/>
      <c r="F1705" s="225" t="n"/>
      <c r="G1705" s="225" t="n"/>
      <c r="H1705" s="225" t="n"/>
      <c r="I1705" s="223" t="n">
        <v>27000</v>
      </c>
      <c r="J1705" s="305" t="n">
        <v>27000</v>
      </c>
      <c r="K1705" s="305" t="n">
        <v>0</v>
      </c>
      <c r="L1705" s="224" t="n">
        <v>12000</v>
      </c>
    </row>
    <row r="1706" ht="15" customHeight="1" s="153">
      <c r="A1706" s="306" t="inlineStr">
        <is>
          <t>10/01/2026</t>
        </is>
      </c>
      <c r="B1706" s="307" t="inlineStr">
        <is>
          <t>Enero</t>
        </is>
      </c>
      <c r="C1706" s="310" t="inlineStr">
        <is>
          <t>PUBLICO 4746</t>
        </is>
      </c>
      <c r="D1706" s="218" t="n"/>
      <c r="E1706" s="218" t="n"/>
      <c r="F1706" s="218" t="n">
        <v>1</v>
      </c>
      <c r="G1706" s="218" t="n"/>
      <c r="H1706" s="218" t="n"/>
      <c r="I1706" s="216" t="n">
        <v>75000</v>
      </c>
      <c r="J1706" s="309" t="n">
        <v>0</v>
      </c>
      <c r="K1706" s="309" t="n">
        <v>75000</v>
      </c>
      <c r="L1706" s="236" t="n">
        <v>15000</v>
      </c>
    </row>
    <row r="1707" ht="15" customHeight="1" s="153">
      <c r="A1707" s="302" t="inlineStr">
        <is>
          <t>08/04/2026</t>
        </is>
      </c>
      <c r="B1707" s="303" t="inlineStr">
        <is>
          <t>Abril</t>
        </is>
      </c>
      <c r="C1707" s="311" t="inlineStr">
        <is>
          <t>PUBLICO 5489 Y CAFERATA</t>
        </is>
      </c>
      <c r="D1707" s="225" t="n">
        <v>1</v>
      </c>
      <c r="E1707" s="225" t="n"/>
      <c r="F1707" s="225" t="n"/>
      <c r="G1707" s="225" t="n"/>
      <c r="H1707" s="225" t="n"/>
      <c r="I1707" s="223" t="n">
        <v>27000</v>
      </c>
      <c r="J1707" s="305" t="n">
        <v>0</v>
      </c>
      <c r="K1707" s="305" t="n">
        <v>27000</v>
      </c>
      <c r="L1707" s="224" t="n">
        <v>12000</v>
      </c>
    </row>
    <row r="1708" ht="15" customHeight="1" s="153">
      <c r="A1708" s="306" t="inlineStr">
        <is>
          <t>18/02/2026</t>
        </is>
      </c>
      <c r="B1708" s="307" t="inlineStr">
        <is>
          <t>Febrero</t>
        </is>
      </c>
      <c r="C1708" s="310" t="inlineStr">
        <is>
          <t>PUBLICO 5712</t>
        </is>
      </c>
      <c r="D1708" s="218" t="n"/>
      <c r="E1708" s="218" t="n">
        <v>1</v>
      </c>
      <c r="F1708" s="218" t="n"/>
      <c r="G1708" s="218" t="n"/>
      <c r="H1708" s="218" t="n"/>
      <c r="I1708" s="216" t="n">
        <v>33500</v>
      </c>
      <c r="J1708" s="309" t="n">
        <v>33500</v>
      </c>
      <c r="K1708" s="309" t="n">
        <v>0</v>
      </c>
      <c r="L1708" s="236" t="n">
        <v>11000</v>
      </c>
    </row>
    <row r="1709" ht="15" customHeight="1" s="153">
      <c r="A1709" s="306" t="inlineStr">
        <is>
          <t>20/04/2026</t>
        </is>
      </c>
      <c r="B1709" s="307" t="inlineStr">
        <is>
          <t>Abril</t>
        </is>
      </c>
      <c r="C1709" s="310" t="inlineStr">
        <is>
          <t>PUBLICO 5712</t>
        </is>
      </c>
      <c r="D1709" s="218" t="n"/>
      <c r="E1709" s="218" t="n">
        <v>1</v>
      </c>
      <c r="F1709" s="218" t="n"/>
      <c r="G1709" s="218" t="n"/>
      <c r="H1709" s="218" t="n"/>
      <c r="I1709" s="216" t="n">
        <v>37000</v>
      </c>
      <c r="J1709" s="309" t="n">
        <v>37000</v>
      </c>
      <c r="K1709" s="309" t="n">
        <v>0</v>
      </c>
      <c r="L1709" s="236" t="n">
        <v>14500</v>
      </c>
    </row>
    <row r="1710" ht="15" customHeight="1" s="153">
      <c r="A1710" s="302" t="inlineStr">
        <is>
          <t>22/02/2026</t>
        </is>
      </c>
      <c r="B1710" s="303" t="inlineStr">
        <is>
          <t>Febrero</t>
        </is>
      </c>
      <c r="C1710" s="311" t="inlineStr">
        <is>
          <t>PUBLICO 5727</t>
        </is>
      </c>
      <c r="D1710" s="225" t="n">
        <v>1</v>
      </c>
      <c r="E1710" s="225" t="n">
        <v>1</v>
      </c>
      <c r="F1710" s="225" t="n"/>
      <c r="G1710" s="225" t="n"/>
      <c r="H1710" s="225" t="n"/>
      <c r="I1710" s="223" t="n">
        <v>55000</v>
      </c>
      <c r="J1710" s="305" t="n">
        <v>0</v>
      </c>
      <c r="K1710" s="305" t="n">
        <v>55000</v>
      </c>
      <c r="L1710" s="224" t="n">
        <v>17500</v>
      </c>
    </row>
    <row r="1711" ht="15" customHeight="1" s="153">
      <c r="A1711" s="302" t="inlineStr">
        <is>
          <t>20/04/2026</t>
        </is>
      </c>
      <c r="B1711" s="303" t="inlineStr">
        <is>
          <t>Abril</t>
        </is>
      </c>
      <c r="C1711" s="311" t="inlineStr">
        <is>
          <t>PUBLICO 5727</t>
        </is>
      </c>
      <c r="D1711" s="225" t="n">
        <v>1</v>
      </c>
      <c r="E1711" s="225" t="n">
        <v>1</v>
      </c>
      <c r="F1711" s="225" t="n"/>
      <c r="G1711" s="225" t="n"/>
      <c r="H1711" s="225" t="n"/>
      <c r="I1711" s="223" t="n">
        <v>63000</v>
      </c>
      <c r="J1711" s="305" t="n">
        <v>0</v>
      </c>
      <c r="K1711" s="305" t="n">
        <v>63000</v>
      </c>
      <c r="L1711" s="224" t="n">
        <v>25500</v>
      </c>
    </row>
    <row r="1712" ht="15" customHeight="1" s="153">
      <c r="A1712" s="306" t="inlineStr">
        <is>
          <t>20/04/2026</t>
        </is>
      </c>
      <c r="B1712" s="307" t="inlineStr">
        <is>
          <t>Abril</t>
        </is>
      </c>
      <c r="C1712" s="310" t="inlineStr">
        <is>
          <t>PUBLICO 5746</t>
        </is>
      </c>
      <c r="D1712" s="218" t="n"/>
      <c r="E1712" s="218" t="n">
        <v>1</v>
      </c>
      <c r="F1712" s="218" t="n"/>
      <c r="G1712" s="218" t="n"/>
      <c r="H1712" s="218" t="n"/>
      <c r="I1712" s="216" t="n">
        <v>37000</v>
      </c>
      <c r="J1712" s="309" t="n">
        <v>37000</v>
      </c>
      <c r="K1712" s="309" t="n">
        <v>0</v>
      </c>
      <c r="L1712" s="236" t="n">
        <v>14500</v>
      </c>
    </row>
    <row r="1713" ht="15" customHeight="1" s="153">
      <c r="A1713" s="302" t="inlineStr">
        <is>
          <t>07/04/2026</t>
        </is>
      </c>
      <c r="B1713" s="303" t="inlineStr">
        <is>
          <t>Abril</t>
        </is>
      </c>
      <c r="C1713" s="311" t="inlineStr">
        <is>
          <t>PUBLICO 8193</t>
        </is>
      </c>
      <c r="D1713" s="225" t="n"/>
      <c r="E1713" s="225" t="n"/>
      <c r="F1713" s="225" t="n">
        <v>1</v>
      </c>
      <c r="G1713" s="225" t="n"/>
      <c r="H1713" s="225" t="n"/>
      <c r="I1713" s="223" t="n">
        <v>84000</v>
      </c>
      <c r="J1713" s="305" t="n">
        <v>0</v>
      </c>
      <c r="K1713" s="305" t="n">
        <v>84000</v>
      </c>
      <c r="L1713" s="224" t="n">
        <v>24000</v>
      </c>
    </row>
    <row r="1714" ht="15" customHeight="1" s="153">
      <c r="A1714" s="306" t="inlineStr">
        <is>
          <t>13/01/2026</t>
        </is>
      </c>
      <c r="B1714" s="307" t="inlineStr">
        <is>
          <t>Enero</t>
        </is>
      </c>
      <c r="C1714" s="310" t="inlineStr">
        <is>
          <t>PUBLICO 8821</t>
        </is>
      </c>
      <c r="D1714" s="218" t="n"/>
      <c r="E1714" s="218" t="n"/>
      <c r="F1714" s="218" t="n">
        <v>1</v>
      </c>
      <c r="G1714" s="218" t="n"/>
      <c r="H1714" s="218" t="n"/>
      <c r="I1714" s="216" t="n">
        <v>75000</v>
      </c>
      <c r="J1714" s="309" t="n">
        <v>0</v>
      </c>
      <c r="K1714" s="309" t="n">
        <v>75000</v>
      </c>
      <c r="L1714" s="236" t="n">
        <v>15000</v>
      </c>
    </row>
    <row r="1715" ht="15" customHeight="1" s="153">
      <c r="A1715" s="302" t="inlineStr">
        <is>
          <t>15/04/2026</t>
        </is>
      </c>
      <c r="B1715" s="303" t="inlineStr">
        <is>
          <t>Abril</t>
        </is>
      </c>
      <c r="C1715" s="311" t="inlineStr">
        <is>
          <t>PUBLICO 9118</t>
        </is>
      </c>
      <c r="D1715" s="225" t="n"/>
      <c r="E1715" s="225" t="n"/>
      <c r="F1715" s="225" t="n">
        <v>1</v>
      </c>
      <c r="G1715" s="225" t="n"/>
      <c r="H1715" s="225" t="n"/>
      <c r="I1715" s="223" t="n">
        <v>88000</v>
      </c>
      <c r="J1715" s="305" t="n">
        <v>0</v>
      </c>
      <c r="K1715" s="305" t="n">
        <v>88000</v>
      </c>
      <c r="L1715" s="224" t="n">
        <v>28000</v>
      </c>
    </row>
    <row r="1716" ht="15" customHeight="1" s="153">
      <c r="A1716" s="306" t="inlineStr">
        <is>
          <t>25/01/2026</t>
        </is>
      </c>
      <c r="B1716" s="307" t="inlineStr">
        <is>
          <t>Enero</t>
        </is>
      </c>
      <c r="C1716" s="310" t="inlineStr">
        <is>
          <t>PUESTO PASTELITOS COSTA</t>
        </is>
      </c>
      <c r="D1716" s="218" t="n">
        <v>1</v>
      </c>
      <c r="E1716" s="218" t="n"/>
      <c r="F1716" s="218" t="n"/>
      <c r="G1716" s="218" t="n"/>
      <c r="H1716" s="218" t="n"/>
      <c r="I1716" s="216" t="n">
        <v>19500</v>
      </c>
      <c r="J1716" s="309" t="n">
        <v>19500</v>
      </c>
      <c r="K1716" s="309" t="n">
        <v>0</v>
      </c>
      <c r="L1716" s="236" t="n">
        <v>4500</v>
      </c>
    </row>
    <row r="1717" ht="15" customHeight="1" s="153">
      <c r="A1717" s="302" t="inlineStr">
        <is>
          <t>07/04/2026</t>
        </is>
      </c>
      <c r="B1717" s="303" t="inlineStr">
        <is>
          <t>Abril</t>
        </is>
      </c>
      <c r="C1717" s="311" t="inlineStr">
        <is>
          <t>PUESTO TORTAS M ZAPATA</t>
        </is>
      </c>
      <c r="D1717" s="225" t="n">
        <v>1</v>
      </c>
      <c r="E1717" s="225" t="n"/>
      <c r="F1717" s="225" t="n"/>
      <c r="G1717" s="225" t="n"/>
      <c r="H1717" s="225" t="n"/>
      <c r="I1717" s="223" t="n">
        <v>23500</v>
      </c>
      <c r="J1717" s="305" t="n">
        <v>23500</v>
      </c>
      <c r="K1717" s="305" t="n">
        <v>0</v>
      </c>
      <c r="L1717" s="224" t="n">
        <v>8500</v>
      </c>
    </row>
    <row r="1718" ht="15" customHeight="1" s="153">
      <c r="A1718" s="306" t="inlineStr">
        <is>
          <t>12/03/2026</t>
        </is>
      </c>
      <c r="B1718" s="307" t="inlineStr">
        <is>
          <t>Marzo</t>
        </is>
      </c>
      <c r="C1718" s="310" t="inlineStr">
        <is>
          <t>QUINTANA 2950</t>
        </is>
      </c>
      <c r="D1718" s="218" t="n">
        <v>1</v>
      </c>
      <c r="E1718" s="218" t="n"/>
      <c r="F1718" s="218" t="n"/>
      <c r="G1718" s="218" t="n"/>
      <c r="H1718" s="218" t="n"/>
      <c r="I1718" s="216" t="n">
        <v>22000</v>
      </c>
      <c r="J1718" s="309" t="n">
        <v>0</v>
      </c>
      <c r="K1718" s="309" t="n">
        <v>22000</v>
      </c>
      <c r="L1718" s="236" t="n">
        <v>7000</v>
      </c>
    </row>
    <row r="1719" ht="15" customHeight="1" s="153">
      <c r="A1719" s="302" t="inlineStr">
        <is>
          <t>06/01/2026</t>
        </is>
      </c>
      <c r="B1719" s="303" t="inlineStr">
        <is>
          <t>Enero</t>
        </is>
      </c>
      <c r="C1719" s="311" t="inlineStr">
        <is>
          <t>R GODOY 1614</t>
        </is>
      </c>
      <c r="D1719" s="225" t="n">
        <v>1</v>
      </c>
      <c r="E1719" s="225" t="n"/>
      <c r="F1719" s="225" t="n"/>
      <c r="G1719" s="225" t="n"/>
      <c r="H1719" s="225" t="n"/>
      <c r="I1719" s="223" t="n">
        <v>19000</v>
      </c>
      <c r="J1719" s="305" t="n">
        <v>19000</v>
      </c>
      <c r="K1719" s="305" t="n">
        <v>0</v>
      </c>
      <c r="L1719" s="224" t="n">
        <v>4000</v>
      </c>
    </row>
    <row r="1720" ht="15" customHeight="1" s="153">
      <c r="A1720" s="302" t="inlineStr">
        <is>
          <t>07/03/2026</t>
        </is>
      </c>
      <c r="B1720" s="303" t="inlineStr">
        <is>
          <t>Marzo</t>
        </is>
      </c>
      <c r="C1720" s="311" t="inlineStr">
        <is>
          <t>R GODOY 1614</t>
        </is>
      </c>
      <c r="D1720" s="225" t="n">
        <v>1</v>
      </c>
      <c r="E1720" s="225" t="n"/>
      <c r="F1720" s="225" t="n"/>
      <c r="G1720" s="225" t="n"/>
      <c r="H1720" s="225" t="n"/>
      <c r="I1720" s="223" t="n">
        <v>21000</v>
      </c>
      <c r="J1720" s="305" t="n">
        <v>0</v>
      </c>
      <c r="K1720" s="305" t="n">
        <v>21000</v>
      </c>
      <c r="L1720" s="224" t="n">
        <v>6000</v>
      </c>
    </row>
    <row r="1721" ht="15" customHeight="1" s="153">
      <c r="A1721" s="306" t="inlineStr">
        <is>
          <t>22/03/2026</t>
        </is>
      </c>
      <c r="B1721" s="307" t="inlineStr">
        <is>
          <t>Marzo</t>
        </is>
      </c>
      <c r="C1721" s="310" t="inlineStr">
        <is>
          <t>REIANARES 8257</t>
        </is>
      </c>
      <c r="D1721" s="218" t="n"/>
      <c r="E1721" s="218" t="n"/>
      <c r="F1721" s="218" t="n">
        <v>1</v>
      </c>
      <c r="G1721" s="218" t="n"/>
      <c r="H1721" s="218" t="n"/>
      <c r="I1721" s="216" t="n">
        <v>79000</v>
      </c>
      <c r="J1721" s="309" t="n">
        <v>0</v>
      </c>
      <c r="K1721" s="309" t="n">
        <v>79000</v>
      </c>
      <c r="L1721" s="236" t="n">
        <v>19000</v>
      </c>
    </row>
    <row r="1722" ht="15" customHeight="1" s="153">
      <c r="A1722" s="302" t="inlineStr">
        <is>
          <t>20/01/2026</t>
        </is>
      </c>
      <c r="B1722" s="303" t="inlineStr">
        <is>
          <t>Enero</t>
        </is>
      </c>
      <c r="C1722" s="311" t="inlineStr">
        <is>
          <t>RICARDO ALDAO 2427</t>
        </is>
      </c>
      <c r="D1722" s="225" t="n"/>
      <c r="E1722" s="225" t="n"/>
      <c r="F1722" s="225" t="n"/>
      <c r="G1722" s="225" t="n"/>
      <c r="H1722" s="225" t="n">
        <v>2</v>
      </c>
      <c r="I1722" s="223" t="n">
        <v>11600</v>
      </c>
      <c r="J1722" s="305" t="n">
        <v>0</v>
      </c>
      <c r="K1722" s="305" t="n">
        <v>0</v>
      </c>
      <c r="L1722" s="224" t="n">
        <v>9900</v>
      </c>
    </row>
    <row r="1723" ht="15" customHeight="1" s="153">
      <c r="A1723" s="306" t="inlineStr">
        <is>
          <t>02/03/2026</t>
        </is>
      </c>
      <c r="B1723" s="307" t="inlineStr">
        <is>
          <t>Marzo</t>
        </is>
      </c>
      <c r="C1723" s="310" t="inlineStr">
        <is>
          <t>RICARDO ALDAO 3082</t>
        </is>
      </c>
      <c r="D1723" s="218" t="n">
        <v>1</v>
      </c>
      <c r="E1723" s="218" t="n"/>
      <c r="F1723" s="218" t="n"/>
      <c r="G1723" s="218" t="n"/>
      <c r="H1723" s="218" t="n"/>
      <c r="I1723" s="216" t="n">
        <v>22000</v>
      </c>
      <c r="J1723" s="309" t="n">
        <v>22000</v>
      </c>
      <c r="K1723" s="309" t="n">
        <v>0</v>
      </c>
      <c r="L1723" s="236" t="n">
        <v>7000</v>
      </c>
    </row>
    <row r="1724" ht="15" customHeight="1" s="153">
      <c r="A1724" s="302" t="inlineStr">
        <is>
          <t>24/03/2026</t>
        </is>
      </c>
      <c r="B1724" s="303" t="inlineStr">
        <is>
          <t>Marzo</t>
        </is>
      </c>
      <c r="C1724" s="311" t="inlineStr">
        <is>
          <t>RICARDO ALDAO 369</t>
        </is>
      </c>
      <c r="D1724" s="225" t="n"/>
      <c r="E1724" s="225" t="n"/>
      <c r="F1724" s="225" t="n">
        <v>1</v>
      </c>
      <c r="G1724" s="225" t="n"/>
      <c r="H1724" s="225" t="n"/>
      <c r="I1724" s="223" t="n">
        <v>83000</v>
      </c>
      <c r="J1724" s="305" t="n">
        <v>0</v>
      </c>
      <c r="K1724" s="305" t="n">
        <v>83000</v>
      </c>
      <c r="L1724" s="224" t="n">
        <v>23000</v>
      </c>
    </row>
    <row r="1725" ht="15" customHeight="1" s="153">
      <c r="A1725" s="306" t="inlineStr">
        <is>
          <t>17/03/2026</t>
        </is>
      </c>
      <c r="B1725" s="307" t="inlineStr">
        <is>
          <t>Marzo</t>
        </is>
      </c>
      <c r="C1725" s="310" t="inlineStr">
        <is>
          <t>RIO NEGRO 4464</t>
        </is>
      </c>
      <c r="D1725" s="218" t="n">
        <v>2</v>
      </c>
      <c r="E1725" s="218" t="n"/>
      <c r="F1725" s="218" t="n"/>
      <c r="G1725" s="218" t="n"/>
      <c r="H1725" s="218" t="n"/>
      <c r="I1725" s="216" t="n">
        <v>49000</v>
      </c>
      <c r="J1725" s="309" t="n">
        <v>0</v>
      </c>
      <c r="K1725" s="309" t="n">
        <v>49000</v>
      </c>
      <c r="L1725" s="236" t="n">
        <v>19000</v>
      </c>
    </row>
    <row r="1726" ht="15" customHeight="1" s="153">
      <c r="A1726" s="302" t="inlineStr">
        <is>
          <t>21/01/2026</t>
        </is>
      </c>
      <c r="B1726" s="303" t="inlineStr">
        <is>
          <t>Enero</t>
        </is>
      </c>
      <c r="C1726" s="311" t="inlineStr">
        <is>
          <t>RIO NEGRO 6558</t>
        </is>
      </c>
      <c r="D1726" s="225" t="n"/>
      <c r="E1726" s="225" t="n"/>
      <c r="F1726" s="225" t="n">
        <v>1</v>
      </c>
      <c r="G1726" s="225" t="n"/>
      <c r="H1726" s="225" t="n"/>
      <c r="I1726" s="223" t="n">
        <v>270000</v>
      </c>
      <c r="J1726" s="305" t="n">
        <v>270000</v>
      </c>
      <c r="K1726" s="305" t="n">
        <v>0</v>
      </c>
      <c r="L1726" s="224" t="n">
        <v>210000</v>
      </c>
    </row>
    <row r="1727" ht="15" customHeight="1" s="153">
      <c r="A1727" s="302" t="inlineStr">
        <is>
          <t>13/02/2026</t>
        </is>
      </c>
      <c r="B1727" s="303" t="inlineStr">
        <is>
          <t>Febrero</t>
        </is>
      </c>
      <c r="C1727" s="311" t="inlineStr">
        <is>
          <t>RIO NEGRO 6558</t>
        </is>
      </c>
      <c r="D1727" s="225" t="n"/>
      <c r="E1727" s="225" t="n"/>
      <c r="F1727" s="225" t="n">
        <v>1</v>
      </c>
      <c r="G1727" s="225" t="n"/>
      <c r="H1727" s="225" t="n"/>
      <c r="I1727" s="223" t="n">
        <v>77000</v>
      </c>
      <c r="J1727" s="305" t="n">
        <v>77000</v>
      </c>
      <c r="K1727" s="305" t="n">
        <v>0</v>
      </c>
      <c r="L1727" s="224" t="n">
        <v>17000</v>
      </c>
    </row>
    <row r="1728" ht="15" customHeight="1" s="153">
      <c r="A1728" s="306" t="inlineStr">
        <is>
          <t>28/02/2026</t>
        </is>
      </c>
      <c r="B1728" s="307" t="inlineStr">
        <is>
          <t>Febrero</t>
        </is>
      </c>
      <c r="C1728" s="310" t="inlineStr">
        <is>
          <t>RIO NEGRO 6570</t>
        </is>
      </c>
      <c r="D1728" s="218" t="n"/>
      <c r="E1728" s="218" t="n"/>
      <c r="F1728" s="218" t="n">
        <v>1</v>
      </c>
      <c r="G1728" s="218" t="n"/>
      <c r="H1728" s="218" t="n"/>
      <c r="I1728" s="216" t="n">
        <v>79000</v>
      </c>
      <c r="J1728" s="309" t="n">
        <v>0</v>
      </c>
      <c r="K1728" s="309" t="n">
        <v>79000</v>
      </c>
      <c r="L1728" s="236" t="n">
        <v>19000</v>
      </c>
    </row>
    <row r="1729" ht="15" customHeight="1" s="153">
      <c r="A1729" s="302" t="inlineStr">
        <is>
          <t>05/03/2026</t>
        </is>
      </c>
      <c r="B1729" s="303" t="inlineStr">
        <is>
          <t>Marzo</t>
        </is>
      </c>
      <c r="C1729" s="311" t="inlineStr">
        <is>
          <t>RIOJA 2934</t>
        </is>
      </c>
      <c r="D1729" s="225" t="n">
        <v>1</v>
      </c>
      <c r="E1729" s="225" t="n"/>
      <c r="F1729" s="225" t="n"/>
      <c r="G1729" s="225" t="n"/>
      <c r="H1729" s="225" t="n"/>
      <c r="I1729" s="223" t="n">
        <v>23000</v>
      </c>
      <c r="J1729" s="305" t="n">
        <v>0</v>
      </c>
      <c r="K1729" s="305" t="n">
        <v>23000</v>
      </c>
      <c r="L1729" s="224" t="n">
        <v>8000</v>
      </c>
    </row>
    <row r="1730" ht="15" customHeight="1" s="153">
      <c r="A1730" s="306" t="inlineStr">
        <is>
          <t>24/01/2026</t>
        </is>
      </c>
      <c r="B1730" s="307" t="inlineStr">
        <is>
          <t>Enero</t>
        </is>
      </c>
      <c r="C1730" s="310" t="inlineStr">
        <is>
          <t>RISSO 2239</t>
        </is>
      </c>
      <c r="D1730" s="218" t="n">
        <v>1</v>
      </c>
      <c r="E1730" s="218" t="n"/>
      <c r="F1730" s="218" t="n"/>
      <c r="G1730" s="218" t="n"/>
      <c r="H1730" s="218" t="n"/>
      <c r="I1730" s="216" t="n">
        <v>22000</v>
      </c>
      <c r="J1730" s="309" t="n">
        <v>22000</v>
      </c>
      <c r="K1730" s="309" t="n">
        <v>0</v>
      </c>
      <c r="L1730" s="236" t="n">
        <v>7000</v>
      </c>
    </row>
    <row r="1731" ht="15" customHeight="1" s="153">
      <c r="A1731" s="302" t="inlineStr">
        <is>
          <t>09/03/2026</t>
        </is>
      </c>
      <c r="B1731" s="303" t="inlineStr">
        <is>
          <t>Marzo</t>
        </is>
      </c>
      <c r="C1731" s="311" t="inlineStr">
        <is>
          <t>RISSO 5454</t>
        </is>
      </c>
      <c r="D1731" s="225" t="n">
        <v>1</v>
      </c>
      <c r="E1731" s="225" t="n"/>
      <c r="F1731" s="225" t="n"/>
      <c r="G1731" s="225" t="n"/>
      <c r="H1731" s="225" t="n"/>
      <c r="I1731" s="223" t="n">
        <v>21000</v>
      </c>
      <c r="J1731" s="305" t="n">
        <v>21000</v>
      </c>
      <c r="K1731" s="305" t="n">
        <v>0</v>
      </c>
      <c r="L1731" s="224" t="n">
        <v>6000</v>
      </c>
    </row>
    <row r="1732" ht="15" customHeight="1" s="153">
      <c r="A1732" s="306" t="inlineStr">
        <is>
          <t>30/01/2026</t>
        </is>
      </c>
      <c r="B1732" s="307" t="inlineStr">
        <is>
          <t>Enero</t>
        </is>
      </c>
      <c r="C1732" s="310" t="inlineStr">
        <is>
          <t>RITA</t>
        </is>
      </c>
      <c r="D1732" s="218" t="n"/>
      <c r="E1732" s="218" t="n"/>
      <c r="F1732" s="218" t="n"/>
      <c r="G1732" s="218" t="n"/>
      <c r="H1732" s="218" t="n">
        <v>1</v>
      </c>
      <c r="I1732" s="216" t="n">
        <v>5500</v>
      </c>
      <c r="J1732" s="309" t="n">
        <v>0</v>
      </c>
      <c r="K1732" s="309" t="n">
        <v>5500</v>
      </c>
      <c r="L1732" s="236" t="n">
        <v>4650</v>
      </c>
    </row>
    <row r="1733" ht="15" customHeight="1" s="153">
      <c r="A1733" s="302" t="inlineStr">
        <is>
          <t>01/03/2026</t>
        </is>
      </c>
      <c r="B1733" s="303" t="inlineStr">
        <is>
          <t>Marzo</t>
        </is>
      </c>
      <c r="C1733" s="311" t="inlineStr">
        <is>
          <t>RIVADAVIA 6330</t>
        </is>
      </c>
      <c r="D1733" s="225" t="n"/>
      <c r="E1733" s="225" t="n">
        <v>1</v>
      </c>
      <c r="F1733" s="225" t="n"/>
      <c r="G1733" s="225" t="n"/>
      <c r="H1733" s="225" t="n"/>
      <c r="I1733" s="223" t="n">
        <v>33000</v>
      </c>
      <c r="J1733" s="305" t="n">
        <v>0</v>
      </c>
      <c r="K1733" s="305" t="n">
        <v>33000</v>
      </c>
      <c r="L1733" s="224" t="n">
        <v>10500</v>
      </c>
    </row>
    <row r="1734" ht="15" customHeight="1" s="153">
      <c r="A1734" s="306" t="inlineStr">
        <is>
          <t>18/02/2026</t>
        </is>
      </c>
      <c r="B1734" s="307" t="inlineStr">
        <is>
          <t>Febrero</t>
        </is>
      </c>
      <c r="C1734" s="310" t="inlineStr">
        <is>
          <t>RIVADAVIA 6746</t>
        </is>
      </c>
      <c r="D1734" s="218" t="n">
        <v>1</v>
      </c>
      <c r="E1734" s="218" t="n"/>
      <c r="F1734" s="218" t="n"/>
      <c r="G1734" s="218" t="n"/>
      <c r="H1734" s="218" t="n"/>
      <c r="I1734" s="216" t="n">
        <v>22000</v>
      </c>
      <c r="J1734" s="309" t="n">
        <v>22000</v>
      </c>
      <c r="K1734" s="309" t="n">
        <v>0</v>
      </c>
      <c r="L1734" s="236" t="n">
        <v>7000</v>
      </c>
    </row>
    <row r="1735" ht="15" customHeight="1" s="153">
      <c r="A1735" s="302" t="inlineStr">
        <is>
          <t>21/02/2026</t>
        </is>
      </c>
      <c r="B1735" s="303" t="inlineStr">
        <is>
          <t>Febrero</t>
        </is>
      </c>
      <c r="C1735" s="311" t="inlineStr">
        <is>
          <t>RIVADAVIA 8280</t>
        </is>
      </c>
      <c r="D1735" s="225" t="n"/>
      <c r="E1735" s="225" t="n"/>
      <c r="F1735" s="225" t="n">
        <v>1</v>
      </c>
      <c r="G1735" s="225" t="n"/>
      <c r="H1735" s="225" t="n"/>
      <c r="I1735" s="223" t="n">
        <v>76000</v>
      </c>
      <c r="J1735" s="305" t="n">
        <v>0</v>
      </c>
      <c r="K1735" s="305" t="n">
        <v>76000</v>
      </c>
      <c r="L1735" s="224" t="n">
        <v>16000</v>
      </c>
    </row>
    <row r="1736" ht="15" customHeight="1" s="153">
      <c r="A1736" s="306" t="inlineStr">
        <is>
          <t>10/03/2026</t>
        </is>
      </c>
      <c r="B1736" s="307" t="inlineStr">
        <is>
          <t>Marzo</t>
        </is>
      </c>
      <c r="C1736" s="310" t="inlineStr">
        <is>
          <t>RIVADAVIA JUNIOR</t>
        </is>
      </c>
      <c r="D1736" s="218" t="n">
        <v>1</v>
      </c>
      <c r="E1736" s="218" t="n"/>
      <c r="F1736" s="218" t="n"/>
      <c r="G1736" s="218" t="n"/>
      <c r="H1736" s="218" t="n"/>
      <c r="I1736" s="216" t="n">
        <v>23000</v>
      </c>
      <c r="J1736" s="309" t="n">
        <v>23000</v>
      </c>
      <c r="K1736" s="309" t="n">
        <v>0</v>
      </c>
      <c r="L1736" s="236" t="n">
        <v>8000</v>
      </c>
    </row>
    <row r="1737" ht="15" customHeight="1" s="153">
      <c r="A1737" s="306" t="inlineStr">
        <is>
          <t>16/04/2026</t>
        </is>
      </c>
      <c r="B1737" s="307" t="inlineStr">
        <is>
          <t>Abril</t>
        </is>
      </c>
      <c r="C1737" s="310" t="inlineStr">
        <is>
          <t>RIVADAVIA JUNIOR</t>
        </is>
      </c>
      <c r="D1737" s="218" t="n"/>
      <c r="E1737" s="218" t="n">
        <v>1</v>
      </c>
      <c r="F1737" s="218" t="n"/>
      <c r="G1737" s="218" t="n"/>
      <c r="H1737" s="218" t="n"/>
      <c r="I1737" s="216" t="n">
        <v>40000</v>
      </c>
      <c r="J1737" s="309" t="n">
        <v>40000</v>
      </c>
      <c r="K1737" s="309" t="n">
        <v>0</v>
      </c>
      <c r="L1737" s="236" t="n">
        <v>17500</v>
      </c>
    </row>
    <row r="1738" ht="15" customHeight="1" s="153">
      <c r="A1738" s="302" t="inlineStr">
        <is>
          <t>11/02/2026</t>
        </is>
      </c>
      <c r="B1738" s="303" t="inlineStr">
        <is>
          <t>Febrero</t>
        </is>
      </c>
      <c r="C1738" s="311" t="inlineStr">
        <is>
          <t>RIVADAVIA JUNIORS</t>
        </is>
      </c>
      <c r="D1738" s="225" t="n">
        <v>1</v>
      </c>
      <c r="E1738" s="225" t="n"/>
      <c r="F1738" s="225" t="n"/>
      <c r="G1738" s="225" t="n"/>
      <c r="H1738" s="225" t="n"/>
      <c r="I1738" s="223" t="n">
        <v>22000</v>
      </c>
      <c r="J1738" s="305" t="n">
        <v>22000</v>
      </c>
      <c r="K1738" s="305" t="n">
        <v>0</v>
      </c>
      <c r="L1738" s="224" t="n">
        <v>7000</v>
      </c>
    </row>
    <row r="1739" ht="15" customHeight="1" s="153">
      <c r="A1739" s="306" t="inlineStr">
        <is>
          <t>03/03/2026</t>
        </is>
      </c>
      <c r="B1739" s="307" t="inlineStr">
        <is>
          <t>Marzo</t>
        </is>
      </c>
      <c r="C1739" s="310" t="inlineStr">
        <is>
          <t>ROQUE S PENA 7668</t>
        </is>
      </c>
      <c r="D1739" s="218" t="n"/>
      <c r="E1739" s="218" t="n"/>
      <c r="F1739" s="218" t="n">
        <v>1</v>
      </c>
      <c r="G1739" s="218" t="n"/>
      <c r="H1739" s="218" t="n"/>
      <c r="I1739" s="216" t="n">
        <v>73000</v>
      </c>
      <c r="J1739" s="309" t="n">
        <v>0</v>
      </c>
      <c r="K1739" s="309" t="n">
        <v>73000</v>
      </c>
      <c r="L1739" s="236" t="n">
        <v>13000</v>
      </c>
    </row>
    <row r="1740" ht="15" customHeight="1" s="153">
      <c r="A1740" s="302" t="inlineStr">
        <is>
          <t>11/04/2026</t>
        </is>
      </c>
      <c r="B1740" s="303" t="inlineStr">
        <is>
          <t>Abril</t>
        </is>
      </c>
      <c r="C1740" s="311" t="inlineStr">
        <is>
          <t>ROQUE S PEÑA 3066</t>
        </is>
      </c>
      <c r="D1740" s="225" t="n"/>
      <c r="E1740" s="225" t="n">
        <v>1</v>
      </c>
      <c r="F1740" s="225" t="n"/>
      <c r="G1740" s="225" t="n"/>
      <c r="H1740" s="225" t="n"/>
      <c r="I1740" s="223" t="n">
        <v>41000</v>
      </c>
      <c r="J1740" s="305" t="n">
        <v>0</v>
      </c>
      <c r="K1740" s="305" t="n">
        <v>41000</v>
      </c>
      <c r="L1740" s="224" t="n">
        <v>18500</v>
      </c>
    </row>
    <row r="1741" ht="15" customHeight="1" s="153">
      <c r="A1741" s="306" t="inlineStr">
        <is>
          <t>08/02/2026</t>
        </is>
      </c>
      <c r="B1741" s="307" t="inlineStr">
        <is>
          <t>Febrero</t>
        </is>
      </c>
      <c r="C1741" s="310" t="inlineStr">
        <is>
          <t>ROQUE SAENZ PENA 7744</t>
        </is>
      </c>
      <c r="D1741" s="218" t="n">
        <v>1</v>
      </c>
      <c r="E1741" s="218" t="n"/>
      <c r="F1741" s="218" t="n"/>
      <c r="G1741" s="218" t="n"/>
      <c r="H1741" s="218" t="n"/>
      <c r="I1741" s="216" t="n">
        <v>22000</v>
      </c>
      <c r="J1741" s="309" t="n">
        <v>0</v>
      </c>
      <c r="K1741" s="309" t="n">
        <v>22000</v>
      </c>
      <c r="L1741" s="236" t="n">
        <v>7000</v>
      </c>
    </row>
    <row r="1742" ht="15" customHeight="1" s="153">
      <c r="A1742" s="302" t="inlineStr">
        <is>
          <t>17/01/2026</t>
        </is>
      </c>
      <c r="B1742" s="303" t="inlineStr">
        <is>
          <t>Enero</t>
        </is>
      </c>
      <c r="C1742" s="311" t="inlineStr">
        <is>
          <t>ROTI AGUADO</t>
        </is>
      </c>
      <c r="D1742" s="225" t="n">
        <v>1</v>
      </c>
      <c r="E1742" s="225" t="n">
        <v>1</v>
      </c>
      <c r="F1742" s="225" t="n">
        <v>1</v>
      </c>
      <c r="G1742" s="225" t="n"/>
      <c r="H1742" s="225" t="n"/>
      <c r="I1742" s="223" t="n">
        <v>115000</v>
      </c>
      <c r="J1742" s="305" t="n">
        <v>0</v>
      </c>
      <c r="K1742" s="305" t="n">
        <v>115000</v>
      </c>
      <c r="L1742" s="224" t="n">
        <v>17500</v>
      </c>
    </row>
    <row r="1743" ht="15" customHeight="1" s="153">
      <c r="A1743" s="302" t="inlineStr">
        <is>
          <t>05/02/2026</t>
        </is>
      </c>
      <c r="B1743" s="303" t="inlineStr">
        <is>
          <t>Febrero</t>
        </is>
      </c>
      <c r="C1743" s="311" t="inlineStr">
        <is>
          <t>ROTI AGUADO</t>
        </is>
      </c>
      <c r="D1743" s="225" t="n"/>
      <c r="E1743" s="225" t="n">
        <v>2</v>
      </c>
      <c r="F1743" s="225" t="n"/>
      <c r="G1743" s="225" t="n"/>
      <c r="H1743" s="225" t="n"/>
      <c r="I1743" s="223" t="n">
        <v>49000</v>
      </c>
      <c r="J1743" s="305" t="n">
        <v>0</v>
      </c>
      <c r="K1743" s="305" t="n">
        <v>49000</v>
      </c>
      <c r="L1743" s="224" t="n">
        <v>4000</v>
      </c>
    </row>
    <row r="1744" ht="15" customHeight="1" s="153">
      <c r="A1744" s="302" t="inlineStr">
        <is>
          <t>07/02/2026</t>
        </is>
      </c>
      <c r="B1744" s="303" t="inlineStr">
        <is>
          <t>Febrero</t>
        </is>
      </c>
      <c r="C1744" s="311" t="inlineStr">
        <is>
          <t>ROTI AGUADO</t>
        </is>
      </c>
      <c r="D1744" s="225" t="n"/>
      <c r="E1744" s="225" t="n">
        <v>1</v>
      </c>
      <c r="F1744" s="225" t="n">
        <v>1</v>
      </c>
      <c r="G1744" s="225" t="n"/>
      <c r="H1744" s="225" t="n"/>
      <c r="I1744" s="223" t="n">
        <v>96500</v>
      </c>
      <c r="J1744" s="305" t="n">
        <v>0</v>
      </c>
      <c r="K1744" s="305" t="n">
        <v>96500</v>
      </c>
      <c r="L1744" s="224" t="n">
        <v>14000</v>
      </c>
    </row>
    <row r="1745" ht="15" customHeight="1" s="153">
      <c r="A1745" s="302" t="inlineStr">
        <is>
          <t>21/02/2026</t>
        </is>
      </c>
      <c r="B1745" s="303" t="inlineStr">
        <is>
          <t>Febrero</t>
        </is>
      </c>
      <c r="C1745" s="311" t="inlineStr">
        <is>
          <t>ROTI AGUADO</t>
        </is>
      </c>
      <c r="D1745" s="225" t="n">
        <v>1</v>
      </c>
      <c r="E1745" s="225" t="n">
        <v>1</v>
      </c>
      <c r="F1745" s="225" t="n"/>
      <c r="G1745" s="225" t="n"/>
      <c r="H1745" s="225" t="n"/>
      <c r="I1745" s="223" t="n">
        <v>45000</v>
      </c>
      <c r="J1745" s="305" t="n">
        <v>0</v>
      </c>
      <c r="K1745" s="305" t="n">
        <v>45000</v>
      </c>
      <c r="L1745" s="224" t="n">
        <v>7500</v>
      </c>
    </row>
    <row r="1746" ht="15" customHeight="1" s="153">
      <c r="A1746" s="302" t="inlineStr">
        <is>
          <t>27/02/2026</t>
        </is>
      </c>
      <c r="B1746" s="303" t="inlineStr">
        <is>
          <t>Febrero</t>
        </is>
      </c>
      <c r="C1746" s="311" t="inlineStr">
        <is>
          <t>ROTI AGUADO</t>
        </is>
      </c>
      <c r="D1746" s="225" t="n"/>
      <c r="E1746" s="225" t="n"/>
      <c r="F1746" s="225" t="n">
        <v>1</v>
      </c>
      <c r="G1746" s="225" t="n"/>
      <c r="H1746" s="225" t="n"/>
      <c r="I1746" s="223" t="n">
        <v>74000</v>
      </c>
      <c r="J1746" s="305" t="n">
        <v>0</v>
      </c>
      <c r="K1746" s="305" t="n">
        <v>74000</v>
      </c>
      <c r="L1746" s="224" t="n">
        <v>14000</v>
      </c>
    </row>
    <row r="1747" ht="15" customHeight="1" s="153">
      <c r="A1747" s="302" t="inlineStr">
        <is>
          <t>07/03/2026</t>
        </is>
      </c>
      <c r="B1747" s="303" t="inlineStr">
        <is>
          <t>Marzo</t>
        </is>
      </c>
      <c r="C1747" s="311" t="inlineStr">
        <is>
          <t>ROTI AGUADO</t>
        </is>
      </c>
      <c r="D1747" s="225" t="n"/>
      <c r="E1747" s="225" t="n">
        <v>1</v>
      </c>
      <c r="F1747" s="225" t="n"/>
      <c r="G1747" s="225" t="n"/>
      <c r="H1747" s="225" t="n"/>
      <c r="I1747" s="223" t="n">
        <v>28000</v>
      </c>
      <c r="J1747" s="305" t="n">
        <v>0</v>
      </c>
      <c r="K1747" s="305" t="n">
        <v>28000</v>
      </c>
      <c r="L1747" s="224" t="n">
        <v>5500</v>
      </c>
    </row>
    <row r="1748" ht="15" customHeight="1" s="153">
      <c r="A1748" s="302" t="inlineStr">
        <is>
          <t>25/03/2026</t>
        </is>
      </c>
      <c r="B1748" s="303" t="inlineStr">
        <is>
          <t>Marzo</t>
        </is>
      </c>
      <c r="C1748" s="311" t="inlineStr">
        <is>
          <t>ROTI AGUADO</t>
        </is>
      </c>
      <c r="D1748" s="225" t="n"/>
      <c r="E1748" s="225" t="n">
        <v>1</v>
      </c>
      <c r="F1748" s="225" t="n">
        <v>1</v>
      </c>
      <c r="G1748" s="225" t="n"/>
      <c r="H1748" s="225" t="n"/>
      <c r="I1748" s="223" t="n">
        <v>107000</v>
      </c>
      <c r="J1748" s="305" t="n">
        <v>0</v>
      </c>
      <c r="K1748" s="305" t="n">
        <v>107000</v>
      </c>
      <c r="L1748" s="224" t="n">
        <v>24500</v>
      </c>
    </row>
    <row r="1749" ht="15" customHeight="1" s="153">
      <c r="A1749" s="302" t="inlineStr">
        <is>
          <t>11/04/2026</t>
        </is>
      </c>
      <c r="B1749" s="303" t="inlineStr">
        <is>
          <t>Abril</t>
        </is>
      </c>
      <c r="C1749" s="311" t="inlineStr">
        <is>
          <t>ROTI AGUADO</t>
        </is>
      </c>
      <c r="D1749" s="225" t="n"/>
      <c r="E1749" s="225" t="n">
        <v>1</v>
      </c>
      <c r="F1749" s="225" t="n"/>
      <c r="G1749" s="225" t="n"/>
      <c r="H1749" s="225" t="n"/>
      <c r="I1749" s="223" t="n">
        <v>33500</v>
      </c>
      <c r="J1749" s="305" t="n">
        <v>0</v>
      </c>
      <c r="K1749" s="305" t="n">
        <v>33500</v>
      </c>
      <c r="L1749" s="224" t="n">
        <v>11000</v>
      </c>
    </row>
    <row r="1750" ht="15" customHeight="1" s="153">
      <c r="A1750" s="302" t="inlineStr">
        <is>
          <t>17/04/2026</t>
        </is>
      </c>
      <c r="B1750" s="303" t="inlineStr">
        <is>
          <t>Abril</t>
        </is>
      </c>
      <c r="C1750" s="311" t="inlineStr">
        <is>
          <t>ROTI AGUADO</t>
        </is>
      </c>
      <c r="D1750" s="225" t="n"/>
      <c r="E1750" s="225" t="n"/>
      <c r="F1750" s="225" t="n">
        <v>1</v>
      </c>
      <c r="G1750" s="225" t="n"/>
      <c r="H1750" s="225" t="n"/>
      <c r="I1750" s="223" t="n">
        <v>82000</v>
      </c>
      <c r="J1750" s="305" t="n">
        <v>0</v>
      </c>
      <c r="K1750" s="305" t="n">
        <v>82000</v>
      </c>
      <c r="L1750" s="224" t="n">
        <v>22000</v>
      </c>
    </row>
    <row r="1751" ht="15" customHeight="1" s="153">
      <c r="A1751" s="306" t="inlineStr">
        <is>
          <t>10/04/2026</t>
        </is>
      </c>
      <c r="B1751" s="307" t="inlineStr">
        <is>
          <t>Abril</t>
        </is>
      </c>
      <c r="C1751" s="310" t="inlineStr">
        <is>
          <t>ROTI ARISTOBULO</t>
        </is>
      </c>
      <c r="D1751" s="218" t="n"/>
      <c r="E1751" s="218" t="n">
        <v>1</v>
      </c>
      <c r="F1751" s="218" t="n"/>
      <c r="G1751" s="218" t="n"/>
      <c r="H1751" s="218" t="n"/>
      <c r="I1751" s="216" t="n">
        <v>33500</v>
      </c>
      <c r="J1751" s="309" t="n">
        <v>0</v>
      </c>
      <c r="K1751" s="309" t="n">
        <v>33500</v>
      </c>
      <c r="L1751" s="236" t="n">
        <v>11000</v>
      </c>
    </row>
    <row r="1752" ht="15" customHeight="1" s="153">
      <c r="A1752" s="306" t="inlineStr">
        <is>
          <t>18/04/2026</t>
        </is>
      </c>
      <c r="B1752" s="307" t="inlineStr">
        <is>
          <t>Abril</t>
        </is>
      </c>
      <c r="C1752" s="310" t="inlineStr">
        <is>
          <t>ROTI ARISTOBULO</t>
        </is>
      </c>
      <c r="D1752" s="218" t="n"/>
      <c r="E1752" s="218" t="n">
        <v>1</v>
      </c>
      <c r="F1752" s="218" t="n"/>
      <c r="G1752" s="218" t="n"/>
      <c r="H1752" s="218" t="n"/>
      <c r="I1752" s="216" t="n">
        <v>33500</v>
      </c>
      <c r="J1752" s="309" t="n">
        <v>0</v>
      </c>
      <c r="K1752" s="309" t="n">
        <v>33500</v>
      </c>
      <c r="L1752" s="236" t="n">
        <v>11000</v>
      </c>
    </row>
    <row r="1753" ht="15" customHeight="1" s="153">
      <c r="A1753" s="302" t="inlineStr">
        <is>
          <t>01/04/2026</t>
        </is>
      </c>
      <c r="B1753" s="303" t="inlineStr">
        <is>
          <t>Abril</t>
        </is>
      </c>
      <c r="C1753" s="311" t="inlineStr">
        <is>
          <t>ROTI ARISTOBULO 5401</t>
        </is>
      </c>
      <c r="D1753" s="225" t="n"/>
      <c r="E1753" s="225" t="n">
        <v>1</v>
      </c>
      <c r="F1753" s="225" t="n"/>
      <c r="G1753" s="225" t="n"/>
      <c r="H1753" s="225" t="n"/>
      <c r="I1753" s="223" t="n">
        <v>33500</v>
      </c>
      <c r="J1753" s="305" t="n">
        <v>33500</v>
      </c>
      <c r="K1753" s="305" t="n">
        <v>0</v>
      </c>
      <c r="L1753" s="224" t="n">
        <v>11000</v>
      </c>
    </row>
    <row r="1754" ht="15" customHeight="1" s="153">
      <c r="A1754" s="306" t="inlineStr">
        <is>
          <t>06/01/2026</t>
        </is>
      </c>
      <c r="B1754" s="307" t="inlineStr">
        <is>
          <t>Enero</t>
        </is>
      </c>
      <c r="C1754" s="310" t="inlineStr">
        <is>
          <t>ROTI DOMINGO SILVA</t>
        </is>
      </c>
      <c r="D1754" s="218" t="n">
        <v>4</v>
      </c>
      <c r="E1754" s="218" t="n"/>
      <c r="F1754" s="218" t="n"/>
      <c r="G1754" s="218" t="n"/>
      <c r="H1754" s="218" t="n"/>
      <c r="I1754" s="216" t="n">
        <v>52000</v>
      </c>
      <c r="J1754" s="309" t="n">
        <v>52000</v>
      </c>
      <c r="K1754" s="309" t="n">
        <v>0</v>
      </c>
      <c r="L1754" s="217" t="n">
        <v>-8000</v>
      </c>
    </row>
    <row r="1755" ht="15" customHeight="1" s="153">
      <c r="A1755" s="302" t="inlineStr">
        <is>
          <t>03/04/2026</t>
        </is>
      </c>
      <c r="B1755" s="303" t="inlineStr">
        <is>
          <t>Abril</t>
        </is>
      </c>
      <c r="C1755" s="311" t="inlineStr">
        <is>
          <t>ROTI ROCA 6371</t>
        </is>
      </c>
      <c r="D1755" s="225" t="n">
        <v>1</v>
      </c>
      <c r="E1755" s="225" t="n"/>
      <c r="F1755" s="225" t="n"/>
      <c r="G1755" s="225" t="n"/>
      <c r="H1755" s="225" t="n"/>
      <c r="I1755" s="223" t="n">
        <v>25000</v>
      </c>
      <c r="J1755" s="305" t="n">
        <v>0</v>
      </c>
      <c r="K1755" s="305" t="n">
        <v>25000</v>
      </c>
      <c r="L1755" s="224" t="n">
        <v>10000</v>
      </c>
    </row>
    <row r="1756" ht="15" customHeight="1" s="153">
      <c r="A1756" s="306" t="inlineStr">
        <is>
          <t>07/01/2026</t>
        </is>
      </c>
      <c r="B1756" s="307" t="inlineStr">
        <is>
          <t>Enero</t>
        </is>
      </c>
      <c r="C1756" s="310" t="inlineStr">
        <is>
          <t>ROTI SAN LORENZO</t>
        </is>
      </c>
      <c r="D1756" s="218" t="n"/>
      <c r="E1756" s="218" t="n">
        <v>1</v>
      </c>
      <c r="F1756" s="218" t="n"/>
      <c r="G1756" s="218" t="n"/>
      <c r="H1756" s="218" t="n"/>
      <c r="I1756" s="216" t="n">
        <v>28000</v>
      </c>
      <c r="J1756" s="309" t="n">
        <v>0</v>
      </c>
      <c r="K1756" s="309" t="n">
        <v>28000</v>
      </c>
      <c r="L1756" s="236" t="n">
        <v>5500</v>
      </c>
    </row>
    <row r="1757" ht="15" customHeight="1" s="153">
      <c r="A1757" s="306" t="inlineStr">
        <is>
          <t>24/01/2026</t>
        </is>
      </c>
      <c r="B1757" s="307" t="inlineStr">
        <is>
          <t>Enero</t>
        </is>
      </c>
      <c r="C1757" s="310" t="inlineStr">
        <is>
          <t>ROTI SAN LORENZO</t>
        </is>
      </c>
      <c r="D1757" s="218" t="n"/>
      <c r="E1757" s="218" t="n">
        <v>1</v>
      </c>
      <c r="F1757" s="218" t="n"/>
      <c r="G1757" s="218" t="n"/>
      <c r="H1757" s="218" t="n"/>
      <c r="I1757" s="216" t="n">
        <v>28000</v>
      </c>
      <c r="J1757" s="309" t="n">
        <v>0</v>
      </c>
      <c r="K1757" s="309" t="n">
        <v>28000</v>
      </c>
      <c r="L1757" s="236" t="n">
        <v>5500</v>
      </c>
    </row>
    <row r="1758" ht="15" customHeight="1" s="153">
      <c r="A1758" s="306" t="inlineStr">
        <is>
          <t>29/01/2026</t>
        </is>
      </c>
      <c r="B1758" s="307" t="inlineStr">
        <is>
          <t>Enero</t>
        </is>
      </c>
      <c r="C1758" s="310" t="inlineStr">
        <is>
          <t>ROTI SAN LORENZO</t>
        </is>
      </c>
      <c r="D1758" s="218" t="n">
        <v>1</v>
      </c>
      <c r="E1758" s="218" t="n">
        <v>1</v>
      </c>
      <c r="F1758" s="218" t="n"/>
      <c r="G1758" s="218" t="n"/>
      <c r="H1758" s="218" t="n"/>
      <c r="I1758" s="216" t="n">
        <v>51000</v>
      </c>
      <c r="J1758" s="309" t="n">
        <v>0</v>
      </c>
      <c r="K1758" s="309" t="n">
        <v>51000</v>
      </c>
      <c r="L1758" s="236" t="n">
        <v>13500</v>
      </c>
    </row>
    <row r="1759" ht="15" customHeight="1" s="153">
      <c r="A1759" s="306" t="inlineStr">
        <is>
          <t>24/02/2026</t>
        </is>
      </c>
      <c r="B1759" s="307" t="inlineStr">
        <is>
          <t>Febrero</t>
        </is>
      </c>
      <c r="C1759" s="310" t="inlineStr">
        <is>
          <t>ROTI SAN LORENZO</t>
        </is>
      </c>
      <c r="D1759" s="218" t="n">
        <v>3</v>
      </c>
      <c r="E1759" s="218" t="n">
        <v>1</v>
      </c>
      <c r="F1759" s="218" t="n"/>
      <c r="G1759" s="218" t="n"/>
      <c r="H1759" s="218" t="n"/>
      <c r="I1759" s="216" t="n">
        <v>91000</v>
      </c>
      <c r="J1759" s="309" t="n">
        <v>91000</v>
      </c>
      <c r="K1759" s="309" t="n">
        <v>0</v>
      </c>
      <c r="L1759" s="236" t="n">
        <v>23500</v>
      </c>
    </row>
    <row r="1760" ht="15" customHeight="1" s="153">
      <c r="A1760" s="306" t="inlineStr">
        <is>
          <t>25/02/2026</t>
        </is>
      </c>
      <c r="B1760" s="307" t="inlineStr">
        <is>
          <t>Febrero</t>
        </is>
      </c>
      <c r="C1760" s="310" t="inlineStr">
        <is>
          <t>ROTI SAN LORENZO</t>
        </is>
      </c>
      <c r="D1760" s="218" t="n"/>
      <c r="E1760" s="218" t="n"/>
      <c r="F1760" s="218" t="n">
        <v>1</v>
      </c>
      <c r="G1760" s="218" t="n"/>
      <c r="H1760" s="218" t="n"/>
      <c r="I1760" s="216" t="n">
        <v>72000</v>
      </c>
      <c r="J1760" s="309" t="n">
        <v>72000</v>
      </c>
      <c r="K1760" s="309" t="n">
        <v>0</v>
      </c>
      <c r="L1760" s="236" t="n">
        <v>12000</v>
      </c>
    </row>
    <row r="1761" ht="15" customHeight="1" s="153">
      <c r="A1761" s="306" t="inlineStr">
        <is>
          <t>10/03/2026</t>
        </is>
      </c>
      <c r="B1761" s="307" t="inlineStr">
        <is>
          <t>Marzo</t>
        </is>
      </c>
      <c r="C1761" s="310" t="inlineStr">
        <is>
          <t>ROTI SAN LORENZO</t>
        </is>
      </c>
      <c r="D1761" s="218" t="n">
        <v>2</v>
      </c>
      <c r="E1761" s="218" t="n">
        <v>2</v>
      </c>
      <c r="F1761" s="218" t="n"/>
      <c r="G1761" s="218" t="n"/>
      <c r="H1761" s="218" t="n"/>
      <c r="I1761" s="216" t="n">
        <v>98000</v>
      </c>
      <c r="J1761" s="309" t="n">
        <v>0</v>
      </c>
      <c r="K1761" s="309" t="n">
        <v>98000</v>
      </c>
      <c r="L1761" s="236" t="n">
        <v>23000</v>
      </c>
    </row>
    <row r="1762" ht="15" customHeight="1" s="153">
      <c r="A1762" s="306" t="inlineStr">
        <is>
          <t>01/04/2026</t>
        </is>
      </c>
      <c r="B1762" s="307" t="inlineStr">
        <is>
          <t>Abril</t>
        </is>
      </c>
      <c r="C1762" s="310" t="inlineStr">
        <is>
          <t>ROTI SAN LORENZO</t>
        </is>
      </c>
      <c r="D1762" s="218" t="n">
        <v>2</v>
      </c>
      <c r="E1762" s="218" t="n">
        <v>1</v>
      </c>
      <c r="F1762" s="218" t="n"/>
      <c r="G1762" s="218" t="n"/>
      <c r="H1762" s="218" t="n"/>
      <c r="I1762" s="216" t="n">
        <v>84000</v>
      </c>
      <c r="J1762" s="309" t="n">
        <v>0</v>
      </c>
      <c r="K1762" s="309" t="n">
        <v>84000</v>
      </c>
      <c r="L1762" s="236" t="n">
        <v>31500</v>
      </c>
    </row>
    <row r="1763" ht="15" customHeight="1" s="153">
      <c r="A1763" s="306" t="inlineStr">
        <is>
          <t>15/04/2026</t>
        </is>
      </c>
      <c r="B1763" s="307" t="inlineStr">
        <is>
          <t>Abril</t>
        </is>
      </c>
      <c r="C1763" s="310" t="inlineStr">
        <is>
          <t>ROTI SAN LORENZO</t>
        </is>
      </c>
      <c r="D1763" s="218" t="n">
        <v>2</v>
      </c>
      <c r="E1763" s="218" t="n">
        <v>2</v>
      </c>
      <c r="F1763" s="218" t="n"/>
      <c r="G1763" s="218" t="n"/>
      <c r="H1763" s="218" t="n"/>
      <c r="I1763" s="216" t="n">
        <v>117000</v>
      </c>
      <c r="J1763" s="309" t="n">
        <v>0</v>
      </c>
      <c r="K1763" s="309" t="n">
        <v>117000</v>
      </c>
      <c r="L1763" s="236" t="n">
        <v>42000</v>
      </c>
    </row>
    <row r="1764" ht="15" customHeight="1" s="153">
      <c r="A1764" s="302" t="inlineStr">
        <is>
          <t>09/01/2026</t>
        </is>
      </c>
      <c r="B1764" s="303" t="inlineStr">
        <is>
          <t>Enero</t>
        </is>
      </c>
      <c r="C1764" s="311" t="inlineStr">
        <is>
          <t>ROTI VIEYTES</t>
        </is>
      </c>
      <c r="D1764" s="225" t="n"/>
      <c r="E1764" s="225" t="n">
        <v>4</v>
      </c>
      <c r="F1764" s="225" t="n"/>
      <c r="G1764" s="225" t="n"/>
      <c r="H1764" s="225" t="n"/>
      <c r="I1764" s="223" t="n">
        <v>78000</v>
      </c>
      <c r="J1764" s="305" t="n">
        <v>0</v>
      </c>
      <c r="K1764" s="305" t="n">
        <v>78000</v>
      </c>
      <c r="L1764" s="245" t="n">
        <v>-12000</v>
      </c>
    </row>
    <row r="1765" ht="15" customHeight="1" s="153">
      <c r="A1765" s="302" t="inlineStr">
        <is>
          <t>05/02/2026</t>
        </is>
      </c>
      <c r="B1765" s="303" t="inlineStr">
        <is>
          <t>Febrero</t>
        </is>
      </c>
      <c r="C1765" s="311" t="inlineStr">
        <is>
          <t>ROTI VIEYTES</t>
        </is>
      </c>
      <c r="D1765" s="225" t="n"/>
      <c r="E1765" s="225" t="n">
        <v>2</v>
      </c>
      <c r="F1765" s="225" t="n"/>
      <c r="G1765" s="225" t="n"/>
      <c r="H1765" s="225" t="n"/>
      <c r="I1765" s="223" t="n">
        <v>44000</v>
      </c>
      <c r="J1765" s="305" t="n">
        <v>0</v>
      </c>
      <c r="K1765" s="305" t="n">
        <v>44000</v>
      </c>
      <c r="L1765" s="245" t="n">
        <v>-1000</v>
      </c>
    </row>
    <row r="1766" ht="15" customHeight="1" s="153">
      <c r="A1766" s="302" t="inlineStr">
        <is>
          <t>07/02/2026</t>
        </is>
      </c>
      <c r="B1766" s="303" t="inlineStr">
        <is>
          <t>Febrero</t>
        </is>
      </c>
      <c r="C1766" s="311" t="inlineStr">
        <is>
          <t>ROTI VIEYTES</t>
        </is>
      </c>
      <c r="D1766" s="225" t="n"/>
      <c r="E1766" s="225" t="n">
        <v>2</v>
      </c>
      <c r="F1766" s="225" t="n"/>
      <c r="G1766" s="225" t="n"/>
      <c r="H1766" s="225" t="n"/>
      <c r="I1766" s="223" t="n">
        <v>44000</v>
      </c>
      <c r="J1766" s="305" t="n">
        <v>0</v>
      </c>
      <c r="K1766" s="305" t="n">
        <v>44000</v>
      </c>
      <c r="L1766" s="245" t="n">
        <v>-1000</v>
      </c>
    </row>
    <row r="1767" ht="15" customHeight="1" s="153">
      <c r="A1767" s="302" t="inlineStr">
        <is>
          <t>13/02/2026</t>
        </is>
      </c>
      <c r="B1767" s="303" t="inlineStr">
        <is>
          <t>Febrero</t>
        </is>
      </c>
      <c r="C1767" s="311" t="inlineStr">
        <is>
          <t>ROTI VIEYTES</t>
        </is>
      </c>
      <c r="D1767" s="225" t="n"/>
      <c r="E1767" s="225" t="n">
        <v>2</v>
      </c>
      <c r="F1767" s="225" t="n"/>
      <c r="G1767" s="225" t="n"/>
      <c r="H1767" s="225" t="n"/>
      <c r="I1767" s="223" t="n">
        <v>44000</v>
      </c>
      <c r="J1767" s="305" t="n">
        <v>0</v>
      </c>
      <c r="K1767" s="305" t="n">
        <v>44000</v>
      </c>
      <c r="L1767" s="245" t="n">
        <v>-1000</v>
      </c>
    </row>
    <row r="1768" ht="15" customHeight="1" s="153">
      <c r="A1768" s="302" t="inlineStr">
        <is>
          <t>21/02/2026</t>
        </is>
      </c>
      <c r="B1768" s="303" t="inlineStr">
        <is>
          <t>Febrero</t>
        </is>
      </c>
      <c r="C1768" s="311" t="inlineStr">
        <is>
          <t>ROTI VIEYTES</t>
        </is>
      </c>
      <c r="D1768" s="225" t="n"/>
      <c r="E1768" s="225" t="n">
        <v>2</v>
      </c>
      <c r="F1768" s="225" t="n"/>
      <c r="G1768" s="225" t="n"/>
      <c r="H1768" s="225" t="n"/>
      <c r="I1768" s="223" t="n">
        <v>45000</v>
      </c>
      <c r="J1768" s="305" t="n">
        <v>0</v>
      </c>
      <c r="K1768" s="305" t="n">
        <v>45000</v>
      </c>
      <c r="L1768" s="224" t="n">
        <v>0</v>
      </c>
    </row>
    <row r="1769" ht="15" customHeight="1" s="153">
      <c r="A1769" s="302" t="inlineStr">
        <is>
          <t>25/02/2026</t>
        </is>
      </c>
      <c r="B1769" s="303" t="inlineStr">
        <is>
          <t>Febrero</t>
        </is>
      </c>
      <c r="C1769" s="311" t="inlineStr">
        <is>
          <t>ROTI VIEYTES</t>
        </is>
      </c>
      <c r="D1769" s="225" t="n"/>
      <c r="E1769" s="225" t="n">
        <v>2</v>
      </c>
      <c r="F1769" s="225" t="n"/>
      <c r="G1769" s="225" t="n"/>
      <c r="H1769" s="225" t="n"/>
      <c r="I1769" s="223" t="n">
        <v>45000</v>
      </c>
      <c r="J1769" s="305" t="n">
        <v>0</v>
      </c>
      <c r="K1769" s="305" t="n">
        <v>45000</v>
      </c>
      <c r="L1769" s="224" t="n">
        <v>0</v>
      </c>
    </row>
    <row r="1770" ht="15" customHeight="1" s="153">
      <c r="A1770" s="302" t="inlineStr">
        <is>
          <t>07/03/2026</t>
        </is>
      </c>
      <c r="B1770" s="303" t="inlineStr">
        <is>
          <t>Marzo</t>
        </is>
      </c>
      <c r="C1770" s="311" t="inlineStr">
        <is>
          <t>ROTI VIEYTES</t>
        </is>
      </c>
      <c r="D1770" s="225" t="n"/>
      <c r="E1770" s="225" t="n">
        <v>2</v>
      </c>
      <c r="F1770" s="225" t="n"/>
      <c r="G1770" s="225" t="n"/>
      <c r="H1770" s="225" t="n"/>
      <c r="I1770" s="223" t="n">
        <v>45000</v>
      </c>
      <c r="J1770" s="305" t="n">
        <v>0</v>
      </c>
      <c r="K1770" s="305" t="n">
        <v>45000</v>
      </c>
      <c r="L1770" s="224" t="n">
        <v>0</v>
      </c>
    </row>
    <row r="1771" ht="15" customHeight="1" s="153">
      <c r="A1771" s="302" t="inlineStr">
        <is>
          <t>13/03/2026</t>
        </is>
      </c>
      <c r="B1771" s="303" t="inlineStr">
        <is>
          <t>Marzo</t>
        </is>
      </c>
      <c r="C1771" s="311" t="inlineStr">
        <is>
          <t>ROTI VIEYTES</t>
        </is>
      </c>
      <c r="D1771" s="225" t="n"/>
      <c r="E1771" s="225" t="n">
        <v>2</v>
      </c>
      <c r="F1771" s="225" t="n"/>
      <c r="G1771" s="225" t="n"/>
      <c r="H1771" s="225" t="n"/>
      <c r="I1771" s="223" t="n">
        <v>50000</v>
      </c>
      <c r="J1771" s="305" t="n">
        <v>0</v>
      </c>
      <c r="K1771" s="305" t="n">
        <v>50000</v>
      </c>
      <c r="L1771" s="224" t="n">
        <v>5000</v>
      </c>
    </row>
    <row r="1772" ht="15" customHeight="1" s="153">
      <c r="A1772" s="302" t="inlineStr">
        <is>
          <t>04/04/2026</t>
        </is>
      </c>
      <c r="B1772" s="303" t="inlineStr">
        <is>
          <t>Abril</t>
        </is>
      </c>
      <c r="C1772" s="311" t="inlineStr">
        <is>
          <t>ROTI VIEYTES</t>
        </is>
      </c>
      <c r="D1772" s="225" t="n"/>
      <c r="E1772" s="225" t="n">
        <v>2</v>
      </c>
      <c r="F1772" s="225" t="n"/>
      <c r="G1772" s="225" t="n"/>
      <c r="H1772" s="225" t="n"/>
      <c r="I1772" s="223" t="n">
        <v>61000</v>
      </c>
      <c r="J1772" s="305" t="n">
        <v>0</v>
      </c>
      <c r="K1772" s="305" t="n">
        <v>61000</v>
      </c>
      <c r="L1772" s="224" t="n">
        <v>16000</v>
      </c>
    </row>
    <row r="1773" ht="15" customHeight="1" s="153">
      <c r="A1773" s="302" t="inlineStr">
        <is>
          <t>09/04/2026</t>
        </is>
      </c>
      <c r="B1773" s="303" t="inlineStr">
        <is>
          <t>Abril</t>
        </is>
      </c>
      <c r="C1773" s="311" t="inlineStr">
        <is>
          <t>ROTI VIEYTES</t>
        </is>
      </c>
      <c r="D1773" s="225" t="n"/>
      <c r="E1773" s="225" t="n">
        <v>2</v>
      </c>
      <c r="F1773" s="225" t="n"/>
      <c r="G1773" s="225" t="n"/>
      <c r="H1773" s="225" t="n"/>
      <c r="I1773" s="223" t="n">
        <v>61000</v>
      </c>
      <c r="J1773" s="305" t="n">
        <v>0</v>
      </c>
      <c r="K1773" s="305" t="n">
        <v>61000</v>
      </c>
      <c r="L1773" s="224" t="n">
        <v>16000</v>
      </c>
    </row>
    <row r="1774" ht="15" customHeight="1" s="153">
      <c r="A1774" s="302" t="inlineStr">
        <is>
          <t>17/04/2026</t>
        </is>
      </c>
      <c r="B1774" s="303" t="inlineStr">
        <is>
          <t>Abril</t>
        </is>
      </c>
      <c r="C1774" s="311" t="inlineStr">
        <is>
          <t>ROTI VIEYTES</t>
        </is>
      </c>
      <c r="D1774" s="225" t="n"/>
      <c r="E1774" s="225" t="n">
        <v>2</v>
      </c>
      <c r="F1774" s="225" t="n"/>
      <c r="G1774" s="225" t="n"/>
      <c r="H1774" s="225" t="n"/>
      <c r="I1774" s="223" t="n">
        <v>61000</v>
      </c>
      <c r="J1774" s="305" t="n">
        <v>0</v>
      </c>
      <c r="K1774" s="305" t="n">
        <v>61000</v>
      </c>
      <c r="L1774" s="224" t="n">
        <v>16000</v>
      </c>
    </row>
    <row r="1775" ht="15" customHeight="1" s="153">
      <c r="A1775" s="306" t="inlineStr">
        <is>
          <t>19/03/2026</t>
        </is>
      </c>
      <c r="B1775" s="307" t="inlineStr">
        <is>
          <t>Marzo</t>
        </is>
      </c>
      <c r="C1775" s="310" t="inlineStr">
        <is>
          <t>ROTI VIYTES</t>
        </is>
      </c>
      <c r="D1775" s="218" t="n"/>
      <c r="E1775" s="218" t="n">
        <v>2</v>
      </c>
      <c r="F1775" s="218" t="n"/>
      <c r="G1775" s="218" t="n"/>
      <c r="H1775" s="218" t="n"/>
      <c r="I1775" s="216" t="n">
        <v>50000</v>
      </c>
      <c r="J1775" s="309" t="n">
        <v>0</v>
      </c>
      <c r="K1775" s="309" t="n">
        <v>50000</v>
      </c>
      <c r="L1775" s="236" t="n">
        <v>5000</v>
      </c>
    </row>
    <row r="1776" ht="15" customHeight="1" s="153">
      <c r="A1776" s="302" t="inlineStr">
        <is>
          <t>04/03/2026</t>
        </is>
      </c>
      <c r="B1776" s="303" t="inlineStr">
        <is>
          <t>Marzo</t>
        </is>
      </c>
      <c r="C1776" s="311" t="inlineStr">
        <is>
          <t>ROTI ZEBALLOS</t>
        </is>
      </c>
      <c r="D1776" s="225" t="n">
        <v>2</v>
      </c>
      <c r="E1776" s="225" t="n"/>
      <c r="F1776" s="225" t="n"/>
      <c r="G1776" s="225" t="n"/>
      <c r="H1776" s="225" t="n"/>
      <c r="I1776" s="223" t="n">
        <v>38000</v>
      </c>
      <c r="J1776" s="305" t="n">
        <v>38000</v>
      </c>
      <c r="K1776" s="305" t="n">
        <v>0</v>
      </c>
      <c r="L1776" s="224" t="n">
        <v>8000</v>
      </c>
    </row>
    <row r="1777" ht="15" customHeight="1" s="153">
      <c r="A1777" s="306" t="inlineStr">
        <is>
          <t>03/02/2026</t>
        </is>
      </c>
      <c r="B1777" s="307" t="inlineStr">
        <is>
          <t>Febrero</t>
        </is>
      </c>
      <c r="C1777" s="310" t="inlineStr">
        <is>
          <t>RUPERTO GODOY 1278</t>
        </is>
      </c>
      <c r="D1777" s="218" t="n"/>
      <c r="E1777" s="218" t="n"/>
      <c r="F1777" s="218" t="n">
        <v>1</v>
      </c>
      <c r="G1777" s="218" t="n"/>
      <c r="H1777" s="218" t="n"/>
      <c r="I1777" s="216" t="n">
        <v>72500</v>
      </c>
      <c r="J1777" s="309" t="n">
        <v>72500</v>
      </c>
      <c r="K1777" s="309" t="n">
        <v>0</v>
      </c>
      <c r="L1777" s="236" t="n">
        <v>12500</v>
      </c>
    </row>
    <row r="1778" ht="15" customHeight="1" s="153">
      <c r="A1778" s="302" t="inlineStr">
        <is>
          <t>27/02/2026</t>
        </is>
      </c>
      <c r="B1778" s="303" t="inlineStr">
        <is>
          <t>Febrero</t>
        </is>
      </c>
      <c r="C1778" s="311" t="inlineStr">
        <is>
          <t>RUPERTO GODOY 1676</t>
        </is>
      </c>
      <c r="D1778" s="225" t="n">
        <v>1</v>
      </c>
      <c r="E1778" s="225" t="n"/>
      <c r="F1778" s="225" t="n"/>
      <c r="G1778" s="225" t="n"/>
      <c r="H1778" s="225" t="n"/>
      <c r="I1778" s="223" t="n">
        <v>23000</v>
      </c>
      <c r="J1778" s="305" t="n">
        <v>23000</v>
      </c>
      <c r="K1778" s="305" t="n">
        <v>0</v>
      </c>
      <c r="L1778" s="224" t="n">
        <v>8000</v>
      </c>
    </row>
    <row r="1779" ht="15" customHeight="1" s="153">
      <c r="A1779" s="306" t="inlineStr">
        <is>
          <t>21/02/2026</t>
        </is>
      </c>
      <c r="B1779" s="307" t="inlineStr">
        <is>
          <t>Febrero</t>
        </is>
      </c>
      <c r="C1779" s="310" t="inlineStr">
        <is>
          <t>RUPERTO GODOY 4484</t>
        </is>
      </c>
      <c r="D1779" s="218" t="n"/>
      <c r="E1779" s="218" t="n"/>
      <c r="F1779" s="218" t="n">
        <v>1</v>
      </c>
      <c r="G1779" s="218" t="n"/>
      <c r="H1779" s="218" t="n"/>
      <c r="I1779" s="216" t="n">
        <v>76000</v>
      </c>
      <c r="J1779" s="309" t="n">
        <v>0</v>
      </c>
      <c r="K1779" s="309" t="n">
        <v>76000</v>
      </c>
      <c r="L1779" s="236" t="n">
        <v>16000</v>
      </c>
    </row>
    <row r="1780" ht="15" customHeight="1" s="153">
      <c r="A1780" s="302" t="inlineStr">
        <is>
          <t>17/04/2026</t>
        </is>
      </c>
      <c r="B1780" s="303" t="inlineStr">
        <is>
          <t>Abril</t>
        </is>
      </c>
      <c r="C1780" s="311" t="inlineStr">
        <is>
          <t>S BAYO 7165</t>
        </is>
      </c>
      <c r="D1780" s="225" t="n"/>
      <c r="E1780" s="225" t="n"/>
      <c r="F1780" s="225" t="n">
        <v>1</v>
      </c>
      <c r="G1780" s="225" t="n"/>
      <c r="H1780" s="225" t="n"/>
      <c r="I1780" s="223" t="n">
        <v>89000</v>
      </c>
      <c r="J1780" s="305" t="n">
        <v>0</v>
      </c>
      <c r="K1780" s="305" t="n">
        <v>89000</v>
      </c>
      <c r="L1780" s="224" t="n">
        <v>29000</v>
      </c>
    </row>
    <row r="1781" ht="15" customHeight="1" s="153">
      <c r="A1781" s="306" t="inlineStr">
        <is>
          <t>16/03/2026</t>
        </is>
      </c>
      <c r="B1781" s="307" t="inlineStr">
        <is>
          <t>Marzo</t>
        </is>
      </c>
      <c r="C1781" s="310" t="inlineStr">
        <is>
          <t>S BAYO 7250</t>
        </is>
      </c>
      <c r="D1781" s="218" t="n">
        <v>1</v>
      </c>
      <c r="E1781" s="218" t="n"/>
      <c r="F1781" s="218" t="n"/>
      <c r="G1781" s="218" t="n"/>
      <c r="H1781" s="218" t="n"/>
      <c r="I1781" s="216" t="n">
        <v>22500</v>
      </c>
      <c r="J1781" s="309" t="n">
        <v>0</v>
      </c>
      <c r="K1781" s="309" t="n">
        <v>22500</v>
      </c>
      <c r="L1781" s="236" t="n">
        <v>7500</v>
      </c>
    </row>
    <row r="1782" ht="15" customHeight="1" s="153">
      <c r="A1782" s="302" t="inlineStr">
        <is>
          <t>01/04/2026</t>
        </is>
      </c>
      <c r="B1782" s="303" t="inlineStr">
        <is>
          <t>Abril</t>
        </is>
      </c>
      <c r="C1782" s="311" t="inlineStr">
        <is>
          <t>SABOREAR</t>
        </is>
      </c>
      <c r="D1782" s="225" t="n">
        <v>1</v>
      </c>
      <c r="E1782" s="225" t="n"/>
      <c r="F1782" s="225" t="n"/>
      <c r="G1782" s="225" t="n"/>
      <c r="H1782" s="225" t="n"/>
      <c r="I1782" s="223" t="n">
        <v>22500</v>
      </c>
      <c r="J1782" s="305" t="n">
        <v>0</v>
      </c>
      <c r="K1782" s="305" t="n">
        <v>22500</v>
      </c>
      <c r="L1782" s="224" t="n">
        <v>7500</v>
      </c>
    </row>
    <row r="1783" ht="15" customHeight="1" s="153">
      <c r="A1783" s="302" t="inlineStr">
        <is>
          <t>09/04/2026</t>
        </is>
      </c>
      <c r="B1783" s="303" t="inlineStr">
        <is>
          <t>Abril</t>
        </is>
      </c>
      <c r="C1783" s="311" t="inlineStr">
        <is>
          <t>SABOREAR</t>
        </is>
      </c>
      <c r="D1783" s="225" t="n">
        <v>1</v>
      </c>
      <c r="E1783" s="225" t="n"/>
      <c r="F1783" s="225" t="n"/>
      <c r="G1783" s="225" t="n"/>
      <c r="H1783" s="225" t="n"/>
      <c r="I1783" s="223" t="n">
        <v>22500</v>
      </c>
      <c r="J1783" s="305" t="n">
        <v>0</v>
      </c>
      <c r="K1783" s="305" t="n">
        <v>22500</v>
      </c>
      <c r="L1783" s="224" t="n">
        <v>7500</v>
      </c>
    </row>
    <row r="1784" ht="15" customHeight="1" s="153">
      <c r="A1784" s="302" t="inlineStr">
        <is>
          <t>10/04/2026</t>
        </is>
      </c>
      <c r="B1784" s="303" t="inlineStr">
        <is>
          <t>Abril</t>
        </is>
      </c>
      <c r="C1784" s="311" t="inlineStr">
        <is>
          <t>SABOREAR</t>
        </is>
      </c>
      <c r="D1784" s="225" t="n"/>
      <c r="E1784" s="225" t="n"/>
      <c r="F1784" s="225" t="n">
        <v>1</v>
      </c>
      <c r="G1784" s="225" t="n"/>
      <c r="H1784" s="225" t="n"/>
      <c r="I1784" s="223" t="n">
        <v>81000</v>
      </c>
      <c r="J1784" s="305" t="n">
        <v>0</v>
      </c>
      <c r="K1784" s="305" t="n">
        <v>81000</v>
      </c>
      <c r="L1784" s="224" t="n">
        <v>21000</v>
      </c>
    </row>
    <row r="1785" ht="15" customHeight="1" s="153">
      <c r="A1785" s="302" t="inlineStr">
        <is>
          <t>17/04/2026</t>
        </is>
      </c>
      <c r="B1785" s="303" t="inlineStr">
        <is>
          <t>Abril</t>
        </is>
      </c>
      <c r="C1785" s="311" t="inlineStr">
        <is>
          <t>SABOREAR</t>
        </is>
      </c>
      <c r="D1785" s="225" t="n">
        <v>1</v>
      </c>
      <c r="E1785" s="225" t="n"/>
      <c r="F1785" s="225" t="n"/>
      <c r="G1785" s="225" t="n"/>
      <c r="H1785" s="225" t="n"/>
      <c r="I1785" s="223" t="n">
        <v>22500</v>
      </c>
      <c r="J1785" s="305" t="n">
        <v>0</v>
      </c>
      <c r="K1785" s="305" t="n">
        <v>22500</v>
      </c>
      <c r="L1785" s="224" t="n">
        <v>7500</v>
      </c>
    </row>
    <row r="1786" ht="15" customHeight="1" s="153">
      <c r="A1786" s="306" t="inlineStr">
        <is>
          <t>03/01/2026</t>
        </is>
      </c>
      <c r="B1786" s="307" t="inlineStr">
        <is>
          <t>Enero</t>
        </is>
      </c>
      <c r="C1786" s="310" t="inlineStr">
        <is>
          <t>SABOREAR</t>
        </is>
      </c>
      <c r="D1786" s="218" t="n">
        <v>1</v>
      </c>
      <c r="E1786" s="218" t="n"/>
      <c r="F1786" s="218" t="n"/>
      <c r="G1786" s="218" t="n"/>
      <c r="H1786" s="218" t="n"/>
      <c r="I1786" s="216" t="n">
        <v>18000</v>
      </c>
      <c r="J1786" s="309" t="n">
        <v>0</v>
      </c>
      <c r="K1786" s="309" t="n">
        <v>18000</v>
      </c>
      <c r="L1786" s="236" t="n">
        <v>3000</v>
      </c>
    </row>
    <row r="1787" ht="15" customHeight="1" s="153">
      <c r="A1787" s="306" t="inlineStr">
        <is>
          <t>04/01/2026</t>
        </is>
      </c>
      <c r="B1787" s="307" t="inlineStr">
        <is>
          <t>Enero</t>
        </is>
      </c>
      <c r="C1787" s="310" t="inlineStr">
        <is>
          <t>SABOREAR</t>
        </is>
      </c>
      <c r="D1787" s="218" t="n"/>
      <c r="E1787" s="218" t="n">
        <v>1</v>
      </c>
      <c r="F1787" s="218" t="n"/>
      <c r="G1787" s="218" t="n"/>
      <c r="H1787" s="218" t="n"/>
      <c r="I1787" s="216" t="n">
        <v>27000</v>
      </c>
      <c r="J1787" s="309" t="n">
        <v>0</v>
      </c>
      <c r="K1787" s="309" t="n">
        <v>27000</v>
      </c>
      <c r="L1787" s="236" t="n">
        <v>4500</v>
      </c>
    </row>
    <row r="1788" ht="15" customHeight="1" s="153">
      <c r="A1788" s="306" t="inlineStr">
        <is>
          <t>09/01/2026</t>
        </is>
      </c>
      <c r="B1788" s="307" t="inlineStr">
        <is>
          <t>Enero</t>
        </is>
      </c>
      <c r="C1788" s="310" t="inlineStr">
        <is>
          <t>SABOREAR</t>
        </is>
      </c>
      <c r="D1788" s="218" t="n">
        <v>1</v>
      </c>
      <c r="E1788" s="218" t="n"/>
      <c r="F1788" s="218" t="n">
        <v>1</v>
      </c>
      <c r="G1788" s="218" t="n"/>
      <c r="H1788" s="218" t="n"/>
      <c r="I1788" s="216" t="n">
        <v>87000</v>
      </c>
      <c r="J1788" s="309" t="n">
        <v>0</v>
      </c>
      <c r="K1788" s="309" t="n">
        <v>87000</v>
      </c>
      <c r="L1788" s="236" t="n">
        <v>12000</v>
      </c>
    </row>
    <row r="1789" ht="15" customHeight="1" s="153">
      <c r="A1789" s="306" t="inlineStr">
        <is>
          <t>15/01/2026</t>
        </is>
      </c>
      <c r="B1789" s="307" t="inlineStr">
        <is>
          <t>Enero</t>
        </is>
      </c>
      <c r="C1789" s="310" t="inlineStr">
        <is>
          <t>SABOREAR</t>
        </is>
      </c>
      <c r="D1789" s="218" t="n">
        <v>1</v>
      </c>
      <c r="E1789" s="218" t="n"/>
      <c r="F1789" s="218" t="n"/>
      <c r="G1789" s="218" t="n"/>
      <c r="H1789" s="218" t="n"/>
      <c r="I1789" s="216" t="n">
        <v>18000</v>
      </c>
      <c r="J1789" s="309" t="n">
        <v>0</v>
      </c>
      <c r="K1789" s="309" t="n">
        <v>18000</v>
      </c>
      <c r="L1789" s="236" t="n">
        <v>3000</v>
      </c>
    </row>
    <row r="1790" ht="15" customHeight="1" s="153">
      <c r="A1790" s="306" t="inlineStr">
        <is>
          <t>17/01/2026</t>
        </is>
      </c>
      <c r="B1790" s="307" t="inlineStr">
        <is>
          <t>Enero</t>
        </is>
      </c>
      <c r="C1790" s="310" t="inlineStr">
        <is>
          <t>SABOREAR</t>
        </is>
      </c>
      <c r="D1790" s="218" t="n">
        <v>1</v>
      </c>
      <c r="E1790" s="218" t="n"/>
      <c r="F1790" s="218" t="n"/>
      <c r="G1790" s="218" t="n"/>
      <c r="H1790" s="218" t="n"/>
      <c r="I1790" s="216" t="n">
        <v>18000</v>
      </c>
      <c r="J1790" s="309" t="n">
        <v>0</v>
      </c>
      <c r="K1790" s="309" t="n">
        <v>18000</v>
      </c>
      <c r="L1790" s="236" t="n">
        <v>3000</v>
      </c>
    </row>
    <row r="1791" ht="15" customHeight="1" s="153">
      <c r="A1791" s="306" t="inlineStr">
        <is>
          <t>22/01/2026</t>
        </is>
      </c>
      <c r="B1791" s="307" t="inlineStr">
        <is>
          <t>Enero</t>
        </is>
      </c>
      <c r="C1791" s="310" t="inlineStr">
        <is>
          <t>SABOREAR</t>
        </is>
      </c>
      <c r="D1791" s="218" t="n"/>
      <c r="E1791" s="218" t="n">
        <v>1</v>
      </c>
      <c r="F1791" s="218" t="n">
        <v>1</v>
      </c>
      <c r="G1791" s="218" t="n"/>
      <c r="H1791" s="218" t="n"/>
      <c r="I1791" s="216" t="n">
        <v>97000</v>
      </c>
      <c r="J1791" s="309" t="n">
        <v>0</v>
      </c>
      <c r="K1791" s="309" t="n">
        <v>97000</v>
      </c>
      <c r="L1791" s="236" t="n">
        <v>14500</v>
      </c>
    </row>
    <row r="1792" ht="15" customHeight="1" s="153">
      <c r="A1792" s="306" t="inlineStr">
        <is>
          <t>29/01/2026</t>
        </is>
      </c>
      <c r="B1792" s="307" t="inlineStr">
        <is>
          <t>Enero</t>
        </is>
      </c>
      <c r="C1792" s="310" t="inlineStr">
        <is>
          <t>SABOREAR</t>
        </is>
      </c>
      <c r="D1792" s="218" t="n">
        <v>1</v>
      </c>
      <c r="E1792" s="218" t="n">
        <v>1</v>
      </c>
      <c r="F1792" s="218" t="n"/>
      <c r="G1792" s="218" t="n"/>
      <c r="H1792" s="218" t="n"/>
      <c r="I1792" s="216" t="n">
        <v>46000</v>
      </c>
      <c r="J1792" s="309" t="n">
        <v>0</v>
      </c>
      <c r="K1792" s="309" t="n">
        <v>46000</v>
      </c>
      <c r="L1792" s="236" t="n">
        <v>8500</v>
      </c>
    </row>
    <row r="1793" ht="15" customHeight="1" s="153">
      <c r="A1793" s="306" t="inlineStr">
        <is>
          <t>30/01/2026</t>
        </is>
      </c>
      <c r="B1793" s="307" t="inlineStr">
        <is>
          <t>Enero</t>
        </is>
      </c>
      <c r="C1793" s="310" t="inlineStr">
        <is>
          <t>SABOREAR</t>
        </is>
      </c>
      <c r="D1793" s="218" t="n">
        <v>1</v>
      </c>
      <c r="E1793" s="218" t="n"/>
      <c r="F1793" s="218" t="n"/>
      <c r="G1793" s="218" t="n"/>
      <c r="H1793" s="218" t="n"/>
      <c r="I1793" s="216" t="n">
        <v>18000</v>
      </c>
      <c r="J1793" s="309" t="n">
        <v>0</v>
      </c>
      <c r="K1793" s="309" t="n">
        <v>18000</v>
      </c>
      <c r="L1793" s="236" t="n">
        <v>3000</v>
      </c>
    </row>
    <row r="1794" ht="15" customHeight="1" s="153">
      <c r="A1794" s="306" t="inlineStr">
        <is>
          <t>05/02/2026</t>
        </is>
      </c>
      <c r="B1794" s="307" t="inlineStr">
        <is>
          <t>Febrero</t>
        </is>
      </c>
      <c r="C1794" s="310" t="inlineStr">
        <is>
          <t>SABOREAR</t>
        </is>
      </c>
      <c r="D1794" s="218" t="n"/>
      <c r="E1794" s="218" t="n">
        <v>1</v>
      </c>
      <c r="F1794" s="218" t="n"/>
      <c r="G1794" s="218" t="n"/>
      <c r="H1794" s="218" t="n"/>
      <c r="I1794" s="216" t="n">
        <v>28000</v>
      </c>
      <c r="J1794" s="309" t="n">
        <v>0</v>
      </c>
      <c r="K1794" s="309" t="n">
        <v>28000</v>
      </c>
      <c r="L1794" s="236" t="n">
        <v>5500</v>
      </c>
    </row>
    <row r="1795" ht="15" customHeight="1" s="153">
      <c r="A1795" s="306" t="inlineStr">
        <is>
          <t>07/02/2026</t>
        </is>
      </c>
      <c r="B1795" s="307" t="inlineStr">
        <is>
          <t>Febrero</t>
        </is>
      </c>
      <c r="C1795" s="310" t="inlineStr">
        <is>
          <t>SABOREAR</t>
        </is>
      </c>
      <c r="D1795" s="218" t="n">
        <v>2</v>
      </c>
      <c r="E1795" s="218" t="n"/>
      <c r="F1795" s="218" t="n"/>
      <c r="G1795" s="218" t="n"/>
      <c r="H1795" s="218" t="n"/>
      <c r="I1795" s="216" t="n">
        <v>38000</v>
      </c>
      <c r="J1795" s="309" t="n">
        <v>0</v>
      </c>
      <c r="K1795" s="309" t="n">
        <v>38000</v>
      </c>
      <c r="L1795" s="236" t="n">
        <v>8000</v>
      </c>
    </row>
    <row r="1796" ht="15" customHeight="1" s="153">
      <c r="A1796" s="306" t="inlineStr">
        <is>
          <t>11/02/2026</t>
        </is>
      </c>
      <c r="B1796" s="307" t="inlineStr">
        <is>
          <t>Febrero</t>
        </is>
      </c>
      <c r="C1796" s="310" t="inlineStr">
        <is>
          <t>SABOREAR</t>
        </is>
      </c>
      <c r="D1796" s="218" t="n">
        <v>1</v>
      </c>
      <c r="E1796" s="218" t="n"/>
      <c r="F1796" s="218" t="n"/>
      <c r="G1796" s="218" t="n"/>
      <c r="H1796" s="218" t="n"/>
      <c r="I1796" s="216" t="n">
        <v>19000</v>
      </c>
      <c r="J1796" s="309" t="n">
        <v>0</v>
      </c>
      <c r="K1796" s="309" t="n">
        <v>19000</v>
      </c>
      <c r="L1796" s="236" t="n">
        <v>4000</v>
      </c>
    </row>
    <row r="1797" ht="15" customHeight="1" s="153">
      <c r="A1797" s="306" t="inlineStr">
        <is>
          <t>13/02/2026</t>
        </is>
      </c>
      <c r="B1797" s="307" t="inlineStr">
        <is>
          <t>Febrero</t>
        </is>
      </c>
      <c r="C1797" s="310" t="inlineStr">
        <is>
          <t>SABOREAR</t>
        </is>
      </c>
      <c r="D1797" s="218" t="n"/>
      <c r="E1797" s="218" t="n">
        <v>1</v>
      </c>
      <c r="F1797" s="218" t="n">
        <v>1</v>
      </c>
      <c r="G1797" s="218" t="n"/>
      <c r="H1797" s="218" t="n"/>
      <c r="I1797" s="216" t="n">
        <v>97000</v>
      </c>
      <c r="J1797" s="309" t="n">
        <v>0</v>
      </c>
      <c r="K1797" s="309" t="n">
        <v>97000</v>
      </c>
      <c r="L1797" s="236" t="n">
        <v>14500</v>
      </c>
    </row>
    <row r="1798" ht="15" customHeight="1" s="153">
      <c r="A1798" s="306" t="inlineStr">
        <is>
          <t>16/02/2026</t>
        </is>
      </c>
      <c r="B1798" s="307" t="inlineStr">
        <is>
          <t>Febrero</t>
        </is>
      </c>
      <c r="C1798" s="310" t="inlineStr">
        <is>
          <t>SABOREAR</t>
        </is>
      </c>
      <c r="D1798" s="218" t="n">
        <v>1</v>
      </c>
      <c r="E1798" s="218" t="n"/>
      <c r="F1798" s="218" t="n"/>
      <c r="G1798" s="218" t="n"/>
      <c r="H1798" s="218" t="n"/>
      <c r="I1798" s="216" t="n">
        <v>19000</v>
      </c>
      <c r="J1798" s="309" t="n">
        <v>19000</v>
      </c>
      <c r="K1798" s="309" t="n">
        <v>0</v>
      </c>
      <c r="L1798" s="236" t="n">
        <v>4000</v>
      </c>
    </row>
    <row r="1799" ht="15" customHeight="1" s="153">
      <c r="A1799" s="306" t="inlineStr">
        <is>
          <t>20/02/2026</t>
        </is>
      </c>
      <c r="B1799" s="307" t="inlineStr">
        <is>
          <t>Febrero</t>
        </is>
      </c>
      <c r="C1799" s="310" t="inlineStr">
        <is>
          <t>SABOREAR</t>
        </is>
      </c>
      <c r="D1799" s="218" t="n">
        <v>1</v>
      </c>
      <c r="E1799" s="218" t="n"/>
      <c r="F1799" s="218" t="n"/>
      <c r="G1799" s="218" t="n"/>
      <c r="H1799" s="218" t="n"/>
      <c r="I1799" s="216" t="n">
        <v>19500</v>
      </c>
      <c r="J1799" s="309" t="n">
        <v>0</v>
      </c>
      <c r="K1799" s="309" t="n">
        <v>19500</v>
      </c>
      <c r="L1799" s="236" t="n">
        <v>4500</v>
      </c>
    </row>
    <row r="1800" ht="15" customHeight="1" s="153">
      <c r="A1800" s="306" t="inlineStr">
        <is>
          <t>21/02/2026</t>
        </is>
      </c>
      <c r="B1800" s="307" t="inlineStr">
        <is>
          <t>Febrero</t>
        </is>
      </c>
      <c r="C1800" s="310" t="inlineStr">
        <is>
          <t>SABOREAR</t>
        </is>
      </c>
      <c r="D1800" s="218" t="n"/>
      <c r="E1800" s="218" t="n">
        <v>1</v>
      </c>
      <c r="F1800" s="218" t="n"/>
      <c r="G1800" s="218" t="n"/>
      <c r="H1800" s="218" t="n"/>
      <c r="I1800" s="216" t="n">
        <v>29000</v>
      </c>
      <c r="J1800" s="309" t="n">
        <v>0</v>
      </c>
      <c r="K1800" s="309" t="n">
        <v>29000</v>
      </c>
      <c r="L1800" s="236" t="n">
        <v>6500</v>
      </c>
    </row>
    <row r="1801" ht="15" customHeight="1" s="153">
      <c r="A1801" s="306" t="inlineStr">
        <is>
          <t>25/02/2026</t>
        </is>
      </c>
      <c r="B1801" s="307" t="inlineStr">
        <is>
          <t>Febrero</t>
        </is>
      </c>
      <c r="C1801" s="310" t="inlineStr">
        <is>
          <t>SABOREAR</t>
        </is>
      </c>
      <c r="D1801" s="218" t="n"/>
      <c r="E1801" s="218" t="n"/>
      <c r="F1801" s="218" t="n">
        <v>1</v>
      </c>
      <c r="G1801" s="218" t="n"/>
      <c r="H1801" s="218" t="n"/>
      <c r="I1801" s="216" t="n">
        <v>71000</v>
      </c>
      <c r="J1801" s="309" t="n">
        <v>0</v>
      </c>
      <c r="K1801" s="309" t="n">
        <v>71000</v>
      </c>
      <c r="L1801" s="236" t="n">
        <v>11000</v>
      </c>
    </row>
    <row r="1802" ht="15" customHeight="1" s="153">
      <c r="A1802" s="306" t="inlineStr">
        <is>
          <t>27/02/2026</t>
        </is>
      </c>
      <c r="B1802" s="307" t="inlineStr">
        <is>
          <t>Febrero</t>
        </is>
      </c>
      <c r="C1802" s="310" t="inlineStr">
        <is>
          <t>SABOREAR</t>
        </is>
      </c>
      <c r="D1802" s="218" t="n">
        <v>2</v>
      </c>
      <c r="E1802" s="218" t="n"/>
      <c r="F1802" s="218" t="n"/>
      <c r="G1802" s="218" t="n"/>
      <c r="H1802" s="218" t="n"/>
      <c r="I1802" s="216" t="n">
        <v>39000</v>
      </c>
      <c r="J1802" s="309" t="n">
        <v>0</v>
      </c>
      <c r="K1802" s="309" t="n">
        <v>39000</v>
      </c>
      <c r="L1802" s="236" t="n">
        <v>9000</v>
      </c>
    </row>
    <row r="1803" ht="15" customHeight="1" s="153">
      <c r="A1803" s="306" t="inlineStr">
        <is>
          <t>28/02/2026</t>
        </is>
      </c>
      <c r="B1803" s="307" t="inlineStr">
        <is>
          <t>Febrero</t>
        </is>
      </c>
      <c r="C1803" s="310" t="inlineStr">
        <is>
          <t>SABOREAR</t>
        </is>
      </c>
      <c r="D1803" s="218" t="n"/>
      <c r="E1803" s="218" t="n">
        <v>1</v>
      </c>
      <c r="F1803" s="218" t="n"/>
      <c r="G1803" s="218" t="n"/>
      <c r="H1803" s="218" t="n"/>
      <c r="I1803" s="216" t="n">
        <v>29000</v>
      </c>
      <c r="J1803" s="309" t="n">
        <v>0</v>
      </c>
      <c r="K1803" s="309" t="n">
        <v>29000</v>
      </c>
      <c r="L1803" s="236" t="n">
        <v>6500</v>
      </c>
    </row>
    <row r="1804" ht="15" customHeight="1" s="153">
      <c r="A1804" s="306" t="inlineStr">
        <is>
          <t>06/03/2026</t>
        </is>
      </c>
      <c r="B1804" s="307" t="inlineStr">
        <is>
          <t>Marzo</t>
        </is>
      </c>
      <c r="C1804" s="310" t="inlineStr">
        <is>
          <t>SABOREAR</t>
        </is>
      </c>
      <c r="D1804" s="218" t="n">
        <v>2</v>
      </c>
      <c r="E1804" s="218" t="n"/>
      <c r="F1804" s="218" t="n"/>
      <c r="G1804" s="218" t="n"/>
      <c r="H1804" s="218" t="n"/>
      <c r="I1804" s="216" t="n">
        <v>39000</v>
      </c>
      <c r="J1804" s="309" t="n">
        <v>0</v>
      </c>
      <c r="K1804" s="309" t="n">
        <v>39000</v>
      </c>
      <c r="L1804" s="236" t="n">
        <v>9000</v>
      </c>
    </row>
    <row r="1805" ht="15" customHeight="1" s="153">
      <c r="A1805" s="306" t="inlineStr">
        <is>
          <t>07/03/2026</t>
        </is>
      </c>
      <c r="B1805" s="307" t="inlineStr">
        <is>
          <t>Marzo</t>
        </is>
      </c>
      <c r="C1805" s="310" t="inlineStr">
        <is>
          <t>SABOREAR</t>
        </is>
      </c>
      <c r="D1805" s="218" t="n"/>
      <c r="E1805" s="218" t="n">
        <v>1</v>
      </c>
      <c r="F1805" s="218" t="n"/>
      <c r="G1805" s="218" t="n"/>
      <c r="H1805" s="218" t="n"/>
      <c r="I1805" s="216" t="n">
        <v>29000</v>
      </c>
      <c r="J1805" s="309" t="n">
        <v>0</v>
      </c>
      <c r="K1805" s="309" t="n">
        <v>29000</v>
      </c>
      <c r="L1805" s="236" t="n">
        <v>6500</v>
      </c>
    </row>
    <row r="1806" ht="15" customHeight="1" s="153">
      <c r="A1806" s="306" t="inlineStr">
        <is>
          <t>12/03/2026</t>
        </is>
      </c>
      <c r="B1806" s="307" t="inlineStr">
        <is>
          <t>Marzo</t>
        </is>
      </c>
      <c r="C1806" s="310" t="inlineStr">
        <is>
          <t>SABOREAR</t>
        </is>
      </c>
      <c r="D1806" s="218" t="n">
        <v>1</v>
      </c>
      <c r="E1806" s="218" t="n"/>
      <c r="F1806" s="218" t="n">
        <v>1</v>
      </c>
      <c r="G1806" s="218" t="n"/>
      <c r="H1806" s="218" t="n"/>
      <c r="I1806" s="216" t="n">
        <v>90500</v>
      </c>
      <c r="J1806" s="309" t="n">
        <v>0</v>
      </c>
      <c r="K1806" s="309" t="n">
        <v>90500</v>
      </c>
      <c r="L1806" s="236" t="n">
        <v>15500</v>
      </c>
    </row>
    <row r="1807" ht="15" customHeight="1" s="153">
      <c r="A1807" s="306" t="inlineStr">
        <is>
          <t>14/03/2026</t>
        </is>
      </c>
      <c r="B1807" s="307" t="inlineStr">
        <is>
          <t>Marzo</t>
        </is>
      </c>
      <c r="C1807" s="310" t="inlineStr">
        <is>
          <t>SABOREAR</t>
        </is>
      </c>
      <c r="D1807" s="218" t="n">
        <v>2</v>
      </c>
      <c r="E1807" s="218" t="n"/>
      <c r="F1807" s="218" t="n"/>
      <c r="G1807" s="218" t="n"/>
      <c r="H1807" s="218" t="n"/>
      <c r="I1807" s="216" t="n">
        <v>42000</v>
      </c>
      <c r="J1807" s="309" t="n">
        <v>42000</v>
      </c>
      <c r="K1807" s="309" t="n">
        <v>0</v>
      </c>
      <c r="L1807" s="236" t="n">
        <v>12000</v>
      </c>
    </row>
    <row r="1808" ht="15" customHeight="1" s="153">
      <c r="A1808" s="306" t="inlineStr">
        <is>
          <t>15/03/2026</t>
        </is>
      </c>
      <c r="B1808" s="307" t="inlineStr">
        <is>
          <t>Marzo</t>
        </is>
      </c>
      <c r="C1808" s="310" t="inlineStr">
        <is>
          <t>SABOREAR</t>
        </is>
      </c>
      <c r="D1808" s="218" t="n"/>
      <c r="E1808" s="218" t="n">
        <v>1</v>
      </c>
      <c r="F1808" s="218" t="n"/>
      <c r="G1808" s="218" t="n"/>
      <c r="H1808" s="218" t="n"/>
      <c r="I1808" s="216" t="n">
        <v>31500</v>
      </c>
      <c r="J1808" s="309" t="n">
        <v>0</v>
      </c>
      <c r="K1808" s="309" t="n">
        <v>31500</v>
      </c>
      <c r="L1808" s="236" t="n">
        <v>9000</v>
      </c>
    </row>
    <row r="1809" ht="15" customHeight="1" s="153">
      <c r="A1809" s="306" t="inlineStr">
        <is>
          <t>21/03/2026</t>
        </is>
      </c>
      <c r="B1809" s="307" t="inlineStr">
        <is>
          <t>Marzo</t>
        </is>
      </c>
      <c r="C1809" s="310" t="inlineStr">
        <is>
          <t>SABOREAR</t>
        </is>
      </c>
      <c r="D1809" s="218" t="n">
        <v>1</v>
      </c>
      <c r="E1809" s="218" t="n"/>
      <c r="F1809" s="218" t="n"/>
      <c r="G1809" s="218" t="n"/>
      <c r="H1809" s="218" t="n"/>
      <c r="I1809" s="216" t="n">
        <v>21000</v>
      </c>
      <c r="J1809" s="309" t="n">
        <v>0</v>
      </c>
      <c r="K1809" s="309" t="n">
        <v>21000</v>
      </c>
      <c r="L1809" s="236" t="n">
        <v>6000</v>
      </c>
    </row>
    <row r="1810" ht="15" customHeight="1" s="153">
      <c r="A1810" s="306" t="inlineStr">
        <is>
          <t>22/03/2026</t>
        </is>
      </c>
      <c r="B1810" s="307" t="inlineStr">
        <is>
          <t>Marzo</t>
        </is>
      </c>
      <c r="C1810" s="310" t="inlineStr">
        <is>
          <t>SABOREAR</t>
        </is>
      </c>
      <c r="D1810" s="218" t="n">
        <v>1</v>
      </c>
      <c r="E1810" s="218" t="n"/>
      <c r="F1810" s="218" t="n"/>
      <c r="G1810" s="218" t="n"/>
      <c r="H1810" s="218" t="n"/>
      <c r="I1810" s="216" t="n">
        <v>21000</v>
      </c>
      <c r="J1810" s="309" t="n">
        <v>0</v>
      </c>
      <c r="K1810" s="309" t="n">
        <v>21000</v>
      </c>
      <c r="L1810" s="236" t="n">
        <v>6000</v>
      </c>
    </row>
    <row r="1811" ht="15" customHeight="1" s="153">
      <c r="A1811" s="306" t="inlineStr">
        <is>
          <t>22/04/2026</t>
        </is>
      </c>
      <c r="B1811" s="307" t="inlineStr">
        <is>
          <t>Abril</t>
        </is>
      </c>
      <c r="C1811" s="310" t="inlineStr">
        <is>
          <t>SABOREAR</t>
        </is>
      </c>
      <c r="D1811" s="218" t="n">
        <v>2</v>
      </c>
      <c r="E1811" s="218" t="n"/>
      <c r="F1811" s="218" t="n"/>
      <c r="G1811" s="218" t="n"/>
      <c r="H1811" s="218" t="n"/>
      <c r="I1811" s="216" t="n">
        <v>45000</v>
      </c>
      <c r="J1811" s="309" t="n">
        <v>0</v>
      </c>
      <c r="K1811" s="309" t="n">
        <v>45000</v>
      </c>
      <c r="L1811" s="236" t="n">
        <v>15000</v>
      </c>
    </row>
    <row r="1812" ht="15" customHeight="1" s="153">
      <c r="A1812" s="302" t="inlineStr">
        <is>
          <t>03/01/2026</t>
        </is>
      </c>
      <c r="B1812" s="303" t="inlineStr">
        <is>
          <t>Enero</t>
        </is>
      </c>
      <c r="C1812" s="311" t="inlineStr">
        <is>
          <t>SABOREARTE CARRO</t>
        </is>
      </c>
      <c r="D1812" s="225" t="n">
        <v>1</v>
      </c>
      <c r="E1812" s="225" t="n"/>
      <c r="F1812" s="225" t="n"/>
      <c r="G1812" s="225" t="n"/>
      <c r="H1812" s="225" t="n"/>
      <c r="I1812" s="223" t="n">
        <v>18000</v>
      </c>
      <c r="J1812" s="305" t="n">
        <v>0</v>
      </c>
      <c r="K1812" s="305" t="n">
        <v>18000</v>
      </c>
      <c r="L1812" s="224" t="n">
        <v>3000</v>
      </c>
    </row>
    <row r="1813" ht="15" customHeight="1" s="153">
      <c r="A1813" s="306" t="inlineStr">
        <is>
          <t>03/04/2026</t>
        </is>
      </c>
      <c r="B1813" s="307" t="inlineStr">
        <is>
          <t>Abril</t>
        </is>
      </c>
      <c r="C1813" s="310" t="inlineStr">
        <is>
          <t>SABORERAR</t>
        </is>
      </c>
      <c r="D1813" s="218" t="n">
        <v>1</v>
      </c>
      <c r="E1813" s="218" t="n"/>
      <c r="F1813" s="218" t="n"/>
      <c r="G1813" s="218" t="n"/>
      <c r="H1813" s="218" t="n"/>
      <c r="I1813" s="216" t="n">
        <v>22500</v>
      </c>
      <c r="J1813" s="309" t="n">
        <v>0</v>
      </c>
      <c r="K1813" s="309" t="n">
        <v>22500</v>
      </c>
      <c r="L1813" s="236" t="n">
        <v>7500</v>
      </c>
    </row>
    <row r="1814" ht="15" customHeight="1" s="153">
      <c r="A1814" s="302" t="inlineStr">
        <is>
          <t>11/01/2026</t>
        </is>
      </c>
      <c r="B1814" s="303" t="inlineStr">
        <is>
          <t>Enero</t>
        </is>
      </c>
      <c r="C1814" s="311" t="inlineStr">
        <is>
          <t>SABORERARTE</t>
        </is>
      </c>
      <c r="D1814" s="225" t="n"/>
      <c r="E1814" s="225" t="n">
        <v>1</v>
      </c>
      <c r="F1814" s="225" t="n"/>
      <c r="G1814" s="225" t="n"/>
      <c r="H1814" s="225" t="n"/>
      <c r="I1814" s="223" t="n">
        <v>28000</v>
      </c>
      <c r="J1814" s="305" t="n">
        <v>12000</v>
      </c>
      <c r="K1814" s="305" t="n">
        <v>28000</v>
      </c>
      <c r="L1814" s="224" t="n">
        <v>5500</v>
      </c>
    </row>
    <row r="1815" ht="15" customHeight="1" s="153">
      <c r="A1815" s="302" t="inlineStr">
        <is>
          <t>21/01/2026</t>
        </is>
      </c>
      <c r="B1815" s="303" t="inlineStr">
        <is>
          <t>Enero</t>
        </is>
      </c>
      <c r="C1815" s="311" t="inlineStr">
        <is>
          <t>SABORERARTE</t>
        </is>
      </c>
      <c r="D1815" s="225" t="n">
        <v>1</v>
      </c>
      <c r="E1815" s="225" t="n"/>
      <c r="F1815" s="225" t="n"/>
      <c r="G1815" s="225" t="n"/>
      <c r="H1815" s="225" t="n"/>
      <c r="I1815" s="223" t="n">
        <v>18000</v>
      </c>
      <c r="J1815" s="305" t="n">
        <v>0</v>
      </c>
      <c r="K1815" s="305" t="n">
        <v>18000</v>
      </c>
      <c r="L1815" s="224" t="n">
        <v>3000</v>
      </c>
    </row>
    <row r="1816" ht="15" customHeight="1" s="153">
      <c r="A1816" s="302" t="inlineStr">
        <is>
          <t>25/01/2026</t>
        </is>
      </c>
      <c r="B1816" s="303" t="inlineStr">
        <is>
          <t>Enero</t>
        </is>
      </c>
      <c r="C1816" s="311" t="inlineStr">
        <is>
          <t>SABORERARTE</t>
        </is>
      </c>
      <c r="D1816" s="225" t="n">
        <v>1</v>
      </c>
      <c r="E1816" s="225" t="n"/>
      <c r="F1816" s="225" t="n"/>
      <c r="G1816" s="225" t="n"/>
      <c r="H1816" s="225" t="n"/>
      <c r="I1816" s="223" t="n">
        <v>18000</v>
      </c>
      <c r="J1816" s="305" t="n">
        <v>0</v>
      </c>
      <c r="K1816" s="305" t="n">
        <v>18000</v>
      </c>
      <c r="L1816" s="224" t="n">
        <v>3000</v>
      </c>
    </row>
    <row r="1817" ht="15" customHeight="1" s="153">
      <c r="A1817" s="302" t="inlineStr">
        <is>
          <t>01/02/2026</t>
        </is>
      </c>
      <c r="B1817" s="303" t="inlineStr">
        <is>
          <t>Febrero</t>
        </is>
      </c>
      <c r="C1817" s="311" t="inlineStr">
        <is>
          <t>SABORERARTE</t>
        </is>
      </c>
      <c r="D1817" s="225" t="n">
        <v>1</v>
      </c>
      <c r="E1817" s="225" t="n"/>
      <c r="F1817" s="225" t="n">
        <v>1</v>
      </c>
      <c r="G1817" s="225" t="n"/>
      <c r="H1817" s="225" t="n"/>
      <c r="I1817" s="223" t="n">
        <v>88000</v>
      </c>
      <c r="J1817" s="305" t="n">
        <v>0</v>
      </c>
      <c r="K1817" s="305" t="n">
        <v>88000</v>
      </c>
      <c r="L1817" s="224" t="n">
        <v>13000</v>
      </c>
    </row>
    <row r="1818" ht="15" customHeight="1" s="153">
      <c r="A1818" s="302" t="inlineStr">
        <is>
          <t>26/02/2026</t>
        </is>
      </c>
      <c r="B1818" s="303" t="inlineStr">
        <is>
          <t>Febrero</t>
        </is>
      </c>
      <c r="C1818" s="311" t="inlineStr">
        <is>
          <t>SABORERARTE</t>
        </is>
      </c>
      <c r="D1818" s="225" t="n">
        <v>1</v>
      </c>
      <c r="E1818" s="225" t="n"/>
      <c r="F1818" s="225" t="n"/>
      <c r="G1818" s="225" t="n"/>
      <c r="H1818" s="225" t="n"/>
      <c r="I1818" s="223" t="n">
        <v>19500</v>
      </c>
      <c r="J1818" s="305" t="n">
        <v>0</v>
      </c>
      <c r="K1818" s="305" t="n">
        <v>19500</v>
      </c>
      <c r="L1818" s="224" t="n">
        <v>4500</v>
      </c>
    </row>
    <row r="1819" ht="15" customHeight="1" s="153">
      <c r="A1819" s="306" t="inlineStr">
        <is>
          <t>08/02/2026</t>
        </is>
      </c>
      <c r="B1819" s="307" t="inlineStr">
        <is>
          <t>Febrero</t>
        </is>
      </c>
      <c r="C1819" s="310" t="inlineStr">
        <is>
          <t>SALTA 2709</t>
        </is>
      </c>
      <c r="D1819" s="218" t="n">
        <v>1</v>
      </c>
      <c r="E1819" s="218" t="n"/>
      <c r="F1819" s="218" t="n"/>
      <c r="G1819" s="218" t="n"/>
      <c r="H1819" s="218" t="n"/>
      <c r="I1819" s="216" t="n">
        <v>22000</v>
      </c>
      <c r="J1819" s="309" t="n">
        <v>22000</v>
      </c>
      <c r="K1819" s="309" t="n">
        <v>0</v>
      </c>
      <c r="L1819" s="236" t="n">
        <v>7000</v>
      </c>
    </row>
    <row r="1820" ht="15" customHeight="1" s="153">
      <c r="A1820" s="302" t="inlineStr">
        <is>
          <t>10/01/2026</t>
        </is>
      </c>
      <c r="B1820" s="303" t="inlineStr">
        <is>
          <t>Enero</t>
        </is>
      </c>
      <c r="C1820" s="311" t="inlineStr">
        <is>
          <t>SAMDRA</t>
        </is>
      </c>
      <c r="D1820" s="225" t="n">
        <v>1</v>
      </c>
      <c r="E1820" s="225" t="n"/>
      <c r="F1820" s="225" t="n"/>
      <c r="G1820" s="225" t="n"/>
      <c r="H1820" s="225" t="n"/>
      <c r="I1820" s="223" t="n">
        <v>14500</v>
      </c>
      <c r="J1820" s="305" t="n">
        <v>14500</v>
      </c>
      <c r="K1820" s="305" t="n">
        <v>0</v>
      </c>
      <c r="L1820" s="245" t="n">
        <v>-500</v>
      </c>
    </row>
    <row r="1821" ht="15" customHeight="1" s="153">
      <c r="A1821" s="306" t="inlineStr">
        <is>
          <t>10/03/2026</t>
        </is>
      </c>
      <c r="B1821" s="307" t="inlineStr">
        <is>
          <t>Marzo</t>
        </is>
      </c>
      <c r="C1821" s="310" t="inlineStr">
        <is>
          <t>SAN AMRTIN 3939</t>
        </is>
      </c>
      <c r="D1821" s="218" t="n">
        <v>1</v>
      </c>
      <c r="E1821" s="218" t="n"/>
      <c r="F1821" s="218" t="n"/>
      <c r="G1821" s="218" t="n"/>
      <c r="H1821" s="218" t="n"/>
      <c r="I1821" s="216" t="n">
        <v>23000</v>
      </c>
      <c r="J1821" s="309" t="n">
        <v>23000</v>
      </c>
      <c r="K1821" s="309" t="n">
        <v>0</v>
      </c>
      <c r="L1821" s="236" t="n">
        <v>8000</v>
      </c>
    </row>
    <row r="1822" ht="15" customHeight="1" s="153">
      <c r="A1822" s="302" t="inlineStr">
        <is>
          <t>25/02/2026</t>
        </is>
      </c>
      <c r="B1822" s="303" t="inlineStr">
        <is>
          <t>Febrero</t>
        </is>
      </c>
      <c r="C1822" s="311" t="inlineStr">
        <is>
          <t>SAN JERONIMO 6421</t>
        </is>
      </c>
      <c r="D1822" s="225" t="n">
        <v>1</v>
      </c>
      <c r="E1822" s="225" t="n"/>
      <c r="F1822" s="225" t="n"/>
      <c r="G1822" s="225" t="n"/>
      <c r="H1822" s="225" t="n"/>
      <c r="I1822" s="223" t="n">
        <v>22000</v>
      </c>
      <c r="J1822" s="305" t="n">
        <v>22000</v>
      </c>
      <c r="K1822" s="305" t="n">
        <v>0</v>
      </c>
      <c r="L1822" s="224" t="n">
        <v>7000</v>
      </c>
    </row>
    <row r="1823" ht="15" customHeight="1" s="153">
      <c r="A1823" s="306" t="inlineStr">
        <is>
          <t>18/02/2026</t>
        </is>
      </c>
      <c r="B1823" s="307" t="inlineStr">
        <is>
          <t>Febrero</t>
        </is>
      </c>
      <c r="C1823" s="310" t="inlineStr">
        <is>
          <t>SAN JOSE 5160</t>
        </is>
      </c>
      <c r="D1823" s="218" t="n">
        <v>1</v>
      </c>
      <c r="E1823" s="218" t="n"/>
      <c r="F1823" s="218" t="n"/>
      <c r="G1823" s="218" t="n"/>
      <c r="H1823" s="218" t="n"/>
      <c r="I1823" s="216" t="n">
        <v>22000</v>
      </c>
      <c r="J1823" s="309" t="n">
        <v>0</v>
      </c>
      <c r="K1823" s="309" t="n">
        <v>22000</v>
      </c>
      <c r="L1823" s="236" t="n">
        <v>7000</v>
      </c>
    </row>
    <row r="1824" ht="15" customHeight="1" s="153">
      <c r="A1824" s="302" t="inlineStr">
        <is>
          <t>15/02/2026</t>
        </is>
      </c>
      <c r="B1824" s="303" t="inlineStr">
        <is>
          <t>Febrero</t>
        </is>
      </c>
      <c r="C1824" s="311" t="inlineStr">
        <is>
          <t>SAN JOSE 7369</t>
        </is>
      </c>
      <c r="D1824" s="225" t="n">
        <v>1</v>
      </c>
      <c r="E1824" s="225" t="n"/>
      <c r="F1824" s="225" t="n"/>
      <c r="G1824" s="225" t="n"/>
      <c r="H1824" s="225" t="n"/>
      <c r="I1824" s="223" t="n">
        <v>22000</v>
      </c>
      <c r="J1824" s="305" t="n">
        <v>22000</v>
      </c>
      <c r="K1824" s="305" t="n">
        <v>0</v>
      </c>
      <c r="L1824" s="224" t="n">
        <v>7000</v>
      </c>
    </row>
    <row r="1825" ht="15" customHeight="1" s="153">
      <c r="A1825" s="306" t="inlineStr">
        <is>
          <t>08/02/2026</t>
        </is>
      </c>
      <c r="B1825" s="307" t="inlineStr">
        <is>
          <t>Febrero</t>
        </is>
      </c>
      <c r="C1825" s="310" t="inlineStr">
        <is>
          <t>SAN JOSE 8494</t>
        </is>
      </c>
      <c r="D1825" s="218" t="n"/>
      <c r="E1825" s="218" t="n"/>
      <c r="F1825" s="218" t="n">
        <v>1</v>
      </c>
      <c r="G1825" s="218" t="n"/>
      <c r="H1825" s="218" t="n"/>
      <c r="I1825" s="216" t="n">
        <v>79000</v>
      </c>
      <c r="J1825" s="309" t="n">
        <v>0</v>
      </c>
      <c r="K1825" s="309" t="n">
        <v>79000</v>
      </c>
      <c r="L1825" s="236" t="n">
        <v>19000</v>
      </c>
    </row>
    <row r="1826" ht="15" customHeight="1" s="153">
      <c r="A1826" s="302" t="inlineStr">
        <is>
          <t>05/03/2026</t>
        </is>
      </c>
      <c r="B1826" s="303" t="inlineStr">
        <is>
          <t>Marzo</t>
        </is>
      </c>
      <c r="C1826" s="311" t="inlineStr">
        <is>
          <t>SAN LORENZO 1987</t>
        </is>
      </c>
      <c r="D1826" s="225" t="n"/>
      <c r="E1826" s="225" t="n"/>
      <c r="F1826" s="225" t="n">
        <v>1</v>
      </c>
      <c r="G1826" s="225" t="n"/>
      <c r="H1826" s="225" t="n"/>
      <c r="I1826" s="223" t="n">
        <v>75000</v>
      </c>
      <c r="J1826" s="305" t="n">
        <v>75000</v>
      </c>
      <c r="K1826" s="305" t="n">
        <v>0</v>
      </c>
      <c r="L1826" s="224" t="n">
        <v>15000</v>
      </c>
    </row>
    <row r="1827" ht="15" customHeight="1" s="153">
      <c r="A1827" s="306" t="inlineStr">
        <is>
          <t>28/01/2026</t>
        </is>
      </c>
      <c r="B1827" s="307" t="inlineStr">
        <is>
          <t>Enero</t>
        </is>
      </c>
      <c r="C1827" s="310" t="inlineStr">
        <is>
          <t>SAN LORENZO 5081</t>
        </is>
      </c>
      <c r="D1827" s="218" t="n"/>
      <c r="E1827" s="218" t="n">
        <v>1</v>
      </c>
      <c r="F1827" s="218" t="n"/>
      <c r="G1827" s="218" t="n"/>
      <c r="H1827" s="218" t="n"/>
      <c r="I1827" s="216" t="n">
        <v>33000</v>
      </c>
      <c r="J1827" s="309" t="n">
        <v>33000</v>
      </c>
      <c r="K1827" s="309" t="n">
        <v>0</v>
      </c>
      <c r="L1827" s="236" t="n">
        <v>10500</v>
      </c>
    </row>
    <row r="1828" ht="15" customHeight="1" s="153">
      <c r="A1828" s="302" t="inlineStr">
        <is>
          <t>03/04/2026</t>
        </is>
      </c>
      <c r="B1828" s="303" t="inlineStr">
        <is>
          <t>Abril</t>
        </is>
      </c>
      <c r="C1828" s="311" t="inlineStr">
        <is>
          <t>SAN LORENZO 5949</t>
        </is>
      </c>
      <c r="D1828" s="225" t="n">
        <v>1</v>
      </c>
      <c r="E1828" s="225" t="n"/>
      <c r="F1828" s="225" t="n"/>
      <c r="G1828" s="225" t="n"/>
      <c r="H1828" s="225" t="n"/>
      <c r="I1828" s="223" t="n">
        <v>25000</v>
      </c>
      <c r="J1828" s="305" t="n">
        <v>25000</v>
      </c>
      <c r="K1828" s="305" t="n">
        <v>0</v>
      </c>
      <c r="L1828" s="224" t="n">
        <v>10000</v>
      </c>
    </row>
    <row r="1829" ht="15" customHeight="1" s="153">
      <c r="A1829" s="306" t="inlineStr">
        <is>
          <t>05/01/2026</t>
        </is>
      </c>
      <c r="B1829" s="307" t="inlineStr">
        <is>
          <t>Enero</t>
        </is>
      </c>
      <c r="C1829" s="310" t="inlineStr">
        <is>
          <t>SAN MARTIN 1925</t>
        </is>
      </c>
      <c r="D1829" s="218" t="n">
        <v>1</v>
      </c>
      <c r="E1829" s="218" t="n"/>
      <c r="F1829" s="218" t="n"/>
      <c r="G1829" s="218" t="n"/>
      <c r="H1829" s="218" t="n"/>
      <c r="I1829" s="216" t="n">
        <v>19500</v>
      </c>
      <c r="J1829" s="309" t="n">
        <v>19500</v>
      </c>
      <c r="K1829" s="309" t="n">
        <v>0</v>
      </c>
      <c r="L1829" s="236" t="n">
        <v>4500</v>
      </c>
    </row>
    <row r="1830" ht="15" customHeight="1" s="153">
      <c r="A1830" s="306" t="inlineStr">
        <is>
          <t>09/03/2026</t>
        </is>
      </c>
      <c r="B1830" s="307" t="inlineStr">
        <is>
          <t>Marzo</t>
        </is>
      </c>
      <c r="C1830" s="310" t="inlineStr">
        <is>
          <t>SAN MARTIN 1925</t>
        </is>
      </c>
      <c r="D1830" s="218" t="n">
        <v>1</v>
      </c>
      <c r="E1830" s="218" t="n"/>
      <c r="F1830" s="218" t="n"/>
      <c r="G1830" s="218" t="n"/>
      <c r="H1830" s="218" t="n"/>
      <c r="I1830" s="216" t="n">
        <v>22000</v>
      </c>
      <c r="J1830" s="309" t="n">
        <v>22000</v>
      </c>
      <c r="K1830" s="309" t="n">
        <v>0</v>
      </c>
      <c r="L1830" s="236" t="n">
        <v>7000</v>
      </c>
    </row>
    <row r="1831" ht="15" customHeight="1" s="153">
      <c r="A1831" s="302" t="inlineStr">
        <is>
          <t>17/03/2026</t>
        </is>
      </c>
      <c r="B1831" s="303" t="inlineStr">
        <is>
          <t>Marzo</t>
        </is>
      </c>
      <c r="C1831" s="311" t="inlineStr">
        <is>
          <t>SAN MARTIN 3518</t>
        </is>
      </c>
      <c r="D1831" s="225" t="n">
        <v>1</v>
      </c>
      <c r="E1831" s="225" t="n"/>
      <c r="F1831" s="225" t="n"/>
      <c r="G1831" s="225" t="n"/>
      <c r="H1831" s="225" t="n"/>
      <c r="I1831" s="223" t="n">
        <v>25500</v>
      </c>
      <c r="J1831" s="305" t="n">
        <v>0</v>
      </c>
      <c r="K1831" s="305" t="n">
        <v>25500</v>
      </c>
      <c r="L1831" s="224" t="n">
        <v>10500</v>
      </c>
    </row>
    <row r="1832" ht="15" customHeight="1" s="153">
      <c r="A1832" s="306" t="inlineStr">
        <is>
          <t>15/04/2026</t>
        </is>
      </c>
      <c r="B1832" s="307" t="inlineStr">
        <is>
          <t>Abril</t>
        </is>
      </c>
      <c r="C1832" s="310" t="inlineStr">
        <is>
          <t>SAN MARTIN 8050</t>
        </is>
      </c>
      <c r="D1832" s="218" t="n">
        <v>1</v>
      </c>
      <c r="E1832" s="218" t="n"/>
      <c r="F1832" s="218" t="n"/>
      <c r="G1832" s="218" t="n"/>
      <c r="H1832" s="218" t="n"/>
      <c r="I1832" s="216" t="n">
        <v>26000</v>
      </c>
      <c r="J1832" s="309" t="n">
        <v>0</v>
      </c>
      <c r="K1832" s="309" t="n">
        <v>26000</v>
      </c>
      <c r="L1832" s="236" t="n">
        <v>11000</v>
      </c>
    </row>
    <row r="1833" ht="15" customHeight="1" s="153">
      <c r="A1833" s="302" t="inlineStr">
        <is>
          <t>05/01/2026</t>
        </is>
      </c>
      <c r="B1833" s="303" t="inlineStr">
        <is>
          <t>Enero</t>
        </is>
      </c>
      <c r="C1833" s="311" t="inlineStr">
        <is>
          <t>SANDRA</t>
        </is>
      </c>
      <c r="D1833" s="225" t="n">
        <v>1</v>
      </c>
      <c r="E1833" s="225" t="n"/>
      <c r="F1833" s="225" t="n"/>
      <c r="G1833" s="225" t="n"/>
      <c r="H1833" s="225" t="n">
        <v>1</v>
      </c>
      <c r="I1833" s="223" t="n">
        <v>17000</v>
      </c>
      <c r="J1833" s="305" t="n">
        <v>17000</v>
      </c>
      <c r="K1833" s="305" t="n">
        <v>0</v>
      </c>
      <c r="L1833" s="224" t="n">
        <v>1150</v>
      </c>
    </row>
    <row r="1834" ht="15" customHeight="1" s="153">
      <c r="A1834" s="302" t="inlineStr">
        <is>
          <t>14/01/2026</t>
        </is>
      </c>
      <c r="B1834" s="303" t="inlineStr">
        <is>
          <t>Enero</t>
        </is>
      </c>
      <c r="C1834" s="311" t="inlineStr">
        <is>
          <t>SANDRA</t>
        </is>
      </c>
      <c r="D1834" s="225" t="n">
        <v>2</v>
      </c>
      <c r="E1834" s="225" t="n"/>
      <c r="F1834" s="225" t="n"/>
      <c r="G1834" s="225" t="n"/>
      <c r="H1834" s="225" t="n">
        <v>1</v>
      </c>
      <c r="I1834" s="223" t="n">
        <v>33000</v>
      </c>
      <c r="J1834" s="305" t="n">
        <v>33000</v>
      </c>
      <c r="K1834" s="305" t="n">
        <v>0</v>
      </c>
      <c r="L1834" s="224" t="n">
        <v>2150</v>
      </c>
    </row>
    <row r="1835" ht="15" customHeight="1" s="153">
      <c r="A1835" s="302" t="inlineStr">
        <is>
          <t>16/01/2026</t>
        </is>
      </c>
      <c r="B1835" s="303" t="inlineStr">
        <is>
          <t>Enero</t>
        </is>
      </c>
      <c r="C1835" s="311" t="inlineStr">
        <is>
          <t>SANDRA</t>
        </is>
      </c>
      <c r="D1835" s="225" t="n">
        <v>1</v>
      </c>
      <c r="E1835" s="225" t="n">
        <v>1</v>
      </c>
      <c r="F1835" s="225" t="n"/>
      <c r="G1835" s="225" t="n"/>
      <c r="H1835" s="225" t="n"/>
      <c r="I1835" s="223" t="n">
        <v>37000</v>
      </c>
      <c r="J1835" s="305" t="n">
        <v>37000</v>
      </c>
      <c r="K1835" s="305" t="n">
        <v>0</v>
      </c>
      <c r="L1835" s="245" t="n">
        <v>-500</v>
      </c>
    </row>
    <row r="1836" ht="15" customHeight="1" s="153">
      <c r="A1836" s="302" t="inlineStr">
        <is>
          <t>18/01/2026</t>
        </is>
      </c>
      <c r="B1836" s="303" t="inlineStr">
        <is>
          <t>Enero</t>
        </is>
      </c>
      <c r="C1836" s="311" t="inlineStr">
        <is>
          <t>SANDRA</t>
        </is>
      </c>
      <c r="D1836" s="225" t="n">
        <v>2</v>
      </c>
      <c r="E1836" s="225" t="n"/>
      <c r="F1836" s="225" t="n"/>
      <c r="G1836" s="225" t="n"/>
      <c r="H1836" s="225" t="n"/>
      <c r="I1836" s="223" t="n">
        <v>29000</v>
      </c>
      <c r="J1836" s="305" t="n">
        <v>29000</v>
      </c>
      <c r="K1836" s="305" t="n">
        <v>0</v>
      </c>
      <c r="L1836" s="245" t="n">
        <v>-1000</v>
      </c>
    </row>
    <row r="1837" ht="15" customHeight="1" s="153">
      <c r="A1837" s="302" t="inlineStr">
        <is>
          <t>19/01/2026</t>
        </is>
      </c>
      <c r="B1837" s="303" t="inlineStr">
        <is>
          <t>Enero</t>
        </is>
      </c>
      <c r="C1837" s="311" t="inlineStr">
        <is>
          <t>SANDRA</t>
        </is>
      </c>
      <c r="D1837" s="225" t="n">
        <v>2</v>
      </c>
      <c r="E1837" s="225" t="n"/>
      <c r="F1837" s="225" t="n"/>
      <c r="G1837" s="225" t="n"/>
      <c r="H1837" s="225" t="n"/>
      <c r="I1837" s="223" t="n">
        <v>29000</v>
      </c>
      <c r="J1837" s="305" t="n">
        <v>29000</v>
      </c>
      <c r="K1837" s="305" t="n">
        <v>0</v>
      </c>
      <c r="L1837" s="245" t="n">
        <v>-1000</v>
      </c>
    </row>
    <row r="1838" ht="15" customHeight="1" s="153">
      <c r="A1838" s="302" t="inlineStr">
        <is>
          <t>20/01/2026</t>
        </is>
      </c>
      <c r="B1838" s="303" t="inlineStr">
        <is>
          <t>Enero</t>
        </is>
      </c>
      <c r="C1838" s="311" t="inlineStr">
        <is>
          <t>SANDRA</t>
        </is>
      </c>
      <c r="D1838" s="225" t="n"/>
      <c r="E1838" s="225" t="n"/>
      <c r="F1838" s="225" t="n"/>
      <c r="G1838" s="225" t="n"/>
      <c r="H1838" s="225" t="n">
        <v>1</v>
      </c>
      <c r="I1838" s="223" t="n">
        <v>4000</v>
      </c>
      <c r="J1838" s="305" t="n">
        <v>0</v>
      </c>
      <c r="K1838" s="305" t="n">
        <v>0</v>
      </c>
      <c r="L1838" s="224" t="n">
        <v>3150</v>
      </c>
    </row>
    <row r="1839" ht="15" customHeight="1" s="153">
      <c r="A1839" s="302" t="inlineStr">
        <is>
          <t>03/02/2026</t>
        </is>
      </c>
      <c r="B1839" s="303" t="inlineStr">
        <is>
          <t>Febrero</t>
        </is>
      </c>
      <c r="C1839" s="311" t="inlineStr">
        <is>
          <t>SANDRA</t>
        </is>
      </c>
      <c r="D1839" s="225" t="n">
        <v>2</v>
      </c>
      <c r="E1839" s="225" t="n"/>
      <c r="F1839" s="225" t="n"/>
      <c r="G1839" s="225" t="n"/>
      <c r="H1839" s="225" t="n"/>
      <c r="I1839" s="223" t="n">
        <v>29000</v>
      </c>
      <c r="J1839" s="305" t="n">
        <v>29000</v>
      </c>
      <c r="K1839" s="305" t="n">
        <v>0</v>
      </c>
      <c r="L1839" s="245" t="n">
        <v>-1000</v>
      </c>
    </row>
    <row r="1840" ht="15" customHeight="1" s="153">
      <c r="A1840" s="302" t="inlineStr">
        <is>
          <t>05/02/2026</t>
        </is>
      </c>
      <c r="B1840" s="303" t="inlineStr">
        <is>
          <t>Abril</t>
        </is>
      </c>
      <c r="C1840" s="311" t="inlineStr">
        <is>
          <t>SANDRA</t>
        </is>
      </c>
      <c r="D1840" s="225" t="n">
        <v>2</v>
      </c>
      <c r="E1840" s="225" t="n"/>
      <c r="F1840" s="225" t="n"/>
      <c r="G1840" s="225" t="n"/>
      <c r="H1840" s="225" t="n"/>
      <c r="I1840" s="223" t="n">
        <v>38000</v>
      </c>
      <c r="J1840" s="305" t="n">
        <v>10000</v>
      </c>
      <c r="K1840" s="305" t="n">
        <v>28000</v>
      </c>
      <c r="L1840" s="224" t="n">
        <v>8000</v>
      </c>
    </row>
    <row r="1841" ht="15" customHeight="1" s="153">
      <c r="A1841" s="302" t="inlineStr">
        <is>
          <t>12/02/2026</t>
        </is>
      </c>
      <c r="B1841" s="303" t="inlineStr">
        <is>
          <t>Febrero</t>
        </is>
      </c>
      <c r="C1841" s="311" t="inlineStr">
        <is>
          <t>SANDRA</t>
        </is>
      </c>
      <c r="D1841" s="225" t="n">
        <v>3</v>
      </c>
      <c r="E1841" s="225" t="n"/>
      <c r="F1841" s="225" t="n"/>
      <c r="G1841" s="225" t="n"/>
      <c r="H1841" s="225" t="n"/>
      <c r="I1841" s="223" t="n">
        <v>43500</v>
      </c>
      <c r="J1841" s="305" t="n">
        <v>43500</v>
      </c>
      <c r="K1841" s="305" t="n">
        <v>0</v>
      </c>
      <c r="L1841" s="245" t="n">
        <v>-1500</v>
      </c>
    </row>
    <row r="1842" ht="15" customHeight="1" s="153">
      <c r="A1842" s="302" t="inlineStr">
        <is>
          <t>15/02/2026</t>
        </is>
      </c>
      <c r="B1842" s="303" t="inlineStr">
        <is>
          <t>Febrero</t>
        </is>
      </c>
      <c r="C1842" s="311" t="inlineStr">
        <is>
          <t>SANDRA</t>
        </is>
      </c>
      <c r="D1842" s="225" t="n">
        <v>2</v>
      </c>
      <c r="E1842" s="225" t="n"/>
      <c r="F1842" s="225" t="n"/>
      <c r="G1842" s="225" t="n"/>
      <c r="H1842" s="225" t="n">
        <v>1</v>
      </c>
      <c r="I1842" s="223" t="n">
        <v>33000</v>
      </c>
      <c r="J1842" s="305" t="n">
        <v>33000</v>
      </c>
      <c r="K1842" s="305" t="n">
        <v>0</v>
      </c>
      <c r="L1842" s="224" t="n">
        <v>2150</v>
      </c>
    </row>
    <row r="1843" ht="15" customHeight="1" s="153">
      <c r="A1843" s="302" t="inlineStr">
        <is>
          <t>18/02/2026</t>
        </is>
      </c>
      <c r="B1843" s="303" t="inlineStr">
        <is>
          <t>Febrero</t>
        </is>
      </c>
      <c r="C1843" s="311" t="inlineStr">
        <is>
          <t>SANDRA</t>
        </is>
      </c>
      <c r="D1843" s="225" t="n">
        <v>1</v>
      </c>
      <c r="E1843" s="225" t="n"/>
      <c r="F1843" s="225" t="n"/>
      <c r="G1843" s="225" t="n"/>
      <c r="H1843" s="225" t="n"/>
      <c r="I1843" s="223" t="n">
        <v>14500</v>
      </c>
      <c r="J1843" s="305" t="n">
        <v>14500</v>
      </c>
      <c r="K1843" s="305" t="n">
        <v>0</v>
      </c>
      <c r="L1843" s="245" t="n">
        <v>-500</v>
      </c>
    </row>
    <row r="1844" ht="15" customHeight="1" s="153">
      <c r="A1844" s="302" t="inlineStr">
        <is>
          <t>20/02/2026</t>
        </is>
      </c>
      <c r="B1844" s="303" t="inlineStr">
        <is>
          <t>Febrero</t>
        </is>
      </c>
      <c r="C1844" s="311" t="inlineStr">
        <is>
          <t>SANDRA</t>
        </is>
      </c>
      <c r="D1844" s="225" t="n"/>
      <c r="E1844" s="225" t="n">
        <v>1</v>
      </c>
      <c r="F1844" s="225" t="n"/>
      <c r="G1844" s="225" t="n"/>
      <c r="H1844" s="225" t="n"/>
      <c r="I1844" s="223" t="n">
        <v>23500</v>
      </c>
      <c r="J1844" s="305" t="n">
        <v>23500</v>
      </c>
      <c r="K1844" s="305" t="n">
        <v>0</v>
      </c>
      <c r="L1844" s="224" t="n">
        <v>1000</v>
      </c>
    </row>
    <row r="1845" ht="15" customHeight="1" s="153">
      <c r="A1845" s="302" t="inlineStr">
        <is>
          <t>21/02/2026</t>
        </is>
      </c>
      <c r="B1845" s="303" t="inlineStr">
        <is>
          <t>Febrero</t>
        </is>
      </c>
      <c r="C1845" s="311" t="inlineStr">
        <is>
          <t>SANDRA</t>
        </is>
      </c>
      <c r="D1845" s="225" t="n"/>
      <c r="E1845" s="225" t="n"/>
      <c r="F1845" s="225" t="n"/>
      <c r="G1845" s="225" t="n">
        <v>2</v>
      </c>
      <c r="H1845" s="225" t="n">
        <v>1</v>
      </c>
      <c r="I1845" s="223" t="n">
        <v>9000</v>
      </c>
      <c r="J1845" s="305" t="n">
        <v>9000</v>
      </c>
      <c r="K1845" s="305" t="n">
        <v>0</v>
      </c>
      <c r="L1845" s="224" t="n">
        <v>3550</v>
      </c>
    </row>
    <row r="1846" ht="15" customHeight="1" s="153">
      <c r="A1846" s="302" t="inlineStr">
        <is>
          <t>23/02/2026</t>
        </is>
      </c>
      <c r="B1846" s="303" t="inlineStr">
        <is>
          <t>Febrero</t>
        </is>
      </c>
      <c r="C1846" s="311" t="inlineStr">
        <is>
          <t>SANDRA</t>
        </is>
      </c>
      <c r="D1846" s="225" t="n">
        <v>1</v>
      </c>
      <c r="E1846" s="225" t="n"/>
      <c r="F1846" s="225" t="n"/>
      <c r="G1846" s="225" t="n"/>
      <c r="H1846" s="225" t="n"/>
      <c r="I1846" s="223" t="n">
        <v>15500</v>
      </c>
      <c r="J1846" s="305" t="n">
        <v>15500</v>
      </c>
      <c r="K1846" s="305" t="n">
        <v>0</v>
      </c>
      <c r="L1846" s="224" t="n">
        <v>500</v>
      </c>
    </row>
    <row r="1847" ht="15" customHeight="1" s="153">
      <c r="A1847" s="302" t="inlineStr">
        <is>
          <t>26/02/2026</t>
        </is>
      </c>
      <c r="B1847" s="303" t="inlineStr">
        <is>
          <t>Febrero</t>
        </is>
      </c>
      <c r="C1847" s="311" t="inlineStr">
        <is>
          <t>SANDRA</t>
        </is>
      </c>
      <c r="D1847" s="225" t="n">
        <v>2</v>
      </c>
      <c r="E1847" s="225" t="n"/>
      <c r="F1847" s="225" t="n"/>
      <c r="G1847" s="225" t="n"/>
      <c r="H1847" s="225" t="n"/>
      <c r="I1847" s="223" t="n">
        <v>31000</v>
      </c>
      <c r="J1847" s="305" t="n">
        <v>31000</v>
      </c>
      <c r="K1847" s="305" t="n">
        <v>0</v>
      </c>
      <c r="L1847" s="224" t="n">
        <v>1000</v>
      </c>
    </row>
    <row r="1848" ht="15" customHeight="1" s="153">
      <c r="A1848" s="302" t="inlineStr">
        <is>
          <t>03/03/2026</t>
        </is>
      </c>
      <c r="B1848" s="303" t="inlineStr">
        <is>
          <t>Marzo</t>
        </is>
      </c>
      <c r="C1848" s="311" t="inlineStr">
        <is>
          <t>SANDRA</t>
        </is>
      </c>
      <c r="D1848" s="225" t="n">
        <v>1</v>
      </c>
      <c r="E1848" s="225" t="n"/>
      <c r="F1848" s="225" t="n"/>
      <c r="G1848" s="225" t="n"/>
      <c r="H1848" s="225" t="n"/>
      <c r="I1848" s="223" t="n">
        <v>15500</v>
      </c>
      <c r="J1848" s="305" t="n">
        <v>15500</v>
      </c>
      <c r="K1848" s="305" t="n">
        <v>0</v>
      </c>
      <c r="L1848" s="224" t="n">
        <v>500</v>
      </c>
    </row>
    <row r="1849" ht="15" customHeight="1" s="153">
      <c r="A1849" s="302" t="inlineStr">
        <is>
          <t>06/03/2026</t>
        </is>
      </c>
      <c r="B1849" s="303" t="inlineStr">
        <is>
          <t>Marzo</t>
        </is>
      </c>
      <c r="C1849" s="311" t="inlineStr">
        <is>
          <t>SANDRA</t>
        </is>
      </c>
      <c r="D1849" s="225" t="n">
        <v>1</v>
      </c>
      <c r="E1849" s="225" t="n"/>
      <c r="F1849" s="225" t="n"/>
      <c r="G1849" s="225" t="n"/>
      <c r="H1849" s="225" t="n"/>
      <c r="I1849" s="223" t="n">
        <v>15000</v>
      </c>
      <c r="J1849" s="305" t="n">
        <v>15000</v>
      </c>
      <c r="K1849" s="305" t="n">
        <v>0</v>
      </c>
      <c r="L1849" s="224" t="n">
        <v>0</v>
      </c>
    </row>
    <row r="1850" ht="15" customHeight="1" s="153">
      <c r="A1850" s="302" t="inlineStr">
        <is>
          <t>09/03/2026</t>
        </is>
      </c>
      <c r="B1850" s="303" t="inlineStr">
        <is>
          <t>Marzo</t>
        </is>
      </c>
      <c r="C1850" s="311" t="inlineStr">
        <is>
          <t>SANDRA</t>
        </is>
      </c>
      <c r="D1850" s="225" t="n">
        <v>1</v>
      </c>
      <c r="E1850" s="225" t="n"/>
      <c r="F1850" s="225" t="n"/>
      <c r="G1850" s="225" t="n"/>
      <c r="H1850" s="225" t="n"/>
      <c r="I1850" s="223" t="n">
        <v>15500</v>
      </c>
      <c r="J1850" s="305" t="n">
        <v>15500</v>
      </c>
      <c r="K1850" s="305" t="n">
        <v>0</v>
      </c>
      <c r="L1850" s="224" t="n">
        <v>500</v>
      </c>
    </row>
    <row r="1851" ht="15" customHeight="1" s="153">
      <c r="A1851" s="302" t="inlineStr">
        <is>
          <t>12/03/2026</t>
        </is>
      </c>
      <c r="B1851" s="303" t="inlineStr">
        <is>
          <t>Marzo</t>
        </is>
      </c>
      <c r="C1851" s="311" t="inlineStr">
        <is>
          <t>SANDRA</t>
        </is>
      </c>
      <c r="D1851" s="225" t="n"/>
      <c r="E1851" s="225" t="n"/>
      <c r="F1851" s="225" t="n"/>
      <c r="G1851" s="225" t="n"/>
      <c r="H1851" s="225" t="n">
        <v>2</v>
      </c>
      <c r="I1851" s="223" t="n">
        <v>8000</v>
      </c>
      <c r="J1851" s="305" t="n">
        <v>8000</v>
      </c>
      <c r="K1851" s="305" t="n">
        <v>0</v>
      </c>
      <c r="L1851" s="224" t="n">
        <v>6300</v>
      </c>
    </row>
    <row r="1852" ht="15" customHeight="1" s="153">
      <c r="A1852" s="302" t="inlineStr">
        <is>
          <t>15/03/2026</t>
        </is>
      </c>
      <c r="B1852" s="303" t="inlineStr">
        <is>
          <t>Marzo</t>
        </is>
      </c>
      <c r="C1852" s="311" t="inlineStr">
        <is>
          <t>SANDRA</t>
        </is>
      </c>
      <c r="D1852" s="225" t="n">
        <v>1</v>
      </c>
      <c r="E1852" s="225" t="n"/>
      <c r="F1852" s="225" t="n"/>
      <c r="G1852" s="225" t="n"/>
      <c r="H1852" s="225" t="n"/>
      <c r="I1852" s="223" t="n">
        <v>17000</v>
      </c>
      <c r="J1852" s="305" t="n">
        <v>17000</v>
      </c>
      <c r="K1852" s="305" t="n">
        <v>0</v>
      </c>
      <c r="L1852" s="224" t="n">
        <v>2000</v>
      </c>
    </row>
    <row r="1853" ht="15" customHeight="1" s="153">
      <c r="A1853" s="302" t="inlineStr">
        <is>
          <t>19/03/2026</t>
        </is>
      </c>
      <c r="B1853" s="303" t="inlineStr">
        <is>
          <t>Marzo</t>
        </is>
      </c>
      <c r="C1853" s="311" t="inlineStr">
        <is>
          <t>SANDRA</t>
        </is>
      </c>
      <c r="D1853" s="225" t="n">
        <v>1</v>
      </c>
      <c r="E1853" s="225" t="n">
        <v>1</v>
      </c>
      <c r="F1853" s="225" t="n"/>
      <c r="G1853" s="225" t="n"/>
      <c r="H1853" s="225" t="n"/>
      <c r="I1853" s="223" t="n">
        <v>42500</v>
      </c>
      <c r="J1853" s="305" t="n">
        <v>42500</v>
      </c>
      <c r="K1853" s="305" t="n">
        <v>0</v>
      </c>
      <c r="L1853" s="224" t="n">
        <v>5000</v>
      </c>
    </row>
    <row r="1854" ht="15" customHeight="1" s="153">
      <c r="A1854" s="302" t="inlineStr">
        <is>
          <t>22/03/2026</t>
        </is>
      </c>
      <c r="B1854" s="303" t="inlineStr">
        <is>
          <t>Marzo</t>
        </is>
      </c>
      <c r="C1854" s="311" t="inlineStr">
        <is>
          <t>SANDRA</t>
        </is>
      </c>
      <c r="D1854" s="225" t="n">
        <v>2</v>
      </c>
      <c r="E1854" s="225" t="n"/>
      <c r="F1854" s="225" t="n"/>
      <c r="G1854" s="225" t="n"/>
      <c r="H1854" s="225" t="n"/>
      <c r="I1854" s="223" t="n">
        <v>34000</v>
      </c>
      <c r="J1854" s="305" t="n">
        <v>34000</v>
      </c>
      <c r="K1854" s="305" t="n">
        <v>0</v>
      </c>
      <c r="L1854" s="224" t="n">
        <v>4000</v>
      </c>
    </row>
    <row r="1855" ht="15" customHeight="1" s="153">
      <c r="A1855" s="302" t="inlineStr">
        <is>
          <t>23/03/2026</t>
        </is>
      </c>
      <c r="B1855" s="303" t="inlineStr">
        <is>
          <t>Marzo</t>
        </is>
      </c>
      <c r="C1855" s="311" t="inlineStr">
        <is>
          <t>SANDRA</t>
        </is>
      </c>
      <c r="D1855" s="225" t="n">
        <v>1</v>
      </c>
      <c r="E1855" s="225" t="n"/>
      <c r="F1855" s="225" t="n"/>
      <c r="G1855" s="225" t="n"/>
      <c r="H1855" s="225" t="n"/>
      <c r="I1855" s="223" t="n">
        <v>17000</v>
      </c>
      <c r="J1855" s="305" t="n">
        <v>17000</v>
      </c>
      <c r="K1855" s="305" t="n">
        <v>0</v>
      </c>
      <c r="L1855" s="224" t="n">
        <v>2000</v>
      </c>
    </row>
    <row r="1856" ht="15" customHeight="1" s="153">
      <c r="A1856" s="302" t="inlineStr">
        <is>
          <t>23/03/2026</t>
        </is>
      </c>
      <c r="B1856" s="303" t="inlineStr">
        <is>
          <t>Marzo</t>
        </is>
      </c>
      <c r="C1856" s="311" t="inlineStr">
        <is>
          <t>SANDRA</t>
        </is>
      </c>
      <c r="D1856" s="225" t="n"/>
      <c r="E1856" s="225" t="n">
        <v>1</v>
      </c>
      <c r="F1856" s="225" t="n"/>
      <c r="G1856" s="225" t="n"/>
      <c r="H1856" s="225" t="n"/>
      <c r="I1856" s="223" t="n">
        <v>25500</v>
      </c>
      <c r="J1856" s="305" t="n">
        <v>25500</v>
      </c>
      <c r="K1856" s="305" t="n">
        <v>0</v>
      </c>
      <c r="L1856" s="224" t="n">
        <v>3000</v>
      </c>
    </row>
    <row r="1857" ht="15" customHeight="1" s="153">
      <c r="A1857" s="302" t="inlineStr">
        <is>
          <t>24/03/2026</t>
        </is>
      </c>
      <c r="B1857" s="303" t="inlineStr">
        <is>
          <t>Marzo</t>
        </is>
      </c>
      <c r="C1857" s="311" t="inlineStr">
        <is>
          <t>SANDRA</t>
        </is>
      </c>
      <c r="D1857" s="225" t="n">
        <v>1</v>
      </c>
      <c r="E1857" s="225" t="n"/>
      <c r="F1857" s="225" t="n"/>
      <c r="G1857" s="225" t="n"/>
      <c r="H1857" s="225" t="n"/>
      <c r="I1857" s="223" t="n">
        <v>17000</v>
      </c>
      <c r="J1857" s="305" t="n">
        <v>17000</v>
      </c>
      <c r="K1857" s="305" t="n">
        <v>0</v>
      </c>
      <c r="L1857" s="224" t="n">
        <v>2000</v>
      </c>
    </row>
    <row r="1858" ht="15" customHeight="1" s="153">
      <c r="A1858" s="302" t="inlineStr">
        <is>
          <t>08/04/2026</t>
        </is>
      </c>
      <c r="B1858" s="303" t="inlineStr">
        <is>
          <t>Abril</t>
        </is>
      </c>
      <c r="C1858" s="311" t="inlineStr">
        <is>
          <t>SANDRA</t>
        </is>
      </c>
      <c r="D1858" s="225" t="n">
        <v>2</v>
      </c>
      <c r="E1858" s="225" t="n">
        <v>2</v>
      </c>
      <c r="F1858" s="225" t="n"/>
      <c r="G1858" s="225" t="n"/>
      <c r="H1858" s="225" t="n"/>
      <c r="I1858" s="223" t="n">
        <v>95000</v>
      </c>
      <c r="J1858" s="305" t="n">
        <v>40000</v>
      </c>
      <c r="K1858" s="305" t="n">
        <v>55000</v>
      </c>
      <c r="L1858" s="224" t="n">
        <v>20000</v>
      </c>
    </row>
    <row r="1859" ht="15" customHeight="1" s="153">
      <c r="A1859" s="302" t="inlineStr">
        <is>
          <t>16/04/2026</t>
        </is>
      </c>
      <c r="B1859" s="303" t="inlineStr">
        <is>
          <t>Abril</t>
        </is>
      </c>
      <c r="C1859" s="311" t="inlineStr">
        <is>
          <t>SANDRA</t>
        </is>
      </c>
      <c r="D1859" s="225" t="n"/>
      <c r="E1859" s="225" t="n"/>
      <c r="F1859" s="225" t="n"/>
      <c r="G1859" s="225" t="n"/>
      <c r="H1859" s="225" t="n">
        <v>2</v>
      </c>
      <c r="I1859" s="223" t="n">
        <v>8000</v>
      </c>
      <c r="J1859" s="305" t="n">
        <v>8000</v>
      </c>
      <c r="K1859" s="305" t="n">
        <v>0</v>
      </c>
      <c r="L1859" s="224" t="n">
        <v>6300</v>
      </c>
    </row>
    <row r="1860" ht="15" customHeight="1" s="153">
      <c r="A1860" s="306" t="inlineStr">
        <is>
          <t>22/04/2026</t>
        </is>
      </c>
      <c r="B1860" s="307" t="inlineStr">
        <is>
          <t>Abril</t>
        </is>
      </c>
      <c r="C1860" s="310" t="inlineStr">
        <is>
          <t>SANTA CRUZ 3051</t>
        </is>
      </c>
      <c r="D1860" s="218" t="n"/>
      <c r="E1860" s="218" t="n"/>
      <c r="F1860" s="218" t="n">
        <v>1</v>
      </c>
      <c r="G1860" s="218" t="n"/>
      <c r="H1860" s="218" t="n"/>
      <c r="I1860" s="216" t="n">
        <v>78000</v>
      </c>
      <c r="J1860" s="309" t="n">
        <v>78000</v>
      </c>
      <c r="K1860" s="309" t="n">
        <v>0</v>
      </c>
      <c r="L1860" s="236" t="n">
        <v>18000</v>
      </c>
    </row>
    <row r="1861" ht="15" customHeight="1" s="153">
      <c r="A1861" s="302" t="inlineStr">
        <is>
          <t>03/03/2026</t>
        </is>
      </c>
      <c r="B1861" s="303" t="inlineStr">
        <is>
          <t>Marzo</t>
        </is>
      </c>
      <c r="C1861" s="311" t="inlineStr">
        <is>
          <t>SARSOTI 6567</t>
        </is>
      </c>
      <c r="D1861" s="225" t="n"/>
      <c r="E1861" s="225" t="n">
        <v>1</v>
      </c>
      <c r="F1861" s="225" t="n"/>
      <c r="G1861" s="225" t="n"/>
      <c r="H1861" s="225" t="n"/>
      <c r="I1861" s="223" t="n">
        <v>30000</v>
      </c>
      <c r="J1861" s="305" t="n">
        <v>0</v>
      </c>
      <c r="K1861" s="305" t="n">
        <v>30000</v>
      </c>
      <c r="L1861" s="224" t="n">
        <v>7500</v>
      </c>
    </row>
    <row r="1862" ht="15" customHeight="1" s="153">
      <c r="A1862" s="306" t="inlineStr">
        <is>
          <t>17/01/2026</t>
        </is>
      </c>
      <c r="B1862" s="307" t="inlineStr">
        <is>
          <t>Enero</t>
        </is>
      </c>
      <c r="C1862" s="310" t="inlineStr">
        <is>
          <t>SAVEDRA 10125</t>
        </is>
      </c>
      <c r="D1862" s="218" t="n"/>
      <c r="E1862" s="218" t="n"/>
      <c r="F1862" s="218" t="n">
        <v>1</v>
      </c>
      <c r="G1862" s="218" t="n"/>
      <c r="H1862" s="218" t="n"/>
      <c r="I1862" s="216" t="n">
        <v>77000</v>
      </c>
      <c r="J1862" s="309" t="n">
        <v>0</v>
      </c>
      <c r="K1862" s="309" t="n">
        <v>77000</v>
      </c>
      <c r="L1862" s="236" t="n">
        <v>17000</v>
      </c>
    </row>
    <row r="1863" ht="15" customHeight="1" s="153">
      <c r="A1863" s="306" t="inlineStr">
        <is>
          <t>04/03/2026</t>
        </is>
      </c>
      <c r="B1863" s="307" t="inlineStr">
        <is>
          <t>Marzo</t>
        </is>
      </c>
      <c r="C1863" s="310" t="inlineStr">
        <is>
          <t>SAVEDRA 10125</t>
        </is>
      </c>
      <c r="D1863" s="218" t="n"/>
      <c r="E1863" s="218" t="n"/>
      <c r="F1863" s="218" t="n">
        <v>1</v>
      </c>
      <c r="G1863" s="218" t="n"/>
      <c r="H1863" s="218" t="n"/>
      <c r="I1863" s="216" t="n">
        <v>79000</v>
      </c>
      <c r="J1863" s="309" t="n">
        <v>0</v>
      </c>
      <c r="K1863" s="309" t="n">
        <v>79000</v>
      </c>
      <c r="L1863" s="236" t="n">
        <v>19000</v>
      </c>
    </row>
    <row r="1864" ht="15" customHeight="1" s="153">
      <c r="A1864" s="306" t="inlineStr">
        <is>
          <t>09/04/2026</t>
        </is>
      </c>
      <c r="B1864" s="307" t="inlineStr">
        <is>
          <t>Abril</t>
        </is>
      </c>
      <c r="C1864" s="310" t="inlineStr">
        <is>
          <t>SAVEDRA 10125</t>
        </is>
      </c>
      <c r="D1864" s="218" t="n"/>
      <c r="E1864" s="218" t="n"/>
      <c r="F1864" s="218" t="n">
        <v>1</v>
      </c>
      <c r="G1864" s="218" t="n"/>
      <c r="H1864" s="218" t="n"/>
      <c r="I1864" s="216" t="n">
        <v>92000</v>
      </c>
      <c r="J1864" s="309" t="n">
        <v>0</v>
      </c>
      <c r="K1864" s="309" t="n">
        <v>92000</v>
      </c>
      <c r="L1864" s="236" t="n">
        <v>32000</v>
      </c>
    </row>
    <row r="1865" ht="15" customHeight="1" s="153">
      <c r="A1865" s="302" t="inlineStr">
        <is>
          <t>01/02/2026</t>
        </is>
      </c>
      <c r="B1865" s="303" t="inlineStr">
        <is>
          <t>Febrero</t>
        </is>
      </c>
      <c r="C1865" s="311" t="inlineStr">
        <is>
          <t>SAVEDRA 1683</t>
        </is>
      </c>
      <c r="D1865" s="225" t="n">
        <v>1</v>
      </c>
      <c r="E1865" s="225" t="n"/>
      <c r="F1865" s="225" t="n"/>
      <c r="G1865" s="225" t="n"/>
      <c r="H1865" s="225" t="n"/>
      <c r="I1865" s="223" t="n">
        <v>22000</v>
      </c>
      <c r="J1865" s="305" t="n">
        <v>22000</v>
      </c>
      <c r="K1865" s="305" t="n">
        <v>0</v>
      </c>
      <c r="L1865" s="224" t="n">
        <v>7000</v>
      </c>
    </row>
    <row r="1866" ht="15" customHeight="1" s="153">
      <c r="A1866" s="306" t="inlineStr">
        <is>
          <t>07/02/2026</t>
        </is>
      </c>
      <c r="B1866" s="307" t="inlineStr">
        <is>
          <t>Febrero</t>
        </is>
      </c>
      <c r="C1866" s="310" t="inlineStr">
        <is>
          <t>SAVEDRA 2799</t>
        </is>
      </c>
      <c r="D1866" s="218" t="n">
        <v>1</v>
      </c>
      <c r="E1866" s="218" t="n"/>
      <c r="F1866" s="218" t="n"/>
      <c r="G1866" s="218" t="n"/>
      <c r="H1866" s="218" t="n"/>
      <c r="I1866" s="216" t="n">
        <v>23000</v>
      </c>
      <c r="J1866" s="309" t="n">
        <v>23000</v>
      </c>
      <c r="K1866" s="309" t="n">
        <v>0</v>
      </c>
      <c r="L1866" s="236" t="n">
        <v>8000</v>
      </c>
    </row>
    <row r="1867" ht="15" customHeight="1" s="153">
      <c r="A1867" s="306" t="inlineStr">
        <is>
          <t>04/04/2026</t>
        </is>
      </c>
      <c r="B1867" s="307" t="inlineStr">
        <is>
          <t>Abril</t>
        </is>
      </c>
      <c r="C1867" s="310" t="inlineStr">
        <is>
          <t>SAVEDRA 2799</t>
        </is>
      </c>
      <c r="D1867" s="218" t="n">
        <v>1</v>
      </c>
      <c r="E1867" s="218" t="n"/>
      <c r="F1867" s="218" t="n"/>
      <c r="G1867" s="218" t="n"/>
      <c r="H1867" s="218" t="n"/>
      <c r="I1867" s="216" t="n">
        <v>27000</v>
      </c>
      <c r="J1867" s="309" t="n">
        <v>27000</v>
      </c>
      <c r="K1867" s="309" t="n">
        <v>0</v>
      </c>
      <c r="L1867" s="236" t="n">
        <v>12000</v>
      </c>
    </row>
    <row r="1868" ht="15" customHeight="1" s="153">
      <c r="A1868" s="302" t="inlineStr">
        <is>
          <t>06/01/2026</t>
        </is>
      </c>
      <c r="B1868" s="303" t="inlineStr">
        <is>
          <t>Enero</t>
        </is>
      </c>
      <c r="C1868" s="311" t="inlineStr">
        <is>
          <t>SAVEDRA 6445</t>
        </is>
      </c>
      <c r="D1868" s="225" t="n"/>
      <c r="E1868" s="225" t="n"/>
      <c r="F1868" s="225" t="n">
        <v>1</v>
      </c>
      <c r="G1868" s="225" t="n"/>
      <c r="H1868" s="225" t="n"/>
      <c r="I1868" s="223" t="n">
        <v>72000</v>
      </c>
      <c r="J1868" s="305" t="n">
        <v>0</v>
      </c>
      <c r="K1868" s="305" t="n">
        <v>72000</v>
      </c>
      <c r="L1868" s="224" t="n">
        <v>12000</v>
      </c>
    </row>
    <row r="1869" ht="15" customHeight="1" s="153">
      <c r="A1869" s="306" t="inlineStr">
        <is>
          <t>23/03/2026</t>
        </is>
      </c>
      <c r="B1869" s="307" t="inlineStr">
        <is>
          <t>Marzo</t>
        </is>
      </c>
      <c r="C1869" s="310" t="inlineStr">
        <is>
          <t>SAVEDRA 6545</t>
        </is>
      </c>
      <c r="D1869" s="218" t="n"/>
      <c r="E1869" s="218" t="n">
        <v>1</v>
      </c>
      <c r="F1869" s="218" t="n"/>
      <c r="G1869" s="218" t="n"/>
      <c r="H1869" s="218" t="n"/>
      <c r="I1869" s="216" t="n">
        <v>33500</v>
      </c>
      <c r="J1869" s="309" t="n">
        <v>33500</v>
      </c>
      <c r="K1869" s="309" t="n">
        <v>0</v>
      </c>
      <c r="L1869" s="236" t="n">
        <v>11000</v>
      </c>
    </row>
    <row r="1870" ht="15" customHeight="1" s="153">
      <c r="A1870" s="302" t="inlineStr">
        <is>
          <t>06/03/2026</t>
        </is>
      </c>
      <c r="B1870" s="303" t="inlineStr">
        <is>
          <t>Marzo</t>
        </is>
      </c>
      <c r="C1870" s="311" t="inlineStr">
        <is>
          <t>SAVEDRA 7701</t>
        </is>
      </c>
      <c r="D1870" s="225" t="n"/>
      <c r="E1870" s="225" t="n"/>
      <c r="F1870" s="225" t="n">
        <v>1</v>
      </c>
      <c r="G1870" s="225" t="n"/>
      <c r="H1870" s="225" t="n"/>
      <c r="I1870" s="223" t="n">
        <v>75000</v>
      </c>
      <c r="J1870" s="305" t="n">
        <v>75000</v>
      </c>
      <c r="K1870" s="305" t="n">
        <v>0</v>
      </c>
      <c r="L1870" s="224" t="n">
        <v>15000</v>
      </c>
    </row>
    <row r="1871" ht="15" customHeight="1" s="153">
      <c r="A1871" s="306" t="inlineStr">
        <is>
          <t>11/03/2026</t>
        </is>
      </c>
      <c r="B1871" s="307" t="inlineStr">
        <is>
          <t>Marzo</t>
        </is>
      </c>
      <c r="C1871" s="310" t="inlineStr">
        <is>
          <t>SEDLASEK 5347</t>
        </is>
      </c>
      <c r="D1871" s="218" t="n">
        <v>1</v>
      </c>
      <c r="E1871" s="218" t="n"/>
      <c r="F1871" s="218" t="n"/>
      <c r="G1871" s="218" t="n"/>
      <c r="H1871" s="218" t="n"/>
      <c r="I1871" s="216" t="n">
        <v>22000</v>
      </c>
      <c r="J1871" s="309" t="n">
        <v>22000</v>
      </c>
      <c r="K1871" s="309" t="n">
        <v>0</v>
      </c>
      <c r="L1871" s="236" t="n">
        <v>7000</v>
      </c>
    </row>
    <row r="1872" ht="15" customHeight="1" s="153">
      <c r="A1872" s="302" t="inlineStr">
        <is>
          <t>21/01/2026</t>
        </is>
      </c>
      <c r="B1872" s="303" t="inlineStr">
        <is>
          <t>Enero</t>
        </is>
      </c>
      <c r="C1872" s="311" t="inlineStr">
        <is>
          <t>SEGUI 1680</t>
        </is>
      </c>
      <c r="D1872" s="225" t="n">
        <v>1</v>
      </c>
      <c r="E1872" s="225" t="n"/>
      <c r="F1872" s="225" t="n"/>
      <c r="G1872" s="225" t="n"/>
      <c r="H1872" s="225" t="n"/>
      <c r="I1872" s="223" t="n">
        <v>21000</v>
      </c>
      <c r="J1872" s="305" t="n">
        <v>21000</v>
      </c>
      <c r="K1872" s="305" t="n">
        <v>0</v>
      </c>
      <c r="L1872" s="224" t="n">
        <v>6000</v>
      </c>
    </row>
    <row r="1873" ht="15" customHeight="1" s="153">
      <c r="A1873" s="302" t="inlineStr">
        <is>
          <t>23/01/2026</t>
        </is>
      </c>
      <c r="B1873" s="303" t="inlineStr">
        <is>
          <t>Enero</t>
        </is>
      </c>
      <c r="C1873" s="311" t="inlineStr">
        <is>
          <t>SEGUI 1680</t>
        </is>
      </c>
      <c r="D1873" s="225" t="n"/>
      <c r="E1873" s="225" t="n">
        <v>1</v>
      </c>
      <c r="F1873" s="225" t="n"/>
      <c r="G1873" s="225" t="n"/>
      <c r="H1873" s="225" t="n"/>
      <c r="I1873" s="223" t="n">
        <v>33000</v>
      </c>
      <c r="J1873" s="305" t="n">
        <v>33000</v>
      </c>
      <c r="K1873" s="305" t="n">
        <v>0</v>
      </c>
      <c r="L1873" s="224" t="n">
        <v>10500</v>
      </c>
    </row>
    <row r="1874" ht="15" customHeight="1" s="153">
      <c r="A1874" s="302" t="inlineStr">
        <is>
          <t>25/03/2026</t>
        </is>
      </c>
      <c r="B1874" s="303" t="inlineStr">
        <is>
          <t>Marzo</t>
        </is>
      </c>
      <c r="C1874" s="311" t="inlineStr">
        <is>
          <t>SEGUI 1680</t>
        </is>
      </c>
      <c r="D1874" s="225" t="n"/>
      <c r="E1874" s="225" t="n">
        <v>1</v>
      </c>
      <c r="F1874" s="225" t="n"/>
      <c r="G1874" s="225" t="n"/>
      <c r="H1874" s="225" t="n"/>
      <c r="I1874" s="223" t="n">
        <v>37500</v>
      </c>
      <c r="J1874" s="305" t="n">
        <v>0</v>
      </c>
      <c r="K1874" s="305" t="n">
        <v>37500</v>
      </c>
      <c r="L1874" s="224" t="n">
        <v>15000</v>
      </c>
    </row>
    <row r="1875" ht="15" customHeight="1" s="153">
      <c r="A1875" s="306" t="inlineStr">
        <is>
          <t>21/04/2026</t>
        </is>
      </c>
      <c r="B1875" s="307" t="inlineStr">
        <is>
          <t>Abril</t>
        </is>
      </c>
      <c r="C1875" s="310" t="inlineStr">
        <is>
          <t>SERBANDO BAYO 6650</t>
        </is>
      </c>
      <c r="D1875" s="218" t="n"/>
      <c r="E1875" s="218" t="n">
        <v>1</v>
      </c>
      <c r="F1875" s="218" t="n"/>
      <c r="G1875" s="218" t="n"/>
      <c r="H1875" s="218" t="n"/>
      <c r="I1875" s="216" t="n">
        <v>39000</v>
      </c>
      <c r="J1875" s="309" t="n">
        <v>39000</v>
      </c>
      <c r="K1875" s="309" t="n">
        <v>0</v>
      </c>
      <c r="L1875" s="236" t="n">
        <v>16500</v>
      </c>
    </row>
    <row r="1876" ht="15" customHeight="1" s="153">
      <c r="A1876" s="302" t="inlineStr">
        <is>
          <t>12/02/2026</t>
        </is>
      </c>
      <c r="B1876" s="303" t="inlineStr">
        <is>
          <t>Febrero</t>
        </is>
      </c>
      <c r="C1876" s="311" t="inlineStr">
        <is>
          <t>SERBANDO BAYO 6840</t>
        </is>
      </c>
      <c r="D1876" s="225" t="n">
        <v>1</v>
      </c>
      <c r="E1876" s="225" t="n"/>
      <c r="F1876" s="225" t="n"/>
      <c r="G1876" s="225" t="n"/>
      <c r="H1876" s="225" t="n"/>
      <c r="I1876" s="223" t="n">
        <v>22000</v>
      </c>
      <c r="J1876" s="305" t="n">
        <v>22000</v>
      </c>
      <c r="K1876" s="305" t="n">
        <v>0</v>
      </c>
      <c r="L1876" s="224" t="n">
        <v>7000</v>
      </c>
    </row>
    <row r="1877" ht="15" customHeight="1" s="153">
      <c r="A1877" s="302" t="inlineStr">
        <is>
          <t>26/02/2026</t>
        </is>
      </c>
      <c r="B1877" s="303" t="inlineStr">
        <is>
          <t>Febrero</t>
        </is>
      </c>
      <c r="C1877" s="311" t="inlineStr">
        <is>
          <t>SERBANDO BAYO 6840</t>
        </is>
      </c>
      <c r="D1877" s="225" t="n"/>
      <c r="E1877" s="225" t="n">
        <v>1</v>
      </c>
      <c r="F1877" s="225" t="n"/>
      <c r="G1877" s="225" t="n"/>
      <c r="H1877" s="225" t="n"/>
      <c r="I1877" s="223" t="n">
        <v>33000</v>
      </c>
      <c r="J1877" s="305" t="n">
        <v>33000</v>
      </c>
      <c r="K1877" s="305" t="n">
        <v>0</v>
      </c>
      <c r="L1877" s="224" t="n">
        <v>10500</v>
      </c>
    </row>
    <row r="1878" ht="15" customHeight="1" s="153">
      <c r="A1878" s="306" t="inlineStr">
        <is>
          <t>11/03/2026</t>
        </is>
      </c>
      <c r="B1878" s="307" t="inlineStr">
        <is>
          <t>Marzo</t>
        </is>
      </c>
      <c r="C1878" s="310" t="inlineStr">
        <is>
          <t>SERBANDO BAYO 7166</t>
        </is>
      </c>
      <c r="D1878" s="218" t="n"/>
      <c r="E1878" s="218" t="n">
        <v>1</v>
      </c>
      <c r="F1878" s="218" t="n"/>
      <c r="G1878" s="218" t="n"/>
      <c r="H1878" s="218" t="n"/>
      <c r="I1878" s="216" t="n">
        <v>30000</v>
      </c>
      <c r="J1878" s="309" t="n">
        <v>0</v>
      </c>
      <c r="K1878" s="309" t="n">
        <v>30000</v>
      </c>
      <c r="L1878" s="236" t="n">
        <v>7500</v>
      </c>
    </row>
    <row r="1879" ht="15" customHeight="1" s="153">
      <c r="A1879" s="302" t="inlineStr">
        <is>
          <t>09/02/2026</t>
        </is>
      </c>
      <c r="B1879" s="303" t="inlineStr">
        <is>
          <t>Febrero</t>
        </is>
      </c>
      <c r="C1879" s="311" t="inlineStr">
        <is>
          <t>SERBANDO BAYO 7250</t>
        </is>
      </c>
      <c r="D1879" s="225" t="n">
        <v>1</v>
      </c>
      <c r="E1879" s="225" t="n"/>
      <c r="F1879" s="225" t="n"/>
      <c r="G1879" s="225" t="n"/>
      <c r="H1879" s="225" t="n"/>
      <c r="I1879" s="223" t="n">
        <v>21000</v>
      </c>
      <c r="J1879" s="305" t="n">
        <v>21000</v>
      </c>
      <c r="K1879" s="305" t="n">
        <v>0</v>
      </c>
      <c r="L1879" s="224" t="n">
        <v>6000</v>
      </c>
    </row>
    <row r="1880" ht="15" customHeight="1" s="153">
      <c r="A1880" s="306" t="inlineStr">
        <is>
          <t>02/02/2026</t>
        </is>
      </c>
      <c r="B1880" s="307" t="inlineStr">
        <is>
          <t>Febrero</t>
        </is>
      </c>
      <c r="C1880" s="310" t="inlineStr">
        <is>
          <t>SERBNADO BAY0 7165</t>
        </is>
      </c>
      <c r="D1880" s="218" t="n">
        <v>1</v>
      </c>
      <c r="E1880" s="218" t="n"/>
      <c r="F1880" s="218" t="n"/>
      <c r="G1880" s="218" t="n"/>
      <c r="H1880" s="218" t="n"/>
      <c r="I1880" s="216" t="n">
        <v>20500</v>
      </c>
      <c r="J1880" s="309" t="n">
        <v>20500</v>
      </c>
      <c r="K1880" s="309" t="n">
        <v>0</v>
      </c>
      <c r="L1880" s="236" t="n">
        <v>5500</v>
      </c>
    </row>
    <row r="1881" ht="15" customHeight="1" s="153">
      <c r="A1881" s="302" t="inlineStr">
        <is>
          <t>06/02/2026</t>
        </is>
      </c>
      <c r="B1881" s="303" t="inlineStr">
        <is>
          <t>Febrero</t>
        </is>
      </c>
      <c r="C1881" s="311" t="inlineStr">
        <is>
          <t>SIR LAKI F5</t>
        </is>
      </c>
      <c r="D1881" s="225" t="n"/>
      <c r="E1881" s="225" t="n"/>
      <c r="F1881" s="225" t="n">
        <v>1</v>
      </c>
      <c r="G1881" s="225" t="n"/>
      <c r="H1881" s="225" t="n"/>
      <c r="I1881" s="223" t="n">
        <v>75000</v>
      </c>
      <c r="J1881" s="305" t="n">
        <v>75000</v>
      </c>
      <c r="K1881" s="305" t="n">
        <v>0</v>
      </c>
      <c r="L1881" s="224" t="n">
        <v>15000</v>
      </c>
    </row>
    <row r="1882" ht="15" customHeight="1" s="153">
      <c r="A1882" s="306" t="inlineStr">
        <is>
          <t>02/04/2026</t>
        </is>
      </c>
      <c r="B1882" s="307" t="inlineStr">
        <is>
          <t>Abril</t>
        </is>
      </c>
      <c r="C1882" s="310" t="inlineStr">
        <is>
          <t>SIRLAKI</t>
        </is>
      </c>
      <c r="D1882" s="218" t="n"/>
      <c r="E1882" s="218" t="n"/>
      <c r="F1882" s="218" t="n">
        <v>1</v>
      </c>
      <c r="G1882" s="218" t="n"/>
      <c r="H1882" s="218" t="n"/>
      <c r="I1882" s="216" t="n">
        <v>80000</v>
      </c>
      <c r="J1882" s="309" t="n">
        <v>0</v>
      </c>
      <c r="K1882" s="309" t="n">
        <v>80000</v>
      </c>
      <c r="L1882" s="236" t="n">
        <v>20000</v>
      </c>
    </row>
    <row r="1883" ht="15" customHeight="1" s="153">
      <c r="A1883" s="302" t="inlineStr">
        <is>
          <t>07/02/2026</t>
        </is>
      </c>
      <c r="B1883" s="303" t="inlineStr">
        <is>
          <t>Febrero</t>
        </is>
      </c>
      <c r="C1883" s="311" t="inlineStr">
        <is>
          <t>TACUARI</t>
        </is>
      </c>
      <c r="D1883" s="225" t="n">
        <v>1</v>
      </c>
      <c r="E1883" s="225" t="n"/>
      <c r="F1883" s="225" t="n"/>
      <c r="G1883" s="225" t="n"/>
      <c r="H1883" s="225" t="n"/>
      <c r="I1883" s="223" t="n">
        <v>20000</v>
      </c>
      <c r="J1883" s="305" t="n">
        <v>0</v>
      </c>
      <c r="K1883" s="305" t="n">
        <v>20000</v>
      </c>
      <c r="L1883" s="224" t="n">
        <v>5000</v>
      </c>
    </row>
    <row r="1884" ht="15" customHeight="1" s="153">
      <c r="A1884" s="306" t="inlineStr">
        <is>
          <t>01/01/2026</t>
        </is>
      </c>
      <c r="B1884" s="307" t="inlineStr">
        <is>
          <t>Enero</t>
        </is>
      </c>
      <c r="C1884" s="310" t="inlineStr">
        <is>
          <t>TACUARI 5717</t>
        </is>
      </c>
      <c r="D1884" s="218" t="n">
        <v>1</v>
      </c>
      <c r="E1884" s="218" t="n"/>
      <c r="F1884" s="218" t="n"/>
      <c r="G1884" s="218" t="n"/>
      <c r="H1884" s="218" t="n"/>
      <c r="I1884" s="216" t="n">
        <v>19500</v>
      </c>
      <c r="J1884" s="309" t="n">
        <v>0</v>
      </c>
      <c r="K1884" s="309" t="n">
        <v>19500</v>
      </c>
      <c r="L1884" s="236" t="n">
        <v>4500</v>
      </c>
    </row>
    <row r="1885" ht="15" customHeight="1" s="153">
      <c r="A1885" s="306" t="inlineStr">
        <is>
          <t>03/01/2026</t>
        </is>
      </c>
      <c r="B1885" s="307" t="inlineStr">
        <is>
          <t>Enero</t>
        </is>
      </c>
      <c r="C1885" s="310" t="inlineStr">
        <is>
          <t>TACUARI 5717</t>
        </is>
      </c>
      <c r="D1885" s="218" t="n">
        <v>1</v>
      </c>
      <c r="E1885" s="218" t="n"/>
      <c r="F1885" s="218" t="n"/>
      <c r="G1885" s="218" t="n"/>
      <c r="H1885" s="218" t="n"/>
      <c r="I1885" s="216" t="n">
        <v>19500</v>
      </c>
      <c r="J1885" s="309" t="n">
        <v>0</v>
      </c>
      <c r="K1885" s="309" t="n">
        <v>19500</v>
      </c>
      <c r="L1885" s="236" t="n">
        <v>4500</v>
      </c>
    </row>
    <row r="1886" ht="15" customHeight="1" s="153">
      <c r="A1886" s="306" t="inlineStr">
        <is>
          <t>24/01/2026</t>
        </is>
      </c>
      <c r="B1886" s="307" t="inlineStr">
        <is>
          <t>Enero</t>
        </is>
      </c>
      <c r="C1886" s="310" t="inlineStr">
        <is>
          <t>TACUARI 5717</t>
        </is>
      </c>
      <c r="D1886" s="218" t="n">
        <v>2</v>
      </c>
      <c r="E1886" s="218" t="n"/>
      <c r="F1886" s="218" t="n"/>
      <c r="G1886" s="218" t="n"/>
      <c r="H1886" s="218" t="n"/>
      <c r="I1886" s="216" t="n">
        <v>39000</v>
      </c>
      <c r="J1886" s="309" t="n">
        <v>0</v>
      </c>
      <c r="K1886" s="309" t="n">
        <v>39000</v>
      </c>
      <c r="L1886" s="236" t="n">
        <v>9000</v>
      </c>
    </row>
    <row r="1887" ht="15" customHeight="1" s="153">
      <c r="A1887" s="306" t="inlineStr">
        <is>
          <t>05/02/2026</t>
        </is>
      </c>
      <c r="B1887" s="307" t="inlineStr">
        <is>
          <t>Abril</t>
        </is>
      </c>
      <c r="C1887" s="310" t="inlineStr">
        <is>
          <t>TACUARI 5717</t>
        </is>
      </c>
      <c r="D1887" s="218" t="n">
        <v>1</v>
      </c>
      <c r="E1887" s="218" t="n"/>
      <c r="F1887" s="218" t="n"/>
      <c r="G1887" s="218" t="n"/>
      <c r="H1887" s="218" t="n"/>
      <c r="I1887" s="216" t="n">
        <v>25000</v>
      </c>
      <c r="J1887" s="309" t="n">
        <v>0</v>
      </c>
      <c r="K1887" s="309" t="n">
        <v>25000</v>
      </c>
      <c r="L1887" s="236" t="n">
        <v>10000</v>
      </c>
    </row>
    <row r="1888" ht="15" customHeight="1" s="153">
      <c r="A1888" s="306" t="inlineStr">
        <is>
          <t>02/04/2026</t>
        </is>
      </c>
      <c r="B1888" s="307" t="inlineStr">
        <is>
          <t>Abril</t>
        </is>
      </c>
      <c r="C1888" s="310" t="inlineStr">
        <is>
          <t>TACUARI 5717</t>
        </is>
      </c>
      <c r="D1888" s="218" t="n">
        <v>1</v>
      </c>
      <c r="E1888" s="218" t="n"/>
      <c r="F1888" s="218" t="n"/>
      <c r="G1888" s="218" t="n"/>
      <c r="H1888" s="218" t="n"/>
      <c r="I1888" s="216" t="n">
        <v>25000</v>
      </c>
      <c r="J1888" s="309" t="n">
        <v>0</v>
      </c>
      <c r="K1888" s="309" t="n">
        <v>25000</v>
      </c>
      <c r="L1888" s="236" t="n">
        <v>10000</v>
      </c>
    </row>
    <row r="1889" ht="15" customHeight="1" s="153">
      <c r="A1889" s="306" t="inlineStr">
        <is>
          <t>11/04/2026</t>
        </is>
      </c>
      <c r="B1889" s="307" t="inlineStr">
        <is>
          <t>Abril</t>
        </is>
      </c>
      <c r="C1889" s="310" t="inlineStr">
        <is>
          <t>TACUARI 5717</t>
        </is>
      </c>
      <c r="D1889" s="218" t="n">
        <v>1</v>
      </c>
      <c r="E1889" s="218" t="n"/>
      <c r="F1889" s="218" t="n"/>
      <c r="G1889" s="218" t="n"/>
      <c r="H1889" s="218" t="n"/>
      <c r="I1889" s="216" t="n">
        <v>25000</v>
      </c>
      <c r="J1889" s="309" t="n">
        <v>0</v>
      </c>
      <c r="K1889" s="309" t="n">
        <v>25000</v>
      </c>
      <c r="L1889" s="236" t="n">
        <v>10000</v>
      </c>
    </row>
    <row r="1890" ht="15" customHeight="1" s="153">
      <c r="A1890" s="302" t="inlineStr">
        <is>
          <t>15/03/2026</t>
        </is>
      </c>
      <c r="B1890" s="303" t="inlineStr">
        <is>
          <t>Marzo</t>
        </is>
      </c>
      <c r="C1890" s="311" t="inlineStr">
        <is>
          <t>TACUARI 57171</t>
        </is>
      </c>
      <c r="D1890" s="225" t="n">
        <v>1</v>
      </c>
      <c r="E1890" s="225" t="n"/>
      <c r="F1890" s="225" t="n"/>
      <c r="G1890" s="225" t="n"/>
      <c r="H1890" s="225" t="n"/>
      <c r="I1890" s="223" t="n">
        <v>22000</v>
      </c>
      <c r="J1890" s="305" t="n">
        <v>0</v>
      </c>
      <c r="K1890" s="305" t="n">
        <v>22000</v>
      </c>
      <c r="L1890" s="224" t="n">
        <v>7000</v>
      </c>
    </row>
    <row r="1891" ht="15" customHeight="1" s="153">
      <c r="A1891" s="306" t="inlineStr">
        <is>
          <t>22/02/2026</t>
        </is>
      </c>
      <c r="B1891" s="307" t="inlineStr">
        <is>
          <t>Febrero</t>
        </is>
      </c>
      <c r="C1891" s="310" t="inlineStr">
        <is>
          <t>TACUARI 5727</t>
        </is>
      </c>
      <c r="D1891" s="218" t="n">
        <v>1</v>
      </c>
      <c r="E1891" s="218" t="n"/>
      <c r="F1891" s="218" t="n"/>
      <c r="G1891" s="218" t="n"/>
      <c r="H1891" s="218" t="n"/>
      <c r="I1891" s="216" t="n">
        <v>19500</v>
      </c>
      <c r="J1891" s="309" t="n">
        <v>0</v>
      </c>
      <c r="K1891" s="309" t="n">
        <v>19500</v>
      </c>
      <c r="L1891" s="236" t="n">
        <v>4500</v>
      </c>
    </row>
    <row r="1892" ht="15" customHeight="1" s="153">
      <c r="A1892" s="302" t="inlineStr">
        <is>
          <t>21/03/2026</t>
        </is>
      </c>
      <c r="B1892" s="303" t="inlineStr">
        <is>
          <t>Marzo</t>
        </is>
      </c>
      <c r="C1892" s="311" t="inlineStr">
        <is>
          <t>TATU</t>
        </is>
      </c>
      <c r="D1892" s="225" t="n"/>
      <c r="E1892" s="225" t="n"/>
      <c r="F1892" s="225" t="n">
        <v>1</v>
      </c>
      <c r="G1892" s="225" t="n"/>
      <c r="H1892" s="225" t="n"/>
      <c r="I1892" s="223" t="n">
        <v>83000</v>
      </c>
      <c r="J1892" s="305" t="n">
        <v>0</v>
      </c>
      <c r="K1892" s="305" t="n">
        <v>83000</v>
      </c>
      <c r="L1892" s="224" t="n">
        <v>23000</v>
      </c>
    </row>
    <row r="1893" ht="15" customHeight="1" s="153">
      <c r="A1893" s="306" t="inlineStr">
        <is>
          <t>18/03/2026</t>
        </is>
      </c>
      <c r="B1893" s="307" t="inlineStr">
        <is>
          <t>Marzo</t>
        </is>
      </c>
      <c r="C1893" s="310" t="inlineStr">
        <is>
          <t>TERCER PJE 4771</t>
        </is>
      </c>
      <c r="D1893" s="218" t="n"/>
      <c r="E1893" s="218" t="n"/>
      <c r="F1893" s="218" t="n">
        <v>1</v>
      </c>
      <c r="G1893" s="218" t="n"/>
      <c r="H1893" s="218" t="n"/>
      <c r="I1893" s="216" t="n">
        <v>78000</v>
      </c>
      <c r="J1893" s="309" t="n">
        <v>0</v>
      </c>
      <c r="K1893" s="309" t="n">
        <v>78000</v>
      </c>
      <c r="L1893" s="236" t="n">
        <v>18000</v>
      </c>
    </row>
    <row r="1894" ht="15" customHeight="1" s="153">
      <c r="A1894" s="302" t="inlineStr">
        <is>
          <t>02/04/2026</t>
        </is>
      </c>
      <c r="B1894" s="303" t="inlineStr">
        <is>
          <t>Abril</t>
        </is>
      </c>
      <c r="C1894" s="311" t="inlineStr">
        <is>
          <t>TERE</t>
        </is>
      </c>
      <c r="D1894" s="225" t="n"/>
      <c r="E1894" s="225" t="n"/>
      <c r="F1894" s="225" t="n">
        <v>2</v>
      </c>
      <c r="G1894" s="225" t="n"/>
      <c r="H1894" s="225" t="n"/>
      <c r="I1894" s="223" t="n">
        <v>172000</v>
      </c>
      <c r="J1894" s="305" t="n">
        <v>86000</v>
      </c>
      <c r="K1894" s="305" t="n">
        <v>86000</v>
      </c>
      <c r="L1894" s="224" t="n">
        <v>52000</v>
      </c>
    </row>
    <row r="1895" ht="15" customHeight="1" s="153">
      <c r="A1895" s="306" t="inlineStr">
        <is>
          <t>04/04/2026</t>
        </is>
      </c>
      <c r="B1895" s="307" t="inlineStr">
        <is>
          <t>Abril</t>
        </is>
      </c>
      <c r="C1895" s="310" t="inlineStr">
        <is>
          <t>TERRAZAS</t>
        </is>
      </c>
      <c r="D1895" s="218" t="n">
        <v>2</v>
      </c>
      <c r="E1895" s="218" t="n"/>
      <c r="F1895" s="218" t="n"/>
      <c r="G1895" s="218" t="n"/>
      <c r="H1895" s="218" t="n"/>
      <c r="I1895" s="216" t="n">
        <v>54000</v>
      </c>
      <c r="J1895" s="309" t="n">
        <v>54000</v>
      </c>
      <c r="K1895" s="309" t="n">
        <v>0</v>
      </c>
      <c r="L1895" s="236" t="n">
        <v>24000</v>
      </c>
    </row>
    <row r="1896" ht="15" customHeight="1" s="153">
      <c r="A1896" s="302" t="inlineStr">
        <is>
          <t>22/03/2026</t>
        </is>
      </c>
      <c r="B1896" s="303" t="inlineStr">
        <is>
          <t>Marzo</t>
        </is>
      </c>
      <c r="C1896" s="311" t="inlineStr">
        <is>
          <t>TERRAZAS DANTE</t>
        </is>
      </c>
      <c r="D1896" s="225" t="n">
        <v>2</v>
      </c>
      <c r="E1896" s="225" t="n"/>
      <c r="F1896" s="225" t="n"/>
      <c r="G1896" s="225" t="n"/>
      <c r="H1896" s="225" t="n"/>
      <c r="I1896" s="223" t="n">
        <v>51000</v>
      </c>
      <c r="J1896" s="305" t="n">
        <v>51000</v>
      </c>
      <c r="K1896" s="305" t="n">
        <v>0</v>
      </c>
      <c r="L1896" s="224" t="n">
        <v>21000</v>
      </c>
    </row>
    <row r="1897" ht="15" customHeight="1" s="153">
      <c r="A1897" s="306" t="inlineStr">
        <is>
          <t>17/01/2026</t>
        </is>
      </c>
      <c r="B1897" s="307" t="inlineStr">
        <is>
          <t>Enero</t>
        </is>
      </c>
      <c r="C1897" s="310" t="inlineStr">
        <is>
          <t>TOFFO</t>
        </is>
      </c>
      <c r="D1897" s="218" t="n"/>
      <c r="E1897" s="218" t="n">
        <v>1</v>
      </c>
      <c r="F1897" s="218" t="n"/>
      <c r="G1897" s="218" t="n"/>
      <c r="H1897" s="218" t="n"/>
      <c r="I1897" s="216" t="n">
        <v>33000</v>
      </c>
      <c r="J1897" s="309" t="n">
        <v>33000</v>
      </c>
      <c r="K1897" s="309" t="n">
        <v>0</v>
      </c>
      <c r="L1897" s="236" t="n">
        <v>10500</v>
      </c>
    </row>
    <row r="1898" ht="15" customHeight="1" s="153">
      <c r="A1898" s="306" t="inlineStr">
        <is>
          <t>22/04/2026</t>
        </is>
      </c>
      <c r="B1898" s="307" t="inlineStr">
        <is>
          <t>Abril</t>
        </is>
      </c>
      <c r="C1898" s="310" t="inlineStr">
        <is>
          <t>TOFFO</t>
        </is>
      </c>
      <c r="D1898" s="218" t="n"/>
      <c r="E1898" s="218" t="n"/>
      <c r="F1898" s="218" t="n">
        <v>1</v>
      </c>
      <c r="G1898" s="218" t="n"/>
      <c r="H1898" s="218" t="n"/>
      <c r="I1898" s="216" t="n">
        <v>90000</v>
      </c>
      <c r="J1898" s="309" t="n">
        <v>0</v>
      </c>
      <c r="K1898" s="309" t="n">
        <v>90000</v>
      </c>
      <c r="L1898" s="236" t="n">
        <v>30000</v>
      </c>
    </row>
    <row r="1899" ht="15" customHeight="1" s="153">
      <c r="A1899" s="302" t="inlineStr">
        <is>
          <t>08/04/2026</t>
        </is>
      </c>
      <c r="B1899" s="303" t="inlineStr">
        <is>
          <t>Abril</t>
        </is>
      </c>
      <c r="C1899" s="311" t="inlineStr">
        <is>
          <t>TROPPO</t>
        </is>
      </c>
      <c r="D1899" s="225" t="n">
        <v>3</v>
      </c>
      <c r="E1899" s="225" t="n"/>
      <c r="F1899" s="225" t="n"/>
      <c r="G1899" s="225" t="n"/>
      <c r="H1899" s="225" t="n"/>
      <c r="I1899" s="223" t="n">
        <v>75000</v>
      </c>
      <c r="J1899" s="305" t="n">
        <v>0</v>
      </c>
      <c r="K1899" s="305" t="n">
        <v>75000</v>
      </c>
      <c r="L1899" s="224" t="n">
        <v>30000</v>
      </c>
    </row>
    <row r="1900" ht="15" customHeight="1" s="153">
      <c r="A1900" s="306" t="inlineStr">
        <is>
          <t>24/03/2026</t>
        </is>
      </c>
      <c r="B1900" s="307" t="inlineStr">
        <is>
          <t>Marzo</t>
        </is>
      </c>
      <c r="C1900" s="310" t="inlineStr">
        <is>
          <t>ULRICO SCHMIT</t>
        </is>
      </c>
      <c r="D1900" s="218" t="n"/>
      <c r="E1900" s="218" t="n"/>
      <c r="F1900" s="218" t="n">
        <v>1</v>
      </c>
      <c r="G1900" s="218" t="n"/>
      <c r="H1900" s="218" t="n"/>
      <c r="I1900" s="216" t="n">
        <v>80000</v>
      </c>
      <c r="J1900" s="309" t="n">
        <v>0</v>
      </c>
      <c r="K1900" s="309" t="n">
        <v>80000</v>
      </c>
      <c r="L1900" s="236" t="n">
        <v>20000</v>
      </c>
    </row>
    <row r="1901" ht="15" customHeight="1" s="153">
      <c r="A1901" s="302" t="inlineStr">
        <is>
          <t>09/04/2026</t>
        </is>
      </c>
      <c r="B1901" s="303" t="inlineStr">
        <is>
          <t>Abril</t>
        </is>
      </c>
      <c r="C1901" s="311" t="inlineStr">
        <is>
          <t>URQUIZA 2031</t>
        </is>
      </c>
      <c r="D1901" s="225" t="n"/>
      <c r="E1901" s="225" t="n"/>
      <c r="F1901" s="225" t="n">
        <v>1</v>
      </c>
      <c r="G1901" s="225" t="n"/>
      <c r="H1901" s="225" t="n"/>
      <c r="I1901" s="223" t="n">
        <v>85000</v>
      </c>
      <c r="J1901" s="305" t="n">
        <v>85000</v>
      </c>
      <c r="K1901" s="305" t="n">
        <v>0</v>
      </c>
      <c r="L1901" s="224" t="n">
        <v>25000</v>
      </c>
    </row>
    <row r="1902" ht="15" customHeight="1" s="153">
      <c r="A1902" s="306" t="inlineStr">
        <is>
          <t>21/04/2026</t>
        </is>
      </c>
      <c r="B1902" s="307" t="inlineStr">
        <is>
          <t>Abril</t>
        </is>
      </c>
      <c r="C1902" s="310" t="inlineStr">
        <is>
          <t>USUARIO CALLE</t>
        </is>
      </c>
      <c r="D1902" s="218" t="n">
        <v>1</v>
      </c>
      <c r="E1902" s="218" t="n"/>
      <c r="F1902" s="218" t="n"/>
      <c r="G1902" s="218" t="n"/>
      <c r="H1902" s="218" t="n"/>
      <c r="I1902" s="216" t="n">
        <v>20000</v>
      </c>
      <c r="J1902" s="309" t="n">
        <v>0</v>
      </c>
      <c r="K1902" s="309" t="n">
        <v>20000</v>
      </c>
      <c r="L1902" s="236" t="n">
        <v>5000</v>
      </c>
    </row>
    <row r="1903" ht="15" customHeight="1" s="153">
      <c r="A1903" s="302" t="inlineStr">
        <is>
          <t>21/03/2026</t>
        </is>
      </c>
      <c r="B1903" s="303" t="inlineStr">
        <is>
          <t>Marzo</t>
        </is>
      </c>
      <c r="C1903" s="311" t="inlineStr">
        <is>
          <t>VELEZ SARFIELD 5632</t>
        </is>
      </c>
      <c r="D1903" s="225" t="n"/>
      <c r="E1903" s="225" t="n">
        <v>1</v>
      </c>
      <c r="F1903" s="225" t="n"/>
      <c r="G1903" s="225" t="n"/>
      <c r="H1903" s="225" t="n"/>
      <c r="I1903" s="223" t="n">
        <v>35000</v>
      </c>
      <c r="J1903" s="305" t="n">
        <v>35000</v>
      </c>
      <c r="K1903" s="305" t="n">
        <v>0</v>
      </c>
      <c r="L1903" s="224" t="n">
        <v>12500</v>
      </c>
    </row>
    <row r="1904" ht="15" customHeight="1" s="153">
      <c r="A1904" s="306" t="inlineStr">
        <is>
          <t>11/03/2026</t>
        </is>
      </c>
      <c r="B1904" s="307" t="inlineStr">
        <is>
          <t>Marzo</t>
        </is>
      </c>
      <c r="C1904" s="310" t="inlineStr">
        <is>
          <t>VERA MUJICA 420</t>
        </is>
      </c>
      <c r="D1904" s="218" t="n"/>
      <c r="E1904" s="218" t="n">
        <v>1</v>
      </c>
      <c r="F1904" s="218" t="n"/>
      <c r="G1904" s="218" t="n"/>
      <c r="H1904" s="218" t="n"/>
      <c r="I1904" s="216" t="n">
        <v>33000</v>
      </c>
      <c r="J1904" s="309" t="n">
        <v>33000</v>
      </c>
      <c r="K1904" s="309" t="n">
        <v>0</v>
      </c>
      <c r="L1904" s="236" t="n">
        <v>10500</v>
      </c>
    </row>
    <row r="1905" ht="15" customHeight="1" s="153">
      <c r="A1905" s="302" t="inlineStr">
        <is>
          <t>09/03/2026</t>
        </is>
      </c>
      <c r="B1905" s="303" t="inlineStr">
        <is>
          <t>Marzo</t>
        </is>
      </c>
      <c r="C1905" s="311" t="inlineStr">
        <is>
          <t>VIANDA JORGE</t>
        </is>
      </c>
      <c r="D1905" s="225" t="n">
        <v>1</v>
      </c>
      <c r="E1905" s="225" t="n"/>
      <c r="F1905" s="225" t="n"/>
      <c r="G1905" s="225" t="n"/>
      <c r="H1905" s="225" t="n"/>
      <c r="I1905" s="223" t="n">
        <v>19000</v>
      </c>
      <c r="J1905" s="305" t="n">
        <v>19000</v>
      </c>
      <c r="K1905" s="305" t="n">
        <v>0</v>
      </c>
      <c r="L1905" s="224" t="n">
        <v>4000</v>
      </c>
    </row>
    <row r="1906" ht="15" customHeight="1" s="153">
      <c r="A1906" s="306" t="inlineStr">
        <is>
          <t>02/03/2026</t>
        </is>
      </c>
      <c r="B1906" s="307" t="inlineStr">
        <is>
          <t>Marzo</t>
        </is>
      </c>
      <c r="C1906" s="310" t="inlineStr">
        <is>
          <t>VIANDAS JORGE</t>
        </is>
      </c>
      <c r="D1906" s="218" t="n">
        <v>1</v>
      </c>
      <c r="E1906" s="218" t="n"/>
      <c r="F1906" s="218" t="n"/>
      <c r="G1906" s="218" t="n"/>
      <c r="H1906" s="218" t="n"/>
      <c r="I1906" s="216" t="n">
        <v>19000</v>
      </c>
      <c r="J1906" s="309" t="n">
        <v>19000</v>
      </c>
      <c r="K1906" s="309" t="n">
        <v>0</v>
      </c>
      <c r="L1906" s="236" t="n">
        <v>4000</v>
      </c>
    </row>
    <row r="1907" ht="15" customHeight="1" s="153">
      <c r="A1907" s="306" t="inlineStr">
        <is>
          <t>06/04/2026</t>
        </is>
      </c>
      <c r="B1907" s="307" t="inlineStr">
        <is>
          <t>Abril</t>
        </is>
      </c>
      <c r="C1907" s="310" t="inlineStr">
        <is>
          <t>VIANDAS JORGE</t>
        </is>
      </c>
      <c r="D1907" s="218" t="n">
        <v>1</v>
      </c>
      <c r="E1907" s="218" t="n"/>
      <c r="F1907" s="218" t="n"/>
      <c r="G1907" s="218" t="n"/>
      <c r="H1907" s="218" t="n"/>
      <c r="I1907" s="216" t="n">
        <v>22000</v>
      </c>
      <c r="J1907" s="309" t="n">
        <v>22000</v>
      </c>
      <c r="K1907" s="309" t="n">
        <v>0</v>
      </c>
      <c r="L1907" s="236" t="n">
        <v>7000</v>
      </c>
    </row>
    <row r="1908" ht="15" customHeight="1" s="153">
      <c r="A1908" s="306" t="inlineStr">
        <is>
          <t>09/04/2026</t>
        </is>
      </c>
      <c r="B1908" s="307" t="inlineStr">
        <is>
          <t>Abril</t>
        </is>
      </c>
      <c r="C1908" s="310" t="inlineStr">
        <is>
          <t>VIANDAS JORGE</t>
        </is>
      </c>
      <c r="D1908" s="218" t="n">
        <v>1</v>
      </c>
      <c r="E1908" s="218" t="n"/>
      <c r="F1908" s="218" t="n"/>
      <c r="G1908" s="218" t="n"/>
      <c r="H1908" s="218" t="n"/>
      <c r="I1908" s="216" t="n">
        <v>22000</v>
      </c>
      <c r="J1908" s="309" t="n">
        <v>22000</v>
      </c>
      <c r="K1908" s="309" t="n">
        <v>0</v>
      </c>
      <c r="L1908" s="236" t="n">
        <v>7000</v>
      </c>
    </row>
    <row r="1909" ht="15" customHeight="1" s="153">
      <c r="A1909" s="306" t="inlineStr">
        <is>
          <t>13/04/2026</t>
        </is>
      </c>
      <c r="B1909" s="307" t="inlineStr">
        <is>
          <t>Abril</t>
        </is>
      </c>
      <c r="C1909" s="310" t="inlineStr">
        <is>
          <t>VIANDAS JORGE</t>
        </is>
      </c>
      <c r="D1909" s="218" t="n">
        <v>1</v>
      </c>
      <c r="E1909" s="218" t="n"/>
      <c r="F1909" s="218" t="n"/>
      <c r="G1909" s="218" t="n"/>
      <c r="H1909" s="218" t="n"/>
      <c r="I1909" s="216" t="n">
        <v>22000</v>
      </c>
      <c r="J1909" s="309" t="n">
        <v>22000</v>
      </c>
      <c r="K1909" s="309" t="n">
        <v>0</v>
      </c>
      <c r="L1909" s="236" t="n">
        <v>7000</v>
      </c>
    </row>
    <row r="1910" ht="15" customHeight="1" s="153">
      <c r="A1910" s="306" t="inlineStr">
        <is>
          <t>16/04/2026</t>
        </is>
      </c>
      <c r="B1910" s="307" t="inlineStr">
        <is>
          <t>Abril</t>
        </is>
      </c>
      <c r="C1910" s="310" t="inlineStr">
        <is>
          <t>VIANDAS JORGE</t>
        </is>
      </c>
      <c r="D1910" s="218" t="n">
        <v>1</v>
      </c>
      <c r="E1910" s="218" t="n"/>
      <c r="F1910" s="218" t="n"/>
      <c r="G1910" s="218" t="n"/>
      <c r="H1910" s="218" t="n"/>
      <c r="I1910" s="216" t="n">
        <v>22000</v>
      </c>
      <c r="J1910" s="309" t="n">
        <v>22000</v>
      </c>
      <c r="K1910" s="309" t="n">
        <v>0</v>
      </c>
      <c r="L1910" s="236" t="n">
        <v>7000</v>
      </c>
    </row>
    <row r="1911" ht="15" customHeight="1" s="153">
      <c r="A1911" s="306" t="inlineStr">
        <is>
          <t>20/04/2026</t>
        </is>
      </c>
      <c r="B1911" s="307" t="inlineStr">
        <is>
          <t>Abril</t>
        </is>
      </c>
      <c r="C1911" s="310" t="inlineStr">
        <is>
          <t>VIANDAS JORGE</t>
        </is>
      </c>
      <c r="D1911" s="218" t="n">
        <v>1</v>
      </c>
      <c r="E1911" s="218" t="n"/>
      <c r="F1911" s="218" t="n"/>
      <c r="G1911" s="218" t="n"/>
      <c r="H1911" s="218" t="n"/>
      <c r="I1911" s="216" t="n">
        <v>22000</v>
      </c>
      <c r="J1911" s="309" t="n">
        <v>22000</v>
      </c>
      <c r="K1911" s="309" t="n">
        <v>0</v>
      </c>
      <c r="L1911" s="236" t="n">
        <v>7000</v>
      </c>
    </row>
    <row r="1912" ht="15" customHeight="1" s="153">
      <c r="A1912" s="302" t="inlineStr">
        <is>
          <t>19/03/2026</t>
        </is>
      </c>
      <c r="B1912" s="303" t="inlineStr">
        <is>
          <t>Marzo</t>
        </is>
      </c>
      <c r="C1912" s="311" t="inlineStr">
        <is>
          <t>VIANDAS JORGE 1</t>
        </is>
      </c>
      <c r="D1912" s="225" t="n">
        <v>1</v>
      </c>
      <c r="E1912" s="225" t="n"/>
      <c r="F1912" s="225" t="n"/>
      <c r="G1912" s="225" t="n"/>
      <c r="H1912" s="225" t="n"/>
      <c r="I1912" s="223" t="n">
        <v>20000</v>
      </c>
      <c r="J1912" s="305" t="n">
        <v>20000</v>
      </c>
      <c r="K1912" s="305" t="n">
        <v>0</v>
      </c>
      <c r="L1912" s="224" t="n">
        <v>5000</v>
      </c>
    </row>
    <row r="1913" ht="15" customHeight="1" s="153">
      <c r="A1913" s="306" t="inlineStr">
        <is>
          <t>26/02/2026</t>
        </is>
      </c>
      <c r="B1913" s="307" t="inlineStr">
        <is>
          <t>Febrero</t>
        </is>
      </c>
      <c r="C1913" s="310" t="inlineStr">
        <is>
          <t>VIANDAS ZEBALLOS</t>
        </is>
      </c>
      <c r="D1913" s="218" t="n">
        <v>1</v>
      </c>
      <c r="E1913" s="218" t="n"/>
      <c r="F1913" s="218" t="n"/>
      <c r="G1913" s="218" t="n"/>
      <c r="H1913" s="218" t="n"/>
      <c r="I1913" s="216" t="n">
        <v>19000</v>
      </c>
      <c r="J1913" s="309" t="n">
        <v>19000</v>
      </c>
      <c r="K1913" s="309" t="n">
        <v>0</v>
      </c>
      <c r="L1913" s="236" t="n">
        <v>4000</v>
      </c>
    </row>
    <row r="1914" ht="15" customHeight="1" s="153">
      <c r="A1914" s="306" t="inlineStr">
        <is>
          <t>16/03/2026</t>
        </is>
      </c>
      <c r="B1914" s="307" t="inlineStr">
        <is>
          <t>Marzo</t>
        </is>
      </c>
      <c r="C1914" s="310" t="inlineStr">
        <is>
          <t>VIANDAS ZEBALLOS</t>
        </is>
      </c>
      <c r="D1914" s="218" t="n">
        <v>1</v>
      </c>
      <c r="E1914" s="218" t="n"/>
      <c r="F1914" s="218" t="n"/>
      <c r="G1914" s="218" t="n"/>
      <c r="H1914" s="218" t="n"/>
      <c r="I1914" s="216" t="n">
        <v>20000</v>
      </c>
      <c r="J1914" s="309" t="n">
        <v>20000</v>
      </c>
      <c r="K1914" s="309" t="n">
        <v>0</v>
      </c>
      <c r="L1914" s="236" t="n">
        <v>5000</v>
      </c>
    </row>
    <row r="1915" ht="15" customHeight="1" s="153">
      <c r="A1915" s="302" t="inlineStr">
        <is>
          <t>03/01/2026</t>
        </is>
      </c>
      <c r="B1915" s="303" t="inlineStr">
        <is>
          <t>Enero</t>
        </is>
      </c>
      <c r="C1915" s="311" t="inlineStr">
        <is>
          <t>VICTO CAPE DRUGSTORE</t>
        </is>
      </c>
      <c r="D1915" s="225" t="n">
        <v>1</v>
      </c>
      <c r="E1915" s="225" t="n"/>
      <c r="F1915" s="225" t="n"/>
      <c r="G1915" s="225" t="n"/>
      <c r="H1915" s="225" t="n"/>
      <c r="I1915" s="223" t="n">
        <v>19500</v>
      </c>
      <c r="J1915" s="305" t="n">
        <v>0</v>
      </c>
      <c r="K1915" s="305" t="n">
        <v>19500</v>
      </c>
      <c r="L1915" s="224" t="n">
        <v>4500</v>
      </c>
    </row>
    <row r="1916" ht="15" customHeight="1" s="153">
      <c r="A1916" s="306" t="inlineStr">
        <is>
          <t>14/01/2026</t>
        </is>
      </c>
      <c r="B1916" s="307" t="inlineStr">
        <is>
          <t>Enero</t>
        </is>
      </c>
      <c r="C1916" s="310" t="inlineStr">
        <is>
          <t>VICTOR CAPE</t>
        </is>
      </c>
      <c r="D1916" s="218" t="n"/>
      <c r="E1916" s="218" t="n">
        <v>1</v>
      </c>
      <c r="F1916" s="218" t="n"/>
      <c r="G1916" s="218" t="n"/>
      <c r="H1916" s="218" t="n"/>
      <c r="I1916" s="216" t="n">
        <v>31500</v>
      </c>
      <c r="J1916" s="309" t="n">
        <v>0</v>
      </c>
      <c r="K1916" s="309" t="n">
        <v>31500</v>
      </c>
      <c r="L1916" s="236" t="n">
        <v>9000</v>
      </c>
    </row>
    <row r="1917" ht="15" customHeight="1" s="153">
      <c r="A1917" s="306" t="inlineStr">
        <is>
          <t>03/02/2026</t>
        </is>
      </c>
      <c r="B1917" s="307" t="inlineStr">
        <is>
          <t>Febrero</t>
        </is>
      </c>
      <c r="C1917" s="310" t="inlineStr">
        <is>
          <t>VICTOR CAPE</t>
        </is>
      </c>
      <c r="D1917" s="218" t="n">
        <v>1</v>
      </c>
      <c r="E1917" s="218" t="n"/>
      <c r="F1917" s="218" t="n"/>
      <c r="G1917" s="218" t="n"/>
      <c r="H1917" s="218" t="n"/>
      <c r="I1917" s="216" t="n">
        <v>20500</v>
      </c>
      <c r="J1917" s="309" t="n">
        <v>0</v>
      </c>
      <c r="K1917" s="309" t="n">
        <v>20500</v>
      </c>
      <c r="L1917" s="236" t="n">
        <v>5500</v>
      </c>
    </row>
    <row r="1918" ht="15" customHeight="1" s="153">
      <c r="A1918" s="306" t="inlineStr">
        <is>
          <t>02/03/2026</t>
        </is>
      </c>
      <c r="B1918" s="307" t="inlineStr">
        <is>
          <t>Marzo</t>
        </is>
      </c>
      <c r="C1918" s="310" t="inlineStr">
        <is>
          <t>VICTOR CAPE</t>
        </is>
      </c>
      <c r="D1918" s="218" t="n"/>
      <c r="E1918" s="218" t="n">
        <v>1</v>
      </c>
      <c r="F1918" s="218" t="n"/>
      <c r="G1918" s="218" t="n"/>
      <c r="H1918" s="218" t="n"/>
      <c r="I1918" s="216" t="n">
        <v>32000</v>
      </c>
      <c r="J1918" s="309" t="n">
        <v>0</v>
      </c>
      <c r="K1918" s="309" t="n">
        <v>32000</v>
      </c>
      <c r="L1918" s="236" t="n">
        <v>9500</v>
      </c>
    </row>
    <row r="1919" ht="15" customHeight="1" s="153">
      <c r="A1919" s="302" t="inlineStr">
        <is>
          <t>26/01/2026</t>
        </is>
      </c>
      <c r="B1919" s="303" t="inlineStr">
        <is>
          <t>Enero</t>
        </is>
      </c>
      <c r="C1919" s="311" t="inlineStr">
        <is>
          <t>VICTORIO</t>
        </is>
      </c>
      <c r="D1919" s="225" t="n">
        <v>1</v>
      </c>
      <c r="E1919" s="225" t="n"/>
      <c r="F1919" s="225" t="n"/>
      <c r="G1919" s="225" t="n"/>
      <c r="H1919" s="225" t="n"/>
      <c r="I1919" s="223" t="n">
        <v>17000</v>
      </c>
      <c r="J1919" s="305" t="n">
        <v>17000</v>
      </c>
      <c r="K1919" s="305" t="n">
        <v>0</v>
      </c>
      <c r="L1919" s="224" t="n">
        <v>2000</v>
      </c>
    </row>
    <row r="1920" ht="15" customHeight="1" s="153">
      <c r="A1920" s="306" t="inlineStr">
        <is>
          <t>18/04/2026</t>
        </is>
      </c>
      <c r="B1920" s="307" t="inlineStr">
        <is>
          <t>Abril</t>
        </is>
      </c>
      <c r="C1920" s="310" t="inlineStr">
        <is>
          <t>VIEYTES 4333</t>
        </is>
      </c>
      <c r="D1920" s="218" t="n">
        <v>1</v>
      </c>
      <c r="E1920" s="218" t="n"/>
      <c r="F1920" s="218" t="n"/>
      <c r="G1920" s="218" t="n"/>
      <c r="H1920" s="218" t="n"/>
      <c r="I1920" s="216" t="n">
        <v>22000</v>
      </c>
      <c r="J1920" s="309" t="n">
        <v>22000</v>
      </c>
      <c r="K1920" s="309" t="n">
        <v>0</v>
      </c>
      <c r="L1920" s="236" t="n">
        <v>7000</v>
      </c>
    </row>
    <row r="1921" ht="15" customHeight="1" s="153">
      <c r="A1921" s="302" t="inlineStr">
        <is>
          <t>13/02/2026</t>
        </is>
      </c>
      <c r="B1921" s="303" t="inlineStr">
        <is>
          <t>Febrero</t>
        </is>
      </c>
      <c r="C1921" s="311" t="inlineStr">
        <is>
          <t>VIEYTES 4476</t>
        </is>
      </c>
      <c r="D1921" s="225" t="n">
        <v>1</v>
      </c>
      <c r="E1921" s="225" t="n"/>
      <c r="F1921" s="225" t="n"/>
      <c r="G1921" s="225" t="n"/>
      <c r="H1921" s="225" t="n"/>
      <c r="I1921" s="223" t="n">
        <v>22000</v>
      </c>
      <c r="J1921" s="305" t="n">
        <v>22000</v>
      </c>
      <c r="K1921" s="305" t="n">
        <v>0</v>
      </c>
      <c r="L1921" s="224" t="n">
        <v>7000</v>
      </c>
    </row>
    <row r="1922" ht="15" customHeight="1" s="153">
      <c r="A1922" s="306" t="inlineStr">
        <is>
          <t>05/02/2026</t>
        </is>
      </c>
      <c r="B1922" s="307" t="inlineStr">
        <is>
          <t>Abril</t>
        </is>
      </c>
      <c r="C1922" s="310" t="inlineStr">
        <is>
          <t>VIEYTES 4587</t>
        </is>
      </c>
      <c r="D1922" s="218" t="n"/>
      <c r="E1922" s="218" t="n">
        <v>1</v>
      </c>
      <c r="F1922" s="218" t="n"/>
      <c r="G1922" s="218" t="n"/>
      <c r="H1922" s="218" t="n"/>
      <c r="I1922" s="216" t="n">
        <v>39000</v>
      </c>
      <c r="J1922" s="309" t="n">
        <v>39000</v>
      </c>
      <c r="K1922" s="309" t="n">
        <v>0</v>
      </c>
      <c r="L1922" s="236" t="n">
        <v>16500</v>
      </c>
    </row>
    <row r="1923" ht="15" customHeight="1" s="153">
      <c r="A1923" s="302" t="inlineStr">
        <is>
          <t>17/04/2026</t>
        </is>
      </c>
      <c r="B1923" s="303" t="inlineStr">
        <is>
          <t>Abril</t>
        </is>
      </c>
      <c r="C1923" s="311" t="inlineStr">
        <is>
          <t>VIEYTES 5046</t>
        </is>
      </c>
      <c r="D1923" s="225" t="n"/>
      <c r="E1923" s="225" t="n"/>
      <c r="F1923" s="225" t="n">
        <v>1</v>
      </c>
      <c r="G1923" s="225" t="n"/>
      <c r="H1923" s="225" t="n"/>
      <c r="I1923" s="223" t="n">
        <v>85000</v>
      </c>
      <c r="J1923" s="305" t="n">
        <v>85000</v>
      </c>
      <c r="K1923" s="305" t="n">
        <v>0</v>
      </c>
      <c r="L1923" s="224" t="n">
        <v>25000</v>
      </c>
    </row>
    <row r="1924" ht="15" customHeight="1" s="153">
      <c r="A1924" s="306" t="inlineStr">
        <is>
          <t>25/03/2026</t>
        </is>
      </c>
      <c r="B1924" s="307" t="inlineStr">
        <is>
          <t>Marzo</t>
        </is>
      </c>
      <c r="C1924" s="310" t="inlineStr">
        <is>
          <t>VIEYTES 5168</t>
        </is>
      </c>
      <c r="D1924" s="218" t="n"/>
      <c r="E1924" s="218" t="n"/>
      <c r="F1924" s="218" t="n">
        <v>1</v>
      </c>
      <c r="G1924" s="218" t="n"/>
      <c r="H1924" s="218" t="n"/>
      <c r="I1924" s="216" t="n">
        <v>80000</v>
      </c>
      <c r="J1924" s="309" t="n">
        <v>0</v>
      </c>
      <c r="K1924" s="309" t="n">
        <v>80000</v>
      </c>
      <c r="L1924" s="236" t="n">
        <v>20000</v>
      </c>
    </row>
    <row r="1925" ht="15" customHeight="1" s="153">
      <c r="A1925" s="302" t="inlineStr">
        <is>
          <t>21/04/2026</t>
        </is>
      </c>
      <c r="B1925" s="303" t="inlineStr">
        <is>
          <t>Abril</t>
        </is>
      </c>
      <c r="C1925" s="311" t="inlineStr">
        <is>
          <t>VIEYTES 5299</t>
        </is>
      </c>
      <c r="D1925" s="225" t="n"/>
      <c r="E1925" s="225" t="n">
        <v>1</v>
      </c>
      <c r="F1925" s="225" t="n"/>
      <c r="G1925" s="225" t="n"/>
      <c r="H1925" s="225" t="n"/>
      <c r="I1925" s="223" t="n">
        <v>39000</v>
      </c>
      <c r="J1925" s="305" t="n">
        <v>39000</v>
      </c>
      <c r="K1925" s="305" t="n">
        <v>0</v>
      </c>
      <c r="L1925" s="224" t="n">
        <v>16500</v>
      </c>
    </row>
    <row r="1926" ht="15" customHeight="1" s="153">
      <c r="A1926" s="306" t="inlineStr">
        <is>
          <t>28/02/2026</t>
        </is>
      </c>
      <c r="B1926" s="307" t="inlineStr">
        <is>
          <t>Febrero</t>
        </is>
      </c>
      <c r="C1926" s="310" t="inlineStr">
        <is>
          <t>VIVERO</t>
        </is>
      </c>
      <c r="D1926" s="218" t="n">
        <v>1</v>
      </c>
      <c r="E1926" s="218" t="n"/>
      <c r="F1926" s="218" t="n"/>
      <c r="G1926" s="218" t="n"/>
      <c r="H1926" s="218" t="n"/>
      <c r="I1926" s="216" t="n">
        <v>22000</v>
      </c>
      <c r="J1926" s="309" t="n">
        <v>22000</v>
      </c>
      <c r="K1926" s="309" t="n">
        <v>0</v>
      </c>
      <c r="L1926" s="236" t="n">
        <v>7000</v>
      </c>
    </row>
    <row r="1927" ht="15" customHeight="1" s="153">
      <c r="A1927" s="302" t="inlineStr">
        <is>
          <t>21/04/2026</t>
        </is>
      </c>
      <c r="B1927" s="303" t="inlineStr">
        <is>
          <t>Abril</t>
        </is>
      </c>
      <c r="C1927" s="311" t="inlineStr">
        <is>
          <t>VIÑAS Y PAUCKE</t>
        </is>
      </c>
      <c r="D1927" s="225" t="n"/>
      <c r="E1927" s="225" t="n">
        <v>1</v>
      </c>
      <c r="F1927" s="225" t="n"/>
      <c r="G1927" s="225" t="n"/>
      <c r="H1927" s="225" t="n"/>
      <c r="I1927" s="223" t="n">
        <v>35500</v>
      </c>
      <c r="J1927" s="305" t="n">
        <v>0</v>
      </c>
      <c r="K1927" s="305" t="n">
        <v>35500</v>
      </c>
      <c r="L1927" s="224" t="n">
        <v>13000</v>
      </c>
    </row>
    <row r="1928" ht="15" customHeight="1" s="153">
      <c r="A1928" s="306" t="inlineStr">
        <is>
          <t>07/01/2026</t>
        </is>
      </c>
      <c r="B1928" s="307" t="inlineStr">
        <is>
          <t>Enero</t>
        </is>
      </c>
      <c r="C1928" s="310" t="inlineStr">
        <is>
          <t>WILLIAN</t>
        </is>
      </c>
      <c r="D1928" s="218" t="n"/>
      <c r="E1928" s="218" t="n">
        <v>1</v>
      </c>
      <c r="F1928" s="218" t="n"/>
      <c r="G1928" s="218" t="n"/>
      <c r="H1928" s="218" t="n"/>
      <c r="I1928" s="216" t="n">
        <v>29500</v>
      </c>
      <c r="J1928" s="309" t="n">
        <v>0</v>
      </c>
      <c r="K1928" s="309" t="n">
        <v>29500</v>
      </c>
      <c r="L1928" s="236" t="n">
        <v>7000</v>
      </c>
    </row>
    <row r="1929" ht="15" customHeight="1" s="153">
      <c r="A1929" s="302" t="inlineStr">
        <is>
          <t>04/04/2026</t>
        </is>
      </c>
      <c r="B1929" s="303" t="inlineStr">
        <is>
          <t>Abril</t>
        </is>
      </c>
      <c r="C1929" s="311" t="inlineStr">
        <is>
          <t>ZAVALIA 779</t>
        </is>
      </c>
      <c r="D1929" s="225" t="n"/>
      <c r="E1929" s="225" t="n">
        <v>1</v>
      </c>
      <c r="F1929" s="225" t="n"/>
      <c r="G1929" s="225" t="n"/>
      <c r="H1929" s="225" t="n"/>
      <c r="I1929" s="223" t="n">
        <v>39000</v>
      </c>
      <c r="J1929" s="305" t="n">
        <v>39000</v>
      </c>
      <c r="K1929" s="305" t="n">
        <v>0</v>
      </c>
      <c r="L1929" s="224" t="n">
        <v>16500</v>
      </c>
    </row>
    <row r="1930" ht="15" customHeight="1" s="153">
      <c r="A1930" s="306" t="inlineStr">
        <is>
          <t>24/03/2026</t>
        </is>
      </c>
      <c r="B1930" s="307" t="inlineStr">
        <is>
          <t>Marzo</t>
        </is>
      </c>
      <c r="C1930" s="310" t="inlineStr">
        <is>
          <t>ZAVALLA 10319</t>
        </is>
      </c>
      <c r="D1930" s="218" t="n">
        <v>1</v>
      </c>
      <c r="E1930" s="218" t="n"/>
      <c r="F1930" s="218" t="n"/>
      <c r="G1930" s="218" t="n"/>
      <c r="H1930" s="218" t="n"/>
      <c r="I1930" s="216" t="n">
        <v>24000</v>
      </c>
      <c r="J1930" s="309" t="n">
        <v>0</v>
      </c>
      <c r="K1930" s="309" t="n">
        <v>24000</v>
      </c>
      <c r="L1930" s="236" t="n">
        <v>9000</v>
      </c>
    </row>
    <row r="1931" ht="15" customHeight="1" s="153">
      <c r="A1931" s="302" t="inlineStr">
        <is>
          <t>13/04/2026</t>
        </is>
      </c>
      <c r="B1931" s="303" t="inlineStr">
        <is>
          <t>Abril</t>
        </is>
      </c>
      <c r="C1931" s="311" t="inlineStr">
        <is>
          <t>ZAVALLA 2880</t>
        </is>
      </c>
      <c r="D1931" s="225" t="n">
        <v>1</v>
      </c>
      <c r="E1931" s="225" t="n"/>
      <c r="F1931" s="225" t="n"/>
      <c r="G1931" s="225" t="n"/>
      <c r="H1931" s="225" t="n"/>
      <c r="I1931" s="223" t="n">
        <v>26000</v>
      </c>
      <c r="J1931" s="305" t="n">
        <v>0</v>
      </c>
      <c r="K1931" s="305" t="n">
        <v>26000</v>
      </c>
      <c r="L1931" s="224" t="n">
        <v>11000</v>
      </c>
    </row>
    <row r="1932" ht="15" customHeight="1" s="153">
      <c r="A1932" s="306" t="inlineStr">
        <is>
          <t>09/04/2026</t>
        </is>
      </c>
      <c r="B1932" s="307" t="inlineStr">
        <is>
          <t>Abril</t>
        </is>
      </c>
      <c r="C1932" s="310" t="inlineStr">
        <is>
          <t>ZAVALLA 8455</t>
        </is>
      </c>
      <c r="D1932" s="218" t="n">
        <v>1</v>
      </c>
      <c r="E1932" s="218" t="n"/>
      <c r="F1932" s="218" t="n"/>
      <c r="G1932" s="218" t="n"/>
      <c r="H1932" s="218" t="n"/>
      <c r="I1932" s="216" t="n">
        <v>26000</v>
      </c>
      <c r="J1932" s="309" t="n">
        <v>0</v>
      </c>
      <c r="K1932" s="309" t="n">
        <v>26000</v>
      </c>
      <c r="L1932" s="236" t="n">
        <v>11000</v>
      </c>
    </row>
  </sheetData>
  <autoFilter ref="A687:L1932"/>
  <mergeCells count="4">
    <mergeCell ref="A686:L686"/>
    <mergeCell ref="A2:L2"/>
    <mergeCell ref="A1:L1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2026-04-24T01:48:14Z</dcterms:created>
  <dcterms:modified xmlns:dcterms="http://purl.org/dc/terms/" xmlns:xsi="http://www.w3.org/2001/XMLSchema-instance" xsi:type="dcterms:W3CDTF">2026-06-09T14:03:43Z</dcterms:modified>
  <cp:revision>34</cp:revision>
</cp:coreProperties>
</file>