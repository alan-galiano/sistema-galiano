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4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353" t="n">
        <v>46204</v>
      </c>
      <c r="B5" s="251" t="inlineStr">
        <is>
          <t>URQUIZA 7255</t>
        </is>
      </c>
      <c r="C5" s="252" t="n"/>
      <c r="D5" s="252" t="n">
        <v>1</v>
      </c>
      <c r="E5" s="252" t="n"/>
      <c r="F5" s="253" t="n"/>
      <c r="G5" s="253" t="n"/>
      <c r="H5" s="267" t="n">
        <v>41500</v>
      </c>
      <c r="I5" s="268" t="n">
        <v>41500</v>
      </c>
      <c r="J5" s="268" t="n"/>
      <c r="K5" s="265" t="n"/>
      <c r="L5" s="265" t="n">
        <v>16000</v>
      </c>
      <c r="M5" s="160" t="n"/>
      <c r="N5" s="261" t="inlineStr">
        <is>
          <t>% GANANCIA</t>
        </is>
      </c>
      <c r="O5" s="266">
        <f>IFERROR(SUM(L5:L700)/SUM(H5:H700),0)</f>
        <v/>
      </c>
    </row>
    <row r="6" ht="21.75" customHeight="1" s="157">
      <c r="A6" s="239" t="n"/>
      <c r="B6" s="240" t="inlineStr">
        <is>
          <t>PICHY</t>
        </is>
      </c>
      <c r="C6" s="241" t="n">
        <v>1</v>
      </c>
      <c r="D6" s="241" t="n"/>
      <c r="E6" s="241" t="n"/>
      <c r="F6" s="242" t="n"/>
      <c r="G6" s="242" t="n"/>
      <c r="H6" s="263" t="n">
        <v>26000</v>
      </c>
      <c r="I6" s="264" t="n"/>
      <c r="J6" s="264" t="n">
        <v>26000</v>
      </c>
      <c r="K6" s="265" t="n"/>
      <c r="L6" s="265" t="n">
        <v>9000</v>
      </c>
      <c r="M6" s="160" t="n"/>
      <c r="N6" s="258" t="n"/>
      <c r="O6" s="259" t="n"/>
    </row>
    <row r="7" ht="21.75" customHeight="1" s="157">
      <c r="A7" s="250" t="n"/>
      <c r="B7" s="251" t="inlineStr">
        <is>
          <t>ROTI ARISTOBULO</t>
        </is>
      </c>
      <c r="C7" s="252" t="n"/>
      <c r="D7" s="252" t="n">
        <v>1</v>
      </c>
      <c r="E7" s="252" t="n"/>
      <c r="F7" s="253" t="n"/>
      <c r="G7" s="253" t="n"/>
      <c r="H7" s="267" t="n">
        <v>38500</v>
      </c>
      <c r="I7" s="268" t="n"/>
      <c r="J7" s="268" t="n">
        <v>38500</v>
      </c>
      <c r="K7" s="265" t="n"/>
      <c r="L7" s="265" t="n">
        <v>13000</v>
      </c>
      <c r="M7" s="160" t="n"/>
      <c r="N7" s="247" t="inlineStr">
        <is>
          <t>EFECTIVO</t>
        </is>
      </c>
      <c r="O7" s="269">
        <f>IFERROR(SUM(I5:I700),0)</f>
        <v/>
      </c>
    </row>
    <row r="8" ht="21.75" customHeight="1" s="157">
      <c r="A8" s="239" t="n"/>
      <c r="B8" s="240" t="inlineStr">
        <is>
          <t>FILOMENA</t>
        </is>
      </c>
      <c r="C8" s="241" t="n">
        <v>2</v>
      </c>
      <c r="D8" s="241" t="n"/>
      <c r="E8" s="241" t="n"/>
      <c r="F8" s="242" t="n"/>
      <c r="G8" s="242" t="n"/>
      <c r="H8" s="263" t="n">
        <v>53000</v>
      </c>
      <c r="I8" s="264" t="n"/>
      <c r="J8" s="264" t="n">
        <v>53000</v>
      </c>
      <c r="K8" s="265" t="n"/>
      <c r="L8" s="265" t="n">
        <v>19000</v>
      </c>
      <c r="M8" s="160" t="n"/>
      <c r="N8" s="247" t="inlineStr">
        <is>
          <t>TRANSFERENCIA</t>
        </is>
      </c>
      <c r="O8" s="269">
        <f>IFERROR(SUM(J5:J700),0)</f>
        <v/>
      </c>
    </row>
    <row r="9" ht="21.75" customHeight="1" s="157">
      <c r="A9" s="250" t="n"/>
      <c r="B9" s="251" t="inlineStr">
        <is>
          <t>AZCUENAGA 5023</t>
        </is>
      </c>
      <c r="C9" s="252" t="n">
        <v>8</v>
      </c>
      <c r="D9" s="252" t="n"/>
      <c r="E9" s="252" t="n"/>
      <c r="F9" s="253" t="n"/>
      <c r="G9" s="253" t="n"/>
      <c r="H9" s="267" t="n">
        <v>176000</v>
      </c>
      <c r="I9" s="268" t="n"/>
      <c r="J9" s="268" t="n">
        <v>176000</v>
      </c>
      <c r="K9" s="265" t="n"/>
      <c r="L9" s="265" t="n">
        <v>40000</v>
      </c>
      <c r="M9" s="160" t="n"/>
      <c r="N9" s="258" t="n"/>
      <c r="O9" s="259" t="n"/>
    </row>
    <row r="10" ht="21.75" customHeight="1" s="157">
      <c r="A10" s="239" t="n"/>
      <c r="B10" s="240" t="inlineStr">
        <is>
          <t>AYACUCHO 5284</t>
        </is>
      </c>
      <c r="C10" s="241" t="n"/>
      <c r="D10" s="241" t="n"/>
      <c r="E10" s="241" t="n">
        <v>1</v>
      </c>
      <c r="F10" s="242" t="n"/>
      <c r="G10" s="242" t="n"/>
      <c r="H10" s="263" t="n">
        <v>89000</v>
      </c>
      <c r="I10" s="264" t="n"/>
      <c r="J10" s="264" t="n">
        <v>89000</v>
      </c>
      <c r="K10" s="265" t="n"/>
      <c r="L10" s="265" t="n">
        <v>20000</v>
      </c>
      <c r="M10" s="160" t="n"/>
      <c r="N10" s="247" t="inlineStr">
        <is>
          <t>Nº VENTAS</t>
        </is>
      </c>
      <c r="O10" s="270">
        <f>IFERROR(COUNTA(B5:B700),0)</f>
        <v/>
      </c>
    </row>
    <row r="11" ht="21.75" customHeight="1" s="157">
      <c r="A11" s="250" t="n"/>
      <c r="B11" s="251" t="inlineStr">
        <is>
          <t>VIEYTES 4323</t>
        </is>
      </c>
      <c r="C11" s="252" t="n">
        <v>1</v>
      </c>
      <c r="D11" s="252" t="n"/>
      <c r="E11" s="252" t="n"/>
      <c r="F11" s="253" t="n"/>
      <c r="G11" s="253" t="n"/>
      <c r="H11" s="267" t="n">
        <v>27000</v>
      </c>
      <c r="I11" s="268" t="n">
        <v>27000</v>
      </c>
      <c r="J11" s="268" t="n"/>
      <c r="K11" s="265" t="n"/>
      <c r="L11" s="265" t="n">
        <v>10000</v>
      </c>
      <c r="M11" s="160" t="n"/>
      <c r="N11" s="247" t="inlineStr">
        <is>
          <t>DÍAS DEL MES</t>
        </is>
      </c>
      <c r="O11" s="270" t="n">
        <v>31</v>
      </c>
    </row>
    <row r="12" ht="21.75" customHeight="1" s="157">
      <c r="A12" s="239" t="n"/>
      <c r="B12" s="240" t="inlineStr">
        <is>
          <t>LAS HERAS 5471</t>
        </is>
      </c>
      <c r="C12" s="241" t="n">
        <v>2</v>
      </c>
      <c r="D12" s="241" t="n"/>
      <c r="E12" s="241" t="n"/>
      <c r="F12" s="242" t="n"/>
      <c r="G12" s="242" t="n"/>
      <c r="H12" s="263" t="n">
        <v>58000</v>
      </c>
      <c r="I12" s="264" t="n"/>
      <c r="J12" s="264" t="n">
        <v>58000</v>
      </c>
      <c r="K12" s="265" t="n"/>
      <c r="L12" s="265" t="n">
        <v>24000</v>
      </c>
      <c r="M12" s="160" t="n"/>
      <c r="N12" s="258" t="n"/>
      <c r="O12" s="259" t="n"/>
    </row>
    <row r="13" ht="21.75" customHeight="1" s="157">
      <c r="A13" s="250" t="n"/>
      <c r="B13" s="251" t="inlineStr">
        <is>
          <t>SIRLAKI</t>
        </is>
      </c>
      <c r="C13" s="252" t="n"/>
      <c r="D13" s="252" t="n"/>
      <c r="E13" s="252" t="n">
        <v>1</v>
      </c>
      <c r="F13" s="253" t="n"/>
      <c r="G13" s="253" t="n"/>
      <c r="H13" s="267" t="n">
        <v>95000</v>
      </c>
      <c r="I13" s="268" t="n">
        <v>95000</v>
      </c>
      <c r="J13" s="268" t="n"/>
      <c r="K13" s="265" t="n"/>
      <c r="L13" s="265" t="n">
        <v>26000</v>
      </c>
      <c r="M13" s="160" t="n"/>
      <c r="N13" s="247" t="inlineStr">
        <is>
          <t>OBJETIVO ($)</t>
        </is>
      </c>
      <c r="O13" s="269" t="n"/>
    </row>
    <row r="14" ht="21.75" customHeight="1" s="157">
      <c r="A14" s="239" t="n"/>
      <c r="B14" s="240" t="inlineStr">
        <is>
          <t>GORRITI 6722</t>
        </is>
      </c>
      <c r="C14" s="241" t="n"/>
      <c r="D14" s="241" t="n"/>
      <c r="E14" s="241" t="n">
        <v>1</v>
      </c>
      <c r="F14" s="242" t="n"/>
      <c r="G14" s="242" t="n"/>
      <c r="H14" s="263" t="n">
        <v>102000</v>
      </c>
      <c r="I14" s="264" t="n">
        <v>102000</v>
      </c>
      <c r="J14" s="264" t="n"/>
      <c r="K14" s="265" t="n"/>
      <c r="L14" s="265" t="n">
        <v>33000</v>
      </c>
      <c r="M14" s="160" t="n"/>
      <c r="N14" s="247" t="inlineStr">
        <is>
          <t>DIFERENCIA</t>
        </is>
      </c>
      <c r="O14" s="271">
        <f>IFERROR(SUM(L5:L700)-N21,0)</f>
        <v/>
      </c>
    </row>
    <row r="15" ht="21.75" customHeight="1" s="157">
      <c r="A15" s="250" t="n"/>
      <c r="B15" s="251" t="inlineStr">
        <is>
          <t>LORE</t>
        </is>
      </c>
      <c r="C15" s="252" t="n">
        <v>3</v>
      </c>
      <c r="D15" s="252" t="n">
        <v>1</v>
      </c>
      <c r="E15" s="252" t="n"/>
      <c r="F15" s="253" t="n"/>
      <c r="G15" s="253" t="n"/>
      <c r="H15" s="267" t="n">
        <v>96500</v>
      </c>
      <c r="I15" s="268" t="n">
        <v>96500</v>
      </c>
      <c r="J15" s="268" t="n"/>
      <c r="K15" s="265" t="n"/>
      <c r="L15" s="265" t="n">
        <v>20000</v>
      </c>
      <c r="M15" s="160" t="n"/>
      <c r="N15" s="160" t="n"/>
      <c r="O15" s="160" t="n"/>
    </row>
    <row r="16" ht="21.75" customHeight="1" s="157">
      <c r="A16" s="239" t="n"/>
      <c r="B16" s="240" t="inlineStr">
        <is>
          <t>JULIO GALARZA</t>
        </is>
      </c>
      <c r="C16" s="241" t="n">
        <v>1</v>
      </c>
      <c r="D16" s="241" t="n"/>
      <c r="E16" s="241" t="n"/>
      <c r="F16" s="242" t="n"/>
      <c r="G16" s="242" t="n"/>
      <c r="H16" s="263" t="n">
        <v>27000</v>
      </c>
      <c r="I16" s="264" t="n">
        <v>27000</v>
      </c>
      <c r="J16" s="264" t="n"/>
      <c r="K16" s="265" t="n"/>
      <c r="L16" s="265" t="n">
        <v>10000</v>
      </c>
      <c r="M16" s="160" t="n"/>
      <c r="N16" s="160" t="n"/>
      <c r="O16" s="160" t="n"/>
    </row>
    <row r="17" ht="21.75" customHeight="1" s="157">
      <c r="A17" s="250" t="n"/>
      <c r="B17" s="251" t="inlineStr">
        <is>
          <t>ARENALES 6553</t>
        </is>
      </c>
      <c r="C17" s="252" t="n">
        <v>1</v>
      </c>
      <c r="D17" s="252" t="n"/>
      <c r="E17" s="252" t="n"/>
      <c r="F17" s="253" t="n"/>
      <c r="G17" s="253" t="n"/>
      <c r="H17" s="267" t="n">
        <v>28500</v>
      </c>
      <c r="I17" s="268" t="n">
        <v>28500</v>
      </c>
      <c r="J17" s="268" t="n"/>
      <c r="K17" s="265" t="n"/>
      <c r="L17" s="265" t="n">
        <v>11500</v>
      </c>
      <c r="M17" s="160" t="n"/>
      <c r="N17" s="160" t="n"/>
      <c r="O17" s="160" t="n"/>
    </row>
    <row r="18" ht="21.75" customHeight="1" s="157">
      <c r="A18" s="239" t="n"/>
      <c r="B18" s="240" t="inlineStr">
        <is>
          <t>FRENCH 3960</t>
        </is>
      </c>
      <c r="C18" s="241" t="n"/>
      <c r="D18" s="241" t="n"/>
      <c r="E18" s="241" t="n">
        <v>1</v>
      </c>
      <c r="F18" s="242" t="n"/>
      <c r="G18" s="242" t="n"/>
      <c r="H18" s="263" t="n">
        <v>103000</v>
      </c>
      <c r="I18" s="264" t="n">
        <v>103000</v>
      </c>
      <c r="J18" s="264" t="n"/>
      <c r="K18" s="265" t="n"/>
      <c r="L18" s="265" t="n">
        <v>34000</v>
      </c>
      <c r="M18" s="160" t="n"/>
      <c r="N18" s="160" t="n"/>
      <c r="O18" s="160" t="n"/>
    </row>
    <row r="19" ht="21.75" customHeight="1" s="157">
      <c r="A19" s="250" t="n"/>
      <c r="B19" s="251" t="inlineStr">
        <is>
          <t>EUROPA 7163</t>
        </is>
      </c>
      <c r="C19" s="252" t="n">
        <v>1</v>
      </c>
      <c r="D19" s="252" t="n"/>
      <c r="E19" s="252" t="n"/>
      <c r="F19" s="253" t="n"/>
      <c r="G19" s="253" t="n"/>
      <c r="H19" s="267" t="n">
        <v>27500</v>
      </c>
      <c r="I19" s="268" t="n">
        <v>27500</v>
      </c>
      <c r="J19" s="268" t="n"/>
      <c r="K19" s="265" t="n"/>
      <c r="L19" s="265" t="n">
        <v>10500</v>
      </c>
      <c r="M19" s="160" t="n"/>
      <c r="N19" s="160" t="n"/>
      <c r="O19" s="160" t="n"/>
    </row>
    <row r="20" ht="21.75" customHeight="1" s="157">
      <c r="A20" s="239" t="n"/>
      <c r="B20" s="240" t="inlineStr">
        <is>
          <t>PANA BONEO</t>
        </is>
      </c>
      <c r="C20" s="241" t="n"/>
      <c r="D20" s="241" t="n"/>
      <c r="E20" s="241" t="n">
        <v>1</v>
      </c>
      <c r="F20" s="242" t="n"/>
      <c r="G20" s="242" t="n"/>
      <c r="H20" s="263" t="n">
        <v>89000</v>
      </c>
      <c r="I20" s="264" t="n">
        <v>89000</v>
      </c>
      <c r="J20" s="264" t="n"/>
      <c r="K20" s="265" t="n"/>
      <c r="L20" s="265" t="n">
        <v>20000</v>
      </c>
      <c r="M20" s="160" t="n"/>
      <c r="N20" s="160" t="n"/>
      <c r="O20" s="160" t="n"/>
    </row>
    <row r="21" ht="21.75" customHeight="1" s="157">
      <c r="A21" s="250" t="n"/>
      <c r="B21" s="251" t="inlineStr">
        <is>
          <t>OTNIEL</t>
        </is>
      </c>
      <c r="C21" s="252" t="n">
        <v>1</v>
      </c>
      <c r="D21" s="252" t="n"/>
      <c r="E21" s="252" t="n"/>
      <c r="F21" s="253" t="n"/>
      <c r="G21" s="253" t="n"/>
      <c r="H21" s="267" t="n">
        <v>25000</v>
      </c>
      <c r="I21" s="268" t="n">
        <v>25000</v>
      </c>
      <c r="J21" s="268" t="n"/>
      <c r="K21" s="265" t="n"/>
      <c r="L21" s="265" t="n">
        <v>8000</v>
      </c>
      <c r="M21" s="160" t="n"/>
      <c r="N21" s="160" t="n"/>
      <c r="O21" s="160">
        <f>IFERROR(SUM(L5:L700)/COUNTA(B5:B700),0)</f>
        <v/>
      </c>
    </row>
    <row r="22" ht="21.75" customHeight="1" s="157">
      <c r="A22" s="239" t="n"/>
      <c r="B22" s="240" t="inlineStr">
        <is>
          <t>MARCOS VECINO AMBULANCIA</t>
        </is>
      </c>
      <c r="C22" s="241" t="n">
        <v>1</v>
      </c>
      <c r="D22" s="241" t="n"/>
      <c r="E22" s="241" t="n"/>
      <c r="F22" s="242" t="n"/>
      <c r="G22" s="242" t="n"/>
      <c r="H22" s="263" t="n">
        <v>25000</v>
      </c>
      <c r="I22" s="264" t="n"/>
      <c r="J22" s="264" t="n">
        <v>25000</v>
      </c>
      <c r="K22" s="265" t="n"/>
      <c r="L22" s="265" t="n">
        <v>8000</v>
      </c>
      <c r="M22" s="160" t="n"/>
      <c r="N22" s="160" t="n"/>
      <c r="O22" s="160" t="n"/>
    </row>
    <row r="23" ht="18.75" customHeight="1" s="157">
      <c r="A23" s="250" t="n"/>
      <c r="B23" s="251" t="inlineStr">
        <is>
          <t>LOPEZ Y PLANES 4585</t>
        </is>
      </c>
      <c r="C23" s="252" t="n">
        <v>1</v>
      </c>
      <c r="D23" s="252" t="n"/>
      <c r="E23" s="252" t="n"/>
      <c r="F23" s="253" t="n"/>
      <c r="G23" s="253" t="n"/>
      <c r="H23" s="267" t="n">
        <v>29000</v>
      </c>
      <c r="I23" s="268" t="n"/>
      <c r="J23" s="268" t="n">
        <v>29000</v>
      </c>
      <c r="K23" s="265" t="n"/>
      <c r="L23" s="265" t="n">
        <v>12000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PICHY</t>
        </is>
      </c>
      <c r="C24" s="241" t="n">
        <v>1</v>
      </c>
      <c r="D24" s="241" t="n"/>
      <c r="E24" s="241" t="n"/>
      <c r="F24" s="242" t="n"/>
      <c r="G24" s="242" t="n"/>
      <c r="H24" s="263" t="n">
        <v>26000</v>
      </c>
      <c r="I24" s="264" t="n"/>
      <c r="J24" s="264" t="n">
        <v>26000</v>
      </c>
      <c r="K24" s="265" t="n"/>
      <c r="L24" s="265" t="n">
        <v>9000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PANA VIEYTES 4500</t>
        </is>
      </c>
      <c r="C25" s="252" t="n"/>
      <c r="D25" s="252" t="n"/>
      <c r="E25" s="252" t="n">
        <v>1</v>
      </c>
      <c r="F25" s="253" t="n"/>
      <c r="G25" s="253" t="n"/>
      <c r="H25" s="267" t="n">
        <v>88000</v>
      </c>
      <c r="I25" s="268" t="n"/>
      <c r="J25" s="268" t="n">
        <v>88000</v>
      </c>
      <c r="K25" s="265" t="n"/>
      <c r="L25" s="265" t="n">
        <v>19000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PANA ALBERTI</t>
        </is>
      </c>
      <c r="C26" s="241" t="n"/>
      <c r="D26" s="241" t="n"/>
      <c r="E26" s="241" t="n">
        <v>1</v>
      </c>
      <c r="F26" s="242" t="n"/>
      <c r="G26" s="242" t="n"/>
      <c r="H26" s="263" t="n">
        <v>91000</v>
      </c>
      <c r="I26" s="264" t="n">
        <v>91000</v>
      </c>
      <c r="J26" s="264" t="n"/>
      <c r="K26" s="265" t="n"/>
      <c r="L26" s="265" t="n">
        <v>22000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CASANELLO 3463</t>
        </is>
      </c>
      <c r="C27" s="252" t="n">
        <v>1</v>
      </c>
      <c r="D27" s="252" t="n"/>
      <c r="E27" s="252" t="n"/>
      <c r="F27" s="253" t="n"/>
      <c r="G27" s="253" t="n"/>
      <c r="H27" s="267" t="n">
        <v>28500</v>
      </c>
      <c r="I27" s="268" t="n"/>
      <c r="J27" s="268" t="n">
        <v>28500</v>
      </c>
      <c r="K27" s="265" t="n"/>
      <c r="L27" s="265" t="n">
        <v>11500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NACHO CUEVA</t>
        </is>
      </c>
      <c r="C28" s="241" t="n">
        <v>1</v>
      </c>
      <c r="D28" s="241" t="n"/>
      <c r="E28" s="241" t="n"/>
      <c r="F28" s="242" t="n"/>
      <c r="G28" s="242" t="n"/>
      <c r="H28" s="263" t="n">
        <v>25500</v>
      </c>
      <c r="I28" s="264" t="n"/>
      <c r="J28" s="264" t="n">
        <v>25500</v>
      </c>
      <c r="K28" s="265" t="n"/>
      <c r="L28" s="265" t="n">
        <v>8500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PORTON CASA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 t="n"/>
    </row>
    <row r="30" ht="18.75" customHeight="1" s="157">
      <c r="A30" s="239" t="n"/>
      <c r="B30" s="240" t="inlineStr">
        <is>
          <t>SABOREAR</t>
        </is>
      </c>
      <c r="C30" s="241" t="n"/>
      <c r="D30" s="241" t="n"/>
      <c r="E30" s="241" t="n">
        <v>1</v>
      </c>
      <c r="F30" s="242" t="n"/>
      <c r="G30" s="242" t="n"/>
      <c r="H30" s="263" t="n">
        <v>89000</v>
      </c>
      <c r="I30" s="264" t="n"/>
      <c r="J30" s="264" t="n">
        <v>89000</v>
      </c>
      <c r="K30" s="265" t="n"/>
      <c r="L30" s="265" t="n">
        <v>20000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PANA GISELA</t>
        </is>
      </c>
      <c r="C31" s="252" t="n">
        <v>1</v>
      </c>
      <c r="D31" s="252" t="n"/>
      <c r="E31" s="252" t="n"/>
      <c r="F31" s="253" t="n"/>
      <c r="G31" s="253" t="n"/>
      <c r="H31" s="267" t="n">
        <v>25500</v>
      </c>
      <c r="I31" s="268" t="n"/>
      <c r="J31" s="268" t="n">
        <v>25500</v>
      </c>
      <c r="K31" s="265" t="n"/>
      <c r="L31" s="265" t="n">
        <v>8500</v>
      </c>
      <c r="M31" s="160" t="n"/>
      <c r="N31" s="160" t="n"/>
      <c r="O31" s="160" t="n"/>
    </row>
    <row r="32" ht="18.75" customHeight="1" s="157">
      <c r="A32" s="285" t="n"/>
      <c r="B32" s="240" t="inlineStr">
        <is>
          <t>BRASERIA</t>
        </is>
      </c>
      <c r="C32" s="286" t="n"/>
      <c r="D32" s="286" t="n"/>
      <c r="E32" s="286" t="n">
        <v>1</v>
      </c>
      <c r="F32" s="287" t="n"/>
      <c r="G32" s="287" t="n"/>
      <c r="H32" s="288" t="n">
        <v>94000</v>
      </c>
      <c r="I32" s="289" t="n"/>
      <c r="J32" s="289" t="n">
        <v>94000</v>
      </c>
      <c r="K32" s="288" t="n"/>
      <c r="L32" s="288" t="n">
        <v>25000</v>
      </c>
    </row>
    <row r="33" ht="18.75" customHeight="1" s="157">
      <c r="A33" s="290" t="n"/>
      <c r="B33" s="251" t="inlineStr">
        <is>
          <t>PUBLICO 4764</t>
        </is>
      </c>
      <c r="C33" s="291" t="n">
        <v>2</v>
      </c>
      <c r="D33" s="291" t="n"/>
      <c r="E33" s="291" t="n"/>
      <c r="F33" s="292" t="n"/>
      <c r="G33" s="292" t="n"/>
      <c r="H33" s="293" t="n">
        <v>54000</v>
      </c>
      <c r="I33" s="294" t="n"/>
      <c r="J33" s="294" t="n">
        <v>54000</v>
      </c>
      <c r="K33" s="288" t="n"/>
      <c r="L33" s="288" t="n">
        <v>20000</v>
      </c>
    </row>
    <row r="34" ht="18.75" customHeight="1" s="157">
      <c r="A34" s="285" t="n"/>
      <c r="B34" s="240" t="inlineStr">
        <is>
          <t>MADAME CHEESE</t>
        </is>
      </c>
      <c r="C34" s="286" t="n"/>
      <c r="D34" s="286" t="n">
        <v>1</v>
      </c>
      <c r="E34" s="286" t="n"/>
      <c r="F34" s="287" t="n"/>
      <c r="G34" s="287" t="n"/>
      <c r="H34" s="288" t="n">
        <v>38500</v>
      </c>
      <c r="I34" s="289" t="n"/>
      <c r="J34" s="289" t="n">
        <v>38500</v>
      </c>
      <c r="K34" s="288" t="n"/>
      <c r="L34" s="288" t="n">
        <v>13000</v>
      </c>
    </row>
    <row r="35" ht="18.75" customHeight="1" s="157">
      <c r="A35" s="290" t="n"/>
      <c r="B35" s="251" t="inlineStr">
        <is>
          <t>ESFORA 4162</t>
        </is>
      </c>
      <c r="C35" s="291" t="n">
        <v>3</v>
      </c>
      <c r="D35" s="291" t="n">
        <v>1</v>
      </c>
      <c r="E35" s="291" t="n"/>
      <c r="F35" s="292" t="n"/>
      <c r="G35" s="292" t="n"/>
      <c r="H35" s="293" t="n">
        <v>96750</v>
      </c>
      <c r="I35" s="294" t="n"/>
      <c r="J35" s="294" t="n">
        <v>96750</v>
      </c>
      <c r="K35" s="288" t="n"/>
      <c r="L35" s="288" t="n">
        <v>20250</v>
      </c>
    </row>
    <row r="36" ht="18.75" customHeight="1" s="157">
      <c r="A36" s="285" t="n"/>
      <c r="B36" s="240" t="inlineStr">
        <is>
          <t>FLORENCIO FERNANDEZ 5519</t>
        </is>
      </c>
      <c r="C36" s="286" t="n"/>
      <c r="D36" s="286" t="n"/>
      <c r="E36" s="286" t="n">
        <v>1</v>
      </c>
      <c r="F36" s="287" t="n"/>
      <c r="G36" s="287" t="n"/>
      <c r="H36" s="288" t="n">
        <v>98500</v>
      </c>
      <c r="I36" s="289" t="n"/>
      <c r="J36" s="289" t="n">
        <v>98500</v>
      </c>
      <c r="K36" s="288" t="n"/>
      <c r="L36" s="288" t="n">
        <v>29500</v>
      </c>
    </row>
    <row r="37" ht="18.75" customHeight="1" s="157">
      <c r="A37" s="290" t="n"/>
      <c r="B37" s="251" t="inlineStr">
        <is>
          <t>BRASIL 4871</t>
        </is>
      </c>
      <c r="C37" s="291" t="n">
        <v>1</v>
      </c>
      <c r="D37" s="291" t="n"/>
      <c r="E37" s="291" t="n"/>
      <c r="F37" s="292" t="n"/>
      <c r="G37" s="292" t="n"/>
      <c r="H37" s="293" t="n">
        <v>29000</v>
      </c>
      <c r="I37" s="294" t="n"/>
      <c r="J37" s="294" t="n">
        <v>29000</v>
      </c>
      <c r="K37" s="288" t="n"/>
      <c r="L37" s="288" t="n">
        <v>12000</v>
      </c>
    </row>
    <row r="38" ht="18.75" customHeight="1" s="157">
      <c r="A38" s="285" t="n"/>
      <c r="B38" s="240" t="inlineStr">
        <is>
          <t>ALBERTI 5303</t>
        </is>
      </c>
      <c r="C38" s="286" t="n">
        <v>1</v>
      </c>
      <c r="D38" s="286" t="n"/>
      <c r="E38" s="286" t="n"/>
      <c r="F38" s="287" t="n"/>
      <c r="G38" s="287" t="n"/>
      <c r="H38" s="288" t="n">
        <v>27000</v>
      </c>
      <c r="I38" s="289" t="n">
        <v>27000</v>
      </c>
      <c r="J38" s="289" t="n"/>
      <c r="K38" s="288" t="n"/>
      <c r="L38" s="288" t="n">
        <v>10000</v>
      </c>
    </row>
    <row r="39" ht="18.75" customHeight="1" s="157">
      <c r="A39" s="290" t="n"/>
      <c r="B39" s="251" t="inlineStr">
        <is>
          <t>VIANDAS JORGE</t>
        </is>
      </c>
      <c r="C39" s="291" t="n">
        <v>1</v>
      </c>
      <c r="D39" s="291" t="n"/>
      <c r="E39" s="291" t="n"/>
      <c r="F39" s="292" t="n"/>
      <c r="G39" s="292" t="n"/>
      <c r="H39" s="293" t="n">
        <v>25000</v>
      </c>
      <c r="I39" s="294" t="n">
        <v>25000</v>
      </c>
      <c r="J39" s="294" t="n"/>
      <c r="K39" s="288" t="n"/>
      <c r="L39" s="288" t="n">
        <v>8000</v>
      </c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46213</v>
      </c>
      <c r="B287" s="251" t="inlineStr">
        <is>
          <t>OTNIEL</t>
        </is>
      </c>
      <c r="C287" s="252" t="n">
        <v>1</v>
      </c>
      <c r="D287" s="252" t="n">
        <v>1</v>
      </c>
      <c r="E287" s="252" t="n">
        <v>1</v>
      </c>
      <c r="F287" s="253" t="n"/>
      <c r="G287" s="253" t="n"/>
      <c r="H287" s="267" t="n">
        <v>154000</v>
      </c>
      <c r="I287" s="268" t="n">
        <v>54000</v>
      </c>
      <c r="J287" s="268" t="n">
        <v>100000</v>
      </c>
      <c r="K287" s="265" t="n"/>
      <c r="L287" s="265" t="n">
        <v>42500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SERVANDO BAYO 7165</t>
        </is>
      </c>
      <c r="C288" s="241" t="n">
        <v>1</v>
      </c>
      <c r="D288" s="241" t="n"/>
      <c r="E288" s="241" t="n"/>
      <c r="F288" s="242" t="n"/>
      <c r="G288" s="242" t="n"/>
      <c r="H288" s="263" t="n">
        <v>27000</v>
      </c>
      <c r="I288" s="264" t="n">
        <v>27000</v>
      </c>
      <c r="J288" s="264" t="n"/>
      <c r="K288" s="265" t="n"/>
      <c r="L288" s="265" t="n">
        <v>10000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AZCUENAGA 5023</t>
        </is>
      </c>
      <c r="C289" s="252" t="n">
        <v>7</v>
      </c>
      <c r="D289" s="252" t="n"/>
      <c r="E289" s="252" t="n"/>
      <c r="F289" s="253" t="n"/>
      <c r="G289" s="253" t="n"/>
      <c r="H289" s="267" t="n">
        <v>154000</v>
      </c>
      <c r="I289" s="268" t="n">
        <v>154000</v>
      </c>
      <c r="J289" s="268" t="n"/>
      <c r="K289" s="265" t="n"/>
      <c r="L289" s="265" t="n">
        <v>35000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IRMA</t>
        </is>
      </c>
      <c r="C290" s="241" t="n">
        <v>1</v>
      </c>
      <c r="D290" s="241" t="n"/>
      <c r="E290" s="241" t="n"/>
      <c r="F290" s="242" t="n"/>
      <c r="G290" s="242" t="n"/>
      <c r="H290" s="263" t="n">
        <v>30000</v>
      </c>
      <c r="I290" s="264" t="n">
        <v>30000</v>
      </c>
      <c r="J290" s="264" t="n"/>
      <c r="K290" s="265" t="n"/>
      <c r="L290" s="265" t="n">
        <v>13000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JUAN DIAZ SOLIS 6868</t>
        </is>
      </c>
      <c r="C291" s="252" t="n">
        <v>2</v>
      </c>
      <c r="D291" s="252" t="n"/>
      <c r="E291" s="252" t="n"/>
      <c r="F291" s="253" t="n"/>
      <c r="G291" s="253" t="n"/>
      <c r="H291" s="267" t="n">
        <v>55000</v>
      </c>
      <c r="I291" s="268" t="n">
        <v>55000</v>
      </c>
      <c r="J291" s="268" t="n"/>
      <c r="K291" s="265" t="n"/>
      <c r="L291" s="265" t="n">
        <v>21000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CERVERA 6812</t>
        </is>
      </c>
      <c r="C292" s="241" t="n">
        <v>1</v>
      </c>
      <c r="D292" s="241" t="n"/>
      <c r="E292" s="241" t="n"/>
      <c r="F292" s="242" t="n"/>
      <c r="G292" s="242" t="n"/>
      <c r="H292" s="263" t="n">
        <v>28500</v>
      </c>
      <c r="I292" s="264" t="n">
        <v>28500</v>
      </c>
      <c r="J292" s="264" t="n"/>
      <c r="K292" s="265" t="n"/>
      <c r="L292" s="265" t="n">
        <v>11500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AZOPARDO 7263</t>
        </is>
      </c>
      <c r="C293" s="252" t="n">
        <v>1</v>
      </c>
      <c r="D293" s="252" t="n"/>
      <c r="E293" s="252" t="n"/>
      <c r="F293" s="253" t="n"/>
      <c r="G293" s="253" t="n"/>
      <c r="H293" s="267" t="n">
        <v>28500</v>
      </c>
      <c r="I293" s="268" t="n">
        <v>28500</v>
      </c>
      <c r="J293" s="268" t="n"/>
      <c r="K293" s="265" t="n"/>
      <c r="L293" s="265" t="n">
        <v>11500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PAVON 4712</t>
        </is>
      </c>
      <c r="C294" s="241" t="n">
        <v>1</v>
      </c>
      <c r="D294" s="241" t="n"/>
      <c r="E294" s="241" t="n"/>
      <c r="F294" s="242" t="n"/>
      <c r="G294" s="242" t="n"/>
      <c r="H294" s="263" t="n">
        <v>28000</v>
      </c>
      <c r="I294" s="264" t="n">
        <v>28000</v>
      </c>
      <c r="J294" s="264" t="n"/>
      <c r="K294" s="265" t="n"/>
      <c r="L294" s="265" t="n">
        <v>11000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DERQUI 2986</t>
        </is>
      </c>
      <c r="C295" s="252" t="n">
        <v>1</v>
      </c>
      <c r="D295" s="252" t="n"/>
      <c r="E295" s="252" t="n"/>
      <c r="F295" s="253" t="n"/>
      <c r="G295" s="253" t="n"/>
      <c r="H295" s="267" t="n">
        <v>28500</v>
      </c>
      <c r="I295" s="268" t="n"/>
      <c r="J295" s="268" t="n">
        <v>28500</v>
      </c>
      <c r="K295" s="265" t="n"/>
      <c r="L295" s="265" t="n">
        <v>11500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LUCHO</t>
        </is>
      </c>
      <c r="C296" s="241" t="n">
        <v>1</v>
      </c>
      <c r="D296" s="241" t="n"/>
      <c r="E296" s="241" t="n"/>
      <c r="F296" s="242" t="n"/>
      <c r="G296" s="242" t="n"/>
      <c r="H296" s="263" t="n">
        <v>22000</v>
      </c>
      <c r="I296" s="264" t="n">
        <v>22000</v>
      </c>
      <c r="J296" s="264" t="n"/>
      <c r="K296" s="265" t="n"/>
      <c r="L296" s="265" t="n">
        <v>5000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PUERTO SAN CARLOS 4273</t>
        </is>
      </c>
      <c r="C297" s="252" t="n"/>
      <c r="D297" s="252" t="n"/>
      <c r="E297" s="252" t="n">
        <v>1</v>
      </c>
      <c r="F297" s="253" t="n"/>
      <c r="G297" s="253" t="n"/>
      <c r="H297" s="267" t="n">
        <v>102000</v>
      </c>
      <c r="I297" s="268" t="n"/>
      <c r="J297" s="268" t="n">
        <v>102000</v>
      </c>
      <c r="K297" s="265" t="n"/>
      <c r="L297" s="265" t="n">
        <v>33000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ANA ABDALA</t>
        </is>
      </c>
      <c r="C298" s="241" t="n">
        <v>1</v>
      </c>
      <c r="D298" s="241" t="n"/>
      <c r="E298" s="241" t="n"/>
      <c r="F298" s="242" t="n"/>
      <c r="G298" s="242" t="n"/>
      <c r="H298" s="263" t="n">
        <v>29000</v>
      </c>
      <c r="I298" s="264" t="n">
        <v>29000</v>
      </c>
      <c r="J298" s="264" t="n"/>
      <c r="K298" s="265" t="n"/>
      <c r="L298" s="265" t="n">
        <v>12000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ILGATO GRINGO</t>
        </is>
      </c>
      <c r="C299" s="252" t="n">
        <v>2</v>
      </c>
      <c r="D299" s="252" t="n"/>
      <c r="E299" s="252" t="n">
        <v>1</v>
      </c>
      <c r="F299" s="253" t="n"/>
      <c r="G299" s="253" t="n"/>
      <c r="H299" s="267" t="n">
        <v>160000</v>
      </c>
      <c r="I299" s="268" t="n">
        <v>160000</v>
      </c>
      <c r="J299" s="268" t="n"/>
      <c r="K299" s="265" t="n"/>
      <c r="L299" s="265" t="n">
        <v>57000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LAVAISE FABRICA DE PASTAS</t>
        </is>
      </c>
      <c r="C300" s="241" t="n">
        <v>1</v>
      </c>
      <c r="D300" s="241" t="n"/>
      <c r="E300" s="241" t="n"/>
      <c r="F300" s="242" t="n"/>
      <c r="G300" s="242" t="n"/>
      <c r="H300" s="263" t="n">
        <v>125000</v>
      </c>
      <c r="I300" s="264" t="n"/>
      <c r="J300" s="264" t="n">
        <v>125000</v>
      </c>
      <c r="K300" s="265" t="n">
        <v>65000</v>
      </c>
      <c r="L300" s="265" t="n">
        <v>43000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PUBLICO 8821</t>
        </is>
      </c>
      <c r="C301" s="252" t="n"/>
      <c r="D301" s="252" t="n"/>
      <c r="E301" s="252" t="n">
        <v>1</v>
      </c>
      <c r="F301" s="253" t="n"/>
      <c r="G301" s="253" t="n"/>
      <c r="H301" s="267" t="n">
        <v>98500</v>
      </c>
      <c r="I301" s="268" t="n"/>
      <c r="J301" s="268" t="n">
        <v>98500</v>
      </c>
      <c r="K301" s="265" t="n"/>
      <c r="L301" s="265" t="n">
        <v>29500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PAVON 3941</t>
        </is>
      </c>
      <c r="C302" s="241" t="n">
        <v>1</v>
      </c>
      <c r="D302" s="241" t="n"/>
      <c r="E302" s="241" t="n"/>
      <c r="F302" s="242" t="n"/>
      <c r="G302" s="242" t="n"/>
      <c r="H302" s="263" t="n">
        <v>28500</v>
      </c>
      <c r="I302" s="264" t="n">
        <v>28500</v>
      </c>
      <c r="J302" s="264" t="n"/>
      <c r="K302" s="265" t="n"/>
      <c r="L302" s="265" t="n">
        <v>11500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9 DE JULIO 2414</t>
        </is>
      </c>
      <c r="C303" s="252" t="n">
        <v>1</v>
      </c>
      <c r="D303" s="252" t="n"/>
      <c r="E303" s="252" t="n"/>
      <c r="F303" s="253" t="n"/>
      <c r="G303" s="253" t="n"/>
      <c r="H303" s="267" t="n">
        <v>29000</v>
      </c>
      <c r="I303" s="268" t="n"/>
      <c r="J303" s="268" t="n">
        <v>29000</v>
      </c>
      <c r="K303" s="265" t="n"/>
      <c r="L303" s="265" t="n">
        <v>12000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CHICLANA 7325</t>
        </is>
      </c>
      <c r="C304" s="241" t="n">
        <v>1</v>
      </c>
      <c r="D304" s="241" t="n"/>
      <c r="E304" s="241" t="n"/>
      <c r="F304" s="242" t="n"/>
      <c r="G304" s="242" t="n"/>
      <c r="H304" s="263" t="n">
        <v>22500</v>
      </c>
      <c r="I304" s="264" t="n"/>
      <c r="J304" s="264" t="n">
        <v>22500</v>
      </c>
      <c r="K304" s="265" t="n"/>
      <c r="L304" s="265" t="n">
        <v>5500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SANDRA</t>
        </is>
      </c>
      <c r="C305" s="252" t="n">
        <v>1</v>
      </c>
      <c r="D305" s="252" t="n"/>
      <c r="E305" s="252" t="n"/>
      <c r="F305" s="253" t="n"/>
      <c r="G305" s="253" t="n"/>
      <c r="H305" s="267" t="n">
        <v>22000</v>
      </c>
      <c r="I305" s="268" t="n">
        <v>22000</v>
      </c>
      <c r="J305" s="268" t="n"/>
      <c r="K305" s="265" t="n"/>
      <c r="L305" s="265" t="n">
        <v>5000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DANA</t>
        </is>
      </c>
      <c r="C306" s="241" t="n">
        <v>2</v>
      </c>
      <c r="D306" s="241" t="n"/>
      <c r="E306" s="241" t="n"/>
      <c r="F306" s="242" t="n"/>
      <c r="G306" s="242" t="n"/>
      <c r="H306" s="263" t="n">
        <v>44000</v>
      </c>
      <c r="I306" s="264" t="n">
        <v>44000</v>
      </c>
      <c r="J306" s="264" t="n"/>
      <c r="K306" s="265" t="n"/>
      <c r="L306" s="265" t="n">
        <v>10000</v>
      </c>
      <c r="M306" s="160" t="n"/>
      <c r="N306" s="160" t="n"/>
      <c r="O306" s="160" t="n"/>
    </row>
    <row r="307" ht="18.75" customHeight="1" s="157">
      <c r="A307" s="353" t="n">
        <v>46214</v>
      </c>
      <c r="B307" s="251" t="inlineStr">
        <is>
          <t>CINDI</t>
        </is>
      </c>
      <c r="C307" s="252" t="n"/>
      <c r="D307" s="252" t="n"/>
      <c r="E307" s="252" t="n"/>
      <c r="F307" s="253" t="n">
        <v>1</v>
      </c>
      <c r="G307" s="253" t="n"/>
      <c r="H307" s="267" t="n">
        <v>7500</v>
      </c>
      <c r="I307" s="268" t="n"/>
      <c r="J307" s="268" t="n">
        <v>7500</v>
      </c>
      <c r="K307" s="265" t="n"/>
      <c r="L307" s="265" t="n">
        <v>500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BRASERIA</t>
        </is>
      </c>
      <c r="C308" s="241" t="n"/>
      <c r="D308" s="241" t="n"/>
      <c r="E308" s="241" t="n">
        <v>1</v>
      </c>
      <c r="F308" s="242" t="n"/>
      <c r="G308" s="242" t="n"/>
      <c r="H308" s="263" t="n">
        <v>94000</v>
      </c>
      <c r="I308" s="264" t="n"/>
      <c r="J308" s="264" t="n">
        <v>94000</v>
      </c>
      <c r="K308" s="265" t="n"/>
      <c r="L308" s="265" t="n">
        <v>25000</v>
      </c>
      <c r="M308" s="160" t="n"/>
      <c r="N308" s="160" t="n"/>
      <c r="O308" s="160" t="n"/>
    </row>
    <row r="309" ht="18.75" customHeight="1" s="157">
      <c r="A309" s="250" t="n"/>
      <c r="B309" s="251" t="inlineStr">
        <is>
          <t>PEDRO FERRE 3472</t>
        </is>
      </c>
      <c r="C309" s="252" t="n">
        <v>1</v>
      </c>
      <c r="D309" s="252" t="n"/>
      <c r="E309" s="252" t="n"/>
      <c r="F309" s="253" t="n"/>
      <c r="G309" s="253" t="n"/>
      <c r="H309" s="267" t="n">
        <v>29000</v>
      </c>
      <c r="I309" s="268" t="n"/>
      <c r="J309" s="268" t="n">
        <v>29000</v>
      </c>
      <c r="K309" s="265" t="n"/>
      <c r="L309" s="265" t="n">
        <v>12000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SANDRA</t>
        </is>
      </c>
      <c r="C310" s="241" t="n">
        <v>1</v>
      </c>
      <c r="D310" s="241" t="n"/>
      <c r="E310" s="241" t="n"/>
      <c r="F310" s="242" t="n"/>
      <c r="G310" s="242" t="n"/>
      <c r="H310" s="263" t="n">
        <v>22000</v>
      </c>
      <c r="I310" s="264" t="n">
        <v>22000</v>
      </c>
      <c r="J310" s="264" t="n"/>
      <c r="K310" s="265" t="n"/>
      <c r="L310" s="265" t="n">
        <v>5000</v>
      </c>
      <c r="M310" s="160" t="n"/>
      <c r="N310" s="160" t="n"/>
      <c r="O310" s="160" t="n"/>
    </row>
    <row r="311" ht="18.75" customHeight="1" s="157">
      <c r="A311" s="250" t="n"/>
      <c r="B311" s="251" t="inlineStr">
        <is>
          <t>SABOREAR</t>
        </is>
      </c>
      <c r="C311" s="252" t="n">
        <v>2</v>
      </c>
      <c r="D311" s="252" t="n"/>
      <c r="E311" s="252" t="n"/>
      <c r="F311" s="253" t="n"/>
      <c r="G311" s="253" t="n"/>
      <c r="H311" s="267" t="n">
        <v>51000</v>
      </c>
      <c r="I311" s="268" t="n"/>
      <c r="J311" s="268" t="n">
        <v>51000</v>
      </c>
      <c r="K311" s="265" t="n"/>
      <c r="L311" s="265" t="n">
        <v>17000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SANTIAGO DEL ESTERO 5832</t>
        </is>
      </c>
      <c r="C312" s="241" t="n">
        <v>1</v>
      </c>
      <c r="D312" s="241" t="n"/>
      <c r="E312" s="241" t="n"/>
      <c r="F312" s="242" t="n"/>
      <c r="G312" s="242" t="n"/>
      <c r="H312" s="263" t="n">
        <v>28500</v>
      </c>
      <c r="I312" s="264" t="n">
        <v>28500</v>
      </c>
      <c r="J312" s="264" t="n"/>
      <c r="K312" s="265" t="n"/>
      <c r="L312" s="265" t="n">
        <v>11500</v>
      </c>
      <c r="M312" s="160" t="n"/>
      <c r="N312" s="160" t="n"/>
      <c r="O312" s="160" t="n"/>
    </row>
    <row r="313" ht="18.75" customHeight="1" s="157">
      <c r="A313" s="250" t="n"/>
      <c r="B313" s="251" t="inlineStr">
        <is>
          <t>9 DE JULIO 1144</t>
        </is>
      </c>
      <c r="C313" s="252" t="n"/>
      <c r="D313" s="252" t="n"/>
      <c r="E313" s="252" t="n">
        <v>2</v>
      </c>
      <c r="F313" s="253" t="n"/>
      <c r="G313" s="253" t="n"/>
      <c r="H313" s="267" t="n">
        <v>206000</v>
      </c>
      <c r="I313" s="268" t="n"/>
      <c r="J313" s="268" t="n">
        <v>206000</v>
      </c>
      <c r="K313" s="265" t="n"/>
      <c r="L313" s="265" t="n">
        <v>68000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MUNDO GOL FRANCO</t>
        </is>
      </c>
      <c r="C314" s="241" t="n">
        <v>1</v>
      </c>
      <c r="D314" s="241" t="n"/>
      <c r="E314" s="241" t="n"/>
      <c r="F314" s="242" t="n"/>
      <c r="G314" s="242" t="n"/>
      <c r="H314" s="263" t="n">
        <v>26000</v>
      </c>
      <c r="I314" s="264" t="n">
        <v>26000</v>
      </c>
      <c r="J314" s="264" t="n"/>
      <c r="K314" s="265" t="n"/>
      <c r="L314" s="265" t="n">
        <v>9000</v>
      </c>
      <c r="M314" s="160" t="n"/>
      <c r="N314" s="160" t="n"/>
      <c r="O314" s="160" t="n"/>
    </row>
    <row r="315" ht="18.75" customHeight="1" s="157">
      <c r="A315" s="250" t="n"/>
      <c r="B315" s="251" t="inlineStr">
        <is>
          <t>VIEYTES 4361</t>
        </is>
      </c>
      <c r="C315" s="252" t="n">
        <v>2</v>
      </c>
      <c r="D315" s="252" t="n"/>
      <c r="E315" s="252" t="n"/>
      <c r="F315" s="253" t="n"/>
      <c r="G315" s="253" t="n"/>
      <c r="H315" s="267" t="n">
        <v>57000</v>
      </c>
      <c r="I315" s="268" t="n">
        <v>57000</v>
      </c>
      <c r="J315" s="268" t="n"/>
      <c r="K315" s="265" t="n"/>
      <c r="L315" s="265" t="n">
        <v>23000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BERUTI 4073</t>
        </is>
      </c>
      <c r="C316" s="241" t="n"/>
      <c r="D316" s="241" t="n"/>
      <c r="E316" s="241" t="n">
        <v>1</v>
      </c>
      <c r="F316" s="242" t="n"/>
      <c r="G316" s="242" t="n"/>
      <c r="H316" s="263" t="n">
        <v>97000</v>
      </c>
      <c r="I316" s="264" t="n"/>
      <c r="J316" s="264" t="n">
        <v>97000</v>
      </c>
      <c r="K316" s="265" t="n"/>
      <c r="L316" s="265" t="n">
        <v>28000</v>
      </c>
      <c r="M316" s="160" t="n"/>
      <c r="N316" s="160" t="n"/>
      <c r="O316" s="160" t="n"/>
    </row>
    <row r="317" ht="18.75" customHeight="1" s="157">
      <c r="A317" s="250" t="n"/>
      <c r="B317" s="251" t="inlineStr">
        <is>
          <t>ANGEL LAMADRID</t>
        </is>
      </c>
      <c r="C317" s="252" t="n">
        <v>1</v>
      </c>
      <c r="D317" s="252" t="n"/>
      <c r="E317" s="252" t="n"/>
      <c r="F317" s="253" t="n"/>
      <c r="G317" s="253" t="n"/>
      <c r="H317" s="267" t="n">
        <v>29000</v>
      </c>
      <c r="I317" s="268" t="n">
        <v>29000</v>
      </c>
      <c r="J317" s="268" t="n"/>
      <c r="K317" s="265" t="n"/>
      <c r="L317" s="265" t="n">
        <v>12000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FILOMENA</t>
        </is>
      </c>
      <c r="C318" s="241" t="n">
        <v>3</v>
      </c>
      <c r="D318" s="241" t="n"/>
      <c r="E318" s="241" t="n"/>
      <c r="F318" s="242" t="n"/>
      <c r="G318" s="242" t="n"/>
      <c r="H318" s="263" t="n">
        <v>79500</v>
      </c>
      <c r="I318" s="264" t="n"/>
      <c r="J318" s="264" t="n">
        <v>79500</v>
      </c>
      <c r="K318" s="265" t="n"/>
      <c r="L318" s="265" t="n">
        <v>28500</v>
      </c>
      <c r="M318" s="160" t="n"/>
      <c r="N318" s="160" t="n"/>
      <c r="O318" s="160" t="n"/>
    </row>
    <row r="319" ht="18.75" customHeight="1" s="157">
      <c r="A319" s="250" t="n"/>
      <c r="B319" s="251" t="inlineStr">
        <is>
          <t>CHUBUT 3057</t>
        </is>
      </c>
      <c r="C319" s="252" t="n">
        <v>1</v>
      </c>
      <c r="D319" s="252" t="n"/>
      <c r="E319" s="252" t="n"/>
      <c r="F319" s="253" t="n"/>
      <c r="G319" s="253" t="n"/>
      <c r="H319" s="267" t="n">
        <v>28500</v>
      </c>
      <c r="I319" s="268" t="n"/>
      <c r="J319" s="268" t="n">
        <v>28500</v>
      </c>
      <c r="K319" s="265" t="n"/>
      <c r="L319" s="265" t="n">
        <v>11500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BRAILE 7173</t>
        </is>
      </c>
      <c r="C320" s="241" t="n">
        <v>1</v>
      </c>
      <c r="D320" s="241" t="n"/>
      <c r="E320" s="241" t="n"/>
      <c r="F320" s="242" t="n"/>
      <c r="G320" s="242" t="n"/>
      <c r="H320" s="263" t="n">
        <v>29000</v>
      </c>
      <c r="I320" s="264" t="n">
        <v>29000</v>
      </c>
      <c r="J320" s="264" t="n"/>
      <c r="K320" s="265" t="n"/>
      <c r="L320" s="265" t="n">
        <v>12000</v>
      </c>
      <c r="M320" s="160" t="n"/>
      <c r="N320" s="160" t="n"/>
      <c r="O320" s="160" t="n"/>
    </row>
    <row r="321" ht="18.75" customHeight="1" s="157">
      <c r="A321" s="250" t="n"/>
      <c r="B321" s="251" t="inlineStr">
        <is>
          <t>LO DE NICO</t>
        </is>
      </c>
      <c r="C321" s="252" t="n">
        <v>1</v>
      </c>
      <c r="D321" s="252" t="n"/>
      <c r="E321" s="252" t="n"/>
      <c r="F321" s="253" t="n"/>
      <c r="G321" s="253" t="n"/>
      <c r="H321" s="267" t="n">
        <v>22500</v>
      </c>
      <c r="I321" s="268" t="n"/>
      <c r="J321" s="268" t="n">
        <v>22500</v>
      </c>
      <c r="K321" s="265" t="n"/>
      <c r="L321" s="265" t="n">
        <v>5500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PUBLICO 8436</t>
        </is>
      </c>
      <c r="C322" s="241" t="n"/>
      <c r="D322" s="241" t="n">
        <v>1</v>
      </c>
      <c r="E322" s="241" t="n"/>
      <c r="F322" s="242" t="n"/>
      <c r="G322" s="242" t="n"/>
      <c r="H322" s="263" t="n">
        <v>42500</v>
      </c>
      <c r="I322" s="264" t="n">
        <v>42500</v>
      </c>
      <c r="J322" s="264" t="n"/>
      <c r="K322" s="265" t="n"/>
      <c r="L322" s="265" t="n">
        <v>17000</v>
      </c>
      <c r="M322" s="160" t="n"/>
      <c r="N322" s="160" t="n"/>
      <c r="O322" s="160" t="n"/>
    </row>
    <row r="323" ht="18.75" customHeight="1" s="157">
      <c r="A323" s="250" t="n"/>
      <c r="B323" s="251" t="inlineStr">
        <is>
          <t>ESCALONETA</t>
        </is>
      </c>
      <c r="C323" s="252" t="n"/>
      <c r="D323" s="252" t="n"/>
      <c r="E323" s="252" t="n">
        <v>1</v>
      </c>
      <c r="F323" s="253" t="n"/>
      <c r="G323" s="253" t="n"/>
      <c r="H323" s="267" t="n">
        <v>95000</v>
      </c>
      <c r="I323" s="268" t="n"/>
      <c r="J323" s="268" t="n">
        <v>95000</v>
      </c>
      <c r="K323" s="265" t="n"/>
      <c r="L323" s="265" t="n">
        <v>26000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FRANCIA 1366</t>
        </is>
      </c>
      <c r="C324" s="241" t="n">
        <v>1</v>
      </c>
      <c r="D324" s="241" t="n"/>
      <c r="E324" s="241" t="n"/>
      <c r="F324" s="242" t="n"/>
      <c r="G324" s="242" t="n"/>
      <c r="H324" s="263" t="n">
        <v>28500</v>
      </c>
      <c r="I324" s="264" t="n">
        <v>28500</v>
      </c>
      <c r="J324" s="264" t="n"/>
      <c r="K324" s="265" t="n"/>
      <c r="L324" s="265" t="n">
        <v>11500</v>
      </c>
      <c r="M324" s="160" t="n"/>
      <c r="N324" s="160" t="n"/>
      <c r="O324" s="160" t="n"/>
    </row>
    <row r="325" ht="18.75" customHeight="1" s="157">
      <c r="A325" s="250" t="n"/>
      <c r="B325" s="251" t="inlineStr">
        <is>
          <t>AZOPARDO 7219</t>
        </is>
      </c>
      <c r="C325" s="252" t="n">
        <v>1</v>
      </c>
      <c r="D325" s="252" t="n"/>
      <c r="E325" s="252" t="n"/>
      <c r="F325" s="253" t="n"/>
      <c r="G325" s="253" t="n"/>
      <c r="H325" s="267" t="n">
        <v>28500</v>
      </c>
      <c r="I325" s="268" t="n"/>
      <c r="J325" s="268" t="n">
        <v>28500</v>
      </c>
      <c r="K325" s="265" t="n"/>
      <c r="L325" s="265" t="n">
        <v>11500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PANA CAFERATA</t>
        </is>
      </c>
      <c r="C326" s="241" t="n"/>
      <c r="D326" s="241" t="n"/>
      <c r="E326" s="241" t="n">
        <v>1</v>
      </c>
      <c r="F326" s="242" t="n"/>
      <c r="G326" s="242" t="n"/>
      <c r="H326" s="263" t="n">
        <v>91000</v>
      </c>
      <c r="I326" s="264" t="n">
        <v>91000</v>
      </c>
      <c r="J326" s="264" t="n"/>
      <c r="K326" s="265" t="n"/>
      <c r="L326" s="265" t="n">
        <v>22000</v>
      </c>
      <c r="M326" s="160" t="n"/>
      <c r="N326" s="160" t="n"/>
      <c r="O326" s="160" t="n"/>
    </row>
    <row r="327" ht="18.75" customHeight="1" s="157">
      <c r="A327" s="250" t="n"/>
      <c r="B327" s="251" t="inlineStr">
        <is>
          <t>EXE</t>
        </is>
      </c>
      <c r="C327" s="252" t="n"/>
      <c r="D327" s="252" t="n"/>
      <c r="E327" s="252" t="n">
        <v>1</v>
      </c>
      <c r="F327" s="253" t="n"/>
      <c r="G327" s="253" t="n"/>
      <c r="H327" s="267" t="n">
        <v>95000</v>
      </c>
      <c r="I327" s="268" t="n"/>
      <c r="J327" s="268" t="n">
        <v>95000</v>
      </c>
      <c r="K327" s="265" t="n"/>
      <c r="L327" s="265" t="n">
        <v>26000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PANA GISELA</t>
        </is>
      </c>
      <c r="C328" s="241" t="n">
        <v>1</v>
      </c>
      <c r="D328" s="241" t="n"/>
      <c r="E328" s="241" t="n"/>
      <c r="F328" s="242" t="n"/>
      <c r="G328" s="242" t="n"/>
      <c r="H328" s="263" t="n">
        <v>29500</v>
      </c>
      <c r="I328" s="264" t="n"/>
      <c r="J328" s="264" t="n">
        <v>29500</v>
      </c>
      <c r="K328" s="265" t="n">
        <v>4000</v>
      </c>
      <c r="L328" s="265" t="n">
        <v>8500</v>
      </c>
      <c r="M328" s="160" t="n"/>
      <c r="N328" s="160" t="n"/>
      <c r="O328" s="160" t="n"/>
    </row>
    <row r="329" ht="18.75" customHeight="1" s="157">
      <c r="A329" s="250" t="n"/>
      <c r="B329" s="251" t="inlineStr">
        <is>
          <t>MARTIN TATU</t>
        </is>
      </c>
      <c r="C329" s="252" t="n"/>
      <c r="D329" s="252" t="n"/>
      <c r="E329" s="252" t="n">
        <v>1</v>
      </c>
      <c r="F329" s="253" t="n"/>
      <c r="G329" s="253" t="n"/>
      <c r="H329" s="267" t="n">
        <v>102000</v>
      </c>
      <c r="I329" s="268" t="n">
        <v>102000</v>
      </c>
      <c r="J329" s="268" t="n"/>
      <c r="K329" s="265" t="n"/>
      <c r="L329" s="265" t="n">
        <v>33000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PJE PARTICULAR Y CASTELLI</t>
        </is>
      </c>
      <c r="C330" s="241" t="n">
        <v>2</v>
      </c>
      <c r="D330" s="241" t="n"/>
      <c r="E330" s="241" t="n"/>
      <c r="F330" s="242" t="n"/>
      <c r="G330" s="242" t="n"/>
      <c r="H330" s="263" t="n">
        <v>56000</v>
      </c>
      <c r="I330" s="264" t="n"/>
      <c r="J330" s="264" t="n">
        <v>56000</v>
      </c>
      <c r="K330" s="265" t="n"/>
      <c r="L330" s="265" t="n">
        <v>22000</v>
      </c>
      <c r="M330" s="160" t="n"/>
      <c r="N330" s="160" t="n"/>
      <c r="O330" s="160" t="n"/>
    </row>
    <row r="331" ht="18.75" customHeight="1" s="157">
      <c r="A331" s="250" t="n"/>
      <c r="B331" s="251" t="inlineStr">
        <is>
          <t>LLERENA 3161</t>
        </is>
      </c>
      <c r="C331" s="252" t="n">
        <v>1</v>
      </c>
      <c r="D331" s="252" t="n"/>
      <c r="E331" s="252" t="n"/>
      <c r="F331" s="253" t="n"/>
      <c r="G331" s="253" t="n"/>
      <c r="H331" s="267" t="n">
        <v>28500</v>
      </c>
      <c r="I331" s="268" t="n"/>
      <c r="J331" s="268" t="n">
        <v>28500</v>
      </c>
      <c r="K331" s="265" t="n"/>
      <c r="L331" s="265" t="n">
        <v>11500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PIVIDORI 7862</t>
        </is>
      </c>
      <c r="C332" s="241" t="n">
        <v>1</v>
      </c>
      <c r="D332" s="241" t="n"/>
      <c r="E332" s="241" t="n"/>
      <c r="F332" s="242" t="n"/>
      <c r="G332" s="242" t="n"/>
      <c r="H332" s="263" t="n">
        <v>28500</v>
      </c>
      <c r="I332" s="264" t="n"/>
      <c r="J332" s="264" t="n">
        <v>28500</v>
      </c>
      <c r="K332" s="265" t="n"/>
      <c r="L332" s="265" t="n">
        <v>11500</v>
      </c>
      <c r="M332" s="160" t="n"/>
      <c r="N332" s="160" t="n"/>
      <c r="O332" s="160" t="n"/>
    </row>
    <row r="333" ht="18.75" customHeight="1" s="157">
      <c r="A333" s="250" t="n"/>
      <c r="B333" s="251" t="inlineStr">
        <is>
          <t>LORE</t>
        </is>
      </c>
      <c r="C333" s="252" t="n">
        <v>6</v>
      </c>
      <c r="D333" s="252" t="n"/>
      <c r="E333" s="252" t="n"/>
      <c r="F333" s="253" t="n"/>
      <c r="G333" s="253" t="n"/>
      <c r="H333" s="267" t="n">
        <v>129000</v>
      </c>
      <c r="I333" s="268" t="n">
        <v>129000</v>
      </c>
      <c r="J333" s="268" t="n"/>
      <c r="K333" s="265" t="n"/>
      <c r="L333" s="265" t="n">
        <v>27000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ALBERTI 5315</t>
        </is>
      </c>
      <c r="C334" s="241" t="n"/>
      <c r="D334" s="241" t="n"/>
      <c r="E334" s="241" t="n">
        <v>1</v>
      </c>
      <c r="F334" s="242" t="n"/>
      <c r="G334" s="242" t="n"/>
      <c r="H334" s="263" t="n">
        <v>102000</v>
      </c>
      <c r="I334" s="264" t="n"/>
      <c r="J334" s="264" t="n">
        <v>102000</v>
      </c>
      <c r="K334" s="265" t="n"/>
      <c r="L334" s="265" t="n">
        <v>33000</v>
      </c>
      <c r="M334" s="160" t="n"/>
      <c r="N334" s="160" t="n"/>
      <c r="O334" s="160" t="n"/>
    </row>
    <row r="335" ht="18.75" customHeight="1" s="157">
      <c r="A335" s="250" t="n"/>
      <c r="B335" s="251" t="inlineStr">
        <is>
          <t>NACHO CUEVA</t>
        </is>
      </c>
      <c r="C335" s="252" t="n">
        <v>1</v>
      </c>
      <c r="D335" s="252" t="n"/>
      <c r="E335" s="252" t="n"/>
      <c r="F335" s="253" t="n"/>
      <c r="G335" s="253" t="n"/>
      <c r="H335" s="267" t="n">
        <v>25500</v>
      </c>
      <c r="I335" s="268" t="n"/>
      <c r="J335" s="268" t="n">
        <v>25500</v>
      </c>
      <c r="K335" s="265" t="n"/>
      <c r="L335" s="265" t="n">
        <v>8500</v>
      </c>
      <c r="M335" s="160" t="n"/>
      <c r="N335" s="160" t="n"/>
      <c r="O335" s="160" t="n"/>
    </row>
    <row r="336" ht="18.75" customHeight="1" s="157">
      <c r="A336" s="354" t="n">
        <v>46215</v>
      </c>
      <c r="B336" s="240" t="inlineStr">
        <is>
          <t>SERVANDO BAYO 9266</t>
        </is>
      </c>
      <c r="C336" s="241" t="n"/>
      <c r="D336" s="241" t="n"/>
      <c r="E336" s="241" t="n">
        <v>1</v>
      </c>
      <c r="F336" s="242" t="n"/>
      <c r="G336" s="242" t="n"/>
      <c r="H336" s="263" t="n">
        <v>99000</v>
      </c>
      <c r="I336" s="264" t="n"/>
      <c r="J336" s="264" t="n">
        <v>99000</v>
      </c>
      <c r="K336" s="265" t="n"/>
      <c r="L336" s="265" t="n">
        <v>30000</v>
      </c>
      <c r="M336" s="160" t="n"/>
      <c r="N336" s="160" t="n"/>
      <c r="O336" s="160" t="n"/>
    </row>
    <row r="337" ht="18.75" customHeight="1" s="157">
      <c r="A337" s="250" t="n"/>
      <c r="B337" s="251" t="inlineStr">
        <is>
          <t>PERU 3630</t>
        </is>
      </c>
      <c r="C337" s="252" t="n">
        <v>2</v>
      </c>
      <c r="D337" s="252" t="n"/>
      <c r="E337" s="252" t="n"/>
      <c r="F337" s="253" t="n"/>
      <c r="G337" s="253" t="n"/>
      <c r="H337" s="267" t="n">
        <v>56000</v>
      </c>
      <c r="I337" s="268" t="n"/>
      <c r="J337" s="268" t="n">
        <v>56000</v>
      </c>
      <c r="K337" s="265" t="n"/>
      <c r="L337" s="265" t="n">
        <v>22000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NAUTICO QUILLA</t>
        </is>
      </c>
      <c r="C338" s="241" t="n">
        <v>3</v>
      </c>
      <c r="D338" s="241" t="n"/>
      <c r="E338" s="241" t="n"/>
      <c r="F338" s="242" t="n"/>
      <c r="G338" s="242" t="n"/>
      <c r="H338" s="263" t="n">
        <v>84000</v>
      </c>
      <c r="I338" s="264" t="n">
        <v>84000</v>
      </c>
      <c r="J338" s="264" t="n"/>
      <c r="K338" s="265" t="n"/>
      <c r="L338" s="265" t="n">
        <v>33000</v>
      </c>
      <c r="M338" s="160" t="n"/>
      <c r="N338" s="160" t="n"/>
      <c r="O338" s="160" t="n"/>
    </row>
    <row r="339" ht="18.75" customHeight="1" s="157">
      <c r="A339" s="250" t="n"/>
      <c r="B339" s="251" t="inlineStr">
        <is>
          <t>PUBLICO 2549</t>
        </is>
      </c>
      <c r="C339" s="252" t="n">
        <v>1</v>
      </c>
      <c r="D339" s="252" t="n"/>
      <c r="E339" s="252" t="n"/>
      <c r="F339" s="253" t="n"/>
      <c r="G339" s="253" t="n"/>
      <c r="H339" s="267" t="n">
        <v>28500</v>
      </c>
      <c r="I339" s="268" t="n">
        <v>28500</v>
      </c>
      <c r="J339" s="268" t="n"/>
      <c r="K339" s="265" t="n"/>
      <c r="L339" s="265" t="n">
        <v>11500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ITURRASPE 962</t>
        </is>
      </c>
      <c r="C340" s="241" t="n">
        <v>1</v>
      </c>
      <c r="D340" s="241" t="n"/>
      <c r="E340" s="241" t="n"/>
      <c r="F340" s="242" t="n"/>
      <c r="G340" s="242" t="n"/>
      <c r="H340" s="263" t="n">
        <v>28500</v>
      </c>
      <c r="I340" s="264" t="n">
        <v>28500</v>
      </c>
      <c r="J340" s="264" t="n"/>
      <c r="K340" s="265" t="n"/>
      <c r="L340" s="265" t="n">
        <v>11500</v>
      </c>
      <c r="M340" s="160" t="n"/>
      <c r="N340" s="160" t="n"/>
      <c r="O340" s="160" t="n"/>
    </row>
    <row r="341" ht="18.75" customHeight="1" s="157">
      <c r="A341" s="250" t="n"/>
      <c r="B341" s="251" t="inlineStr">
        <is>
          <t>VANE GORDILLO</t>
        </is>
      </c>
      <c r="C341" s="252" t="n">
        <v>1</v>
      </c>
      <c r="D341" s="252" t="n"/>
      <c r="E341" s="252" t="n"/>
      <c r="F341" s="253" t="n"/>
      <c r="G341" s="253" t="n"/>
      <c r="H341" s="267" t="n">
        <v>26000</v>
      </c>
      <c r="I341" s="268" t="n"/>
      <c r="J341" s="268" t="n">
        <v>26000</v>
      </c>
      <c r="K341" s="265" t="n"/>
      <c r="L341" s="265" t="n">
        <v>9000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MARCIAL CANDIOTI 6281</t>
        </is>
      </c>
      <c r="C342" s="241" t="n"/>
      <c r="D342" s="241" t="n">
        <v>1</v>
      </c>
      <c r="E342" s="241" t="n"/>
      <c r="F342" s="242" t="n"/>
      <c r="G342" s="242" t="n"/>
      <c r="H342" s="263" t="n">
        <v>44500</v>
      </c>
      <c r="I342" s="264" t="n"/>
      <c r="J342" s="264" t="n">
        <v>44500</v>
      </c>
      <c r="K342" s="265" t="n"/>
      <c r="L342" s="265" t="n">
        <v>19000</v>
      </c>
      <c r="M342" s="160" t="n"/>
      <c r="N342" s="160" t="n"/>
      <c r="O342" s="160" t="n"/>
    </row>
    <row r="343" ht="18.75" customHeight="1" s="157">
      <c r="A343" s="250" t="n"/>
      <c r="B343" s="251" t="inlineStr">
        <is>
          <t>ALSINA 7981</t>
        </is>
      </c>
      <c r="C343" s="252" t="n"/>
      <c r="D343" s="252" t="n"/>
      <c r="E343" s="252" t="n">
        <v>1</v>
      </c>
      <c r="F343" s="253" t="n"/>
      <c r="G343" s="253" t="n"/>
      <c r="H343" s="267" t="n">
        <v>99000</v>
      </c>
      <c r="I343" s="268" t="n"/>
      <c r="J343" s="268" t="n">
        <v>99000</v>
      </c>
      <c r="K343" s="265" t="n"/>
      <c r="L343" s="265" t="n">
        <v>30000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LUCHO</t>
        </is>
      </c>
      <c r="C344" s="241" t="n">
        <v>2</v>
      </c>
      <c r="D344" s="241" t="n">
        <v>1</v>
      </c>
      <c r="E344" s="241" t="n"/>
      <c r="F344" s="242" t="n"/>
      <c r="G344" s="242" t="n"/>
      <c r="H344" s="263" t="n">
        <v>79000</v>
      </c>
      <c r="I344" s="264" t="n"/>
      <c r="J344" s="264" t="n">
        <v>79000</v>
      </c>
      <c r="K344" s="265" t="n"/>
      <c r="L344" s="265" t="n">
        <v>19500</v>
      </c>
      <c r="M344" s="160" t="n"/>
      <c r="N344" s="160" t="n"/>
      <c r="O344" s="160" t="n"/>
    </row>
    <row r="345" ht="18.75" customHeight="1" s="157">
      <c r="A345" s="250" t="n"/>
      <c r="B345" s="251" t="inlineStr">
        <is>
          <t>PRIMERO DE MAYO 7896</t>
        </is>
      </c>
      <c r="C345" s="252" t="n">
        <v>1</v>
      </c>
      <c r="D345" s="252" t="n"/>
      <c r="E345" s="252" t="n"/>
      <c r="F345" s="253" t="n"/>
      <c r="G345" s="253" t="n"/>
      <c r="H345" s="267" t="n">
        <v>28500</v>
      </c>
      <c r="I345" s="268" t="n">
        <v>28500</v>
      </c>
      <c r="J345" s="268" t="n"/>
      <c r="K345" s="265" t="n"/>
      <c r="L345" s="265" t="n">
        <v>11500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DANI PAPA BRUNO</t>
        </is>
      </c>
      <c r="C346" s="241" t="n"/>
      <c r="D346" s="241" t="n">
        <v>1</v>
      </c>
      <c r="E346" s="241" t="n"/>
      <c r="F346" s="242" t="n"/>
      <c r="G346" s="242" t="n"/>
      <c r="H346" s="263" t="n">
        <v>39500</v>
      </c>
      <c r="I346" s="264" t="n">
        <v>39500</v>
      </c>
      <c r="J346" s="264" t="n"/>
      <c r="K346" s="265" t="n"/>
      <c r="L346" s="265" t="n">
        <v>14000</v>
      </c>
      <c r="M346" s="160" t="n"/>
      <c r="N346" s="160" t="n"/>
      <c r="O346" s="160" t="n"/>
    </row>
    <row r="347" ht="18.75" customHeight="1" s="157">
      <c r="A347" s="250" t="n"/>
      <c r="B347" s="251" t="inlineStr">
        <is>
          <t>PRIMERO DE MAYO 8361</t>
        </is>
      </c>
      <c r="C347" s="252" t="n">
        <v>1</v>
      </c>
      <c r="D347" s="252" t="n"/>
      <c r="E347" s="252" t="n"/>
      <c r="F347" s="253" t="n"/>
      <c r="G347" s="253" t="n"/>
      <c r="H347" s="267" t="n">
        <v>28500</v>
      </c>
      <c r="I347" s="268" t="n">
        <v>28500</v>
      </c>
      <c r="J347" s="268" t="n"/>
      <c r="K347" s="265" t="n"/>
      <c r="L347" s="265" t="n">
        <v>11500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GALICIA 2353</t>
        </is>
      </c>
      <c r="C348" s="241" t="n">
        <v>1</v>
      </c>
      <c r="D348" s="241" t="n"/>
      <c r="E348" s="241" t="n"/>
      <c r="F348" s="242" t="n"/>
      <c r="G348" s="242" t="n"/>
      <c r="H348" s="263" t="n">
        <v>29000</v>
      </c>
      <c r="I348" s="264" t="n"/>
      <c r="J348" s="264" t="n">
        <v>29000</v>
      </c>
      <c r="K348" s="265" t="n"/>
      <c r="L348" s="265" t="n">
        <v>12000</v>
      </c>
      <c r="M348" s="160" t="n"/>
      <c r="N348" s="160" t="n"/>
      <c r="O348" s="160" t="n"/>
    </row>
    <row r="349" ht="18.75" customHeight="1" s="157">
      <c r="A349" s="250" t="n"/>
      <c r="B349" s="251" t="inlineStr">
        <is>
          <t>CAREN GORDILLO</t>
        </is>
      </c>
      <c r="C349" s="252" t="n"/>
      <c r="D349" s="252" t="n"/>
      <c r="E349" s="252" t="n">
        <v>1</v>
      </c>
      <c r="F349" s="253" t="n"/>
      <c r="G349" s="253" t="n"/>
      <c r="H349" s="267" t="n">
        <v>95000</v>
      </c>
      <c r="I349" s="268" t="n"/>
      <c r="J349" s="268" t="n">
        <v>95000</v>
      </c>
      <c r="K349" s="265" t="n"/>
      <c r="L349" s="265" t="n">
        <v>26000</v>
      </c>
      <c r="M349" s="160" t="n"/>
      <c r="N349" s="160" t="n"/>
      <c r="O349" s="160" t="n"/>
    </row>
    <row r="350" ht="18.75" customHeight="1" s="157">
      <c r="A350" s="354" t="n">
        <v>46216</v>
      </c>
      <c r="B350" s="240" t="inlineStr">
        <is>
          <t>PRIMERO DE MAYO 1959</t>
        </is>
      </c>
      <c r="C350" s="241" t="n"/>
      <c r="D350" s="241" t="n"/>
      <c r="E350" s="241" t="n">
        <v>2</v>
      </c>
      <c r="F350" s="242" t="n"/>
      <c r="G350" s="242" t="n"/>
      <c r="H350" s="263" t="n">
        <v>190000</v>
      </c>
      <c r="I350" s="264" t="n"/>
      <c r="J350" s="264" t="n">
        <v>190000</v>
      </c>
      <c r="K350" s="265" t="n"/>
      <c r="L350" s="265" t="n">
        <v>52000</v>
      </c>
      <c r="M350" s="160" t="n"/>
      <c r="N350" s="160" t="n"/>
      <c r="O350" s="160" t="n"/>
    </row>
    <row r="351" ht="18.75" customHeight="1" s="157">
      <c r="A351" s="250" t="n"/>
      <c r="B351" s="251" t="inlineStr">
        <is>
          <t>CHICLANA 7325</t>
        </is>
      </c>
      <c r="C351" s="252" t="n">
        <v>1</v>
      </c>
      <c r="D351" s="252" t="n"/>
      <c r="E351" s="252" t="n"/>
      <c r="F351" s="253" t="n"/>
      <c r="G351" s="253" t="n"/>
      <c r="H351" s="267" t="n">
        <v>22500</v>
      </c>
      <c r="I351" s="268" t="n"/>
      <c r="J351" s="268" t="n">
        <v>22500</v>
      </c>
      <c r="K351" s="265" t="n"/>
      <c r="L351" s="265" t="n">
        <v>5500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AZCUENAGA 2180</t>
        </is>
      </c>
      <c r="C352" s="241" t="n">
        <v>1</v>
      </c>
      <c r="D352" s="241" t="n"/>
      <c r="E352" s="241" t="n"/>
      <c r="F352" s="242" t="n"/>
      <c r="G352" s="242" t="n"/>
      <c r="H352" s="263" t="n">
        <v>29000</v>
      </c>
      <c r="I352" s="264" t="n">
        <v>29000</v>
      </c>
      <c r="J352" s="264" t="n"/>
      <c r="K352" s="265" t="n"/>
      <c r="L352" s="265" t="n">
        <v>12000</v>
      </c>
      <c r="M352" s="160" t="n"/>
      <c r="N352" s="160" t="n"/>
      <c r="O352" s="160" t="n"/>
    </row>
    <row r="353" ht="18.75" customHeight="1" s="157">
      <c r="A353" s="250" t="n"/>
      <c r="B353" s="251" t="inlineStr">
        <is>
          <t>ECUADOR 3736</t>
        </is>
      </c>
      <c r="C353" s="252" t="n">
        <v>1</v>
      </c>
      <c r="D353" s="252" t="n"/>
      <c r="E353" s="252" t="n"/>
      <c r="F353" s="253" t="n"/>
      <c r="G353" s="253" t="n"/>
      <c r="H353" s="267" t="n">
        <v>29000</v>
      </c>
      <c r="I353" s="268" t="n"/>
      <c r="J353" s="268" t="n">
        <v>29000</v>
      </c>
      <c r="K353" s="265" t="n"/>
      <c r="L353" s="265" t="n">
        <v>12000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DAMIANOVICH 6212</t>
        </is>
      </c>
      <c r="C354" s="241" t="n"/>
      <c r="D354" s="241" t="n"/>
      <c r="E354" s="241" t="n">
        <v>1</v>
      </c>
      <c r="F354" s="242" t="n"/>
      <c r="G354" s="242" t="n"/>
      <c r="H354" s="263" t="n">
        <v>98000</v>
      </c>
      <c r="I354" s="264" t="n"/>
      <c r="J354" s="264" t="n">
        <v>98000</v>
      </c>
      <c r="K354" s="265" t="n"/>
      <c r="L354" s="265" t="n">
        <v>29000</v>
      </c>
      <c r="M354" s="160" t="n"/>
      <c r="N354" s="160" t="n"/>
      <c r="O354" s="160" t="n"/>
    </row>
    <row r="355" ht="15.75" customHeight="1" s="157">
      <c r="A355" s="250" t="n"/>
      <c r="B355" s="251" t="inlineStr">
        <is>
          <t>RISSO 5454</t>
        </is>
      </c>
      <c r="C355" s="252" t="n">
        <v>1</v>
      </c>
      <c r="D355" s="252" t="n"/>
      <c r="E355" s="252" t="n"/>
      <c r="F355" s="253" t="n"/>
      <c r="G355" s="253" t="n"/>
      <c r="H355" s="267" t="n">
        <v>27000</v>
      </c>
      <c r="I355" s="268" t="n"/>
      <c r="J355" s="268" t="n">
        <v>27000</v>
      </c>
      <c r="K355" s="265" t="n"/>
      <c r="L355" s="265" t="n">
        <v>10000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VIANDAS JORGE</t>
        </is>
      </c>
      <c r="C356" s="241" t="n">
        <v>1</v>
      </c>
      <c r="D356" s="241" t="n"/>
      <c r="E356" s="241" t="n"/>
      <c r="F356" s="242" t="n"/>
      <c r="G356" s="242" t="n"/>
      <c r="H356" s="263" t="n">
        <v>25000</v>
      </c>
      <c r="I356" s="264" t="n">
        <v>25000</v>
      </c>
      <c r="J356" s="264" t="n"/>
      <c r="K356" s="265" t="n"/>
      <c r="L356" s="265" t="n">
        <v>8000</v>
      </c>
      <c r="M356" s="160" t="n"/>
      <c r="N356" s="160" t="n"/>
      <c r="O356" s="160" t="n"/>
    </row>
    <row r="357" ht="15.75" customHeight="1" s="157">
      <c r="A357" s="250" t="n"/>
      <c r="B357" s="251" t="inlineStr">
        <is>
          <t>DIEZ ANDINO 4435</t>
        </is>
      </c>
      <c r="C357" s="252" t="n">
        <v>1</v>
      </c>
      <c r="D357" s="252" t="n"/>
      <c r="E357" s="252" t="n"/>
      <c r="F357" s="253" t="n"/>
      <c r="G357" s="253" t="n"/>
      <c r="H357" s="267" t="n">
        <v>29000</v>
      </c>
      <c r="I357" s="268" t="n"/>
      <c r="J357" s="268" t="n">
        <v>29000</v>
      </c>
      <c r="K357" s="265" t="n"/>
      <c r="L357" s="265" t="n">
        <v>12000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PAVON 3941</t>
        </is>
      </c>
      <c r="C358" s="241" t="n">
        <v>1</v>
      </c>
      <c r="D358" s="241" t="n"/>
      <c r="E358" s="241" t="n"/>
      <c r="F358" s="242" t="n"/>
      <c r="G358" s="242" t="n"/>
      <c r="H358" s="263" t="n">
        <v>29000</v>
      </c>
      <c r="I358" s="264" t="n">
        <v>29000</v>
      </c>
      <c r="J358" s="264" t="n"/>
      <c r="K358" s="265" t="n"/>
      <c r="L358" s="265" t="n">
        <v>12000</v>
      </c>
      <c r="M358" s="160" t="n"/>
      <c r="N358" s="160" t="n"/>
      <c r="O358" s="160" t="n"/>
    </row>
    <row r="359" ht="15.75" customHeight="1" s="157">
      <c r="A359" s="250" t="n"/>
      <c r="B359" s="251" t="inlineStr">
        <is>
          <t>GUANELLA 4746</t>
        </is>
      </c>
      <c r="C359" s="252" t="n">
        <v>1</v>
      </c>
      <c r="D359" s="252" t="n"/>
      <c r="E359" s="252" t="n"/>
      <c r="F359" s="253" t="n"/>
      <c r="G359" s="253" t="n"/>
      <c r="H359" s="267" t="n">
        <v>125000</v>
      </c>
      <c r="I359" s="268" t="n"/>
      <c r="J359" s="268" t="n">
        <v>125000</v>
      </c>
      <c r="K359" s="265" t="n">
        <v>65000</v>
      </c>
      <c r="L359" s="265" t="n">
        <v>43000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QUIROGA 5244</t>
        </is>
      </c>
      <c r="C360" s="241" t="n"/>
      <c r="D360" s="241" t="n">
        <v>1</v>
      </c>
      <c r="E360" s="241" t="n"/>
      <c r="F360" s="242" t="n"/>
      <c r="G360" s="242" t="n"/>
      <c r="H360" s="263" t="n">
        <v>43000</v>
      </c>
      <c r="I360" s="264" t="n"/>
      <c r="J360" s="264" t="n">
        <v>43000</v>
      </c>
      <c r="K360" s="265" t="n"/>
      <c r="L360" s="265" t="n">
        <v>17500</v>
      </c>
      <c r="M360" s="160" t="n"/>
      <c r="N360" s="160" t="n"/>
      <c r="O360" s="160" t="n"/>
    </row>
    <row r="361" ht="15.75" customHeight="1" s="157">
      <c r="A361" s="250" t="n"/>
      <c r="B361" s="251" t="inlineStr">
        <is>
          <t>PADRE GENESIO 5799</t>
        </is>
      </c>
      <c r="C361" s="252" t="n">
        <v>1</v>
      </c>
      <c r="D361" s="252" t="n"/>
      <c r="E361" s="252" t="n"/>
      <c r="F361" s="253" t="n"/>
      <c r="G361" s="253" t="n"/>
      <c r="H361" s="267" t="n">
        <v>28000</v>
      </c>
      <c r="I361" s="268" t="n">
        <v>28000</v>
      </c>
      <c r="J361" s="268" t="n"/>
      <c r="K361" s="265" t="n"/>
      <c r="L361" s="265" t="n">
        <v>11000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CASANELLO 3463</t>
        </is>
      </c>
      <c r="C362" s="241" t="n"/>
      <c r="D362" s="241" t="n">
        <v>1</v>
      </c>
      <c r="E362" s="241" t="n"/>
      <c r="F362" s="242" t="n"/>
      <c r="G362" s="242" t="n"/>
      <c r="H362" s="263" t="n">
        <v>42000</v>
      </c>
      <c r="I362" s="264" t="n"/>
      <c r="J362" s="264" t="n">
        <v>42000</v>
      </c>
      <c r="K362" s="265" t="n"/>
      <c r="L362" s="265" t="n">
        <v>16500</v>
      </c>
      <c r="M362" s="160" t="n"/>
      <c r="N362" s="160" t="n"/>
      <c r="O362" s="160" t="n"/>
    </row>
    <row r="363" ht="15.75" customHeight="1" s="157">
      <c r="A363" s="250" t="n"/>
      <c r="B363" s="251" t="inlineStr">
        <is>
          <t>LOPEZ Y PLANES 4267</t>
        </is>
      </c>
      <c r="C363" s="252" t="n">
        <v>1</v>
      </c>
      <c r="D363" s="252" t="n"/>
      <c r="E363" s="252" t="n"/>
      <c r="F363" s="253" t="n"/>
      <c r="G363" s="253" t="n"/>
      <c r="H363" s="267" t="n">
        <v>28500</v>
      </c>
      <c r="I363" s="268" t="n">
        <v>28500</v>
      </c>
      <c r="J363" s="268" t="n"/>
      <c r="K363" s="265" t="n"/>
      <c r="L363" s="265" t="n">
        <v>11500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AZCUENAGA 5023</t>
        </is>
      </c>
      <c r="C364" s="241" t="n">
        <v>7</v>
      </c>
      <c r="D364" s="241" t="n"/>
      <c r="E364" s="241" t="n"/>
      <c r="F364" s="242" t="n"/>
      <c r="G364" s="242" t="n"/>
      <c r="H364" s="263" t="n">
        <v>154000</v>
      </c>
      <c r="I364" s="264" t="n">
        <v>100000</v>
      </c>
      <c r="J364" s="264" t="n">
        <v>54000</v>
      </c>
      <c r="K364" s="265" t="n"/>
      <c r="L364" s="265" t="n">
        <v>35000</v>
      </c>
      <c r="M364" s="160" t="n"/>
      <c r="N364" s="160" t="n"/>
      <c r="O364" s="160" t="n"/>
    </row>
    <row r="365" ht="15.75" customHeight="1" s="157">
      <c r="A365" s="250" t="n"/>
      <c r="B365" s="251" t="inlineStr">
        <is>
          <t>FARMACIAS ROJAS</t>
        </is>
      </c>
      <c r="C365" s="252" t="n"/>
      <c r="D365" s="252" t="n">
        <v>1</v>
      </c>
      <c r="E365" s="252" t="n"/>
      <c r="F365" s="253" t="n"/>
      <c r="G365" s="253" t="n"/>
      <c r="H365" s="267" t="n">
        <v>42000</v>
      </c>
      <c r="I365" s="268" t="n">
        <v>42000</v>
      </c>
      <c r="J365" s="268" t="n"/>
      <c r="K365" s="265" t="n"/>
      <c r="L365" s="265" t="n">
        <v>16500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AYACUCHO 5644</t>
        </is>
      </c>
      <c r="C366" s="241" t="n">
        <v>1</v>
      </c>
      <c r="D366" s="241" t="n"/>
      <c r="E366" s="241" t="n"/>
      <c r="F366" s="242" t="n"/>
      <c r="G366" s="242" t="n"/>
      <c r="H366" s="263" t="n">
        <v>26000</v>
      </c>
      <c r="I366" s="264" t="n"/>
      <c r="J366" s="264" t="n">
        <v>26000</v>
      </c>
      <c r="K366" s="265" t="n"/>
      <c r="L366" s="265" t="n">
        <v>9000</v>
      </c>
      <c r="M366" s="160" t="n"/>
      <c r="N366" s="160" t="n"/>
      <c r="O366" s="160" t="n"/>
    </row>
    <row r="367" ht="15.75" customHeight="1" s="157">
      <c r="A367" s="250" t="n"/>
      <c r="B367" s="251" t="inlineStr">
        <is>
          <t>LOS PRIMOS</t>
        </is>
      </c>
      <c r="C367" s="252" t="n">
        <v>3</v>
      </c>
      <c r="D367" s="252" t="n"/>
      <c r="E367" s="252" t="n"/>
      <c r="F367" s="253" t="n"/>
      <c r="G367" s="253" t="n"/>
      <c r="H367" s="267" t="n">
        <v>90000</v>
      </c>
      <c r="I367" s="268" t="n">
        <v>90000</v>
      </c>
      <c r="J367" s="268" t="n"/>
      <c r="K367" s="265" t="n"/>
      <c r="L367" s="265" t="n">
        <v>39000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ARENALES 6659</t>
        </is>
      </c>
      <c r="C368" s="241" t="n">
        <v>1</v>
      </c>
      <c r="D368" s="241" t="n"/>
      <c r="E368" s="241" t="n"/>
      <c r="F368" s="242" t="n"/>
      <c r="G368" s="242" t="n"/>
      <c r="H368" s="263" t="n">
        <v>28000</v>
      </c>
      <c r="I368" s="264" t="n"/>
      <c r="J368" s="264" t="n">
        <v>28000</v>
      </c>
      <c r="K368" s="265" t="n"/>
      <c r="L368" s="265" t="n">
        <v>11000</v>
      </c>
      <c r="M368" s="160" t="n"/>
      <c r="N368" s="160" t="n"/>
      <c r="O368" s="160" t="n"/>
    </row>
    <row r="369" ht="15.75" customHeight="1" s="157">
      <c r="A369" s="250" t="n"/>
      <c r="B369" s="251" t="inlineStr">
        <is>
          <t>JR MENDEZ 5611</t>
        </is>
      </c>
      <c r="C369" s="252" t="n">
        <v>1</v>
      </c>
      <c r="D369" s="252" t="n"/>
      <c r="E369" s="252" t="n"/>
      <c r="F369" s="253" t="n"/>
      <c r="G369" s="253" t="n"/>
      <c r="H369" s="267" t="n">
        <v>29000</v>
      </c>
      <c r="I369" s="268" t="n">
        <v>29000</v>
      </c>
      <c r="J369" s="268" t="n"/>
      <c r="K369" s="265" t="n"/>
      <c r="L369" s="265" t="n">
        <v>12000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MARIO</t>
        </is>
      </c>
      <c r="C370" s="241" t="n">
        <v>1</v>
      </c>
      <c r="D370" s="241" t="n">
        <v>1</v>
      </c>
      <c r="E370" s="241" t="n"/>
      <c r="F370" s="242" t="n"/>
      <c r="G370" s="242" t="n"/>
      <c r="H370" s="263" t="n">
        <v>56000</v>
      </c>
      <c r="I370" s="264" t="n"/>
      <c r="J370" s="264" t="n">
        <v>56000</v>
      </c>
      <c r="K370" s="265" t="n"/>
      <c r="L370" s="265" t="n">
        <v>13500</v>
      </c>
      <c r="M370" s="160" t="n"/>
      <c r="N370" s="160" t="n"/>
      <c r="O370" s="160" t="n"/>
    </row>
    <row r="371" ht="15.75" customHeight="1" s="157">
      <c r="A371" s="250" t="n"/>
      <c r="B371" s="251" t="inlineStr">
        <is>
          <t>SANDRA</t>
        </is>
      </c>
      <c r="C371" s="252" t="n">
        <v>1</v>
      </c>
      <c r="D371" s="252" t="n">
        <v>1</v>
      </c>
      <c r="E371" s="252" t="n"/>
      <c r="F371" s="253" t="n"/>
      <c r="G371" s="253" t="n"/>
      <c r="H371" s="267" t="n">
        <v>55000</v>
      </c>
      <c r="I371" s="268" t="n">
        <v>55000</v>
      </c>
      <c r="J371" s="268" t="n"/>
      <c r="K371" s="265" t="n"/>
      <c r="L371" s="265" t="n">
        <v>12500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MOLINA FLORES 1</t>
        </is>
      </c>
      <c r="C372" s="241" t="n"/>
      <c r="D372" s="241" t="n"/>
      <c r="E372" s="241" t="n">
        <v>1</v>
      </c>
      <c r="F372" s="242" t="n"/>
      <c r="G372" s="242" t="n"/>
      <c r="H372" s="263" t="n">
        <v>99500</v>
      </c>
      <c r="I372" s="264" t="n">
        <v>99500</v>
      </c>
      <c r="J372" s="264" t="n"/>
      <c r="K372" s="265" t="n"/>
      <c r="L372" s="265" t="n">
        <v>30500</v>
      </c>
      <c r="M372" s="160" t="n"/>
      <c r="N372" s="160" t="n"/>
      <c r="O372" s="160" t="n"/>
    </row>
    <row r="373" ht="15.75" customHeight="1" s="157">
      <c r="A373" s="250" t="n"/>
      <c r="B373" s="251" t="inlineStr">
        <is>
          <t>CHICLANA 7173</t>
        </is>
      </c>
      <c r="C373" s="252" t="n">
        <v>1</v>
      </c>
      <c r="D373" s="252" t="n"/>
      <c r="E373" s="252" t="n"/>
      <c r="F373" s="253" t="n"/>
      <c r="G373" s="253" t="n"/>
      <c r="H373" s="267" t="n">
        <v>26000</v>
      </c>
      <c r="I373" s="268" t="n"/>
      <c r="J373" s="268" t="n">
        <v>26000</v>
      </c>
      <c r="K373" s="265" t="n"/>
      <c r="L373" s="265" t="n">
        <v>9000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9 DE JULIO 7420</t>
        </is>
      </c>
      <c r="C374" s="241" t="n">
        <v>1</v>
      </c>
      <c r="D374" s="241" t="n"/>
      <c r="E374" s="241" t="n"/>
      <c r="F374" s="242" t="n"/>
      <c r="G374" s="242" t="n"/>
      <c r="H374" s="263" t="n">
        <v>128000</v>
      </c>
      <c r="I374" s="264" t="n"/>
      <c r="J374" s="264" t="n">
        <v>128000</v>
      </c>
      <c r="K374" s="265" t="n">
        <v>65000</v>
      </c>
      <c r="L374" s="265" t="n">
        <v>46000</v>
      </c>
      <c r="M374" s="160" t="n"/>
      <c r="N374" s="160" t="n"/>
      <c r="O374" s="160" t="n"/>
    </row>
    <row r="375" ht="15.75" customHeight="1" s="157">
      <c r="A375" s="250" t="n"/>
      <c r="B375" s="251" t="inlineStr">
        <is>
          <t>MISIONES 6870</t>
        </is>
      </c>
      <c r="C375" s="252" t="n"/>
      <c r="D375" s="252" t="n">
        <v>1</v>
      </c>
      <c r="E375" s="252" t="n"/>
      <c r="F375" s="253" t="n"/>
      <c r="G375" s="253" t="n"/>
      <c r="H375" s="267" t="n">
        <v>42000</v>
      </c>
      <c r="I375" s="268" t="n"/>
      <c r="J375" s="268" t="n">
        <v>42000</v>
      </c>
      <c r="K375" s="265" t="n"/>
      <c r="L375" s="265" t="n">
        <v>16500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ZAPATA GOYAN 8107</t>
        </is>
      </c>
      <c r="C376" s="241" t="n">
        <v>1</v>
      </c>
      <c r="D376" s="241" t="n"/>
      <c r="E376" s="241" t="n"/>
      <c r="F376" s="242" t="n"/>
      <c r="G376" s="242" t="n"/>
      <c r="H376" s="263" t="n">
        <v>125000</v>
      </c>
      <c r="I376" s="264" t="n"/>
      <c r="J376" s="264" t="n">
        <v>125000</v>
      </c>
      <c r="K376" s="265" t="n">
        <v>65000</v>
      </c>
      <c r="L376" s="265" t="n">
        <v>43000</v>
      </c>
      <c r="M376" s="160" t="n"/>
      <c r="N376" s="160" t="n"/>
      <c r="O376" s="160" t="n"/>
    </row>
    <row r="377" ht="15.75" customHeight="1" s="157">
      <c r="A377" s="250" t="n"/>
      <c r="B377" s="251" t="inlineStr">
        <is>
          <t>PASAJE QUIROGA 4921</t>
        </is>
      </c>
      <c r="C377" s="252" t="n">
        <v>1</v>
      </c>
      <c r="D377" s="252" t="n"/>
      <c r="E377" s="252" t="n"/>
      <c r="F377" s="253" t="n"/>
      <c r="G377" s="253" t="n"/>
      <c r="H377" s="267" t="n">
        <v>29000</v>
      </c>
      <c r="I377" s="268" t="n"/>
      <c r="J377" s="268" t="n">
        <v>29000</v>
      </c>
      <c r="K377" s="265" t="n"/>
      <c r="L377" s="265" t="n">
        <v>12000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ESCALONETA</t>
        </is>
      </c>
      <c r="C378" s="241" t="n"/>
      <c r="D378" s="241" t="n"/>
      <c r="E378" s="241" t="n">
        <v>1</v>
      </c>
      <c r="F378" s="242" t="n"/>
      <c r="G378" s="242" t="n"/>
      <c r="H378" s="263" t="n">
        <v>95000</v>
      </c>
      <c r="I378" s="264" t="n"/>
      <c r="J378" s="264" t="n">
        <v>95000</v>
      </c>
      <c r="K378" s="265" t="n"/>
      <c r="L378" s="265" t="n">
        <v>26000</v>
      </c>
      <c r="M378" s="160" t="n"/>
      <c r="N378" s="160" t="n"/>
      <c r="O378" s="160" t="n"/>
    </row>
    <row r="379" ht="15.75" customHeight="1" s="157">
      <c r="A379" s="250" t="n"/>
      <c r="B379" s="251" t="inlineStr">
        <is>
          <t>VIANDAS JORGE</t>
        </is>
      </c>
      <c r="C379" s="252" t="n">
        <v>1</v>
      </c>
      <c r="D379" s="252" t="n"/>
      <c r="E379" s="252" t="n"/>
      <c r="F379" s="253" t="n"/>
      <c r="G379" s="253" t="n"/>
      <c r="H379" s="267" t="n">
        <v>25000</v>
      </c>
      <c r="I379" s="268" t="n">
        <v>25000</v>
      </c>
      <c r="J379" s="268" t="n"/>
      <c r="K379" s="265" t="n"/>
      <c r="L379" s="265" t="n">
        <v>8000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PANA COLODRERO</t>
        </is>
      </c>
      <c r="C380" s="241" t="n"/>
      <c r="D380" s="241" t="n"/>
      <c r="E380" s="241" t="n">
        <v>1</v>
      </c>
      <c r="F380" s="242" t="n"/>
      <c r="G380" s="242" t="n"/>
      <c r="H380" s="263" t="n">
        <v>95000</v>
      </c>
      <c r="I380" s="264" t="n"/>
      <c r="J380" s="264" t="n">
        <v>95000</v>
      </c>
      <c r="K380" s="265" t="n"/>
      <c r="L380" s="265" t="n">
        <v>26000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BERNARDO IRIGOYEN 6711</t>
        </is>
      </c>
      <c r="C381" s="252" t="n">
        <v>1</v>
      </c>
      <c r="D381" s="252" t="n"/>
      <c r="E381" s="252" t="n"/>
      <c r="F381" s="253" t="n"/>
      <c r="G381" s="253" t="n"/>
      <c r="H381" s="267" t="n">
        <v>28000</v>
      </c>
      <c r="I381" s="268" t="n">
        <v>28000</v>
      </c>
      <c r="J381" s="268" t="n"/>
      <c r="K381" s="265" t="n"/>
      <c r="L381" s="265" t="n">
        <v>11000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EVA PERON 2974</t>
        </is>
      </c>
      <c r="C382" s="241" t="n"/>
      <c r="D382" s="241" t="n">
        <v>1</v>
      </c>
      <c r="E382" s="241" t="n"/>
      <c r="F382" s="242" t="n"/>
      <c r="G382" s="242" t="n"/>
      <c r="H382" s="263" t="n">
        <v>41500</v>
      </c>
      <c r="I382" s="264" t="n"/>
      <c r="J382" s="264" t="n">
        <v>41500</v>
      </c>
      <c r="K382" s="265" t="n"/>
      <c r="L382" s="265" t="n">
        <v>16000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PANA VIEYTES 4500</t>
        </is>
      </c>
      <c r="C383" s="252" t="n"/>
      <c r="D383" s="252" t="n"/>
      <c r="E383" s="252" t="n">
        <v>1</v>
      </c>
      <c r="F383" s="253" t="n"/>
      <c r="G383" s="253" t="n"/>
      <c r="H383" s="267" t="n">
        <v>91000</v>
      </c>
      <c r="I383" s="268" t="n"/>
      <c r="J383" s="268" t="n">
        <v>91000</v>
      </c>
      <c r="K383" s="265" t="n"/>
      <c r="L383" s="265" t="n">
        <v>22000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PUBLICO 8823</t>
        </is>
      </c>
      <c r="C384" s="241" t="n">
        <v>1</v>
      </c>
      <c r="D384" s="241" t="n"/>
      <c r="E384" s="241" t="n"/>
      <c r="F384" s="242" t="n"/>
      <c r="G384" s="242" t="n"/>
      <c r="H384" s="263" t="n">
        <v>29000</v>
      </c>
      <c r="I384" s="264" t="n"/>
      <c r="J384" s="264" t="n">
        <v>29000</v>
      </c>
      <c r="K384" s="265" t="n"/>
      <c r="L384" s="265" t="n">
        <v>12000</v>
      </c>
    </row>
    <row r="385" ht="15.75" customHeight="1" s="157">
      <c r="A385" s="250" t="n"/>
      <c r="B385" s="251" t="inlineStr">
        <is>
          <t>FACUNDO ZUVIRIA 7994</t>
        </is>
      </c>
      <c r="C385" s="252" t="n">
        <v>1</v>
      </c>
      <c r="D385" s="252" t="n"/>
      <c r="E385" s="252" t="n"/>
      <c r="F385" s="253" t="n"/>
      <c r="G385" s="253" t="n"/>
      <c r="H385" s="267" t="n">
        <v>28000</v>
      </c>
      <c r="I385" s="268" t="n">
        <v>28000</v>
      </c>
      <c r="J385" s="268" t="n"/>
      <c r="K385" s="265" t="n"/>
      <c r="L385" s="265" t="n">
        <v>11000</v>
      </c>
    </row>
    <row r="386" ht="15.75" customHeight="1" s="157">
      <c r="A386" s="239" t="n"/>
      <c r="B386" s="240" t="inlineStr">
        <is>
          <t>PEÑALOZA 9757</t>
        </is>
      </c>
      <c r="C386" s="241" t="n">
        <v>1</v>
      </c>
      <c r="D386" s="241" t="n"/>
      <c r="E386" s="241" t="n"/>
      <c r="F386" s="242" t="n"/>
      <c r="G386" s="242" t="n"/>
      <c r="H386" s="263" t="n">
        <v>29000</v>
      </c>
      <c r="I386" s="264" t="n"/>
      <c r="J386" s="264" t="n">
        <v>29000</v>
      </c>
      <c r="K386" s="265" t="n"/>
      <c r="L386" s="265" t="n">
        <v>12000</v>
      </c>
    </row>
    <row r="387" ht="15.75" customHeight="1" s="157">
      <c r="A387" s="250" t="n"/>
      <c r="B387" s="251" t="inlineStr">
        <is>
          <t>LAVALLE 7325</t>
        </is>
      </c>
      <c r="C387" s="252" t="n">
        <v>1</v>
      </c>
      <c r="D387" s="252" t="n"/>
      <c r="E387" s="252" t="n"/>
      <c r="F387" s="253" t="n"/>
      <c r="G387" s="253" t="n"/>
      <c r="H387" s="267" t="n">
        <v>29000</v>
      </c>
      <c r="I387" s="268" t="n">
        <v>29000</v>
      </c>
      <c r="J387" s="268" t="n"/>
      <c r="K387" s="265" t="n"/>
      <c r="L387" s="265" t="n">
        <v>12000</v>
      </c>
    </row>
    <row r="388" ht="15.75" customHeight="1" s="157">
      <c r="A388" s="239" t="n"/>
      <c r="B388" s="240" t="inlineStr">
        <is>
          <t>LARGUIA 7186</t>
        </is>
      </c>
      <c r="C388" s="241" t="n"/>
      <c r="D388" s="241" t="n"/>
      <c r="E388" s="241" t="n">
        <v>1</v>
      </c>
      <c r="F388" s="242" t="n"/>
      <c r="G388" s="242" t="n"/>
      <c r="H388" s="263" t="n">
        <v>98000</v>
      </c>
      <c r="I388" s="264" t="n"/>
      <c r="J388" s="264" t="n">
        <v>98000</v>
      </c>
      <c r="K388" s="265" t="n"/>
      <c r="L388" s="265" t="n">
        <v>29000</v>
      </c>
    </row>
    <row r="389" ht="15.75" customHeight="1" s="157">
      <c r="A389" s="250" t="n"/>
      <c r="B389" s="251" t="inlineStr">
        <is>
          <t>SANDRA</t>
        </is>
      </c>
      <c r="C389" s="252" t="n">
        <v>1</v>
      </c>
      <c r="D389" s="252" t="n"/>
      <c r="E389" s="252" t="n"/>
      <c r="F389" s="253" t="n"/>
      <c r="G389" s="253" t="n"/>
      <c r="H389" s="267" t="n">
        <v>95000</v>
      </c>
      <c r="I389" s="268" t="n">
        <v>95000</v>
      </c>
      <c r="J389" s="268" t="n"/>
      <c r="K389" s="265" t="n">
        <v>65000</v>
      </c>
      <c r="L389" s="265" t="n">
        <v>13000</v>
      </c>
    </row>
    <row r="390" ht="15.75" customHeight="1" s="157">
      <c r="A390" s="354" t="n">
        <v>46217</v>
      </c>
      <c r="B390" s="240" t="inlineStr">
        <is>
          <t>12 DE INFANTERIA 1250</t>
        </is>
      </c>
      <c r="C390" s="241" t="n"/>
      <c r="D390" s="241" t="n"/>
      <c r="E390" s="241" t="n">
        <v>1</v>
      </c>
      <c r="F390" s="242" t="n"/>
      <c r="G390" s="242" t="n"/>
      <c r="H390" s="263" t="n">
        <v>102000</v>
      </c>
      <c r="I390" s="264" t="n">
        <v>102000</v>
      </c>
      <c r="J390" s="264" t="n"/>
      <c r="K390" s="265" t="n"/>
      <c r="L390" s="265" t="n">
        <v>33000</v>
      </c>
    </row>
    <row r="391" ht="15.75" customHeight="1" s="157">
      <c r="A391" s="250" t="n"/>
      <c r="B391" s="251" t="inlineStr">
        <is>
          <t>BONEO 4357</t>
        </is>
      </c>
      <c r="C391" s="252" t="n"/>
      <c r="D391" s="252" t="n"/>
      <c r="E391" s="252" t="n">
        <v>1</v>
      </c>
      <c r="F391" s="253" t="n"/>
      <c r="G391" s="253" t="n"/>
      <c r="H391" s="267" t="n">
        <v>98500</v>
      </c>
      <c r="I391" s="268" t="n"/>
      <c r="J391" s="268" t="n">
        <v>98500</v>
      </c>
      <c r="K391" s="265" t="n"/>
      <c r="L391" s="265" t="n">
        <v>29500</v>
      </c>
    </row>
    <row r="392" ht="15.75" customHeight="1" s="157">
      <c r="A392" s="239" t="n"/>
      <c r="B392" s="240" t="inlineStr">
        <is>
          <t>DOMINGO SILVA 4217</t>
        </is>
      </c>
      <c r="C392" s="241" t="n">
        <v>2</v>
      </c>
      <c r="D392" s="241" t="n"/>
      <c r="E392" s="241" t="n"/>
      <c r="F392" s="242" t="n"/>
      <c r="G392" s="242" t="n"/>
      <c r="H392" s="263" t="n">
        <v>45000</v>
      </c>
      <c r="I392" s="264" t="n"/>
      <c r="J392" s="264" t="n">
        <v>45000</v>
      </c>
      <c r="K392" s="265" t="n"/>
      <c r="L392" s="265" t="n">
        <v>11000</v>
      </c>
    </row>
    <row r="393" ht="15.75" customHeight="1" s="157">
      <c r="A393" s="250" t="n"/>
      <c r="B393" s="251" t="inlineStr">
        <is>
          <t>LOBOS</t>
        </is>
      </c>
      <c r="C393" s="252" t="n">
        <v>3</v>
      </c>
      <c r="D393" s="252" t="n"/>
      <c r="E393" s="252" t="n">
        <v>1</v>
      </c>
      <c r="F393" s="253" t="n"/>
      <c r="G393" s="253" t="n"/>
      <c r="H393" s="267" t="n">
        <v>186000</v>
      </c>
      <c r="I393" s="268" t="n"/>
      <c r="J393" s="268" t="n">
        <v>186000</v>
      </c>
      <c r="K393" s="265" t="n"/>
      <c r="L393" s="265" t="n">
        <v>66000</v>
      </c>
    </row>
    <row r="394" ht="15.75" customHeight="1" s="157">
      <c r="A394" s="239" t="n"/>
      <c r="B394" s="240" t="inlineStr">
        <is>
          <t>FILOMENA</t>
        </is>
      </c>
      <c r="C394" s="241" t="n">
        <v>3</v>
      </c>
      <c r="D394" s="241" t="n"/>
      <c r="E394" s="241" t="n"/>
      <c r="F394" s="242" t="n"/>
      <c r="G394" s="242" t="n"/>
      <c r="H394" s="263" t="n">
        <v>79500</v>
      </c>
      <c r="I394" s="264" t="n"/>
      <c r="J394" s="264" t="n">
        <v>79500</v>
      </c>
      <c r="K394" s="265" t="n"/>
      <c r="L394" s="265" t="n">
        <v>28500</v>
      </c>
    </row>
    <row r="395" ht="15.75" customHeight="1" s="157">
      <c r="A395" s="250" t="n"/>
      <c r="B395" s="251" t="inlineStr">
        <is>
          <t>FACUNDO ZUVIRIA 4176</t>
        </is>
      </c>
      <c r="C395" s="252" t="n">
        <v>1</v>
      </c>
      <c r="D395" s="252" t="n"/>
      <c r="E395" s="252" t="n"/>
      <c r="F395" s="253" t="n"/>
      <c r="G395" s="253" t="n"/>
      <c r="H395" s="267" t="n">
        <v>27000</v>
      </c>
      <c r="I395" s="268" t="n"/>
      <c r="J395" s="268" t="n">
        <v>27000</v>
      </c>
      <c r="K395" s="265" t="n"/>
      <c r="L395" s="265" t="n">
        <v>10000</v>
      </c>
    </row>
    <row r="396" ht="15.75" customHeight="1" s="157">
      <c r="A396" s="239" t="n"/>
      <c r="B396" s="240" t="inlineStr">
        <is>
          <t>MADAME CHEESE</t>
        </is>
      </c>
      <c r="C396" s="241" t="n"/>
      <c r="D396" s="241" t="n">
        <v>1</v>
      </c>
      <c r="E396" s="241" t="n"/>
      <c r="F396" s="242" t="n"/>
      <c r="G396" s="242" t="n"/>
      <c r="H396" s="263" t="n">
        <v>38500</v>
      </c>
      <c r="I396" s="264" t="n"/>
      <c r="J396" s="264" t="n">
        <v>38500</v>
      </c>
      <c r="K396" s="265" t="n"/>
      <c r="L396" s="265" t="n">
        <v>13000</v>
      </c>
    </row>
    <row r="397" ht="15.75" customHeight="1" s="157">
      <c r="A397" s="250" t="n"/>
      <c r="B397" s="251" t="inlineStr">
        <is>
          <t>VIPS 4361</t>
        </is>
      </c>
      <c r="C397" s="252" t="n">
        <v>2</v>
      </c>
      <c r="D397" s="252" t="n"/>
      <c r="E397" s="252" t="n"/>
      <c r="F397" s="253" t="n"/>
      <c r="G397" s="253" t="n"/>
      <c r="H397" s="267" t="n">
        <v>57000</v>
      </c>
      <c r="I397" s="268" t="n">
        <v>57000</v>
      </c>
      <c r="J397" s="268" t="n"/>
      <c r="K397" s="265" t="n"/>
      <c r="L397" s="265" t="n">
        <v>23000</v>
      </c>
    </row>
    <row r="398" ht="15.75" customHeight="1" s="157">
      <c r="A398" s="239" t="n"/>
      <c r="B398" s="240" t="inlineStr">
        <is>
          <t>CARO FACELLO</t>
        </is>
      </c>
      <c r="C398" s="241" t="n"/>
      <c r="D398" s="241" t="n"/>
      <c r="E398" s="241" t="n">
        <v>1</v>
      </c>
      <c r="F398" s="242" t="n"/>
      <c r="G398" s="242" t="n"/>
      <c r="H398" s="263" t="n">
        <v>99500</v>
      </c>
      <c r="I398" s="264" t="n"/>
      <c r="J398" s="264" t="n">
        <v>99500</v>
      </c>
      <c r="K398" s="265" t="n"/>
      <c r="L398" s="265" t="n">
        <v>30500</v>
      </c>
    </row>
    <row r="399" ht="15.75" customHeight="1" s="157">
      <c r="A399" s="250" t="n"/>
      <c r="B399" s="251" t="inlineStr">
        <is>
          <t>SANDRA</t>
        </is>
      </c>
      <c r="C399" s="252" t="n">
        <v>2</v>
      </c>
      <c r="D399" s="252" t="n"/>
      <c r="E399" s="252" t="n"/>
      <c r="F399" s="253" t="n"/>
      <c r="G399" s="253" t="n"/>
      <c r="H399" s="267" t="n">
        <v>44000</v>
      </c>
      <c r="I399" s="268" t="n">
        <v>44000</v>
      </c>
      <c r="J399" s="268" t="n"/>
      <c r="K399" s="265" t="n"/>
      <c r="L399" s="265" t="n">
        <v>10000</v>
      </c>
    </row>
    <row r="400" ht="15.75" customHeight="1" s="157">
      <c r="A400" s="239" t="n"/>
      <c r="B400" s="240" t="inlineStr">
        <is>
          <t>EUROPA 7269</t>
        </is>
      </c>
      <c r="C400" s="241" t="n">
        <v>1</v>
      </c>
      <c r="D400" s="241" t="n"/>
      <c r="E400" s="241" t="n"/>
      <c r="F400" s="242" t="n"/>
      <c r="G400" s="242" t="n"/>
      <c r="H400" s="263" t="n">
        <v>29000</v>
      </c>
      <c r="I400" s="264" t="n"/>
      <c r="J400" s="264" t="n">
        <v>29000</v>
      </c>
      <c r="K400" s="265" t="n"/>
      <c r="L400" s="265" t="n">
        <v>12000</v>
      </c>
    </row>
    <row r="401" ht="15.75" customHeight="1" s="157">
      <c r="A401" s="250" t="n"/>
      <c r="B401" s="251" t="inlineStr">
        <is>
          <t>LASAGA 7023</t>
        </is>
      </c>
      <c r="C401" s="252" t="n">
        <v>1</v>
      </c>
      <c r="D401" s="252" t="n"/>
      <c r="E401" s="252" t="n"/>
      <c r="F401" s="253" t="n"/>
      <c r="G401" s="253" t="n"/>
      <c r="H401" s="267" t="n">
        <v>29000</v>
      </c>
      <c r="I401" s="268" t="n">
        <v>29000</v>
      </c>
      <c r="J401" s="268" t="n"/>
      <c r="K401" s="265" t="n"/>
      <c r="L401" s="265" t="n">
        <v>12000</v>
      </c>
    </row>
    <row r="402" ht="15.75" customHeight="1" s="157">
      <c r="A402" s="239" t="n"/>
      <c r="B402" s="240" t="inlineStr">
        <is>
          <t>PANA GISELA</t>
        </is>
      </c>
      <c r="C402" s="241" t="n">
        <v>1</v>
      </c>
      <c r="D402" s="241" t="n"/>
      <c r="E402" s="241" t="n"/>
      <c r="F402" s="242" t="n"/>
      <c r="G402" s="242" t="n"/>
      <c r="H402" s="263" t="n">
        <v>25500</v>
      </c>
      <c r="I402" s="264" t="n"/>
      <c r="J402" s="264" t="n">
        <v>25500</v>
      </c>
      <c r="K402" s="265" t="n"/>
      <c r="L402" s="265" t="n">
        <v>8500</v>
      </c>
    </row>
    <row r="403" ht="15.75" customHeight="1" s="157">
      <c r="A403" s="250" t="n"/>
      <c r="B403" s="251" t="inlineStr">
        <is>
          <t>IGNACIO CRESPO 7318</t>
        </is>
      </c>
      <c r="C403" s="252" t="n">
        <v>2</v>
      </c>
      <c r="D403" s="252" t="n"/>
      <c r="E403" s="252" t="n"/>
      <c r="F403" s="253" t="n"/>
      <c r="G403" s="253" t="n"/>
      <c r="H403" s="267" t="n">
        <v>55000</v>
      </c>
      <c r="I403" s="268" t="n">
        <v>55000</v>
      </c>
      <c r="J403" s="268" t="n"/>
      <c r="K403" s="265" t="n"/>
      <c r="L403" s="265" t="n">
        <v>21000</v>
      </c>
    </row>
    <row r="404" ht="15.75" customHeight="1" s="157">
      <c r="A404" s="239" t="n"/>
      <c r="B404" s="240" t="inlineStr">
        <is>
          <t>SANDRA</t>
        </is>
      </c>
      <c r="C404" s="241" t="n"/>
      <c r="D404" s="241" t="n"/>
      <c r="E404" s="241" t="n"/>
      <c r="F404" s="242" t="n"/>
      <c r="G404" s="242" t="n">
        <v>2</v>
      </c>
      <c r="H404" s="263" t="n">
        <v>10000</v>
      </c>
      <c r="I404" s="264" t="n">
        <v>10000</v>
      </c>
      <c r="J404" s="264" t="n"/>
      <c r="K404" s="265" t="n"/>
      <c r="L404" s="265" t="n">
        <v>8160</v>
      </c>
    </row>
    <row r="405" ht="15.75" customHeight="1" s="157">
      <c r="A405" s="353" t="n">
        <v>46218</v>
      </c>
      <c r="B405" s="251" t="inlineStr">
        <is>
          <t>VESUBIO</t>
        </is>
      </c>
      <c r="C405" s="252" t="n">
        <v>3</v>
      </c>
      <c r="D405" s="252" t="n"/>
      <c r="E405" s="252" t="n"/>
      <c r="F405" s="253" t="n"/>
      <c r="G405" s="253" t="n"/>
      <c r="H405" s="267" t="n">
        <v>90000</v>
      </c>
      <c r="I405" s="268" t="n">
        <v>90000</v>
      </c>
      <c r="J405" s="268" t="n"/>
      <c r="K405" s="265" t="n"/>
      <c r="L405" s="265" t="n">
        <v>39000</v>
      </c>
    </row>
    <row r="406" ht="15.75" customHeight="1" s="157">
      <c r="A406" s="239" t="n"/>
      <c r="B406" s="240" t="inlineStr">
        <is>
          <t>9 DE JULIO 2226</t>
        </is>
      </c>
      <c r="C406" s="241" t="n">
        <v>1</v>
      </c>
      <c r="D406" s="241" t="n"/>
      <c r="E406" s="241" t="n"/>
      <c r="F406" s="242" t="n"/>
      <c r="G406" s="242" t="n"/>
      <c r="H406" s="263" t="n">
        <v>128000</v>
      </c>
      <c r="I406" s="264" t="n"/>
      <c r="J406" s="264" t="n">
        <v>128000</v>
      </c>
      <c r="K406" s="265" t="n">
        <v>82000</v>
      </c>
      <c r="L406" s="265" t="n">
        <v>29000</v>
      </c>
    </row>
    <row r="407" ht="15.75" customHeight="1" s="157">
      <c r="A407" s="250" t="n"/>
      <c r="B407" s="251" t="inlineStr">
        <is>
          <t>PAULO</t>
        </is>
      </c>
      <c r="C407" s="252" t="n">
        <v>2</v>
      </c>
      <c r="D407" s="252" t="n"/>
      <c r="E407" s="252" t="n"/>
      <c r="F407" s="253" t="n"/>
      <c r="G407" s="253" t="n"/>
      <c r="H407" s="267" t="n">
        <v>44000</v>
      </c>
      <c r="I407" s="268" t="n">
        <v>44000</v>
      </c>
      <c r="J407" s="268" t="n"/>
      <c r="K407" s="265" t="n"/>
      <c r="L407" s="265" t="n">
        <v>10000</v>
      </c>
    </row>
    <row r="408" ht="15.75" customHeight="1" s="157">
      <c r="A408" s="239" t="n"/>
      <c r="B408" s="240" t="inlineStr">
        <is>
          <t>LUCHO</t>
        </is>
      </c>
      <c r="C408" s="241" t="n"/>
      <c r="D408" s="241" t="n">
        <v>1</v>
      </c>
      <c r="E408" s="241" t="n"/>
      <c r="F408" s="242" t="n"/>
      <c r="G408" s="242" t="n"/>
      <c r="H408" s="263" t="n">
        <v>35000</v>
      </c>
      <c r="I408" s="264" t="n"/>
      <c r="J408" s="264" t="n">
        <v>35000</v>
      </c>
      <c r="K408" s="265" t="n"/>
      <c r="L408" s="265" t="n">
        <v>9500</v>
      </c>
    </row>
    <row r="409" ht="15.75" customHeight="1" s="157">
      <c r="A409" s="250" t="n"/>
      <c r="B409" s="251" t="inlineStr">
        <is>
          <t>DOMINGO SILVA 4217</t>
        </is>
      </c>
      <c r="C409" s="252" t="n">
        <v>2</v>
      </c>
      <c r="D409" s="252" t="n"/>
      <c r="E409" s="252" t="n"/>
      <c r="F409" s="253" t="n"/>
      <c r="G409" s="253" t="n"/>
      <c r="H409" s="267" t="n">
        <v>45000</v>
      </c>
      <c r="I409" s="268" t="n"/>
      <c r="J409" s="268" t="n">
        <v>45000</v>
      </c>
      <c r="K409" s="265" t="n"/>
      <c r="L409" s="265" t="n">
        <v>11000</v>
      </c>
    </row>
    <row r="410" ht="15.75" customHeight="1" s="157">
      <c r="A410" s="239" t="n"/>
      <c r="B410" s="240" t="inlineStr">
        <is>
          <t>ALMONACID 4931</t>
        </is>
      </c>
      <c r="C410" s="241" t="n">
        <v>1</v>
      </c>
      <c r="D410" s="241" t="n"/>
      <c r="E410" s="241" t="n"/>
      <c r="F410" s="242" t="n"/>
      <c r="G410" s="242" t="n"/>
      <c r="H410" s="263" t="n">
        <v>27000</v>
      </c>
      <c r="I410" s="264" t="n"/>
      <c r="J410" s="264" t="n">
        <v>27000</v>
      </c>
      <c r="K410" s="265" t="n"/>
      <c r="L410" s="265" t="n">
        <v>10000</v>
      </c>
    </row>
    <row r="411" ht="15.75" customHeight="1" s="157">
      <c r="A411" s="250" t="n"/>
      <c r="B411" s="251" t="inlineStr">
        <is>
          <t>PANA BERUTI 6400</t>
        </is>
      </c>
      <c r="C411" s="252" t="n"/>
      <c r="D411" s="252" t="n"/>
      <c r="E411" s="252" t="n">
        <v>1</v>
      </c>
      <c r="F411" s="253" t="n"/>
      <c r="G411" s="253" t="n"/>
      <c r="H411" s="267" t="n">
        <v>91000</v>
      </c>
      <c r="I411" s="268" t="n"/>
      <c r="J411" s="268" t="n">
        <v>91000</v>
      </c>
      <c r="K411" s="265" t="n"/>
      <c r="L411" s="265" t="n">
        <v>22000</v>
      </c>
    </row>
    <row r="412" ht="15.75" customHeight="1" s="157">
      <c r="A412" s="239" t="n"/>
      <c r="B412" s="240" t="inlineStr">
        <is>
          <t>PANA ALBERTI</t>
        </is>
      </c>
      <c r="C412" s="241" t="n"/>
      <c r="D412" s="241" t="n"/>
      <c r="E412" s="241" t="n">
        <v>1</v>
      </c>
      <c r="F412" s="242" t="n"/>
      <c r="G412" s="242" t="n"/>
      <c r="H412" s="263" t="n">
        <v>94000</v>
      </c>
      <c r="I412" s="264" t="n">
        <v>94000</v>
      </c>
      <c r="J412" s="264" t="n"/>
      <c r="K412" s="265" t="n"/>
      <c r="L412" s="265" t="n">
        <v>25000</v>
      </c>
    </row>
    <row r="413" ht="15.75" customHeight="1" s="157">
      <c r="A413" s="250" t="n"/>
      <c r="B413" s="251" t="inlineStr">
        <is>
          <t>AGUADO 6970</t>
        </is>
      </c>
      <c r="C413" s="252" t="n">
        <v>1</v>
      </c>
      <c r="D413" s="252" t="n"/>
      <c r="E413" s="252" t="n"/>
      <c r="F413" s="253" t="n"/>
      <c r="G413" s="253" t="n"/>
      <c r="H413" s="267" t="n">
        <v>28000</v>
      </c>
      <c r="I413" s="268" t="n">
        <v>28000</v>
      </c>
      <c r="J413" s="268" t="n"/>
      <c r="K413" s="265" t="n"/>
      <c r="L413" s="265" t="n">
        <v>11000</v>
      </c>
    </row>
    <row r="414" ht="15.75" customHeight="1" s="157">
      <c r="A414" s="239" t="n"/>
      <c r="B414" s="240" t="inlineStr">
        <is>
          <t>ESFORA 1888</t>
        </is>
      </c>
      <c r="C414" s="241" t="n"/>
      <c r="D414" s="241" t="n"/>
      <c r="E414" s="241" t="n">
        <v>1</v>
      </c>
      <c r="F414" s="242" t="n"/>
      <c r="G414" s="242" t="n"/>
      <c r="H414" s="263" t="n">
        <v>320000</v>
      </c>
      <c r="I414" s="264" t="n"/>
      <c r="J414" s="264" t="n">
        <v>320000</v>
      </c>
      <c r="K414" s="265" t="n">
        <v>117000</v>
      </c>
      <c r="L414" s="265" t="n">
        <v>134000</v>
      </c>
    </row>
    <row r="415" ht="15.75" customHeight="1" s="157">
      <c r="A415" s="250" t="n"/>
      <c r="B415" s="251" t="inlineStr">
        <is>
          <t>LORE</t>
        </is>
      </c>
      <c r="C415" s="252" t="n">
        <v>5</v>
      </c>
      <c r="D415" s="252" t="n"/>
      <c r="E415" s="252" t="n"/>
      <c r="F415" s="253" t="n"/>
      <c r="G415" s="253" t="n"/>
      <c r="H415" s="267" t="n">
        <v>107500</v>
      </c>
      <c r="I415" s="268" t="n">
        <v>107500</v>
      </c>
      <c r="J415" s="268" t="n"/>
      <c r="K415" s="265" t="n"/>
      <c r="L415" s="265" t="n">
        <v>22500</v>
      </c>
    </row>
    <row r="416" ht="15.75" customHeight="1" s="157">
      <c r="A416" s="239" t="n"/>
      <c r="B416" s="240" t="inlineStr">
        <is>
          <t>ESCALONETA</t>
        </is>
      </c>
      <c r="C416" s="241" t="n"/>
      <c r="D416" s="241" t="n"/>
      <c r="E416" s="241" t="n">
        <v>1</v>
      </c>
      <c r="F416" s="242" t="n"/>
      <c r="G416" s="242" t="n"/>
      <c r="H416" s="263" t="n">
        <v>95000</v>
      </c>
      <c r="I416" s="264" t="n"/>
      <c r="J416" s="264" t="n">
        <v>95000</v>
      </c>
      <c r="K416" s="265" t="n"/>
      <c r="L416" s="265" t="n">
        <v>26000</v>
      </c>
    </row>
    <row r="417" ht="15.75" customHeight="1" s="157">
      <c r="A417" s="250" t="n"/>
      <c r="B417" s="251" t="inlineStr">
        <is>
          <t>PUBLICO 9331</t>
        </is>
      </c>
      <c r="C417" s="252" t="n">
        <v>1</v>
      </c>
      <c r="D417" s="252" t="n"/>
      <c r="E417" s="252" t="n"/>
      <c r="F417" s="253" t="n"/>
      <c r="G417" s="253" t="n"/>
      <c r="H417" s="267" t="n">
        <v>125000</v>
      </c>
      <c r="I417" s="268" t="n"/>
      <c r="J417" s="268" t="n">
        <v>125000</v>
      </c>
      <c r="K417" s="265" t="n">
        <v>82000</v>
      </c>
      <c r="L417" s="265" t="n">
        <v>26000</v>
      </c>
    </row>
    <row r="418" ht="15.75" customHeight="1" s="157">
      <c r="A418" s="354" t="n">
        <v>46219</v>
      </c>
      <c r="B418" s="240" t="inlineStr">
        <is>
          <t>LUCHO</t>
        </is>
      </c>
      <c r="C418" s="241" t="n"/>
      <c r="D418" s="241" t="n"/>
      <c r="E418" s="241" t="n"/>
      <c r="F418" s="242" t="n"/>
      <c r="G418" s="242" t="n">
        <v>1</v>
      </c>
      <c r="H418" s="263" t="n">
        <v>6500</v>
      </c>
      <c r="I418" s="264" t="n">
        <v>6500</v>
      </c>
      <c r="J418" s="264" t="n"/>
      <c r="K418" s="265" t="n"/>
      <c r="L418" s="265" t="n">
        <v>5580</v>
      </c>
    </row>
    <row r="419" ht="15.75" customHeight="1" s="157">
      <c r="A419" s="250" t="n"/>
      <c r="B419" s="251" t="inlineStr">
        <is>
          <t>VIANDAS JORGE</t>
        </is>
      </c>
      <c r="C419" s="252" t="n">
        <v>1</v>
      </c>
      <c r="D419" s="252" t="n"/>
      <c r="E419" s="252" t="n"/>
      <c r="F419" s="253" t="n"/>
      <c r="G419" s="253" t="n"/>
      <c r="H419" s="267" t="n">
        <v>25000</v>
      </c>
      <c r="I419" s="268" t="n">
        <v>25000</v>
      </c>
      <c r="J419" s="268" t="n"/>
      <c r="K419" s="265" t="n"/>
      <c r="L419" s="265" t="n">
        <v>8000</v>
      </c>
    </row>
    <row r="420" ht="15.75" customHeight="1" s="157">
      <c r="A420" s="239" t="n"/>
      <c r="B420" s="240" t="inlineStr">
        <is>
          <t>FRENCH 1871</t>
        </is>
      </c>
      <c r="C420" s="241" t="n">
        <v>1</v>
      </c>
      <c r="D420" s="241" t="n"/>
      <c r="E420" s="241" t="n"/>
      <c r="F420" s="242" t="n"/>
      <c r="G420" s="242" t="n"/>
      <c r="H420" s="263" t="n">
        <v>128000</v>
      </c>
      <c r="I420" s="264" t="n"/>
      <c r="J420" s="264" t="n">
        <v>128000</v>
      </c>
      <c r="K420" s="265" t="n">
        <v>65000</v>
      </c>
      <c r="L420" s="265" t="n">
        <v>46000</v>
      </c>
    </row>
    <row r="421" ht="15.75" customHeight="1" s="157">
      <c r="A421" s="250" t="n"/>
      <c r="B421" s="251" t="inlineStr">
        <is>
          <t>ROTI ARISTOBULO</t>
        </is>
      </c>
      <c r="C421" s="252" t="n">
        <v>1</v>
      </c>
      <c r="D421" s="252" t="n">
        <v>1</v>
      </c>
      <c r="E421" s="252" t="n"/>
      <c r="F421" s="253" t="n"/>
      <c r="G421" s="253" t="n"/>
      <c r="H421" s="267" t="n">
        <v>65000</v>
      </c>
      <c r="I421" s="268" t="n"/>
      <c r="J421" s="268" t="n">
        <v>65000</v>
      </c>
      <c r="K421" s="265" t="n"/>
      <c r="L421" s="265" t="n">
        <v>22500</v>
      </c>
    </row>
    <row r="422" ht="15.75" customHeight="1" s="157">
      <c r="A422" s="239" t="n"/>
      <c r="B422" s="240" t="inlineStr">
        <is>
          <t>BEATRIZ</t>
        </is>
      </c>
      <c r="C422" s="241" t="n"/>
      <c r="D422" s="241" t="n"/>
      <c r="E422" s="241" t="n"/>
      <c r="F422" s="242" t="n"/>
      <c r="G422" s="242" t="n">
        <v>1</v>
      </c>
      <c r="H422" s="263" t="n">
        <v>6900</v>
      </c>
      <c r="I422" s="264" t="n"/>
      <c r="J422" s="264" t="n">
        <v>6900</v>
      </c>
      <c r="K422" s="265" t="n"/>
      <c r="L422" s="265" t="n">
        <v>5980</v>
      </c>
    </row>
    <row r="423" ht="15.75" customHeight="1" s="157">
      <c r="A423" s="250" t="n"/>
      <c r="B423" s="251" t="inlineStr">
        <is>
          <t>AZCUENAGA 6551</t>
        </is>
      </c>
      <c r="C423" s="252" t="n">
        <v>3</v>
      </c>
      <c r="D423" s="252" t="n">
        <v>1</v>
      </c>
      <c r="E423" s="252" t="n"/>
      <c r="F423" s="253" t="n"/>
      <c r="G423" s="253" t="n"/>
      <c r="H423" s="267" t="n">
        <v>101000</v>
      </c>
      <c r="I423" s="268" t="n"/>
      <c r="J423" s="268" t="n">
        <v>101000</v>
      </c>
      <c r="K423" s="265" t="n"/>
      <c r="L423" s="265" t="n">
        <v>24500</v>
      </c>
    </row>
    <row r="424" ht="15.75" customHeight="1" s="157">
      <c r="A424" s="239" t="n"/>
      <c r="B424" s="240" t="inlineStr">
        <is>
          <t>CHICLANA 7325</t>
        </is>
      </c>
      <c r="C424" s="241" t="n">
        <v>1</v>
      </c>
      <c r="D424" s="241" t="n"/>
      <c r="E424" s="241" t="n"/>
      <c r="F424" s="242" t="n"/>
      <c r="G424" s="242" t="n"/>
      <c r="H424" s="263" t="n">
        <v>22500</v>
      </c>
      <c r="I424" s="264" t="n"/>
      <c r="J424" s="264" t="n">
        <v>22500</v>
      </c>
      <c r="K424" s="265" t="n"/>
      <c r="L424" s="265" t="n">
        <v>5500</v>
      </c>
    </row>
    <row r="425" ht="15.75" customHeight="1" s="157">
      <c r="A425" s="250" t="n"/>
      <c r="B425" s="251" t="inlineStr">
        <is>
          <t>GOROSTIAGA 4659</t>
        </is>
      </c>
      <c r="C425" s="252" t="n"/>
      <c r="D425" s="252" t="n"/>
      <c r="E425" s="252" t="n">
        <v>1</v>
      </c>
      <c r="F425" s="253" t="n"/>
      <c r="G425" s="253" t="n"/>
      <c r="H425" s="267" t="n">
        <v>99000</v>
      </c>
      <c r="I425" s="268" t="n"/>
      <c r="J425" s="268" t="n">
        <v>99000</v>
      </c>
      <c r="K425" s="265" t="n"/>
      <c r="L425" s="265" t="n">
        <v>30000</v>
      </c>
    </row>
    <row r="426" ht="15.75" customHeight="1" s="157">
      <c r="A426" s="239" t="n"/>
      <c r="B426" s="240" t="inlineStr">
        <is>
          <t>SERVANDO BAYO 6782</t>
        </is>
      </c>
      <c r="C426" s="241" t="n"/>
      <c r="D426" s="241" t="n"/>
      <c r="E426" s="241" t="n">
        <v>1</v>
      </c>
      <c r="F426" s="242" t="n"/>
      <c r="G426" s="242" t="n"/>
      <c r="H426" s="263" t="n">
        <v>98500</v>
      </c>
      <c r="I426" s="264" t="n">
        <v>98500</v>
      </c>
      <c r="J426" s="264" t="n"/>
      <c r="K426" s="265" t="n"/>
      <c r="L426" s="265" t="n">
        <v>29500</v>
      </c>
    </row>
    <row r="427" ht="15.75" customHeight="1" s="157">
      <c r="A427" s="250" t="n"/>
      <c r="B427" s="251" t="inlineStr">
        <is>
          <t>PICHY</t>
        </is>
      </c>
      <c r="C427" s="252" t="n">
        <v>1</v>
      </c>
      <c r="D427" s="252" t="n"/>
      <c r="E427" s="252" t="n"/>
      <c r="F427" s="253" t="n"/>
      <c r="G427" s="253" t="n"/>
      <c r="H427" s="267" t="n">
        <v>27000</v>
      </c>
      <c r="I427" s="268" t="n">
        <v>27000</v>
      </c>
      <c r="J427" s="268" t="n"/>
      <c r="K427" s="265" t="n"/>
      <c r="L427" s="265" t="n">
        <v>10000</v>
      </c>
    </row>
    <row r="428" ht="15.75" customHeight="1" s="157">
      <c r="A428" s="239" t="n"/>
      <c r="B428" s="240" t="inlineStr">
        <is>
          <t>MONI ALBERTI</t>
        </is>
      </c>
      <c r="C428" s="241" t="n"/>
      <c r="D428" s="241" t="n"/>
      <c r="E428" s="241" t="n">
        <v>1</v>
      </c>
      <c r="F428" s="242" t="n"/>
      <c r="G428" s="242" t="n"/>
      <c r="H428" s="263" t="n">
        <v>96000</v>
      </c>
      <c r="I428" s="264" t="n"/>
      <c r="J428" s="264" t="n">
        <v>96000</v>
      </c>
      <c r="K428" s="265" t="n"/>
      <c r="L428" s="265" t="n">
        <v>27000</v>
      </c>
    </row>
    <row r="429" ht="15.75" customHeight="1" s="157">
      <c r="A429" s="250" t="n"/>
      <c r="B429" s="251" t="inlineStr">
        <is>
          <t>PORTON</t>
        </is>
      </c>
      <c r="C429" s="252" t="n">
        <v>1</v>
      </c>
      <c r="D429" s="252" t="n"/>
      <c r="E429" s="252" t="n"/>
      <c r="F429" s="253" t="n"/>
      <c r="G429" s="253" t="n"/>
      <c r="H429" s="267" t="n">
        <v>23000</v>
      </c>
      <c r="I429" s="268" t="n"/>
      <c r="J429" s="268" t="n">
        <v>23000</v>
      </c>
      <c r="K429" s="265" t="n"/>
      <c r="L429" s="265" t="n">
        <v>6000</v>
      </c>
    </row>
    <row r="430" ht="15.75" customHeight="1" s="157">
      <c r="A430" s="239" t="n"/>
      <c r="B430" s="240" t="inlineStr">
        <is>
          <t>PEDRO CEBALLOS 8134</t>
        </is>
      </c>
      <c r="C430" s="241" t="n">
        <v>2</v>
      </c>
      <c r="D430" s="241" t="n">
        <v>1</v>
      </c>
      <c r="E430" s="241" t="n"/>
      <c r="F430" s="242" t="n"/>
      <c r="G430" s="242" t="n"/>
      <c r="H430" s="263" t="n">
        <v>78500</v>
      </c>
      <c r="I430" s="264" t="n">
        <v>60000</v>
      </c>
      <c r="J430" s="264" t="n">
        <v>18500</v>
      </c>
      <c r="K430" s="265" t="n"/>
      <c r="L430" s="265" t="n">
        <v>19000</v>
      </c>
    </row>
    <row r="431" ht="15.75" customHeight="1" s="157">
      <c r="A431" s="250" t="n"/>
      <c r="B431" s="251" t="inlineStr">
        <is>
          <t>TITO</t>
        </is>
      </c>
      <c r="C431" s="252" t="n">
        <v>3</v>
      </c>
      <c r="D431" s="252" t="n"/>
      <c r="E431" s="252" t="n"/>
      <c r="F431" s="253" t="n"/>
      <c r="G431" s="253" t="n"/>
      <c r="H431" s="267" t="n">
        <v>67500</v>
      </c>
      <c r="I431" s="268" t="n">
        <v>67500</v>
      </c>
      <c r="J431" s="268" t="n"/>
      <c r="K431" s="265" t="n"/>
      <c r="L431" s="265" t="n">
        <v>16500</v>
      </c>
    </row>
    <row r="432" ht="15.75" customHeight="1" s="157">
      <c r="A432" s="239" t="n"/>
      <c r="B432" s="240" t="inlineStr">
        <is>
          <t>FRATERNIDAD GUANELLA</t>
        </is>
      </c>
      <c r="C432" s="241" t="n">
        <v>1</v>
      </c>
      <c r="D432" s="241" t="n"/>
      <c r="E432" s="241" t="n"/>
      <c r="F432" s="242" t="n"/>
      <c r="G432" s="242" t="n"/>
      <c r="H432" s="263" t="n">
        <v>27000</v>
      </c>
      <c r="I432" s="264" t="n"/>
      <c r="J432" s="264" t="n">
        <v>27000</v>
      </c>
      <c r="K432" s="265" t="n"/>
      <c r="L432" s="265" t="n">
        <v>10000</v>
      </c>
    </row>
    <row r="433" ht="15.75" customHeight="1" s="157">
      <c r="A433" s="250" t="n"/>
      <c r="B433" s="251" t="inlineStr">
        <is>
          <t>ENTRE RIOS 3233</t>
        </is>
      </c>
      <c r="C433" s="252" t="n">
        <v>1</v>
      </c>
      <c r="D433" s="252" t="n"/>
      <c r="E433" s="252" t="n"/>
      <c r="F433" s="253" t="n"/>
      <c r="G433" s="253" t="n"/>
      <c r="H433" s="267" t="n">
        <v>29000</v>
      </c>
      <c r="I433" s="268" t="n"/>
      <c r="J433" s="268" t="n">
        <v>29000</v>
      </c>
      <c r="K433" s="265" t="n"/>
      <c r="L433" s="265" t="n">
        <v>12000</v>
      </c>
    </row>
    <row r="434" ht="15.75" customHeight="1" s="157">
      <c r="A434" s="239" t="n"/>
      <c r="B434" s="240" t="inlineStr">
        <is>
          <t>PANA VIEYTES 4500</t>
        </is>
      </c>
      <c r="C434" s="241" t="n"/>
      <c r="D434" s="241" t="n"/>
      <c r="E434" s="241" t="n">
        <v>1</v>
      </c>
      <c r="F434" s="242" t="n"/>
      <c r="G434" s="242" t="n"/>
      <c r="H434" s="263" t="n">
        <v>91000</v>
      </c>
      <c r="I434" s="264" t="n"/>
      <c r="J434" s="264" t="n">
        <v>91000</v>
      </c>
      <c r="K434" s="265" t="n"/>
      <c r="L434" s="265" t="n">
        <v>22000</v>
      </c>
    </row>
    <row r="435" ht="15.75" customHeight="1" s="157">
      <c r="A435" s="250" t="n"/>
      <c r="B435" s="251" t="inlineStr">
        <is>
          <t>LISANDRO LATORRE 3337</t>
        </is>
      </c>
      <c r="C435" s="252" t="n"/>
      <c r="D435" s="252" t="n"/>
      <c r="E435" s="252" t="n">
        <v>2</v>
      </c>
      <c r="F435" s="253" t="n"/>
      <c r="G435" s="253" t="n"/>
      <c r="H435" s="267" t="n">
        <v>190000</v>
      </c>
      <c r="I435" s="268" t="n"/>
      <c r="J435" s="268" t="n">
        <v>190000</v>
      </c>
      <c r="K435" s="265" t="n"/>
      <c r="L435" s="265" t="n">
        <v>52000</v>
      </c>
    </row>
    <row r="436" ht="15.75" customHeight="1" s="157">
      <c r="A436" s="239" t="n"/>
      <c r="B436" s="240" t="inlineStr">
        <is>
          <t>SABOREAR</t>
        </is>
      </c>
      <c r="C436" s="241" t="n"/>
      <c r="D436" s="241" t="n"/>
      <c r="E436" s="241" t="n">
        <v>1</v>
      </c>
      <c r="F436" s="242" t="n"/>
      <c r="G436" s="242" t="n"/>
      <c r="H436" s="263" t="n">
        <v>93000</v>
      </c>
      <c r="I436" s="264" t="n"/>
      <c r="J436" s="264" t="n">
        <v>93000</v>
      </c>
      <c r="K436" s="265" t="n"/>
      <c r="L436" s="265" t="n">
        <v>24000</v>
      </c>
    </row>
    <row r="437" ht="15.75" customHeight="1" s="157">
      <c r="A437" s="250" t="n"/>
      <c r="B437" s="251" t="inlineStr">
        <is>
          <t>PEDRO DE VEGA 3755</t>
        </is>
      </c>
      <c r="C437" s="252" t="n">
        <v>1</v>
      </c>
      <c r="D437" s="252" t="n"/>
      <c r="E437" s="252" t="n"/>
      <c r="F437" s="253" t="n"/>
      <c r="G437" s="253" t="n"/>
      <c r="H437" s="267" t="n">
        <v>28000</v>
      </c>
      <c r="I437" s="268" t="n"/>
      <c r="J437" s="268" t="n">
        <v>28000</v>
      </c>
      <c r="K437" s="265" t="n"/>
      <c r="L437" s="265" t="n">
        <v>11000</v>
      </c>
    </row>
    <row r="438" ht="15.75" customHeight="1" s="157">
      <c r="A438" s="239" t="n"/>
      <c r="B438" s="240" t="inlineStr">
        <is>
          <t>BRASERIA</t>
        </is>
      </c>
      <c r="C438" s="241" t="n"/>
      <c r="D438" s="241" t="n"/>
      <c r="E438" s="241" t="n">
        <v>1</v>
      </c>
      <c r="F438" s="242" t="n"/>
      <c r="G438" s="242" t="n"/>
      <c r="H438" s="263" t="n">
        <v>94000</v>
      </c>
      <c r="I438" s="264" t="n"/>
      <c r="J438" s="264" t="n">
        <v>94000</v>
      </c>
      <c r="K438" s="265" t="n"/>
      <c r="L438" s="265" t="n">
        <v>25000</v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485" ht="15.75" customHeight="1" s="157">
      <c r="A485" s="274" t="inlineStr">
        <is>
          <t>TOTALES DEL MES</t>
        </is>
      </c>
      <c r="C485" s="275">
        <f>IFERROR(SUM(C5:C500),0)</f>
        <v/>
      </c>
      <c r="D485" s="275">
        <f>IFERROR(SUM(D5:D500),0)</f>
        <v/>
      </c>
      <c r="E485" s="275">
        <f>IFERROR(SUM(E5:E500),0)</f>
        <v/>
      </c>
      <c r="F485" s="275">
        <f>IFERROR(SUM(F5:F500),0)</f>
        <v/>
      </c>
      <c r="G485" s="275">
        <f>IFERROR(SUM(G5:G500),0)</f>
        <v/>
      </c>
      <c r="H485" s="276" t="n"/>
      <c r="I485" s="276" t="n"/>
      <c r="J485" s="276" t="n"/>
      <c r="K485" s="276" t="n"/>
    </row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21.75" customHeight="1" s="157"/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2026-07-17T10:34:44Z</dcterms:modified>
  <cp:revision>34</cp:revision>
</cp:coreProperties>
</file>