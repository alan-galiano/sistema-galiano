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20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79" t="n">
        <v>46023</v>
      </c>
      <c r="B5" s="267" t="inlineStr">
        <is>
          <t>LOS PORKI</t>
        </is>
      </c>
      <c r="C5" s="268" t="n"/>
      <c r="D5" s="268" t="n"/>
      <c r="E5" s="268" t="n">
        <v>1</v>
      </c>
      <c r="F5" s="269" t="n"/>
      <c r="G5" s="269" t="n"/>
      <c r="H5" s="231" t="n">
        <v>69000</v>
      </c>
      <c r="I5" s="232" t="n"/>
      <c r="J5" s="232" t="n">
        <v>69000</v>
      </c>
      <c r="K5" s="272" t="n"/>
      <c r="L5" s="272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PANA GENESIO</t>
        </is>
      </c>
      <c r="C6" s="275" t="n">
        <v>1</v>
      </c>
      <c r="D6" s="275" t="n"/>
      <c r="E6" s="275" t="n">
        <v>1</v>
      </c>
      <c r="F6" s="276" t="n"/>
      <c r="G6" s="276" t="n"/>
      <c r="H6" s="241" t="n">
        <v>88500</v>
      </c>
      <c r="I6" s="242" t="n"/>
      <c r="J6" s="242" t="n">
        <v>88500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79" t="n"/>
      <c r="B7" s="267" t="inlineStr">
        <is>
          <t>TACUARI 5717</t>
        </is>
      </c>
      <c r="C7" s="268" t="n">
        <v>1</v>
      </c>
      <c r="D7" s="268" t="n"/>
      <c r="E7" s="268" t="n"/>
      <c r="F7" s="269" t="n"/>
      <c r="G7" s="269" t="n"/>
      <c r="H7" s="231" t="n">
        <v>19500</v>
      </c>
      <c r="I7" s="232" t="n"/>
      <c r="J7" s="232" t="n">
        <v>19500</v>
      </c>
      <c r="K7" s="272" t="n"/>
      <c r="L7" s="272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73" t="n">
        <v>46024</v>
      </c>
      <c r="B8" s="274" t="inlineStr">
        <is>
          <t>PANA VIEYTES</t>
        </is>
      </c>
      <c r="C8" s="275" t="n"/>
      <c r="D8" s="275" t="n"/>
      <c r="E8" s="275" t="n">
        <v>1</v>
      </c>
      <c r="F8" s="276" t="n"/>
      <c r="G8" s="276" t="n"/>
      <c r="H8" s="241" t="n">
        <v>65000</v>
      </c>
      <c r="I8" s="242" t="n">
        <v>65000</v>
      </c>
      <c r="J8" s="242" t="n"/>
      <c r="K8" s="272" t="n"/>
      <c r="L8" s="272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CAREN</t>
        </is>
      </c>
      <c r="C9" s="268" t="n"/>
      <c r="D9" s="268" t="n"/>
      <c r="E9" s="268" t="n">
        <v>1</v>
      </c>
      <c r="F9" s="269" t="n"/>
      <c r="G9" s="269" t="n"/>
      <c r="H9" s="231" t="n">
        <v>69000</v>
      </c>
      <c r="I9" s="232" t="n"/>
      <c r="J9" s="232" t="n">
        <v>69000</v>
      </c>
      <c r="K9" s="272" t="n"/>
      <c r="L9" s="272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EXE</t>
        </is>
      </c>
      <c r="C10" s="275" t="n"/>
      <c r="D10" s="275" t="n"/>
      <c r="E10" s="275" t="n">
        <v>1</v>
      </c>
      <c r="F10" s="276" t="n"/>
      <c r="G10" s="276" t="n"/>
      <c r="H10" s="241" t="n">
        <v>69000</v>
      </c>
      <c r="I10" s="242" t="n"/>
      <c r="J10" s="242" t="n">
        <v>69000</v>
      </c>
      <c r="K10" s="272" t="n"/>
      <c r="L10" s="272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79" t="n"/>
      <c r="B11" s="267" t="inlineStr">
        <is>
          <t>GARMENDIA 9250</t>
        </is>
      </c>
      <c r="C11" s="268" t="n"/>
      <c r="D11" s="268" t="n"/>
      <c r="E11" s="268" t="n"/>
      <c r="F11" s="269" t="n"/>
      <c r="G11" s="269" t="n">
        <v>2</v>
      </c>
      <c r="H11" s="231" t="n">
        <v>9600</v>
      </c>
      <c r="I11" s="232" t="n"/>
      <c r="J11" s="232" t="n">
        <v>9600</v>
      </c>
      <c r="K11" s="272" t="n"/>
      <c r="L11" s="272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73" t="n"/>
      <c r="B12" s="274" t="inlineStr">
        <is>
          <t>DUSSO 6638</t>
        </is>
      </c>
      <c r="C12" s="275" t="n"/>
      <c r="D12" s="275" t="n"/>
      <c r="E12" s="275" t="n">
        <v>1</v>
      </c>
      <c r="F12" s="276" t="n"/>
      <c r="G12" s="276" t="n"/>
      <c r="H12" s="241" t="n">
        <v>65000</v>
      </c>
      <c r="I12" s="242" t="n">
        <v>65000</v>
      </c>
      <c r="J12" s="242" t="n"/>
      <c r="K12" s="272" t="n"/>
      <c r="L12" s="272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79" t="n">
        <v>46025</v>
      </c>
      <c r="B13" s="267" t="inlineStr">
        <is>
          <t>FACU DONA</t>
        </is>
      </c>
      <c r="C13" s="268" t="n">
        <v>1</v>
      </c>
      <c r="D13" s="268" t="n"/>
      <c r="E13" s="268" t="n"/>
      <c r="F13" s="269" t="n"/>
      <c r="G13" s="269" t="n"/>
      <c r="H13" s="231" t="n">
        <v>13500</v>
      </c>
      <c r="I13" s="232" t="n">
        <v>13500</v>
      </c>
      <c r="J13" s="232" t="n"/>
      <c r="K13" s="272" t="n"/>
      <c r="L13" s="272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73" t="n"/>
      <c r="B14" s="274" t="inlineStr">
        <is>
          <t>VICTO CAPE DRUGSTORE</t>
        </is>
      </c>
      <c r="C14" s="275" t="n">
        <v>1</v>
      </c>
      <c r="D14" s="275" t="n"/>
      <c r="E14" s="275" t="n"/>
      <c r="F14" s="276" t="n"/>
      <c r="G14" s="276" t="n"/>
      <c r="H14" s="241" t="n">
        <v>19500</v>
      </c>
      <c r="I14" s="242" t="n"/>
      <c r="J14" s="242" t="n">
        <v>19500</v>
      </c>
      <c r="K14" s="272" t="n"/>
      <c r="L14" s="272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79" t="n"/>
      <c r="B15" s="267" t="inlineStr">
        <is>
          <t>LUCHO</t>
        </is>
      </c>
      <c r="C15" s="268" t="n">
        <v>1</v>
      </c>
      <c r="D15" s="268" t="n"/>
      <c r="E15" s="268" t="n"/>
      <c r="F15" s="269" t="n"/>
      <c r="G15" s="269" t="n"/>
      <c r="H15" s="231" t="n">
        <v>13000</v>
      </c>
      <c r="I15" s="232" t="n">
        <v>13000</v>
      </c>
      <c r="J15" s="232" t="n"/>
      <c r="K15" s="272" t="n"/>
      <c r="L15" s="272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73" t="n"/>
      <c r="B16" s="274" t="inlineStr">
        <is>
          <t>BONEO 5315</t>
        </is>
      </c>
      <c r="C16" s="275" t="n">
        <v>2</v>
      </c>
      <c r="D16" s="275" t="n"/>
      <c r="E16" s="275" t="n"/>
      <c r="F16" s="276" t="n"/>
      <c r="G16" s="276" t="n"/>
      <c r="H16" s="241" t="n">
        <v>41000</v>
      </c>
      <c r="I16" s="242" t="n"/>
      <c r="J16" s="242" t="n">
        <v>41000</v>
      </c>
      <c r="K16" s="272" t="n"/>
      <c r="L16" s="272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OTNIEL</t>
        </is>
      </c>
      <c r="C17" s="268" t="n"/>
      <c r="D17" s="268" t="n"/>
      <c r="E17" s="268" t="n">
        <v>1</v>
      </c>
      <c r="F17" s="269" t="n"/>
      <c r="G17" s="269" t="n"/>
      <c r="H17" s="231" t="n">
        <v>69000</v>
      </c>
      <c r="I17" s="232" t="n"/>
      <c r="J17" s="232" t="n">
        <v>69000</v>
      </c>
      <c r="K17" s="272" t="n"/>
      <c r="L17" s="272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73" t="n"/>
      <c r="B18" s="274" t="inlineStr">
        <is>
          <t>ARISTOBULO 5879</t>
        </is>
      </c>
      <c r="C18" s="275" t="n"/>
      <c r="D18" s="275" t="n">
        <v>1</v>
      </c>
      <c r="E18" s="275" t="n"/>
      <c r="F18" s="276" t="n"/>
      <c r="G18" s="276" t="n"/>
      <c r="H18" s="241" t="n">
        <v>34500</v>
      </c>
      <c r="I18" s="242" t="n">
        <v>34500</v>
      </c>
      <c r="J18" s="242" t="n"/>
      <c r="K18" s="272" t="n"/>
      <c r="L18" s="272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79" t="n"/>
      <c r="B19" s="267" t="inlineStr">
        <is>
          <t>SABOREAR</t>
        </is>
      </c>
      <c r="C19" s="268" t="n">
        <v>1</v>
      </c>
      <c r="D19" s="268" t="n"/>
      <c r="E19" s="268" t="n"/>
      <c r="F19" s="269" t="n"/>
      <c r="G19" s="269" t="n"/>
      <c r="H19" s="231" t="n">
        <v>18000</v>
      </c>
      <c r="I19" s="232" t="n"/>
      <c r="J19" s="232" t="n">
        <v>18000</v>
      </c>
      <c r="K19" s="272" t="n"/>
      <c r="L19" s="272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73" t="n"/>
      <c r="B20" s="274" t="inlineStr">
        <is>
          <t>LUCIANDO LEIVA Y ALBERTI</t>
        </is>
      </c>
      <c r="C20" s="275" t="n">
        <v>1</v>
      </c>
      <c r="D20" s="275" t="n"/>
      <c r="E20" s="275" t="n"/>
      <c r="F20" s="276" t="n"/>
      <c r="G20" s="276" t="n"/>
      <c r="H20" s="241" t="n">
        <v>20500</v>
      </c>
      <c r="I20" s="242" t="n">
        <v>20500</v>
      </c>
      <c r="J20" s="242" t="n"/>
      <c r="K20" s="272" t="n"/>
      <c r="L20" s="272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OTNIEL</t>
        </is>
      </c>
      <c r="C21" s="268" t="n"/>
      <c r="D21" s="268" t="n"/>
      <c r="E21" s="268" t="n"/>
      <c r="F21" s="269" t="n"/>
      <c r="G21" s="269" t="n">
        <v>2</v>
      </c>
      <c r="H21" s="231" t="n">
        <v>9600</v>
      </c>
      <c r="I21" s="232" t="n">
        <v>4800</v>
      </c>
      <c r="J21" s="232" t="n">
        <v>4800</v>
      </c>
      <c r="K21" s="272" t="n"/>
      <c r="L21" s="272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73" t="n"/>
      <c r="B22" s="274" t="inlineStr">
        <is>
          <t>DIOGENES ANTILLES 675</t>
        </is>
      </c>
      <c r="C22" s="275" t="n"/>
      <c r="D22" s="275" t="n"/>
      <c r="E22" s="275" t="n">
        <v>1</v>
      </c>
      <c r="F22" s="276" t="n"/>
      <c r="G22" s="276" t="n"/>
      <c r="H22" s="241" t="n">
        <v>76000</v>
      </c>
      <c r="I22" s="242" t="n"/>
      <c r="J22" s="242" t="n">
        <v>76000</v>
      </c>
      <c r="K22" s="272" t="n"/>
      <c r="L22" s="272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79" t="n"/>
      <c r="B23" s="267" t="inlineStr">
        <is>
          <t>GRAL PAZ 7826</t>
        </is>
      </c>
      <c r="C23" s="268" t="n">
        <v>1</v>
      </c>
      <c r="D23" s="268" t="n"/>
      <c r="E23" s="268" t="n"/>
      <c r="F23" s="269" t="n"/>
      <c r="G23" s="269" t="n"/>
      <c r="H23" s="231" t="n">
        <v>22000</v>
      </c>
      <c r="I23" s="232" t="n">
        <v>22000</v>
      </c>
      <c r="J23" s="232" t="n"/>
      <c r="K23" s="272" t="n"/>
      <c r="L23" s="272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73" t="n"/>
      <c r="B24" s="274" t="inlineStr">
        <is>
          <t>FILOMENA</t>
        </is>
      </c>
      <c r="C24" s="275" t="n">
        <v>2</v>
      </c>
      <c r="D24" s="275" t="n"/>
      <c r="E24" s="275" t="n"/>
      <c r="F24" s="276" t="n"/>
      <c r="G24" s="276" t="n"/>
      <c r="H24" s="241" t="n">
        <v>36000</v>
      </c>
      <c r="I24" s="242" t="n"/>
      <c r="J24" s="242" t="n">
        <v>36000</v>
      </c>
      <c r="K24" s="272" t="n"/>
      <c r="L24" s="272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79" t="n"/>
      <c r="B25" s="267" t="inlineStr">
        <is>
          <t>SABOREARTE CARRO</t>
        </is>
      </c>
      <c r="C25" s="268" t="n">
        <v>1</v>
      </c>
      <c r="D25" s="268" t="n"/>
      <c r="E25" s="268" t="n"/>
      <c r="F25" s="269" t="n"/>
      <c r="G25" s="269" t="n"/>
      <c r="H25" s="231" t="n">
        <v>18000</v>
      </c>
      <c r="I25" s="232" t="n"/>
      <c r="J25" s="232" t="n">
        <v>18000</v>
      </c>
      <c r="K25" s="272" t="n"/>
      <c r="L25" s="272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73" t="n"/>
      <c r="B26" s="274" t="inlineStr">
        <is>
          <t>DRAXXO</t>
        </is>
      </c>
      <c r="C26" s="275" t="n">
        <v>1</v>
      </c>
      <c r="D26" s="275" t="n"/>
      <c r="E26" s="275" t="n"/>
      <c r="F26" s="276" t="n"/>
      <c r="G26" s="276" t="n"/>
      <c r="H26" s="241" t="n">
        <v>22000</v>
      </c>
      <c r="I26" s="242" t="n">
        <v>22000</v>
      </c>
      <c r="J26" s="242" t="n"/>
      <c r="K26" s="272" t="n"/>
      <c r="L26" s="272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79" t="n"/>
      <c r="B27" s="267" t="inlineStr">
        <is>
          <t>TACUARI 5717</t>
        </is>
      </c>
      <c r="C27" s="268" t="n">
        <v>1</v>
      </c>
      <c r="D27" s="268" t="n"/>
      <c r="E27" s="268" t="n"/>
      <c r="F27" s="269" t="n"/>
      <c r="G27" s="269" t="n"/>
      <c r="H27" s="231" t="n">
        <v>19500</v>
      </c>
      <c r="I27" s="232" t="n"/>
      <c r="J27" s="232" t="n">
        <v>19500</v>
      </c>
      <c r="K27" s="272" t="n"/>
      <c r="L27" s="272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73" t="n"/>
      <c r="B28" s="274" t="inlineStr">
        <is>
          <t xml:space="preserve">NACHO CUEVA </t>
        </is>
      </c>
      <c r="C28" s="275" t="n">
        <v>2</v>
      </c>
      <c r="D28" s="275" t="n"/>
      <c r="E28" s="275" t="n"/>
      <c r="F28" s="276" t="n"/>
      <c r="G28" s="276" t="n"/>
      <c r="H28" s="241" t="n">
        <v>34000</v>
      </c>
      <c r="I28" s="242" t="n">
        <v>34000</v>
      </c>
      <c r="J28" s="242" t="n"/>
      <c r="K28" s="272" t="n"/>
      <c r="L28" s="272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79" t="n"/>
      <c r="B29" s="267" t="inlineStr">
        <is>
          <t>CHICLANA 9671</t>
        </is>
      </c>
      <c r="C29" s="268" t="n"/>
      <c r="D29" s="268" t="n"/>
      <c r="E29" s="268" t="n">
        <v>1</v>
      </c>
      <c r="F29" s="269" t="n"/>
      <c r="G29" s="269" t="n"/>
      <c r="H29" s="231" t="n">
        <v>84000</v>
      </c>
      <c r="I29" s="232" t="n"/>
      <c r="J29" s="232" t="n">
        <v>84000</v>
      </c>
      <c r="K29" s="272" t="n"/>
      <c r="L29" s="272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73" t="n"/>
      <c r="B30" s="274" t="inlineStr">
        <is>
          <t xml:space="preserve">BRASERIA </t>
        </is>
      </c>
      <c r="C30" s="275" t="n"/>
      <c r="D30" s="275" t="n"/>
      <c r="E30" s="275" t="n">
        <v>1</v>
      </c>
      <c r="F30" s="276" t="n"/>
      <c r="G30" s="276" t="n"/>
      <c r="H30" s="241" t="n">
        <v>69000</v>
      </c>
      <c r="I30" s="242" t="n"/>
      <c r="J30" s="242" t="n">
        <v>69000</v>
      </c>
      <c r="K30" s="272" t="n"/>
      <c r="L30" s="272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79" t="n">
        <v>46026</v>
      </c>
      <c r="B31" s="267" t="inlineStr">
        <is>
          <t xml:space="preserve">PARRILA BLAS PARERA </t>
        </is>
      </c>
      <c r="C31" s="268" t="n">
        <v>1</v>
      </c>
      <c r="D31" s="268" t="n"/>
      <c r="E31" s="268" t="n"/>
      <c r="F31" s="269" t="n"/>
      <c r="G31" s="269" t="n"/>
      <c r="H31" s="231" t="n">
        <v>16000</v>
      </c>
      <c r="I31" s="232" t="n"/>
      <c r="J31" s="232" t="n">
        <v>16000</v>
      </c>
      <c r="K31" s="272" t="n"/>
      <c r="L31" s="272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73" t="n"/>
      <c r="B32" s="274" t="inlineStr">
        <is>
          <t>ALISOS 5837</t>
        </is>
      </c>
      <c r="C32" s="275" t="n">
        <v>1</v>
      </c>
      <c r="D32" s="275" t="n"/>
      <c r="E32" s="275" t="n"/>
      <c r="F32" s="276" t="n"/>
      <c r="G32" s="276" t="n"/>
      <c r="H32" s="241" t="n">
        <v>139500</v>
      </c>
      <c r="I32" s="242" t="n"/>
      <c r="J32" s="242" t="n">
        <v>139500</v>
      </c>
      <c r="K32" s="272" t="n"/>
      <c r="L32" s="272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79" t="n"/>
      <c r="B33" s="267" t="inlineStr">
        <is>
          <t>PANA ALBERTI</t>
        </is>
      </c>
      <c r="C33" s="268" t="n">
        <v>1</v>
      </c>
      <c r="D33" s="268" t="n"/>
      <c r="E33" s="268" t="n">
        <v>1</v>
      </c>
      <c r="F33" s="269" t="n"/>
      <c r="G33" s="269" t="n"/>
      <c r="H33" s="231" t="n">
        <v>87000</v>
      </c>
      <c r="I33" s="232" t="n">
        <v>87000</v>
      </c>
      <c r="J33" s="232" t="n"/>
      <c r="K33" s="272" t="n"/>
      <c r="L33" s="272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73" t="n"/>
      <c r="B34" s="274" t="inlineStr">
        <is>
          <t>C FUNES 4553</t>
        </is>
      </c>
      <c r="C34" s="275" t="n"/>
      <c r="D34" s="275" t="n"/>
      <c r="E34" s="275" t="n">
        <v>1</v>
      </c>
      <c r="F34" s="276" t="n"/>
      <c r="G34" s="276" t="n"/>
      <c r="H34" s="241" t="n">
        <v>69000</v>
      </c>
      <c r="I34" s="242" t="n"/>
      <c r="J34" s="242" t="n">
        <v>69000</v>
      </c>
      <c r="K34" s="272" t="n"/>
      <c r="L34" s="272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79" t="n"/>
      <c r="B35" s="267" t="inlineStr">
        <is>
          <t>J CIBILS 2519</t>
        </is>
      </c>
      <c r="C35" s="268" t="n"/>
      <c r="D35" s="268" t="n"/>
      <c r="E35" s="268" t="n">
        <v>1</v>
      </c>
      <c r="F35" s="269" t="n"/>
      <c r="G35" s="269" t="n"/>
      <c r="H35" s="231" t="n">
        <v>72000</v>
      </c>
      <c r="I35" s="232" t="n"/>
      <c r="J35" s="232" t="n">
        <v>72000</v>
      </c>
      <c r="K35" s="272" t="n"/>
      <c r="L35" s="272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M ZAPATA 3304</t>
        </is>
      </c>
      <c r="C36" s="275" t="n">
        <v>1</v>
      </c>
      <c r="D36" s="275" t="n"/>
      <c r="E36" s="275" t="n"/>
      <c r="F36" s="276" t="n"/>
      <c r="G36" s="276" t="n"/>
      <c r="H36" s="241" t="n">
        <v>22000</v>
      </c>
      <c r="I36" s="242" t="n"/>
      <c r="J36" s="242" t="n">
        <v>22000</v>
      </c>
      <c r="K36" s="272" t="n"/>
      <c r="L36" s="272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79" t="n"/>
      <c r="B37" s="267" t="inlineStr">
        <is>
          <t>SABOREAR</t>
        </is>
      </c>
      <c r="C37" s="268" t="n"/>
      <c r="D37" s="268" t="n">
        <v>1</v>
      </c>
      <c r="E37" s="268" t="n"/>
      <c r="F37" s="269" t="n"/>
      <c r="G37" s="269" t="n"/>
      <c r="H37" s="231" t="n">
        <v>27000</v>
      </c>
      <c r="I37" s="232" t="n"/>
      <c r="J37" s="232" t="n">
        <v>27000</v>
      </c>
      <c r="K37" s="272" t="n"/>
      <c r="L37" s="272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73" t="n">
        <v>46027</v>
      </c>
      <c r="B38" s="274" t="inlineStr">
        <is>
          <t>PANA VIEYTES</t>
        </is>
      </c>
      <c r="C38" s="275" t="n">
        <v>1</v>
      </c>
      <c r="D38" s="275" t="n"/>
      <c r="E38" s="275" t="n"/>
      <c r="F38" s="276" t="n"/>
      <c r="G38" s="276" t="n"/>
      <c r="H38" s="241" t="n">
        <v>16000</v>
      </c>
      <c r="I38" s="242" t="n"/>
      <c r="J38" s="242" t="n">
        <v>16000</v>
      </c>
      <c r="K38" s="272" t="n"/>
      <c r="L38" s="272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79" t="n"/>
      <c r="B39" s="267" t="inlineStr">
        <is>
          <t>PAULO</t>
        </is>
      </c>
      <c r="C39" s="268" t="n">
        <v>2</v>
      </c>
      <c r="D39" s="268" t="n">
        <v>1</v>
      </c>
      <c r="E39" s="268" t="n"/>
      <c r="F39" s="269" t="n"/>
      <c r="G39" s="269" t="n"/>
      <c r="H39" s="231" t="n">
        <v>45000</v>
      </c>
      <c r="I39" s="232" t="n">
        <v>45000</v>
      </c>
      <c r="J39" s="232" t="n"/>
      <c r="K39" s="272" t="n"/>
      <c r="L39" s="272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73" t="n"/>
      <c r="B40" s="274" t="inlineStr">
        <is>
          <t>SANDRA</t>
        </is>
      </c>
      <c r="C40" s="275" t="n">
        <v>1</v>
      </c>
      <c r="D40" s="275" t="n"/>
      <c r="E40" s="275" t="n"/>
      <c r="F40" s="276" t="n"/>
      <c r="G40" s="276" t="n">
        <v>1</v>
      </c>
      <c r="H40" s="241" t="n">
        <v>17000</v>
      </c>
      <c r="I40" s="242" t="n">
        <v>17000</v>
      </c>
      <c r="J40" s="242" t="n"/>
      <c r="K40" s="272" t="n"/>
      <c r="L40" s="272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79" t="n"/>
      <c r="B41" s="267" t="inlineStr">
        <is>
          <t>LUCHO</t>
        </is>
      </c>
      <c r="C41" s="268" t="n">
        <v>2</v>
      </c>
      <c r="D41" s="268" t="n"/>
      <c r="E41" s="268" t="n"/>
      <c r="F41" s="269" t="n"/>
      <c r="G41" s="269" t="n"/>
      <c r="H41" s="231" t="n">
        <v>26000</v>
      </c>
      <c r="I41" s="232" t="n">
        <v>26000</v>
      </c>
      <c r="J41" s="232" t="n"/>
      <c r="K41" s="272" t="n"/>
      <c r="L41" s="272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73" t="n"/>
      <c r="B42" s="274" t="inlineStr">
        <is>
          <t>CAREN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/>
      <c r="J42" s="242" t="n">
        <v>69000</v>
      </c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79" t="n"/>
      <c r="B43" s="267" t="inlineStr">
        <is>
          <t>FILOMENA</t>
        </is>
      </c>
      <c r="C43" s="268" t="n">
        <v>2</v>
      </c>
      <c r="D43" s="268" t="n"/>
      <c r="E43" s="268" t="n"/>
      <c r="F43" s="269" t="n"/>
      <c r="G43" s="269" t="n"/>
      <c r="H43" s="231" t="n">
        <v>36000</v>
      </c>
      <c r="I43" s="232" t="n">
        <v>36000</v>
      </c>
      <c r="J43" s="232" t="n"/>
      <c r="K43" s="272" t="n"/>
      <c r="L43" s="272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73" t="n"/>
      <c r="B44" s="274" t="inlineStr">
        <is>
          <t>SAN MARTIN 1925</t>
        </is>
      </c>
      <c r="C44" s="275" t="n">
        <v>1</v>
      </c>
      <c r="D44" s="275" t="n"/>
      <c r="E44" s="275" t="n"/>
      <c r="F44" s="276" t="n"/>
      <c r="G44" s="276" t="n"/>
      <c r="H44" s="241" t="n">
        <v>19500</v>
      </c>
      <c r="I44" s="242" t="n">
        <v>19500</v>
      </c>
      <c r="J44" s="242" t="n"/>
      <c r="K44" s="272" t="n"/>
      <c r="L44" s="272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79" t="n"/>
      <c r="B45" s="267" t="inlineStr">
        <is>
          <t>LAVAISE 1074</t>
        </is>
      </c>
      <c r="C45" s="268" t="n">
        <v>1</v>
      </c>
      <c r="D45" s="268" t="n"/>
      <c r="E45" s="268" t="n"/>
      <c r="F45" s="269" t="n"/>
      <c r="G45" s="269" t="n">
        <v>2</v>
      </c>
      <c r="H45" s="231" t="n">
        <v>33600</v>
      </c>
      <c r="I45" s="232" t="n"/>
      <c r="J45" s="232" t="n">
        <v>33600</v>
      </c>
      <c r="K45" s="272" t="n"/>
      <c r="L45" s="272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73" t="n"/>
      <c r="B46" s="274" t="inlineStr">
        <is>
          <t>MAURITO</t>
        </is>
      </c>
      <c r="C46" s="275" t="n">
        <v>2</v>
      </c>
      <c r="D46" s="275" t="n"/>
      <c r="E46" s="275" t="n"/>
      <c r="F46" s="276" t="n"/>
      <c r="G46" s="276" t="n"/>
      <c r="H46" s="241" t="n">
        <v>26000</v>
      </c>
      <c r="I46" s="242" t="n"/>
      <c r="J46" s="242" t="n">
        <v>26000</v>
      </c>
      <c r="K46" s="272" t="n"/>
      <c r="L46" s="272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79" t="n">
        <v>46028</v>
      </c>
      <c r="B47" s="267" t="inlineStr">
        <is>
          <t>GOLD COSTA ESTE</t>
        </is>
      </c>
      <c r="C47" s="268" t="n"/>
      <c r="D47" s="268" t="n"/>
      <c r="E47" s="268" t="n">
        <v>3</v>
      </c>
      <c r="F47" s="269" t="n"/>
      <c r="G47" s="269" t="n"/>
      <c r="H47" s="231" t="n">
        <v>231000</v>
      </c>
      <c r="I47" s="232" t="n"/>
      <c r="J47" s="232" t="n">
        <v>231000</v>
      </c>
      <c r="K47" s="272" t="n"/>
      <c r="L47" s="272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73" t="n"/>
      <c r="B48" s="274" t="inlineStr">
        <is>
          <t xml:space="preserve">ROTI DOMINGO SILVA </t>
        </is>
      </c>
      <c r="C48" s="275" t="n">
        <v>4</v>
      </c>
      <c r="D48" s="275" t="n"/>
      <c r="E48" s="275" t="n"/>
      <c r="F48" s="276" t="n"/>
      <c r="G48" s="276" t="n"/>
      <c r="H48" s="241" t="n">
        <v>52000</v>
      </c>
      <c r="I48" s="242" t="n">
        <v>52000</v>
      </c>
      <c r="J48" s="242" t="n"/>
      <c r="K48" s="272" t="n"/>
      <c r="L48" s="272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79" t="n"/>
      <c r="B49" s="267" t="inlineStr">
        <is>
          <t>LUCHO</t>
        </is>
      </c>
      <c r="C49" s="268" t="n"/>
      <c r="D49" s="268" t="n"/>
      <c r="E49" s="268" t="n"/>
      <c r="F49" s="269" t="n"/>
      <c r="G49" s="269" t="n">
        <v>1</v>
      </c>
      <c r="H49" s="231" t="n">
        <v>4800</v>
      </c>
      <c r="I49" s="232" t="n">
        <v>4800</v>
      </c>
      <c r="J49" s="232" t="n"/>
      <c r="K49" s="272" t="n"/>
      <c r="L49" s="272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73" t="n"/>
      <c r="B50" s="274" t="inlineStr">
        <is>
          <t>AZCUENAGA 5023</t>
        </is>
      </c>
      <c r="C50" s="275" t="n">
        <v>7</v>
      </c>
      <c r="D50" s="275" t="n"/>
      <c r="E50" s="275" t="n"/>
      <c r="F50" s="276" t="n"/>
      <c r="G50" s="276" t="n"/>
      <c r="H50" s="241" t="n">
        <v>91000</v>
      </c>
      <c r="I50" s="242" t="n"/>
      <c r="J50" s="242" t="n">
        <v>91000</v>
      </c>
      <c r="K50" s="272" t="n"/>
      <c r="L50" s="272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79" t="n"/>
      <c r="B51" s="267" t="inlineStr">
        <is>
          <t>R GODOY 1614</t>
        </is>
      </c>
      <c r="C51" s="268" t="n">
        <v>1</v>
      </c>
      <c r="D51" s="268" t="n"/>
      <c r="E51" s="268" t="n"/>
      <c r="F51" s="269" t="n"/>
      <c r="G51" s="269" t="n"/>
      <c r="H51" s="231" t="n">
        <v>19000</v>
      </c>
      <c r="I51" s="232" t="n">
        <v>19000</v>
      </c>
      <c r="J51" s="232" t="n"/>
      <c r="K51" s="272" t="n"/>
      <c r="L51" s="272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73" t="n"/>
      <c r="B52" s="274" t="inlineStr">
        <is>
          <t>PJE MITRE 2409</t>
        </is>
      </c>
      <c r="C52" s="275" t="n">
        <v>1</v>
      </c>
      <c r="D52" s="275" t="n"/>
      <c r="E52" s="275" t="n"/>
      <c r="F52" s="276" t="n"/>
      <c r="G52" s="276" t="n"/>
      <c r="H52" s="241" t="n">
        <v>19500</v>
      </c>
      <c r="I52" s="242" t="n">
        <v>19500</v>
      </c>
      <c r="J52" s="242" t="n"/>
      <c r="K52" s="272" t="n"/>
      <c r="L52" s="272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79" t="n"/>
      <c r="B53" s="267" t="inlineStr">
        <is>
          <t xml:space="preserve">CINDO </t>
        </is>
      </c>
      <c r="C53" s="268" t="n"/>
      <c r="D53" s="268" t="n"/>
      <c r="E53" s="268" t="n"/>
      <c r="F53" s="269" t="n">
        <v>2</v>
      </c>
      <c r="G53" s="269" t="n"/>
      <c r="H53" s="231" t="n">
        <v>6500</v>
      </c>
      <c r="I53" s="232" t="n"/>
      <c r="J53" s="232" t="n">
        <v>6500</v>
      </c>
      <c r="K53" s="272" t="n"/>
      <c r="L53" s="272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73" t="n"/>
      <c r="B54" s="274" t="inlineStr">
        <is>
          <t>9 DE JULIO 1144</t>
        </is>
      </c>
      <c r="C54" s="275" t="n"/>
      <c r="D54" s="275" t="n"/>
      <c r="E54" s="275" t="n">
        <v>1</v>
      </c>
      <c r="F54" s="276" t="n"/>
      <c r="G54" s="276" t="n"/>
      <c r="H54" s="241" t="n">
        <v>77000</v>
      </c>
      <c r="I54" s="242" t="n"/>
      <c r="J54" s="242" t="n">
        <v>77000</v>
      </c>
      <c r="K54" s="272" t="n"/>
      <c r="L54" s="272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79" t="n"/>
      <c r="B55" s="267" t="inlineStr">
        <is>
          <t>SAVEDRA 6445</t>
        </is>
      </c>
      <c r="C55" s="268" t="n"/>
      <c r="D55" s="268" t="n"/>
      <c r="E55" s="268" t="n">
        <v>1</v>
      </c>
      <c r="F55" s="269" t="n"/>
      <c r="G55" s="269" t="n"/>
      <c r="H55" s="231" t="n">
        <v>72000</v>
      </c>
      <c r="I55" s="232" t="n"/>
      <c r="J55" s="232" t="n">
        <v>72000</v>
      </c>
      <c r="K55" s="272" t="n"/>
      <c r="L55" s="272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73" t="n">
        <v>46029</v>
      </c>
      <c r="B56" s="274" t="inlineStr">
        <is>
          <t>ESPORA 5335</t>
        </is>
      </c>
      <c r="C56" s="275" t="n"/>
      <c r="D56" s="275" t="n"/>
      <c r="E56" s="275" t="n">
        <v>1</v>
      </c>
      <c r="F56" s="276" t="n"/>
      <c r="G56" s="276" t="n"/>
      <c r="H56" s="241" t="n">
        <v>77000</v>
      </c>
      <c r="I56" s="242" t="n">
        <v>77000</v>
      </c>
      <c r="J56" s="242" t="n"/>
      <c r="K56" s="272" t="n"/>
      <c r="L56" s="272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79" t="n"/>
      <c r="B57" s="267" t="inlineStr">
        <is>
          <t>WILLIAN</t>
        </is>
      </c>
      <c r="C57" s="268" t="n"/>
      <c r="D57" s="268" t="n">
        <v>1</v>
      </c>
      <c r="E57" s="268" t="n"/>
      <c r="F57" s="269" t="n"/>
      <c r="G57" s="269" t="n"/>
      <c r="H57" s="231" t="n">
        <v>29500</v>
      </c>
      <c r="I57" s="232" t="n"/>
      <c r="J57" s="232" t="n">
        <v>29500</v>
      </c>
      <c r="K57" s="272" t="n"/>
      <c r="L57" s="272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73" t="n"/>
      <c r="B58" s="274" t="inlineStr">
        <is>
          <t>LUCHO</t>
        </is>
      </c>
      <c r="C58" s="275" t="n"/>
      <c r="D58" s="275" t="n">
        <v>1</v>
      </c>
      <c r="E58" s="275" t="n"/>
      <c r="F58" s="276" t="n"/>
      <c r="G58" s="276" t="n"/>
      <c r="H58" s="241" t="n">
        <v>21000</v>
      </c>
      <c r="I58" s="242" t="n">
        <v>21000</v>
      </c>
      <c r="J58" s="242" t="n"/>
      <c r="K58" s="272" t="n"/>
      <c r="L58" s="272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79" t="n"/>
      <c r="B59" s="267" t="inlineStr">
        <is>
          <t>ROTI SAN LORENZO</t>
        </is>
      </c>
      <c r="C59" s="268" t="n"/>
      <c r="D59" s="268" t="n">
        <v>1</v>
      </c>
      <c r="E59" s="268" t="n"/>
      <c r="F59" s="269" t="n"/>
      <c r="G59" s="269" t="n"/>
      <c r="H59" s="231" t="n">
        <v>28000</v>
      </c>
      <c r="I59" s="232" t="n"/>
      <c r="J59" s="232" t="n">
        <v>28000</v>
      </c>
      <c r="K59" s="272" t="n"/>
      <c r="L59" s="272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73" t="n"/>
      <c r="B60" s="274" t="inlineStr">
        <is>
          <t>PANA HNO FIGUERIOA</t>
        </is>
      </c>
      <c r="C60" s="275" t="n"/>
      <c r="D60" s="275" t="n"/>
      <c r="E60" s="275" t="n">
        <v>1</v>
      </c>
      <c r="F60" s="276" t="n"/>
      <c r="G60" s="276" t="n"/>
      <c r="H60" s="241" t="n">
        <v>65000</v>
      </c>
      <c r="I60" s="242" t="n"/>
      <c r="J60" s="242" t="n">
        <v>65000</v>
      </c>
      <c r="K60" s="272" t="n"/>
      <c r="L60" s="272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79" t="n">
        <v>46030</v>
      </c>
      <c r="B61" s="267" t="inlineStr">
        <is>
          <t>BLAS PARERA 6054</t>
        </is>
      </c>
      <c r="C61" s="268" t="n"/>
      <c r="D61" s="268" t="n"/>
      <c r="E61" s="268" t="n">
        <v>1</v>
      </c>
      <c r="F61" s="269" t="n"/>
      <c r="G61" s="269" t="n"/>
      <c r="H61" s="231" t="n">
        <v>69000</v>
      </c>
      <c r="I61" s="232" t="n">
        <v>69000</v>
      </c>
      <c r="J61" s="232" t="n"/>
      <c r="K61" s="272" t="n"/>
      <c r="L61" s="272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73" t="n"/>
      <c r="B62" s="274" t="inlineStr">
        <is>
          <t>OTNIEL</t>
        </is>
      </c>
      <c r="C62" s="275" t="n">
        <v>1</v>
      </c>
      <c r="D62" s="275" t="n"/>
      <c r="E62" s="275" t="n">
        <v>1</v>
      </c>
      <c r="F62" s="276" t="n"/>
      <c r="G62" s="276" t="n">
        <v>3</v>
      </c>
      <c r="H62" s="241" t="n">
        <v>101400</v>
      </c>
      <c r="I62" s="242" t="n"/>
      <c r="J62" s="242" t="n">
        <v>101400</v>
      </c>
      <c r="K62" s="272" t="n"/>
      <c r="L62" s="272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79" t="n"/>
      <c r="B63" s="267" t="inlineStr">
        <is>
          <t>JEMA BURGUER</t>
        </is>
      </c>
      <c r="C63" s="268" t="n"/>
      <c r="D63" s="268" t="n"/>
      <c r="E63" s="268" t="n"/>
      <c r="F63" s="269" t="n"/>
      <c r="G63" s="269" t="n">
        <v>3</v>
      </c>
      <c r="H63" s="231" t="n">
        <v>14400</v>
      </c>
      <c r="I63" s="232" t="n">
        <v>14400</v>
      </c>
      <c r="J63" s="232" t="n"/>
      <c r="K63" s="272" t="n"/>
      <c r="L63" s="272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73" t="n"/>
      <c r="B64" s="274" t="inlineStr">
        <is>
          <t>GORRITI 4331</t>
        </is>
      </c>
      <c r="C64" s="275" t="n"/>
      <c r="D64" s="275" t="n">
        <v>1</v>
      </c>
      <c r="E64" s="275" t="n"/>
      <c r="F64" s="276" t="n"/>
      <c r="G64" s="276" t="n"/>
      <c r="H64" s="241" t="n">
        <v>33000</v>
      </c>
      <c r="I64" s="242" t="n"/>
      <c r="J64" s="242" t="n">
        <v>33000</v>
      </c>
      <c r="K64" s="272" t="n"/>
      <c r="L64" s="272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79" t="n"/>
      <c r="B65" s="267" t="inlineStr">
        <is>
          <t>FILOMENA</t>
        </is>
      </c>
      <c r="C65" s="268" t="n">
        <v>2</v>
      </c>
      <c r="D65" s="268" t="n"/>
      <c r="E65" s="268" t="n"/>
      <c r="F65" s="269" t="n"/>
      <c r="G65" s="269" t="n"/>
      <c r="H65" s="231" t="n">
        <v>36000</v>
      </c>
      <c r="I65" s="232" t="n">
        <v>36000</v>
      </c>
      <c r="J65" s="232" t="n"/>
      <c r="K65" s="272" t="n"/>
      <c r="L65" s="272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73" t="n"/>
      <c r="B66" s="274" t="inlineStr">
        <is>
          <t xml:space="preserve">NACHI CUEVA </t>
        </is>
      </c>
      <c r="C66" s="275" t="n">
        <v>1</v>
      </c>
      <c r="D66" s="275" t="n">
        <v>1</v>
      </c>
      <c r="E66" s="275" t="n"/>
      <c r="F66" s="276" t="n"/>
      <c r="G66" s="276" t="n"/>
      <c r="H66" s="241" t="n">
        <v>45000</v>
      </c>
      <c r="I66" s="242" t="n">
        <v>45000</v>
      </c>
      <c r="J66" s="242" t="n"/>
      <c r="K66" s="272" t="n"/>
      <c r="L66" s="272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79" t="n"/>
      <c r="B67" s="267" t="inlineStr">
        <is>
          <t>EXE</t>
        </is>
      </c>
      <c r="C67" s="268" t="n"/>
      <c r="D67" s="268" t="n"/>
      <c r="E67" s="268" t="n">
        <v>1</v>
      </c>
      <c r="F67" s="269" t="n"/>
      <c r="G67" s="269" t="n"/>
      <c r="H67" s="231" t="n">
        <v>69000</v>
      </c>
      <c r="I67" s="232" t="n"/>
      <c r="J67" s="232" t="n">
        <v>69000</v>
      </c>
      <c r="K67" s="272" t="n"/>
      <c r="L67" s="272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73" t="n"/>
      <c r="B68" s="274" t="inlineStr">
        <is>
          <t>PANA VIEYTES 3800</t>
        </is>
      </c>
      <c r="C68" s="275" t="n"/>
      <c r="D68" s="275" t="n"/>
      <c r="E68" s="275" t="n">
        <v>1</v>
      </c>
      <c r="F68" s="276" t="n"/>
      <c r="G68" s="276" t="n"/>
      <c r="H68" s="241" t="n">
        <v>69000</v>
      </c>
      <c r="I68" s="242" t="n">
        <v>69000</v>
      </c>
      <c r="J68" s="242" t="n"/>
      <c r="K68" s="272" t="n"/>
      <c r="L68" s="272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79" t="n"/>
      <c r="B69" s="267" t="inlineStr">
        <is>
          <t>PANA GENESIO</t>
        </is>
      </c>
      <c r="C69" s="268" t="n"/>
      <c r="D69" s="268" t="n"/>
      <c r="E69" s="268" t="n">
        <v>1</v>
      </c>
      <c r="F69" s="269" t="n"/>
      <c r="G69" s="269" t="n"/>
      <c r="H69" s="231" t="n">
        <v>69000</v>
      </c>
      <c r="I69" s="232" t="n">
        <v>69000</v>
      </c>
      <c r="J69" s="232" t="n"/>
      <c r="K69" s="272" t="n"/>
      <c r="L69" s="272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73" t="n"/>
      <c r="B70" s="274" t="inlineStr">
        <is>
          <t>PANA VIEYTES 4500</t>
        </is>
      </c>
      <c r="C70" s="275" t="n"/>
      <c r="D70" s="275" t="n"/>
      <c r="E70" s="275" t="n">
        <v>1</v>
      </c>
      <c r="F70" s="276" t="n"/>
      <c r="G70" s="276" t="n"/>
      <c r="H70" s="241" t="n">
        <v>65000</v>
      </c>
      <c r="I70" s="242" t="n">
        <v>65000</v>
      </c>
      <c r="J70" s="242" t="n"/>
      <c r="K70" s="272" t="n"/>
      <c r="L70" s="272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79" t="n"/>
      <c r="B71" s="267" t="inlineStr">
        <is>
          <t xml:space="preserve">POLLERIA. BLAS PAREA </t>
        </is>
      </c>
      <c r="C71" s="268" t="n">
        <v>1</v>
      </c>
      <c r="D71" s="268" t="n"/>
      <c r="E71" s="268" t="n"/>
      <c r="F71" s="269" t="n"/>
      <c r="G71" s="269" t="n"/>
      <c r="H71" s="231" t="n">
        <v>17000</v>
      </c>
      <c r="I71" s="232" t="n">
        <v>17000</v>
      </c>
      <c r="J71" s="232" t="n"/>
      <c r="K71" s="272" t="n"/>
      <c r="L71" s="272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73" t="n">
        <v>46031</v>
      </c>
      <c r="B72" s="274" t="inlineStr">
        <is>
          <t>FABIAN</t>
        </is>
      </c>
      <c r="C72" s="275" t="n">
        <v>1</v>
      </c>
      <c r="D72" s="275" t="n"/>
      <c r="E72" s="275" t="n"/>
      <c r="F72" s="276" t="n"/>
      <c r="G72" s="276" t="n"/>
      <c r="H72" s="241" t="n">
        <v>20000</v>
      </c>
      <c r="I72" s="242" t="n">
        <v>20000</v>
      </c>
      <c r="J72" s="242" t="n"/>
      <c r="K72" s="272" t="n"/>
      <c r="L72" s="272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79" t="n"/>
      <c r="B73" s="267" t="inlineStr">
        <is>
          <t xml:space="preserve">PANA VIEYTES </t>
        </is>
      </c>
      <c r="C73" s="268" t="n">
        <v>1</v>
      </c>
      <c r="D73" s="268" t="n"/>
      <c r="E73" s="268" t="n"/>
      <c r="F73" s="269" t="n">
        <v>1</v>
      </c>
      <c r="G73" s="269" t="n"/>
      <c r="H73" s="231" t="n">
        <v>19700</v>
      </c>
      <c r="I73" s="232" t="n"/>
      <c r="J73" s="232" t="n">
        <v>19700</v>
      </c>
      <c r="K73" s="272" t="n"/>
      <c r="L73" s="272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73" t="n"/>
      <c r="B74" s="274" t="inlineStr">
        <is>
          <t>OTNIEL</t>
        </is>
      </c>
      <c r="C74" s="275" t="n"/>
      <c r="D74" s="275" t="n"/>
      <c r="E74" s="275" t="n"/>
      <c r="F74" s="276" t="n">
        <v>4</v>
      </c>
      <c r="G74" s="276" t="n"/>
      <c r="H74" s="241" t="n">
        <v>14400</v>
      </c>
      <c r="I74" s="242" t="n">
        <v>14400</v>
      </c>
      <c r="J74" s="242" t="n"/>
      <c r="K74" s="272" t="n"/>
      <c r="L74" s="272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79" t="n"/>
      <c r="B75" s="267" t="inlineStr">
        <is>
          <t xml:space="preserve">ROTI VIEYTES </t>
        </is>
      </c>
      <c r="C75" s="268" t="n"/>
      <c r="D75" s="268" t="n">
        <v>4</v>
      </c>
      <c r="E75" s="268" t="n"/>
      <c r="F75" s="269" t="n"/>
      <c r="G75" s="269" t="n"/>
      <c r="H75" s="231" t="n">
        <v>78000</v>
      </c>
      <c r="I75" s="232" t="n"/>
      <c r="J75" s="232" t="n">
        <v>78000</v>
      </c>
      <c r="K75" s="272" t="n"/>
      <c r="L75" s="272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73" t="n"/>
      <c r="B76" s="274" t="inlineStr">
        <is>
          <t>LOBATO BARBARA</t>
        </is>
      </c>
      <c r="C76" s="275" t="n"/>
      <c r="D76" s="275" t="n"/>
      <c r="E76" s="275" t="n">
        <v>1</v>
      </c>
      <c r="F76" s="276" t="n"/>
      <c r="G76" s="276" t="n"/>
      <c r="H76" s="241" t="n">
        <v>75000</v>
      </c>
      <c r="I76" s="242" t="n">
        <v>75000</v>
      </c>
      <c r="J76" s="242" t="n"/>
      <c r="K76" s="272" t="n"/>
      <c r="L76" s="272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79" t="n"/>
      <c r="B77" s="267" t="inlineStr">
        <is>
          <t>ANA ABDALA</t>
        </is>
      </c>
      <c r="C77" s="268" t="n">
        <v>1</v>
      </c>
      <c r="D77" s="268" t="n"/>
      <c r="E77" s="268" t="n"/>
      <c r="F77" s="269" t="n"/>
      <c r="G77" s="269" t="n"/>
      <c r="H77" s="231" t="n">
        <v>22000</v>
      </c>
      <c r="I77" s="232" t="n">
        <v>22000</v>
      </c>
      <c r="J77" s="232" t="n"/>
      <c r="K77" s="272" t="n"/>
      <c r="L77" s="272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73" t="n"/>
      <c r="B78" s="274" t="inlineStr">
        <is>
          <t>JUJUY 3451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>
        <v>22000</v>
      </c>
      <c r="J78" s="242" t="n"/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79" t="n"/>
      <c r="B79" s="267" t="inlineStr">
        <is>
          <t>SABOREAR</t>
        </is>
      </c>
      <c r="C79" s="268" t="n">
        <v>1</v>
      </c>
      <c r="D79" s="268" t="n"/>
      <c r="E79" s="268" t="n">
        <v>1</v>
      </c>
      <c r="F79" s="269" t="n"/>
      <c r="G79" s="269" t="n"/>
      <c r="H79" s="231" t="n">
        <v>87000</v>
      </c>
      <c r="I79" s="232" t="n"/>
      <c r="J79" s="232" t="n">
        <v>87000</v>
      </c>
      <c r="K79" s="272" t="n"/>
      <c r="L79" s="272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73" t="n">
        <v>46032</v>
      </c>
      <c r="B80" s="274" t="inlineStr">
        <is>
          <t>PANA GORRITI</t>
        </is>
      </c>
      <c r="C80" s="275" t="n"/>
      <c r="D80" s="275" t="n"/>
      <c r="E80" s="275" t="n">
        <v>1</v>
      </c>
      <c r="F80" s="276" t="n"/>
      <c r="G80" s="276" t="n"/>
      <c r="H80" s="241" t="n">
        <v>72000</v>
      </c>
      <c r="I80" s="242" t="n">
        <v>72000</v>
      </c>
      <c r="J80" s="242" t="n"/>
      <c r="K80" s="272" t="n"/>
      <c r="L80" s="272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79" t="n"/>
      <c r="B81" s="267" t="inlineStr">
        <is>
          <t>BERUTI 5520</t>
        </is>
      </c>
      <c r="C81" s="268" t="n"/>
      <c r="D81" s="268" t="n"/>
      <c r="E81" s="268" t="n"/>
      <c r="F81" s="269" t="n"/>
      <c r="G81" s="269" t="n">
        <v>2</v>
      </c>
      <c r="H81" s="231" t="n">
        <v>10000</v>
      </c>
      <c r="I81" s="232" t="n"/>
      <c r="J81" s="232" t="n">
        <v>10000</v>
      </c>
      <c r="K81" s="272" t="n"/>
      <c r="L81" s="272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73" t="n"/>
      <c r="B82" s="274" t="inlineStr">
        <is>
          <t>AZOPARDO 7219</t>
        </is>
      </c>
      <c r="C82" s="275" t="n">
        <v>1</v>
      </c>
      <c r="D82" s="275" t="n"/>
      <c r="E82" s="275" t="n"/>
      <c r="F82" s="276" t="n"/>
      <c r="G82" s="276" t="n"/>
      <c r="H82" s="241" t="n">
        <v>22000</v>
      </c>
      <c r="I82" s="242" t="n"/>
      <c r="J82" s="242" t="n">
        <v>22000</v>
      </c>
      <c r="K82" s="272" t="n"/>
      <c r="L82" s="272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79" t="n"/>
      <c r="B83" s="267" t="inlineStr">
        <is>
          <t>FILOMENA</t>
        </is>
      </c>
      <c r="C83" s="268" t="n">
        <v>2</v>
      </c>
      <c r="D83" s="268" t="n"/>
      <c r="E83" s="268" t="n"/>
      <c r="F83" s="269" t="n"/>
      <c r="G83" s="269" t="n"/>
      <c r="H83" s="231" t="n">
        <v>36000</v>
      </c>
      <c r="I83" s="232" t="n">
        <v>36000</v>
      </c>
      <c r="J83" s="232" t="n"/>
      <c r="K83" s="272" t="n"/>
      <c r="L83" s="272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73" t="n"/>
      <c r="B84" s="274" t="inlineStr">
        <is>
          <t>SAMDRA</t>
        </is>
      </c>
      <c r="C84" s="275" t="n">
        <v>1</v>
      </c>
      <c r="D84" s="275" t="n"/>
      <c r="E84" s="275" t="n"/>
      <c r="F84" s="276" t="n"/>
      <c r="G84" s="276" t="n"/>
      <c r="H84" s="241" t="n">
        <v>14500</v>
      </c>
      <c r="I84" s="242" t="n">
        <v>14500</v>
      </c>
      <c r="J84" s="242" t="n"/>
      <c r="K84" s="272" t="n"/>
      <c r="L84" s="272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79" t="n"/>
      <c r="B85" s="267" t="inlineStr">
        <is>
          <t>PUBLICO 4746</t>
        </is>
      </c>
      <c r="C85" s="268" t="n"/>
      <c r="D85" s="268" t="n"/>
      <c r="E85" s="268" t="n">
        <v>1</v>
      </c>
      <c r="F85" s="269" t="n"/>
      <c r="G85" s="269" t="n"/>
      <c r="H85" s="231" t="n">
        <v>75000</v>
      </c>
      <c r="I85" s="232" t="n"/>
      <c r="J85" s="232" t="n">
        <v>75000</v>
      </c>
      <c r="K85" s="272" t="n"/>
      <c r="L85" s="272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73" t="n"/>
      <c r="B86" s="274" t="inlineStr">
        <is>
          <t>ALSUNA 7980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>
        <v>22000</v>
      </c>
      <c r="J86" s="242" t="n"/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79" t="n"/>
      <c r="B87" s="267" t="inlineStr">
        <is>
          <t>BRASERIA</t>
        </is>
      </c>
      <c r="C87" s="268" t="n"/>
      <c r="D87" s="268" t="n"/>
      <c r="E87" s="268" t="n">
        <v>1</v>
      </c>
      <c r="F87" s="269" t="n"/>
      <c r="G87" s="269" t="n"/>
      <c r="H87" s="231" t="n">
        <v>69000</v>
      </c>
      <c r="I87" s="232" t="n"/>
      <c r="J87" s="232" t="n">
        <v>69000</v>
      </c>
      <c r="K87" s="272" t="n"/>
      <c r="L87" s="272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73" t="n"/>
      <c r="B88" s="274" t="inlineStr">
        <is>
          <t>GRAL PAZ 7989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79" t="n">
        <v>46033</v>
      </c>
      <c r="B89" s="267" t="inlineStr">
        <is>
          <t>BENTEVEOS DAMIAN</t>
        </is>
      </c>
      <c r="C89" s="268" t="n"/>
      <c r="D89" s="268" t="n"/>
      <c r="E89" s="268" t="n">
        <v>1</v>
      </c>
      <c r="F89" s="269" t="n"/>
      <c r="G89" s="269" t="n"/>
      <c r="H89" s="231" t="n">
        <v>78000</v>
      </c>
      <c r="I89" s="232" t="n"/>
      <c r="J89" s="232" t="n">
        <v>78000</v>
      </c>
      <c r="K89" s="272" t="n"/>
      <c r="L89" s="272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73" t="n"/>
      <c r="B90" s="274" t="inlineStr">
        <is>
          <t>ALBERTI 4538</t>
        </is>
      </c>
      <c r="C90" s="275" t="n"/>
      <c r="D90" s="275" t="n">
        <v>1</v>
      </c>
      <c r="E90" s="275" t="n"/>
      <c r="F90" s="276" t="n"/>
      <c r="G90" s="276" t="n"/>
      <c r="H90" s="241" t="n">
        <v>33000</v>
      </c>
      <c r="I90" s="242" t="n"/>
      <c r="J90" s="242" t="n">
        <v>33000</v>
      </c>
      <c r="K90" s="272" t="n"/>
      <c r="L90" s="272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79" t="n"/>
      <c r="B91" s="267" t="inlineStr">
        <is>
          <t xml:space="preserve">PANA ALBERTI </t>
        </is>
      </c>
      <c r="C91" s="268" t="n"/>
      <c r="D91" s="268" t="n"/>
      <c r="E91" s="268" t="n">
        <v>1</v>
      </c>
      <c r="F91" s="269" t="n"/>
      <c r="G91" s="269" t="n"/>
      <c r="H91" s="231" t="n">
        <v>69000</v>
      </c>
      <c r="I91" s="232" t="n">
        <v>69000</v>
      </c>
      <c r="J91" s="232" t="n"/>
      <c r="K91" s="272" t="n"/>
      <c r="L91" s="272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73" t="n"/>
      <c r="B92" s="274" t="inlineStr">
        <is>
          <t>LUCHO</t>
        </is>
      </c>
      <c r="C92" s="275" t="n">
        <v>4</v>
      </c>
      <c r="D92" s="275" t="n"/>
      <c r="E92" s="275" t="n"/>
      <c r="F92" s="276" t="n"/>
      <c r="G92" s="276" t="n"/>
      <c r="H92" s="241" t="n">
        <v>58000</v>
      </c>
      <c r="I92" s="242" t="n">
        <v>58000</v>
      </c>
      <c r="J92" s="242" t="n"/>
      <c r="K92" s="272" t="n"/>
      <c r="L92" s="272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79" t="n"/>
      <c r="B93" s="267" t="inlineStr">
        <is>
          <t>M CANDIOTI 6281</t>
        </is>
      </c>
      <c r="C93" s="268" t="n">
        <v>1</v>
      </c>
      <c r="D93" s="268" t="n"/>
      <c r="E93" s="268" t="n"/>
      <c r="F93" s="269" t="n"/>
      <c r="G93" s="269" t="n"/>
      <c r="H93" s="231" t="n">
        <v>22000</v>
      </c>
      <c r="I93" s="232" t="n"/>
      <c r="J93" s="232" t="n">
        <v>22000</v>
      </c>
      <c r="K93" s="272" t="n"/>
      <c r="L93" s="272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73" t="n"/>
      <c r="B94" s="274" t="inlineStr">
        <is>
          <t>GARMENDIA 9249</t>
        </is>
      </c>
      <c r="C94" s="275" t="n"/>
      <c r="D94" s="275" t="n">
        <v>1</v>
      </c>
      <c r="E94" s="275" t="n"/>
      <c r="F94" s="276" t="n"/>
      <c r="G94" s="276" t="n"/>
      <c r="H94" s="241" t="n">
        <v>34000</v>
      </c>
      <c r="I94" s="242" t="n"/>
      <c r="J94" s="242" t="n">
        <v>34000</v>
      </c>
      <c r="K94" s="272" t="n"/>
      <c r="L94" s="272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79" t="n"/>
      <c r="B95" s="267" t="inlineStr">
        <is>
          <t>SABORERARTE</t>
        </is>
      </c>
      <c r="C95" s="268" t="n"/>
      <c r="D95" s="268" t="n">
        <v>1</v>
      </c>
      <c r="E95" s="268" t="n"/>
      <c r="F95" s="269" t="n"/>
      <c r="G95" s="269" t="n"/>
      <c r="H95" s="231" t="n">
        <v>28000</v>
      </c>
      <c r="I95" s="232" t="n"/>
      <c r="J95" s="232" t="n">
        <v>28000</v>
      </c>
      <c r="K95" s="272" t="n"/>
      <c r="L95" s="272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73" t="n"/>
      <c r="B96" s="274" t="inlineStr">
        <is>
          <t>FILOMENA</t>
        </is>
      </c>
      <c r="C96" s="275" t="n">
        <v>1</v>
      </c>
      <c r="D96" s="275" t="n"/>
      <c r="E96" s="275" t="n"/>
      <c r="F96" s="276" t="n"/>
      <c r="G96" s="276" t="n"/>
      <c r="H96" s="241" t="n">
        <v>18000</v>
      </c>
      <c r="I96" s="242" t="n">
        <v>18000</v>
      </c>
      <c r="J96" s="242" t="n"/>
      <c r="K96" s="272" t="n"/>
      <c r="L96" s="272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79" t="n">
        <v>46034</v>
      </c>
      <c r="B97" s="267" t="inlineStr">
        <is>
          <t xml:space="preserve">PANA GORRITI </t>
        </is>
      </c>
      <c r="C97" s="268" t="n"/>
      <c r="D97" s="268" t="n"/>
      <c r="E97" s="268" t="n">
        <v>1</v>
      </c>
      <c r="F97" s="269" t="n"/>
      <c r="G97" s="269" t="n"/>
      <c r="H97" s="231" t="n">
        <v>72000</v>
      </c>
      <c r="I97" s="232" t="n">
        <v>72000</v>
      </c>
      <c r="J97" s="232" t="n"/>
      <c r="K97" s="272" t="n"/>
      <c r="L97" s="272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73" t="n"/>
      <c r="B98" s="274" t="inlineStr">
        <is>
          <t>OTNIEL</t>
        </is>
      </c>
      <c r="C98" s="275" t="n"/>
      <c r="D98" s="275" t="n">
        <v>1</v>
      </c>
      <c r="E98" s="275" t="n"/>
      <c r="F98" s="276" t="n"/>
      <c r="G98" s="276" t="n"/>
      <c r="H98" s="241" t="n">
        <v>28500</v>
      </c>
      <c r="I98" s="242" t="n"/>
      <c r="J98" s="242" t="n">
        <v>28500</v>
      </c>
      <c r="K98" s="272" t="n"/>
      <c r="L98" s="272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5</v>
      </c>
      <c r="D99" s="268" t="n"/>
      <c r="E99" s="268" t="n"/>
      <c r="F99" s="269" t="n"/>
      <c r="G99" s="269" t="n"/>
      <c r="H99" s="231" t="n">
        <v>72500</v>
      </c>
      <c r="I99" s="232" t="n"/>
      <c r="J99" s="232" t="n">
        <v>72500</v>
      </c>
      <c r="K99" s="272" t="n"/>
      <c r="L99" s="272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73" t="n"/>
      <c r="B100" s="274" t="inlineStr">
        <is>
          <t>HERNANDARIAS 5150</t>
        </is>
      </c>
      <c r="C100" s="275" t="n"/>
      <c r="D100" s="275" t="n"/>
      <c r="E100" s="275" t="n">
        <v>1</v>
      </c>
      <c r="F100" s="276" t="n"/>
      <c r="G100" s="276" t="n"/>
      <c r="H100" s="241" t="n">
        <v>73000</v>
      </c>
      <c r="I100" s="242" t="n"/>
      <c r="J100" s="242" t="n">
        <v>73000</v>
      </c>
      <c r="K100" s="272" t="n"/>
      <c r="L100" s="272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79" t="n"/>
      <c r="B101" s="267" t="inlineStr">
        <is>
          <t>P CEBALLOS 8134</t>
        </is>
      </c>
      <c r="C101" s="268" t="n">
        <v>2</v>
      </c>
      <c r="D101" s="268" t="n">
        <v>1</v>
      </c>
      <c r="E101" s="268" t="n"/>
      <c r="F101" s="269" t="n"/>
      <c r="G101" s="269" t="n"/>
      <c r="H101" s="231" t="n">
        <v>49000</v>
      </c>
      <c r="I101" s="232" t="n"/>
      <c r="J101" s="232" t="n">
        <v>49000</v>
      </c>
      <c r="K101" s="272" t="n"/>
      <c r="L101" s="272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73" t="n"/>
      <c r="B102" s="274" t="inlineStr">
        <is>
          <t>LAVADERO</t>
        </is>
      </c>
      <c r="C102" s="275" t="n">
        <v>1</v>
      </c>
      <c r="D102" s="275" t="n"/>
      <c r="E102" s="275" t="n"/>
      <c r="F102" s="276" t="n"/>
      <c r="G102" s="276" t="n"/>
      <c r="H102" s="241" t="n">
        <v>14500</v>
      </c>
      <c r="I102" s="242" t="n"/>
      <c r="J102" s="242" t="n">
        <v>14500</v>
      </c>
      <c r="K102" s="272" t="n"/>
      <c r="L102" s="272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79" t="n"/>
      <c r="B103" s="267" t="inlineStr">
        <is>
          <t>LARGUIA 8629</t>
        </is>
      </c>
      <c r="C103" s="268" t="n">
        <v>1</v>
      </c>
      <c r="D103" s="268" t="n"/>
      <c r="E103" s="268" t="n"/>
      <c r="F103" s="269" t="n"/>
      <c r="G103" s="269" t="n"/>
      <c r="H103" s="231" t="n">
        <v>22000</v>
      </c>
      <c r="I103" s="232" t="n"/>
      <c r="J103" s="232" t="n">
        <v>22000</v>
      </c>
      <c r="K103" s="272" t="n"/>
      <c r="L103" s="272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JM ZUVIRIA 2143</t>
        </is>
      </c>
      <c r="C104" s="275" t="n"/>
      <c r="D104" s="275" t="n">
        <v>1</v>
      </c>
      <c r="E104" s="275" t="n"/>
      <c r="F104" s="276" t="n"/>
      <c r="G104" s="276" t="n"/>
      <c r="H104" s="241" t="n">
        <v>34000</v>
      </c>
      <c r="I104" s="242" t="n">
        <v>34000</v>
      </c>
      <c r="J104" s="242" t="n"/>
      <c r="K104" s="272" t="n"/>
      <c r="L104" s="272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79" t="n"/>
      <c r="B105" s="267" t="inlineStr">
        <is>
          <t>CAREN</t>
        </is>
      </c>
      <c r="C105" s="268" t="n"/>
      <c r="D105" s="268" t="n"/>
      <c r="E105" s="268" t="n">
        <v>1</v>
      </c>
      <c r="F105" s="269" t="n"/>
      <c r="G105" s="269" t="n"/>
      <c r="H105" s="231" t="n">
        <v>69000</v>
      </c>
      <c r="I105" s="232" t="n"/>
      <c r="J105" s="232" t="n">
        <v>69000</v>
      </c>
      <c r="K105" s="272" t="n"/>
      <c r="L105" s="272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73" t="n">
        <v>46035</v>
      </c>
      <c r="B106" s="274" t="inlineStr">
        <is>
          <t>NOGALES 2412</t>
        </is>
      </c>
      <c r="C106" s="275" t="n"/>
      <c r="D106" s="275" t="n"/>
      <c r="E106" s="275" t="n">
        <v>1</v>
      </c>
      <c r="F106" s="276" t="n"/>
      <c r="G106" s="276" t="n"/>
      <c r="H106" s="241" t="n">
        <v>77000</v>
      </c>
      <c r="I106" s="242" t="n"/>
      <c r="J106" s="242" t="n">
        <v>77000</v>
      </c>
      <c r="K106" s="272" t="n"/>
      <c r="L106" s="272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79" t="n"/>
      <c r="B107" s="267" t="inlineStr">
        <is>
          <t>MAURO</t>
        </is>
      </c>
      <c r="C107" s="268" t="n">
        <v>2</v>
      </c>
      <c r="D107" s="268" t="n"/>
      <c r="E107" s="268" t="n"/>
      <c r="F107" s="269" t="n"/>
      <c r="G107" s="269" t="n"/>
      <c r="H107" s="231" t="n">
        <v>29000</v>
      </c>
      <c r="I107" s="232" t="n"/>
      <c r="J107" s="232" t="n">
        <v>29000</v>
      </c>
      <c r="K107" s="272" t="n"/>
      <c r="L107" s="272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73" t="n"/>
      <c r="B108" s="274" t="inlineStr">
        <is>
          <t>PUBLICO 8821</t>
        </is>
      </c>
      <c r="C108" s="275" t="n"/>
      <c r="D108" s="275" t="n"/>
      <c r="E108" s="275" t="n">
        <v>1</v>
      </c>
      <c r="F108" s="276" t="n"/>
      <c r="G108" s="276" t="n"/>
      <c r="H108" s="241" t="n">
        <v>75000</v>
      </c>
      <c r="I108" s="242" t="n"/>
      <c r="J108" s="242" t="n">
        <v>75000</v>
      </c>
      <c r="K108" s="272" t="n"/>
      <c r="L108" s="272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79" t="n"/>
      <c r="B109" s="267" t="inlineStr">
        <is>
          <t>PANA VIEYTES</t>
        </is>
      </c>
      <c r="C109" s="268" t="n">
        <v>1</v>
      </c>
      <c r="D109" s="268" t="n"/>
      <c r="E109" s="268" t="n"/>
      <c r="F109" s="269" t="n"/>
      <c r="G109" s="269" t="n"/>
      <c r="H109" s="231" t="n">
        <v>17500</v>
      </c>
      <c r="I109" s="232" t="n"/>
      <c r="J109" s="232" t="n">
        <v>17500</v>
      </c>
      <c r="K109" s="272" t="n"/>
      <c r="L109" s="272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73" t="n"/>
      <c r="B110" s="274" t="inlineStr">
        <is>
          <t>PANA GENESIO</t>
        </is>
      </c>
      <c r="C110" s="275" t="n"/>
      <c r="D110" s="275" t="n"/>
      <c r="E110" s="275" t="n">
        <v>1</v>
      </c>
      <c r="F110" s="276" t="n"/>
      <c r="G110" s="276" t="n"/>
      <c r="H110" s="241" t="n">
        <v>69000</v>
      </c>
      <c r="I110" s="242" t="n"/>
      <c r="J110" s="242" t="n">
        <v>69000</v>
      </c>
      <c r="K110" s="272" t="n"/>
      <c r="L110" s="272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79" t="n"/>
      <c r="B111" s="267" t="inlineStr">
        <is>
          <t xml:space="preserve">FILOMEN A </t>
        </is>
      </c>
      <c r="C111" s="268" t="n">
        <v>1</v>
      </c>
      <c r="D111" s="268" t="n"/>
      <c r="E111" s="268" t="n"/>
      <c r="F111" s="269" t="n"/>
      <c r="G111" s="269" t="n"/>
      <c r="H111" s="231" t="n">
        <v>18000</v>
      </c>
      <c r="I111" s="232" t="n">
        <v>18000</v>
      </c>
      <c r="J111" s="232" t="n"/>
      <c r="K111" s="272" t="n"/>
      <c r="L111" s="272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73" t="n">
        <v>46036</v>
      </c>
      <c r="B112" s="274" t="inlineStr">
        <is>
          <t>BARRETO 8200</t>
        </is>
      </c>
      <c r="C112" s="275" t="n"/>
      <c r="D112" s="275" t="n"/>
      <c r="E112" s="275" t="n"/>
      <c r="F112" s="276" t="n"/>
      <c r="G112" s="276" t="n">
        <v>1</v>
      </c>
      <c r="H112" s="241" t="n">
        <v>5000</v>
      </c>
      <c r="I112" s="242" t="n"/>
      <c r="J112" s="242" t="n">
        <v>5000</v>
      </c>
      <c r="K112" s="272" t="n"/>
      <c r="L112" s="272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79" t="n"/>
      <c r="B113" s="267" t="inlineStr">
        <is>
          <t>ECHEVERRAI 5430</t>
        </is>
      </c>
      <c r="C113" s="268" t="n">
        <v>1</v>
      </c>
      <c r="D113" s="268" t="n"/>
      <c r="E113" s="268" t="n"/>
      <c r="F113" s="269" t="n"/>
      <c r="G113" s="269" t="n"/>
      <c r="H113" s="231" t="n">
        <v>23000</v>
      </c>
      <c r="I113" s="232" t="n">
        <v>23000</v>
      </c>
      <c r="J113" s="232" t="n"/>
      <c r="K113" s="272" t="n"/>
      <c r="L113" s="272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73" t="n"/>
      <c r="B114" s="274" t="inlineStr">
        <is>
          <t>SANDRA</t>
        </is>
      </c>
      <c r="C114" s="275" t="n">
        <v>2</v>
      </c>
      <c r="D114" s="275" t="n"/>
      <c r="E114" s="275" t="n"/>
      <c r="F114" s="276" t="n"/>
      <c r="G114" s="276" t="n">
        <v>1</v>
      </c>
      <c r="H114" s="241" t="n">
        <v>33000</v>
      </c>
      <c r="I114" s="242" t="n">
        <v>33000</v>
      </c>
      <c r="J114" s="242" t="n"/>
      <c r="K114" s="272" t="n"/>
      <c r="L114" s="272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79" t="n"/>
      <c r="B115" s="267" t="inlineStr">
        <is>
          <t>FRESNO DE LOPEZ 8120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/>
      <c r="J115" s="232" t="n">
        <v>22000</v>
      </c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73" t="n"/>
      <c r="B116" s="274" t="inlineStr">
        <is>
          <t>FILOMENA</t>
        </is>
      </c>
      <c r="C116" s="275" t="n">
        <v>1</v>
      </c>
      <c r="D116" s="275" t="n"/>
      <c r="E116" s="275" t="n"/>
      <c r="F116" s="276" t="n"/>
      <c r="G116" s="276" t="n"/>
      <c r="H116" s="241" t="n">
        <v>18000</v>
      </c>
      <c r="I116" s="242" t="n">
        <v>18000</v>
      </c>
      <c r="J116" s="242" t="n"/>
      <c r="K116" s="272" t="n"/>
      <c r="L116" s="272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79" t="n"/>
      <c r="B117" s="267" t="inlineStr">
        <is>
          <t>VICTOR CAPE</t>
        </is>
      </c>
      <c r="C117" s="268" t="n"/>
      <c r="D117" s="268" t="n">
        <v>1</v>
      </c>
      <c r="E117" s="268" t="n"/>
      <c r="F117" s="269" t="n"/>
      <c r="G117" s="269" t="n"/>
      <c r="H117" s="231" t="n">
        <v>31500</v>
      </c>
      <c r="I117" s="232" t="n"/>
      <c r="J117" s="232" t="n">
        <v>31500</v>
      </c>
      <c r="K117" s="272" t="n"/>
      <c r="L117" s="272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73" t="n"/>
      <c r="B118" s="274" t="inlineStr">
        <is>
          <t xml:space="preserve">JOSE MONTEVERA </t>
        </is>
      </c>
      <c r="C118" s="275" t="n"/>
      <c r="D118" s="275" t="n"/>
      <c r="E118" s="275" t="n">
        <v>1</v>
      </c>
      <c r="F118" s="276" t="n"/>
      <c r="G118" s="276" t="n"/>
      <c r="H118" s="241" t="n">
        <v>77000</v>
      </c>
      <c r="I118" s="242" t="n">
        <v>77000</v>
      </c>
      <c r="J118" s="242" t="n"/>
      <c r="K118" s="272" t="n"/>
      <c r="L118" s="272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79" t="n">
        <v>46037</v>
      </c>
      <c r="B119" s="267" t="inlineStr">
        <is>
          <t>D SILVA 4217</t>
        </is>
      </c>
      <c r="C119" s="268" t="n">
        <v>4</v>
      </c>
      <c r="D119" s="268" t="n">
        <v>1</v>
      </c>
      <c r="E119" s="268" t="n"/>
      <c r="F119" s="269" t="n"/>
      <c r="G119" s="269" t="n"/>
      <c r="H119" s="231" t="n">
        <v>80500</v>
      </c>
      <c r="I119" s="232" t="n"/>
      <c r="J119" s="232" t="n">
        <v>80500</v>
      </c>
      <c r="K119" s="272" t="n"/>
      <c r="L119" s="272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73" t="n"/>
      <c r="B120" s="274" t="inlineStr">
        <is>
          <t>ALE</t>
        </is>
      </c>
      <c r="C120" s="275" t="n"/>
      <c r="D120" s="275" t="n"/>
      <c r="E120" s="275" t="n"/>
      <c r="F120" s="276" t="n"/>
      <c r="G120" s="276" t="n">
        <v>1</v>
      </c>
      <c r="H120" s="241" t="n">
        <v>5000</v>
      </c>
      <c r="I120" s="242" t="n">
        <v>5000</v>
      </c>
      <c r="J120" s="242" t="n"/>
      <c r="K120" s="272" t="n"/>
      <c r="L120" s="272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79" t="n"/>
      <c r="B121" s="267" t="inlineStr">
        <is>
          <t xml:space="preserve">GISE </t>
        </is>
      </c>
      <c r="C121" s="268" t="n"/>
      <c r="D121" s="268" t="n"/>
      <c r="E121" s="268" t="n"/>
      <c r="F121" s="269" t="n">
        <v>2</v>
      </c>
      <c r="G121" s="269" t="n"/>
      <c r="H121" s="231" t="n">
        <v>6900</v>
      </c>
      <c r="I121" s="232" t="n"/>
      <c r="J121" s="232" t="n">
        <v>6900</v>
      </c>
      <c r="K121" s="272" t="n"/>
      <c r="L121" s="272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73" t="n"/>
      <c r="B122" s="274" t="inlineStr">
        <is>
          <t>LUCHO</t>
        </is>
      </c>
      <c r="C122" s="275" t="n">
        <v>2</v>
      </c>
      <c r="D122" s="275" t="n"/>
      <c r="E122" s="275" t="n"/>
      <c r="F122" s="276" t="n"/>
      <c r="G122" s="276" t="n"/>
      <c r="H122" s="241" t="n">
        <v>29000</v>
      </c>
      <c r="I122" s="242" t="n"/>
      <c r="J122" s="242" t="n">
        <v>29000</v>
      </c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79" t="n"/>
      <c r="B123" s="267" t="inlineStr">
        <is>
          <t>SABOREAR</t>
        </is>
      </c>
      <c r="C123" s="268" t="n">
        <v>1</v>
      </c>
      <c r="D123" s="268" t="n"/>
      <c r="E123" s="268" t="n"/>
      <c r="F123" s="269" t="n"/>
      <c r="G123" s="269" t="n"/>
      <c r="H123" s="231" t="n">
        <v>18000</v>
      </c>
      <c r="I123" s="232" t="n"/>
      <c r="J123" s="232" t="n">
        <v>18000</v>
      </c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73" t="n"/>
      <c r="B124" s="274" t="inlineStr">
        <is>
          <t>NACHO</t>
        </is>
      </c>
      <c r="C124" s="275" t="n">
        <v>1</v>
      </c>
      <c r="D124" s="275" t="n"/>
      <c r="E124" s="275" t="n"/>
      <c r="F124" s="276" t="n"/>
      <c r="G124" s="276" t="n"/>
      <c r="H124" s="241" t="n">
        <v>18000</v>
      </c>
      <c r="I124" s="242" t="n">
        <v>18000</v>
      </c>
      <c r="J124" s="242" t="n"/>
      <c r="K124" s="272" t="n"/>
      <c r="L124" s="272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79" t="n">
        <v>46038</v>
      </c>
      <c r="B125" s="267" t="inlineStr">
        <is>
          <t>BONEO 5363</t>
        </is>
      </c>
      <c r="C125" s="268" t="n"/>
      <c r="D125" s="268" t="n"/>
      <c r="E125" s="268" t="n">
        <v>1</v>
      </c>
      <c r="F125" s="269" t="n"/>
      <c r="G125" s="269" t="n"/>
      <c r="H125" s="231" t="n">
        <v>78000</v>
      </c>
      <c r="I125" s="232" t="n"/>
      <c r="J125" s="232" t="n">
        <v>78000</v>
      </c>
      <c r="K125" s="272" t="n"/>
      <c r="L125" s="272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73" t="n"/>
      <c r="B126" s="274" t="inlineStr">
        <is>
          <t>OTNIEL</t>
        </is>
      </c>
      <c r="C126" s="275" t="n">
        <v>1</v>
      </c>
      <c r="D126" s="275" t="n">
        <v>1</v>
      </c>
      <c r="E126" s="275" t="n"/>
      <c r="F126" s="276" t="n"/>
      <c r="G126" s="276" t="n">
        <v>2</v>
      </c>
      <c r="H126" s="241" t="n">
        <v>57500</v>
      </c>
      <c r="I126" s="242" t="n"/>
      <c r="J126" s="242" t="n">
        <v>57500</v>
      </c>
      <c r="K126" s="272" t="n"/>
      <c r="L126" s="272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79" t="n"/>
      <c r="B127" s="267" t="inlineStr">
        <is>
          <t xml:space="preserve">BEATRIZ </t>
        </is>
      </c>
      <c r="C127" s="268" t="n"/>
      <c r="D127" s="268" t="n"/>
      <c r="E127" s="268" t="n"/>
      <c r="F127" s="269" t="n"/>
      <c r="G127" s="269" t="n">
        <v>1</v>
      </c>
      <c r="H127" s="231" t="n">
        <v>5000</v>
      </c>
      <c r="I127" s="232" t="n">
        <v>5000</v>
      </c>
      <c r="J127" s="232" t="n"/>
      <c r="K127" s="272" t="n"/>
      <c r="L127" s="272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73" t="n"/>
      <c r="B128" s="274" t="inlineStr">
        <is>
          <t>SANDRA</t>
        </is>
      </c>
      <c r="C128" s="275" t="n">
        <v>1</v>
      </c>
      <c r="D128" s="275" t="n">
        <v>1</v>
      </c>
      <c r="E128" s="275" t="n"/>
      <c r="F128" s="276" t="n"/>
      <c r="G128" s="276" t="n"/>
      <c r="H128" s="241" t="n">
        <v>37000</v>
      </c>
      <c r="I128" s="242" t="n">
        <v>37000</v>
      </c>
      <c r="J128" s="242" t="n"/>
      <c r="K128" s="272" t="n"/>
      <c r="L128" s="272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79" t="n"/>
      <c r="B129" s="267" t="inlineStr">
        <is>
          <t>PANA VIEYTES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73" t="n"/>
      <c r="B130" s="274" t="inlineStr">
        <is>
          <t>LAVAISE 3786</t>
        </is>
      </c>
      <c r="C130" s="275" t="n">
        <v>2</v>
      </c>
      <c r="D130" s="275" t="n"/>
      <c r="E130" s="275" t="n"/>
      <c r="F130" s="276" t="n"/>
      <c r="G130" s="276" t="n"/>
      <c r="H130" s="241" t="n">
        <v>42000</v>
      </c>
      <c r="I130" s="242" t="n">
        <v>42000</v>
      </c>
      <c r="J130" s="242" t="n"/>
      <c r="K130" s="272" t="n"/>
      <c r="L130" s="272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79" t="n"/>
      <c r="B131" s="267" t="inlineStr">
        <is>
          <t>BRASERIA</t>
        </is>
      </c>
      <c r="C131" s="268" t="n"/>
      <c r="D131" s="268" t="n"/>
      <c r="E131" s="268" t="n">
        <v>1</v>
      </c>
      <c r="F131" s="269" t="n"/>
      <c r="G131" s="269" t="n"/>
      <c r="H131" s="231" t="n">
        <v>72000</v>
      </c>
      <c r="I131" s="232" t="n"/>
      <c r="J131" s="232" t="n">
        <v>72000</v>
      </c>
      <c r="K131" s="272" t="n"/>
      <c r="L131" s="272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73" t="n"/>
      <c r="B132" s="274" t="inlineStr">
        <is>
          <t>LALO</t>
        </is>
      </c>
      <c r="C132" s="275" t="n"/>
      <c r="D132" s="275" t="n"/>
      <c r="E132" s="275" t="n">
        <v>1</v>
      </c>
      <c r="F132" s="276" t="n"/>
      <c r="G132" s="276" t="n"/>
      <c r="H132" s="241" t="n">
        <v>77000</v>
      </c>
      <c r="I132" s="242" t="n">
        <v>77000</v>
      </c>
      <c r="J132" s="242" t="n"/>
      <c r="K132" s="272" t="n"/>
      <c r="L132" s="272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79" t="n"/>
      <c r="B133" s="267" t="inlineStr">
        <is>
          <t>FILOMENA</t>
        </is>
      </c>
      <c r="C133" s="268" t="n">
        <v>2</v>
      </c>
      <c r="D133" s="268" t="n"/>
      <c r="E133" s="268" t="n"/>
      <c r="F133" s="269" t="n"/>
      <c r="G133" s="269" t="n"/>
      <c r="H133" s="231" t="n">
        <v>36000</v>
      </c>
      <c r="I133" s="232" t="n">
        <v>36000</v>
      </c>
      <c r="J133" s="232" t="n"/>
      <c r="K133" s="272" t="n"/>
      <c r="L133" s="272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73" t="n"/>
      <c r="B134" s="274" t="inlineStr">
        <is>
          <t>CAREN</t>
        </is>
      </c>
      <c r="C134" s="275" t="n"/>
      <c r="D134" s="275" t="n"/>
      <c r="E134" s="275" t="n">
        <v>1</v>
      </c>
      <c r="F134" s="276" t="n"/>
      <c r="G134" s="276" t="n"/>
      <c r="H134" s="241" t="n">
        <v>69000</v>
      </c>
      <c r="I134" s="242" t="n"/>
      <c r="J134" s="242" t="n">
        <v>69000</v>
      </c>
      <c r="K134" s="272" t="n"/>
      <c r="L134" s="272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79" t="n">
        <v>46039</v>
      </c>
      <c r="B135" s="267" t="inlineStr">
        <is>
          <t>GASTON AMARAL</t>
        </is>
      </c>
      <c r="C135" s="268" t="n"/>
      <c r="D135" s="268" t="n"/>
      <c r="E135" s="268" t="n">
        <v>1</v>
      </c>
      <c r="F135" s="269" t="n"/>
      <c r="G135" s="269" t="n"/>
      <c r="H135" s="231" t="n">
        <v>77000</v>
      </c>
      <c r="I135" s="232" t="n">
        <v>77000</v>
      </c>
      <c r="J135" s="232" t="n"/>
      <c r="K135" s="272" t="n"/>
      <c r="L135" s="272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73" t="n"/>
      <c r="B136" s="274" t="inlineStr">
        <is>
          <t>PAULO</t>
        </is>
      </c>
      <c r="C136" s="275" t="n">
        <v>3</v>
      </c>
      <c r="D136" s="275" t="n"/>
      <c r="E136" s="275" t="n"/>
      <c r="F136" s="276" t="n"/>
      <c r="G136" s="276" t="n"/>
      <c r="H136" s="241" t="n">
        <v>43500</v>
      </c>
      <c r="I136" s="242" t="n">
        <v>43500</v>
      </c>
      <c r="J136" s="242" t="n"/>
      <c r="K136" s="272" t="n"/>
      <c r="L136" s="272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79" t="n"/>
      <c r="B137" s="267" t="inlineStr">
        <is>
          <t>GOLD BURGUER</t>
        </is>
      </c>
      <c r="C137" s="268" t="n"/>
      <c r="D137" s="268" t="n"/>
      <c r="E137" s="268" t="n">
        <v>2</v>
      </c>
      <c r="F137" s="269" t="n"/>
      <c r="G137" s="269" t="n"/>
      <c r="H137" s="231" t="n">
        <v>158000</v>
      </c>
      <c r="I137" s="232" t="n"/>
      <c r="J137" s="232" t="n">
        <v>158000</v>
      </c>
      <c r="K137" s="272" t="n"/>
      <c r="L137" s="272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73" t="n"/>
      <c r="B138" s="274" t="inlineStr">
        <is>
          <t>TOFFO</t>
        </is>
      </c>
      <c r="C138" s="275" t="n"/>
      <c r="D138" s="275" t="n">
        <v>1</v>
      </c>
      <c r="E138" s="275" t="n"/>
      <c r="F138" s="276" t="n"/>
      <c r="G138" s="276" t="n"/>
      <c r="H138" s="241" t="n">
        <v>33000</v>
      </c>
      <c r="I138" s="242" t="n">
        <v>33000</v>
      </c>
      <c r="J138" s="242" t="n"/>
      <c r="K138" s="272" t="n"/>
      <c r="L138" s="272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79" t="n"/>
      <c r="B139" s="267" t="inlineStr">
        <is>
          <t>FRATERNINDAD GUANELIANA</t>
        </is>
      </c>
      <c r="C139" s="268" t="n">
        <v>1</v>
      </c>
      <c r="D139" s="268" t="n"/>
      <c r="E139" s="268" t="n"/>
      <c r="F139" s="269" t="n"/>
      <c r="G139" s="269" t="n"/>
      <c r="H139" s="231" t="n">
        <v>20000</v>
      </c>
      <c r="I139" s="232" t="n">
        <v>20000</v>
      </c>
      <c r="J139" s="232" t="n"/>
      <c r="K139" s="272" t="n"/>
      <c r="L139" s="272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73" t="n"/>
      <c r="B140" s="274" t="inlineStr">
        <is>
          <t>ROTI AGUADO</t>
        </is>
      </c>
      <c r="C140" s="275" t="n">
        <v>1</v>
      </c>
      <c r="D140" s="275" t="n">
        <v>1</v>
      </c>
      <c r="E140" s="275" t="n">
        <v>1</v>
      </c>
      <c r="F140" s="276" t="n"/>
      <c r="G140" s="276" t="n"/>
      <c r="H140" s="241" t="n">
        <v>115000</v>
      </c>
      <c r="I140" s="242" t="n"/>
      <c r="J140" s="242" t="n">
        <v>115000</v>
      </c>
      <c r="K140" s="272" t="n"/>
      <c r="L140" s="272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79" t="n"/>
      <c r="B141" s="267" t="inlineStr">
        <is>
          <t>SAVEDRA 10125</t>
        </is>
      </c>
      <c r="C141" s="268" t="n"/>
      <c r="D141" s="268" t="n"/>
      <c r="E141" s="268" t="n">
        <v>1</v>
      </c>
      <c r="F141" s="269" t="n"/>
      <c r="G141" s="269" t="n"/>
      <c r="H141" s="231" t="n">
        <v>77000</v>
      </c>
      <c r="I141" s="232" t="n"/>
      <c r="J141" s="232" t="n">
        <v>77000</v>
      </c>
      <c r="K141" s="272" t="n"/>
      <c r="L141" s="272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73" t="n"/>
      <c r="B142" s="274" t="inlineStr">
        <is>
          <t>PICHI</t>
        </is>
      </c>
      <c r="C142" s="275" t="n">
        <v>1</v>
      </c>
      <c r="D142" s="275" t="n"/>
      <c r="E142" s="275" t="n"/>
      <c r="F142" s="276" t="n"/>
      <c r="G142" s="276" t="n"/>
      <c r="H142" s="241" t="n">
        <v>18000</v>
      </c>
      <c r="I142" s="242" t="n">
        <v>18000</v>
      </c>
      <c r="J142" s="242" t="n"/>
      <c r="K142" s="272" t="n"/>
      <c r="L142" s="272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79" t="n"/>
      <c r="B143" s="267" t="inlineStr">
        <is>
          <t>EXE</t>
        </is>
      </c>
      <c r="C143" s="268" t="n"/>
      <c r="D143" s="268" t="n"/>
      <c r="E143" s="268" t="n">
        <v>1</v>
      </c>
      <c r="F143" s="269" t="n"/>
      <c r="G143" s="269" t="n"/>
      <c r="H143" s="231" t="n">
        <v>69000</v>
      </c>
      <c r="I143" s="232" t="n"/>
      <c r="J143" s="232" t="n">
        <v>69000</v>
      </c>
      <c r="K143" s="272" t="n"/>
      <c r="L143" s="272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73" t="n"/>
      <c r="B144" s="274" t="inlineStr">
        <is>
          <t>FILOMENA</t>
        </is>
      </c>
      <c r="C144" s="275" t="n">
        <v>1</v>
      </c>
      <c r="D144" s="275" t="n"/>
      <c r="E144" s="275" t="n"/>
      <c r="F144" s="276" t="n"/>
      <c r="G144" s="276" t="n"/>
      <c r="H144" s="241" t="n">
        <v>18000</v>
      </c>
      <c r="I144" s="242" t="n">
        <v>18000</v>
      </c>
      <c r="J144" s="242" t="n"/>
      <c r="K144" s="272" t="n"/>
      <c r="L144" s="272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18000</v>
      </c>
      <c r="I145" s="232" t="n"/>
      <c r="J145" s="232" t="n">
        <v>18000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73" t="n"/>
      <c r="B146" s="274" t="inlineStr">
        <is>
          <t>CHICLANA 7565</t>
        </is>
      </c>
      <c r="C146" s="275" t="n"/>
      <c r="D146" s="275" t="n">
        <v>1</v>
      </c>
      <c r="E146" s="275" t="n"/>
      <c r="F146" s="276" t="n"/>
      <c r="G146" s="276" t="n"/>
      <c r="H146" s="241" t="n">
        <v>33000</v>
      </c>
      <c r="I146" s="242" t="n">
        <v>33000</v>
      </c>
      <c r="J146" s="242" t="n"/>
      <c r="K146" s="272" t="n"/>
      <c r="L146" s="272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79" t="n"/>
      <c r="B147" s="267" t="inlineStr">
        <is>
          <t>BONEO 4054</t>
        </is>
      </c>
      <c r="C147" s="268" t="n">
        <v>1</v>
      </c>
      <c r="D147" s="268" t="n">
        <v>1</v>
      </c>
      <c r="E147" s="268" t="n"/>
      <c r="F147" s="269" t="n"/>
      <c r="G147" s="269" t="n"/>
      <c r="H147" s="231" t="n">
        <v>55000</v>
      </c>
      <c r="I147" s="232" t="n">
        <v>55000</v>
      </c>
      <c r="J147" s="232" t="n"/>
      <c r="K147" s="272" t="n"/>
      <c r="L147" s="272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73" t="n"/>
      <c r="B148" s="274" t="inlineStr">
        <is>
          <t>ALSINA 7981</t>
        </is>
      </c>
      <c r="C148" s="275" t="n"/>
      <c r="D148" s="275" t="n"/>
      <c r="E148" s="275" t="n">
        <v>1</v>
      </c>
      <c r="F148" s="276" t="n"/>
      <c r="G148" s="276" t="n"/>
      <c r="H148" s="241" t="n">
        <v>77000</v>
      </c>
      <c r="I148" s="242" t="n"/>
      <c r="J148" s="242" t="n">
        <v>77000</v>
      </c>
      <c r="K148" s="272" t="n"/>
      <c r="L148" s="272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79" t="n"/>
      <c r="B149" s="267" t="inlineStr">
        <is>
          <t>AZCUENAGA 5023</t>
        </is>
      </c>
      <c r="C149" s="268" t="n">
        <v>5</v>
      </c>
      <c r="D149" s="268" t="n">
        <v>1</v>
      </c>
      <c r="E149" s="268" t="n"/>
      <c r="F149" s="269" t="n"/>
      <c r="G149" s="269" t="n"/>
      <c r="H149" s="231" t="n">
        <v>95500</v>
      </c>
      <c r="I149" s="232" t="n"/>
      <c r="J149" s="232" t="n">
        <v>95500</v>
      </c>
      <c r="K149" s="272" t="n"/>
      <c r="L149" s="272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73" t="n">
        <v>46040</v>
      </c>
      <c r="B150" s="274" t="inlineStr">
        <is>
          <t>ESTELA PJE PARAGUAY</t>
        </is>
      </c>
      <c r="C150" s="275" t="n">
        <v>4</v>
      </c>
      <c r="D150" s="275" t="n"/>
      <c r="E150" s="275" t="n"/>
      <c r="F150" s="276" t="n"/>
      <c r="G150" s="276" t="n"/>
      <c r="H150" s="241" t="n">
        <v>56000</v>
      </c>
      <c r="I150" s="242" t="n">
        <v>28000</v>
      </c>
      <c r="J150" s="242" t="n">
        <v>28000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79" t="n"/>
      <c r="B151" s="267" t="inlineStr">
        <is>
          <t>SANDRA</t>
        </is>
      </c>
      <c r="C151" s="268" t="n">
        <v>2</v>
      </c>
      <c r="D151" s="268" t="n"/>
      <c r="E151" s="268" t="n"/>
      <c r="F151" s="269" t="n"/>
      <c r="G151" s="269" t="n"/>
      <c r="H151" s="231" t="n">
        <v>29000</v>
      </c>
      <c r="I151" s="232" t="n">
        <v>29000</v>
      </c>
      <c r="J151" s="232" t="n"/>
      <c r="K151" s="272" t="n"/>
      <c r="L151" s="272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73" t="n"/>
      <c r="B152" s="274" t="inlineStr">
        <is>
          <t xml:space="preserve">POLLERIA BLAS PARERA </t>
        </is>
      </c>
      <c r="C152" s="275" t="n">
        <v>1</v>
      </c>
      <c r="D152" s="275" t="n"/>
      <c r="E152" s="275" t="n"/>
      <c r="F152" s="276" t="n"/>
      <c r="G152" s="276" t="n"/>
      <c r="H152" s="241" t="n">
        <v>17000</v>
      </c>
      <c r="I152" s="242" t="n">
        <v>17000</v>
      </c>
      <c r="J152" s="242" t="n"/>
      <c r="K152" s="272" t="n"/>
      <c r="L152" s="272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79" t="n"/>
      <c r="B153" s="267" t="inlineStr">
        <is>
          <t>B IRIGOYEN 8383</t>
        </is>
      </c>
      <c r="C153" s="268" t="n"/>
      <c r="D153" s="268" t="n"/>
      <c r="E153" s="268" t="n">
        <v>1</v>
      </c>
      <c r="F153" s="269" t="n"/>
      <c r="G153" s="269" t="n"/>
      <c r="H153" s="231" t="n">
        <v>75000</v>
      </c>
      <c r="I153" s="232" t="n">
        <v>75000</v>
      </c>
      <c r="J153" s="232" t="n"/>
      <c r="K153" s="272" t="n"/>
      <c r="L153" s="272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73" t="n"/>
      <c r="B154" s="274" t="inlineStr">
        <is>
          <t>PANA GENESIO</t>
        </is>
      </c>
      <c r="C154" s="275" t="n"/>
      <c r="D154" s="275" t="n"/>
      <c r="E154" s="275" t="n">
        <v>1</v>
      </c>
      <c r="F154" s="276" t="n"/>
      <c r="G154" s="276" t="n"/>
      <c r="H154" s="241" t="n">
        <v>69000</v>
      </c>
      <c r="I154" s="242" t="n"/>
      <c r="J154" s="242" t="n">
        <v>69000</v>
      </c>
      <c r="K154" s="272" t="n"/>
      <c r="L154" s="272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79" t="n"/>
      <c r="B155" s="267" t="inlineStr">
        <is>
          <t>ALBERDI 4649</t>
        </is>
      </c>
      <c r="C155" s="268" t="n">
        <v>1</v>
      </c>
      <c r="D155" s="268" t="n"/>
      <c r="E155" s="268" t="n"/>
      <c r="F155" s="269" t="n"/>
      <c r="G155" s="269" t="n"/>
      <c r="H155" s="231" t="n">
        <v>21000</v>
      </c>
      <c r="I155" s="232" t="n"/>
      <c r="J155" s="232" t="n">
        <v>21000</v>
      </c>
      <c r="K155" s="272" t="n"/>
      <c r="L155" s="272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73" t="n"/>
      <c r="B156" s="274" t="inlineStr">
        <is>
          <t>LUCHO</t>
        </is>
      </c>
      <c r="C156" s="275" t="n">
        <v>2</v>
      </c>
      <c r="D156" s="275" t="n"/>
      <c r="E156" s="275" t="n"/>
      <c r="F156" s="276" t="n"/>
      <c r="G156" s="276" t="n"/>
      <c r="H156" s="241" t="n">
        <v>29000</v>
      </c>
      <c r="I156" s="242" t="n">
        <v>29000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79" t="n">
        <v>46041</v>
      </c>
      <c r="B157" s="267" t="inlineStr">
        <is>
          <t>LUCHO</t>
        </is>
      </c>
      <c r="C157" s="268" t="n">
        <v>3</v>
      </c>
      <c r="D157" s="268" t="n"/>
      <c r="E157" s="268" t="n"/>
      <c r="F157" s="269" t="n"/>
      <c r="G157" s="269" t="n"/>
      <c r="H157" s="231" t="n">
        <v>43500</v>
      </c>
      <c r="I157" s="232" t="n">
        <v>43500</v>
      </c>
      <c r="J157" s="232" t="n"/>
      <c r="K157" s="272" t="n"/>
      <c r="L157" s="272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73" t="n"/>
      <c r="B158" s="274" t="inlineStr">
        <is>
          <t>CARRASCO 9350</t>
        </is>
      </c>
      <c r="C158" s="275" t="n">
        <v>1</v>
      </c>
      <c r="D158" s="275" t="n"/>
      <c r="E158" s="275" t="n"/>
      <c r="F158" s="276" t="n"/>
      <c r="G158" s="276" t="n"/>
      <c r="H158" s="241" t="n">
        <v>21000</v>
      </c>
      <c r="I158" s="242" t="n">
        <v>21000</v>
      </c>
      <c r="J158" s="242" t="n"/>
      <c r="K158" s="272" t="n"/>
      <c r="L158" s="272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79" t="n"/>
      <c r="B159" s="267" t="inlineStr">
        <is>
          <t>HERNANDARIAS 5356</t>
        </is>
      </c>
      <c r="C159" s="268" t="n"/>
      <c r="D159" s="268" t="n">
        <v>1</v>
      </c>
      <c r="E159" s="268" t="n"/>
      <c r="F159" s="269" t="n"/>
      <c r="G159" s="269" t="n"/>
      <c r="H159" s="231" t="n">
        <v>32000</v>
      </c>
      <c r="I159" s="232" t="n">
        <v>32000</v>
      </c>
      <c r="J159" s="232" t="n"/>
      <c r="K159" s="272" t="n"/>
      <c r="L159" s="272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73" t="n"/>
      <c r="B160" s="274" t="inlineStr">
        <is>
          <t>FLORENCIO FERNANDEZ 6033</t>
        </is>
      </c>
      <c r="C160" s="275" t="n"/>
      <c r="D160" s="275" t="n"/>
      <c r="E160" s="275" t="n">
        <v>1</v>
      </c>
      <c r="F160" s="276" t="n"/>
      <c r="G160" s="276" t="n"/>
      <c r="H160" s="241" t="n">
        <v>75000</v>
      </c>
      <c r="I160" s="242" t="n">
        <v>75000</v>
      </c>
      <c r="J160" s="242" t="n"/>
      <c r="K160" s="272" t="n"/>
      <c r="L160" s="272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79" t="n"/>
      <c r="B161" s="267" t="inlineStr">
        <is>
          <t>SANDRA</t>
        </is>
      </c>
      <c r="C161" s="268" t="n">
        <v>2</v>
      </c>
      <c r="D161" s="268" t="n"/>
      <c r="E161" s="268" t="n"/>
      <c r="F161" s="269" t="n"/>
      <c r="G161" s="269" t="n"/>
      <c r="H161" s="231" t="n">
        <v>29000</v>
      </c>
      <c r="I161" s="232" t="n">
        <v>29000</v>
      </c>
      <c r="J161" s="232" t="n"/>
      <c r="K161" s="272" t="n"/>
      <c r="L161" s="272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73" t="n"/>
      <c r="B162" s="274" t="inlineStr">
        <is>
          <t>LAVADERO</t>
        </is>
      </c>
      <c r="C162" s="275" t="n">
        <v>1</v>
      </c>
      <c r="D162" s="275" t="n"/>
      <c r="E162" s="275" t="n"/>
      <c r="F162" s="276" t="n"/>
      <c r="G162" s="276" t="n"/>
      <c r="H162" s="241" t="n">
        <v>14500</v>
      </c>
      <c r="I162" s="242" t="n"/>
      <c r="J162" s="242" t="n">
        <v>14500</v>
      </c>
      <c r="K162" s="272" t="n"/>
      <c r="L162" s="272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66000</v>
      </c>
      <c r="I163" s="232" t="n">
        <v>66000</v>
      </c>
      <c r="J163" s="232" t="n"/>
      <c r="K163" s="272" t="n"/>
      <c r="L163" s="272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73" t="n"/>
      <c r="B164" s="274" t="inlineStr">
        <is>
          <t>EXE</t>
        </is>
      </c>
      <c r="C164" s="275" t="n"/>
      <c r="D164" s="275" t="n"/>
      <c r="E164" s="275" t="n">
        <v>1</v>
      </c>
      <c r="F164" s="276" t="n"/>
      <c r="G164" s="276" t="n"/>
      <c r="H164" s="241" t="n">
        <v>69000</v>
      </c>
      <c r="I164" s="242" t="n"/>
      <c r="J164" s="242" t="n">
        <v>69000</v>
      </c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79" t="n">
        <v>46042</v>
      </c>
      <c r="B165" s="267" t="inlineStr">
        <is>
          <t>BAIGORRIA 9350</t>
        </is>
      </c>
      <c r="C165" s="268" t="n"/>
      <c r="D165" s="268" t="n"/>
      <c r="E165" s="268" t="n">
        <v>1</v>
      </c>
      <c r="F165" s="269" t="n"/>
      <c r="G165" s="269" t="n"/>
      <c r="H165" s="231" t="n">
        <v>77000</v>
      </c>
      <c r="I165" s="232" t="n"/>
      <c r="J165" s="232" t="n">
        <v>77000</v>
      </c>
      <c r="K165" s="272" t="n"/>
      <c r="L165" s="272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73" t="n"/>
      <c r="B166" s="274" t="inlineStr">
        <is>
          <t>SANDRA</t>
        </is>
      </c>
      <c r="C166" s="275" t="n"/>
      <c r="D166" s="275" t="n"/>
      <c r="E166" s="275" t="n"/>
      <c r="F166" s="276" t="n"/>
      <c r="G166" s="276" t="n">
        <v>1</v>
      </c>
      <c r="H166" s="241" t="n">
        <v>4000</v>
      </c>
      <c r="I166" s="242" t="n">
        <v>4000</v>
      </c>
      <c r="J166" s="242" t="n"/>
      <c r="K166" s="272" t="n"/>
      <c r="L166" s="272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79" t="n"/>
      <c r="B167" s="267" t="inlineStr">
        <is>
          <t>PAVON 2124</t>
        </is>
      </c>
      <c r="C167" s="268" t="n"/>
      <c r="D167" s="268" t="n">
        <v>1</v>
      </c>
      <c r="E167" s="268" t="n"/>
      <c r="F167" s="269" t="n"/>
      <c r="G167" s="269" t="n"/>
      <c r="H167" s="231" t="n">
        <v>33000</v>
      </c>
      <c r="I167" s="232" t="n">
        <v>33000</v>
      </c>
      <c r="J167" s="232" t="n"/>
      <c r="K167" s="272" t="n"/>
      <c r="L167" s="272">
        <f>IF(K167&lt;&gt;"",17250+K167,17250)</f>
        <v/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FILOMENA</t>
        </is>
      </c>
      <c r="C168" s="275" t="n">
        <v>2</v>
      </c>
      <c r="D168" s="275" t="n"/>
      <c r="E168" s="275" t="n"/>
      <c r="F168" s="276" t="n"/>
      <c r="G168" s="276" t="n"/>
      <c r="H168" s="241" t="n">
        <v>36000</v>
      </c>
      <c r="I168" s="242" t="n">
        <v>36000</v>
      </c>
      <c r="J168" s="242" t="n"/>
      <c r="K168" s="272" t="n"/>
      <c r="L168" s="272">
        <f>IF(K168&lt;&gt;"",15000+K168,15000)</f>
        <v/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PANA ALBERTI</t>
        </is>
      </c>
      <c r="C169" s="268" t="n"/>
      <c r="D169" s="268" t="n"/>
      <c r="E169" s="268" t="n">
        <v>1</v>
      </c>
      <c r="F169" s="269" t="n"/>
      <c r="G169" s="269" t="n"/>
      <c r="H169" s="231" t="n">
        <v>71000</v>
      </c>
      <c r="I169" s="232" t="n">
        <v>71000</v>
      </c>
      <c r="J169" s="232" t="n"/>
      <c r="K169" s="272" t="n"/>
      <c r="L169" s="272">
        <f>IF(K169&lt;&gt;"",24000+K169,24000)</f>
        <v/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MISIONES 5281</t>
        </is>
      </c>
      <c r="C170" s="275" t="n"/>
      <c r="D170" s="275" t="n"/>
      <c r="E170" s="275" t="n">
        <v>1</v>
      </c>
      <c r="F170" s="276" t="n"/>
      <c r="G170" s="276" t="n"/>
      <c r="H170" s="241" t="n">
        <v>77000</v>
      </c>
      <c r="I170" s="242" t="n"/>
      <c r="J170" s="242" t="n">
        <v>77000</v>
      </c>
      <c r="K170" s="272" t="n"/>
      <c r="L170" s="272">
        <f>IF(K170&lt;&gt;"",30000+K170,30000)</f>
        <v/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B IRIGOYEN 6634</t>
        </is>
      </c>
      <c r="C171" s="268" t="n">
        <v>1</v>
      </c>
      <c r="D171" s="268" t="n"/>
      <c r="E171" s="268" t="n"/>
      <c r="F171" s="269" t="n"/>
      <c r="G171" s="269" t="n"/>
      <c r="H171" s="231" t="n">
        <v>21000</v>
      </c>
      <c r="I171" s="232" t="n">
        <v>21000</v>
      </c>
      <c r="J171" s="232" t="n"/>
      <c r="K171" s="272" t="n"/>
      <c r="L171" s="272">
        <f>IF(K171&lt;&gt;"",10500+K171,10500)</f>
        <v/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JAVIER DE LA ROSA 2480</t>
        </is>
      </c>
      <c r="C172" s="275" t="n">
        <v>1</v>
      </c>
      <c r="D172" s="275" t="n"/>
      <c r="E172" s="275" t="n"/>
      <c r="F172" s="276" t="n"/>
      <c r="G172" s="276" t="n"/>
      <c r="H172" s="241" t="n">
        <v>21000</v>
      </c>
      <c r="I172" s="242" t="n"/>
      <c r="J172" s="242" t="n">
        <v>21000</v>
      </c>
      <c r="K172" s="272" t="n"/>
      <c r="L172" s="272">
        <f>IF(K172&lt;&gt;"",10500+K172,10500)</f>
        <v/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>
        <v>2</v>
      </c>
      <c r="D173" s="268" t="n"/>
      <c r="E173" s="268" t="n"/>
      <c r="F173" s="269" t="n"/>
      <c r="G173" s="269" t="n"/>
      <c r="H173" s="231" t="n">
        <v>29000</v>
      </c>
      <c r="I173" s="232" t="n">
        <v>29000</v>
      </c>
      <c r="J173" s="232" t="n"/>
      <c r="K173" s="272" t="n"/>
      <c r="L173" s="272">
        <f>IF(K173&lt;&gt;"",8000+K173,8000)</f>
        <v/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AZCUENAGA 5023</t>
        </is>
      </c>
      <c r="C174" s="275" t="n">
        <v>5</v>
      </c>
      <c r="D174" s="275" t="n"/>
      <c r="E174" s="275" t="n"/>
      <c r="F174" s="276" t="n"/>
      <c r="G174" s="276" t="n"/>
      <c r="H174" s="241" t="n">
        <v>72500</v>
      </c>
      <c r="I174" s="242" t="n"/>
      <c r="J174" s="242" t="n">
        <v>72500</v>
      </c>
      <c r="K174" s="272" t="n"/>
      <c r="L174" s="272">
        <f>IF(K174&lt;&gt;"",20000+K174,20000)</f>
        <v/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PANA VIEYTES GISELA</t>
        </is>
      </c>
      <c r="C175" s="268" t="n">
        <v>1</v>
      </c>
      <c r="D175" s="268" t="n"/>
      <c r="E175" s="268" t="n"/>
      <c r="F175" s="269" t="n"/>
      <c r="G175" s="269" t="n"/>
      <c r="H175" s="231" t="n">
        <v>17500</v>
      </c>
      <c r="I175" s="232" t="n"/>
      <c r="J175" s="232" t="n">
        <v>17500</v>
      </c>
      <c r="K175" s="272" t="n"/>
      <c r="L175" s="272">
        <f>IF(K175&lt;&gt;"",7000+K175,7000)</f>
        <v/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9 DE JULIO 1144 BAR</t>
        </is>
      </c>
      <c r="C176" s="275" t="n"/>
      <c r="D176" s="275" t="n"/>
      <c r="E176" s="275" t="n">
        <v>2</v>
      </c>
      <c r="F176" s="276" t="n"/>
      <c r="G176" s="276" t="n"/>
      <c r="H176" s="241" t="n">
        <v>152000</v>
      </c>
      <c r="I176" s="242" t="n"/>
      <c r="J176" s="242" t="n">
        <v>152000</v>
      </c>
      <c r="K176" s="272" t="n"/>
      <c r="L176" s="272">
        <f>IF(K176&lt;&gt;"",58000+K176,58000)</f>
        <v/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ALBERTI 4930</t>
        </is>
      </c>
      <c r="C177" s="268" t="n"/>
      <c r="D177" s="268" t="n"/>
      <c r="E177" s="268" t="n"/>
      <c r="F177" s="269" t="n"/>
      <c r="G177" s="269" t="n">
        <v>1</v>
      </c>
      <c r="H177" s="231" t="n">
        <v>5000</v>
      </c>
      <c r="I177" s="232" t="n">
        <v>5000</v>
      </c>
      <c r="J177" s="232" t="n"/>
      <c r="K177" s="272" t="n"/>
      <c r="L177" s="272">
        <f>IF(K177&lt;&gt;"",4200+K177,4200)</f>
        <v/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RICARDO ALDAO 2427</t>
        </is>
      </c>
      <c r="C178" s="275" t="n"/>
      <c r="D178" s="275" t="n"/>
      <c r="E178" s="275" t="n"/>
      <c r="F178" s="276" t="n"/>
      <c r="G178" s="276" t="n">
        <v>2</v>
      </c>
      <c r="H178" s="241" t="n">
        <v>11600</v>
      </c>
      <c r="I178" s="242" t="n">
        <v>11600</v>
      </c>
      <c r="J178" s="242" t="n"/>
      <c r="K178" s="272" t="n"/>
      <c r="L178" s="272">
        <f>IF(K178&lt;&gt;"",10000+K178,10000)</f>
        <v/>
      </c>
      <c r="M178" s="156" t="n"/>
      <c r="N178" s="156" t="n"/>
      <c r="O178" s="156" t="n"/>
    </row>
    <row r="179" ht="18.75" customHeight="1" s="153">
      <c r="A179" s="279" t="n">
        <v>46043</v>
      </c>
      <c r="B179" s="267" t="inlineStr">
        <is>
          <t>GENERAL PAZ 7826</t>
        </is>
      </c>
      <c r="C179" s="268" t="n">
        <v>1</v>
      </c>
      <c r="D179" s="268" t="n"/>
      <c r="E179" s="268" t="n"/>
      <c r="F179" s="269" t="n"/>
      <c r="G179" s="269" t="n"/>
      <c r="H179" s="231" t="n">
        <v>22000</v>
      </c>
      <c r="I179" s="232" t="n">
        <v>22000</v>
      </c>
      <c r="J179" s="232" t="n"/>
      <c r="K179" s="272" t="n"/>
      <c r="L179" s="272">
        <f>IF(K179&lt;&gt;"",11500+K179,11500)</f>
        <v/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RIO NEGRO 6558</t>
        </is>
      </c>
      <c r="C180" s="275" t="n"/>
      <c r="D180" s="275" t="n"/>
      <c r="E180" s="275" t="n">
        <v>1</v>
      </c>
      <c r="F180" s="276" t="n"/>
      <c r="G180" s="276" t="n"/>
      <c r="H180" s="241" t="n">
        <v>270000</v>
      </c>
      <c r="I180" s="242" t="n">
        <v>270000</v>
      </c>
      <c r="J180" s="242" t="n"/>
      <c r="K180" s="272" t="n"/>
      <c r="L180" s="272">
        <f>IF(K180&lt;&gt;"",223000+K180,223000)</f>
        <v/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ANGEL</t>
        </is>
      </c>
      <c r="C181" s="268" t="n">
        <v>1</v>
      </c>
      <c r="D181" s="268" t="n"/>
      <c r="E181" s="268" t="n"/>
      <c r="F181" s="269" t="n"/>
      <c r="G181" s="269" t="n"/>
      <c r="H181" s="231" t="n">
        <v>13000</v>
      </c>
      <c r="I181" s="232" t="n">
        <v>13000</v>
      </c>
      <c r="J181" s="232" t="n"/>
      <c r="K181" s="272" t="n"/>
      <c r="L181" s="272">
        <f>IF(K181&lt;&gt;"",2500+K181,2500)</f>
        <v/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PANA GORRITI 4600</t>
        </is>
      </c>
      <c r="C182" s="275" t="n"/>
      <c r="D182" s="275" t="n"/>
      <c r="E182" s="275" t="n">
        <v>1</v>
      </c>
      <c r="F182" s="276" t="n"/>
      <c r="G182" s="276" t="n"/>
      <c r="H182" s="241" t="n">
        <v>72000</v>
      </c>
      <c r="I182" s="242" t="n">
        <v>72000</v>
      </c>
      <c r="J182" s="242" t="n"/>
      <c r="K182" s="272" t="n"/>
      <c r="L182" s="272">
        <f>IF(K182&lt;&gt;"",25000+K182,25000)</f>
        <v/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SABORERARTE</t>
        </is>
      </c>
      <c r="C183" s="268" t="n">
        <v>1</v>
      </c>
      <c r="D183" s="268" t="n"/>
      <c r="E183" s="268" t="n"/>
      <c r="F183" s="269" t="n"/>
      <c r="G183" s="269" t="n"/>
      <c r="H183" s="231" t="n">
        <v>18000</v>
      </c>
      <c r="I183" s="232" t="n"/>
      <c r="J183" s="232" t="n">
        <v>18000</v>
      </c>
      <c r="K183" s="272" t="n"/>
      <c r="L183" s="272">
        <f>IF(K183&lt;&gt;"",7500+K183,7500)</f>
        <v/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BLAS PARERA 5224</t>
        </is>
      </c>
      <c r="C184" s="275" t="n"/>
      <c r="D184" s="275" t="n"/>
      <c r="E184" s="275" t="n">
        <v>1</v>
      </c>
      <c r="F184" s="276" t="n"/>
      <c r="G184" s="276" t="n"/>
      <c r="H184" s="241" t="n">
        <v>73500</v>
      </c>
      <c r="I184" s="242" t="n"/>
      <c r="J184" s="242" t="n">
        <v>73500</v>
      </c>
      <c r="K184" s="272" t="n"/>
      <c r="L184" s="272">
        <f>IF(K184&lt;&gt;"",26500+K184,26500)</f>
        <v/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 xml:space="preserve">FILOMENA </t>
        </is>
      </c>
      <c r="C185" s="268" t="n">
        <v>2</v>
      </c>
      <c r="D185" s="268" t="n"/>
      <c r="E185" s="268" t="n"/>
      <c r="F185" s="269" t="n"/>
      <c r="G185" s="269" t="n"/>
      <c r="H185" s="231" t="n">
        <v>36000</v>
      </c>
      <c r="I185" s="232" t="n"/>
      <c r="J185" s="232" t="n">
        <v>36000</v>
      </c>
      <c r="K185" s="272" t="n"/>
      <c r="L185" s="272">
        <f>IF(K185&lt;&gt;"",15000+K185,15000)</f>
        <v/>
      </c>
      <c r="M185" s="156" t="n"/>
      <c r="N185" s="156" t="n"/>
      <c r="O185" s="156" t="n"/>
    </row>
    <row r="186" ht="18.75" customHeight="1" s="153">
      <c r="A186" s="273" t="n"/>
      <c r="B186" s="274" t="inlineStr">
        <is>
          <t>SEGUI 1680</t>
        </is>
      </c>
      <c r="C186" s="275" t="n">
        <v>1</v>
      </c>
      <c r="D186" s="275" t="n"/>
      <c r="E186" s="275" t="n"/>
      <c r="F186" s="276" t="n"/>
      <c r="G186" s="276" t="n"/>
      <c r="H186" s="241" t="n">
        <v>21000</v>
      </c>
      <c r="I186" s="242" t="n">
        <v>21000</v>
      </c>
      <c r="J186" s="242" t="n"/>
      <c r="K186" s="272" t="n"/>
      <c r="L186" s="272">
        <f>IF(K186&lt;&gt;"",10500+K186,10500)</f>
        <v/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LOLI</t>
        </is>
      </c>
      <c r="C187" s="268" t="n"/>
      <c r="D187" s="268" t="n"/>
      <c r="E187" s="268" t="n"/>
      <c r="F187" s="269" t="n">
        <v>6</v>
      </c>
      <c r="G187" s="269" t="n"/>
      <c r="H187" s="231" t="n">
        <v>21000</v>
      </c>
      <c r="I187" s="232" t="n">
        <v>21000</v>
      </c>
      <c r="J187" s="232" t="n"/>
      <c r="K187" s="272" t="n"/>
      <c r="L187" s="272">
        <f>IF(K187&lt;&gt;"",7050+K187,7050)</f>
        <v/>
      </c>
      <c r="M187" s="156" t="n"/>
      <c r="N187" s="156" t="n"/>
      <c r="O187" s="156" t="n"/>
    </row>
    <row r="188" ht="18.75" customHeight="1" s="153">
      <c r="A188" s="273" t="n"/>
      <c r="B188" s="274" t="inlineStr">
        <is>
          <t>PANA BERUTI 6400</t>
        </is>
      </c>
      <c r="C188" s="275" t="n"/>
      <c r="D188" s="275" t="n"/>
      <c r="E188" s="275" t="n">
        <v>1</v>
      </c>
      <c r="F188" s="276" t="n"/>
      <c r="G188" s="276" t="n"/>
      <c r="H188" s="241" t="n">
        <v>65000</v>
      </c>
      <c r="I188" s="242" t="n">
        <v>65000</v>
      </c>
      <c r="J188" s="242" t="n"/>
      <c r="K188" s="272" t="n"/>
      <c r="L188" s="272">
        <f>IF(K188&lt;&gt;"",18000+K188,18000)</f>
        <v/>
      </c>
      <c r="M188" s="156" t="n"/>
      <c r="N188" s="156" t="n"/>
      <c r="O188" s="156" t="n"/>
    </row>
    <row r="189" ht="18.75" customHeight="1" s="153">
      <c r="A189" s="279" t="n">
        <v>46044</v>
      </c>
      <c r="B189" s="267" t="inlineStr">
        <is>
          <t>HERNANDARIAS 5211</t>
        </is>
      </c>
      <c r="C189" s="268" t="n"/>
      <c r="D189" s="268" t="n">
        <v>1</v>
      </c>
      <c r="E189" s="268" t="n"/>
      <c r="F189" s="269" t="n"/>
      <c r="G189" s="269" t="n"/>
      <c r="H189" s="231" t="n">
        <v>36000</v>
      </c>
      <c r="I189" s="232" t="n"/>
      <c r="J189" s="232" t="n">
        <v>36000</v>
      </c>
      <c r="K189" s="272" t="n"/>
      <c r="L189" s="272">
        <f>IF(K189&lt;&gt;"",20250+K189,20250)</f>
        <v/>
      </c>
      <c r="M189" s="156" t="n"/>
      <c r="N189" s="156" t="n"/>
      <c r="O189" s="156" t="n"/>
    </row>
    <row r="190" ht="18.75" customHeight="1" s="153">
      <c r="A190" s="273" t="n"/>
      <c r="B190" s="274" t="inlineStr">
        <is>
          <t>OTNIEL</t>
        </is>
      </c>
      <c r="C190" s="275" t="n"/>
      <c r="D190" s="275" t="n">
        <v>1</v>
      </c>
      <c r="E190" s="275" t="n"/>
      <c r="F190" s="276" t="n"/>
      <c r="G190" s="276" t="n">
        <v>1</v>
      </c>
      <c r="H190" s="241" t="n">
        <v>33500</v>
      </c>
      <c r="I190" s="242" t="n"/>
      <c r="J190" s="242" t="n">
        <v>33500</v>
      </c>
      <c r="K190" s="272" t="n"/>
      <c r="L190" s="272">
        <f>IF(K190&lt;&gt;"",16950+K190,16950)</f>
        <v/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AGUADO 6970</t>
        </is>
      </c>
      <c r="C191" s="268" t="n">
        <v>1</v>
      </c>
      <c r="D191" s="268" t="n"/>
      <c r="E191" s="268" t="n"/>
      <c r="F191" s="269" t="n"/>
      <c r="G191" s="269" t="n"/>
      <c r="H191" s="231" t="n">
        <v>21000</v>
      </c>
      <c r="I191" s="232" t="n">
        <v>21000</v>
      </c>
      <c r="J191" s="232" t="n"/>
      <c r="K191" s="272" t="n"/>
      <c r="L191" s="272">
        <f>IF(K191&lt;&gt;"",10500+K191,10500)</f>
        <v/>
      </c>
      <c r="M191" s="156" t="n"/>
      <c r="N191" s="156" t="n"/>
      <c r="O191" s="156" t="n"/>
    </row>
    <row r="192" ht="18.75" customHeight="1" s="153">
      <c r="A192" s="273" t="n"/>
      <c r="B192" s="274" t="inlineStr">
        <is>
          <t>SABOREAR</t>
        </is>
      </c>
      <c r="C192" s="275" t="n"/>
      <c r="D192" s="275" t="n">
        <v>1</v>
      </c>
      <c r="E192" s="275" t="n">
        <v>1</v>
      </c>
      <c r="F192" s="276" t="n"/>
      <c r="G192" s="276" t="n"/>
      <c r="H192" s="241" t="n">
        <v>97000</v>
      </c>
      <c r="I192" s="242" t="n"/>
      <c r="J192" s="242" t="n">
        <v>97000</v>
      </c>
      <c r="K192" s="272" t="n"/>
      <c r="L192" s="272">
        <f>IF(K192&lt;&gt;"",34250+K192,34250)</f>
        <v/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CAREN</t>
        </is>
      </c>
      <c r="C193" s="268" t="n"/>
      <c r="D193" s="268" t="n"/>
      <c r="E193" s="268" t="n">
        <v>1</v>
      </c>
      <c r="F193" s="269" t="n"/>
      <c r="G193" s="269" t="n"/>
      <c r="H193" s="231" t="n">
        <v>69000</v>
      </c>
      <c r="I193" s="232" t="n"/>
      <c r="J193" s="232" t="n">
        <v>69000</v>
      </c>
      <c r="K193" s="272" t="n"/>
      <c r="L193" s="272">
        <f>IF(K193&lt;&gt;"",22000+K193,22000)</f>
        <v/>
      </c>
      <c r="M193" s="156" t="n"/>
      <c r="N193" s="156" t="n"/>
      <c r="O193" s="156" t="n"/>
    </row>
    <row r="194" ht="18.75" customHeight="1" s="153">
      <c r="A194" s="273" t="n"/>
      <c r="B194" s="274" t="inlineStr">
        <is>
          <t>BEATRIZ</t>
        </is>
      </c>
      <c r="C194" s="275" t="n"/>
      <c r="D194" s="275" t="n"/>
      <c r="E194" s="275" t="n"/>
      <c r="F194" s="276" t="n"/>
      <c r="G194" s="276" t="n">
        <v>1</v>
      </c>
      <c r="H194" s="241" t="n">
        <v>5000</v>
      </c>
      <c r="I194" s="242" t="n">
        <v>5000</v>
      </c>
      <c r="J194" s="242" t="n"/>
      <c r="K194" s="272" t="n"/>
      <c r="L194" s="272">
        <f>IF(K194&lt;&gt;"",4200+K194,4200)</f>
        <v/>
      </c>
      <c r="M194" s="156" t="n"/>
      <c r="N194" s="156" t="n"/>
      <c r="O194" s="156" t="n"/>
    </row>
    <row r="195" ht="18.75" customHeight="1" s="153">
      <c r="A195" s="279" t="n">
        <v>46045</v>
      </c>
      <c r="B195" s="267" t="inlineStr">
        <is>
          <t>ALELIES 10358</t>
        </is>
      </c>
      <c r="C195" s="268" t="n"/>
      <c r="D195" s="268" t="n"/>
      <c r="E195" s="268" t="n">
        <v>1</v>
      </c>
      <c r="F195" s="269" t="n"/>
      <c r="G195" s="269" t="n"/>
      <c r="H195" s="231" t="n">
        <v>73000</v>
      </c>
      <c r="I195" s="232" t="n">
        <v>73000</v>
      </c>
      <c r="J195" s="232" t="n"/>
      <c r="K195" s="272" t="n"/>
      <c r="L195" s="272">
        <f>IF(K195&lt;&gt;"",26000+K195,26000)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MACHUCA RAMONA1</t>
        </is>
      </c>
      <c r="C196" s="275" t="n"/>
      <c r="D196" s="275" t="n"/>
      <c r="E196" s="275" t="n">
        <v>1</v>
      </c>
      <c r="F196" s="276" t="n"/>
      <c r="G196" s="276" t="n"/>
      <c r="H196" s="241" t="n">
        <v>75000</v>
      </c>
      <c r="I196" s="242" t="n">
        <v>75000</v>
      </c>
      <c r="J196" s="242" t="n"/>
      <c r="K196" s="272" t="n"/>
      <c r="L196" s="272">
        <f>IF(K196&lt;&gt;"",28000+K196,28000)</f>
        <v/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GENESIO</t>
        </is>
      </c>
      <c r="C197" s="268" t="n"/>
      <c r="D197" s="268" t="n"/>
      <c r="E197" s="268" t="n">
        <v>1</v>
      </c>
      <c r="F197" s="269" t="n"/>
      <c r="G197" s="269" t="n"/>
      <c r="H197" s="231" t="n">
        <v>69000</v>
      </c>
      <c r="I197" s="232" t="n">
        <v>69000</v>
      </c>
      <c r="J197" s="232" t="n"/>
      <c r="K197" s="272" t="n"/>
      <c r="L197" s="272">
        <f>IF(K197&lt;&gt;"",22000+K197,22000)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INGENIEROS 5501</t>
        </is>
      </c>
      <c r="C198" s="275" t="n">
        <v>1</v>
      </c>
      <c r="D198" s="275" t="n"/>
      <c r="E198" s="275" t="n"/>
      <c r="F198" s="276" t="n"/>
      <c r="G198" s="276" t="n"/>
      <c r="H198" s="241" t="n">
        <v>22000</v>
      </c>
      <c r="I198" s="242" t="n">
        <v>22000</v>
      </c>
      <c r="J198" s="242" t="n"/>
      <c r="K198" s="272" t="n"/>
      <c r="L198" s="272">
        <f>IF(K198&lt;&gt;"",11500+K198,11500)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 xml:space="preserve">FILOMENA </t>
        </is>
      </c>
      <c r="C199" s="268" t="n">
        <v>1</v>
      </c>
      <c r="D199" s="268" t="n"/>
      <c r="E199" s="268" t="n"/>
      <c r="F199" s="269" t="n"/>
      <c r="G199" s="269" t="n"/>
      <c r="H199" s="231" t="n">
        <v>18000</v>
      </c>
      <c r="I199" s="232" t="n">
        <v>18000</v>
      </c>
      <c r="J199" s="232" t="n"/>
      <c r="K199" s="272" t="n"/>
      <c r="L199" s="272">
        <f>IF(K199&lt;&gt;"",7500+K199,7500)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SEGUI 1680</t>
        </is>
      </c>
      <c r="C200" s="275" t="n"/>
      <c r="D200" s="275" t="n">
        <v>1</v>
      </c>
      <c r="E200" s="275" t="n"/>
      <c r="F200" s="276" t="n"/>
      <c r="G200" s="276" t="n"/>
      <c r="H200" s="241" t="n">
        <v>33000</v>
      </c>
      <c r="I200" s="242" t="n">
        <v>33000</v>
      </c>
      <c r="J200" s="242" t="n"/>
      <c r="K200" s="272" t="n"/>
      <c r="L200" s="272">
        <f>IF(K200&lt;&gt;"",17250+K200,17250)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ALFEREZ MOREIRA 1845</t>
        </is>
      </c>
      <c r="C201" s="268" t="n"/>
      <c r="D201" s="268" t="n"/>
      <c r="E201" s="268" t="n">
        <v>1</v>
      </c>
      <c r="F201" s="269" t="n"/>
      <c r="G201" s="269" t="n"/>
      <c r="H201" s="231" t="n">
        <v>72000</v>
      </c>
      <c r="I201" s="232" t="n"/>
      <c r="J201" s="232" t="n">
        <v>72000</v>
      </c>
      <c r="K201" s="272" t="n"/>
      <c r="L201" s="272">
        <f>IF(K201&lt;&gt;"",25000+K201,25000)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NACHO CUEVA</t>
        </is>
      </c>
      <c r="C202" s="275" t="n">
        <v>1</v>
      </c>
      <c r="D202" s="275" t="n">
        <v>1</v>
      </c>
      <c r="E202" s="275" t="n"/>
      <c r="F202" s="276" t="n"/>
      <c r="G202" s="276" t="n"/>
      <c r="H202" s="241" t="n">
        <v>45000</v>
      </c>
      <c r="I202" s="242" t="n">
        <v>45000</v>
      </c>
      <c r="J202" s="242" t="n"/>
      <c r="K202" s="272" t="n"/>
      <c r="L202" s="272">
        <f>IF(K202&lt;&gt;"",18750+K202,18750)</f>
        <v/>
      </c>
      <c r="M202" s="156" t="n"/>
      <c r="N202" s="156" t="n"/>
      <c r="O202" s="156" t="n"/>
    </row>
    <row r="203" ht="18.75" customHeight="1" s="153">
      <c r="A203" s="279" t="n">
        <v>46046</v>
      </c>
      <c r="B203" s="267" t="inlineStr">
        <is>
          <t>EXE</t>
        </is>
      </c>
      <c r="C203" s="268" t="n"/>
      <c r="D203" s="268" t="n"/>
      <c r="E203" s="268" t="n">
        <v>1</v>
      </c>
      <c r="F203" s="269" t="n"/>
      <c r="G203" s="269" t="n"/>
      <c r="H203" s="231" t="n">
        <v>69000</v>
      </c>
      <c r="I203" s="232" t="n"/>
      <c r="J203" s="232" t="n">
        <v>69000</v>
      </c>
      <c r="K203" s="272" t="n"/>
      <c r="L203" s="272">
        <f>IF(K203&lt;&gt;"",22000+K203,22000)</f>
        <v/>
      </c>
      <c r="M203" s="156" t="n"/>
      <c r="N203" s="156" t="n"/>
      <c r="O203" s="156" t="n"/>
    </row>
    <row r="204" ht="18.75" customHeight="1" s="153">
      <c r="A204" s="273" t="n"/>
      <c r="B204" s="274" t="inlineStr">
        <is>
          <t>AZCUENAGA 5023</t>
        </is>
      </c>
      <c r="C204" s="275" t="n">
        <v>4</v>
      </c>
      <c r="D204" s="275" t="n">
        <v>1</v>
      </c>
      <c r="E204" s="275" t="n"/>
      <c r="F204" s="276" t="n"/>
      <c r="G204" s="276" t="n"/>
      <c r="H204" s="241" t="n">
        <v>81000</v>
      </c>
      <c r="I204" s="242" t="n"/>
      <c r="J204" s="242" t="n">
        <v>81000</v>
      </c>
      <c r="K204" s="272" t="n"/>
      <c r="L204" s="272">
        <f>IF(K204&lt;&gt;"",23250+K204,23250)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LUCHO</t>
        </is>
      </c>
      <c r="C205" s="268" t="n">
        <v>2</v>
      </c>
      <c r="D205" s="268" t="n"/>
      <c r="E205" s="268" t="n"/>
      <c r="F205" s="269" t="n"/>
      <c r="G205" s="269" t="n"/>
      <c r="H205" s="231" t="n">
        <v>29000</v>
      </c>
      <c r="I205" s="232" t="n">
        <v>29000</v>
      </c>
      <c r="J205" s="232" t="n"/>
      <c r="K205" s="272" t="n"/>
      <c r="L205" s="272">
        <f>IF(K205&lt;&gt;"",8000+K205,8000)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ROTI SAN LORENZO</t>
        </is>
      </c>
      <c r="C206" s="275" t="n"/>
      <c r="D206" s="275" t="n">
        <v>1</v>
      </c>
      <c r="E206" s="275" t="n"/>
      <c r="F206" s="276" t="n"/>
      <c r="G206" s="276" t="n"/>
      <c r="H206" s="241" t="n">
        <v>28000</v>
      </c>
      <c r="I206" s="242" t="n"/>
      <c r="J206" s="242" t="n">
        <v>28000</v>
      </c>
      <c r="K206" s="272" t="n"/>
      <c r="L206" s="272">
        <f>IF(K206&lt;&gt;"",12250+K206,12250)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RISSO 2239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>
        <v>22000</v>
      </c>
      <c r="J207" s="232" t="n"/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CONDOMINIO 3728</t>
        </is>
      </c>
      <c r="C208" s="275" t="n"/>
      <c r="D208" s="275" t="n"/>
      <c r="E208" s="275" t="n">
        <v>1</v>
      </c>
      <c r="F208" s="276" t="n"/>
      <c r="G208" s="276" t="n"/>
      <c r="H208" s="241" t="n">
        <v>71000</v>
      </c>
      <c r="I208" s="242" t="n"/>
      <c r="J208" s="242" t="n">
        <v>71000</v>
      </c>
      <c r="K208" s="272" t="n"/>
      <c r="L208" s="272">
        <f>IF(K208&lt;&gt;"",24000+K208,24000)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GORRITI 6512</t>
        </is>
      </c>
      <c r="C209" s="268" t="n"/>
      <c r="D209" s="268" t="n"/>
      <c r="E209" s="268" t="n">
        <v>1</v>
      </c>
      <c r="F209" s="269" t="n"/>
      <c r="G209" s="269" t="n"/>
      <c r="H209" s="231" t="n">
        <v>72000</v>
      </c>
      <c r="I209" s="232" t="n"/>
      <c r="J209" s="232" t="n">
        <v>72000</v>
      </c>
      <c r="K209" s="272" t="n"/>
      <c r="L209" s="272">
        <f>IF(K209&lt;&gt;"",25000+K209,25000)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TACUARI 5717</t>
        </is>
      </c>
      <c r="C210" s="275" t="n">
        <v>2</v>
      </c>
      <c r="D210" s="275" t="n"/>
      <c r="E210" s="275" t="n"/>
      <c r="F210" s="276" t="n"/>
      <c r="G210" s="276" t="n"/>
      <c r="H210" s="241" t="n">
        <v>39000</v>
      </c>
      <c r="I210" s="242" t="n"/>
      <c r="J210" s="242" t="n">
        <v>39000</v>
      </c>
      <c r="K210" s="272" t="n"/>
      <c r="L210" s="272">
        <f>IF(K210&lt;&gt;"",18000+K210,18000)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FILOMENA</t>
        </is>
      </c>
      <c r="C211" s="268" t="n">
        <v>2</v>
      </c>
      <c r="D211" s="268" t="n"/>
      <c r="E211" s="268" t="n"/>
      <c r="F211" s="269" t="n"/>
      <c r="G211" s="269" t="n"/>
      <c r="H211" s="231" t="n">
        <v>36000</v>
      </c>
      <c r="I211" s="232" t="n"/>
      <c r="J211" s="232" t="n">
        <v>36000</v>
      </c>
      <c r="K211" s="272" t="n"/>
      <c r="L211" s="272">
        <f>IF(K211&lt;&gt;"",15000+K211,15000)</f>
        <v/>
      </c>
      <c r="M211" s="156" t="n"/>
      <c r="N211" s="156" t="n"/>
      <c r="O211" s="156" t="n"/>
    </row>
    <row r="212" ht="18.75" customHeight="1" s="153">
      <c r="A212" s="273" t="n">
        <v>46047</v>
      </c>
      <c r="B212" s="274" t="inlineStr">
        <is>
          <t>COLODRERO 1200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>
        <v>22000</v>
      </c>
      <c r="J212" s="242" t="n"/>
      <c r="K212" s="272" t="n"/>
      <c r="L212" s="272">
        <f>IF(K212&lt;&gt;"",11500+K212,11500)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AGUAYO 3617</t>
        </is>
      </c>
      <c r="C213" s="268" t="n"/>
      <c r="D213" s="268" t="n">
        <v>1</v>
      </c>
      <c r="E213" s="268" t="n"/>
      <c r="F213" s="269" t="n"/>
      <c r="G213" s="269" t="n"/>
      <c r="H213" s="231" t="n">
        <v>33000</v>
      </c>
      <c r="I213" s="232" t="n">
        <v>33000</v>
      </c>
      <c r="J213" s="232" t="n"/>
      <c r="K213" s="272" t="n"/>
      <c r="L213" s="272">
        <f>IF(K213&lt;&gt;"",17250+K213,17250)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PEDRO TAPPA 9731</t>
        </is>
      </c>
      <c r="C214" s="275" t="n">
        <v>1</v>
      </c>
      <c r="D214" s="275" t="n"/>
      <c r="E214" s="275" t="n"/>
      <c r="F214" s="276" t="n"/>
      <c r="G214" s="276" t="n"/>
      <c r="H214" s="241" t="n">
        <v>22000</v>
      </c>
      <c r="I214" s="242" t="n">
        <v>22000</v>
      </c>
      <c r="J214" s="242" t="n"/>
      <c r="K214" s="272" t="n"/>
      <c r="L214" s="272">
        <f>IF(K214&lt;&gt;"",11500+K214,11500)</f>
        <v/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DENIS 6169</t>
        </is>
      </c>
      <c r="C215" s="268" t="n">
        <v>1</v>
      </c>
      <c r="D215" s="268" t="n"/>
      <c r="E215" s="268" t="n"/>
      <c r="F215" s="269" t="n"/>
      <c r="G215" s="269" t="n"/>
      <c r="H215" s="231" t="n">
        <v>21000</v>
      </c>
      <c r="I215" s="232" t="n">
        <v>21000</v>
      </c>
      <c r="J215" s="232" t="n"/>
      <c r="K215" s="272" t="n"/>
      <c r="L215" s="272">
        <f>IF(K215&lt;&gt;"",10500+K215,10500)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PUESTO PASTELITOS COSTA</t>
        </is>
      </c>
      <c r="C216" s="275" t="n">
        <v>1</v>
      </c>
      <c r="D216" s="275" t="n"/>
      <c r="E216" s="275" t="n"/>
      <c r="F216" s="276" t="n"/>
      <c r="G216" s="276" t="n"/>
      <c r="H216" s="241" t="n">
        <v>19500</v>
      </c>
      <c r="I216" s="242" t="n">
        <v>19500</v>
      </c>
      <c r="J216" s="242" t="n"/>
      <c r="K216" s="272" t="n"/>
      <c r="L216" s="272">
        <f>IF(K216&lt;&gt;"",9000+K216,9000)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 xml:space="preserve">SABORERARTE </t>
        </is>
      </c>
      <c r="C217" s="268" t="n">
        <v>1</v>
      </c>
      <c r="D217" s="268" t="n"/>
      <c r="E217" s="268" t="n"/>
      <c r="F217" s="269" t="n"/>
      <c r="G217" s="269" t="n"/>
      <c r="H217" s="231" t="n">
        <v>18000</v>
      </c>
      <c r="I217" s="232" t="n"/>
      <c r="J217" s="232" t="n">
        <v>18000</v>
      </c>
      <c r="K217" s="272" t="n"/>
      <c r="L217" s="272">
        <f>IF(K217&lt;&gt;"",7500+K217,7500)</f>
        <v/>
      </c>
      <c r="M217" s="156" t="n"/>
      <c r="N217" s="156" t="n"/>
      <c r="O217" s="156" t="n"/>
    </row>
    <row r="218" ht="18.75" customHeight="1" s="153">
      <c r="A218" s="273" t="n">
        <v>46048</v>
      </c>
      <c r="B218" s="274" t="inlineStr">
        <is>
          <t>PANA VIEYTES GISELA</t>
        </is>
      </c>
      <c r="C218" s="275" t="n">
        <v>1</v>
      </c>
      <c r="D218" s="275" t="n"/>
      <c r="E218" s="275" t="n"/>
      <c r="F218" s="276" t="n"/>
      <c r="G218" s="276" t="n"/>
      <c r="H218" s="241" t="n">
        <v>17500</v>
      </c>
      <c r="I218" s="242" t="n"/>
      <c r="J218" s="242" t="n">
        <v>17500</v>
      </c>
      <c r="K218" s="272" t="n"/>
      <c r="L218" s="272">
        <f>IF(K218&lt;&gt;"",7000+K218,7000)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ALVEAR 8278</t>
        </is>
      </c>
      <c r="C219" s="268" t="n"/>
      <c r="D219" s="268" t="n"/>
      <c r="E219" s="268" t="n">
        <v>1</v>
      </c>
      <c r="F219" s="269" t="n"/>
      <c r="G219" s="269" t="n"/>
      <c r="H219" s="231" t="n">
        <v>75000</v>
      </c>
      <c r="I219" s="232" t="n"/>
      <c r="J219" s="232" t="n">
        <v>75000</v>
      </c>
      <c r="K219" s="272" t="n"/>
      <c r="L219" s="272">
        <f>IF(K219&lt;&gt;"",28000+K219,28000)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DOMINGO SILVA 4217</t>
        </is>
      </c>
      <c r="C220" s="275" t="n">
        <v>2</v>
      </c>
      <c r="D220" s="275" t="n">
        <v>1</v>
      </c>
      <c r="E220" s="275" t="n"/>
      <c r="F220" s="276" t="n"/>
      <c r="G220" s="276" t="n"/>
      <c r="H220" s="241" t="n">
        <v>51500</v>
      </c>
      <c r="I220" s="242" t="n"/>
      <c r="J220" s="242" t="n">
        <v>51500</v>
      </c>
      <c r="K220" s="272" t="n"/>
      <c r="L220" s="272">
        <f>IF(K220&lt;&gt;"",14750+K220,14750)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FILOMENA</t>
        </is>
      </c>
      <c r="C221" s="268" t="n">
        <v>1</v>
      </c>
      <c r="D221" s="268" t="n"/>
      <c r="E221" s="268" t="n"/>
      <c r="F221" s="269" t="n"/>
      <c r="G221" s="269" t="n"/>
      <c r="H221" s="231" t="n">
        <v>18000</v>
      </c>
      <c r="I221" s="232" t="n">
        <v>18000</v>
      </c>
      <c r="J221" s="232" t="n"/>
      <c r="K221" s="272" t="n"/>
      <c r="L221" s="272">
        <f>IF(K221&lt;&gt;"",7500+K221,7500)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ALBERDI 6449</t>
        </is>
      </c>
      <c r="C222" s="275" t="n">
        <v>1</v>
      </c>
      <c r="D222" s="275" t="n"/>
      <c r="E222" s="275" t="n"/>
      <c r="F222" s="276" t="n"/>
      <c r="G222" s="276" t="n"/>
      <c r="H222" s="241" t="n">
        <v>22000</v>
      </c>
      <c r="I222" s="242" t="n">
        <v>22000</v>
      </c>
      <c r="J222" s="242" t="n"/>
      <c r="K222" s="272" t="n"/>
      <c r="L222" s="272">
        <f>IF(K222&lt;&gt;"",11500+K222,11500)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OTNIEL</t>
        </is>
      </c>
      <c r="C223" s="268" t="n"/>
      <c r="D223" s="268" t="n"/>
      <c r="E223" s="268" t="n"/>
      <c r="F223" s="269" t="n"/>
      <c r="G223" s="269" t="n">
        <v>1</v>
      </c>
      <c r="H223" s="231" t="n">
        <v>5000</v>
      </c>
      <c r="I223" s="232" t="n">
        <v>5000</v>
      </c>
      <c r="J223" s="232" t="n"/>
      <c r="K223" s="272" t="n"/>
      <c r="L223" s="272">
        <f>IF(K223&lt;&gt;"",4200+K223,4200)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PANA VIEYTES 4500</t>
        </is>
      </c>
      <c r="C224" s="275" t="n">
        <v>1</v>
      </c>
      <c r="D224" s="275" t="n"/>
      <c r="E224" s="275" t="n">
        <v>1</v>
      </c>
      <c r="F224" s="276" t="n"/>
      <c r="G224" s="276" t="n"/>
      <c r="H224" s="241" t="n">
        <v>83000</v>
      </c>
      <c r="I224" s="242" t="n">
        <v>83000</v>
      </c>
      <c r="J224" s="242" t="n"/>
      <c r="K224" s="272" t="n"/>
      <c r="L224" s="272">
        <f>IF(K224&lt;&gt;"",25500+K224,25500)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 xml:space="preserve">PANA GENESIO </t>
        </is>
      </c>
      <c r="C225" s="268" t="n"/>
      <c r="D225" s="268" t="n"/>
      <c r="E225" s="268" t="n">
        <v>1</v>
      </c>
      <c r="F225" s="269" t="n"/>
      <c r="G225" s="269" t="n"/>
      <c r="H225" s="231" t="n">
        <v>69000</v>
      </c>
      <c r="I225" s="232" t="n"/>
      <c r="J225" s="232" t="n">
        <v>69000</v>
      </c>
      <c r="K225" s="272" t="n"/>
      <c r="L225" s="272">
        <f>IF(K225&lt;&gt;"",22000+K225,22000)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LUCHO</t>
        </is>
      </c>
      <c r="C226" s="275" t="n"/>
      <c r="D226" s="275" t="n"/>
      <c r="E226" s="275" t="n"/>
      <c r="F226" s="276" t="n"/>
      <c r="G226" s="276" t="n">
        <v>1</v>
      </c>
      <c r="H226" s="241" t="n">
        <v>5000</v>
      </c>
      <c r="I226" s="242" t="n"/>
      <c r="J226" s="242" t="n">
        <v>5000</v>
      </c>
      <c r="K226" s="272" t="n"/>
      <c r="L226" s="272">
        <f>IF(K226&lt;&gt;"",4200+K226,4200)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VICTORIO</t>
        </is>
      </c>
      <c r="C227" s="268" t="n">
        <v>1</v>
      </c>
      <c r="D227" s="268" t="n"/>
      <c r="E227" s="268" t="n"/>
      <c r="F227" s="269" t="n"/>
      <c r="G227" s="269" t="n"/>
      <c r="H227" s="231" t="n">
        <v>17000</v>
      </c>
      <c r="I227" s="232" t="n">
        <v>17000</v>
      </c>
      <c r="J227" s="232" t="n"/>
      <c r="K227" s="272" t="n"/>
      <c r="L227" s="272">
        <f>IF(K227&lt;&gt;"",6500+K227,6500)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AZCUENAGA 5023</t>
        </is>
      </c>
      <c r="C228" s="275" t="n">
        <v>2</v>
      </c>
      <c r="D228" s="275" t="n">
        <v>1</v>
      </c>
      <c r="E228" s="275" t="n"/>
      <c r="F228" s="276" t="n"/>
      <c r="G228" s="276" t="n"/>
      <c r="H228" s="241" t="n">
        <v>52000</v>
      </c>
      <c r="I228" s="242" t="n"/>
      <c r="J228" s="242" t="n">
        <v>52000</v>
      </c>
      <c r="K228" s="272" t="n"/>
      <c r="L228" s="272">
        <f>IF(K228&lt;&gt;"",15250+K228,15250)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CAREN</t>
        </is>
      </c>
      <c r="C229" s="268" t="n"/>
      <c r="D229" s="268" t="n"/>
      <c r="E229" s="268" t="n">
        <v>1</v>
      </c>
      <c r="F229" s="269" t="n"/>
      <c r="G229" s="269" t="n"/>
      <c r="H229" s="231" t="n">
        <v>69000</v>
      </c>
      <c r="I229" s="232" t="n"/>
      <c r="J229" s="232" t="n">
        <v>69000</v>
      </c>
      <c r="K229" s="272" t="n"/>
      <c r="L229" s="272">
        <f>IF(K229&lt;&gt;"",22000+K229,22000)</f>
        <v/>
      </c>
      <c r="M229" s="156" t="n"/>
      <c r="N229" s="156" t="n"/>
      <c r="O229" s="156" t="n"/>
    </row>
    <row r="230" ht="18.75" customHeight="1" s="153">
      <c r="A230" s="273" t="n">
        <v>46049</v>
      </c>
      <c r="B230" s="274" t="inlineStr">
        <is>
          <t>JP LOPEZ 2580</t>
        </is>
      </c>
      <c r="C230" s="275" t="n">
        <v>1</v>
      </c>
      <c r="D230" s="275" t="n"/>
      <c r="E230" s="275" t="n"/>
      <c r="F230" s="276" t="n"/>
      <c r="G230" s="276" t="n"/>
      <c r="H230" s="241" t="n">
        <v>22000</v>
      </c>
      <c r="I230" s="242" t="n">
        <v>22000</v>
      </c>
      <c r="J230" s="242" t="n"/>
      <c r="K230" s="272" t="n"/>
      <c r="L230" s="272">
        <f>IF(K230&lt;&gt;"",11500+K230,11500)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PAULO</t>
        </is>
      </c>
      <c r="C231" s="268" t="n">
        <v>2</v>
      </c>
      <c r="D231" s="268" t="n"/>
      <c r="E231" s="268" t="n"/>
      <c r="F231" s="269" t="n"/>
      <c r="G231" s="269" t="n"/>
      <c r="H231" s="231" t="n">
        <v>29000</v>
      </c>
      <c r="I231" s="232" t="n"/>
      <c r="J231" s="232" t="n">
        <v>29000</v>
      </c>
      <c r="K231" s="272" t="n"/>
      <c r="L231" s="272">
        <f>IF(K231&lt;&gt;"",8000+K231,8000)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FLORES 22 CASA 75</t>
        </is>
      </c>
      <c r="C232" s="275" t="n">
        <v>1</v>
      </c>
      <c r="D232" s="275" t="n"/>
      <c r="E232" s="275" t="n"/>
      <c r="F232" s="276" t="n"/>
      <c r="G232" s="276" t="n"/>
      <c r="H232" s="241" t="n">
        <v>22000</v>
      </c>
      <c r="I232" s="242" t="n">
        <v>22000</v>
      </c>
      <c r="J232" s="242" t="n"/>
      <c r="K232" s="272" t="n"/>
      <c r="L232" s="272">
        <f>IF(K232&lt;&gt;"",11500+K232,11500)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OTNIEL</t>
        </is>
      </c>
      <c r="C233" s="268" t="n"/>
      <c r="D233" s="268" t="n">
        <v>1</v>
      </c>
      <c r="E233" s="268" t="n">
        <v>1</v>
      </c>
      <c r="F233" s="269" t="n"/>
      <c r="G233" s="269" t="n"/>
      <c r="H233" s="231" t="n">
        <v>99500</v>
      </c>
      <c r="I233" s="232" t="n"/>
      <c r="J233" s="232" t="n">
        <v>99500</v>
      </c>
      <c r="K233" s="272" t="n"/>
      <c r="L233" s="272">
        <f>IF(K233&lt;&gt;"",36750+K233,36750)</f>
        <v/>
      </c>
      <c r="M233" s="156" t="n"/>
      <c r="N233" s="156" t="n"/>
      <c r="O233" s="156" t="n"/>
    </row>
    <row r="234" ht="18.75" customHeight="1" s="153">
      <c r="A234" s="273" t="n"/>
      <c r="B234" s="274" t="inlineStr">
        <is>
          <t>PANA ALBERTI</t>
        </is>
      </c>
      <c r="C234" s="275" t="n"/>
      <c r="D234" s="275" t="n"/>
      <c r="E234" s="275" t="n">
        <v>1</v>
      </c>
      <c r="F234" s="276" t="n"/>
      <c r="G234" s="276" t="n"/>
      <c r="H234" s="241" t="n">
        <v>71000</v>
      </c>
      <c r="I234" s="242" t="n">
        <v>71000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GENERAL PAZ 7826</t>
        </is>
      </c>
      <c r="C235" s="268" t="n">
        <v>1</v>
      </c>
      <c r="D235" s="268" t="n"/>
      <c r="E235" s="268" t="n"/>
      <c r="F235" s="269" t="n"/>
      <c r="G235" s="269" t="n"/>
      <c r="H235" s="231" t="n">
        <v>22000</v>
      </c>
      <c r="I235" s="232" t="n">
        <v>22000</v>
      </c>
      <c r="J235" s="232" t="n"/>
      <c r="K235" s="272" t="n"/>
      <c r="L235" s="272">
        <f>IF(K235&lt;&gt;"",11500+K235,11500)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LOBOS ROCIO</t>
        </is>
      </c>
      <c r="C236" s="275" t="n"/>
      <c r="D236" s="275" t="n"/>
      <c r="E236" s="275" t="n">
        <v>1</v>
      </c>
      <c r="F236" s="276" t="n"/>
      <c r="G236" s="276" t="n"/>
      <c r="H236" s="241" t="n">
        <v>77000</v>
      </c>
      <c r="I236" s="242" t="n">
        <v>77000</v>
      </c>
      <c r="J236" s="242" t="n"/>
      <c r="K236" s="272" t="n"/>
      <c r="L236" s="272">
        <f>IF(K236&lt;&gt;"",30000+K236,30000)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GORRITI 4661</t>
        </is>
      </c>
      <c r="C237" s="268" t="n">
        <v>1</v>
      </c>
      <c r="D237" s="268" t="n"/>
      <c r="E237" s="268" t="n"/>
      <c r="F237" s="269" t="n"/>
      <c r="G237" s="269" t="n"/>
      <c r="H237" s="231" t="n">
        <v>22000</v>
      </c>
      <c r="I237" s="232" t="n"/>
      <c r="J237" s="232" t="n">
        <v>22000</v>
      </c>
      <c r="K237" s="272" t="n"/>
      <c r="L237" s="272">
        <f>IF(K237&lt;&gt;"",11500+K237,11500)</f>
        <v/>
      </c>
      <c r="M237" s="156" t="n"/>
      <c r="N237" s="156" t="n"/>
      <c r="O237" s="156" t="n"/>
    </row>
    <row r="238" ht="18.75" customHeight="1" s="153">
      <c r="A238" s="273" t="n">
        <v>46050</v>
      </c>
      <c r="B238" s="274" t="inlineStr">
        <is>
          <t xml:space="preserve">GOLD BURGUER </t>
        </is>
      </c>
      <c r="C238" s="275" t="n"/>
      <c r="D238" s="275" t="n"/>
      <c r="E238" s="275" t="n">
        <v>2</v>
      </c>
      <c r="F238" s="276" t="n"/>
      <c r="G238" s="276" t="n"/>
      <c r="H238" s="241" t="n">
        <v>158000</v>
      </c>
      <c r="I238" s="242" t="n">
        <v>158000</v>
      </c>
      <c r="J238" s="242" t="n"/>
      <c r="K238" s="272" t="n"/>
      <c r="L238" s="272">
        <f>IF(K238&lt;&gt;"",64000+K238,64000)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FILOMENA</t>
        </is>
      </c>
      <c r="C239" s="268" t="n">
        <v>2</v>
      </c>
      <c r="D239" s="268" t="n"/>
      <c r="E239" s="268" t="n"/>
      <c r="F239" s="269" t="n"/>
      <c r="G239" s="269" t="n"/>
      <c r="H239" s="231" t="n">
        <v>36000</v>
      </c>
      <c r="I239" s="232" t="n">
        <v>36000</v>
      </c>
      <c r="J239" s="232" t="n"/>
      <c r="K239" s="272" t="n"/>
      <c r="L239" s="272">
        <f>IF(K239&lt;&gt;"",15000+K239,15000)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PJE PUBLICO  2553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LUCHO</t>
        </is>
      </c>
      <c r="C241" s="268" t="n">
        <v>1</v>
      </c>
      <c r="D241" s="268" t="n"/>
      <c r="E241" s="268" t="n"/>
      <c r="F241" s="269" t="n"/>
      <c r="G241" s="269" t="n"/>
      <c r="H241" s="231" t="n">
        <v>14500</v>
      </c>
      <c r="I241" s="232" t="n">
        <v>14500</v>
      </c>
      <c r="J241" s="232" t="n"/>
      <c r="K241" s="272" t="n"/>
      <c r="L241" s="272">
        <f>IF(K241&lt;&gt;"",4000+K241,4000)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AZCUENAGA 5023</t>
        </is>
      </c>
      <c r="C242" s="275" t="n">
        <v>2</v>
      </c>
      <c r="D242" s="275" t="n"/>
      <c r="E242" s="275" t="n"/>
      <c r="F242" s="276" t="n"/>
      <c r="G242" s="276" t="n"/>
      <c r="H242" s="241" t="n">
        <v>29000</v>
      </c>
      <c r="I242" s="242" t="n">
        <v>29000</v>
      </c>
      <c r="J242" s="242" t="n"/>
      <c r="K242" s="272" t="n"/>
      <c r="L242" s="272">
        <f>IF(K242&lt;&gt;"",8000+K242,8000)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ALBERTI 5251</t>
        </is>
      </c>
      <c r="C243" s="268" t="n">
        <v>1</v>
      </c>
      <c r="D243" s="268" t="n"/>
      <c r="E243" s="268" t="n"/>
      <c r="F243" s="269" t="n"/>
      <c r="G243" s="269" t="n"/>
      <c r="H243" s="231" t="n">
        <v>21000</v>
      </c>
      <c r="I243" s="232" t="n">
        <v>21000</v>
      </c>
      <c r="J243" s="232" t="n"/>
      <c r="K243" s="272" t="n"/>
      <c r="L243" s="272">
        <f>IF(K243&lt;&gt;"",10500+K243,10500)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SAN LORENZO 5081</t>
        </is>
      </c>
      <c r="C244" s="275" t="n"/>
      <c r="D244" s="275" t="n">
        <v>1</v>
      </c>
      <c r="E244" s="275" t="n"/>
      <c r="F244" s="276" t="n"/>
      <c r="G244" s="276" t="n"/>
      <c r="H244" s="241" t="n">
        <v>33000</v>
      </c>
      <c r="I244" s="242" t="n">
        <v>33000</v>
      </c>
      <c r="J244" s="242" t="n"/>
      <c r="K244" s="272" t="n"/>
      <c r="L244" s="272">
        <f>IF(K244&lt;&gt;"",17250+K244,17250)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 xml:space="preserve">NACHO CUEVA </t>
        </is>
      </c>
      <c r="C245" s="268" t="n">
        <v>2</v>
      </c>
      <c r="D245" s="268" t="n"/>
      <c r="E245" s="268" t="n"/>
      <c r="F245" s="269" t="n"/>
      <c r="G245" s="269" t="n"/>
      <c r="H245" s="231" t="n">
        <v>36000</v>
      </c>
      <c r="I245" s="232" t="n">
        <v>36000</v>
      </c>
      <c r="J245" s="232" t="n"/>
      <c r="K245" s="272" t="n"/>
      <c r="L245" s="272">
        <f>IF(K245&lt;&gt;"",15000+K245,15000)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PIRU</t>
        </is>
      </c>
      <c r="C246" s="275" t="n"/>
      <c r="D246" s="275" t="n">
        <v>1</v>
      </c>
      <c r="E246" s="275" t="n"/>
      <c r="F246" s="276" t="n"/>
      <c r="G246" s="276" t="n"/>
      <c r="H246" s="241" t="n">
        <v>31000</v>
      </c>
      <c r="I246" s="242" t="n">
        <v>31000</v>
      </c>
      <c r="J246" s="242" t="n"/>
      <c r="K246" s="272" t="n"/>
      <c r="L246" s="272">
        <f>IF(K246&lt;&gt;"",15250+K246,15250)</f>
        <v/>
      </c>
      <c r="M246" s="156" t="n"/>
      <c r="N246" s="156" t="n"/>
      <c r="O246" s="156" t="n"/>
    </row>
    <row r="247" ht="18.75" customHeight="1" s="153">
      <c r="A247" s="279" t="n">
        <v>46051</v>
      </c>
      <c r="B247" s="267" t="inlineStr">
        <is>
          <t>AZCUENAGA 5023</t>
        </is>
      </c>
      <c r="C247" s="268" t="n">
        <v>3</v>
      </c>
      <c r="D247" s="268" t="n"/>
      <c r="E247" s="268" t="n"/>
      <c r="F247" s="269" t="n"/>
      <c r="G247" s="269" t="n"/>
      <c r="H247" s="231" t="n">
        <v>43500</v>
      </c>
      <c r="I247" s="232" t="n"/>
      <c r="J247" s="232" t="n">
        <v>43500</v>
      </c>
      <c r="K247" s="272" t="n"/>
      <c r="L247" s="272">
        <f>IF(K247&lt;&gt;"",12000+K247,12000)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PANA VIEYTES GISELA</t>
        </is>
      </c>
      <c r="C248" s="275" t="n"/>
      <c r="D248" s="275" t="n"/>
      <c r="E248" s="275" t="n"/>
      <c r="F248" s="276" t="n">
        <v>2</v>
      </c>
      <c r="G248" s="276" t="n"/>
      <c r="H248" s="241" t="n">
        <v>6900</v>
      </c>
      <c r="I248" s="242" t="n"/>
      <c r="J248" s="242" t="n">
        <v>6900</v>
      </c>
      <c r="K248" s="272" t="n"/>
      <c r="L248" s="272">
        <f>IF(K248&lt;&gt;"",2250+K248,2250)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BEATRIZ</t>
        </is>
      </c>
      <c r="C249" s="268" t="n"/>
      <c r="D249" s="268" t="n"/>
      <c r="E249" s="268" t="n"/>
      <c r="F249" s="269" t="n"/>
      <c r="G249" s="269" t="n">
        <v>1</v>
      </c>
      <c r="H249" s="231" t="n">
        <v>5000</v>
      </c>
      <c r="I249" s="232" t="n">
        <v>5000</v>
      </c>
      <c r="J249" s="232" t="n"/>
      <c r="K249" s="272" t="n"/>
      <c r="L249" s="272">
        <f>IF(K249&lt;&gt;"",4200+K249,4200)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 xml:space="preserve">ROTI SAN LORENZO </t>
        </is>
      </c>
      <c r="C250" s="275" t="n">
        <v>1</v>
      </c>
      <c r="D250" s="275" t="n">
        <v>1</v>
      </c>
      <c r="E250" s="275" t="n"/>
      <c r="F250" s="276" t="n"/>
      <c r="G250" s="276" t="n"/>
      <c r="H250" s="241" t="n">
        <v>51000</v>
      </c>
      <c r="I250" s="242" t="n"/>
      <c r="J250" s="242" t="n">
        <v>51000</v>
      </c>
      <c r="K250" s="272" t="n"/>
      <c r="L250" s="272">
        <f>IF(K250&lt;&gt;"",24750+K250,24750)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 xml:space="preserve">LAVADERO </t>
        </is>
      </c>
      <c r="C251" s="268" t="n">
        <v>1</v>
      </c>
      <c r="D251" s="268" t="n"/>
      <c r="E251" s="268" t="n"/>
      <c r="F251" s="269" t="n"/>
      <c r="G251" s="269" t="n"/>
      <c r="H251" s="231" t="n">
        <v>14500</v>
      </c>
      <c r="I251" s="232" t="n"/>
      <c r="J251" s="232" t="n">
        <v>14500</v>
      </c>
      <c r="K251" s="272" t="n"/>
      <c r="L251" s="272">
        <f>IF(K251&lt;&gt;"",4000+K251,4000)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SABOREAR</t>
        </is>
      </c>
      <c r="C252" s="275" t="n">
        <v>1</v>
      </c>
      <c r="D252" s="275" t="n">
        <v>1</v>
      </c>
      <c r="E252" s="275" t="n"/>
      <c r="F252" s="276" t="n"/>
      <c r="G252" s="276" t="n"/>
      <c r="H252" s="241" t="n">
        <v>46000</v>
      </c>
      <c r="I252" s="242" t="n"/>
      <c r="J252" s="242" t="n">
        <v>46000</v>
      </c>
      <c r="K252" s="272" t="n"/>
      <c r="L252" s="272">
        <f>IF(K252&lt;&gt;"",19750+K252,19750)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PANA GENESIO</t>
        </is>
      </c>
      <c r="C253" s="268" t="n">
        <v>1</v>
      </c>
      <c r="D253" s="268" t="n"/>
      <c r="E253" s="268" t="n">
        <v>1</v>
      </c>
      <c r="F253" s="269" t="n"/>
      <c r="G253" s="269" t="n"/>
      <c r="H253" s="231" t="n">
        <v>87000</v>
      </c>
      <c r="I253" s="232" t="n">
        <v>87000</v>
      </c>
      <c r="J253" s="232" t="n"/>
      <c r="K253" s="272" t="n"/>
      <c r="L253" s="272">
        <f>IF(K253&lt;&gt;"",29500+K253,29500)</f>
        <v/>
      </c>
      <c r="M253" s="156" t="n"/>
      <c r="N253" s="156" t="n"/>
      <c r="O253" s="156" t="n"/>
    </row>
    <row r="254" ht="18.75" customHeight="1" s="153">
      <c r="A254" s="273" t="n">
        <v>46052</v>
      </c>
      <c r="B254" s="274" t="inlineStr">
        <is>
          <t>EUROPA 7251</t>
        </is>
      </c>
      <c r="C254" s="275" t="n">
        <v>1</v>
      </c>
      <c r="D254" s="275" t="n"/>
      <c r="E254" s="275" t="n"/>
      <c r="F254" s="276" t="n"/>
      <c r="G254" s="276" t="n"/>
      <c r="H254" s="241" t="n">
        <v>22000</v>
      </c>
      <c r="I254" s="242" t="n"/>
      <c r="J254" s="242" t="n">
        <v>22000</v>
      </c>
      <c r="K254" s="272" t="n"/>
      <c r="L254" s="272">
        <f>IF(K254&lt;&gt;"",11500+K254,11500)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 xml:space="preserve">RITA </t>
        </is>
      </c>
      <c r="C255" s="268" t="n"/>
      <c r="D255" s="268" t="n"/>
      <c r="E255" s="268" t="n"/>
      <c r="F255" s="269" t="n"/>
      <c r="G255" s="269" t="n">
        <v>1</v>
      </c>
      <c r="H255" s="231" t="n">
        <v>5500</v>
      </c>
      <c r="I255" s="232" t="n"/>
      <c r="J255" s="232" t="n">
        <v>5500</v>
      </c>
      <c r="K255" s="272" t="n"/>
      <c r="L255" s="272">
        <f>IF(K255&lt;&gt;"",4700+K255,4700)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FORMOSOA 6058</t>
        </is>
      </c>
      <c r="C256" s="275" t="n">
        <v>1</v>
      </c>
      <c r="D256" s="275" t="n"/>
      <c r="E256" s="275" t="n"/>
      <c r="F256" s="276" t="n"/>
      <c r="G256" s="276" t="n">
        <v>3</v>
      </c>
      <c r="H256" s="241" t="n">
        <v>37900</v>
      </c>
      <c r="I256" s="242" t="n">
        <v>37900</v>
      </c>
      <c r="J256" s="242" t="n"/>
      <c r="K256" s="272" t="n"/>
      <c r="L256" s="272">
        <f>IF(K256&lt;&gt;"",25000+K256,25000)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 VIEYTES GISELA</t>
        </is>
      </c>
      <c r="C257" s="268" t="n">
        <v>1</v>
      </c>
      <c r="D257" s="268" t="n"/>
      <c r="E257" s="268" t="n"/>
      <c r="F257" s="269" t="n">
        <v>1</v>
      </c>
      <c r="G257" s="269" t="n"/>
      <c r="H257" s="231" t="n">
        <v>21200</v>
      </c>
      <c r="I257" s="232" t="n"/>
      <c r="J257" s="232" t="n">
        <v>21200</v>
      </c>
      <c r="K257" s="272" t="n"/>
      <c r="L257" s="272">
        <f>IF(K257&lt;&gt;"",8375+K257,8375)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MADRID 4736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LUCHO</t>
        </is>
      </c>
      <c r="C259" s="268" t="n">
        <v>1</v>
      </c>
      <c r="D259" s="268" t="n"/>
      <c r="E259" s="268" t="n"/>
      <c r="F259" s="269" t="n"/>
      <c r="G259" s="269" t="n"/>
      <c r="H259" s="231" t="n">
        <v>14500</v>
      </c>
      <c r="I259" s="232" t="n">
        <v>14500</v>
      </c>
      <c r="J259" s="232" t="n"/>
      <c r="K259" s="272" t="n"/>
      <c r="L259" s="272">
        <f>IF(K259&lt;&gt;"",4000+K259,4000)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AZCUENAGA 5023</t>
        </is>
      </c>
      <c r="C260" s="275" t="n">
        <v>1</v>
      </c>
      <c r="D260" s="275" t="n"/>
      <c r="E260" s="275" t="n"/>
      <c r="F260" s="276" t="n"/>
      <c r="G260" s="276" t="n"/>
      <c r="H260" s="241" t="n">
        <v>14500</v>
      </c>
      <c r="I260" s="242" t="n"/>
      <c r="J260" s="242" t="n">
        <v>14500</v>
      </c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PENALOZA 6438</t>
        </is>
      </c>
      <c r="C261" s="268" t="n">
        <v>1</v>
      </c>
      <c r="D261" s="268" t="n"/>
      <c r="E261" s="268" t="n"/>
      <c r="F261" s="269" t="n"/>
      <c r="G261" s="269" t="n"/>
      <c r="H261" s="231" t="n">
        <v>21000</v>
      </c>
      <c r="I261" s="232" t="n">
        <v>21000</v>
      </c>
      <c r="J261" s="232" t="n"/>
      <c r="K261" s="272" t="n"/>
      <c r="L261" s="272">
        <f>IF(K261&lt;&gt;"",10500+K261,10500)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GUANELLA 4543</t>
        </is>
      </c>
      <c r="C262" s="275" t="n">
        <v>1</v>
      </c>
      <c r="D262" s="275" t="n"/>
      <c r="E262" s="275" t="n"/>
      <c r="F262" s="276" t="n"/>
      <c r="G262" s="276" t="n"/>
      <c r="H262" s="241" t="n">
        <v>21000</v>
      </c>
      <c r="I262" s="242" t="n"/>
      <c r="J262" s="242" t="n">
        <v>21000</v>
      </c>
      <c r="K262" s="272" t="n"/>
      <c r="L262" s="272">
        <f>IF(K262&lt;&gt;"",10500+K262,10500)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FILOMENA</t>
        </is>
      </c>
      <c r="C263" s="268" t="n">
        <v>2</v>
      </c>
      <c r="D263" s="268" t="n"/>
      <c r="E263" s="268" t="n"/>
      <c r="F263" s="269" t="n"/>
      <c r="G263" s="269" t="n"/>
      <c r="H263" s="231" t="n">
        <v>36000</v>
      </c>
      <c r="I263" s="232" t="n">
        <v>36000</v>
      </c>
      <c r="J263" s="232" t="n"/>
      <c r="K263" s="272" t="n"/>
      <c r="L263" s="272">
        <f>IF(K263&lt;&gt;"",15000+K263,15000)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LARGUIA 6924</t>
        </is>
      </c>
      <c r="C264" s="275" t="n">
        <v>1</v>
      </c>
      <c r="D264" s="275" t="n"/>
      <c r="E264" s="275" t="n"/>
      <c r="F264" s="276" t="n"/>
      <c r="G264" s="276" t="n"/>
      <c r="H264" s="241" t="n">
        <v>21000</v>
      </c>
      <c r="I264" s="242" t="n">
        <v>21000</v>
      </c>
      <c r="J264" s="242" t="n"/>
      <c r="K264" s="272" t="n"/>
      <c r="L264" s="272">
        <f>IF(K264&lt;&gt;"",10500+K264,10500)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SABOREAR</t>
        </is>
      </c>
      <c r="C265" s="268" t="n">
        <v>1</v>
      </c>
      <c r="D265" s="268" t="n"/>
      <c r="E265" s="268" t="n"/>
      <c r="F265" s="269" t="n"/>
      <c r="G265" s="269" t="n"/>
      <c r="H265" s="231" t="n">
        <v>18000</v>
      </c>
      <c r="I265" s="232" t="n"/>
      <c r="J265" s="232" t="n">
        <v>18000</v>
      </c>
      <c r="K265" s="272" t="n"/>
      <c r="L265" s="272">
        <f>IF(K265&lt;&gt;"",7500+K265,7500)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EXE</t>
        </is>
      </c>
      <c r="C266" s="275" t="n"/>
      <c r="D266" s="275" t="n"/>
      <c r="E266" s="275" t="n">
        <v>1</v>
      </c>
      <c r="F266" s="276" t="n"/>
      <c r="G266" s="276" t="n"/>
      <c r="H266" s="241" t="n">
        <v>69000</v>
      </c>
      <c r="I266" s="242" t="n"/>
      <c r="J266" s="242" t="n">
        <v>69000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>
        <v>46053</v>
      </c>
      <c r="B267" s="267" t="inlineStr">
        <is>
          <t>DOMINGO SILVA 4217</t>
        </is>
      </c>
      <c r="C267" s="268" t="n">
        <v>5</v>
      </c>
      <c r="D267" s="268" t="n">
        <v>1</v>
      </c>
      <c r="E267" s="268" t="n"/>
      <c r="F267" s="269" t="n"/>
      <c r="G267" s="269" t="n"/>
      <c r="H267" s="231" t="n">
        <v>95000</v>
      </c>
      <c r="I267" s="232" t="n"/>
      <c r="J267" s="232" t="n">
        <v>95000</v>
      </c>
      <c r="K267" s="272" t="n"/>
      <c r="L267" s="272">
        <f>IF(K267&lt;&gt;"",26750+K267,26750)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GORRITI 4600</t>
        </is>
      </c>
      <c r="C268" s="275" t="n"/>
      <c r="D268" s="275" t="n"/>
      <c r="E268" s="275" t="n">
        <v>1</v>
      </c>
      <c r="F268" s="276" t="n"/>
      <c r="G268" s="276" t="n"/>
      <c r="H268" s="241" t="n">
        <v>72000</v>
      </c>
      <c r="I268" s="242" t="n">
        <v>72000</v>
      </c>
      <c r="J268" s="242" t="n"/>
      <c r="K268" s="272" t="n"/>
      <c r="L268" s="272">
        <f>IF(K268&lt;&gt;"",25000+K268,25000)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BRASERIA</t>
        </is>
      </c>
      <c r="C269" s="268" t="n"/>
      <c r="D269" s="268" t="n"/>
      <c r="E269" s="268" t="n">
        <v>1</v>
      </c>
      <c r="F269" s="269" t="n"/>
      <c r="G269" s="269" t="n"/>
      <c r="H269" s="231" t="n">
        <v>72000</v>
      </c>
      <c r="I269" s="232" t="n"/>
      <c r="J269" s="232" t="n">
        <v>72000</v>
      </c>
      <c r="K269" s="272" t="n"/>
      <c r="L269" s="272">
        <f>IF(K269&lt;&gt;"",25000+K269,25000)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OTNIEL</t>
        </is>
      </c>
      <c r="C270" s="275" t="n"/>
      <c r="D270" s="275" t="n"/>
      <c r="E270" s="275" t="n"/>
      <c r="F270" s="276" t="n"/>
      <c r="G270" s="276" t="n">
        <v>1</v>
      </c>
      <c r="H270" s="241" t="n">
        <v>5000</v>
      </c>
      <c r="I270" s="242" t="n"/>
      <c r="J270" s="242" t="n">
        <v>5000</v>
      </c>
      <c r="K270" s="272" t="n"/>
      <c r="L270" s="272">
        <f>IF(K270&lt;&gt;"",4200+K270,4200)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 xml:space="preserve">MOLINERO </t>
        </is>
      </c>
      <c r="C271" s="268" t="n">
        <v>1</v>
      </c>
      <c r="D271" s="268" t="n"/>
      <c r="E271" s="268" t="n"/>
      <c r="F271" s="269" t="n"/>
      <c r="G271" s="269" t="n"/>
      <c r="H271" s="231" t="n">
        <v>21000</v>
      </c>
      <c r="I271" s="232" t="n">
        <v>21000</v>
      </c>
      <c r="J271" s="232" t="n"/>
      <c r="K271" s="272" t="n"/>
      <c r="L271" s="272">
        <f>IF(K271&lt;&gt;"",10500+K271,10500)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BLAS PARERA</t>
        </is>
      </c>
      <c r="C272" s="275" t="n">
        <v>1</v>
      </c>
      <c r="D272" s="275" t="n"/>
      <c r="E272" s="275" t="n"/>
      <c r="F272" s="276" t="n"/>
      <c r="G272" s="276" t="n"/>
      <c r="H272" s="241" t="n">
        <v>17000</v>
      </c>
      <c r="I272" s="242" t="n"/>
      <c r="J272" s="242" t="n">
        <v>17000</v>
      </c>
      <c r="K272" s="272" t="n"/>
      <c r="L272" s="272">
        <f>IF(K272&lt;&gt;"",6500+K272,6500)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PAULO</t>
        </is>
      </c>
      <c r="C273" s="268" t="n">
        <v>2</v>
      </c>
      <c r="D273" s="268" t="n"/>
      <c r="E273" s="268" t="n"/>
      <c r="F273" s="269" t="n"/>
      <c r="G273" s="269" t="n"/>
      <c r="H273" s="231" t="n">
        <v>29000</v>
      </c>
      <c r="I273" s="232" t="n"/>
      <c r="J273" s="232" t="n">
        <v>29000</v>
      </c>
      <c r="K273" s="272" t="n"/>
      <c r="L273" s="272">
        <f>IF(K273&lt;&gt;"",8000+K273,8000)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FILOMENA</t>
        </is>
      </c>
      <c r="C274" s="275" t="n">
        <v>1</v>
      </c>
      <c r="D274" s="275" t="n"/>
      <c r="E274" s="275" t="n"/>
      <c r="F274" s="276" t="n"/>
      <c r="G274" s="276" t="n"/>
      <c r="H274" s="241" t="n">
        <v>18000</v>
      </c>
      <c r="I274" s="242" t="n"/>
      <c r="J274" s="242" t="n">
        <v>18000</v>
      </c>
      <c r="K274" s="272" t="n"/>
      <c r="L274" s="272">
        <f>IF(K274&lt;&gt;"",7500+K274,7500)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NAMUNCURA 4436</t>
        </is>
      </c>
      <c r="C275" s="268" t="n"/>
      <c r="D275" s="268" t="n"/>
      <c r="E275" s="268" t="n">
        <v>1</v>
      </c>
      <c r="F275" s="269" t="n"/>
      <c r="G275" s="269" t="n"/>
      <c r="H275" s="231" t="n">
        <v>75000</v>
      </c>
      <c r="I275" s="232" t="n"/>
      <c r="J275" s="232" t="n">
        <v>75000</v>
      </c>
      <c r="K275" s="272" t="n"/>
      <c r="L275" s="272">
        <f>IF(K275&lt;&gt;"",28000+K275,28000)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79" t="n">
        <v>46054</v>
      </c>
      <c r="B5" s="267" t="inlineStr">
        <is>
          <t>GENERAL PAZ 7989</t>
        </is>
      </c>
      <c r="C5" s="268" t="n">
        <v>1</v>
      </c>
      <c r="D5" s="268" t="n"/>
      <c r="E5" s="268" t="n"/>
      <c r="F5" s="269" t="n"/>
      <c r="G5" s="269" t="n"/>
      <c r="H5" s="231" t="n">
        <v>22000</v>
      </c>
      <c r="I5" s="232" t="n">
        <v>22000</v>
      </c>
      <c r="J5" s="232" t="n"/>
      <c r="K5" s="272" t="n"/>
      <c r="L5" s="272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POLLERIA BLAS PARERA</t>
        </is>
      </c>
      <c r="C6" s="275" t="n">
        <v>1</v>
      </c>
      <c r="D6" s="275" t="n"/>
      <c r="E6" s="275" t="n"/>
      <c r="F6" s="276" t="n"/>
      <c r="G6" s="276" t="n"/>
      <c r="H6" s="241" t="n">
        <v>17000</v>
      </c>
      <c r="I6" s="242" t="n">
        <v>17000</v>
      </c>
      <c r="J6" s="242" t="n"/>
      <c r="K6" s="272" t="n"/>
      <c r="L6" s="272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SAVEDRA 1683</t>
        </is>
      </c>
      <c r="C7" s="268" t="n">
        <v>1</v>
      </c>
      <c r="D7" s="268" t="n"/>
      <c r="E7" s="268" t="n"/>
      <c r="F7" s="269" t="n"/>
      <c r="G7" s="269" t="n"/>
      <c r="H7" s="231" t="n">
        <v>22000</v>
      </c>
      <c r="I7" s="232" t="n">
        <v>22000</v>
      </c>
      <c r="J7" s="232" t="n"/>
      <c r="K7" s="272" t="n"/>
      <c r="L7" s="272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73" t="n"/>
      <c r="B8" s="274" t="inlineStr">
        <is>
          <t>OTNIEL</t>
        </is>
      </c>
      <c r="C8" s="275" t="n">
        <v>1</v>
      </c>
      <c r="D8" s="275" t="n">
        <v>1</v>
      </c>
      <c r="E8" s="275" t="n">
        <v>1</v>
      </c>
      <c r="F8" s="276" t="n"/>
      <c r="G8" s="276" t="n">
        <v>1</v>
      </c>
      <c r="H8" s="241" t="n">
        <v>123500</v>
      </c>
      <c r="I8" s="242" t="n">
        <v>120000</v>
      </c>
      <c r="J8" s="242" t="n">
        <v>3500</v>
      </c>
      <c r="K8" s="272" t="n"/>
      <c r="L8" s="272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79" t="n"/>
      <c r="B9" s="267" t="inlineStr">
        <is>
          <t>PARRI GABOTO</t>
        </is>
      </c>
      <c r="C9" s="268" t="n">
        <v>1</v>
      </c>
      <c r="D9" s="268" t="n"/>
      <c r="E9" s="268" t="n"/>
      <c r="F9" s="269" t="n"/>
      <c r="G9" s="269" t="n"/>
      <c r="H9" s="231" t="n">
        <v>19500</v>
      </c>
      <c r="I9" s="232" t="n"/>
      <c r="J9" s="232" t="n">
        <v>19500</v>
      </c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73" t="n"/>
      <c r="B10" s="274" t="inlineStr">
        <is>
          <t>SABORERARTE</t>
        </is>
      </c>
      <c r="C10" s="275" t="n">
        <v>1</v>
      </c>
      <c r="D10" s="275" t="n"/>
      <c r="E10" s="275" t="n">
        <v>1</v>
      </c>
      <c r="F10" s="276" t="n"/>
      <c r="G10" s="276" t="n"/>
      <c r="H10" s="241" t="n">
        <v>88000</v>
      </c>
      <c r="I10" s="242" t="n"/>
      <c r="J10" s="242" t="n">
        <v>88000</v>
      </c>
      <c r="K10" s="272" t="n"/>
      <c r="L10" s="272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79" t="n">
        <v>46055</v>
      </c>
      <c r="B11" s="267" t="inlineStr">
        <is>
          <t>FABIO PARISI</t>
        </is>
      </c>
      <c r="C11" s="268" t="n"/>
      <c r="D11" s="268" t="n"/>
      <c r="E11" s="268" t="n"/>
      <c r="F11" s="269" t="n">
        <v>20</v>
      </c>
      <c r="G11" s="269" t="n"/>
      <c r="H11" s="231" t="n">
        <v>67200</v>
      </c>
      <c r="I11" s="232" t="n">
        <v>67200</v>
      </c>
      <c r="J11" s="232" t="n"/>
      <c r="K11" s="272" t="n"/>
      <c r="L11" s="272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73" t="n"/>
      <c r="B12" s="274" t="inlineStr">
        <is>
          <t>SERBNADO BAY0 7165</t>
        </is>
      </c>
      <c r="C12" s="275" t="n">
        <v>1</v>
      </c>
      <c r="D12" s="275" t="n"/>
      <c r="E12" s="275" t="n"/>
      <c r="F12" s="276" t="n"/>
      <c r="G12" s="276" t="n"/>
      <c r="H12" s="241" t="n">
        <v>20500</v>
      </c>
      <c r="I12" s="242" t="n">
        <v>20500</v>
      </c>
      <c r="J12" s="242" t="n"/>
      <c r="K12" s="272" t="n"/>
      <c r="L12" s="272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79" t="n"/>
      <c r="B13" s="267" t="inlineStr">
        <is>
          <t>MAXI HERMANO</t>
        </is>
      </c>
      <c r="C13" s="268" t="n"/>
      <c r="D13" s="268" t="n"/>
      <c r="E13" s="268" t="n"/>
      <c r="F13" s="269" t="n"/>
      <c r="G13" s="269" t="n">
        <v>1</v>
      </c>
      <c r="H13" s="231" t="n">
        <v>5000</v>
      </c>
      <c r="I13" s="232" t="n"/>
      <c r="J13" s="232" t="n">
        <v>5000</v>
      </c>
      <c r="K13" s="272" t="n"/>
      <c r="L13" s="272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73" t="n"/>
      <c r="B14" s="274" t="inlineStr">
        <is>
          <t>PALLARES 8200</t>
        </is>
      </c>
      <c r="C14" s="275" t="n">
        <v>2</v>
      </c>
      <c r="D14" s="275" t="n"/>
      <c r="E14" s="275" t="n"/>
      <c r="F14" s="276" t="n"/>
      <c r="G14" s="276" t="n"/>
      <c r="H14" s="241" t="n">
        <v>42000</v>
      </c>
      <c r="I14" s="242" t="n"/>
      <c r="J14" s="242" t="n">
        <v>42000</v>
      </c>
      <c r="K14" s="272" t="n"/>
      <c r="L14" s="272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79" t="n"/>
      <c r="B15" s="267" t="inlineStr">
        <is>
          <t>FILOMENA</t>
        </is>
      </c>
      <c r="C15" s="268" t="n">
        <v>2</v>
      </c>
      <c r="D15" s="268" t="n"/>
      <c r="E15" s="268" t="n"/>
      <c r="F15" s="269" t="n"/>
      <c r="G15" s="269" t="n"/>
      <c r="H15" s="231" t="n">
        <v>36000</v>
      </c>
      <c r="I15" s="232" t="n"/>
      <c r="J15" s="232" t="n">
        <v>36000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73" t="n"/>
      <c r="B16" s="274" t="inlineStr">
        <is>
          <t>LUCHO</t>
        </is>
      </c>
      <c r="C16" s="275" t="n">
        <v>1</v>
      </c>
      <c r="D16" s="275" t="n"/>
      <c r="E16" s="275" t="n"/>
      <c r="F16" s="276" t="n"/>
      <c r="G16" s="276" t="n"/>
      <c r="H16" s="241" t="n">
        <v>14500</v>
      </c>
      <c r="I16" s="242" t="n">
        <v>14500</v>
      </c>
      <c r="J16" s="242" t="n"/>
      <c r="K16" s="272" t="n"/>
      <c r="L16" s="272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BRAILE 7173</t>
        </is>
      </c>
      <c r="C17" s="268" t="n">
        <v>1</v>
      </c>
      <c r="D17" s="268" t="n"/>
      <c r="E17" s="268" t="n"/>
      <c r="F17" s="269" t="n"/>
      <c r="G17" s="269" t="n"/>
      <c r="H17" s="231" t="n">
        <v>21000</v>
      </c>
      <c r="I17" s="232" t="n">
        <v>21000</v>
      </c>
      <c r="J17" s="232" t="n"/>
      <c r="K17" s="272" t="n"/>
      <c r="L17" s="272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73" t="n"/>
      <c r="B18" s="274" t="inlineStr">
        <is>
          <t>AZCUENAGA 5023</t>
        </is>
      </c>
      <c r="C18" s="275" t="n">
        <v>1</v>
      </c>
      <c r="D18" s="275" t="n"/>
      <c r="E18" s="275" t="n"/>
      <c r="F18" s="276" t="n"/>
      <c r="G18" s="276" t="n"/>
      <c r="H18" s="241" t="n">
        <v>14500</v>
      </c>
      <c r="I18" s="242" t="n"/>
      <c r="J18" s="242" t="n">
        <v>14500</v>
      </c>
      <c r="K18" s="272" t="n"/>
      <c r="L18" s="272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79" t="n">
        <v>46056</v>
      </c>
      <c r="B19" s="267" t="inlineStr">
        <is>
          <t xml:space="preserve">VICTOR CAPE </t>
        </is>
      </c>
      <c r="C19" s="268" t="n">
        <v>1</v>
      </c>
      <c r="D19" s="268" t="n"/>
      <c r="E19" s="268" t="n"/>
      <c r="F19" s="269" t="n"/>
      <c r="G19" s="269" t="n"/>
      <c r="H19" s="231" t="n">
        <v>20500</v>
      </c>
      <c r="I19" s="232" t="n"/>
      <c r="J19" s="232" t="n">
        <v>20500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73" t="n"/>
      <c r="B20" s="274" t="inlineStr">
        <is>
          <t>PANA VIEYTES GISELA</t>
        </is>
      </c>
      <c r="C20" s="275" t="n">
        <v>1</v>
      </c>
      <c r="D20" s="275" t="n"/>
      <c r="E20" s="275" t="n"/>
      <c r="F20" s="276" t="n"/>
      <c r="G20" s="276" t="n"/>
      <c r="H20" s="241" t="n">
        <v>17500</v>
      </c>
      <c r="I20" s="242" t="n"/>
      <c r="J20" s="242" t="n">
        <v>17500</v>
      </c>
      <c r="K20" s="272" t="n"/>
      <c r="L20" s="272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79" t="n"/>
      <c r="B21" s="267" t="inlineStr">
        <is>
          <t>RUPERTO GODOY 1278</t>
        </is>
      </c>
      <c r="C21" s="268" t="n"/>
      <c r="D21" s="268" t="n"/>
      <c r="E21" s="268" t="n">
        <v>1</v>
      </c>
      <c r="F21" s="269" t="n"/>
      <c r="G21" s="269" t="n"/>
      <c r="H21" s="231" t="n">
        <v>72500</v>
      </c>
      <c r="I21" s="232" t="n">
        <v>72500</v>
      </c>
      <c r="J21" s="232" t="n"/>
      <c r="K21" s="272" t="n"/>
      <c r="L21" s="272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73" t="n"/>
      <c r="B22" s="274" t="inlineStr">
        <is>
          <t>LUCHO</t>
        </is>
      </c>
      <c r="C22" s="275" t="n">
        <v>1</v>
      </c>
      <c r="D22" s="275" t="n"/>
      <c r="E22" s="275" t="n"/>
      <c r="F22" s="276" t="n"/>
      <c r="G22" s="276" t="n"/>
      <c r="H22" s="241" t="n">
        <v>14500</v>
      </c>
      <c r="I22" s="242" t="n">
        <v>14500</v>
      </c>
      <c r="J22" s="242" t="n"/>
      <c r="K22" s="272" t="n"/>
      <c r="L22" s="272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79" t="n"/>
      <c r="B23" s="267" t="inlineStr">
        <is>
          <t>BEATRIZ</t>
        </is>
      </c>
      <c r="C23" s="268" t="n"/>
      <c r="D23" s="268" t="n"/>
      <c r="E23" s="268" t="n"/>
      <c r="F23" s="269" t="n"/>
      <c r="G23" s="269" t="n">
        <v>1</v>
      </c>
      <c r="H23" s="231" t="n">
        <v>5000</v>
      </c>
      <c r="I23" s="232" t="n">
        <v>5000</v>
      </c>
      <c r="J23" s="232" t="n"/>
      <c r="K23" s="272" t="n"/>
      <c r="L23" s="272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73" t="n"/>
      <c r="B24" s="274" t="inlineStr">
        <is>
          <t>EX COMBATIENTES 5220</t>
        </is>
      </c>
      <c r="C24" s="275" t="n">
        <v>2</v>
      </c>
      <c r="D24" s="275" t="n"/>
      <c r="E24" s="275" t="n"/>
      <c r="F24" s="276" t="n"/>
      <c r="G24" s="276" t="n"/>
      <c r="H24" s="241" t="n">
        <v>42000</v>
      </c>
      <c r="I24" s="242" t="n"/>
      <c r="J24" s="242" t="n">
        <v>42000</v>
      </c>
      <c r="K24" s="272" t="n"/>
      <c r="L24" s="272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79" t="n"/>
      <c r="B25" s="267" t="inlineStr">
        <is>
          <t>MOLINA FLORES 1</t>
        </is>
      </c>
      <c r="C25" s="268" t="n"/>
      <c r="D25" s="268" t="n"/>
      <c r="E25" s="268" t="n">
        <v>1</v>
      </c>
      <c r="F25" s="269" t="n"/>
      <c r="G25" s="269" t="n"/>
      <c r="H25" s="231" t="n">
        <v>75000</v>
      </c>
      <c r="I25" s="232" t="n">
        <v>75000</v>
      </c>
      <c r="J25" s="232" t="n"/>
      <c r="K25" s="272" t="n"/>
      <c r="L25" s="272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73" t="n"/>
      <c r="B26" s="274" t="inlineStr">
        <is>
          <t>PANA VIEYTES 3800</t>
        </is>
      </c>
      <c r="C26" s="275" t="n"/>
      <c r="D26" s="275" t="n"/>
      <c r="E26" s="275" t="n">
        <v>1</v>
      </c>
      <c r="F26" s="276" t="n"/>
      <c r="G26" s="276" t="n"/>
      <c r="H26" s="241" t="n">
        <v>71000</v>
      </c>
      <c r="I26" s="242" t="n"/>
      <c r="J26" s="242" t="n">
        <v>71000</v>
      </c>
      <c r="K26" s="272" t="n"/>
      <c r="L26" s="272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79" t="n"/>
      <c r="B27" s="267" t="inlineStr">
        <is>
          <t>LA SALLE 3151</t>
        </is>
      </c>
      <c r="C27" s="268" t="n"/>
      <c r="D27" s="268" t="n"/>
      <c r="E27" s="268" t="n">
        <v>1</v>
      </c>
      <c r="F27" s="269" t="n"/>
      <c r="G27" s="269" t="n"/>
      <c r="H27" s="231" t="n">
        <v>73500</v>
      </c>
      <c r="I27" s="232" t="n">
        <v>73500</v>
      </c>
      <c r="J27" s="232" t="n"/>
      <c r="K27" s="272" t="n"/>
      <c r="L27" s="272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73" t="n"/>
      <c r="B28" s="274" t="inlineStr">
        <is>
          <t>GENERAL PAZ 6050</t>
        </is>
      </c>
      <c r="C28" s="275" t="n">
        <v>1</v>
      </c>
      <c r="D28" s="275" t="n"/>
      <c r="E28" s="275" t="n"/>
      <c r="F28" s="276" t="n"/>
      <c r="G28" s="276" t="n"/>
      <c r="H28" s="241" t="n">
        <v>22000</v>
      </c>
      <c r="I28" s="242" t="n"/>
      <c r="J28" s="242" t="n">
        <v>22000</v>
      </c>
      <c r="K28" s="272" t="n"/>
      <c r="L28" s="272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79" t="n"/>
      <c r="B29" s="267" t="inlineStr">
        <is>
          <t>ESMERALDA 2376</t>
        </is>
      </c>
      <c r="C29" s="268" t="n"/>
      <c r="D29" s="268" t="n"/>
      <c r="E29" s="268" t="n">
        <v>1</v>
      </c>
      <c r="F29" s="269" t="n"/>
      <c r="G29" s="269" t="n"/>
      <c r="H29" s="231" t="n">
        <v>75000</v>
      </c>
      <c r="I29" s="232" t="n"/>
      <c r="J29" s="232" t="n">
        <v>75000</v>
      </c>
      <c r="K29" s="272" t="n"/>
      <c r="L29" s="272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73" t="n"/>
      <c r="B30" s="274" t="inlineStr">
        <is>
          <t xml:space="preserve">FABIAN BLAS PARERA </t>
        </is>
      </c>
      <c r="C30" s="275" t="n">
        <v>1</v>
      </c>
      <c r="D30" s="275" t="n">
        <v>1</v>
      </c>
      <c r="E30" s="275" t="n"/>
      <c r="F30" s="276" t="n"/>
      <c r="G30" s="276" t="n"/>
      <c r="H30" s="241" t="n">
        <v>50000</v>
      </c>
      <c r="I30" s="242" t="n">
        <v>50000</v>
      </c>
      <c r="J30" s="242" t="n"/>
      <c r="K30" s="272" t="n"/>
      <c r="L30" s="272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79" t="n"/>
      <c r="B31" s="267" t="inlineStr">
        <is>
          <t>PANA VIEYTES 4500</t>
        </is>
      </c>
      <c r="C31" s="268" t="n"/>
      <c r="D31" s="268" t="n"/>
      <c r="E31" s="268" t="n">
        <v>1</v>
      </c>
      <c r="F31" s="269" t="n"/>
      <c r="G31" s="269" t="n"/>
      <c r="H31" s="231" t="n">
        <v>66000</v>
      </c>
      <c r="I31" s="232" t="n">
        <v>66000</v>
      </c>
      <c r="J31" s="232" t="n"/>
      <c r="K31" s="272" t="n"/>
      <c r="L31" s="272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73" t="n"/>
      <c r="B32" s="274" t="inlineStr">
        <is>
          <t>SANDRA</t>
        </is>
      </c>
      <c r="C32" s="275" t="n">
        <v>2</v>
      </c>
      <c r="D32" s="275" t="n"/>
      <c r="E32" s="275" t="n"/>
      <c r="F32" s="276" t="n"/>
      <c r="G32" s="276" t="n"/>
      <c r="H32" s="241" t="n">
        <v>29000</v>
      </c>
      <c r="I32" s="242" t="n">
        <v>29000</v>
      </c>
      <c r="J32" s="242" t="n"/>
      <c r="K32" s="272" t="n"/>
      <c r="L32" s="272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79" t="n"/>
      <c r="B33" s="267" t="inlineStr">
        <is>
          <t>AYACUCHO 5370</t>
        </is>
      </c>
      <c r="C33" s="268" t="n"/>
      <c r="D33" s="268" t="n"/>
      <c r="E33" s="268" t="n"/>
      <c r="F33" s="269" t="n"/>
      <c r="G33" s="269" t="n">
        <v>2</v>
      </c>
      <c r="H33" s="231" t="n">
        <v>10000</v>
      </c>
      <c r="I33" s="232" t="n"/>
      <c r="J33" s="232" t="n">
        <v>10000</v>
      </c>
      <c r="K33" s="272" t="n"/>
      <c r="L33" s="272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73" t="n"/>
      <c r="B34" s="274" t="inlineStr">
        <is>
          <t xml:space="preserve">FILOMENA </t>
        </is>
      </c>
      <c r="C34" s="275" t="n">
        <v>1</v>
      </c>
      <c r="D34" s="275" t="n"/>
      <c r="E34" s="275" t="n"/>
      <c r="F34" s="276" t="n"/>
      <c r="G34" s="276" t="n"/>
      <c r="H34" s="241" t="n">
        <v>18000</v>
      </c>
      <c r="I34" s="242" t="n"/>
      <c r="J34" s="242" t="n">
        <v>18000</v>
      </c>
      <c r="K34" s="272" t="n"/>
      <c r="L34" s="272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79" t="n">
        <v>46057</v>
      </c>
      <c r="B35" s="267" t="inlineStr">
        <is>
          <t>COGORNO 5520</t>
        </is>
      </c>
      <c r="C35" s="268" t="n">
        <v>5</v>
      </c>
      <c r="D35" s="268" t="n"/>
      <c r="E35" s="268" t="n"/>
      <c r="F35" s="269" t="n"/>
      <c r="G35" s="269" t="n"/>
      <c r="H35" s="231" t="n">
        <v>72500</v>
      </c>
      <c r="I35" s="232" t="n">
        <v>72500</v>
      </c>
      <c r="J35" s="232" t="n"/>
      <c r="K35" s="272" t="n"/>
      <c r="L35" s="272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73" t="n"/>
      <c r="B36" s="274" t="inlineStr">
        <is>
          <t>OTNIEL</t>
        </is>
      </c>
      <c r="C36" s="275" t="n"/>
      <c r="D36" s="275" t="n"/>
      <c r="E36" s="275" t="n"/>
      <c r="F36" s="276" t="n"/>
      <c r="G36" s="276" t="n">
        <v>4</v>
      </c>
      <c r="H36" s="241" t="n">
        <v>20000</v>
      </c>
      <c r="I36" s="242" t="n">
        <v>20000</v>
      </c>
      <c r="J36" s="242" t="n"/>
      <c r="K36" s="272" t="n"/>
      <c r="L36" s="272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79" t="n"/>
      <c r="B37" s="267" t="inlineStr">
        <is>
          <t>LAVADERO</t>
        </is>
      </c>
      <c r="C37" s="268" t="n"/>
      <c r="D37" s="268" t="n">
        <v>1</v>
      </c>
      <c r="E37" s="268" t="n"/>
      <c r="F37" s="269" t="n"/>
      <c r="G37" s="269" t="n"/>
      <c r="H37" s="231" t="n">
        <v>22000</v>
      </c>
      <c r="I37" s="232" t="n"/>
      <c r="J37" s="232" t="n">
        <v>22000</v>
      </c>
      <c r="K37" s="272" t="n"/>
      <c r="L37" s="272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73" t="n"/>
      <c r="B38" s="274" t="inlineStr">
        <is>
          <t>ALBERTI 5122</t>
        </is>
      </c>
      <c r="C38" s="275" t="n"/>
      <c r="D38" s="275" t="n"/>
      <c r="E38" s="275" t="n">
        <v>1</v>
      </c>
      <c r="F38" s="276" t="n"/>
      <c r="G38" s="276" t="n"/>
      <c r="H38" s="241" t="n">
        <v>75000</v>
      </c>
      <c r="I38" s="242" t="n"/>
      <c r="J38" s="242" t="n">
        <v>75000</v>
      </c>
      <c r="K38" s="272" t="n"/>
      <c r="L38" s="272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79" t="n"/>
      <c r="B39" s="267" t="inlineStr">
        <is>
          <t>NACHO</t>
        </is>
      </c>
      <c r="C39" s="268" t="n"/>
      <c r="D39" s="268" t="n">
        <v>1</v>
      </c>
      <c r="E39" s="268" t="n"/>
      <c r="F39" s="269" t="n"/>
      <c r="G39" s="269" t="n"/>
      <c r="H39" s="231" t="n">
        <v>27000</v>
      </c>
      <c r="I39" s="232" t="n"/>
      <c r="J39" s="232" t="n">
        <v>27000</v>
      </c>
      <c r="K39" s="272" t="n"/>
      <c r="L39" s="272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73" t="n"/>
      <c r="B40" s="274" t="inlineStr">
        <is>
          <t>ALBERTI 5303</t>
        </is>
      </c>
      <c r="C40" s="275" t="n">
        <v>1</v>
      </c>
      <c r="D40" s="275" t="n"/>
      <c r="E40" s="275" t="n"/>
      <c r="F40" s="276" t="n"/>
      <c r="G40" s="276" t="n"/>
      <c r="H40" s="241" t="n">
        <v>21000</v>
      </c>
      <c r="I40" s="242" t="n">
        <v>21000</v>
      </c>
      <c r="J40" s="242" t="n"/>
      <c r="K40" s="272" t="n"/>
      <c r="L40" s="272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79" t="n"/>
      <c r="B41" s="267" t="inlineStr">
        <is>
          <t>GENERAL PAZ 7826</t>
        </is>
      </c>
      <c r="C41" s="268" t="n">
        <v>1</v>
      </c>
      <c r="D41" s="268" t="n"/>
      <c r="E41" s="268" t="n"/>
      <c r="F41" s="269" t="n"/>
      <c r="G41" s="269" t="n"/>
      <c r="H41" s="231" t="n">
        <v>22000</v>
      </c>
      <c r="I41" s="232" t="n">
        <v>22000</v>
      </c>
      <c r="J41" s="232" t="n"/>
      <c r="K41" s="272" t="n"/>
      <c r="L41" s="272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73" t="n"/>
      <c r="B42" s="274" t="inlineStr">
        <is>
          <t xml:space="preserve">PANA GENESIO 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>
        <v>69000</v>
      </c>
      <c r="J42" s="242" t="n"/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79" t="n"/>
      <c r="B43" s="267" t="inlineStr">
        <is>
          <t xml:space="preserve">PANA ALBERTI </t>
        </is>
      </c>
      <c r="C43" s="268" t="n"/>
      <c r="D43" s="268" t="n"/>
      <c r="E43" s="268" t="n">
        <v>1</v>
      </c>
      <c r="F43" s="269" t="n"/>
      <c r="G43" s="269" t="n"/>
      <c r="H43" s="231" t="n">
        <v>71000</v>
      </c>
      <c r="I43" s="232" t="n">
        <v>71000</v>
      </c>
      <c r="J43" s="232" t="n"/>
      <c r="K43" s="272" t="n"/>
      <c r="L43" s="272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73" t="n">
        <v>46058</v>
      </c>
      <c r="B44" s="274" t="inlineStr">
        <is>
          <t>DAMIANOVICH 6212</t>
        </is>
      </c>
      <c r="C44" s="275" t="n"/>
      <c r="D44" s="275" t="n"/>
      <c r="E44" s="275" t="n">
        <v>1</v>
      </c>
      <c r="F44" s="276" t="n"/>
      <c r="G44" s="276" t="n"/>
      <c r="H44" s="241" t="n">
        <v>75000</v>
      </c>
      <c r="I44" s="242" t="n"/>
      <c r="J44" s="242" t="n">
        <v>75000</v>
      </c>
      <c r="K44" s="272" t="n"/>
      <c r="L44" s="272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79" t="n"/>
      <c r="B45" s="267" t="inlineStr">
        <is>
          <t>OTNIEL</t>
        </is>
      </c>
      <c r="C45" s="268" t="n"/>
      <c r="D45" s="268" t="n"/>
      <c r="E45" s="268" t="n">
        <v>1</v>
      </c>
      <c r="F45" s="269" t="n"/>
      <c r="G45" s="269" t="n"/>
      <c r="H45" s="231" t="n">
        <v>71000</v>
      </c>
      <c r="I45" s="232" t="n"/>
      <c r="J45" s="232" t="n">
        <v>71000</v>
      </c>
      <c r="K45" s="272" t="n"/>
      <c r="L45" s="272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73" t="n"/>
      <c r="B46" s="274" t="inlineStr">
        <is>
          <t>ROTI AGUADO</t>
        </is>
      </c>
      <c r="C46" s="275" t="n"/>
      <c r="D46" s="275" t="n">
        <v>2</v>
      </c>
      <c r="E46" s="275" t="n"/>
      <c r="F46" s="276" t="n"/>
      <c r="G46" s="276" t="n"/>
      <c r="H46" s="241" t="n">
        <v>49000</v>
      </c>
      <c r="I46" s="242" t="n"/>
      <c r="J46" s="242" t="n">
        <v>49000</v>
      </c>
      <c r="K46" s="272" t="n"/>
      <c r="L46" s="272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79" t="n"/>
      <c r="B47" s="267" t="inlineStr">
        <is>
          <t>PEDRO CEBALLOS 8134</t>
        </is>
      </c>
      <c r="C47" s="268" t="n">
        <v>2</v>
      </c>
      <c r="D47" s="268" t="n"/>
      <c r="E47" s="268" t="n"/>
      <c r="F47" s="269" t="n"/>
      <c r="G47" s="269" t="n"/>
      <c r="H47" s="231" t="n">
        <v>29000</v>
      </c>
      <c r="I47" s="232" t="n">
        <v>29000</v>
      </c>
      <c r="J47" s="232" t="n"/>
      <c r="K47" s="272" t="n"/>
      <c r="L47" s="272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73" t="n"/>
      <c r="B48" s="274" t="inlineStr">
        <is>
          <t xml:space="preserve">ROTI VIEYTES </t>
        </is>
      </c>
      <c r="C48" s="275" t="n"/>
      <c r="D48" s="275" t="n">
        <v>2</v>
      </c>
      <c r="E48" s="275" t="n"/>
      <c r="F48" s="276" t="n"/>
      <c r="G48" s="276" t="n"/>
      <c r="H48" s="241" t="n">
        <v>44000</v>
      </c>
      <c r="I48" s="242" t="n"/>
      <c r="J48" s="242" t="n">
        <v>44000</v>
      </c>
      <c r="K48" s="272" t="n"/>
      <c r="L48" s="272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79" t="n"/>
      <c r="B49" s="267" t="inlineStr">
        <is>
          <t>PANA VIEYTES GISELA</t>
        </is>
      </c>
      <c r="C49" s="268" t="n">
        <v>1</v>
      </c>
      <c r="D49" s="268" t="n"/>
      <c r="E49" s="268" t="n"/>
      <c r="F49" s="269" t="n">
        <v>1</v>
      </c>
      <c r="G49" s="269" t="n"/>
      <c r="H49" s="231" t="n">
        <v>21200</v>
      </c>
      <c r="I49" s="232" t="n"/>
      <c r="J49" s="232" t="n">
        <v>21200</v>
      </c>
      <c r="K49" s="272" t="n"/>
      <c r="L49" s="272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73" t="n"/>
      <c r="B50" s="274" t="inlineStr">
        <is>
          <t>FILOMENA</t>
        </is>
      </c>
      <c r="C50" s="275" t="n">
        <v>2</v>
      </c>
      <c r="D50" s="275" t="n"/>
      <c r="E50" s="275" t="n"/>
      <c r="F50" s="276" t="n"/>
      <c r="G50" s="276" t="n"/>
      <c r="H50" s="241" t="n">
        <v>36000</v>
      </c>
      <c r="I50" s="242" t="n"/>
      <c r="J50" s="242" t="n">
        <v>36000</v>
      </c>
      <c r="K50" s="272" t="n"/>
      <c r="L50" s="272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79" t="n"/>
      <c r="B51" s="267" t="inlineStr">
        <is>
          <t>SABOREAR</t>
        </is>
      </c>
      <c r="C51" s="268" t="n"/>
      <c r="D51" s="268" t="n">
        <v>1</v>
      </c>
      <c r="E51" s="268" t="n"/>
      <c r="F51" s="269" t="n"/>
      <c r="G51" s="269" t="n"/>
      <c r="H51" s="231" t="n">
        <v>28000</v>
      </c>
      <c r="I51" s="232" t="n"/>
      <c r="J51" s="232" t="n">
        <v>28000</v>
      </c>
      <c r="K51" s="272" t="n"/>
      <c r="L51" s="272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73" t="n">
        <v>46059</v>
      </c>
      <c r="B52" s="274" t="inlineStr">
        <is>
          <t>MARCIAL CANDIOTI 8968</t>
        </is>
      </c>
      <c r="C52" s="275" t="n"/>
      <c r="D52" s="275" t="n"/>
      <c r="E52" s="275" t="n">
        <v>1</v>
      </c>
      <c r="F52" s="276" t="n"/>
      <c r="G52" s="276" t="n"/>
      <c r="H52" s="241" t="n">
        <v>77000</v>
      </c>
      <c r="I52" s="242" t="n"/>
      <c r="J52" s="242" t="n">
        <v>77000</v>
      </c>
      <c r="K52" s="272" t="n"/>
      <c r="L52" s="272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79" t="n"/>
      <c r="B53" s="267" t="inlineStr">
        <is>
          <t>DAMIANOVICH 3190</t>
        </is>
      </c>
      <c r="C53" s="268" t="n"/>
      <c r="D53" s="268" t="n">
        <v>1</v>
      </c>
      <c r="E53" s="268" t="n"/>
      <c r="F53" s="269" t="n"/>
      <c r="G53" s="269" t="n"/>
      <c r="H53" s="231" t="n">
        <v>31500</v>
      </c>
      <c r="I53" s="232" t="n">
        <v>31500</v>
      </c>
      <c r="J53" s="232" t="n"/>
      <c r="K53" s="272" t="n"/>
      <c r="L53" s="272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73" t="n"/>
      <c r="B54" s="274" t="inlineStr">
        <is>
          <t>LUCIANO LEIVA Y ABLERTI</t>
        </is>
      </c>
      <c r="C54" s="275" t="n">
        <v>1</v>
      </c>
      <c r="D54" s="275" t="n"/>
      <c r="E54" s="275" t="n"/>
      <c r="F54" s="276" t="n"/>
      <c r="G54" s="276" t="n"/>
      <c r="H54" s="241" t="n">
        <v>20000</v>
      </c>
      <c r="I54" s="242" t="n">
        <v>20000</v>
      </c>
      <c r="J54" s="242" t="n"/>
      <c r="K54" s="272" t="n"/>
      <c r="L54" s="272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79" t="n"/>
      <c r="B55" s="267" t="inlineStr">
        <is>
          <t>ESTANISLAO ZEBALLOS 4560</t>
        </is>
      </c>
      <c r="C55" s="268" t="n"/>
      <c r="D55" s="268" t="n">
        <v>1</v>
      </c>
      <c r="E55" s="268" t="n"/>
      <c r="F55" s="269" t="n"/>
      <c r="G55" s="269" t="n"/>
      <c r="H55" s="231" t="n">
        <v>33000</v>
      </c>
      <c r="I55" s="232" t="n">
        <v>33000</v>
      </c>
      <c r="J55" s="232" t="n"/>
      <c r="K55" s="272" t="n"/>
      <c r="L55" s="272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EUROPA 7251</t>
        </is>
      </c>
      <c r="C56" s="275" t="n">
        <v>1</v>
      </c>
      <c r="D56" s="275" t="n"/>
      <c r="E56" s="275" t="n"/>
      <c r="F56" s="276" t="n"/>
      <c r="G56" s="276" t="n"/>
      <c r="H56" s="241" t="n">
        <v>22000</v>
      </c>
      <c r="I56" s="242" t="n"/>
      <c r="J56" s="242" t="n">
        <v>22000</v>
      </c>
      <c r="K56" s="272" t="n"/>
      <c r="L56" s="272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79" t="n"/>
      <c r="B57" s="267" t="inlineStr">
        <is>
          <t>AZCUENAGA 5023</t>
        </is>
      </c>
      <c r="C57" s="268" t="n">
        <v>6</v>
      </c>
      <c r="D57" s="268" t="n"/>
      <c r="E57" s="268" t="n"/>
      <c r="F57" s="269" t="n"/>
      <c r="G57" s="269" t="n"/>
      <c r="H57" s="231" t="n">
        <v>87000</v>
      </c>
      <c r="I57" s="232" t="n"/>
      <c r="J57" s="232" t="n">
        <v>87000</v>
      </c>
      <c r="K57" s="272" t="n"/>
      <c r="L57" s="272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73" t="n"/>
      <c r="B58" s="274" t="inlineStr">
        <is>
          <t>SIR LAKI F5</t>
        </is>
      </c>
      <c r="C58" s="275" t="n"/>
      <c r="D58" s="275" t="n"/>
      <c r="E58" s="275" t="n">
        <v>1</v>
      </c>
      <c r="F58" s="276" t="n"/>
      <c r="G58" s="276" t="n"/>
      <c r="H58" s="241" t="n">
        <v>75000</v>
      </c>
      <c r="I58" s="242" t="n">
        <v>75000</v>
      </c>
      <c r="J58" s="242" t="n"/>
      <c r="K58" s="272" t="n"/>
      <c r="L58" s="272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LUCHO</t>
        </is>
      </c>
      <c r="C59" s="268" t="n"/>
      <c r="D59" s="268" t="n"/>
      <c r="E59" s="268" t="n"/>
      <c r="F59" s="269" t="n"/>
      <c r="G59" s="269" t="n">
        <v>1</v>
      </c>
      <c r="H59" s="231" t="n">
        <v>5000</v>
      </c>
      <c r="I59" s="232" t="n"/>
      <c r="J59" s="232" t="n">
        <v>5000</v>
      </c>
      <c r="K59" s="272" t="n"/>
      <c r="L59" s="272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73" t="n"/>
      <c r="B60" s="274" t="inlineStr">
        <is>
          <t>LAVAISE 1074</t>
        </is>
      </c>
      <c r="C60" s="275" t="n"/>
      <c r="D60" s="275" t="n"/>
      <c r="E60" s="275" t="n"/>
      <c r="F60" s="276" t="n"/>
      <c r="G60" s="276" t="n">
        <v>2</v>
      </c>
      <c r="H60" s="241" t="n">
        <v>11600</v>
      </c>
      <c r="I60" s="242" t="n"/>
      <c r="J60" s="242" t="n">
        <v>11600</v>
      </c>
      <c r="K60" s="272" t="n"/>
      <c r="L60" s="272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79" t="n"/>
      <c r="B61" s="267" t="inlineStr">
        <is>
          <t>FILOMENA</t>
        </is>
      </c>
      <c r="C61" s="268" t="n">
        <v>1</v>
      </c>
      <c r="D61" s="268" t="n"/>
      <c r="E61" s="268" t="n"/>
      <c r="F61" s="269" t="n"/>
      <c r="G61" s="269" t="n"/>
      <c r="H61" s="231" t="n">
        <v>18000</v>
      </c>
      <c r="I61" s="232" t="n"/>
      <c r="J61" s="232" t="n">
        <v>18000</v>
      </c>
      <c r="K61" s="272" t="n"/>
      <c r="L61" s="272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73" t="n"/>
      <c r="B62" s="274" t="inlineStr">
        <is>
          <t>BRASERIA</t>
        </is>
      </c>
      <c r="C62" s="275" t="n"/>
      <c r="D62" s="275" t="n"/>
      <c r="E62" s="275" t="n">
        <v>1</v>
      </c>
      <c r="F62" s="276" t="n"/>
      <c r="G62" s="276" t="n"/>
      <c r="H62" s="241" t="n">
        <v>72000</v>
      </c>
      <c r="I62" s="242" t="n"/>
      <c r="J62" s="242" t="n">
        <v>72000</v>
      </c>
      <c r="K62" s="272" t="n"/>
      <c r="L62" s="272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79" t="n"/>
      <c r="B63" s="267" t="inlineStr">
        <is>
          <t>CAREN</t>
        </is>
      </c>
      <c r="C63" s="268" t="n"/>
      <c r="D63" s="268" t="n"/>
      <c r="E63" s="268" t="n">
        <v>1</v>
      </c>
      <c r="F63" s="269" t="n"/>
      <c r="G63" s="269" t="n"/>
      <c r="H63" s="231" t="n">
        <v>69000</v>
      </c>
      <c r="I63" s="232" t="n"/>
      <c r="J63" s="232" t="n">
        <v>69000</v>
      </c>
      <c r="K63" s="272" t="n"/>
      <c r="L63" s="272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73" t="n"/>
      <c r="B64" s="274" t="inlineStr">
        <is>
          <t>ARGENTA PIZZAS</t>
        </is>
      </c>
      <c r="C64" s="275" t="n">
        <v>1</v>
      </c>
      <c r="D64" s="275" t="n"/>
      <c r="E64" s="275" t="n"/>
      <c r="F64" s="276" t="n"/>
      <c r="G64" s="276" t="n"/>
      <c r="H64" s="241" t="n">
        <v>21000</v>
      </c>
      <c r="I64" s="242" t="n"/>
      <c r="J64" s="242" t="n">
        <v>21000</v>
      </c>
      <c r="K64" s="272" t="n"/>
      <c r="L64" s="272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79" t="n"/>
      <c r="B65" s="267" t="inlineStr">
        <is>
          <t>PADRE GENESIO 4501</t>
        </is>
      </c>
      <c r="C65" s="268" t="n">
        <v>1</v>
      </c>
      <c r="D65" s="268" t="n"/>
      <c r="E65" s="268" t="n"/>
      <c r="F65" s="269" t="n"/>
      <c r="G65" s="269" t="n"/>
      <c r="H65" s="231" t="n">
        <v>21000</v>
      </c>
      <c r="I65" s="232" t="n"/>
      <c r="J65" s="232" t="n">
        <v>21000</v>
      </c>
      <c r="K65" s="272" t="n"/>
      <c r="L65" s="272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73" t="n"/>
      <c r="B66" s="274" t="inlineStr">
        <is>
          <t>PORKIS</t>
        </is>
      </c>
      <c r="C66" s="275" t="n">
        <v>1</v>
      </c>
      <c r="D66" s="275" t="n"/>
      <c r="E66" s="275" t="n"/>
      <c r="F66" s="276" t="n"/>
      <c r="G66" s="276" t="n"/>
      <c r="H66" s="241" t="n">
        <v>18500</v>
      </c>
      <c r="I66" s="242" t="n"/>
      <c r="J66" s="242" t="n">
        <v>18500</v>
      </c>
      <c r="K66" s="272" t="n"/>
      <c r="L66" s="272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79" t="n">
        <v>46060</v>
      </c>
      <c r="B67" s="267" t="inlineStr">
        <is>
          <t>AZCUENAGA 5023</t>
        </is>
      </c>
      <c r="C67" s="268" t="n">
        <v>2</v>
      </c>
      <c r="D67" s="268" t="n"/>
      <c r="E67" s="268" t="n"/>
      <c r="F67" s="269" t="n"/>
      <c r="G67" s="269" t="n"/>
      <c r="H67" s="231" t="n">
        <v>29000</v>
      </c>
      <c r="I67" s="232" t="n"/>
      <c r="J67" s="232" t="n">
        <v>29000</v>
      </c>
      <c r="K67" s="272" t="n"/>
      <c r="L67" s="272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73" t="n"/>
      <c r="B68" s="274" t="inlineStr">
        <is>
          <t>SAVEDRA 2799</t>
        </is>
      </c>
      <c r="C68" s="275" t="n">
        <v>1</v>
      </c>
      <c r="D68" s="275" t="n"/>
      <c r="E68" s="275" t="n"/>
      <c r="F68" s="276" t="n"/>
      <c r="G68" s="276" t="n"/>
      <c r="H68" s="241" t="n">
        <v>23000</v>
      </c>
      <c r="I68" s="242" t="n">
        <v>23000</v>
      </c>
      <c r="J68" s="242" t="n"/>
      <c r="K68" s="272" t="n"/>
      <c r="L68" s="272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79" t="n"/>
      <c r="B69" s="267" t="inlineStr">
        <is>
          <t>SABOREAR</t>
        </is>
      </c>
      <c r="C69" s="268" t="n">
        <v>2</v>
      </c>
      <c r="D69" s="268" t="n"/>
      <c r="E69" s="268" t="n"/>
      <c r="F69" s="269" t="n"/>
      <c r="G69" s="269" t="n"/>
      <c r="H69" s="231" t="n">
        <v>38000</v>
      </c>
      <c r="I69" s="232" t="n"/>
      <c r="J69" s="232" t="n">
        <v>38000</v>
      </c>
      <c r="K69" s="272" t="n"/>
      <c r="L69" s="272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73" t="n"/>
      <c r="B70" s="274" t="inlineStr">
        <is>
          <t>9 DE JULIO 1144</t>
        </is>
      </c>
      <c r="C70" s="275" t="n"/>
      <c r="D70" s="275" t="n"/>
      <c r="E70" s="275" t="n">
        <v>2</v>
      </c>
      <c r="F70" s="276" t="n"/>
      <c r="G70" s="276" t="n"/>
      <c r="H70" s="241" t="n">
        <v>154000</v>
      </c>
      <c r="I70" s="242" t="n"/>
      <c r="J70" s="242" t="n">
        <v>154000</v>
      </c>
      <c r="K70" s="272" t="n"/>
      <c r="L70" s="272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79" t="n"/>
      <c r="B71" s="267" t="inlineStr">
        <is>
          <t>CASTELLI 4320</t>
        </is>
      </c>
      <c r="C71" s="268" t="n">
        <v>1</v>
      </c>
      <c r="D71" s="268" t="n"/>
      <c r="E71" s="268" t="n"/>
      <c r="F71" s="269" t="n"/>
      <c r="G71" s="269" t="n"/>
      <c r="H71" s="231" t="n">
        <v>22000</v>
      </c>
      <c r="I71" s="232" t="n">
        <v>22000</v>
      </c>
      <c r="J71" s="232" t="n"/>
      <c r="K71" s="272" t="n"/>
      <c r="L71" s="272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73" t="n"/>
      <c r="B72" s="274" t="inlineStr">
        <is>
          <t>ROTI AGUADO</t>
        </is>
      </c>
      <c r="C72" s="275" t="n"/>
      <c r="D72" s="275" t="n">
        <v>1</v>
      </c>
      <c r="E72" s="275" t="n">
        <v>1</v>
      </c>
      <c r="F72" s="276" t="n"/>
      <c r="G72" s="276" t="n"/>
      <c r="H72" s="241" t="n">
        <v>96500</v>
      </c>
      <c r="I72" s="242" t="n"/>
      <c r="J72" s="242" t="n">
        <v>96500</v>
      </c>
      <c r="K72" s="272" t="n"/>
      <c r="L72" s="272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79" t="n"/>
      <c r="B73" s="267" t="inlineStr">
        <is>
          <t>FLORES 2 TORRE 8</t>
        </is>
      </c>
      <c r="C73" s="268" t="n">
        <v>1</v>
      </c>
      <c r="D73" s="268" t="n"/>
      <c r="E73" s="268" t="n"/>
      <c r="F73" s="269" t="n"/>
      <c r="G73" s="269" t="n"/>
      <c r="H73" s="231" t="n">
        <v>22000</v>
      </c>
      <c r="I73" s="232" t="n">
        <v>22000</v>
      </c>
      <c r="J73" s="232" t="n"/>
      <c r="K73" s="272" t="n"/>
      <c r="L73" s="272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73" t="n"/>
      <c r="B74" s="274" t="inlineStr">
        <is>
          <t>EXE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79" t="n"/>
      <c r="B75" s="267" t="inlineStr">
        <is>
          <t>NACHO</t>
        </is>
      </c>
      <c r="C75" s="268" t="n">
        <v>1</v>
      </c>
      <c r="D75" s="268" t="n"/>
      <c r="E75" s="268" t="n"/>
      <c r="F75" s="269" t="n"/>
      <c r="G75" s="269" t="n"/>
      <c r="H75" s="231" t="n">
        <v>18000</v>
      </c>
      <c r="I75" s="232" t="n"/>
      <c r="J75" s="232" t="n">
        <v>18000</v>
      </c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73" t="n"/>
      <c r="B76" s="274" t="inlineStr">
        <is>
          <t>TACUARI</t>
        </is>
      </c>
      <c r="C76" s="275" t="n">
        <v>1</v>
      </c>
      <c r="D76" s="275" t="n"/>
      <c r="E76" s="275" t="n"/>
      <c r="F76" s="276" t="n"/>
      <c r="G76" s="276" t="n"/>
      <c r="H76" s="241" t="n">
        <v>20000</v>
      </c>
      <c r="I76" s="242" t="n"/>
      <c r="J76" s="242" t="n">
        <v>20000</v>
      </c>
      <c r="K76" s="272" t="n"/>
      <c r="L76" s="272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79" t="n"/>
      <c r="B77" s="267" t="inlineStr">
        <is>
          <t>FILOMENA</t>
        </is>
      </c>
      <c r="C77" s="268" t="n">
        <v>1</v>
      </c>
      <c r="D77" s="268" t="n"/>
      <c r="E77" s="268" t="n"/>
      <c r="F77" s="269" t="n"/>
      <c r="G77" s="269" t="n"/>
      <c r="H77" s="231" t="n">
        <v>18000</v>
      </c>
      <c r="I77" s="232" t="n"/>
      <c r="J77" s="232" t="n">
        <v>18000</v>
      </c>
      <c r="K77" s="272" t="n"/>
      <c r="L77" s="272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73" t="n"/>
      <c r="B78" s="274" t="inlineStr">
        <is>
          <t>PANA GENESIO</t>
        </is>
      </c>
      <c r="C78" s="275" t="n"/>
      <c r="D78" s="275" t="n"/>
      <c r="E78" s="275" t="n">
        <v>1</v>
      </c>
      <c r="F78" s="276" t="n"/>
      <c r="G78" s="276" t="n"/>
      <c r="H78" s="241" t="n">
        <v>69000</v>
      </c>
      <c r="I78" s="242" t="n"/>
      <c r="J78" s="242" t="n">
        <v>69000</v>
      </c>
      <c r="K78" s="272" t="n"/>
      <c r="L78" s="272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79" t="n"/>
      <c r="B79" s="267" t="inlineStr">
        <is>
          <t>LUCHO</t>
        </is>
      </c>
      <c r="C79" s="268" t="n">
        <v>2</v>
      </c>
      <c r="D79" s="268" t="n"/>
      <c r="E79" s="268" t="n"/>
      <c r="F79" s="269" t="n"/>
      <c r="G79" s="269" t="n"/>
      <c r="H79" s="231" t="n">
        <v>29000</v>
      </c>
      <c r="I79" s="232" t="n">
        <v>29000</v>
      </c>
      <c r="J79" s="232" t="n"/>
      <c r="K79" s="272" t="n"/>
      <c r="L79" s="272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73" t="n"/>
      <c r="B80" s="274" t="inlineStr">
        <is>
          <t>ROTI VIEYTES</t>
        </is>
      </c>
      <c r="C80" s="275" t="n"/>
      <c r="D80" s="275" t="n">
        <v>2</v>
      </c>
      <c r="E80" s="275" t="n"/>
      <c r="F80" s="276" t="n"/>
      <c r="G80" s="276" t="n"/>
      <c r="H80" s="241" t="n">
        <v>44000</v>
      </c>
      <c r="I80" s="242" t="n"/>
      <c r="J80" s="242" t="n">
        <v>44000</v>
      </c>
      <c r="K80" s="272" t="n"/>
      <c r="L80" s="272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79" t="n">
        <v>46061</v>
      </c>
      <c r="B81" s="267" t="inlineStr">
        <is>
          <t>GENEIRO 8264</t>
        </is>
      </c>
      <c r="C81" s="268" t="n"/>
      <c r="D81" s="268" t="n">
        <v>1</v>
      </c>
      <c r="E81" s="268" t="n"/>
      <c r="F81" s="269" t="n"/>
      <c r="G81" s="269" t="n"/>
      <c r="H81" s="231" t="n">
        <v>33000</v>
      </c>
      <c r="I81" s="232" t="n">
        <v>33000</v>
      </c>
      <c r="J81" s="232" t="n"/>
      <c r="K81" s="272" t="n"/>
      <c r="L81" s="272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73" t="n"/>
      <c r="B82" s="274" t="inlineStr">
        <is>
          <t>SAN JOSE 8494</t>
        </is>
      </c>
      <c r="C82" s="275" t="n"/>
      <c r="D82" s="275" t="n"/>
      <c r="E82" s="275" t="n">
        <v>1</v>
      </c>
      <c r="F82" s="276" t="n"/>
      <c r="G82" s="276" t="n"/>
      <c r="H82" s="241" t="n">
        <v>79000</v>
      </c>
      <c r="I82" s="242" t="n"/>
      <c r="J82" s="242" t="n">
        <v>79000</v>
      </c>
      <c r="K82" s="272" t="n"/>
      <c r="L82" s="272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79" t="n"/>
      <c r="B83" s="267" t="inlineStr">
        <is>
          <t>GRINGO ILGATO</t>
        </is>
      </c>
      <c r="C83" s="268" t="n">
        <v>1</v>
      </c>
      <c r="D83" s="268" t="n"/>
      <c r="E83" s="268" t="n">
        <v>1</v>
      </c>
      <c r="F83" s="269" t="n"/>
      <c r="G83" s="269" t="n"/>
      <c r="H83" s="231" t="n">
        <v>99000</v>
      </c>
      <c r="I83" s="232" t="n">
        <v>99000</v>
      </c>
      <c r="J83" s="232" t="n"/>
      <c r="K83" s="272" t="n"/>
      <c r="L83" s="272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73" t="n"/>
      <c r="B84" s="274" t="inlineStr">
        <is>
          <t>OTNIEL</t>
        </is>
      </c>
      <c r="C84" s="275" t="n">
        <v>1</v>
      </c>
      <c r="D84" s="275" t="n"/>
      <c r="E84" s="275" t="n"/>
      <c r="F84" s="276" t="n"/>
      <c r="G84" s="276" t="n">
        <v>1</v>
      </c>
      <c r="H84" s="241" t="n">
        <v>24000</v>
      </c>
      <c r="I84" s="242" t="n"/>
      <c r="J84" s="242" t="n">
        <v>24000</v>
      </c>
      <c r="K84" s="272" t="n"/>
      <c r="L84" s="272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79" t="n"/>
      <c r="B85" s="267" t="inlineStr">
        <is>
          <t>LUCHO</t>
        </is>
      </c>
      <c r="C85" s="268" t="n"/>
      <c r="D85" s="268" t="n">
        <v>1</v>
      </c>
      <c r="E85" s="268" t="n"/>
      <c r="F85" s="269" t="n"/>
      <c r="G85" s="269" t="n"/>
      <c r="H85" s="231" t="n">
        <v>22500</v>
      </c>
      <c r="I85" s="232" t="n">
        <v>22500</v>
      </c>
      <c r="J85" s="232" t="n"/>
      <c r="K85" s="272" t="n"/>
      <c r="L85" s="272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73" t="n"/>
      <c r="B86" s="274" t="inlineStr">
        <is>
          <t>ROQUE SAENZ PENA 7744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/>
      <c r="J86" s="242" t="n">
        <v>22000</v>
      </c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79" t="n"/>
      <c r="B87" s="267" t="inlineStr">
        <is>
          <t>SALTA 2709</t>
        </is>
      </c>
      <c r="C87" s="268" t="n">
        <v>1</v>
      </c>
      <c r="D87" s="268" t="n"/>
      <c r="E87" s="268" t="n"/>
      <c r="F87" s="269" t="n"/>
      <c r="G87" s="269" t="n"/>
      <c r="H87" s="231" t="n">
        <v>22000</v>
      </c>
      <c r="I87" s="232" t="n">
        <v>22000</v>
      </c>
      <c r="J87" s="232" t="n"/>
      <c r="K87" s="272" t="n"/>
      <c r="L87" s="272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73" t="n"/>
      <c r="B88" s="274" t="inlineStr">
        <is>
          <t>CLUB NACIONAL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79" t="n"/>
      <c r="B89" s="267" t="inlineStr">
        <is>
          <t>PAULO</t>
        </is>
      </c>
      <c r="C89" s="268" t="n">
        <v>2</v>
      </c>
      <c r="D89" s="268" t="n"/>
      <c r="E89" s="268" t="n"/>
      <c r="F89" s="269" t="n"/>
      <c r="G89" s="269" t="n"/>
      <c r="H89" s="231" t="n">
        <v>29000</v>
      </c>
      <c r="I89" s="232" t="n">
        <v>29000</v>
      </c>
      <c r="J89" s="232" t="n"/>
      <c r="K89" s="272" t="n"/>
      <c r="L89" s="272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73" t="n">
        <v>46062</v>
      </c>
      <c r="B90" s="274" t="inlineStr">
        <is>
          <t>GOLD BURGUER</t>
        </is>
      </c>
      <c r="C90" s="275" t="n"/>
      <c r="D90" s="275" t="n"/>
      <c r="E90" s="275" t="n">
        <v>2</v>
      </c>
      <c r="F90" s="276" t="n"/>
      <c r="G90" s="276" t="n"/>
      <c r="H90" s="241" t="n">
        <v>164000</v>
      </c>
      <c r="I90" s="242" t="n">
        <v>164000</v>
      </c>
      <c r="J90" s="242" t="n"/>
      <c r="K90" s="272" t="n"/>
      <c r="L90" s="272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79" t="n"/>
      <c r="B91" s="267" t="inlineStr">
        <is>
          <t>ABUELA LUCAS</t>
        </is>
      </c>
      <c r="C91" s="268" t="n">
        <v>1</v>
      </c>
      <c r="D91" s="268" t="n"/>
      <c r="E91" s="268" t="n"/>
      <c r="F91" s="269" t="n"/>
      <c r="G91" s="269" t="n"/>
      <c r="H91" s="231" t="n">
        <v>22000</v>
      </c>
      <c r="I91" s="232" t="n">
        <v>22000</v>
      </c>
      <c r="J91" s="232" t="n"/>
      <c r="K91" s="272" t="n"/>
      <c r="L91" s="272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73" t="n"/>
      <c r="B92" s="274" t="inlineStr">
        <is>
          <t>FILOMENA</t>
        </is>
      </c>
      <c r="C92" s="275" t="n">
        <v>1</v>
      </c>
      <c r="D92" s="275" t="n"/>
      <c r="E92" s="275" t="n"/>
      <c r="F92" s="276" t="n"/>
      <c r="G92" s="276" t="n"/>
      <c r="H92" s="241" t="n">
        <v>18000</v>
      </c>
      <c r="I92" s="242" t="n"/>
      <c r="J92" s="242" t="n">
        <v>18000</v>
      </c>
      <c r="K92" s="272" t="n"/>
      <c r="L92" s="272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79" t="n"/>
      <c r="B93" s="267" t="inlineStr">
        <is>
          <t>BEATRIZ</t>
        </is>
      </c>
      <c r="C93" s="268" t="n"/>
      <c r="D93" s="268" t="n"/>
      <c r="E93" s="268" t="n"/>
      <c r="F93" s="269" t="n"/>
      <c r="G93" s="269" t="n">
        <v>1</v>
      </c>
      <c r="H93" s="231" t="n">
        <v>5000</v>
      </c>
      <c r="I93" s="232" t="n">
        <v>5000</v>
      </c>
      <c r="J93" s="232" t="n"/>
      <c r="K93" s="272" t="n"/>
      <c r="L93" s="272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73" t="n"/>
      <c r="B94" s="274" t="inlineStr">
        <is>
          <t>MARTINEZ 3221</t>
        </is>
      </c>
      <c r="C94" s="275" t="n">
        <v>2</v>
      </c>
      <c r="D94" s="275" t="n"/>
      <c r="E94" s="275" t="n">
        <v>1</v>
      </c>
      <c r="F94" s="276" t="n"/>
      <c r="G94" s="276" t="n"/>
      <c r="H94" s="241" t="n">
        <v>119000</v>
      </c>
      <c r="I94" s="242" t="n"/>
      <c r="J94" s="242" t="n">
        <v>119000</v>
      </c>
      <c r="K94" s="272" t="n"/>
      <c r="L94" s="272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79" t="n"/>
      <c r="B95" s="267" t="inlineStr">
        <is>
          <t>SERBANDO BAYO 7250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>
        <v>21000</v>
      </c>
      <c r="J95" s="232" t="n"/>
      <c r="K95" s="272" t="n"/>
      <c r="L95" s="272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73" t="n"/>
      <c r="B96" s="274" t="inlineStr">
        <is>
          <t>LAVAISE 3786</t>
        </is>
      </c>
      <c r="C96" s="275" t="n">
        <v>1</v>
      </c>
      <c r="D96" s="275" t="n">
        <v>1</v>
      </c>
      <c r="E96" s="275" t="n"/>
      <c r="F96" s="276" t="n"/>
      <c r="G96" s="276" t="n"/>
      <c r="H96" s="241" t="n">
        <v>51500</v>
      </c>
      <c r="I96" s="242" t="n">
        <v>51500</v>
      </c>
      <c r="J96" s="242" t="n"/>
      <c r="K96" s="272" t="n"/>
      <c r="L96" s="272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79" t="n"/>
      <c r="B97" s="267" t="inlineStr">
        <is>
          <t>ALBERTI 4930</t>
        </is>
      </c>
      <c r="C97" s="268" t="n"/>
      <c r="D97" s="268" t="n"/>
      <c r="E97" s="268" t="n"/>
      <c r="F97" s="269" t="n"/>
      <c r="G97" s="269" t="n">
        <v>2</v>
      </c>
      <c r="H97" s="231" t="n">
        <v>10000</v>
      </c>
      <c r="I97" s="232" t="n">
        <v>10000</v>
      </c>
      <c r="J97" s="232" t="n"/>
      <c r="K97" s="272" t="n"/>
      <c r="L97" s="272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73" t="n">
        <v>46063</v>
      </c>
      <c r="B98" s="274" t="inlineStr">
        <is>
          <t>ALE RUIZ</t>
        </is>
      </c>
      <c r="C98" s="275" t="n"/>
      <c r="D98" s="275" t="n"/>
      <c r="E98" s="275" t="n"/>
      <c r="F98" s="276" t="n"/>
      <c r="G98" s="276" t="n">
        <v>1</v>
      </c>
      <c r="H98" s="241" t="n">
        <v>5000</v>
      </c>
      <c r="I98" s="242" t="n">
        <v>5000</v>
      </c>
      <c r="J98" s="242" t="n"/>
      <c r="K98" s="272" t="n"/>
      <c r="L98" s="272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79" t="n"/>
      <c r="B99" s="267" t="inlineStr">
        <is>
          <t>PANA GORRITI 4600</t>
        </is>
      </c>
      <c r="C99" s="268" t="n"/>
      <c r="D99" s="268" t="n"/>
      <c r="E99" s="268" t="n">
        <v>1</v>
      </c>
      <c r="F99" s="269" t="n"/>
      <c r="G99" s="269" t="n"/>
      <c r="H99" s="231" t="n">
        <v>74000</v>
      </c>
      <c r="I99" s="232" t="n">
        <v>74000</v>
      </c>
      <c r="J99" s="232" t="n"/>
      <c r="K99" s="272" t="n"/>
      <c r="L99" s="272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73" t="n"/>
      <c r="B100" s="274" t="inlineStr">
        <is>
          <t>ARISTOBULO 5879</t>
        </is>
      </c>
      <c r="C100" s="275" t="n"/>
      <c r="D100" s="275" t="n">
        <v>1</v>
      </c>
      <c r="E100" s="275" t="n"/>
      <c r="F100" s="276" t="n"/>
      <c r="G100" s="276" t="n"/>
      <c r="H100" s="241" t="n">
        <v>34500</v>
      </c>
      <c r="I100" s="242" t="n">
        <v>34500</v>
      </c>
      <c r="J100" s="242" t="n"/>
      <c r="K100" s="272" t="n"/>
      <c r="L100" s="272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79" t="n">
        <v>46064</v>
      </c>
      <c r="B101" s="267" t="inlineStr">
        <is>
          <t>PANA GORRITI 4600</t>
        </is>
      </c>
      <c r="C101" s="268" t="n"/>
      <c r="D101" s="268" t="n"/>
      <c r="E101" s="268" t="n">
        <v>1</v>
      </c>
      <c r="F101" s="269" t="n"/>
      <c r="G101" s="269" t="n"/>
      <c r="H101" s="231" t="n">
        <v>74000</v>
      </c>
      <c r="I101" s="232" t="n">
        <v>74000</v>
      </c>
      <c r="J101" s="232" t="n"/>
      <c r="K101" s="272" t="n"/>
      <c r="L101" s="272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73" t="n"/>
      <c r="B102" s="274" t="inlineStr">
        <is>
          <t>ANA ABDALA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/>
      <c r="J102" s="242" t="n">
        <v>22000</v>
      </c>
      <c r="K102" s="272" t="n"/>
      <c r="L102" s="272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79" t="n"/>
      <c r="B103" s="267" t="inlineStr">
        <is>
          <t>BARRETO 9261</t>
        </is>
      </c>
      <c r="C103" s="268" t="n"/>
      <c r="D103" s="268" t="n">
        <v>1</v>
      </c>
      <c r="E103" s="268" t="n"/>
      <c r="F103" s="269" t="n"/>
      <c r="G103" s="269" t="n"/>
      <c r="H103" s="231" t="n">
        <v>33500</v>
      </c>
      <c r="I103" s="232" t="n"/>
      <c r="J103" s="232" t="n">
        <v>33500</v>
      </c>
      <c r="K103" s="272" t="n"/>
      <c r="L103" s="272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73" t="n"/>
      <c r="B104" s="274" t="inlineStr">
        <is>
          <t>NACHO</t>
        </is>
      </c>
      <c r="C104" s="275" t="n">
        <v>1</v>
      </c>
      <c r="D104" s="275" t="n"/>
      <c r="E104" s="275" t="n"/>
      <c r="F104" s="276" t="n"/>
      <c r="G104" s="276" t="n"/>
      <c r="H104" s="241" t="n">
        <v>18000</v>
      </c>
      <c r="I104" s="242" t="n"/>
      <c r="J104" s="242" t="n">
        <v>18000</v>
      </c>
      <c r="K104" s="272" t="n"/>
      <c r="L104" s="272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79" t="n"/>
      <c r="B105" s="267" t="inlineStr">
        <is>
          <t>SABOREAR</t>
        </is>
      </c>
      <c r="C105" s="268" t="n">
        <v>1</v>
      </c>
      <c r="D105" s="268" t="n"/>
      <c r="E105" s="268" t="n"/>
      <c r="F105" s="269" t="n"/>
      <c r="G105" s="269" t="n"/>
      <c r="H105" s="231" t="n">
        <v>19000</v>
      </c>
      <c r="I105" s="232" t="n"/>
      <c r="J105" s="232" t="n">
        <v>19000</v>
      </c>
      <c r="K105" s="272" t="n"/>
      <c r="L105" s="272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73" t="n"/>
      <c r="B106" s="274" t="inlineStr">
        <is>
          <t>PEDRO FERRE 2213</t>
        </is>
      </c>
      <c r="C106" s="275" t="n">
        <v>1</v>
      </c>
      <c r="D106" s="275" t="n"/>
      <c r="E106" s="275" t="n"/>
      <c r="F106" s="276" t="n"/>
      <c r="G106" s="276" t="n"/>
      <c r="H106" s="241" t="n">
        <v>22000</v>
      </c>
      <c r="I106" s="242" t="n">
        <v>22000</v>
      </c>
      <c r="J106" s="242" t="n"/>
      <c r="K106" s="272" t="n"/>
      <c r="L106" s="272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79" t="n"/>
      <c r="B107" s="267" t="inlineStr">
        <is>
          <t>PANA ALBERTI</t>
        </is>
      </c>
      <c r="C107" s="268" t="n"/>
      <c r="D107" s="268" t="n"/>
      <c r="E107" s="268" t="n">
        <v>1</v>
      </c>
      <c r="F107" s="269" t="n"/>
      <c r="G107" s="269" t="n"/>
      <c r="H107" s="231" t="n">
        <v>72000</v>
      </c>
      <c r="I107" s="232" t="n">
        <v>72000</v>
      </c>
      <c r="J107" s="232" t="n"/>
      <c r="K107" s="272" t="n"/>
      <c r="L107" s="272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73" t="n"/>
      <c r="B108" s="274" t="inlineStr">
        <is>
          <t>PUBLICO 2550</t>
        </is>
      </c>
      <c r="C108" s="275" t="n"/>
      <c r="D108" s="275" t="n"/>
      <c r="E108" s="275" t="n">
        <v>1</v>
      </c>
      <c r="F108" s="276" t="n"/>
      <c r="G108" s="276" t="n"/>
      <c r="H108" s="241" t="n">
        <v>74000</v>
      </c>
      <c r="I108" s="242" t="n"/>
      <c r="J108" s="242" t="n">
        <v>74000</v>
      </c>
      <c r="K108" s="272" t="n"/>
      <c r="L108" s="272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79" t="n"/>
      <c r="B109" s="267" t="inlineStr">
        <is>
          <t>PANA VIEYTES 4500</t>
        </is>
      </c>
      <c r="C109" s="268" t="n"/>
      <c r="D109" s="268" t="n"/>
      <c r="E109" s="268" t="n">
        <v>1</v>
      </c>
      <c r="F109" s="269" t="n"/>
      <c r="G109" s="269" t="n"/>
      <c r="H109" s="231" t="n">
        <v>66000</v>
      </c>
      <c r="I109" s="232" t="n"/>
      <c r="J109" s="232" t="n">
        <v>66000</v>
      </c>
      <c r="K109" s="272" t="n"/>
      <c r="L109" s="272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73" t="n"/>
      <c r="B110" s="274" t="inlineStr">
        <is>
          <t>FILOMENA</t>
        </is>
      </c>
      <c r="C110" s="275" t="n">
        <v>1</v>
      </c>
      <c r="D110" s="275" t="n"/>
      <c r="E110" s="275" t="n"/>
      <c r="F110" s="276" t="n"/>
      <c r="G110" s="276" t="n"/>
      <c r="H110" s="241" t="n">
        <v>18000</v>
      </c>
      <c r="I110" s="242" t="n"/>
      <c r="J110" s="242" t="n">
        <v>18000</v>
      </c>
      <c r="K110" s="272" t="n"/>
      <c r="L110" s="272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79" t="n"/>
      <c r="B111" s="267" t="inlineStr">
        <is>
          <t>EXE</t>
        </is>
      </c>
      <c r="C111" s="268" t="n"/>
      <c r="D111" s="268" t="n"/>
      <c r="E111" s="268" t="n">
        <v>1</v>
      </c>
      <c r="F111" s="269" t="n"/>
      <c r="G111" s="269" t="n"/>
      <c r="H111" s="231" t="n">
        <v>69000</v>
      </c>
      <c r="I111" s="232" t="n"/>
      <c r="J111" s="232" t="n">
        <v>69000</v>
      </c>
      <c r="K111" s="272" t="n"/>
      <c r="L111" s="272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73" t="n"/>
      <c r="B112" s="274" t="inlineStr">
        <is>
          <t>CAREN</t>
        </is>
      </c>
      <c r="C112" s="275" t="n"/>
      <c r="D112" s="275" t="n"/>
      <c r="E112" s="275" t="n">
        <v>1</v>
      </c>
      <c r="F112" s="276" t="n"/>
      <c r="G112" s="276" t="n"/>
      <c r="H112" s="241" t="n">
        <v>69000</v>
      </c>
      <c r="I112" s="242" t="n"/>
      <c r="J112" s="242" t="n">
        <v>69000</v>
      </c>
      <c r="K112" s="272" t="n"/>
      <c r="L112" s="272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79" t="n"/>
      <c r="B113" s="267" t="inlineStr">
        <is>
          <t>FRANCAI 2247</t>
        </is>
      </c>
      <c r="C113" s="268" t="n">
        <v>1</v>
      </c>
      <c r="D113" s="268" t="n"/>
      <c r="E113" s="268" t="n"/>
      <c r="F113" s="269" t="n"/>
      <c r="G113" s="269" t="n"/>
      <c r="H113" s="231" t="n">
        <v>22000</v>
      </c>
      <c r="I113" s="232" t="n"/>
      <c r="J113" s="232" t="n">
        <v>22000</v>
      </c>
      <c r="K113" s="272" t="n"/>
      <c r="L113" s="272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73" t="n"/>
      <c r="B114" s="274" t="inlineStr">
        <is>
          <t>PANA VIEYTES 3800</t>
        </is>
      </c>
      <c r="C114" s="275" t="n"/>
      <c r="D114" s="275" t="n"/>
      <c r="E114" s="275" t="n">
        <v>1</v>
      </c>
      <c r="F114" s="276" t="n"/>
      <c r="G114" s="276" t="n"/>
      <c r="H114" s="241" t="n">
        <v>72000</v>
      </c>
      <c r="I114" s="242" t="n"/>
      <c r="J114" s="242" t="n">
        <v>72000</v>
      </c>
      <c r="K114" s="272" t="n"/>
      <c r="L114" s="272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79" t="n"/>
      <c r="B115" s="267" t="inlineStr">
        <is>
          <t>RIVADAVIA JUNIORS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>
        <v>22000</v>
      </c>
      <c r="J115" s="232" t="n"/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73" t="n"/>
      <c r="B116" s="274" t="inlineStr">
        <is>
          <t>PANA GENESIO</t>
        </is>
      </c>
      <c r="C116" s="275" t="n"/>
      <c r="D116" s="275" t="n"/>
      <c r="E116" s="275" t="n">
        <v>1</v>
      </c>
      <c r="F116" s="276" t="n"/>
      <c r="G116" s="276" t="n"/>
      <c r="H116" s="241" t="n">
        <v>69000</v>
      </c>
      <c r="I116" s="242" t="n"/>
      <c r="J116" s="242" t="n">
        <v>69000</v>
      </c>
      <c r="K116" s="272" t="n"/>
      <c r="L116" s="272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79" t="n"/>
      <c r="B117" s="267" t="inlineStr">
        <is>
          <t>PANA BERUTI 6400</t>
        </is>
      </c>
      <c r="C117" s="268" t="n"/>
      <c r="D117" s="268" t="n"/>
      <c r="E117" s="268" t="n">
        <v>1</v>
      </c>
      <c r="F117" s="269" t="n"/>
      <c r="G117" s="269" t="n"/>
      <c r="H117" s="231" t="n">
        <v>65000</v>
      </c>
      <c r="I117" s="232" t="n">
        <v>65000</v>
      </c>
      <c r="J117" s="232" t="n"/>
      <c r="K117" s="272" t="n"/>
      <c r="L117" s="272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73" t="n">
        <v>46065</v>
      </c>
      <c r="B118" s="274" t="inlineStr">
        <is>
          <t>OTNIEL</t>
        </is>
      </c>
      <c r="C118" s="275" t="n">
        <v>1</v>
      </c>
      <c r="D118" s="275" t="n">
        <v>1</v>
      </c>
      <c r="E118" s="275" t="n"/>
      <c r="F118" s="276" t="n"/>
      <c r="G118" s="276" t="n"/>
      <c r="H118" s="241" t="n">
        <v>47500</v>
      </c>
      <c r="I118" s="242" t="n"/>
      <c r="J118" s="242" t="n">
        <v>47500</v>
      </c>
      <c r="K118" s="272" t="n"/>
      <c r="L118" s="272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79" t="n"/>
      <c r="B119" s="267" t="inlineStr">
        <is>
          <t>CALLEJON AGUIRRE 5255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/>
      <c r="J119" s="232" t="n">
        <v>22000</v>
      </c>
      <c r="K119" s="272" t="n"/>
      <c r="L119" s="272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73" t="n"/>
      <c r="B120" s="274" t="inlineStr">
        <is>
          <t>MISIONES 6381 PANA</t>
        </is>
      </c>
      <c r="C120" s="275" t="n">
        <v>1</v>
      </c>
      <c r="D120" s="275" t="n"/>
      <c r="E120" s="275" t="n">
        <v>1</v>
      </c>
      <c r="F120" s="276" t="n"/>
      <c r="G120" s="276" t="n"/>
      <c r="H120" s="241" t="n">
        <v>93000</v>
      </c>
      <c r="I120" s="242" t="n"/>
      <c r="J120" s="242" t="n">
        <v>93000</v>
      </c>
      <c r="K120" s="272" t="n"/>
      <c r="L120" s="272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79" t="n"/>
      <c r="B121" s="267" t="inlineStr">
        <is>
          <t>LUCHO</t>
        </is>
      </c>
      <c r="C121" s="268" t="n">
        <v>3</v>
      </c>
      <c r="D121" s="268" t="n"/>
      <c r="E121" s="268" t="n"/>
      <c r="F121" s="269" t="n"/>
      <c r="G121" s="269" t="n"/>
      <c r="H121" s="231" t="n">
        <v>43500</v>
      </c>
      <c r="I121" s="232" t="n"/>
      <c r="J121" s="232" t="n">
        <v>43500</v>
      </c>
      <c r="K121" s="272" t="n"/>
      <c r="L121" s="272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73" t="n"/>
      <c r="B122" s="274" t="inlineStr">
        <is>
          <t>AZCUENAGA 5023</t>
        </is>
      </c>
      <c r="C122" s="275" t="n">
        <v>3</v>
      </c>
      <c r="D122" s="275" t="n">
        <v>2</v>
      </c>
      <c r="E122" s="275" t="n"/>
      <c r="F122" s="276" t="n"/>
      <c r="G122" s="276" t="n"/>
      <c r="H122" s="241" t="n">
        <v>87500</v>
      </c>
      <c r="I122" s="242" t="n"/>
      <c r="J122" s="242" t="n">
        <v>87500</v>
      </c>
      <c r="K122" s="272" t="n"/>
      <c r="L122" s="272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79" t="n"/>
      <c r="B123" s="267" t="inlineStr">
        <is>
          <t>SANDRA</t>
        </is>
      </c>
      <c r="C123" s="268" t="n">
        <v>3</v>
      </c>
      <c r="D123" s="268" t="n"/>
      <c r="E123" s="268" t="n"/>
      <c r="F123" s="269" t="n"/>
      <c r="G123" s="269" t="n"/>
      <c r="H123" s="231" t="n">
        <v>43500</v>
      </c>
      <c r="I123" s="232" t="n">
        <v>43500</v>
      </c>
      <c r="J123" s="232" t="n"/>
      <c r="K123" s="272" t="n"/>
      <c r="L123" s="272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73" t="n"/>
      <c r="B124" s="274" t="inlineStr">
        <is>
          <t>CINDI</t>
        </is>
      </c>
      <c r="C124" s="275" t="n"/>
      <c r="D124" s="275" t="n"/>
      <c r="E124" s="275" t="n"/>
      <c r="F124" s="276" t="n">
        <v>2</v>
      </c>
      <c r="G124" s="276" t="n"/>
      <c r="H124" s="241" t="n">
        <v>7000</v>
      </c>
      <c r="I124" s="242" t="n"/>
      <c r="J124" s="242" t="n">
        <v>7000</v>
      </c>
      <c r="K124" s="272" t="n"/>
      <c r="L124" s="272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79" t="n"/>
      <c r="B125" s="267" t="inlineStr">
        <is>
          <t>PASAJE ROCA 6371</t>
        </is>
      </c>
      <c r="C125" s="268" t="n">
        <v>1</v>
      </c>
      <c r="D125" s="268" t="n"/>
      <c r="E125" s="268" t="n"/>
      <c r="F125" s="269" t="n"/>
      <c r="G125" s="269" t="n"/>
      <c r="H125" s="231" t="n">
        <v>22000</v>
      </c>
      <c r="I125" s="232" t="n"/>
      <c r="J125" s="232" t="n">
        <v>22000</v>
      </c>
      <c r="K125" s="272" t="n"/>
      <c r="L125" s="272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73" t="n"/>
      <c r="B126" s="274" t="inlineStr">
        <is>
          <t>SERBANDO BAYO 6840</t>
        </is>
      </c>
      <c r="C126" s="275" t="n">
        <v>1</v>
      </c>
      <c r="D126" s="275" t="n"/>
      <c r="E126" s="275" t="n"/>
      <c r="F126" s="276" t="n"/>
      <c r="G126" s="276" t="n"/>
      <c r="H126" s="241" t="n">
        <v>22000</v>
      </c>
      <c r="I126" s="242" t="n">
        <v>22000</v>
      </c>
      <c r="J126" s="242" t="n"/>
      <c r="K126" s="272" t="n"/>
      <c r="L126" s="272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79" t="n">
        <v>46066</v>
      </c>
      <c r="B127" s="267" t="inlineStr">
        <is>
          <t>LUCHO</t>
        </is>
      </c>
      <c r="C127" s="268" t="n">
        <v>4</v>
      </c>
      <c r="D127" s="268" t="n">
        <v>1</v>
      </c>
      <c r="E127" s="268" t="n"/>
      <c r="F127" s="269" t="n"/>
      <c r="G127" s="269" t="n"/>
      <c r="H127" s="231" t="n">
        <v>80500</v>
      </c>
      <c r="I127" s="232" t="n">
        <v>80500</v>
      </c>
      <c r="J127" s="232" t="n"/>
      <c r="K127" s="272" t="n"/>
      <c r="L127" s="272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73" t="n"/>
      <c r="B128" s="274" t="inlineStr">
        <is>
          <t>HOTEL ROYAL</t>
        </is>
      </c>
      <c r="C128" s="275" t="n"/>
      <c r="D128" s="275" t="n"/>
      <c r="E128" s="275" t="n">
        <v>1</v>
      </c>
      <c r="F128" s="276" t="n"/>
      <c r="G128" s="276" t="n"/>
      <c r="H128" s="241" t="n">
        <v>77000</v>
      </c>
      <c r="I128" s="242" t="n">
        <v>77000</v>
      </c>
      <c r="J128" s="242" t="n"/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79" t="n"/>
      <c r="B129" s="267" t="inlineStr">
        <is>
          <t>PANA VIEYTES GISE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73" t="n"/>
      <c r="B130" s="274" t="inlineStr">
        <is>
          <t>GENERAL PAZ 7826</t>
        </is>
      </c>
      <c r="C130" s="275" t="n">
        <v>1</v>
      </c>
      <c r="D130" s="275" t="n"/>
      <c r="E130" s="275" t="n">
        <v>1</v>
      </c>
      <c r="F130" s="276" t="n"/>
      <c r="G130" s="276" t="n"/>
      <c r="H130" s="241" t="n">
        <v>96000</v>
      </c>
      <c r="I130" s="242" t="n">
        <v>96000</v>
      </c>
      <c r="J130" s="242" t="n"/>
      <c r="K130" s="272" t="n"/>
      <c r="L130" s="272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79" t="n"/>
      <c r="B131" s="267" t="inlineStr">
        <is>
          <t>CASTELLI 5406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73" t="n"/>
      <c r="B132" s="274" t="inlineStr">
        <is>
          <t>ESPORA 4321</t>
        </is>
      </c>
      <c r="C132" s="275" t="n">
        <v>1</v>
      </c>
      <c r="D132" s="275" t="n"/>
      <c r="E132" s="275" t="n"/>
      <c r="F132" s="276" t="n"/>
      <c r="G132" s="276" t="n"/>
      <c r="H132" s="241" t="n">
        <v>22000</v>
      </c>
      <c r="I132" s="242" t="n">
        <v>22000</v>
      </c>
      <c r="J132" s="242" t="n"/>
      <c r="K132" s="272" t="n"/>
      <c r="L132" s="272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79" t="n"/>
      <c r="B133" s="267" t="inlineStr">
        <is>
          <t>VIEYTES 4476</t>
        </is>
      </c>
      <c r="C133" s="268" t="n">
        <v>1</v>
      </c>
      <c r="D133" s="268" t="n"/>
      <c r="E133" s="268" t="n"/>
      <c r="F133" s="269" t="n"/>
      <c r="G133" s="269" t="n"/>
      <c r="H133" s="231" t="n">
        <v>22000</v>
      </c>
      <c r="I133" s="232" t="n">
        <v>22000</v>
      </c>
      <c r="J133" s="232" t="n"/>
      <c r="K133" s="272" t="n"/>
      <c r="L133" s="272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73" t="n"/>
      <c r="B134" s="274" t="inlineStr">
        <is>
          <t>PEDRO ZENTENO 2744</t>
        </is>
      </c>
      <c r="C134" s="275" t="n">
        <v>1</v>
      </c>
      <c r="D134" s="275" t="n"/>
      <c r="E134" s="275" t="n"/>
      <c r="F134" s="276" t="n"/>
      <c r="G134" s="276" t="n"/>
      <c r="H134" s="241" t="n">
        <v>22000</v>
      </c>
      <c r="I134" s="242" t="n">
        <v>22000</v>
      </c>
      <c r="J134" s="242" t="n"/>
      <c r="K134" s="272" t="n"/>
      <c r="L134" s="272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79" t="n"/>
      <c r="B135" s="267" t="inlineStr">
        <is>
          <t>DUSSO 7678</t>
        </is>
      </c>
      <c r="C135" s="268" t="n"/>
      <c r="D135" s="268" t="n">
        <v>1</v>
      </c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73" t="n"/>
      <c r="B136" s="274" t="inlineStr">
        <is>
          <t>RIO NEGRO 6558</t>
        </is>
      </c>
      <c r="C136" s="275" t="n"/>
      <c r="D136" s="275" t="n"/>
      <c r="E136" s="275" t="n">
        <v>1</v>
      </c>
      <c r="F136" s="276" t="n"/>
      <c r="G136" s="276" t="n"/>
      <c r="H136" s="241" t="n">
        <v>77000</v>
      </c>
      <c r="I136" s="242" t="n">
        <v>77000</v>
      </c>
      <c r="J136" s="242" t="n"/>
      <c r="K136" s="272" t="n"/>
      <c r="L136" s="272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79" t="n"/>
      <c r="B137" s="267" t="inlineStr">
        <is>
          <t>FILOMENA</t>
        </is>
      </c>
      <c r="C137" s="268" t="n">
        <v>3</v>
      </c>
      <c r="D137" s="268" t="n"/>
      <c r="E137" s="268" t="n"/>
      <c r="F137" s="269" t="n"/>
      <c r="G137" s="269" t="n"/>
      <c r="H137" s="231" t="n">
        <v>54000</v>
      </c>
      <c r="I137" s="232" t="n"/>
      <c r="J137" s="232" t="n">
        <v>54000</v>
      </c>
      <c r="K137" s="272" t="n"/>
      <c r="L137" s="272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73" t="n"/>
      <c r="B138" s="274" t="inlineStr">
        <is>
          <t>ALSINA 9251</t>
        </is>
      </c>
      <c r="C138" s="275" t="n"/>
      <c r="D138" s="275" t="n"/>
      <c r="E138" s="275" t="n">
        <v>1</v>
      </c>
      <c r="F138" s="276" t="n"/>
      <c r="G138" s="276" t="n"/>
      <c r="H138" s="241" t="n">
        <v>77000</v>
      </c>
      <c r="I138" s="242" t="n">
        <v>77000</v>
      </c>
      <c r="J138" s="242" t="n"/>
      <c r="K138" s="272" t="n"/>
      <c r="L138" s="272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79" t="n"/>
      <c r="B139" s="267" t="inlineStr">
        <is>
          <t>SABOREAR</t>
        </is>
      </c>
      <c r="C139" s="268" t="n"/>
      <c r="D139" s="268" t="n">
        <v>1</v>
      </c>
      <c r="E139" s="268" t="n">
        <v>1</v>
      </c>
      <c r="F139" s="269" t="n"/>
      <c r="G139" s="269" t="n"/>
      <c r="H139" s="231" t="n">
        <v>97000</v>
      </c>
      <c r="I139" s="232" t="n"/>
      <c r="J139" s="232" t="n">
        <v>97000</v>
      </c>
      <c r="K139" s="272" t="n"/>
      <c r="L139" s="272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73" t="n"/>
      <c r="B140" s="274" t="inlineStr">
        <is>
          <t>ROTI VIEYTES</t>
        </is>
      </c>
      <c r="C140" s="275" t="n"/>
      <c r="D140" s="275" t="n">
        <v>2</v>
      </c>
      <c r="E140" s="275" t="n"/>
      <c r="F140" s="276" t="n"/>
      <c r="G140" s="276" t="n"/>
      <c r="H140" s="241" t="n">
        <v>44000</v>
      </c>
      <c r="I140" s="242" t="n"/>
      <c r="J140" s="242" t="n">
        <v>44000</v>
      </c>
      <c r="K140" s="272" t="n"/>
      <c r="L140" s="272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79" t="n"/>
      <c r="B141" s="267" t="inlineStr">
        <is>
          <t>NACHO</t>
        </is>
      </c>
      <c r="C141" s="268" t="n"/>
      <c r="D141" s="268" t="n">
        <v>1</v>
      </c>
      <c r="E141" s="268" t="n"/>
      <c r="F141" s="269" t="n"/>
      <c r="G141" s="269" t="n"/>
      <c r="H141" s="231" t="n">
        <v>27000</v>
      </c>
      <c r="I141" s="232" t="n"/>
      <c r="J141" s="232" t="n">
        <v>27000</v>
      </c>
      <c r="K141" s="272" t="n"/>
      <c r="L141" s="272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73" t="n"/>
      <c r="B142" s="274" t="inlineStr">
        <is>
          <t>BRASERIA</t>
        </is>
      </c>
      <c r="C142" s="275" t="n"/>
      <c r="D142" s="275" t="n"/>
      <c r="E142" s="275" t="n">
        <v>1</v>
      </c>
      <c r="F142" s="276" t="n"/>
      <c r="G142" s="276" t="n"/>
      <c r="H142" s="241" t="n">
        <v>71000</v>
      </c>
      <c r="I142" s="242" t="n"/>
      <c r="J142" s="242" t="n">
        <v>71000</v>
      </c>
      <c r="K142" s="272" t="n"/>
      <c r="L142" s="272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79" t="n">
        <v>46067</v>
      </c>
      <c r="B143" s="267" t="inlineStr">
        <is>
          <t>OTNIEL</t>
        </is>
      </c>
      <c r="C143" s="268" t="n"/>
      <c r="D143" s="268" t="n"/>
      <c r="E143" s="268" t="n">
        <v>1</v>
      </c>
      <c r="F143" s="269" t="n"/>
      <c r="G143" s="269" t="n">
        <v>2</v>
      </c>
      <c r="H143" s="231" t="n">
        <v>81000</v>
      </c>
      <c r="I143" s="232" t="n"/>
      <c r="J143" s="232" t="n">
        <v>81000</v>
      </c>
      <c r="K143" s="272" t="n"/>
      <c r="L143" s="272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73" t="n"/>
      <c r="B144" s="274" t="inlineStr">
        <is>
          <t>LUCHO</t>
        </is>
      </c>
      <c r="C144" s="275" t="n">
        <v>1</v>
      </c>
      <c r="D144" s="275" t="n"/>
      <c r="E144" s="275" t="n"/>
      <c r="F144" s="276" t="n"/>
      <c r="G144" s="276" t="n"/>
      <c r="H144" s="241" t="n">
        <v>14500</v>
      </c>
      <c r="I144" s="242" t="n">
        <v>14500</v>
      </c>
      <c r="J144" s="242" t="n"/>
      <c r="K144" s="272" t="n"/>
      <c r="L144" s="272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79" t="n"/>
      <c r="B145" s="267" t="inlineStr">
        <is>
          <t>MARTIN ZAPATA 2101</t>
        </is>
      </c>
      <c r="C145" s="268" t="n">
        <v>3</v>
      </c>
      <c r="D145" s="268" t="n"/>
      <c r="E145" s="268" t="n"/>
      <c r="F145" s="269" t="n"/>
      <c r="G145" s="269" t="n"/>
      <c r="H145" s="231" t="n">
        <v>45000</v>
      </c>
      <c r="I145" s="232" t="n"/>
      <c r="J145" s="232" t="n">
        <v>45000</v>
      </c>
      <c r="K145" s="272" t="n"/>
      <c r="L145" s="272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73" t="n"/>
      <c r="B146" s="274" t="inlineStr">
        <is>
          <t>LARREA 3339</t>
        </is>
      </c>
      <c r="C146" s="275" t="n">
        <v>2</v>
      </c>
      <c r="D146" s="275" t="n"/>
      <c r="E146" s="275" t="n"/>
      <c r="F146" s="276" t="n"/>
      <c r="G146" s="276" t="n"/>
      <c r="H146" s="241" t="n">
        <v>30000</v>
      </c>
      <c r="I146" s="242" t="n">
        <v>30000</v>
      </c>
      <c r="J146" s="242" t="n"/>
      <c r="K146" s="272" t="n"/>
      <c r="L146" s="272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79" t="n"/>
      <c r="B147" s="267" t="inlineStr">
        <is>
          <t>4 DE ENERO 3526</t>
        </is>
      </c>
      <c r="C147" s="268" t="n">
        <v>1</v>
      </c>
      <c r="D147" s="268" t="n"/>
      <c r="E147" s="268" t="n"/>
      <c r="F147" s="269" t="n"/>
      <c r="G147" s="269" t="n"/>
      <c r="H147" s="231" t="n">
        <v>22000</v>
      </c>
      <c r="I147" s="232" t="n">
        <v>22000</v>
      </c>
      <c r="J147" s="232" t="n"/>
      <c r="K147" s="272" t="n"/>
      <c r="L147" s="272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73" t="n"/>
      <c r="B148" s="274" t="inlineStr">
        <is>
          <t>AYACUCHO 5370</t>
        </is>
      </c>
      <c r="C148" s="275" t="n"/>
      <c r="D148" s="275" t="n">
        <v>1</v>
      </c>
      <c r="E148" s="275" t="n"/>
      <c r="F148" s="276" t="n"/>
      <c r="G148" s="276" t="n"/>
      <c r="H148" s="241" t="n">
        <v>33500</v>
      </c>
      <c r="I148" s="242" t="n">
        <v>33500</v>
      </c>
      <c r="J148" s="242" t="n"/>
      <c r="K148" s="272" t="n"/>
      <c r="L148" s="272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79" t="n"/>
      <c r="B149" s="267" t="inlineStr">
        <is>
          <t>CAREN</t>
        </is>
      </c>
      <c r="C149" s="268" t="n"/>
      <c r="D149" s="268" t="n"/>
      <c r="E149" s="268" t="n">
        <v>1</v>
      </c>
      <c r="F149" s="269" t="n"/>
      <c r="G149" s="269" t="n"/>
      <c r="H149" s="231" t="n">
        <v>69000</v>
      </c>
      <c r="I149" s="232" t="n"/>
      <c r="J149" s="232" t="n">
        <v>69000</v>
      </c>
      <c r="K149" s="272" t="n"/>
      <c r="L149" s="272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73" t="n">
        <v>46068</v>
      </c>
      <c r="B150" s="274" t="inlineStr">
        <is>
          <t xml:space="preserve">ESTELA PARAGUAY </t>
        </is>
      </c>
      <c r="C150" s="275" t="n">
        <v>3</v>
      </c>
      <c r="D150" s="275" t="n"/>
      <c r="E150" s="275" t="n"/>
      <c r="F150" s="276" t="n"/>
      <c r="G150" s="276" t="n"/>
      <c r="H150" s="241" t="n">
        <v>42000</v>
      </c>
      <c r="I150" s="242" t="n">
        <v>42000</v>
      </c>
      <c r="J150" s="242" t="n"/>
      <c r="K150" s="272" t="n"/>
      <c r="L150" s="272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79" t="n"/>
      <c r="B151" s="267" t="inlineStr">
        <is>
          <t>PANA GENESIO</t>
        </is>
      </c>
      <c r="C151" s="268" t="n"/>
      <c r="D151" s="268" t="n"/>
      <c r="E151" s="268" t="n">
        <v>1</v>
      </c>
      <c r="F151" s="269" t="n"/>
      <c r="G151" s="269" t="n"/>
      <c r="H151" s="231" t="n">
        <v>69000</v>
      </c>
      <c r="I151" s="232" t="n">
        <v>40000</v>
      </c>
      <c r="J151" s="232" t="n">
        <v>29000</v>
      </c>
      <c r="K151" s="272" t="n"/>
      <c r="L151" s="272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73" t="n"/>
      <c r="B152" s="274" t="inlineStr">
        <is>
          <t>AYACUCHO 5370</t>
        </is>
      </c>
      <c r="C152" s="275" t="n"/>
      <c r="D152" s="275" t="n"/>
      <c r="E152" s="275" t="n"/>
      <c r="F152" s="276" t="n"/>
      <c r="G152" s="276" t="n">
        <v>2</v>
      </c>
      <c r="H152" s="241" t="n">
        <v>10000</v>
      </c>
      <c r="I152" s="242" t="n"/>
      <c r="J152" s="242" t="n">
        <v>10000</v>
      </c>
      <c r="K152" s="272" t="n"/>
      <c r="L152" s="272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79" t="n"/>
      <c r="B153" s="267" t="inlineStr">
        <is>
          <t>POLLERIA BLAS PARERA</t>
        </is>
      </c>
      <c r="C153" s="268" t="n">
        <v>1</v>
      </c>
      <c r="D153" s="268" t="n"/>
      <c r="E153" s="268" t="n"/>
      <c r="F153" s="269" t="n"/>
      <c r="G153" s="269" t="n"/>
      <c r="H153" s="231" t="n">
        <v>17000</v>
      </c>
      <c r="I153" s="232" t="n">
        <v>17000</v>
      </c>
      <c r="J153" s="232" t="n"/>
      <c r="K153" s="272" t="n"/>
      <c r="L153" s="272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73" t="n"/>
      <c r="B154" s="274" t="inlineStr">
        <is>
          <t>PAULO</t>
        </is>
      </c>
      <c r="C154" s="275" t="n">
        <v>3</v>
      </c>
      <c r="D154" s="275" t="n"/>
      <c r="E154" s="275" t="n"/>
      <c r="F154" s="276" t="n"/>
      <c r="G154" s="276" t="n"/>
      <c r="H154" s="241" t="n">
        <v>43500</v>
      </c>
      <c r="I154" s="242" t="n">
        <v>43500</v>
      </c>
      <c r="J154" s="242" t="n"/>
      <c r="K154" s="272" t="n"/>
      <c r="L154" s="272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79" t="n"/>
      <c r="B155" s="267" t="inlineStr">
        <is>
          <t>SANDRA</t>
        </is>
      </c>
      <c r="C155" s="268" t="n">
        <v>2</v>
      </c>
      <c r="D155" s="268" t="n"/>
      <c r="E155" s="268" t="n"/>
      <c r="F155" s="269" t="n"/>
      <c r="G155" s="269" t="n">
        <v>1</v>
      </c>
      <c r="H155" s="231" t="n">
        <v>33000</v>
      </c>
      <c r="I155" s="232" t="n">
        <v>33000</v>
      </c>
      <c r="J155" s="232" t="n"/>
      <c r="K155" s="272" t="n"/>
      <c r="L155" s="272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73" t="n"/>
      <c r="B156" s="274" t="inlineStr">
        <is>
          <t>MISIONES 5780</t>
        </is>
      </c>
      <c r="C156" s="275" t="n">
        <v>1</v>
      </c>
      <c r="D156" s="275" t="n"/>
      <c r="E156" s="275" t="n"/>
      <c r="F156" s="276" t="n"/>
      <c r="G156" s="276" t="n"/>
      <c r="H156" s="241" t="n">
        <v>22000</v>
      </c>
      <c r="I156" s="242" t="n">
        <v>22000</v>
      </c>
      <c r="J156" s="242" t="n"/>
      <c r="K156" s="272" t="n"/>
      <c r="L156" s="272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79" t="n"/>
      <c r="B157" s="267" t="inlineStr">
        <is>
          <t>AZOPARDO 8505</t>
        </is>
      </c>
      <c r="C157" s="268" t="n">
        <v>1</v>
      </c>
      <c r="D157" s="268" t="n"/>
      <c r="E157" s="268" t="n"/>
      <c r="F157" s="269" t="n"/>
      <c r="G157" s="269" t="n"/>
      <c r="H157" s="231" t="n">
        <v>22000</v>
      </c>
      <c r="I157" s="232" t="n"/>
      <c r="J157" s="232" t="n">
        <v>22000</v>
      </c>
      <c r="K157" s="272" t="n"/>
      <c r="L157" s="272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73" t="n"/>
      <c r="B158" s="274" t="inlineStr">
        <is>
          <t>PARRI GABOTO</t>
        </is>
      </c>
      <c r="C158" s="275" t="n">
        <v>1</v>
      </c>
      <c r="D158" s="275" t="n"/>
      <c r="E158" s="275" t="n"/>
      <c r="F158" s="276" t="n"/>
      <c r="G158" s="276" t="n"/>
      <c r="H158" s="241" t="n">
        <v>18500</v>
      </c>
      <c r="I158" s="242" t="n"/>
      <c r="J158" s="242" t="n">
        <v>18500</v>
      </c>
      <c r="K158" s="272" t="n"/>
      <c r="L158" s="272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79" t="n"/>
      <c r="B159" s="267" t="inlineStr">
        <is>
          <t>PANA GENESIO</t>
        </is>
      </c>
      <c r="C159" s="268" t="n">
        <v>1</v>
      </c>
      <c r="D159" s="268" t="n"/>
      <c r="E159" s="268" t="n"/>
      <c r="F159" s="269" t="n"/>
      <c r="G159" s="269" t="n"/>
      <c r="H159" s="231" t="n">
        <v>19000</v>
      </c>
      <c r="I159" s="232" t="n"/>
      <c r="J159" s="232" t="n">
        <v>19000</v>
      </c>
      <c r="K159" s="272" t="n"/>
      <c r="L159" s="272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73" t="n"/>
      <c r="B160" s="274" t="inlineStr">
        <is>
          <t>FILOMENA</t>
        </is>
      </c>
      <c r="C160" s="275" t="n">
        <v>1</v>
      </c>
      <c r="D160" s="275" t="n"/>
      <c r="E160" s="275" t="n"/>
      <c r="F160" s="276" t="n"/>
      <c r="G160" s="276" t="n"/>
      <c r="H160" s="241" t="n">
        <v>18000</v>
      </c>
      <c r="I160" s="242" t="n"/>
      <c r="J160" s="242" t="n">
        <v>18000</v>
      </c>
      <c r="K160" s="272" t="n"/>
      <c r="L160" s="272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79" t="n"/>
      <c r="B161" s="267" t="inlineStr">
        <is>
          <t>EXE</t>
        </is>
      </c>
      <c r="C161" s="268" t="n"/>
      <c r="D161" s="268" t="n"/>
      <c r="E161" s="268" t="n">
        <v>1</v>
      </c>
      <c r="F161" s="269" t="n"/>
      <c r="G161" s="269" t="n"/>
      <c r="H161" s="231" t="n">
        <v>69000</v>
      </c>
      <c r="I161" s="232" t="n"/>
      <c r="J161" s="232" t="n">
        <v>69000</v>
      </c>
      <c r="K161" s="272" t="n"/>
      <c r="L161" s="272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73" t="n"/>
      <c r="B162" s="274" t="inlineStr">
        <is>
          <t>SAN JOSE 7369</t>
        </is>
      </c>
      <c r="C162" s="275" t="n">
        <v>1</v>
      </c>
      <c r="D162" s="275" t="n"/>
      <c r="E162" s="275" t="n"/>
      <c r="F162" s="276" t="n"/>
      <c r="G162" s="276" t="n"/>
      <c r="H162" s="241" t="n">
        <v>22000</v>
      </c>
      <c r="I162" s="242" t="n">
        <v>22000</v>
      </c>
      <c r="J162" s="242" t="n"/>
      <c r="K162" s="272" t="n"/>
      <c r="L162" s="272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79" t="n">
        <v>46069</v>
      </c>
      <c r="B163" s="267" t="inlineStr">
        <is>
          <t>DOMINGO SIVLA 4217</t>
        </is>
      </c>
      <c r="C163" s="268" t="n">
        <v>4</v>
      </c>
      <c r="D163" s="268" t="n">
        <v>1</v>
      </c>
      <c r="E163" s="268" t="n"/>
      <c r="F163" s="269" t="n"/>
      <c r="G163" s="269" t="n"/>
      <c r="H163" s="231" t="n">
        <v>80500</v>
      </c>
      <c r="I163" s="232" t="n">
        <v>80500</v>
      </c>
      <c r="J163" s="232" t="n"/>
      <c r="K163" s="272" t="n"/>
      <c r="L163" s="272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73" t="n"/>
      <c r="B164" s="274" t="inlineStr">
        <is>
          <t xml:space="preserve">PANA BONEO </t>
        </is>
      </c>
      <c r="C164" s="275" t="n">
        <v>1</v>
      </c>
      <c r="D164" s="275" t="n"/>
      <c r="E164" s="275" t="n">
        <v>1</v>
      </c>
      <c r="F164" s="276" t="n"/>
      <c r="G164" s="276" t="n"/>
      <c r="H164" s="241" t="n">
        <v>82500</v>
      </c>
      <c r="I164" s="242" t="n">
        <v>82500</v>
      </c>
      <c r="J164" s="242" t="n"/>
      <c r="K164" s="272" t="n"/>
      <c r="L164" s="272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79" t="n"/>
      <c r="B165" s="267" t="inlineStr">
        <is>
          <t>BEATRIZ</t>
        </is>
      </c>
      <c r="C165" s="268" t="n">
        <v>1</v>
      </c>
      <c r="D165" s="268" t="n"/>
      <c r="E165" s="268" t="n"/>
      <c r="F165" s="269" t="n"/>
      <c r="G165" s="269" t="n"/>
      <c r="H165" s="231" t="n">
        <v>5000</v>
      </c>
      <c r="I165" s="232" t="n">
        <v>5000</v>
      </c>
      <c r="J165" s="232" t="n"/>
      <c r="K165" s="272" t="n"/>
      <c r="L165" s="272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73" t="n"/>
      <c r="B166" s="274" t="inlineStr">
        <is>
          <t>LUCHO</t>
        </is>
      </c>
      <c r="C166" s="275" t="n">
        <v>1</v>
      </c>
      <c r="D166" s="275" t="n"/>
      <c r="E166" s="275" t="n"/>
      <c r="F166" s="276" t="n"/>
      <c r="G166" s="276" t="n">
        <v>1</v>
      </c>
      <c r="H166" s="241" t="n">
        <v>19500</v>
      </c>
      <c r="I166" s="242" t="n">
        <v>19500</v>
      </c>
      <c r="J166" s="242" t="n"/>
      <c r="K166" s="272" t="n"/>
      <c r="L166" s="272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79" t="n"/>
      <c r="B167" s="267" t="inlineStr">
        <is>
          <t>JUAN AZUAGA</t>
        </is>
      </c>
      <c r="C167" s="268" t="n">
        <v>1</v>
      </c>
      <c r="D167" s="268" t="n"/>
      <c r="E167" s="268" t="n"/>
      <c r="F167" s="269" t="n"/>
      <c r="G167" s="269" t="n"/>
      <c r="H167" s="231" t="n">
        <v>17000</v>
      </c>
      <c r="I167" s="232" t="n">
        <v>17000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73" t="n"/>
      <c r="B168" s="274" t="inlineStr">
        <is>
          <t>SABOREAR</t>
        </is>
      </c>
      <c r="C168" s="275" t="n">
        <v>1</v>
      </c>
      <c r="D168" s="275" t="n"/>
      <c r="E168" s="275" t="n"/>
      <c r="F168" s="276" t="n"/>
      <c r="G168" s="276" t="n"/>
      <c r="H168" s="241" t="n">
        <v>19000</v>
      </c>
      <c r="I168" s="242" t="n">
        <v>19000</v>
      </c>
      <c r="J168" s="242" t="n"/>
      <c r="K168" s="272" t="n"/>
      <c r="L168" s="272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79" t="n">
        <v>46070</v>
      </c>
      <c r="B169" s="267" t="inlineStr">
        <is>
          <t>OTNIEL</t>
        </is>
      </c>
      <c r="C169" s="268" t="n"/>
      <c r="D169" s="268" t="n"/>
      <c r="E169" s="268" t="n"/>
      <c r="F169" s="269" t="n"/>
      <c r="G169" s="269" t="n">
        <v>2</v>
      </c>
      <c r="H169" s="231" t="n">
        <v>10000</v>
      </c>
      <c r="I169" s="232" t="n"/>
      <c r="J169" s="232" t="n">
        <v>10000</v>
      </c>
      <c r="K169" s="272" t="n"/>
      <c r="L169" s="272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73" t="n"/>
      <c r="B170" s="274" t="inlineStr">
        <is>
          <t>20 DE JUNIO Y 9 DE JULIO</t>
        </is>
      </c>
      <c r="C170" s="275" t="n"/>
      <c r="D170" s="275" t="n"/>
      <c r="E170" s="275" t="n">
        <v>2</v>
      </c>
      <c r="F170" s="276" t="n"/>
      <c r="G170" s="276" t="n"/>
      <c r="H170" s="241" t="n">
        <v>156000</v>
      </c>
      <c r="I170" s="242" t="n"/>
      <c r="J170" s="242" t="n">
        <v>156000</v>
      </c>
      <c r="K170" s="272" t="n"/>
      <c r="L170" s="272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79" t="n"/>
      <c r="B171" s="267" t="inlineStr">
        <is>
          <t>IL GATO PEPE</t>
        </is>
      </c>
      <c r="C171" s="268" t="n"/>
      <c r="D171" s="268" t="n"/>
      <c r="E171" s="268" t="n">
        <v>1</v>
      </c>
      <c r="F171" s="269" t="n"/>
      <c r="G171" s="269" t="n"/>
      <c r="H171" s="231" t="n">
        <v>78000</v>
      </c>
      <c r="I171" s="232" t="n"/>
      <c r="J171" s="232" t="n">
        <v>78000</v>
      </c>
      <c r="K171" s="272" t="n"/>
      <c r="L171" s="272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73" t="n"/>
      <c r="B172" s="274" t="inlineStr">
        <is>
          <t>ACASIAS 9788</t>
        </is>
      </c>
      <c r="C172" s="275" t="n"/>
      <c r="D172" s="275" t="n"/>
      <c r="E172" s="275" t="n">
        <v>1</v>
      </c>
      <c r="F172" s="276" t="n"/>
      <c r="G172" s="276" t="n"/>
      <c r="H172" s="241" t="n">
        <v>76000</v>
      </c>
      <c r="I172" s="242" t="n"/>
      <c r="J172" s="242" t="n">
        <v>76000</v>
      </c>
      <c r="K172" s="272" t="n"/>
      <c r="L172" s="272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79" t="n"/>
      <c r="B173" s="267" t="inlineStr">
        <is>
          <t>LA MADRID 2059</t>
        </is>
      </c>
      <c r="C173" s="268" t="n">
        <v>1</v>
      </c>
      <c r="D173" s="268" t="n"/>
      <c r="E173" s="268" t="n"/>
      <c r="F173" s="269" t="n"/>
      <c r="G173" s="269" t="n"/>
      <c r="H173" s="231" t="n">
        <v>22000</v>
      </c>
      <c r="I173" s="232" t="n">
        <v>22000</v>
      </c>
      <c r="J173" s="232" t="n"/>
      <c r="K173" s="272" t="n"/>
      <c r="L173" s="272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73" t="n"/>
      <c r="B174" s="274" t="inlineStr">
        <is>
          <t>BONEO 4646</t>
        </is>
      </c>
      <c r="C174" s="275" t="n">
        <v>1</v>
      </c>
      <c r="D174" s="275" t="n"/>
      <c r="E174" s="275" t="n"/>
      <c r="F174" s="276" t="n"/>
      <c r="G174" s="276" t="n"/>
      <c r="H174" s="241" t="n">
        <v>19000</v>
      </c>
      <c r="I174" s="242" t="n">
        <v>19000</v>
      </c>
      <c r="J174" s="242" t="n"/>
      <c r="K174" s="272" t="n"/>
      <c r="L174" s="272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79" t="n"/>
      <c r="B175" s="267" t="inlineStr">
        <is>
          <t>PICHI</t>
        </is>
      </c>
      <c r="C175" s="268" t="n">
        <v>1</v>
      </c>
      <c r="D175" s="268" t="n"/>
      <c r="E175" s="268" t="n"/>
      <c r="F175" s="269" t="n"/>
      <c r="G175" s="269" t="n"/>
      <c r="H175" s="231" t="n">
        <v>18000</v>
      </c>
      <c r="I175" s="232" t="n">
        <v>18000</v>
      </c>
      <c r="J175" s="232" t="n"/>
      <c r="K175" s="272" t="n"/>
      <c r="L175" s="272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73" t="n"/>
      <c r="B176" s="274" t="inlineStr">
        <is>
          <t>ALBERTI 5477</t>
        </is>
      </c>
      <c r="C176" s="275" t="n"/>
      <c r="D176" s="275" t="n"/>
      <c r="E176" s="275" t="n">
        <v>1</v>
      </c>
      <c r="F176" s="276" t="n"/>
      <c r="G176" s="276" t="n"/>
      <c r="H176" s="241" t="n">
        <v>72000</v>
      </c>
      <c r="I176" s="242" t="n"/>
      <c r="J176" s="242" t="n">
        <v>72000</v>
      </c>
      <c r="K176" s="272" t="n"/>
      <c r="L176" s="272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79" t="n"/>
      <c r="B177" s="267" t="inlineStr">
        <is>
          <t>COGORNO 5520</t>
        </is>
      </c>
      <c r="C177" s="268" t="n">
        <v>4</v>
      </c>
      <c r="D177" s="268" t="n"/>
      <c r="E177" s="268" t="n"/>
      <c r="F177" s="269" t="n"/>
      <c r="G177" s="269" t="n"/>
      <c r="H177" s="231" t="n">
        <v>58000</v>
      </c>
      <c r="I177" s="232" t="n">
        <v>58000</v>
      </c>
      <c r="J177" s="232" t="n"/>
      <c r="K177" s="272" t="n"/>
      <c r="L177" s="272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73" t="n"/>
      <c r="B178" s="274" t="inlineStr">
        <is>
          <t>BERUTI 6400 CASA 88</t>
        </is>
      </c>
      <c r="C178" s="275" t="n"/>
      <c r="D178" s="275" t="n"/>
      <c r="E178" s="275" t="n">
        <v>1</v>
      </c>
      <c r="F178" s="276" t="n"/>
      <c r="G178" s="276" t="n"/>
      <c r="H178" s="241" t="n">
        <v>76000</v>
      </c>
      <c r="I178" s="242" t="n">
        <v>76000</v>
      </c>
      <c r="J178" s="242" t="n"/>
      <c r="K178" s="272" t="n"/>
      <c r="L178" s="272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79" t="n"/>
      <c r="B179" s="267" t="inlineStr">
        <is>
          <t>25 DE MAYO 3771</t>
        </is>
      </c>
      <c r="C179" s="268" t="n">
        <v>1</v>
      </c>
      <c r="D179" s="268" t="n"/>
      <c r="E179" s="268" t="n"/>
      <c r="F179" s="269" t="n"/>
      <c r="G179" s="269" t="n"/>
      <c r="H179" s="231" t="n">
        <v>19500</v>
      </c>
      <c r="I179" s="232" t="n">
        <v>19500</v>
      </c>
      <c r="J179" s="232" t="n"/>
      <c r="K179" s="272" t="n"/>
      <c r="L179" s="272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73" t="n"/>
      <c r="B180" s="274" t="inlineStr">
        <is>
          <t xml:space="preserve">GISE PANA </t>
        </is>
      </c>
      <c r="C180" s="275" t="n">
        <v>1</v>
      </c>
      <c r="D180" s="275" t="n"/>
      <c r="E180" s="275" t="n"/>
      <c r="F180" s="276" t="n">
        <v>1</v>
      </c>
      <c r="G180" s="276" t="n"/>
      <c r="H180" s="241" t="n">
        <v>21300</v>
      </c>
      <c r="I180" s="242" t="n"/>
      <c r="J180" s="242" t="n">
        <v>21300</v>
      </c>
      <c r="K180" s="272" t="n"/>
      <c r="L180" s="272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79" t="n"/>
      <c r="B181" s="267" t="inlineStr">
        <is>
          <t>FILOMENA</t>
        </is>
      </c>
      <c r="C181" s="268" t="n">
        <v>2</v>
      </c>
      <c r="D181" s="268" t="n"/>
      <c r="E181" s="268" t="n"/>
      <c r="F181" s="269" t="n"/>
      <c r="G181" s="269" t="n"/>
      <c r="H181" s="231" t="n">
        <v>36000</v>
      </c>
      <c r="I181" s="232" t="n"/>
      <c r="J181" s="232" t="n">
        <v>36000</v>
      </c>
      <c r="K181" s="272" t="n"/>
      <c r="L181" s="272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73" t="n"/>
      <c r="B182" s="274" t="inlineStr">
        <is>
          <t>DANI PAPA BRUNO</t>
        </is>
      </c>
      <c r="C182" s="275" t="n"/>
      <c r="D182" s="275" t="n">
        <v>1</v>
      </c>
      <c r="E182" s="275" t="n"/>
      <c r="F182" s="276" t="n"/>
      <c r="G182" s="276" t="n"/>
      <c r="H182" s="241" t="n">
        <v>28500</v>
      </c>
      <c r="I182" s="242" t="n"/>
      <c r="J182" s="242" t="n">
        <v>28500</v>
      </c>
      <c r="K182" s="272" t="n"/>
      <c r="L182" s="272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79" t="n">
        <v>46071</v>
      </c>
      <c r="B183" s="267" t="inlineStr">
        <is>
          <t>PANA ALBERTI</t>
        </is>
      </c>
      <c r="C183" s="268" t="n"/>
      <c r="D183" s="268" t="n">
        <v>1</v>
      </c>
      <c r="E183" s="268" t="n"/>
      <c r="F183" s="269" t="n"/>
      <c r="G183" s="269" t="n"/>
      <c r="H183" s="231" t="n">
        <v>28500</v>
      </c>
      <c r="I183" s="232" t="n">
        <v>28500</v>
      </c>
      <c r="J183" s="232" t="n"/>
      <c r="K183" s="272" t="n"/>
      <c r="L183" s="272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73" t="n"/>
      <c r="B184" s="274" t="inlineStr">
        <is>
          <t>ARISTOBULO 4471</t>
        </is>
      </c>
      <c r="C184" s="275" t="n"/>
      <c r="D184" s="275" t="n"/>
      <c r="E184" s="275" t="n">
        <v>1</v>
      </c>
      <c r="F184" s="276" t="n"/>
      <c r="G184" s="276" t="n"/>
      <c r="H184" s="241" t="n">
        <v>75000</v>
      </c>
      <c r="I184" s="242" t="n">
        <v>75000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79" t="n"/>
      <c r="B185" s="267" t="inlineStr">
        <is>
          <t>MONTIEL 9165</t>
        </is>
      </c>
      <c r="C185" s="268" t="n"/>
      <c r="D185" s="268" t="n"/>
      <c r="E185" s="268" t="n">
        <v>1</v>
      </c>
      <c r="F185" s="269" t="n"/>
      <c r="G185" s="269" t="n"/>
      <c r="H185" s="231" t="n">
        <v>72000</v>
      </c>
      <c r="I185" s="232" t="n"/>
      <c r="J185" s="232" t="n">
        <v>72000</v>
      </c>
      <c r="K185" s="272" t="n"/>
      <c r="L185" s="272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73" t="n"/>
      <c r="B186" s="274" t="inlineStr">
        <is>
          <t>PAULO</t>
        </is>
      </c>
      <c r="C186" s="275" t="n">
        <v>2</v>
      </c>
      <c r="D186" s="275" t="n"/>
      <c r="E186" s="275" t="n"/>
      <c r="F186" s="276" t="n"/>
      <c r="G186" s="276" t="n"/>
      <c r="H186" s="241" t="n">
        <v>29000</v>
      </c>
      <c r="I186" s="242" t="n">
        <v>29000</v>
      </c>
      <c r="J186" s="242" t="n"/>
      <c r="K186" s="272" t="n"/>
      <c r="L186" s="272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79" t="n"/>
      <c r="B187" s="267" t="inlineStr">
        <is>
          <t>SANDRA</t>
        </is>
      </c>
      <c r="C187" s="268" t="n">
        <v>1</v>
      </c>
      <c r="D187" s="268" t="n"/>
      <c r="E187" s="268" t="n"/>
      <c r="F187" s="269" t="n"/>
      <c r="G187" s="269" t="n"/>
      <c r="H187" s="231" t="n">
        <v>14500</v>
      </c>
      <c r="I187" s="232" t="n">
        <v>14500</v>
      </c>
      <c r="J187" s="232" t="n"/>
      <c r="K187" s="272" t="n"/>
      <c r="L187" s="272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73" t="n"/>
      <c r="B188" s="274" t="inlineStr">
        <is>
          <t>PUBLICO 5712</t>
        </is>
      </c>
      <c r="C188" s="275" t="n"/>
      <c r="D188" s="275" t="n">
        <v>1</v>
      </c>
      <c r="E188" s="275" t="n"/>
      <c r="F188" s="276" t="n"/>
      <c r="G188" s="276" t="n"/>
      <c r="H188" s="241" t="n">
        <v>33500</v>
      </c>
      <c r="I188" s="242" t="n">
        <v>33500</v>
      </c>
      <c r="J188" s="242" t="n"/>
      <c r="K188" s="272" t="n"/>
      <c r="L188" s="272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RIVADAVIA 6746</t>
        </is>
      </c>
      <c r="C189" s="268" t="n">
        <v>1</v>
      </c>
      <c r="D189" s="268" t="n"/>
      <c r="E189" s="268" t="n"/>
      <c r="F189" s="269" t="n"/>
      <c r="G189" s="269" t="n"/>
      <c r="H189" s="231" t="n">
        <v>22000</v>
      </c>
      <c r="I189" s="232" t="n">
        <v>22000</v>
      </c>
      <c r="J189" s="232" t="n"/>
      <c r="K189" s="272" t="n"/>
      <c r="L189" s="272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73" t="n"/>
      <c r="B190" s="274" t="inlineStr">
        <is>
          <t>AZOPARDO 7263</t>
        </is>
      </c>
      <c r="C190" s="275" t="n">
        <v>1</v>
      </c>
      <c r="D190" s="275" t="n"/>
      <c r="E190" s="275" t="n"/>
      <c r="F190" s="276" t="n"/>
      <c r="G190" s="276" t="n"/>
      <c r="H190" s="241" t="n">
        <v>22000</v>
      </c>
      <c r="I190" s="242" t="n"/>
      <c r="J190" s="242" t="n">
        <v>22000</v>
      </c>
      <c r="K190" s="272" t="n"/>
      <c r="L190" s="272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79" t="n"/>
      <c r="B191" s="267" t="inlineStr">
        <is>
          <t>PAMPA 5745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73" t="n"/>
      <c r="B192" s="274" t="inlineStr">
        <is>
          <t>SAN JOSE 5160</t>
        </is>
      </c>
      <c r="C192" s="275" t="n">
        <v>1</v>
      </c>
      <c r="D192" s="275" t="n"/>
      <c r="E192" s="275" t="n"/>
      <c r="F192" s="276" t="n"/>
      <c r="G192" s="276" t="n"/>
      <c r="H192" s="241" t="n">
        <v>22000</v>
      </c>
      <c r="I192" s="242" t="n"/>
      <c r="J192" s="242" t="n">
        <v>22000</v>
      </c>
      <c r="K192" s="272" t="n"/>
      <c r="L192" s="272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79" t="n"/>
      <c r="B193" s="267" t="inlineStr">
        <is>
          <t xml:space="preserve">FRATERNIDAD </t>
        </is>
      </c>
      <c r="C193" s="268" t="n">
        <v>1</v>
      </c>
      <c r="D193" s="268" t="n"/>
      <c r="E193" s="268" t="n"/>
      <c r="F193" s="269" t="n"/>
      <c r="G193" s="269" t="n"/>
      <c r="H193" s="231" t="n">
        <v>21000</v>
      </c>
      <c r="I193" s="232" t="n">
        <v>21000</v>
      </c>
      <c r="J193" s="232" t="n"/>
      <c r="K193" s="272" t="n"/>
      <c r="L193" s="272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73" t="n"/>
      <c r="B194" s="274" t="inlineStr">
        <is>
          <t>NACHO</t>
        </is>
      </c>
      <c r="C194" s="275" t="n">
        <v>1</v>
      </c>
      <c r="D194" s="275" t="n"/>
      <c r="E194" s="275" t="n"/>
      <c r="F194" s="276" t="n"/>
      <c r="G194" s="276" t="n"/>
      <c r="H194" s="241" t="n">
        <v>18000</v>
      </c>
      <c r="I194" s="242" t="n">
        <v>18000</v>
      </c>
      <c r="J194" s="242" t="n"/>
      <c r="K194" s="272" t="n"/>
      <c r="L194" s="272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79" t="n"/>
      <c r="B195" s="267" t="inlineStr">
        <is>
          <t>AZCUENAGA 5023</t>
        </is>
      </c>
      <c r="C195" s="268" t="n">
        <v>6</v>
      </c>
      <c r="D195" s="268" t="n"/>
      <c r="E195" s="268" t="n"/>
      <c r="F195" s="269" t="n"/>
      <c r="G195" s="269" t="n"/>
      <c r="H195" s="231" t="n">
        <v>87000</v>
      </c>
      <c r="I195" s="232" t="n"/>
      <c r="J195" s="232" t="n">
        <v>87000</v>
      </c>
      <c r="K195" s="272" t="n"/>
      <c r="L195" s="272">
        <f>IF(K195&lt;&gt;"",24000+K195,24000)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ECUADOR 3626</t>
        </is>
      </c>
      <c r="C196" s="275" t="n">
        <v>1</v>
      </c>
      <c r="D196" s="275" t="n"/>
      <c r="E196" s="275" t="n"/>
      <c r="F196" s="276" t="n"/>
      <c r="G196" s="276" t="n"/>
      <c r="H196" s="241" t="n">
        <v>22000</v>
      </c>
      <c r="I196" s="242" t="n"/>
      <c r="J196" s="242" t="n">
        <v>22000</v>
      </c>
      <c r="K196" s="272" t="n"/>
      <c r="L196" s="272">
        <f>IF(K196&lt;&gt;"",11500+K196,11500)</f>
        <v/>
      </c>
      <c r="M196" s="156" t="n"/>
      <c r="N196" s="156" t="n"/>
      <c r="O196" s="156" t="n"/>
    </row>
    <row r="197" ht="18.75" customHeight="1" s="153">
      <c r="A197" s="279" t="n">
        <v>46041</v>
      </c>
      <c r="B197" s="267" t="inlineStr">
        <is>
          <t xml:space="preserve">PEDRO ZENTENO </t>
        </is>
      </c>
      <c r="C197" s="268" t="n">
        <v>1</v>
      </c>
      <c r="D197" s="268" t="n"/>
      <c r="E197" s="268" t="n"/>
      <c r="F197" s="269" t="n"/>
      <c r="G197" s="269" t="n"/>
      <c r="H197" s="231" t="n">
        <v>22000</v>
      </c>
      <c r="I197" s="232" t="n">
        <v>22000</v>
      </c>
      <c r="J197" s="232" t="n"/>
      <c r="K197" s="272" t="n"/>
      <c r="L197" s="272">
        <f>IF(K197&lt;&gt;"",11500+K197,11500)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NACHO</t>
        </is>
      </c>
      <c r="C198" s="275" t="n">
        <v>1</v>
      </c>
      <c r="D198" s="275" t="n"/>
      <c r="E198" s="275" t="n"/>
      <c r="F198" s="276" t="n"/>
      <c r="G198" s="276" t="n"/>
      <c r="H198" s="241" t="n">
        <v>19000</v>
      </c>
      <c r="I198" s="242" t="n">
        <v>19000</v>
      </c>
      <c r="J198" s="242" t="n"/>
      <c r="K198" s="272" t="n"/>
      <c r="L198" s="272">
        <f>IF(K198&lt;&gt;"",8500+K198,8500)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1 DE MAYO 8361</t>
        </is>
      </c>
      <c r="C199" s="268" t="n">
        <v>1</v>
      </c>
      <c r="D199" s="268" t="n"/>
      <c r="E199" s="268" t="n"/>
      <c r="F199" s="269" t="n"/>
      <c r="G199" s="269" t="n"/>
      <c r="H199" s="231" t="n">
        <v>22000</v>
      </c>
      <c r="I199" s="232" t="n">
        <v>22000</v>
      </c>
      <c r="J199" s="232" t="n"/>
      <c r="K199" s="272" t="n"/>
      <c r="L199" s="272">
        <f>IF(K199&lt;&gt;"",11500+K199,11500)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PANA GENESIO</t>
        </is>
      </c>
      <c r="C200" s="275" t="n"/>
      <c r="D200" s="275" t="n"/>
      <c r="E200" s="275" t="n">
        <v>1</v>
      </c>
      <c r="F200" s="276" t="n"/>
      <c r="G200" s="276" t="n"/>
      <c r="H200" s="241" t="n">
        <v>69000</v>
      </c>
      <c r="I200" s="242" t="n">
        <v>69000</v>
      </c>
      <c r="J200" s="242" t="n"/>
      <c r="K200" s="272" t="n"/>
      <c r="L200" s="272">
        <f>IF(K200&lt;&gt;"",22000+K200,22000)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NOGALES 2426</t>
        </is>
      </c>
      <c r="C201" s="268" t="n">
        <v>1</v>
      </c>
      <c r="D201" s="268" t="n"/>
      <c r="E201" s="268" t="n"/>
      <c r="F201" s="269" t="n"/>
      <c r="G201" s="269" t="n"/>
      <c r="H201" s="231" t="n">
        <v>22000</v>
      </c>
      <c r="I201" s="232" t="n">
        <v>22000</v>
      </c>
      <c r="J201" s="232" t="n"/>
      <c r="K201" s="272" t="n"/>
      <c r="L201" s="272">
        <f>IF(K201&lt;&gt;"",11500+K201,11500)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ALSINA 7980</t>
        </is>
      </c>
      <c r="C202" s="275" t="n">
        <v>1</v>
      </c>
      <c r="D202" s="275" t="n"/>
      <c r="E202" s="275" t="n"/>
      <c r="F202" s="276" t="n"/>
      <c r="G202" s="276" t="n"/>
      <c r="H202" s="241" t="n">
        <v>22000</v>
      </c>
      <c r="I202" s="242" t="n">
        <v>22000</v>
      </c>
      <c r="J202" s="242" t="n"/>
      <c r="K202" s="272" t="n"/>
      <c r="L202" s="272">
        <f>IF(K202&lt;&gt;"",11500+K202,11500)</f>
        <v/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ALBERTI 5177</t>
        </is>
      </c>
      <c r="C203" s="268" t="n"/>
      <c r="D203" s="268" t="n">
        <v>1</v>
      </c>
      <c r="E203" s="268" t="n"/>
      <c r="F203" s="269" t="n"/>
      <c r="G203" s="269" t="n"/>
      <c r="H203" s="231" t="n">
        <v>31000</v>
      </c>
      <c r="I203" s="232" t="n"/>
      <c r="J203" s="232" t="n">
        <v>31000</v>
      </c>
      <c r="K203" s="272" t="n"/>
      <c r="L203" s="272">
        <f>IF(K203&lt;&gt;"",15250+K203,15250)</f>
        <v/>
      </c>
      <c r="M203" s="156" t="n"/>
      <c r="N203" s="156" t="n"/>
      <c r="O203" s="156" t="n"/>
    </row>
    <row r="204" ht="18.75" customHeight="1" s="153">
      <c r="A204" s="273" t="n">
        <v>46073</v>
      </c>
      <c r="B204" s="274" t="inlineStr">
        <is>
          <t>MAXI HNO OTNIEL</t>
        </is>
      </c>
      <c r="C204" s="275" t="n"/>
      <c r="D204" s="275" t="n"/>
      <c r="E204" s="275" t="n"/>
      <c r="F204" s="276" t="n"/>
      <c r="G204" s="276" t="n">
        <v>1</v>
      </c>
      <c r="H204" s="241" t="n">
        <v>5500</v>
      </c>
      <c r="I204" s="242" t="n"/>
      <c r="J204" s="242" t="n">
        <v>5500</v>
      </c>
      <c r="K204" s="272" t="n"/>
      <c r="L204" s="272">
        <f>IF(K204&lt;&gt;"",4700+K204,4700)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 xml:space="preserve">GOLD BURGUER </t>
        </is>
      </c>
      <c r="C205" s="268" t="n"/>
      <c r="D205" s="268" t="n"/>
      <c r="E205" s="268" t="n">
        <v>2</v>
      </c>
      <c r="F205" s="269" t="n"/>
      <c r="G205" s="269" t="n"/>
      <c r="H205" s="231" t="n">
        <v>164000</v>
      </c>
      <c r="I205" s="232" t="n">
        <v>164000</v>
      </c>
      <c r="J205" s="232" t="n"/>
      <c r="K205" s="272" t="n"/>
      <c r="L205" s="272">
        <f>IF(K205&lt;&gt;"",70000+K205,70000)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PEDRO CEBALLOS 8134</t>
        </is>
      </c>
      <c r="C206" s="275" t="n">
        <v>2</v>
      </c>
      <c r="D206" s="275" t="n"/>
      <c r="E206" s="275" t="n"/>
      <c r="F206" s="276" t="n"/>
      <c r="G206" s="276" t="n"/>
      <c r="H206" s="241" t="n">
        <v>29000</v>
      </c>
      <c r="I206" s="242" t="n">
        <v>29000</v>
      </c>
      <c r="J206" s="242" t="n"/>
      <c r="K206" s="272" t="n"/>
      <c r="L206" s="272">
        <f>IF(K206&lt;&gt;"",8000+K206,8000)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PEDRO DE VERGA 1428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/>
      <c r="J207" s="232" t="n">
        <v>22000</v>
      </c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FILOMENA</t>
        </is>
      </c>
      <c r="C208" s="275" t="n">
        <v>1</v>
      </c>
      <c r="D208" s="275" t="n"/>
      <c r="E208" s="275" t="n"/>
      <c r="F208" s="276" t="n"/>
      <c r="G208" s="276" t="n"/>
      <c r="H208" s="241" t="n">
        <v>19000</v>
      </c>
      <c r="I208" s="242" t="n"/>
      <c r="J208" s="242" t="n">
        <v>19000</v>
      </c>
      <c r="K208" s="272" t="n"/>
      <c r="L208" s="272">
        <f>IF(K208&lt;&gt;"",8500+K208,8500)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SANDRA</t>
        </is>
      </c>
      <c r="C209" s="268" t="n"/>
      <c r="D209" s="268" t="n">
        <v>1</v>
      </c>
      <c r="E209" s="268" t="n"/>
      <c r="F209" s="269" t="n"/>
      <c r="G209" s="269" t="n"/>
      <c r="H209" s="231" t="n">
        <v>23500</v>
      </c>
      <c r="I209" s="232" t="n">
        <v>23500</v>
      </c>
      <c r="J209" s="232" t="n"/>
      <c r="K209" s="272" t="n"/>
      <c r="L209" s="272">
        <f>IF(K209&lt;&gt;"",7750+K209,7750)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1 DE MAYO 1605</t>
        </is>
      </c>
      <c r="C210" s="275" t="n"/>
      <c r="D210" s="275" t="n">
        <v>1</v>
      </c>
      <c r="E210" s="275" t="n"/>
      <c r="F210" s="276" t="n"/>
      <c r="G210" s="276" t="n"/>
      <c r="H210" s="241" t="n">
        <v>33000</v>
      </c>
      <c r="I210" s="242" t="n"/>
      <c r="J210" s="242" t="n">
        <v>33000</v>
      </c>
      <c r="K210" s="272" t="n"/>
      <c r="L210" s="272">
        <f>IF(K210&lt;&gt;"",17250+K210,17250)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NACHO</t>
        </is>
      </c>
      <c r="C211" s="268" t="n">
        <v>1</v>
      </c>
      <c r="D211" s="268" t="n"/>
      <c r="E211" s="268" t="n"/>
      <c r="F211" s="269" t="n"/>
      <c r="G211" s="269" t="n"/>
      <c r="H211" s="231" t="n">
        <v>19000</v>
      </c>
      <c r="I211" s="232" t="n"/>
      <c r="J211" s="232" t="n">
        <v>19000</v>
      </c>
      <c r="K211" s="272" t="n"/>
      <c r="L211" s="272">
        <f>IF(K211&lt;&gt;"",8500+K211,8500)</f>
        <v/>
      </c>
      <c r="M211" s="156" t="n"/>
      <c r="N211" s="156" t="n"/>
      <c r="O211" s="156" t="n"/>
    </row>
    <row r="212" ht="18.75" customHeight="1" s="153">
      <c r="A212" s="273" t="n"/>
      <c r="B212" s="274" t="inlineStr">
        <is>
          <t>SABOREAR</t>
        </is>
      </c>
      <c r="C212" s="275" t="n">
        <v>1</v>
      </c>
      <c r="D212" s="275" t="n"/>
      <c r="E212" s="275" t="n"/>
      <c r="F212" s="276" t="n"/>
      <c r="G212" s="276" t="n"/>
      <c r="H212" s="241" t="n">
        <v>19500</v>
      </c>
      <c r="I212" s="242" t="n"/>
      <c r="J212" s="242" t="n">
        <v>19500</v>
      </c>
      <c r="K212" s="272" t="n"/>
      <c r="L212" s="272">
        <f>IF(K212&lt;&gt;"",9000+K212,9000)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EXE</t>
        </is>
      </c>
      <c r="C213" s="268" t="n"/>
      <c r="D213" s="268" t="n"/>
      <c r="E213" s="268" t="n">
        <v>1</v>
      </c>
      <c r="F213" s="269" t="n"/>
      <c r="G213" s="269" t="n"/>
      <c r="H213" s="231" t="n">
        <v>72000</v>
      </c>
      <c r="I213" s="232" t="n"/>
      <c r="J213" s="232" t="n">
        <v>72000</v>
      </c>
      <c r="K213" s="272" t="n"/>
      <c r="L213" s="272">
        <f>IF(K213&lt;&gt;"",25000+K213,25000)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PANA ALBERTI</t>
        </is>
      </c>
      <c r="C214" s="275" t="n">
        <v>1</v>
      </c>
      <c r="D214" s="275" t="n"/>
      <c r="E214" s="275" t="n"/>
      <c r="F214" s="276" t="n"/>
      <c r="G214" s="276" t="n"/>
      <c r="H214" s="241" t="n">
        <v>20000</v>
      </c>
      <c r="I214" s="242" t="n">
        <v>20000</v>
      </c>
      <c r="J214" s="242" t="n"/>
      <c r="K214" s="272" t="n"/>
      <c r="L214" s="272">
        <f>IF(K214&lt;&gt;"",9500+K214,9500)</f>
        <v/>
      </c>
      <c r="M214" s="156" t="n"/>
      <c r="N214" s="156" t="n"/>
      <c r="O214" s="156" t="n"/>
    </row>
    <row r="215" ht="18.75" customHeight="1" s="153">
      <c r="A215" s="279" t="n">
        <v>46074</v>
      </c>
      <c r="B215" s="267" t="inlineStr">
        <is>
          <t>SANDRA</t>
        </is>
      </c>
      <c r="C215" s="268" t="n"/>
      <c r="D215" s="268" t="n"/>
      <c r="E215" s="268" t="n"/>
      <c r="F215" s="269" t="n">
        <v>2</v>
      </c>
      <c r="G215" s="269" t="n">
        <v>1</v>
      </c>
      <c r="H215" s="231" t="n">
        <v>9000</v>
      </c>
      <c r="I215" s="232" t="n">
        <v>9000</v>
      </c>
      <c r="J215" s="232" t="n"/>
      <c r="K215" s="272" t="n"/>
      <c r="L215" s="272">
        <f>IF(K215&lt;&gt;"",3550+K215,3550)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RUPERTO GODOY 4484</t>
        </is>
      </c>
      <c r="C216" s="275" t="n"/>
      <c r="D216" s="275" t="n"/>
      <c r="E216" s="275" t="n">
        <v>1</v>
      </c>
      <c r="F216" s="276" t="n"/>
      <c r="G216" s="276" t="n"/>
      <c r="H216" s="241" t="n">
        <v>76000</v>
      </c>
      <c r="I216" s="242" t="n"/>
      <c r="J216" s="242" t="n">
        <v>76000</v>
      </c>
      <c r="K216" s="272" t="n"/>
      <c r="L216" s="272">
        <f>IF(K216&lt;&gt;"",29000+K216,29000)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ROTI AGUADO</t>
        </is>
      </c>
      <c r="C217" s="268" t="n">
        <v>1</v>
      </c>
      <c r="D217" s="268" t="n">
        <v>1</v>
      </c>
      <c r="E217" s="268" t="n"/>
      <c r="F217" s="269" t="n"/>
      <c r="G217" s="269" t="n"/>
      <c r="H217" s="231" t="n">
        <v>45000</v>
      </c>
      <c r="I217" s="232" t="n"/>
      <c r="J217" s="232" t="n">
        <v>45000</v>
      </c>
      <c r="K217" s="272" t="n"/>
      <c r="L217" s="272">
        <f>IF(K217&lt;&gt;"",18750+K217,18750)</f>
        <v/>
      </c>
      <c r="M217" s="156" t="n"/>
      <c r="N217" s="156" t="n"/>
      <c r="O217" s="156" t="n"/>
    </row>
    <row r="218" ht="18.75" customHeight="1" s="153">
      <c r="A218" s="273" t="n"/>
      <c r="B218" s="274" t="inlineStr">
        <is>
          <t>ROTI VIEYTES</t>
        </is>
      </c>
      <c r="C218" s="275" t="n"/>
      <c r="D218" s="275" t="n">
        <v>2</v>
      </c>
      <c r="E218" s="275" t="n"/>
      <c r="F218" s="276" t="n"/>
      <c r="G218" s="276" t="n"/>
      <c r="H218" s="241" t="n">
        <v>45000</v>
      </c>
      <c r="I218" s="242" t="n"/>
      <c r="J218" s="242" t="n">
        <v>45000</v>
      </c>
      <c r="K218" s="272" t="n"/>
      <c r="L218" s="272">
        <f>IF(K218&lt;&gt;"",13500+K218,13500)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OTNIEL</t>
        </is>
      </c>
      <c r="C219" s="268" t="n"/>
      <c r="D219" s="268" t="n">
        <v>2</v>
      </c>
      <c r="E219" s="268" t="n">
        <v>1</v>
      </c>
      <c r="F219" s="269" t="n"/>
      <c r="G219" s="269" t="n"/>
      <c r="H219" s="231" t="n">
        <v>132000</v>
      </c>
      <c r="I219" s="232" t="n">
        <v>132000</v>
      </c>
      <c r="J219" s="232" t="n"/>
      <c r="K219" s="272" t="n"/>
      <c r="L219" s="272">
        <f>IF(K219&lt;&gt;"",53500+K219,53500)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NOGALES2651</t>
        </is>
      </c>
      <c r="C220" s="275" t="n"/>
      <c r="D220" s="275" t="n"/>
      <c r="E220" s="275" t="n">
        <v>1</v>
      </c>
      <c r="F220" s="276" t="n"/>
      <c r="G220" s="276" t="n"/>
      <c r="H220" s="241" t="n">
        <v>76000</v>
      </c>
      <c r="I220" s="242" t="n"/>
      <c r="J220" s="242" t="n">
        <v>76000</v>
      </c>
      <c r="K220" s="272" t="n"/>
      <c r="L220" s="272">
        <f>IF(K220&lt;&gt;"",29000+K220,29000)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BRASERIA</t>
        </is>
      </c>
      <c r="C221" s="268" t="n"/>
      <c r="D221" s="268" t="n"/>
      <c r="E221" s="268" t="n">
        <v>1</v>
      </c>
      <c r="F221" s="269" t="n"/>
      <c r="G221" s="269" t="n"/>
      <c r="H221" s="231" t="n">
        <v>73000</v>
      </c>
      <c r="I221" s="232" t="n"/>
      <c r="J221" s="232" t="n">
        <v>73000</v>
      </c>
      <c r="K221" s="272" t="n"/>
      <c r="L221" s="272">
        <f>IF(K221&lt;&gt;"",26000+K221,26000)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BEATRIZ</t>
        </is>
      </c>
      <c r="C222" s="275" t="n"/>
      <c r="D222" s="275" t="n">
        <v>1</v>
      </c>
      <c r="E222" s="275" t="n"/>
      <c r="F222" s="276" t="n"/>
      <c r="G222" s="276" t="n">
        <v>1</v>
      </c>
      <c r="H222" s="241" t="n">
        <v>38000</v>
      </c>
      <c r="I222" s="242" t="n"/>
      <c r="J222" s="242" t="n">
        <v>38000</v>
      </c>
      <c r="K222" s="272" t="n"/>
      <c r="L222" s="272">
        <f>IF(K222&lt;&gt;"",21450+K222,21450)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12 DE INFANTERIA 2148</t>
        </is>
      </c>
      <c r="C223" s="268" t="n">
        <v>1</v>
      </c>
      <c r="D223" s="268" t="n"/>
      <c r="E223" s="268" t="n"/>
      <c r="F223" s="269" t="n"/>
      <c r="G223" s="269" t="n"/>
      <c r="H223" s="231" t="n">
        <v>22500</v>
      </c>
      <c r="I223" s="232" t="n"/>
      <c r="J223" s="232" t="n">
        <v>22500</v>
      </c>
      <c r="K223" s="272" t="n"/>
      <c r="L223" s="272">
        <f>IF(K223&lt;&gt;"",12000+K223,12000)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CHICLANA 7325</t>
        </is>
      </c>
      <c r="C224" s="275" t="n">
        <v>3</v>
      </c>
      <c r="D224" s="275" t="n"/>
      <c r="E224" s="275" t="n"/>
      <c r="F224" s="276" t="n"/>
      <c r="G224" s="276" t="n"/>
      <c r="H224" s="241" t="n">
        <v>43500</v>
      </c>
      <c r="I224" s="242" t="n">
        <v>43500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SABOREAR</t>
        </is>
      </c>
      <c r="C225" s="268" t="n"/>
      <c r="D225" s="268" t="n">
        <v>1</v>
      </c>
      <c r="E225" s="268" t="n"/>
      <c r="F225" s="269" t="n"/>
      <c r="G225" s="269" t="n"/>
      <c r="H225" s="231" t="n">
        <v>29000</v>
      </c>
      <c r="I225" s="232" t="n"/>
      <c r="J225" s="232" t="n">
        <v>29000</v>
      </c>
      <c r="K225" s="272" t="n"/>
      <c r="L225" s="272">
        <f>IF(K225&lt;&gt;"",13250+K225,13250)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FILOMENA</t>
        </is>
      </c>
      <c r="C226" s="275" t="n">
        <v>2</v>
      </c>
      <c r="D226" s="275" t="n"/>
      <c r="E226" s="275" t="n"/>
      <c r="F226" s="276" t="n"/>
      <c r="G226" s="276" t="n"/>
      <c r="H226" s="241" t="n">
        <v>38000</v>
      </c>
      <c r="I226" s="242" t="n"/>
      <c r="J226" s="242" t="n">
        <v>38000</v>
      </c>
      <c r="K226" s="272" t="n"/>
      <c r="L226" s="272">
        <f>IF(K226&lt;&gt;"",17000+K226,17000)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CAREN</t>
        </is>
      </c>
      <c r="C227" s="268" t="n"/>
      <c r="D227" s="268" t="n"/>
      <c r="E227" s="268" t="n">
        <v>1</v>
      </c>
      <c r="F227" s="269" t="n"/>
      <c r="G227" s="269" t="n"/>
      <c r="H227" s="231" t="n">
        <v>72000</v>
      </c>
      <c r="I227" s="232" t="n"/>
      <c r="J227" s="232" t="n">
        <v>72000</v>
      </c>
      <c r="K227" s="272" t="n"/>
      <c r="L227" s="272">
        <f>IF(K227&lt;&gt;"",25000+K227,25000)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PENALOZA 9757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IF(K228&lt;&gt;"",11500+K228,11500)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RIVADAVIA 8280</t>
        </is>
      </c>
      <c r="C229" s="268" t="n"/>
      <c r="D229" s="268" t="n"/>
      <c r="E229" s="268" t="n">
        <v>1</v>
      </c>
      <c r="F229" s="269" t="n"/>
      <c r="G229" s="269" t="n"/>
      <c r="H229" s="231" t="n">
        <v>76000</v>
      </c>
      <c r="I229" s="232" t="n"/>
      <c r="J229" s="232" t="n">
        <v>76000</v>
      </c>
      <c r="K229" s="272" t="n"/>
      <c r="L229" s="272">
        <f>IF(K229&lt;&gt;"",29000+K229,29000)</f>
        <v/>
      </c>
      <c r="M229" s="156" t="n"/>
      <c r="N229" s="156" t="n"/>
      <c r="O229" s="156" t="n"/>
    </row>
    <row r="230" ht="18.75" customHeight="1" s="153">
      <c r="A230" s="273" t="n"/>
      <c r="B230" s="274" t="inlineStr">
        <is>
          <t>PAVON 2612</t>
        </is>
      </c>
      <c r="C230" s="275" t="n"/>
      <c r="D230" s="275" t="n"/>
      <c r="E230" s="275" t="n">
        <v>1</v>
      </c>
      <c r="F230" s="276" t="n"/>
      <c r="G230" s="276" t="n"/>
      <c r="H230" s="241" t="n">
        <v>68000</v>
      </c>
      <c r="I230" s="242" t="n"/>
      <c r="J230" s="242" t="n">
        <v>68000</v>
      </c>
      <c r="K230" s="272" t="n"/>
      <c r="L230" s="272">
        <f>IF(K230&lt;&gt;"",21000+K230,21000)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GENEIRO 8164</t>
        </is>
      </c>
      <c r="C231" s="268" t="n">
        <v>1</v>
      </c>
      <c r="D231" s="268" t="n"/>
      <c r="E231" s="268" t="n"/>
      <c r="F231" s="269" t="n"/>
      <c r="G231" s="269" t="n"/>
      <c r="H231" s="231" t="n">
        <v>22000</v>
      </c>
      <c r="I231" s="232" t="n"/>
      <c r="J231" s="232" t="n">
        <v>22000</v>
      </c>
      <c r="K231" s="272" t="n"/>
      <c r="L231" s="272">
        <f>IF(K231&lt;&gt;"",11500+K231,11500)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LUCHO</t>
        </is>
      </c>
      <c r="C232" s="275" t="n">
        <v>3</v>
      </c>
      <c r="D232" s="275" t="n"/>
      <c r="E232" s="275" t="n"/>
      <c r="F232" s="276" t="n"/>
      <c r="G232" s="276" t="n"/>
      <c r="H232" s="241" t="n">
        <v>45000</v>
      </c>
      <c r="I232" s="242" t="n">
        <v>45000</v>
      </c>
      <c r="J232" s="242" t="n"/>
      <c r="K232" s="272" t="n"/>
      <c r="L232" s="272">
        <f>IF(K232&lt;&gt;"",13500+K232,13500)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 xml:space="preserve">ESTELA PALZA </t>
        </is>
      </c>
      <c r="C233" s="268" t="n">
        <v>3</v>
      </c>
      <c r="D233" s="268" t="n"/>
      <c r="E233" s="268" t="n"/>
      <c r="F233" s="269" t="n"/>
      <c r="G233" s="269" t="n"/>
      <c r="H233" s="231" t="n">
        <v>45000</v>
      </c>
      <c r="I233" s="232" t="n">
        <v>45000</v>
      </c>
      <c r="J233" s="232" t="n"/>
      <c r="K233" s="272" t="n"/>
      <c r="L233" s="272">
        <f>IF(K233&lt;&gt;"",13500+K233,13500)</f>
        <v/>
      </c>
      <c r="M233" s="156" t="n"/>
      <c r="N233" s="156" t="n"/>
      <c r="O233" s="156" t="n"/>
    </row>
    <row r="234" ht="18.75" customHeight="1" s="153">
      <c r="A234" s="273" t="n">
        <v>46075</v>
      </c>
      <c r="B234" s="274" t="inlineStr">
        <is>
          <t>PAULO</t>
        </is>
      </c>
      <c r="C234" s="275" t="n">
        <v>3</v>
      </c>
      <c r="D234" s="275" t="n"/>
      <c r="E234" s="275" t="n"/>
      <c r="F234" s="276" t="n"/>
      <c r="G234" s="276" t="n"/>
      <c r="H234" s="241" t="n">
        <v>43500</v>
      </c>
      <c r="I234" s="242" t="n">
        <v>43500</v>
      </c>
      <c r="J234" s="242" t="n"/>
      <c r="K234" s="272" t="n"/>
      <c r="L234" s="272">
        <f>IF(K234&lt;&gt;"",12000+K234,12000)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CANDIDO PUJATO 2444</t>
        </is>
      </c>
      <c r="C235" s="268" t="n">
        <v>1</v>
      </c>
      <c r="D235" s="268" t="n"/>
      <c r="E235" s="268" t="n"/>
      <c r="F235" s="269" t="n"/>
      <c r="G235" s="269" t="n"/>
      <c r="H235" s="231" t="n">
        <v>23000</v>
      </c>
      <c r="I235" s="232" t="n"/>
      <c r="J235" s="232" t="n">
        <v>23000</v>
      </c>
      <c r="K235" s="272" t="n"/>
      <c r="L235" s="272">
        <f>IF(K235&lt;&gt;"",12500+K235,12500)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PARRI BLAS PARERA</t>
        </is>
      </c>
      <c r="C236" s="275" t="n">
        <v>1</v>
      </c>
      <c r="D236" s="275" t="n"/>
      <c r="E236" s="275" t="n"/>
      <c r="F236" s="276" t="n"/>
      <c r="G236" s="276" t="n"/>
      <c r="H236" s="241" t="n">
        <v>17000</v>
      </c>
      <c r="I236" s="242" t="n"/>
      <c r="J236" s="242" t="n">
        <v>17000</v>
      </c>
      <c r="K236" s="272" t="n"/>
      <c r="L236" s="272">
        <f>IF(K236&lt;&gt;"",6500+K236,6500)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GABOTO 7102</t>
        </is>
      </c>
      <c r="C237" s="268" t="n"/>
      <c r="D237" s="268" t="n">
        <v>1</v>
      </c>
      <c r="E237" s="268" t="n"/>
      <c r="F237" s="269" t="n"/>
      <c r="G237" s="269" t="n"/>
      <c r="H237" s="231" t="n">
        <v>33000</v>
      </c>
      <c r="I237" s="232" t="n"/>
      <c r="J237" s="232" t="n">
        <v>33000</v>
      </c>
      <c r="K237" s="272" t="n"/>
      <c r="L237" s="272">
        <f>IF(K237&lt;&gt;"",17250+K237,17250)</f>
        <v/>
      </c>
      <c r="M237" s="156" t="n"/>
      <c r="N237" s="156" t="n"/>
      <c r="O237" s="156" t="n"/>
    </row>
    <row r="238" ht="18.75" customHeight="1" s="153">
      <c r="A238" s="273" t="n"/>
      <c r="B238" s="274" t="inlineStr">
        <is>
          <t>FACUNDO ZUVIRIA 10235</t>
        </is>
      </c>
      <c r="C238" s="275" t="n">
        <v>1</v>
      </c>
      <c r="D238" s="275" t="n"/>
      <c r="E238" s="275" t="n"/>
      <c r="F238" s="276" t="n"/>
      <c r="G238" s="276" t="n"/>
      <c r="H238" s="241" t="n">
        <v>23000</v>
      </c>
      <c r="I238" s="242" t="n"/>
      <c r="J238" s="242" t="n">
        <v>23000</v>
      </c>
      <c r="K238" s="272" t="n"/>
      <c r="L238" s="272">
        <f>IF(K238&lt;&gt;"",12500+K238,12500)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JP LOPEZ 2045</t>
        </is>
      </c>
      <c r="C239" s="268" t="n">
        <v>1</v>
      </c>
      <c r="D239" s="268" t="n"/>
      <c r="E239" s="268" t="n"/>
      <c r="F239" s="269" t="n"/>
      <c r="G239" s="269" t="n"/>
      <c r="H239" s="231" t="n">
        <v>22000</v>
      </c>
      <c r="I239" s="232" t="n">
        <v>22000</v>
      </c>
      <c r="J239" s="232" t="n"/>
      <c r="K239" s="272" t="n"/>
      <c r="L239" s="272">
        <f>IF(K239&lt;&gt;"",11500+K239,11500)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M CANDIOTI 5256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PUBLICO 5727</t>
        </is>
      </c>
      <c r="C241" s="268" t="n">
        <v>1</v>
      </c>
      <c r="D241" s="268" t="n">
        <v>1</v>
      </c>
      <c r="E241" s="268" t="n"/>
      <c r="F241" s="269" t="n"/>
      <c r="G241" s="269" t="n"/>
      <c r="H241" s="231" t="n">
        <v>55000</v>
      </c>
      <c r="I241" s="232" t="n"/>
      <c r="J241" s="232" t="n">
        <v>55000</v>
      </c>
      <c r="K241" s="272" t="n"/>
      <c r="L241" s="272">
        <f>IF(K241&lt;&gt;"",28750+K241,28750)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D SILVA 4217</t>
        </is>
      </c>
      <c r="C242" s="275" t="n">
        <v>3</v>
      </c>
      <c r="D242" s="275" t="n"/>
      <c r="E242" s="275" t="n"/>
      <c r="F242" s="276" t="n"/>
      <c r="G242" s="276" t="n"/>
      <c r="H242" s="241" t="n">
        <v>43500</v>
      </c>
      <c r="I242" s="242" t="n"/>
      <c r="J242" s="242" t="n">
        <v>43500</v>
      </c>
      <c r="K242" s="272" t="n"/>
      <c r="L242" s="272">
        <f>IF(K242&lt;&gt;"",12000+K242,12000)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TACUARI 5727</t>
        </is>
      </c>
      <c r="C243" s="268" t="n">
        <v>1</v>
      </c>
      <c r="D243" s="268" t="n"/>
      <c r="E243" s="268" t="n"/>
      <c r="F243" s="269" t="n"/>
      <c r="G243" s="269" t="n"/>
      <c r="H243" s="231" t="n">
        <v>19500</v>
      </c>
      <c r="I243" s="232" t="n"/>
      <c r="J243" s="232" t="n">
        <v>19500</v>
      </c>
      <c r="K243" s="272" t="n"/>
      <c r="L243" s="272">
        <f>IF(K243&lt;&gt;"",9000+K243,9000)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FILOMENA</t>
        </is>
      </c>
      <c r="C244" s="275" t="n">
        <v>1</v>
      </c>
      <c r="D244" s="275" t="n"/>
      <c r="E244" s="275" t="n"/>
      <c r="F244" s="276" t="n"/>
      <c r="G244" s="276" t="n"/>
      <c r="H244" s="241" t="n">
        <v>19000</v>
      </c>
      <c r="I244" s="242" t="n"/>
      <c r="J244" s="242" t="n">
        <v>19000</v>
      </c>
      <c r="K244" s="272" t="n"/>
      <c r="L244" s="272">
        <f>IF(K244&lt;&gt;"",8500+K244,8500)</f>
        <v/>
      </c>
      <c r="M244" s="156" t="n"/>
      <c r="N244" s="156" t="n"/>
      <c r="O244" s="156" t="n"/>
    </row>
    <row r="245" ht="18.75" customHeight="1" s="153">
      <c r="A245" s="279" t="n">
        <v>46076</v>
      </c>
      <c r="B245" s="267" t="inlineStr">
        <is>
          <t>E ZEBALLOS 4875 VIANDA</t>
        </is>
      </c>
      <c r="C245" s="268" t="n">
        <v>1</v>
      </c>
      <c r="D245" s="268" t="n"/>
      <c r="E245" s="268" t="n"/>
      <c r="F245" s="269" t="n"/>
      <c r="G245" s="269" t="n"/>
      <c r="H245" s="231" t="n">
        <v>19000</v>
      </c>
      <c r="I245" s="232" t="n">
        <v>19000</v>
      </c>
      <c r="J245" s="232" t="n"/>
      <c r="K245" s="272" t="n"/>
      <c r="L245" s="272">
        <f>IF(K245&lt;&gt;"",8500+K245,8500)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LUCHO</t>
        </is>
      </c>
      <c r="C246" s="275" t="n">
        <v>1</v>
      </c>
      <c r="D246" s="275" t="n">
        <v>1</v>
      </c>
      <c r="E246" s="275" t="n"/>
      <c r="F246" s="276" t="n"/>
      <c r="G246" s="276" t="n"/>
      <c r="H246" s="241" t="n">
        <v>38500</v>
      </c>
      <c r="I246" s="242" t="n">
        <v>38500</v>
      </c>
      <c r="J246" s="242" t="n"/>
      <c r="K246" s="272" t="n"/>
      <c r="L246" s="272">
        <f>IF(K246&lt;&gt;"",12250+K246,12250)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AGUADP 6970</t>
        </is>
      </c>
      <c r="C247" s="268" t="n"/>
      <c r="D247" s="268" t="n">
        <v>1</v>
      </c>
      <c r="E247" s="268" t="n"/>
      <c r="F247" s="269" t="n"/>
      <c r="G247" s="269" t="n"/>
      <c r="H247" s="231" t="n">
        <v>32000</v>
      </c>
      <c r="I247" s="232" t="n">
        <v>32000</v>
      </c>
      <c r="J247" s="232" t="n"/>
      <c r="K247" s="272" t="n"/>
      <c r="L247" s="272">
        <f>IF(K247&lt;&gt;"",16250+K247,16250)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EUROPA 9396</t>
        </is>
      </c>
      <c r="C248" s="275" t="n"/>
      <c r="D248" s="275" t="n"/>
      <c r="E248" s="275" t="n">
        <v>1</v>
      </c>
      <c r="F248" s="276" t="n"/>
      <c r="G248" s="276" t="n"/>
      <c r="H248" s="241" t="n">
        <v>76000</v>
      </c>
      <c r="I248" s="242" t="n">
        <v>76000</v>
      </c>
      <c r="J248" s="242" t="n"/>
      <c r="K248" s="272" t="n"/>
      <c r="L248" s="272">
        <f>IF(K248&lt;&gt;"",29000+K248,29000)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SANDRA</t>
        </is>
      </c>
      <c r="C249" s="268" t="n">
        <v>1</v>
      </c>
      <c r="D249" s="268" t="n"/>
      <c r="E249" s="268" t="n"/>
      <c r="F249" s="269" t="n"/>
      <c r="G249" s="269" t="n"/>
      <c r="H249" s="231" t="n">
        <v>15500</v>
      </c>
      <c r="I249" s="232" t="n">
        <v>15500</v>
      </c>
      <c r="J249" s="232" t="n"/>
      <c r="K249" s="272" t="n"/>
      <c r="L249" s="272">
        <f>IF(K249&lt;&gt;"",5000+K249,5000)</f>
        <v/>
      </c>
      <c r="M249" s="156" t="n"/>
      <c r="N249" s="156" t="n"/>
      <c r="O249" s="156" t="n"/>
    </row>
    <row r="250" ht="18.75" customHeight="1" s="153">
      <c r="A250" s="273" t="n">
        <v>46077</v>
      </c>
      <c r="B250" s="274" t="inlineStr">
        <is>
          <t>DOMINGO SILVA 4217</t>
        </is>
      </c>
      <c r="C250" s="275" t="n">
        <v>2</v>
      </c>
      <c r="D250" s="275" t="n">
        <v>1</v>
      </c>
      <c r="E250" s="275" t="n"/>
      <c r="F250" s="276" t="n"/>
      <c r="G250" s="276" t="n"/>
      <c r="H250" s="241" t="n">
        <v>51500</v>
      </c>
      <c r="I250" s="242" t="n">
        <v>51500</v>
      </c>
      <c r="J250" s="242" t="n"/>
      <c r="K250" s="272" t="n"/>
      <c r="L250" s="272">
        <f>IF(K250&lt;&gt;"",14750+K250,14750)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PANA GISE</t>
        </is>
      </c>
      <c r="C251" s="268" t="n"/>
      <c r="D251" s="268" t="n"/>
      <c r="E251" s="268" t="n"/>
      <c r="F251" s="269" t="n">
        <v>2</v>
      </c>
      <c r="G251" s="269" t="n"/>
      <c r="H251" s="231" t="n">
        <v>6800</v>
      </c>
      <c r="I251" s="232" t="n"/>
      <c r="J251" s="232" t="n">
        <v>6800</v>
      </c>
      <c r="K251" s="272" t="n"/>
      <c r="L251" s="272">
        <f>IF(K251&lt;&gt;"",2150+K251,2150)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PANA GENESIO</t>
        </is>
      </c>
      <c r="C252" s="275" t="n"/>
      <c r="D252" s="275" t="n"/>
      <c r="E252" s="275" t="n">
        <v>1</v>
      </c>
      <c r="F252" s="276" t="n"/>
      <c r="G252" s="276" t="n"/>
      <c r="H252" s="241" t="n">
        <v>69000</v>
      </c>
      <c r="I252" s="242" t="n"/>
      <c r="J252" s="242" t="n">
        <v>69000</v>
      </c>
      <c r="K252" s="272" t="n"/>
      <c r="L252" s="272">
        <f>IF(K252&lt;&gt;"",22000+K252,22000)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ROTI SAN LORENZO</t>
        </is>
      </c>
      <c r="C253" s="268" t="n">
        <v>3</v>
      </c>
      <c r="D253" s="268" t="n">
        <v>1</v>
      </c>
      <c r="E253" s="268" t="n"/>
      <c r="F253" s="269" t="n"/>
      <c r="G253" s="269" t="n"/>
      <c r="H253" s="231" t="n">
        <v>91000</v>
      </c>
      <c r="I253" s="232" t="n">
        <v>91000</v>
      </c>
      <c r="J253" s="232" t="n"/>
      <c r="K253" s="272" t="n"/>
      <c r="L253" s="272">
        <f>IF(K253&lt;&gt;"",43750+K253,43750)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FORMOSA 6058</t>
        </is>
      </c>
      <c r="C254" s="275" t="n">
        <v>1</v>
      </c>
      <c r="D254" s="275" t="n"/>
      <c r="E254" s="275" t="n"/>
      <c r="F254" s="276" t="n"/>
      <c r="G254" s="276" t="n">
        <v>3</v>
      </c>
      <c r="H254" s="241" t="n">
        <v>41000</v>
      </c>
      <c r="I254" s="242" t="n">
        <v>41000</v>
      </c>
      <c r="J254" s="242" t="n"/>
      <c r="K254" s="272" t="n"/>
      <c r="L254" s="272">
        <f>IF(K254&lt;&gt;"",28100+K254,28100)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BONEO5315</t>
        </is>
      </c>
      <c r="C255" s="268" t="n">
        <v>1</v>
      </c>
      <c r="D255" s="268" t="n"/>
      <c r="E255" s="268" t="n"/>
      <c r="F255" s="269" t="n"/>
      <c r="G255" s="269" t="n"/>
      <c r="H255" s="231" t="n">
        <v>21000</v>
      </c>
      <c r="I255" s="232" t="n"/>
      <c r="J255" s="232" t="n">
        <v>21000</v>
      </c>
      <c r="K255" s="272" t="n"/>
      <c r="L255" s="272">
        <f>IF(K255&lt;&gt;"",10500+K255,10500)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AYACUCHO 6201</t>
        </is>
      </c>
      <c r="C256" s="275" t="n">
        <v>1</v>
      </c>
      <c r="D256" s="275" t="n"/>
      <c r="E256" s="275" t="n"/>
      <c r="F256" s="276" t="n"/>
      <c r="G256" s="276" t="n"/>
      <c r="H256" s="241" t="n">
        <v>21000</v>
      </c>
      <c r="I256" s="242" t="n"/>
      <c r="J256" s="242" t="n">
        <v>21000</v>
      </c>
      <c r="K256" s="272" t="n"/>
      <c r="L256" s="272">
        <f>IF(K256&lt;&gt;"",10500+K256,10500)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BAIGORRIA 9350</t>
        </is>
      </c>
      <c r="C257" s="268" t="n"/>
      <c r="D257" s="268" t="n"/>
      <c r="E257" s="268" t="n">
        <v>1</v>
      </c>
      <c r="F257" s="269" t="n"/>
      <c r="G257" s="269" t="n"/>
      <c r="H257" s="231" t="n">
        <v>77000</v>
      </c>
      <c r="I257" s="232" t="n">
        <v>77000</v>
      </c>
      <c r="J257" s="232" t="n"/>
      <c r="K257" s="272" t="n"/>
      <c r="L257" s="272">
        <f>IF(K257&lt;&gt;"",30000+K257,30000)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GORRITI 6742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ALBERTI 5298</t>
        </is>
      </c>
      <c r="C259" s="268" t="n">
        <v>2</v>
      </c>
      <c r="D259" s="268" t="n"/>
      <c r="E259" s="268" t="n"/>
      <c r="F259" s="269" t="n"/>
      <c r="G259" s="269" t="n"/>
      <c r="H259" s="231" t="n">
        <v>34000</v>
      </c>
      <c r="I259" s="232" t="n"/>
      <c r="J259" s="232" t="n">
        <v>34000</v>
      </c>
      <c r="K259" s="272" t="n"/>
      <c r="L259" s="272">
        <f>IF(K259&lt;&gt;"",13000+K259,13000)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FILOMENA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/>
      <c r="J260" s="242" t="n">
        <v>19000</v>
      </c>
      <c r="K260" s="272" t="n"/>
      <c r="L260" s="272">
        <f>IF(K260&lt;&gt;"",8500+K260,8500)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CAREN</t>
        </is>
      </c>
      <c r="C261" s="268" t="n"/>
      <c r="D261" s="268" t="n"/>
      <c r="E261" s="268" t="n">
        <v>1</v>
      </c>
      <c r="F261" s="269" t="n"/>
      <c r="G261" s="269" t="n"/>
      <c r="H261" s="231" t="n">
        <v>72000</v>
      </c>
      <c r="I261" s="232" t="n"/>
      <c r="J261" s="232" t="n">
        <v>72000</v>
      </c>
      <c r="K261" s="272" t="n"/>
      <c r="L261" s="272">
        <f>IF(K261&lt;&gt;"",25000+K261,25000)</f>
        <v/>
      </c>
      <c r="M261" s="156" t="n"/>
      <c r="N261" s="156" t="n"/>
      <c r="O261" s="156" t="n"/>
    </row>
    <row r="262" ht="18.75" customHeight="1" s="153">
      <c r="A262" s="273" t="n">
        <v>46078</v>
      </c>
      <c r="B262" s="274" t="inlineStr">
        <is>
          <t>SAN JERONIMO 6421</t>
        </is>
      </c>
      <c r="C262" s="275" t="n">
        <v>1</v>
      </c>
      <c r="D262" s="275" t="n"/>
      <c r="E262" s="275" t="n"/>
      <c r="F262" s="276" t="n"/>
      <c r="G262" s="276" t="n"/>
      <c r="H262" s="241" t="n">
        <v>22000</v>
      </c>
      <c r="I262" s="242" t="n">
        <v>22000</v>
      </c>
      <c r="J262" s="242" t="n"/>
      <c r="K262" s="272" t="n"/>
      <c r="L262" s="272">
        <f>IF(K262&lt;&gt;"",11500+K262,11500)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MARCIAL CANDIOTI 6141</t>
        </is>
      </c>
      <c r="C263" s="268" t="n">
        <v>1</v>
      </c>
      <c r="D263" s="268" t="n"/>
      <c r="E263" s="268" t="n"/>
      <c r="F263" s="269" t="n"/>
      <c r="G263" s="269" t="n"/>
      <c r="H263" s="231" t="n">
        <v>22000</v>
      </c>
      <c r="I263" s="232" t="n">
        <v>22000</v>
      </c>
      <c r="J263" s="232" t="n"/>
      <c r="K263" s="272" t="n"/>
      <c r="L263" s="272">
        <f>IF(K263&lt;&gt;"",11500+K263,11500)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ROTI SAN LORENZO</t>
        </is>
      </c>
      <c r="C264" s="275" t="n"/>
      <c r="D264" s="275" t="n"/>
      <c r="E264" s="275" t="n">
        <v>1</v>
      </c>
      <c r="F264" s="276" t="n"/>
      <c r="G264" s="276" t="n"/>
      <c r="H264" s="241" t="n">
        <v>72000</v>
      </c>
      <c r="I264" s="242" t="n">
        <v>72000</v>
      </c>
      <c r="J264" s="242" t="n"/>
      <c r="K264" s="272" t="n"/>
      <c r="L264" s="272">
        <f>IF(K264&lt;&gt;"",25000+K264,25000)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LAVADERO</t>
        </is>
      </c>
      <c r="C265" s="268" t="n">
        <v>1</v>
      </c>
      <c r="D265" s="268" t="n"/>
      <c r="E265" s="268" t="n"/>
      <c r="F265" s="269" t="n"/>
      <c r="G265" s="269" t="n"/>
      <c r="H265" s="231" t="n">
        <v>14500</v>
      </c>
      <c r="I265" s="232" t="n"/>
      <c r="J265" s="232" t="n">
        <v>14500</v>
      </c>
      <c r="K265" s="272" t="n"/>
      <c r="L265" s="272">
        <f>IF(K265&lt;&gt;"",4000+K265,4000)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NACHO</t>
        </is>
      </c>
      <c r="C266" s="275" t="n"/>
      <c r="D266" s="275" t="n">
        <v>1</v>
      </c>
      <c r="E266" s="275" t="n"/>
      <c r="F266" s="276" t="n"/>
      <c r="G266" s="276" t="n"/>
      <c r="H266" s="241" t="n">
        <v>28500</v>
      </c>
      <c r="I266" s="242" t="n"/>
      <c r="J266" s="242" t="n">
        <v>28500</v>
      </c>
      <c r="K266" s="272" t="n"/>
      <c r="L266" s="272">
        <f>IF(K266&lt;&gt;"",12750+K266,12750)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DUSSOP 7678</t>
        </is>
      </c>
      <c r="C267" s="268" t="n">
        <v>2</v>
      </c>
      <c r="D267" s="268" t="n">
        <v>1</v>
      </c>
      <c r="E267" s="268" t="n"/>
      <c r="F267" s="269" t="n"/>
      <c r="G267" s="269" t="n"/>
      <c r="H267" s="231" t="n">
        <v>51500</v>
      </c>
      <c r="I267" s="232" t="n">
        <v>51500</v>
      </c>
      <c r="J267" s="232" t="n"/>
      <c r="K267" s="272" t="n"/>
      <c r="L267" s="272">
        <f>IF(K267&lt;&gt;"",14750+K267,14750)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ROTI VIEYTES</t>
        </is>
      </c>
      <c r="C268" s="275" t="n"/>
      <c r="D268" s="275" t="n">
        <v>2</v>
      </c>
      <c r="E268" s="275" t="n"/>
      <c r="F268" s="276" t="n"/>
      <c r="G268" s="276" t="n"/>
      <c r="H268" s="241" t="n">
        <v>45000</v>
      </c>
      <c r="I268" s="242" t="n"/>
      <c r="J268" s="242" t="n">
        <v>45000</v>
      </c>
      <c r="K268" s="272" t="n"/>
      <c r="L268" s="272">
        <f>IF(K268&lt;&gt;"",13500+K268,13500)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AYACUCHO 4057</t>
        </is>
      </c>
      <c r="C269" s="268" t="n"/>
      <c r="D269" s="268" t="n"/>
      <c r="E269" s="268" t="n">
        <v>1</v>
      </c>
      <c r="F269" s="269" t="n"/>
      <c r="G269" s="269" t="n"/>
      <c r="H269" s="231" t="n">
        <v>76000</v>
      </c>
      <c r="I269" s="232" t="n"/>
      <c r="J269" s="232" t="n">
        <v>76000</v>
      </c>
      <c r="K269" s="272" t="n"/>
      <c r="L269" s="272">
        <f>IF(K269&lt;&gt;"",29000+K269,29000)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SABOREAR</t>
        </is>
      </c>
      <c r="C270" s="275" t="n"/>
      <c r="D270" s="275" t="n"/>
      <c r="E270" s="275" t="n">
        <v>1</v>
      </c>
      <c r="F270" s="276" t="n"/>
      <c r="G270" s="276" t="n"/>
      <c r="H270" s="241" t="n">
        <v>71000</v>
      </c>
      <c r="I270" s="242" t="n"/>
      <c r="J270" s="242" t="n">
        <v>71000</v>
      </c>
      <c r="K270" s="272" t="n"/>
      <c r="L270" s="272">
        <f>IF(K270&lt;&gt;"",24000+K270,24000)</f>
        <v/>
      </c>
      <c r="M270" s="156" t="n"/>
      <c r="N270" s="156" t="n"/>
      <c r="O270" s="156" t="n"/>
    </row>
    <row r="271" ht="18.75" customHeight="1" s="153">
      <c r="A271" s="279" t="n">
        <v>46079</v>
      </c>
      <c r="B271" s="267" t="inlineStr">
        <is>
          <t>GISE PANA</t>
        </is>
      </c>
      <c r="C271" s="268" t="n">
        <v>1</v>
      </c>
      <c r="D271" s="268" t="n"/>
      <c r="E271" s="268" t="n"/>
      <c r="F271" s="269" t="n"/>
      <c r="G271" s="269" t="n"/>
      <c r="H271" s="231" t="n">
        <v>18500</v>
      </c>
      <c r="I271" s="232" t="n"/>
      <c r="J271" s="232" t="n">
        <v>18500</v>
      </c>
      <c r="K271" s="272" t="n"/>
      <c r="L271" s="272">
        <f>IF(K271&lt;&gt;"",8000+K271,8000)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ALBERDI 6533</t>
        </is>
      </c>
      <c r="C272" s="275" t="n">
        <v>1</v>
      </c>
      <c r="D272" s="275" t="n"/>
      <c r="E272" s="275" t="n"/>
      <c r="F272" s="276" t="n"/>
      <c r="G272" s="276" t="n"/>
      <c r="H272" s="241" t="n">
        <v>23000</v>
      </c>
      <c r="I272" s="242" t="n"/>
      <c r="J272" s="242" t="n">
        <v>23000</v>
      </c>
      <c r="K272" s="272" t="n"/>
      <c r="L272" s="272">
        <f>IF(K272&lt;&gt;"",12500+K272,12500)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/>
      <c r="E273" s="268" t="n"/>
      <c r="F273" s="269" t="n"/>
      <c r="G273" s="269" t="n">
        <v>1</v>
      </c>
      <c r="H273" s="231" t="n">
        <v>5000</v>
      </c>
      <c r="I273" s="232" t="n"/>
      <c r="J273" s="232" t="n">
        <v>5000</v>
      </c>
      <c r="K273" s="272" t="n"/>
      <c r="L273" s="272">
        <f>IF(K273&lt;&gt;"",4200+K273,4200)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ESTADO ISTRAEL 5370</t>
        </is>
      </c>
      <c r="C274" s="275" t="n">
        <v>1</v>
      </c>
      <c r="D274" s="275" t="n"/>
      <c r="E274" s="275" t="n"/>
      <c r="F274" s="276" t="n"/>
      <c r="G274" s="276" t="n"/>
      <c r="H274" s="241" t="n">
        <v>22000</v>
      </c>
      <c r="I274" s="242" t="n">
        <v>22000</v>
      </c>
      <c r="J274" s="242" t="n"/>
      <c r="K274" s="272" t="n"/>
      <c r="L274" s="272">
        <f>IF(K274&lt;&gt;"",11500+K274,11500)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VIANDAS ZEBALLOS</t>
        </is>
      </c>
      <c r="C275" s="268" t="n">
        <v>1</v>
      </c>
      <c r="D275" s="268" t="n"/>
      <c r="E275" s="268" t="n"/>
      <c r="F275" s="269" t="n"/>
      <c r="G275" s="269" t="n"/>
      <c r="H275" s="231" t="n">
        <v>19000</v>
      </c>
      <c r="I275" s="232" t="n">
        <v>19000</v>
      </c>
      <c r="J275" s="232" t="n"/>
      <c r="K275" s="272" t="n"/>
      <c r="L275" s="272">
        <f>IF(K275&lt;&gt;"",8500+K275,8500)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INGENIEROS 5511</t>
        </is>
      </c>
      <c r="C276" s="275" t="n">
        <v>1</v>
      </c>
      <c r="D276" s="275" t="n"/>
      <c r="E276" s="275" t="n"/>
      <c r="F276" s="276" t="n"/>
      <c r="G276" s="276" t="n"/>
      <c r="H276" s="241" t="n">
        <v>22000</v>
      </c>
      <c r="I276" s="242" t="n"/>
      <c r="J276" s="242" t="n">
        <v>22000</v>
      </c>
      <c r="K276" s="272" t="n"/>
      <c r="L276" s="272">
        <f>IF(K276&lt;&gt;"",11500+K276,11500)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SANDRA</t>
        </is>
      </c>
      <c r="C277" s="268" t="n">
        <v>2</v>
      </c>
      <c r="D277" s="268" t="n"/>
      <c r="E277" s="268" t="n"/>
      <c r="F277" s="269" t="n"/>
      <c r="G277" s="269" t="n"/>
      <c r="H277" s="231" t="n">
        <v>31000</v>
      </c>
      <c r="I277" s="232" t="n">
        <v>31000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SERBANDO BAYO 6840</t>
        </is>
      </c>
      <c r="C278" s="275" t="n"/>
      <c r="D278" s="275" t="n">
        <v>1</v>
      </c>
      <c r="E278" s="275" t="n"/>
      <c r="F278" s="276" t="n"/>
      <c r="G278" s="276" t="n"/>
      <c r="H278" s="241" t="n">
        <v>33000</v>
      </c>
      <c r="I278" s="242" t="n">
        <v>33000</v>
      </c>
      <c r="J278" s="242" t="n"/>
      <c r="K278" s="272" t="n"/>
      <c r="L278" s="272">
        <f>IF(K278&lt;&gt;"",17250+K278,17250)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PAPA BRUNO</t>
        </is>
      </c>
      <c r="C279" s="268" t="n"/>
      <c r="D279" s="268" t="n">
        <v>1</v>
      </c>
      <c r="E279" s="268" t="n"/>
      <c r="F279" s="269" t="n"/>
      <c r="G279" s="269" t="n"/>
      <c r="H279" s="231" t="n">
        <v>29000</v>
      </c>
      <c r="I279" s="232" t="n"/>
      <c r="J279" s="232" t="n">
        <v>29000</v>
      </c>
      <c r="K279" s="272" t="n"/>
      <c r="L279" s="272">
        <f>IF(K279&lt;&gt;"",13250+K279,13250)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PANA VIEYTES 4500</t>
        </is>
      </c>
      <c r="C280" s="275" t="n"/>
      <c r="D280" s="275" t="n"/>
      <c r="E280" s="275" t="n">
        <v>1</v>
      </c>
      <c r="F280" s="276" t="n"/>
      <c r="G280" s="276" t="n"/>
      <c r="H280" s="241" t="n">
        <v>68000</v>
      </c>
      <c r="I280" s="242" t="n">
        <v>68000</v>
      </c>
      <c r="J280" s="242" t="n"/>
      <c r="K280" s="272" t="n"/>
      <c r="L280" s="272">
        <f>IF(K280&lt;&gt;"",21000+K280,21000)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CASTAÑADUY 6687</t>
        </is>
      </c>
      <c r="C281" s="268" t="n"/>
      <c r="D281" s="268" t="n"/>
      <c r="E281" s="268" t="n">
        <v>1</v>
      </c>
      <c r="F281" s="269" t="n"/>
      <c r="G281" s="269" t="n"/>
      <c r="H281" s="231" t="n">
        <v>74000</v>
      </c>
      <c r="I281" s="232" t="n"/>
      <c r="J281" s="232" t="n">
        <v>74000</v>
      </c>
      <c r="K281" s="272" t="n"/>
      <c r="L281" s="272">
        <f>IF(K281&lt;&gt;"",27000+K281,27000)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SABORERARTE</t>
        </is>
      </c>
      <c r="C282" s="275" t="n">
        <v>1</v>
      </c>
      <c r="D282" s="275" t="n"/>
      <c r="E282" s="275" t="n"/>
      <c r="F282" s="276" t="n"/>
      <c r="G282" s="276" t="n"/>
      <c r="H282" s="241" t="n">
        <v>19500</v>
      </c>
      <c r="I282" s="242" t="n"/>
      <c r="J282" s="242" t="n">
        <v>19500</v>
      </c>
      <c r="K282" s="272" t="n"/>
      <c r="L282" s="272">
        <f>IF(K282&lt;&gt;"",9000+K282,9000)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31" t="n">
        <v>72000</v>
      </c>
      <c r="I283" s="232" t="n"/>
      <c r="J283" s="232" t="n">
        <v>72000</v>
      </c>
      <c r="K283" s="272" t="n"/>
      <c r="L283" s="272">
        <f>IF(K283&lt;&gt;"",25000+K283,25000)</f>
        <v/>
      </c>
      <c r="M283" s="156" t="n"/>
      <c r="N283" s="156" t="n"/>
      <c r="O283" s="156" t="n"/>
    </row>
    <row r="284" ht="18.75" customHeight="1" s="153">
      <c r="A284" s="273" t="n">
        <v>46080</v>
      </c>
      <c r="B284" s="274" t="inlineStr">
        <is>
          <t>CHICLANA 7325</t>
        </is>
      </c>
      <c r="C284" s="275" t="n">
        <v>2</v>
      </c>
      <c r="D284" s="275" t="n"/>
      <c r="E284" s="275" t="n"/>
      <c r="F284" s="276" t="n"/>
      <c r="G284" s="276" t="n"/>
      <c r="H284" s="241" t="n">
        <v>29000</v>
      </c>
      <c r="I284" s="242" t="n">
        <v>29000</v>
      </c>
      <c r="J284" s="242" t="n"/>
      <c r="K284" s="272" t="n"/>
      <c r="L284" s="272">
        <f>IF(K284&lt;&gt;"",8000+K284,8000)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AYACUCHO 5370</t>
        </is>
      </c>
      <c r="C285" s="268" t="n"/>
      <c r="D285" s="268" t="n"/>
      <c r="E285" s="268" t="n"/>
      <c r="F285" s="269" t="n"/>
      <c r="G285" s="269" t="n">
        <v>2</v>
      </c>
      <c r="H285" s="231" t="n">
        <v>10000</v>
      </c>
      <c r="I285" s="232" t="n"/>
      <c r="J285" s="232" t="n">
        <v>10000</v>
      </c>
      <c r="K285" s="272" t="n"/>
      <c r="L285" s="272">
        <f>IF(K285&lt;&gt;"",8400+K285,8400)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ESTADO ISRAEL 5370</t>
        </is>
      </c>
      <c r="C286" s="275" t="n">
        <v>1</v>
      </c>
      <c r="D286" s="275" t="n"/>
      <c r="E286" s="275" t="n"/>
      <c r="F286" s="276" t="n"/>
      <c r="G286" s="276" t="n"/>
      <c r="H286" s="241" t="n">
        <v>22000</v>
      </c>
      <c r="I286" s="242" t="n">
        <v>22000</v>
      </c>
      <c r="J286" s="242" t="n"/>
      <c r="K286" s="272" t="n"/>
      <c r="L286" s="272">
        <f>IF(K286&lt;&gt;"",11500+K286,11500)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PIO PANDOLFO 9061</t>
        </is>
      </c>
      <c r="C287" s="268" t="n">
        <v>1</v>
      </c>
      <c r="D287" s="268" t="n"/>
      <c r="E287" s="268" t="n"/>
      <c r="F287" s="269" t="n"/>
      <c r="G287" s="269" t="n"/>
      <c r="H287" s="231" t="n">
        <v>23000</v>
      </c>
      <c r="I287" s="232" t="n">
        <v>23000</v>
      </c>
      <c r="J287" s="232" t="n"/>
      <c r="K287" s="272" t="n"/>
      <c r="L287" s="272">
        <f>IF(K287&lt;&gt;"",12500+K287,12500)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LOPEZ Y PLANES 4069 CLUB</t>
        </is>
      </c>
      <c r="C288" s="275" t="n">
        <v>1</v>
      </c>
      <c r="D288" s="275" t="n"/>
      <c r="E288" s="275" t="n"/>
      <c r="F288" s="276" t="n"/>
      <c r="G288" s="276" t="n"/>
      <c r="H288" s="241" t="n">
        <v>21000</v>
      </c>
      <c r="I288" s="242" t="n">
        <v>21000</v>
      </c>
      <c r="J288" s="242" t="n"/>
      <c r="K288" s="272" t="n"/>
      <c r="L288" s="272">
        <f>IF(K288&lt;&gt;"",10500+K288,10500)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RUPERTO GODOY 1676</t>
        </is>
      </c>
      <c r="C289" s="268" t="n">
        <v>1</v>
      </c>
      <c r="D289" s="268" t="n"/>
      <c r="E289" s="268" t="n"/>
      <c r="F289" s="269" t="n"/>
      <c r="G289" s="269" t="n"/>
      <c r="H289" s="231" t="n">
        <v>23000</v>
      </c>
      <c r="I289" s="232" t="n">
        <v>23000</v>
      </c>
      <c r="J289" s="232" t="n"/>
      <c r="K289" s="272" t="n"/>
      <c r="L289" s="272">
        <f>IF(K289&lt;&gt;"",12500+K289,12500)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 xml:space="preserve">ORREGO Y MENDIETA </t>
        </is>
      </c>
      <c r="C290" s="275" t="n"/>
      <c r="D290" s="275" t="n"/>
      <c r="E290" s="275" t="n">
        <v>1</v>
      </c>
      <c r="F290" s="276" t="n"/>
      <c r="G290" s="276" t="n"/>
      <c r="H290" s="241" t="n">
        <v>79000</v>
      </c>
      <c r="I290" s="242" t="n">
        <v>79000</v>
      </c>
      <c r="J290" s="242" t="n"/>
      <c r="K290" s="272" t="n"/>
      <c r="L290" s="272">
        <f>IF(K290&lt;&gt;"",32000+K290,32000)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CARCARAES 5820</t>
        </is>
      </c>
      <c r="C291" s="268" t="n"/>
      <c r="D291" s="268" t="n"/>
      <c r="E291" s="268" t="n">
        <v>1</v>
      </c>
      <c r="F291" s="269" t="n"/>
      <c r="G291" s="269" t="n"/>
      <c r="H291" s="231" t="n">
        <v>73000</v>
      </c>
      <c r="I291" s="232" t="n">
        <v>73000</v>
      </c>
      <c r="J291" s="232" t="n"/>
      <c r="K291" s="272" t="n"/>
      <c r="L291" s="272">
        <f>IF(K291&lt;&gt;"",26000+K291,26000)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LUCHO</t>
        </is>
      </c>
      <c r="C292" s="275" t="n"/>
      <c r="D292" s="275" t="n">
        <v>1</v>
      </c>
      <c r="E292" s="275" t="n"/>
      <c r="F292" s="276" t="n"/>
      <c r="G292" s="276" t="n"/>
      <c r="H292" s="241" t="n">
        <v>23000</v>
      </c>
      <c r="I292" s="242" t="n">
        <v>23000</v>
      </c>
      <c r="J292" s="242" t="n"/>
      <c r="K292" s="272" t="n"/>
      <c r="L292" s="272">
        <f>IF(K292&lt;&gt;"",7250+K292,7250)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AZCUEJAGA 5023</t>
        </is>
      </c>
      <c r="C293" s="268" t="n">
        <v>6</v>
      </c>
      <c r="D293" s="268" t="n"/>
      <c r="E293" s="268" t="n"/>
      <c r="F293" s="269" t="n"/>
      <c r="G293" s="269" t="n"/>
      <c r="H293" s="231" t="n">
        <v>90000</v>
      </c>
      <c r="I293" s="232" t="n"/>
      <c r="J293" s="232" t="n">
        <v>90000</v>
      </c>
      <c r="K293" s="272" t="n"/>
      <c r="L293" s="272">
        <f>IF(K293&lt;&gt;"",27000+K293,27000)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 xml:space="preserve">BEATRIZ </t>
        </is>
      </c>
      <c r="C294" s="275" t="n"/>
      <c r="D294" s="275" t="n"/>
      <c r="E294" s="275" t="n"/>
      <c r="F294" s="276" t="n"/>
      <c r="G294" s="276" t="n">
        <v>1</v>
      </c>
      <c r="H294" s="241" t="n">
        <v>5000</v>
      </c>
      <c r="I294" s="242" t="n">
        <v>5000</v>
      </c>
      <c r="J294" s="242" t="n"/>
      <c r="K294" s="272" t="n"/>
      <c r="L294" s="272">
        <f>IF(K294&lt;&gt;"",4200+K294,4200)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 xml:space="preserve">PANA GENESIO </t>
        </is>
      </c>
      <c r="C295" s="268" t="n"/>
      <c r="D295" s="268" t="n"/>
      <c r="E295" s="268" t="n">
        <v>1</v>
      </c>
      <c r="F295" s="269" t="n"/>
      <c r="G295" s="269" t="n"/>
      <c r="H295" s="231" t="n">
        <v>69000</v>
      </c>
      <c r="I295" s="232" t="n">
        <v>69000</v>
      </c>
      <c r="J295" s="232" t="n"/>
      <c r="K295" s="272" t="n"/>
      <c r="L295" s="272">
        <f>IF(K295&lt;&gt;"",22000+K295,22000)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PANA BERUTI 6400</t>
        </is>
      </c>
      <c r="C296" s="275" t="n"/>
      <c r="D296" s="275" t="n"/>
      <c r="E296" s="275" t="n">
        <v>1</v>
      </c>
      <c r="F296" s="276" t="n"/>
      <c r="G296" s="276" t="n"/>
      <c r="H296" s="241" t="n">
        <v>67000</v>
      </c>
      <c r="I296" s="242" t="n">
        <v>67000</v>
      </c>
      <c r="J296" s="242" t="n"/>
      <c r="K296" s="272" t="n"/>
      <c r="L296" s="272">
        <f>IF(K296&lt;&gt;"",20000+K296,20000)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LALO</t>
        </is>
      </c>
      <c r="C297" s="268" t="n"/>
      <c r="D297" s="268" t="n"/>
      <c r="E297" s="268" t="n">
        <v>1</v>
      </c>
      <c r="F297" s="269" t="n"/>
      <c r="G297" s="269" t="n"/>
      <c r="H297" s="231" t="n">
        <v>76000</v>
      </c>
      <c r="I297" s="232" t="n">
        <v>76000</v>
      </c>
      <c r="J297" s="232" t="n"/>
      <c r="K297" s="272" t="n"/>
      <c r="L297" s="272">
        <f>IF(K297&lt;&gt;"",29000+K297,29000)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ROTI AGUADO</t>
        </is>
      </c>
      <c r="C298" s="275" t="n"/>
      <c r="D298" s="275" t="n"/>
      <c r="E298" s="275" t="n">
        <v>1</v>
      </c>
      <c r="F298" s="276" t="n"/>
      <c r="G298" s="276" t="n"/>
      <c r="H298" s="241" t="n">
        <v>74000</v>
      </c>
      <c r="I298" s="242" t="n"/>
      <c r="J298" s="242" t="n">
        <v>74000</v>
      </c>
      <c r="K298" s="272" t="n"/>
      <c r="L298" s="272">
        <f>IF(K298&lt;&gt;"",27000+K298,27000)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SABOREAR</t>
        </is>
      </c>
      <c r="C299" s="268" t="n">
        <v>2</v>
      </c>
      <c r="D299" s="268" t="n"/>
      <c r="E299" s="268" t="n"/>
      <c r="F299" s="269" t="n"/>
      <c r="G299" s="269" t="n"/>
      <c r="H299" s="231" t="n">
        <v>39000</v>
      </c>
      <c r="I299" s="232" t="n"/>
      <c r="J299" s="232" t="n">
        <v>39000</v>
      </c>
      <c r="K299" s="272" t="n"/>
      <c r="L299" s="272">
        <f>IF(K299&lt;&gt;"",18000+K299,18000)</f>
        <v/>
      </c>
      <c r="M299" s="156" t="n"/>
      <c r="N299" s="156" t="n"/>
      <c r="O299" s="156" t="n"/>
    </row>
    <row r="300" ht="18.75" customHeight="1" s="153">
      <c r="A300" s="273" t="n">
        <v>46081</v>
      </c>
      <c r="B300" s="274" t="inlineStr">
        <is>
          <t>OTNIEL</t>
        </is>
      </c>
      <c r="C300" s="275" t="n"/>
      <c r="D300" s="275" t="n"/>
      <c r="E300" s="275" t="n">
        <v>1</v>
      </c>
      <c r="F300" s="276" t="n"/>
      <c r="G300" s="276" t="n">
        <v>1</v>
      </c>
      <c r="H300" s="241" t="n">
        <v>77000</v>
      </c>
      <c r="I300" s="242" t="n"/>
      <c r="J300" s="242" t="n">
        <v>77000</v>
      </c>
      <c r="K300" s="272" t="n"/>
      <c r="L300" s="272">
        <f>IF(K300&lt;&gt;"",29200+K300,29200)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COGORNO 5520</t>
        </is>
      </c>
      <c r="C301" s="268" t="n">
        <v>4</v>
      </c>
      <c r="D301" s="268" t="n"/>
      <c r="E301" s="268" t="n"/>
      <c r="F301" s="269" t="n"/>
      <c r="G301" s="269" t="n"/>
      <c r="H301" s="231" t="n">
        <v>60000</v>
      </c>
      <c r="I301" s="232" t="n"/>
      <c r="J301" s="232" t="n">
        <v>60000</v>
      </c>
      <c r="K301" s="272" t="n"/>
      <c r="L301" s="272">
        <f>IF(K301&lt;&gt;"",18000+K301,18000)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AZOPARDO 8443</t>
        </is>
      </c>
      <c r="C302" s="275" t="n">
        <v>1</v>
      </c>
      <c r="D302" s="275" t="n"/>
      <c r="E302" s="275" t="n"/>
      <c r="F302" s="276" t="n"/>
      <c r="G302" s="276" t="n"/>
      <c r="H302" s="241" t="n">
        <v>21000</v>
      </c>
      <c r="I302" s="242" t="n">
        <v>21000</v>
      </c>
      <c r="J302" s="242" t="n"/>
      <c r="K302" s="272" t="n"/>
      <c r="L302" s="272">
        <f>IF(K302&lt;&gt;"",10500+K302,10500)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ALVEAR 5259</t>
        </is>
      </c>
      <c r="C303" s="268" t="n">
        <v>1</v>
      </c>
      <c r="D303" s="268" t="n"/>
      <c r="E303" s="268" t="n"/>
      <c r="F303" s="269" t="n"/>
      <c r="G303" s="269" t="n"/>
      <c r="H303" s="231" t="n">
        <v>21000</v>
      </c>
      <c r="I303" s="232" t="n">
        <v>21000</v>
      </c>
      <c r="J303" s="232" t="n"/>
      <c r="K303" s="272" t="n"/>
      <c r="L303" s="272">
        <f>IF(K303&lt;&gt;"",10500+K303,10500)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 xml:space="preserve">BRASERIA </t>
        </is>
      </c>
      <c r="C304" s="275" t="n"/>
      <c r="D304" s="275" t="n"/>
      <c r="E304" s="275" t="n">
        <v>1</v>
      </c>
      <c r="F304" s="276" t="n"/>
      <c r="G304" s="276" t="n"/>
      <c r="H304" s="241" t="n">
        <v>73000</v>
      </c>
      <c r="I304" s="242" t="n"/>
      <c r="J304" s="242" t="n">
        <v>73000</v>
      </c>
      <c r="K304" s="272" t="n"/>
      <c r="L304" s="272">
        <f>IF(K304&lt;&gt;"",26000+K304,26000)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CASTELLI 946</t>
        </is>
      </c>
      <c r="C305" s="268" t="n">
        <v>1</v>
      </c>
      <c r="D305" s="268" t="n"/>
      <c r="E305" s="268" t="n"/>
      <c r="F305" s="269" t="n"/>
      <c r="G305" s="269" t="n"/>
      <c r="H305" s="231" t="n">
        <v>23000</v>
      </c>
      <c r="I305" s="232" t="n">
        <v>23000</v>
      </c>
      <c r="J305" s="232" t="n"/>
      <c r="K305" s="272" t="n"/>
      <c r="L305" s="272">
        <f>IF(K305&lt;&gt;"",12500+K305,12500)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LAVADERO</t>
        </is>
      </c>
      <c r="C306" s="275" t="n">
        <v>1</v>
      </c>
      <c r="D306" s="275" t="n">
        <v>1</v>
      </c>
      <c r="E306" s="275" t="n"/>
      <c r="F306" s="276" t="n"/>
      <c r="G306" s="276" t="n"/>
      <c r="H306" s="241" t="n">
        <v>36500</v>
      </c>
      <c r="I306" s="242" t="n">
        <v>36500</v>
      </c>
      <c r="J306" s="242" t="n"/>
      <c r="K306" s="272" t="n"/>
      <c r="L306" s="272">
        <f>IF(K306&lt;&gt;"",10250+K306,10250)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LUCHO</t>
        </is>
      </c>
      <c r="C307" s="268" t="n">
        <v>1</v>
      </c>
      <c r="D307" s="268" t="n"/>
      <c r="E307" s="268" t="n"/>
      <c r="F307" s="269" t="n"/>
      <c r="G307" s="269" t="n"/>
      <c r="H307" s="231" t="n">
        <v>15000</v>
      </c>
      <c r="I307" s="232" t="n"/>
      <c r="J307" s="232" t="n">
        <v>15000</v>
      </c>
      <c r="K307" s="272" t="n"/>
      <c r="L307" s="272">
        <f>IF(K307&lt;&gt;"",4500+K307,4500)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FILOMENA</t>
        </is>
      </c>
      <c r="C308" s="275" t="n">
        <v>2</v>
      </c>
      <c r="D308" s="275" t="n"/>
      <c r="E308" s="275" t="n"/>
      <c r="F308" s="276" t="n"/>
      <c r="G308" s="276" t="n"/>
      <c r="H308" s="241" t="n">
        <v>38000</v>
      </c>
      <c r="I308" s="242" t="n"/>
      <c r="J308" s="242" t="n">
        <v>38000</v>
      </c>
      <c r="K308" s="272" t="n"/>
      <c r="L308" s="272">
        <f>IF(K308&lt;&gt;"",17000+K308,17000)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ABUELA TUYA</t>
        </is>
      </c>
      <c r="C309" s="268" t="n">
        <v>1</v>
      </c>
      <c r="D309" s="268" t="n"/>
      <c r="E309" s="268" t="n"/>
      <c r="F309" s="269" t="n"/>
      <c r="G309" s="269" t="n"/>
      <c r="H309" s="231" t="n">
        <v>22000</v>
      </c>
      <c r="I309" s="232" t="n">
        <v>22000</v>
      </c>
      <c r="J309" s="232" t="n"/>
      <c r="K309" s="272" t="n"/>
      <c r="L309" s="272">
        <f>IF(K309&lt;&gt;"",11500+K309,11500)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VIVERO</t>
        </is>
      </c>
      <c r="C310" s="275" t="n">
        <v>1</v>
      </c>
      <c r="D310" s="275" t="n"/>
      <c r="E310" s="275" t="n"/>
      <c r="F310" s="276" t="n"/>
      <c r="G310" s="276" t="n"/>
      <c r="H310" s="241" t="n">
        <v>22000</v>
      </c>
      <c r="I310" s="242" t="n">
        <v>22000</v>
      </c>
      <c r="J310" s="242" t="n"/>
      <c r="K310" s="272" t="n"/>
      <c r="L310" s="272">
        <f>IF(K310&lt;&gt;"",11500+K310,11500)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MARTIN ZPATA 2101</t>
        </is>
      </c>
      <c r="C311" s="268" t="n">
        <v>1</v>
      </c>
      <c r="D311" s="268" t="n"/>
      <c r="E311" s="268" t="n"/>
      <c r="F311" s="269" t="n"/>
      <c r="G311" s="269" t="n"/>
      <c r="H311" s="231" t="n">
        <v>15000</v>
      </c>
      <c r="I311" s="232" t="n"/>
      <c r="J311" s="232" t="n">
        <v>15000</v>
      </c>
      <c r="K311" s="272" t="n"/>
      <c r="L311" s="272">
        <f>IF(K311&lt;&gt;"",4500+K311,4500)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GORRIT 6638</t>
        </is>
      </c>
      <c r="C312" s="275" t="n">
        <v>1</v>
      </c>
      <c r="D312" s="275" t="n"/>
      <c r="E312" s="275" t="n"/>
      <c r="F312" s="276" t="n"/>
      <c r="G312" s="276" t="n"/>
      <c r="H312" s="241" t="n">
        <v>21000</v>
      </c>
      <c r="I312" s="242" t="n">
        <v>21000</v>
      </c>
      <c r="J312" s="242" t="n"/>
      <c r="K312" s="272" t="n"/>
      <c r="L312" s="272">
        <f>IF(K312&lt;&gt;"",10500+K312,10500)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RIOJA 3552</t>
        </is>
      </c>
      <c r="C313" s="268" t="n">
        <v>1</v>
      </c>
      <c r="D313" s="268" t="n"/>
      <c r="E313" s="268" t="n"/>
      <c r="F313" s="269" t="n"/>
      <c r="G313" s="269" t="n"/>
      <c r="H313" s="231" t="n">
        <v>23000</v>
      </c>
      <c r="I313" s="232" t="n">
        <v>23000</v>
      </c>
      <c r="J313" s="232" t="n"/>
      <c r="K313" s="272" t="n"/>
      <c r="L313" s="272">
        <f>IF(K313&lt;&gt;"",12500+K313,12500)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RIO NEGRO 6570</t>
        </is>
      </c>
      <c r="C314" s="275" t="n"/>
      <c r="D314" s="275" t="n"/>
      <c r="E314" s="275" t="n">
        <v>1</v>
      </c>
      <c r="F314" s="276" t="n"/>
      <c r="G314" s="276" t="n"/>
      <c r="H314" s="241" t="n">
        <v>79000</v>
      </c>
      <c r="I314" s="242" t="n"/>
      <c r="J314" s="242" t="n">
        <v>79000</v>
      </c>
      <c r="K314" s="272" t="n"/>
      <c r="L314" s="272">
        <f>IF(K314&lt;&gt;"",32000+K314,32000)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CAREN</t>
        </is>
      </c>
      <c r="C315" s="268" t="n"/>
      <c r="D315" s="268" t="n"/>
      <c r="E315" s="268" t="n">
        <v>1</v>
      </c>
      <c r="F315" s="269" t="n"/>
      <c r="G315" s="269" t="n"/>
      <c r="H315" s="231" t="n">
        <v>72000</v>
      </c>
      <c r="I315" s="232" t="n"/>
      <c r="J315" s="232" t="n">
        <v>72000</v>
      </c>
      <c r="K315" s="272" t="n"/>
      <c r="L315" s="272">
        <f>IF(K315&lt;&gt;"",25000+K315,25000)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/>
      <c r="D316" s="275" t="n">
        <v>1</v>
      </c>
      <c r="E316" s="275" t="n"/>
      <c r="F316" s="276" t="n"/>
      <c r="G316" s="276" t="n"/>
      <c r="H316" s="241" t="n">
        <v>29000</v>
      </c>
      <c r="I316" s="242" t="n"/>
      <c r="J316" s="242" t="n">
        <v>29000</v>
      </c>
      <c r="K316" s="272" t="n"/>
      <c r="L316" s="272">
        <f>IF(K316&lt;&gt;"",13250+K316,13250)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79" t="n">
        <v>46082</v>
      </c>
      <c r="B5" s="267" t="inlineStr">
        <is>
          <t>JOSE CIBILS</t>
        </is>
      </c>
      <c r="C5" s="268" t="n"/>
      <c r="D5" s="268" t="n"/>
      <c r="E5" s="268" t="n">
        <v>1</v>
      </c>
      <c r="F5" s="269" t="n"/>
      <c r="G5" s="269" t="n"/>
      <c r="H5" s="231" t="n">
        <v>76000</v>
      </c>
      <c r="I5" s="232" t="n"/>
      <c r="J5" s="232" t="n">
        <v>76000</v>
      </c>
      <c r="K5" s="272" t="n"/>
      <c r="L5" s="272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ALSINA 6550</t>
        </is>
      </c>
      <c r="C6" s="275" t="n"/>
      <c r="D6" s="275" t="n">
        <v>1</v>
      </c>
      <c r="E6" s="275" t="n"/>
      <c r="F6" s="276" t="n"/>
      <c r="G6" s="276" t="n"/>
      <c r="H6" s="241" t="n">
        <v>33000</v>
      </c>
      <c r="I6" s="242" t="n">
        <v>33000</v>
      </c>
      <c r="J6" s="242" t="n"/>
      <c r="K6" s="272" t="n"/>
      <c r="L6" s="272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79" t="n"/>
      <c r="B7" s="267" t="inlineStr">
        <is>
          <t>LAS HERAS Y GORRITI</t>
        </is>
      </c>
      <c r="C7" s="268" t="n"/>
      <c r="D7" s="268" t="n"/>
      <c r="E7" s="268" t="n">
        <v>1</v>
      </c>
      <c r="F7" s="269" t="n"/>
      <c r="G7" s="269" t="n"/>
      <c r="H7" s="231" t="n">
        <v>75000</v>
      </c>
      <c r="I7" s="232" t="n"/>
      <c r="J7" s="232" t="n">
        <v>75000</v>
      </c>
      <c r="K7" s="272" t="n"/>
      <c r="L7" s="272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RIVADAVIA 6330</t>
        </is>
      </c>
      <c r="C8" s="275" t="n"/>
      <c r="D8" s="275" t="n">
        <v>1</v>
      </c>
      <c r="E8" s="275" t="n"/>
      <c r="F8" s="276" t="n"/>
      <c r="G8" s="276" t="n"/>
      <c r="H8" s="241" t="n">
        <v>33000</v>
      </c>
      <c r="I8" s="242" t="n"/>
      <c r="J8" s="242" t="n">
        <v>33000</v>
      </c>
      <c r="K8" s="272" t="n"/>
      <c r="L8" s="272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79" t="n"/>
      <c r="B9" s="267" t="inlineStr">
        <is>
          <t>BERUTI 4075</t>
        </is>
      </c>
      <c r="C9" s="268" t="n"/>
      <c r="D9" s="268" t="n"/>
      <c r="E9" s="268" t="n">
        <v>2</v>
      </c>
      <c r="F9" s="269" t="n"/>
      <c r="G9" s="269" t="n"/>
      <c r="H9" s="231" t="n">
        <v>152000</v>
      </c>
      <c r="I9" s="232" t="n"/>
      <c r="J9" s="232" t="n">
        <v>152000</v>
      </c>
      <c r="K9" s="272" t="n"/>
      <c r="L9" s="272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73" t="n"/>
      <c r="B10" s="274" t="inlineStr">
        <is>
          <t>9 DE JULIO 2109</t>
        </is>
      </c>
      <c r="C10" s="275" t="n">
        <v>1</v>
      </c>
      <c r="D10" s="275" t="n"/>
      <c r="E10" s="275" t="n"/>
      <c r="F10" s="276" t="n"/>
      <c r="G10" s="276" t="n"/>
      <c r="H10" s="241" t="n">
        <v>23000</v>
      </c>
      <c r="I10" s="242" t="n"/>
      <c r="J10" s="242" t="n">
        <v>23000</v>
      </c>
      <c r="K10" s="272" t="n"/>
      <c r="L10" s="272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NACHO</t>
        </is>
      </c>
      <c r="C11" s="268" t="n">
        <v>1</v>
      </c>
      <c r="D11" s="268" t="n"/>
      <c r="E11" s="268" t="n"/>
      <c r="F11" s="269" t="n"/>
      <c r="G11" s="269" t="n"/>
      <c r="H11" s="231" t="n">
        <v>19000</v>
      </c>
      <c r="I11" s="232" t="n"/>
      <c r="J11" s="232" t="n">
        <v>19000</v>
      </c>
      <c r="K11" s="272" t="n"/>
      <c r="L11" s="272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73" t="n">
        <v>46083</v>
      </c>
      <c r="B12" s="274" t="inlineStr">
        <is>
          <t>IRMA INGENIEROS 5501</t>
        </is>
      </c>
      <c r="C12" s="275" t="n">
        <v>1</v>
      </c>
      <c r="D12" s="275" t="n"/>
      <c r="E12" s="275" t="n"/>
      <c r="F12" s="276" t="n"/>
      <c r="G12" s="276" t="n"/>
      <c r="H12" s="241" t="n">
        <v>23000</v>
      </c>
      <c r="I12" s="242" t="n">
        <v>23000</v>
      </c>
      <c r="J12" s="242" t="n"/>
      <c r="K12" s="272" t="n"/>
      <c r="L12" s="272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31" t="n">
        <v>21000</v>
      </c>
      <c r="I13" s="232" t="n"/>
      <c r="J13" s="232" t="n">
        <v>21000</v>
      </c>
      <c r="K13" s="272" t="n"/>
      <c r="L13" s="272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73" t="n"/>
      <c r="B14" s="274" t="inlineStr">
        <is>
          <t>VIANDAS JORGE</t>
        </is>
      </c>
      <c r="C14" s="275" t="n">
        <v>1</v>
      </c>
      <c r="D14" s="275" t="n"/>
      <c r="E14" s="275" t="n"/>
      <c r="F14" s="276" t="n"/>
      <c r="G14" s="276" t="n"/>
      <c r="H14" s="241" t="n">
        <v>19000</v>
      </c>
      <c r="I14" s="242" t="n">
        <v>19000</v>
      </c>
      <c r="J14" s="242" t="n"/>
      <c r="K14" s="272" t="n"/>
      <c r="L14" s="272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79" t="n"/>
      <c r="B15" s="267" t="inlineStr">
        <is>
          <t>25 DE MAYO 8347</t>
        </is>
      </c>
      <c r="C15" s="268" t="n">
        <v>1</v>
      </c>
      <c r="D15" s="268" t="n"/>
      <c r="E15" s="268" t="n"/>
      <c r="F15" s="269" t="n"/>
      <c r="G15" s="269" t="n"/>
      <c r="H15" s="231" t="n">
        <v>21000</v>
      </c>
      <c r="I15" s="232" t="n">
        <v>21000</v>
      </c>
      <c r="J15" s="232" t="n"/>
      <c r="K15" s="272" t="n"/>
      <c r="L15" s="272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73" t="n"/>
      <c r="B16" s="274" t="inlineStr">
        <is>
          <t>RICARDO ALDAO 3082</t>
        </is>
      </c>
      <c r="C16" s="275" t="n">
        <v>1</v>
      </c>
      <c r="D16" s="275" t="n"/>
      <c r="E16" s="275" t="n"/>
      <c r="F16" s="276" t="n"/>
      <c r="G16" s="276" t="n"/>
      <c r="H16" s="241" t="n">
        <v>22000</v>
      </c>
      <c r="I16" s="242" t="n">
        <v>22000</v>
      </c>
      <c r="J16" s="242" t="n"/>
      <c r="K16" s="272" t="n"/>
      <c r="L16" s="272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79" t="n"/>
      <c r="B17" s="267" t="inlineStr">
        <is>
          <t>B IRIGOYEN 6634</t>
        </is>
      </c>
      <c r="C17" s="268" t="n">
        <v>1</v>
      </c>
      <c r="D17" s="268" t="n"/>
      <c r="E17" s="268" t="n"/>
      <c r="F17" s="269" t="n"/>
      <c r="G17" s="269" t="n"/>
      <c r="H17" s="231" t="n">
        <v>22000</v>
      </c>
      <c r="I17" s="232" t="n">
        <v>22000</v>
      </c>
      <c r="J17" s="232" t="n"/>
      <c r="K17" s="272" t="n"/>
      <c r="L17" s="272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73" t="n"/>
      <c r="B18" s="274" t="inlineStr">
        <is>
          <t>CAMELI 4860</t>
        </is>
      </c>
      <c r="C18" s="275" t="n">
        <v>2</v>
      </c>
      <c r="D18" s="275" t="n"/>
      <c r="E18" s="275" t="n"/>
      <c r="F18" s="276" t="n"/>
      <c r="G18" s="276" t="n"/>
      <c r="H18" s="241" t="n">
        <v>42000</v>
      </c>
      <c r="I18" s="242" t="n"/>
      <c r="J18" s="242" t="n">
        <v>42000</v>
      </c>
      <c r="K18" s="272" t="n"/>
      <c r="L18" s="272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79" t="n"/>
      <c r="B19" s="267" t="inlineStr">
        <is>
          <t>VICTOR CAPE</t>
        </is>
      </c>
      <c r="C19" s="268" t="n"/>
      <c r="D19" s="268" t="n">
        <v>1</v>
      </c>
      <c r="E19" s="268" t="n"/>
      <c r="F19" s="269" t="n"/>
      <c r="G19" s="269" t="n"/>
      <c r="H19" s="231" t="n">
        <v>32000</v>
      </c>
      <c r="I19" s="232" t="n"/>
      <c r="J19" s="232" t="n">
        <v>32000</v>
      </c>
      <c r="K19" s="272" t="n"/>
      <c r="L19" s="272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73" t="n"/>
      <c r="B20" s="274" t="inlineStr">
        <is>
          <t>FILOMENA</t>
        </is>
      </c>
      <c r="C20" s="275" t="n">
        <v>2</v>
      </c>
      <c r="D20" s="275" t="n"/>
      <c r="E20" s="275" t="n"/>
      <c r="F20" s="276" t="n"/>
      <c r="G20" s="276" t="n"/>
      <c r="H20" s="241" t="n">
        <v>38000</v>
      </c>
      <c r="I20" s="242" t="n">
        <v>38000</v>
      </c>
      <c r="J20" s="242" t="n"/>
      <c r="K20" s="272" t="n"/>
      <c r="L20" s="272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79" t="n">
        <v>46084</v>
      </c>
      <c r="B21" s="267" t="inlineStr">
        <is>
          <t>OTNIEL</t>
        </is>
      </c>
      <c r="C21" s="268" t="n">
        <v>1</v>
      </c>
      <c r="D21" s="268" t="n">
        <v>1</v>
      </c>
      <c r="E21" s="268" t="n">
        <v>1</v>
      </c>
      <c r="F21" s="269" t="n"/>
      <c r="G21" s="269" t="n">
        <v>1</v>
      </c>
      <c r="H21" s="231" t="n">
        <v>127500</v>
      </c>
      <c r="I21" s="232" t="n"/>
      <c r="J21" s="232" t="n">
        <v>127500</v>
      </c>
      <c r="K21" s="272" t="n"/>
      <c r="L21" s="272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73" t="n"/>
      <c r="B22" s="274" t="inlineStr">
        <is>
          <t>ALBERTI 5251</t>
        </is>
      </c>
      <c r="C22" s="275" t="n">
        <v>1</v>
      </c>
      <c r="D22" s="275" t="n"/>
      <c r="E22" s="275" t="n"/>
      <c r="F22" s="276" t="n"/>
      <c r="G22" s="276" t="n"/>
      <c r="H22" s="241" t="n">
        <v>21000</v>
      </c>
      <c r="I22" s="242" t="n">
        <v>21000</v>
      </c>
      <c r="J22" s="242" t="n"/>
      <c r="K22" s="272" t="n"/>
      <c r="L22" s="272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79" t="n"/>
      <c r="B23" s="267" t="inlineStr">
        <is>
          <t>LUCHO</t>
        </is>
      </c>
      <c r="C23" s="268" t="n">
        <v>1</v>
      </c>
      <c r="D23" s="268" t="n"/>
      <c r="E23" s="268" t="n"/>
      <c r="F23" s="269" t="n"/>
      <c r="G23" s="269" t="n"/>
      <c r="H23" s="231" t="n">
        <v>15000</v>
      </c>
      <c r="I23" s="232" t="n">
        <v>15000</v>
      </c>
      <c r="J23" s="232" t="n"/>
      <c r="K23" s="272" t="n"/>
      <c r="L23" s="272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73" t="n"/>
      <c r="B24" s="274" t="inlineStr">
        <is>
          <t>PIEDRABUENA 4506</t>
        </is>
      </c>
      <c r="C24" s="275" t="n"/>
      <c r="D24" s="275" t="n"/>
      <c r="E24" s="275" t="n">
        <v>1</v>
      </c>
      <c r="F24" s="276" t="n"/>
      <c r="G24" s="276" t="n"/>
      <c r="H24" s="241" t="n">
        <v>77000</v>
      </c>
      <c r="I24" s="242" t="n">
        <v>77000</v>
      </c>
      <c r="J24" s="242" t="n"/>
      <c r="K24" s="272" t="n"/>
      <c r="L24" s="272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79" t="n"/>
      <c r="B25" s="267" t="inlineStr">
        <is>
          <t>EX COMBATIENTES 6532</t>
        </is>
      </c>
      <c r="C25" s="268" t="n"/>
      <c r="D25" s="268" t="n">
        <v>1</v>
      </c>
      <c r="E25" s="268" t="n"/>
      <c r="F25" s="269" t="n"/>
      <c r="G25" s="269" t="n"/>
      <c r="H25" s="231" t="n">
        <v>32000</v>
      </c>
      <c r="I25" s="232" t="n">
        <v>32000</v>
      </c>
      <c r="J25" s="232" t="n"/>
      <c r="K25" s="272" t="n"/>
      <c r="L25" s="272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73" t="n"/>
      <c r="B26" s="274" t="inlineStr">
        <is>
          <t>AZOPARD0 10560</t>
        </is>
      </c>
      <c r="C26" s="275" t="n">
        <v>1</v>
      </c>
      <c r="D26" s="275" t="n"/>
      <c r="E26" s="275" t="n"/>
      <c r="F26" s="276" t="n"/>
      <c r="G26" s="276" t="n"/>
      <c r="H26" s="241" t="n">
        <v>21000</v>
      </c>
      <c r="I26" s="242" t="n">
        <v>21000</v>
      </c>
      <c r="J26" s="242" t="n"/>
      <c r="K26" s="272" t="n"/>
      <c r="L26" s="272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79" t="n"/>
      <c r="B27" s="267" t="inlineStr">
        <is>
          <t>PANA GENESIO</t>
        </is>
      </c>
      <c r="C27" s="268" t="n"/>
      <c r="D27" s="268" t="n"/>
      <c r="E27" s="268" t="n">
        <v>1</v>
      </c>
      <c r="F27" s="269" t="n"/>
      <c r="G27" s="269" t="n"/>
      <c r="H27" s="231" t="n">
        <v>69000</v>
      </c>
      <c r="I27" s="232" t="n"/>
      <c r="J27" s="232" t="n">
        <v>69000</v>
      </c>
      <c r="K27" s="272" t="n"/>
      <c r="L27" s="272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73" t="n"/>
      <c r="B28" s="274" t="inlineStr">
        <is>
          <t>POLLERIA BLASPA</t>
        </is>
      </c>
      <c r="C28" s="275" t="n">
        <v>1</v>
      </c>
      <c r="D28" s="275" t="n"/>
      <c r="E28" s="275" t="n"/>
      <c r="F28" s="276" t="n"/>
      <c r="G28" s="276" t="n"/>
      <c r="H28" s="241" t="n">
        <v>18000</v>
      </c>
      <c r="I28" s="242" t="n">
        <v>18000</v>
      </c>
      <c r="J28" s="242" t="n"/>
      <c r="K28" s="272" t="n"/>
      <c r="L28" s="272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79" t="n"/>
      <c r="B29" s="267" t="inlineStr">
        <is>
          <t>SANDRA</t>
        </is>
      </c>
      <c r="C29" s="268" t="n">
        <v>1</v>
      </c>
      <c r="D29" s="268" t="n"/>
      <c r="E29" s="268" t="n"/>
      <c r="F29" s="269" t="n"/>
      <c r="G29" s="269" t="n"/>
      <c r="H29" s="231" t="n">
        <v>15500</v>
      </c>
      <c r="I29" s="232" t="n">
        <v>15500</v>
      </c>
      <c r="J29" s="232" t="n"/>
      <c r="K29" s="272" t="n"/>
      <c r="L29" s="272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73" t="n"/>
      <c r="B30" s="274" t="inlineStr">
        <is>
          <t>F5 GABOTO</t>
        </is>
      </c>
      <c r="C30" s="275" t="n">
        <v>1</v>
      </c>
      <c r="D30" s="275" t="n"/>
      <c r="E30" s="275" t="n"/>
      <c r="F30" s="276" t="n"/>
      <c r="G30" s="276" t="n"/>
      <c r="H30" s="241" t="n">
        <v>20000</v>
      </c>
      <c r="I30" s="242" t="n">
        <v>20000</v>
      </c>
      <c r="J30" s="242" t="n"/>
      <c r="K30" s="272" t="n"/>
      <c r="L30" s="272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79" t="n"/>
      <c r="B31" s="267" t="inlineStr">
        <is>
          <t>SARSOTI 6567</t>
        </is>
      </c>
      <c r="C31" s="268" t="n"/>
      <c r="D31" s="268" t="n">
        <v>1</v>
      </c>
      <c r="E31" s="268" t="n"/>
      <c r="F31" s="269" t="n"/>
      <c r="G31" s="269" t="n"/>
      <c r="H31" s="231" t="n">
        <v>30000</v>
      </c>
      <c r="I31" s="232" t="n"/>
      <c r="J31" s="232" t="n">
        <v>30000</v>
      </c>
      <c r="K31" s="272" t="n"/>
      <c r="L31" s="272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73" t="n"/>
      <c r="B32" s="274" t="inlineStr">
        <is>
          <t>ALBERTI 4930</t>
        </is>
      </c>
      <c r="C32" s="275" t="n"/>
      <c r="D32" s="275" t="n"/>
      <c r="E32" s="275" t="n">
        <v>1</v>
      </c>
      <c r="F32" s="276" t="n"/>
      <c r="G32" s="276" t="n">
        <v>1</v>
      </c>
      <c r="H32" s="241" t="n">
        <v>86000</v>
      </c>
      <c r="I32" s="242" t="n"/>
      <c r="J32" s="242" t="n">
        <v>86000</v>
      </c>
      <c r="K32" s="272" t="n"/>
      <c r="L32" s="272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79" t="n"/>
      <c r="B33" s="267" t="inlineStr">
        <is>
          <t>ROQUE S PENA 7668</t>
        </is>
      </c>
      <c r="C33" s="268" t="n"/>
      <c r="D33" s="268" t="n"/>
      <c r="E33" s="268" t="n">
        <v>1</v>
      </c>
      <c r="F33" s="269" t="n"/>
      <c r="G33" s="269" t="n"/>
      <c r="H33" s="231" t="n">
        <v>73000</v>
      </c>
      <c r="I33" s="232" t="n"/>
      <c r="J33" s="232" t="n">
        <v>73000</v>
      </c>
      <c r="K33" s="272" t="n"/>
      <c r="L33" s="272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73" t="n"/>
      <c r="B34" s="274" t="inlineStr">
        <is>
          <t>CHICLANA 72325</t>
        </is>
      </c>
      <c r="C34" s="275" t="n">
        <v>2</v>
      </c>
      <c r="D34" s="275" t="n"/>
      <c r="E34" s="275" t="n"/>
      <c r="F34" s="276" t="n"/>
      <c r="G34" s="276" t="n"/>
      <c r="H34" s="241" t="n">
        <v>29000</v>
      </c>
      <c r="I34" s="242" t="n">
        <v>29000</v>
      </c>
      <c r="J34" s="242" t="n"/>
      <c r="K34" s="272" t="n"/>
      <c r="L34" s="272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79" t="n"/>
      <c r="B35" s="267" t="inlineStr">
        <is>
          <t>ALMONACID 3637</t>
        </is>
      </c>
      <c r="C35" s="268" t="n">
        <v>1</v>
      </c>
      <c r="D35" s="268" t="n"/>
      <c r="E35" s="268" t="n"/>
      <c r="F35" s="269" t="n"/>
      <c r="G35" s="269" t="n"/>
      <c r="H35" s="231" t="n">
        <v>21000</v>
      </c>
      <c r="I35" s="232" t="n">
        <v>21000</v>
      </c>
      <c r="J35" s="232" t="n"/>
      <c r="K35" s="272" t="n"/>
      <c r="L35" s="272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73" t="n"/>
      <c r="B36" s="274" t="inlineStr">
        <is>
          <t>PANA ALBERTI</t>
        </is>
      </c>
      <c r="C36" s="275" t="n"/>
      <c r="D36" s="275" t="n"/>
      <c r="E36" s="275" t="n">
        <v>1</v>
      </c>
      <c r="F36" s="276" t="n"/>
      <c r="G36" s="276" t="n"/>
      <c r="H36" s="241" t="n">
        <v>72000</v>
      </c>
      <c r="I36" s="242" t="n">
        <v>72000</v>
      </c>
      <c r="J36" s="242" t="n"/>
      <c r="K36" s="272" t="n"/>
      <c r="L36" s="272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79" t="n"/>
      <c r="B37" s="267" t="inlineStr">
        <is>
          <t>ALBERTI 5200</t>
        </is>
      </c>
      <c r="C37" s="268" t="n">
        <v>1</v>
      </c>
      <c r="D37" s="268" t="n"/>
      <c r="E37" s="268" t="n"/>
      <c r="F37" s="269" t="n"/>
      <c r="G37" s="269" t="n"/>
      <c r="H37" s="231" t="n">
        <v>20000</v>
      </c>
      <c r="I37" s="232" t="n"/>
      <c r="J37" s="232" t="n">
        <v>20000</v>
      </c>
      <c r="K37" s="272" t="n"/>
      <c r="L37" s="272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73" t="n">
        <v>46085</v>
      </c>
      <c r="B38" s="274" t="inlineStr">
        <is>
          <t>PANA GORRITI 4600</t>
        </is>
      </c>
      <c r="C38" s="275" t="n"/>
      <c r="D38" s="275" t="n"/>
      <c r="E38" s="275" t="n">
        <v>1</v>
      </c>
      <c r="F38" s="276" t="n"/>
      <c r="G38" s="276" t="n"/>
      <c r="H38" s="241" t="n">
        <v>74000</v>
      </c>
      <c r="I38" s="242" t="n">
        <v>74000</v>
      </c>
      <c r="J38" s="242" t="n"/>
      <c r="K38" s="272" t="n"/>
      <c r="L38" s="272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79" t="n"/>
      <c r="B39" s="267" t="inlineStr">
        <is>
          <t>SAVEDRA 10125</t>
        </is>
      </c>
      <c r="C39" s="268" t="n"/>
      <c r="D39" s="268" t="n"/>
      <c r="E39" s="268" t="n">
        <v>1</v>
      </c>
      <c r="F39" s="269" t="n"/>
      <c r="G39" s="269" t="n"/>
      <c r="H39" s="231" t="n">
        <v>79000</v>
      </c>
      <c r="I39" s="232" t="n"/>
      <c r="J39" s="232" t="n">
        <v>79000</v>
      </c>
      <c r="K39" s="272" t="n"/>
      <c r="L39" s="272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73" t="n"/>
      <c r="B40" s="274" t="inlineStr">
        <is>
          <t xml:space="preserve">ROTI ZEBALLOS </t>
        </is>
      </c>
      <c r="C40" s="275" t="n">
        <v>2</v>
      </c>
      <c r="D40" s="275" t="n"/>
      <c r="E40" s="275" t="n"/>
      <c r="F40" s="276" t="n"/>
      <c r="G40" s="276" t="n"/>
      <c r="H40" s="241" t="n">
        <v>38000</v>
      </c>
      <c r="I40" s="242" t="n">
        <v>38000</v>
      </c>
      <c r="J40" s="242" t="n"/>
      <c r="K40" s="272" t="n"/>
      <c r="L40" s="272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79" t="n"/>
      <c r="B41" s="267" t="inlineStr">
        <is>
          <t>ESPORA 4874</t>
        </is>
      </c>
      <c r="C41" s="268" t="n"/>
      <c r="D41" s="268" t="n">
        <v>1</v>
      </c>
      <c r="E41" s="268" t="n"/>
      <c r="F41" s="269" t="n"/>
      <c r="G41" s="269" t="n"/>
      <c r="H41" s="231" t="n">
        <v>32000</v>
      </c>
      <c r="I41" s="232" t="n"/>
      <c r="J41" s="232" t="n">
        <v>32000</v>
      </c>
      <c r="K41" s="272" t="n"/>
      <c r="L41" s="272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73" t="n"/>
      <c r="B42" s="274" t="inlineStr">
        <is>
          <t>D SILVA 4217</t>
        </is>
      </c>
      <c r="C42" s="275" t="n">
        <v>3</v>
      </c>
      <c r="D42" s="275" t="n"/>
      <c r="E42" s="275" t="n"/>
      <c r="F42" s="276" t="n"/>
      <c r="G42" s="276" t="n"/>
      <c r="H42" s="241" t="n">
        <v>43500</v>
      </c>
      <c r="I42" s="242" t="n"/>
      <c r="J42" s="242" t="n">
        <v>43500</v>
      </c>
      <c r="K42" s="272" t="n"/>
      <c r="L42" s="272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79" t="n"/>
      <c r="B43" s="267" t="inlineStr">
        <is>
          <t>P CEBALLOS 8134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68000</v>
      </c>
      <c r="I43" s="232" t="n"/>
      <c r="J43" s="232" t="n">
        <v>68000</v>
      </c>
      <c r="K43" s="272" t="n"/>
      <c r="L43" s="272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73" t="n"/>
      <c r="B44" s="274" t="inlineStr">
        <is>
          <t>GENEIRO 8200 CASA 2</t>
        </is>
      </c>
      <c r="C44" s="275" t="n">
        <v>1</v>
      </c>
      <c r="D44" s="275" t="n"/>
      <c r="E44" s="275" t="n"/>
      <c r="F44" s="276" t="n"/>
      <c r="G44" s="276" t="n"/>
      <c r="H44" s="241" t="n">
        <v>21000</v>
      </c>
      <c r="I44" s="242" t="n">
        <v>21000</v>
      </c>
      <c r="J44" s="242" t="n"/>
      <c r="K44" s="272" t="n"/>
      <c r="L44" s="272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79" t="n"/>
      <c r="B45" s="267" t="inlineStr">
        <is>
          <t>LUCHO</t>
        </is>
      </c>
      <c r="C45" s="268" t="n">
        <v>3</v>
      </c>
      <c r="D45" s="268" t="n"/>
      <c r="E45" s="268" t="n"/>
      <c r="F45" s="269" t="n"/>
      <c r="G45" s="269" t="n"/>
      <c r="H45" s="231" t="n">
        <v>45000</v>
      </c>
      <c r="I45" s="232" t="n">
        <v>45000</v>
      </c>
      <c r="J45" s="232" t="n"/>
      <c r="K45" s="272" t="n"/>
      <c r="L45" s="272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73" t="n"/>
      <c r="B46" s="274" t="inlineStr">
        <is>
          <t>LEMAN 7856</t>
        </is>
      </c>
      <c r="C46" s="275" t="n">
        <v>1</v>
      </c>
      <c r="D46" s="275" t="n"/>
      <c r="E46" s="275" t="n"/>
      <c r="F46" s="276" t="n"/>
      <c r="G46" s="276" t="n"/>
      <c r="H46" s="241" t="n">
        <v>20000</v>
      </c>
      <c r="I46" s="242" t="n">
        <v>20000</v>
      </c>
      <c r="J46" s="242" t="n"/>
      <c r="K46" s="272" t="n"/>
      <c r="L46" s="272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79" t="n"/>
      <c r="B47" s="267" t="inlineStr">
        <is>
          <t>CARRI FILOMENA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73" t="n"/>
      <c r="B48" s="274" t="inlineStr">
        <is>
          <t>PANA GENESIO</t>
        </is>
      </c>
      <c r="C48" s="275" t="n">
        <v>1</v>
      </c>
      <c r="D48" s="275" t="n"/>
      <c r="E48" s="275" t="n"/>
      <c r="F48" s="276" t="n"/>
      <c r="G48" s="276" t="n"/>
      <c r="H48" s="241" t="n">
        <v>19000</v>
      </c>
      <c r="I48" s="242" t="n"/>
      <c r="J48" s="242" t="n">
        <v>19000</v>
      </c>
      <c r="K48" s="272" t="n"/>
      <c r="L48" s="272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79" t="n"/>
      <c r="B49" s="267" t="inlineStr">
        <is>
          <t>J CAMPILLO 1637</t>
        </is>
      </c>
      <c r="C49" s="268" t="n"/>
      <c r="D49" s="268" t="n">
        <v>1</v>
      </c>
      <c r="E49" s="268" t="n"/>
      <c r="F49" s="269" t="n"/>
      <c r="G49" s="269" t="n"/>
      <c r="H49" s="231" t="n">
        <v>33000</v>
      </c>
      <c r="I49" s="232" t="n">
        <v>33000</v>
      </c>
      <c r="J49" s="232" t="n"/>
      <c r="K49" s="272" t="n"/>
      <c r="L49" s="272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73" t="n"/>
      <c r="B50" s="274" t="inlineStr">
        <is>
          <t>EMIR</t>
        </is>
      </c>
      <c r="C50" s="275" t="n">
        <v>1</v>
      </c>
      <c r="D50" s="275" t="n"/>
      <c r="E50" s="275" t="n"/>
      <c r="F50" s="276" t="n"/>
      <c r="G50" s="276" t="n"/>
      <c r="H50" s="241" t="n">
        <v>22000</v>
      </c>
      <c r="I50" s="242" t="n"/>
      <c r="J50" s="242" t="n">
        <v>22000</v>
      </c>
      <c r="K50" s="272" t="n"/>
      <c r="L50" s="272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79" t="n"/>
      <c r="B51" s="267" t="inlineStr">
        <is>
          <t>AZCUENAGA 5023</t>
        </is>
      </c>
      <c r="C51" s="268" t="n">
        <v>7</v>
      </c>
      <c r="D51" s="268" t="n">
        <v>2</v>
      </c>
      <c r="E51" s="268" t="n"/>
      <c r="F51" s="269" t="n"/>
      <c r="G51" s="269" t="n"/>
      <c r="H51" s="231" t="n">
        <v>150000</v>
      </c>
      <c r="I51" s="232" t="n">
        <v>150000</v>
      </c>
      <c r="J51" s="232" t="n"/>
      <c r="K51" s="272" t="n"/>
      <c r="L51" s="272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73" t="n"/>
      <c r="B52" s="274" t="inlineStr">
        <is>
          <t>PIRU</t>
        </is>
      </c>
      <c r="C52" s="275" t="n"/>
      <c r="D52" s="275" t="n">
        <v>1</v>
      </c>
      <c r="E52" s="275" t="n"/>
      <c r="F52" s="276" t="n"/>
      <c r="G52" s="276" t="n"/>
      <c r="H52" s="241" t="n">
        <v>31500</v>
      </c>
      <c r="I52" s="242" t="n">
        <v>31500</v>
      </c>
      <c r="J52" s="242" t="n"/>
      <c r="K52" s="272" t="n"/>
      <c r="L52" s="272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79" t="n">
        <v>46086</v>
      </c>
      <c r="B53" s="267" t="inlineStr">
        <is>
          <t>FABIAN LUBRICENTRO</t>
        </is>
      </c>
      <c r="C53" s="268" t="n">
        <v>1</v>
      </c>
      <c r="D53" s="268" t="n"/>
      <c r="E53" s="268" t="n"/>
      <c r="F53" s="269" t="n"/>
      <c r="G53" s="269" t="n"/>
      <c r="H53" s="231" t="n">
        <v>21000</v>
      </c>
      <c r="I53" s="232" t="n">
        <v>21000</v>
      </c>
      <c r="J53" s="232" t="n"/>
      <c r="K53" s="272" t="n"/>
      <c r="L53" s="272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73" t="n"/>
      <c r="B54" s="274" t="inlineStr">
        <is>
          <t>CHICLANA 7325</t>
        </is>
      </c>
      <c r="C54" s="275" t="n">
        <v>1</v>
      </c>
      <c r="D54" s="275" t="n"/>
      <c r="E54" s="275" t="n"/>
      <c r="F54" s="276" t="n"/>
      <c r="G54" s="276" t="n"/>
      <c r="H54" s="241" t="n">
        <v>14500</v>
      </c>
      <c r="I54" s="242" t="n">
        <v>14500</v>
      </c>
      <c r="J54" s="242" t="n"/>
      <c r="K54" s="272" t="n"/>
      <c r="L54" s="272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79" t="n"/>
      <c r="B55" s="267" t="inlineStr">
        <is>
          <t>PARAGUAY 10333</t>
        </is>
      </c>
      <c r="C55" s="268" t="n"/>
      <c r="D55" s="268" t="n"/>
      <c r="E55" s="268" t="n">
        <v>1</v>
      </c>
      <c r="F55" s="269" t="n"/>
      <c r="G55" s="269" t="n"/>
      <c r="H55" s="231" t="n">
        <v>75000</v>
      </c>
      <c r="I55" s="232" t="n">
        <v>75000</v>
      </c>
      <c r="J55" s="232" t="n"/>
      <c r="K55" s="272" t="n"/>
      <c r="L55" s="272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73" t="n"/>
      <c r="B56" s="274" t="inlineStr">
        <is>
          <t>GOROSTIAGA 4659</t>
        </is>
      </c>
      <c r="C56" s="275" t="n"/>
      <c r="D56" s="275" t="n"/>
      <c r="E56" s="275" t="n">
        <v>1</v>
      </c>
      <c r="F56" s="276" t="n"/>
      <c r="G56" s="276" t="n"/>
      <c r="H56" s="241" t="n">
        <v>76000</v>
      </c>
      <c r="I56" s="242" t="n"/>
      <c r="J56" s="242" t="n">
        <v>76000</v>
      </c>
      <c r="K56" s="272" t="n"/>
      <c r="L56" s="272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79" t="n"/>
      <c r="B57" s="267" t="inlineStr">
        <is>
          <t>GUEMES 4421</t>
        </is>
      </c>
      <c r="C57" s="268" t="n">
        <v>1</v>
      </c>
      <c r="D57" s="268" t="n"/>
      <c r="E57" s="268" t="n"/>
      <c r="F57" s="269" t="n"/>
      <c r="G57" s="269" t="n"/>
      <c r="H57" s="231" t="n">
        <v>21000</v>
      </c>
      <c r="I57" s="232" t="n"/>
      <c r="J57" s="232" t="n">
        <v>21000</v>
      </c>
      <c r="K57" s="272" t="n"/>
      <c r="L57" s="272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73" t="n"/>
      <c r="B58" s="274" t="inlineStr">
        <is>
          <t>RIOJA 2934</t>
        </is>
      </c>
      <c r="C58" s="275" t="n">
        <v>1</v>
      </c>
      <c r="D58" s="275" t="n"/>
      <c r="E58" s="275" t="n"/>
      <c r="F58" s="276" t="n"/>
      <c r="G58" s="276" t="n"/>
      <c r="H58" s="241" t="n">
        <v>23000</v>
      </c>
      <c r="I58" s="242" t="n"/>
      <c r="J58" s="242" t="n">
        <v>23000</v>
      </c>
      <c r="K58" s="272" t="n"/>
      <c r="L58" s="272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LARGUIA 6924</t>
        </is>
      </c>
      <c r="C59" s="268" t="n">
        <v>1</v>
      </c>
      <c r="D59" s="268" t="n"/>
      <c r="E59" s="268" t="n"/>
      <c r="F59" s="269" t="n"/>
      <c r="G59" s="269" t="n"/>
      <c r="H59" s="231" t="n">
        <v>22500</v>
      </c>
      <c r="I59" s="232" t="n"/>
      <c r="J59" s="232" t="n">
        <v>22500</v>
      </c>
      <c r="K59" s="272" t="n"/>
      <c r="L59" s="272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73" t="n"/>
      <c r="B60" s="274" t="inlineStr">
        <is>
          <t>IGUALDAD</t>
        </is>
      </c>
      <c r="C60" s="275" t="n">
        <v>1</v>
      </c>
      <c r="D60" s="275" t="n"/>
      <c r="E60" s="275" t="n"/>
      <c r="F60" s="276" t="n"/>
      <c r="G60" s="276" t="n"/>
      <c r="H60" s="241" t="n">
        <v>20000</v>
      </c>
      <c r="I60" s="242" t="n">
        <v>20000</v>
      </c>
      <c r="J60" s="242" t="n"/>
      <c r="K60" s="272" t="n"/>
      <c r="L60" s="272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79" t="n"/>
      <c r="B61" s="267" t="inlineStr">
        <is>
          <t>SAN LORENZO 1987</t>
        </is>
      </c>
      <c r="C61" s="268" t="n"/>
      <c r="D61" s="268" t="n"/>
      <c r="E61" s="268" t="n">
        <v>1</v>
      </c>
      <c r="F61" s="269" t="n"/>
      <c r="G61" s="269" t="n"/>
      <c r="H61" s="231" t="n">
        <v>75000</v>
      </c>
      <c r="I61" s="232" t="n">
        <v>75000</v>
      </c>
      <c r="J61" s="232" t="n"/>
      <c r="K61" s="272" t="n"/>
      <c r="L61" s="272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73" t="n"/>
      <c r="B62" s="274" t="inlineStr">
        <is>
          <t>FILOMENA</t>
        </is>
      </c>
      <c r="C62" s="275" t="n">
        <v>1</v>
      </c>
      <c r="D62" s="275" t="n"/>
      <c r="E62" s="275" t="n"/>
      <c r="F62" s="276" t="n"/>
      <c r="G62" s="276" t="n"/>
      <c r="H62" s="241" t="n">
        <v>19000</v>
      </c>
      <c r="I62" s="242" t="n"/>
      <c r="J62" s="242" t="n">
        <v>19000</v>
      </c>
      <c r="K62" s="272" t="n"/>
      <c r="L62" s="272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79" t="n"/>
      <c r="B63" s="267" t="inlineStr">
        <is>
          <t>BERUTI 4057</t>
        </is>
      </c>
      <c r="C63" s="268" t="n"/>
      <c r="D63" s="268" t="n"/>
      <c r="E63" s="268" t="n">
        <v>1</v>
      </c>
      <c r="F63" s="269" t="n"/>
      <c r="G63" s="269" t="n"/>
      <c r="H63" s="231" t="n">
        <v>75000</v>
      </c>
      <c r="I63" s="232" t="n"/>
      <c r="J63" s="232" t="n">
        <v>75000</v>
      </c>
      <c r="K63" s="272" t="n"/>
      <c r="L63" s="272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73" t="n"/>
      <c r="B64" s="274" t="inlineStr">
        <is>
          <t>LAVAISE 1074</t>
        </is>
      </c>
      <c r="C64" s="275" t="n"/>
      <c r="D64" s="275" t="n"/>
      <c r="E64" s="275" t="n"/>
      <c r="F64" s="276" t="n"/>
      <c r="G64" s="276" t="n">
        <v>2</v>
      </c>
      <c r="H64" s="241" t="n">
        <v>12000</v>
      </c>
      <c r="I64" s="242" t="n"/>
      <c r="J64" s="242" t="n">
        <v>12000</v>
      </c>
      <c r="K64" s="272" t="n"/>
      <c r="L64" s="272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79" t="n"/>
      <c r="B65" s="267" t="inlineStr">
        <is>
          <t>PANA VOEYTES 4500</t>
        </is>
      </c>
      <c r="C65" s="268" t="n"/>
      <c r="D65" s="268" t="n"/>
      <c r="E65" s="268" t="n">
        <v>1</v>
      </c>
      <c r="F65" s="269" t="n"/>
      <c r="G65" s="269" t="n"/>
      <c r="H65" s="231" t="n">
        <v>68000</v>
      </c>
      <c r="I65" s="232" t="n"/>
      <c r="J65" s="232" t="n">
        <v>68000</v>
      </c>
      <c r="K65" s="272" t="n"/>
      <c r="L65" s="272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73" t="n"/>
      <c r="B66" s="274" t="inlineStr">
        <is>
          <t>EXE</t>
        </is>
      </c>
      <c r="C66" s="275" t="n"/>
      <c r="D66" s="275" t="n"/>
      <c r="E66" s="275" t="n">
        <v>1</v>
      </c>
      <c r="F66" s="276" t="n"/>
      <c r="G66" s="276" t="n"/>
      <c r="H66" s="241" t="n">
        <v>72000</v>
      </c>
      <c r="I66" s="242" t="n"/>
      <c r="J66" s="242" t="n">
        <v>72000</v>
      </c>
      <c r="K66" s="272" t="n"/>
      <c r="L66" s="272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79" t="n"/>
      <c r="B67" s="267" t="inlineStr">
        <is>
          <t>CAFERATA 9416</t>
        </is>
      </c>
      <c r="C67" s="268" t="n"/>
      <c r="D67" s="268" t="n">
        <v>1</v>
      </c>
      <c r="E67" s="268" t="n"/>
      <c r="F67" s="269" t="n"/>
      <c r="G67" s="269" t="n"/>
      <c r="H67" s="231" t="n">
        <v>33000</v>
      </c>
      <c r="I67" s="232" t="n">
        <v>33000</v>
      </c>
      <c r="J67" s="232" t="n"/>
      <c r="K67" s="272" t="n"/>
      <c r="L67" s="272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73" t="n"/>
      <c r="B68" s="274" t="inlineStr">
        <is>
          <t>PANA VIEYTE 3800</t>
        </is>
      </c>
      <c r="C68" s="275" t="n"/>
      <c r="D68" s="275" t="n"/>
      <c r="E68" s="275" t="n">
        <v>2</v>
      </c>
      <c r="F68" s="276" t="n"/>
      <c r="G68" s="276" t="n"/>
      <c r="H68" s="241" t="n">
        <v>148000</v>
      </c>
      <c r="I68" s="242" t="n"/>
      <c r="J68" s="242" t="n">
        <v>148000</v>
      </c>
      <c r="K68" s="272" t="n"/>
      <c r="L68" s="272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79" t="n"/>
      <c r="B69" s="267" t="inlineStr">
        <is>
          <t>CAREN</t>
        </is>
      </c>
      <c r="C69" s="268" t="n"/>
      <c r="D69" s="268" t="n"/>
      <c r="E69" s="268" t="n">
        <v>1</v>
      </c>
      <c r="F69" s="269" t="n"/>
      <c r="G69" s="269" t="n"/>
      <c r="H69" s="231" t="n">
        <v>72000</v>
      </c>
      <c r="I69" s="232" t="n"/>
      <c r="J69" s="232" t="n">
        <v>72000</v>
      </c>
      <c r="K69" s="272" t="n"/>
      <c r="L69" s="272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73" t="n"/>
      <c r="B70" s="274" t="inlineStr">
        <is>
          <t>LAVADERO</t>
        </is>
      </c>
      <c r="C70" s="275" t="n">
        <v>1</v>
      </c>
      <c r="D70" s="275" t="n"/>
      <c r="E70" s="275" t="n"/>
      <c r="F70" s="276" t="n"/>
      <c r="G70" s="276" t="n"/>
      <c r="H70" s="241" t="n">
        <v>14500</v>
      </c>
      <c r="I70" s="242" t="n"/>
      <c r="J70" s="242" t="n">
        <v>14500</v>
      </c>
      <c r="K70" s="272" t="n"/>
      <c r="L70" s="272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79" t="n">
        <v>46087</v>
      </c>
      <c r="B71" s="267" t="inlineStr">
        <is>
          <t>PANA ALBERTI</t>
        </is>
      </c>
      <c r="C71" s="268" t="n"/>
      <c r="D71" s="268" t="n"/>
      <c r="E71" s="268" t="n">
        <v>1</v>
      </c>
      <c r="F71" s="269" t="n"/>
      <c r="G71" s="269" t="n"/>
      <c r="H71" s="231" t="n">
        <v>72000</v>
      </c>
      <c r="I71" s="232" t="n">
        <v>72000</v>
      </c>
      <c r="J71" s="232" t="n"/>
      <c r="K71" s="272" t="n"/>
      <c r="L71" s="272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73" t="n"/>
      <c r="B72" s="274" t="inlineStr">
        <is>
          <t xml:space="preserve">ALE RUIZ </t>
        </is>
      </c>
      <c r="C72" s="275" t="n"/>
      <c r="D72" s="275" t="n"/>
      <c r="E72" s="275" t="n"/>
      <c r="F72" s="276" t="n"/>
      <c r="G72" s="276" t="n">
        <v>1</v>
      </c>
      <c r="H72" s="241" t="n">
        <v>5000</v>
      </c>
      <c r="I72" s="242" t="n">
        <v>5000</v>
      </c>
      <c r="J72" s="242" t="n"/>
      <c r="K72" s="272" t="n"/>
      <c r="L72" s="272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79" t="n"/>
      <c r="B73" s="267" t="inlineStr">
        <is>
          <t>CHICLANA 7325</t>
        </is>
      </c>
      <c r="C73" s="268" t="n">
        <v>1</v>
      </c>
      <c r="D73" s="268" t="n"/>
      <c r="E73" s="268" t="n"/>
      <c r="F73" s="269" t="n"/>
      <c r="G73" s="269" t="n"/>
      <c r="H73" s="231" t="n">
        <v>14500</v>
      </c>
      <c r="I73" s="232" t="n">
        <v>14500</v>
      </c>
      <c r="J73" s="232" t="n"/>
      <c r="K73" s="272" t="n"/>
      <c r="L73" s="272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73" t="n"/>
      <c r="B74" s="274" t="inlineStr">
        <is>
          <t>PANA GENESIO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79" t="n"/>
      <c r="B75" s="267" t="inlineStr">
        <is>
          <t>AGUADO 8432</t>
        </is>
      </c>
      <c r="C75" s="268" t="n">
        <v>1</v>
      </c>
      <c r="D75" s="268" t="n"/>
      <c r="E75" s="268" t="n"/>
      <c r="F75" s="269" t="n"/>
      <c r="G75" s="269" t="n"/>
      <c r="H75" s="231" t="n">
        <v>21000</v>
      </c>
      <c r="I75" s="232" t="n">
        <v>21000</v>
      </c>
      <c r="J75" s="232" t="n"/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73" t="n"/>
      <c r="B76" s="274" t="inlineStr">
        <is>
          <t>SANDRA</t>
        </is>
      </c>
      <c r="C76" s="275" t="n">
        <v>1</v>
      </c>
      <c r="D76" s="275" t="n"/>
      <c r="E76" s="275" t="n"/>
      <c r="F76" s="276" t="n"/>
      <c r="G76" s="276" t="n"/>
      <c r="H76" s="241" t="n">
        <v>15000</v>
      </c>
      <c r="I76" s="242" t="n">
        <v>15000</v>
      </c>
      <c r="J76" s="242" t="n"/>
      <c r="K76" s="272" t="n"/>
      <c r="L76" s="272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79" t="n"/>
      <c r="B77" s="267" t="inlineStr">
        <is>
          <t>SAVEDRA 7701</t>
        </is>
      </c>
      <c r="C77" s="268" t="n"/>
      <c r="D77" s="268" t="n"/>
      <c r="E77" s="268" t="n">
        <v>1</v>
      </c>
      <c r="F77" s="269" t="n"/>
      <c r="G77" s="269" t="n"/>
      <c r="H77" s="231" t="n">
        <v>75000</v>
      </c>
      <c r="I77" s="232" t="n">
        <v>75000</v>
      </c>
      <c r="J77" s="232" t="n"/>
      <c r="K77" s="272" t="n"/>
      <c r="L77" s="272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73" t="n"/>
      <c r="B78" s="274" t="inlineStr">
        <is>
          <t>BEATRIZ</t>
        </is>
      </c>
      <c r="C78" s="275" t="n"/>
      <c r="D78" s="275" t="n"/>
      <c r="E78" s="275" t="n"/>
      <c r="F78" s="276" t="n"/>
      <c r="G78" s="276" t="n">
        <v>1</v>
      </c>
      <c r="H78" s="241" t="n">
        <v>5500</v>
      </c>
      <c r="I78" s="242" t="n"/>
      <c r="J78" s="242" t="n">
        <v>5500</v>
      </c>
      <c r="K78" s="272" t="n"/>
      <c r="L78" s="272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79" t="n"/>
      <c r="B79" s="267" t="inlineStr">
        <is>
          <t>MANTOVANI 6537</t>
        </is>
      </c>
      <c r="C79" s="268" t="n">
        <v>1</v>
      </c>
      <c r="D79" s="268" t="n"/>
      <c r="E79" s="268" t="n"/>
      <c r="F79" s="269" t="n"/>
      <c r="G79" s="269" t="n"/>
      <c r="H79" s="231" t="n">
        <v>21000</v>
      </c>
      <c r="I79" s="232" t="n">
        <v>21000</v>
      </c>
      <c r="J79" s="232" t="n"/>
      <c r="K79" s="272" t="n"/>
      <c r="L79" s="272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73" t="n"/>
      <c r="B80" s="274" t="inlineStr">
        <is>
          <t>MATEU 3378</t>
        </is>
      </c>
      <c r="C80" s="275" t="n">
        <v>1</v>
      </c>
      <c r="D80" s="275" t="n"/>
      <c r="E80" s="275" t="n"/>
      <c r="F80" s="276" t="n"/>
      <c r="G80" s="276" t="n"/>
      <c r="H80" s="241" t="n">
        <v>20000</v>
      </c>
      <c r="I80" s="242" t="n">
        <v>20000</v>
      </c>
      <c r="J80" s="242" t="n"/>
      <c r="K80" s="272" t="n"/>
      <c r="L80" s="272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79" t="n"/>
      <c r="B81" s="267" t="inlineStr">
        <is>
          <t>BRASERIA</t>
        </is>
      </c>
      <c r="C81" s="268" t="n"/>
      <c r="D81" s="268" t="n"/>
      <c r="E81" s="268" t="n">
        <v>1</v>
      </c>
      <c r="F81" s="269" t="n"/>
      <c r="G81" s="269" t="n"/>
      <c r="H81" s="231" t="n">
        <v>73000</v>
      </c>
      <c r="I81" s="232" t="n">
        <v>50000</v>
      </c>
      <c r="J81" s="232" t="n">
        <v>23000</v>
      </c>
      <c r="K81" s="272" t="n"/>
      <c r="L81" s="272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73" t="n"/>
      <c r="B82" s="274" t="inlineStr">
        <is>
          <t>SABOREAR</t>
        </is>
      </c>
      <c r="C82" s="275" t="n">
        <v>2</v>
      </c>
      <c r="D82" s="275" t="n"/>
      <c r="E82" s="275" t="n"/>
      <c r="F82" s="276" t="n"/>
      <c r="G82" s="276" t="n"/>
      <c r="H82" s="241" t="n">
        <v>39000</v>
      </c>
      <c r="I82" s="242" t="n"/>
      <c r="J82" s="242" t="n">
        <v>39000</v>
      </c>
      <c r="K82" s="272" t="n"/>
      <c r="L82" s="272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79" t="n"/>
      <c r="B83" s="267" t="inlineStr">
        <is>
          <t>FILOMENA</t>
        </is>
      </c>
      <c r="C83" s="268" t="n">
        <v>1</v>
      </c>
      <c r="D83" s="268" t="n"/>
      <c r="E83" s="268" t="n"/>
      <c r="F83" s="269" t="n"/>
      <c r="G83" s="269" t="n"/>
      <c r="H83" s="231" t="n">
        <v>19000</v>
      </c>
      <c r="I83" s="232" t="n"/>
      <c r="J83" s="232" t="n">
        <v>19000</v>
      </c>
      <c r="K83" s="272" t="n"/>
      <c r="L83" s="272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73" t="n"/>
      <c r="B84" s="274" t="inlineStr">
        <is>
          <t>OTNIEL</t>
        </is>
      </c>
      <c r="C84" s="275" t="n"/>
      <c r="D84" s="275" t="n"/>
      <c r="E84" s="275" t="n"/>
      <c r="F84" s="276" t="n"/>
      <c r="G84" s="276" t="n">
        <v>1</v>
      </c>
      <c r="H84" s="241" t="n">
        <v>5500</v>
      </c>
      <c r="I84" s="242" t="n"/>
      <c r="J84" s="242" t="n">
        <v>5500</v>
      </c>
      <c r="K84" s="272" t="n"/>
      <c r="L84" s="272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79" t="n"/>
      <c r="B85" s="267" t="inlineStr">
        <is>
          <t xml:space="preserve">ABUELA MARGA </t>
        </is>
      </c>
      <c r="C85" s="268" t="n">
        <v>2</v>
      </c>
      <c r="D85" s="268" t="n"/>
      <c r="E85" s="268" t="n"/>
      <c r="F85" s="269" t="n"/>
      <c r="G85" s="269" t="n"/>
      <c r="H85" s="231" t="n">
        <v>39000</v>
      </c>
      <c r="I85" s="232" t="n">
        <v>39000</v>
      </c>
      <c r="J85" s="232" t="n"/>
      <c r="K85" s="272" t="n"/>
      <c r="L85" s="272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73" t="n"/>
      <c r="B86" s="274" t="inlineStr">
        <is>
          <t>NACHO</t>
        </is>
      </c>
      <c r="C86" s="275" t="n">
        <v>1</v>
      </c>
      <c r="D86" s="275" t="n"/>
      <c r="E86" s="275" t="n"/>
      <c r="F86" s="276" t="n"/>
      <c r="G86" s="276" t="n"/>
      <c r="H86" s="241" t="n">
        <v>19000</v>
      </c>
      <c r="I86" s="242" t="n"/>
      <c r="J86" s="242" t="n">
        <v>19000</v>
      </c>
      <c r="K86" s="272" t="n"/>
      <c r="L86" s="272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79" t="n"/>
      <c r="B87" s="267" t="inlineStr">
        <is>
          <t>PUBLICO 1829</t>
        </is>
      </c>
      <c r="C87" s="268" t="n"/>
      <c r="D87" s="268" t="n"/>
      <c r="E87" s="268" t="n">
        <v>1</v>
      </c>
      <c r="F87" s="269" t="n"/>
      <c r="G87" s="269" t="n"/>
      <c r="H87" s="231" t="n">
        <v>76000</v>
      </c>
      <c r="I87" s="232" t="n"/>
      <c r="J87" s="232" t="n">
        <v>76000</v>
      </c>
      <c r="K87" s="272" t="n"/>
      <c r="L87" s="272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73" t="n"/>
      <c r="B88" s="274" t="inlineStr">
        <is>
          <t>M CANDIOTI 5759</t>
        </is>
      </c>
      <c r="C88" s="275" t="n">
        <v>1</v>
      </c>
      <c r="D88" s="275" t="n"/>
      <c r="E88" s="275" t="n"/>
      <c r="F88" s="276" t="n"/>
      <c r="G88" s="276" t="n"/>
      <c r="H88" s="241" t="n">
        <v>23000</v>
      </c>
      <c r="I88" s="242" t="n">
        <v>23000</v>
      </c>
      <c r="J88" s="242" t="n"/>
      <c r="K88" s="272" t="n"/>
      <c r="L88" s="272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79" t="n"/>
      <c r="B89" s="267" t="inlineStr">
        <is>
          <t xml:space="preserve">9 DE JULIO 1144 </t>
        </is>
      </c>
      <c r="C89" s="268" t="n"/>
      <c r="D89" s="268" t="n"/>
      <c r="E89" s="268" t="n">
        <v>2</v>
      </c>
      <c r="F89" s="269" t="n"/>
      <c r="G89" s="269" t="n"/>
      <c r="H89" s="231" t="n">
        <v>158000</v>
      </c>
      <c r="I89" s="232" t="n"/>
      <c r="J89" s="232" t="n">
        <v>158000</v>
      </c>
      <c r="K89" s="272" t="n"/>
      <c r="L89" s="272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73" t="n">
        <v>46088</v>
      </c>
      <c r="B90" s="274" t="inlineStr">
        <is>
          <t>FRAY CAYETANO 3823</t>
        </is>
      </c>
      <c r="C90" s="275" t="n"/>
      <c r="D90" s="275" t="n"/>
      <c r="E90" s="275" t="n">
        <v>1</v>
      </c>
      <c r="F90" s="276" t="n"/>
      <c r="G90" s="276" t="n"/>
      <c r="H90" s="241" t="n">
        <v>79000</v>
      </c>
      <c r="I90" s="242" t="n">
        <v>79000</v>
      </c>
      <c r="J90" s="242" t="n"/>
      <c r="K90" s="272" t="n"/>
      <c r="L90" s="272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79" t="n"/>
      <c r="B91" s="267" t="inlineStr">
        <is>
          <t>J P LOPEZ 1875</t>
        </is>
      </c>
      <c r="C91" s="268" t="n"/>
      <c r="D91" s="268" t="n">
        <v>1</v>
      </c>
      <c r="E91" s="268" t="n"/>
      <c r="F91" s="269" t="n"/>
      <c r="G91" s="269" t="n"/>
      <c r="H91" s="231" t="n">
        <v>33000</v>
      </c>
      <c r="I91" s="232" t="n">
        <v>33000</v>
      </c>
      <c r="J91" s="232" t="n"/>
      <c r="K91" s="272" t="n"/>
      <c r="L91" s="272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73" t="n"/>
      <c r="B92" s="274" t="inlineStr">
        <is>
          <t xml:space="preserve">DANI TALLER </t>
        </is>
      </c>
      <c r="C92" s="275" t="n">
        <v>1</v>
      </c>
      <c r="D92" s="275" t="n"/>
      <c r="E92" s="275" t="n"/>
      <c r="F92" s="276" t="n"/>
      <c r="G92" s="276" t="n"/>
      <c r="H92" s="241" t="n">
        <v>17000</v>
      </c>
      <c r="I92" s="242" t="n">
        <v>17000</v>
      </c>
      <c r="J92" s="242" t="n"/>
      <c r="K92" s="272" t="n"/>
      <c r="L92" s="272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79" t="n"/>
      <c r="B93" s="267" t="inlineStr">
        <is>
          <t>FRENCH BIS 2000 GONZA TORRI</t>
        </is>
      </c>
      <c r="C93" s="268" t="n"/>
      <c r="D93" s="268" t="n"/>
      <c r="E93" s="268" t="n">
        <v>1</v>
      </c>
      <c r="F93" s="269" t="n"/>
      <c r="G93" s="269" t="n"/>
      <c r="H93" s="231" t="n">
        <v>97000</v>
      </c>
      <c r="I93" s="232" t="n"/>
      <c r="J93" s="232" t="n">
        <v>97000</v>
      </c>
      <c r="K93" s="272" t="n"/>
      <c r="L93" s="272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73" t="n"/>
      <c r="B94" s="274" t="inlineStr">
        <is>
          <t xml:space="preserve">LAVADERO </t>
        </is>
      </c>
      <c r="C94" s="275" t="n">
        <v>1</v>
      </c>
      <c r="D94" s="275" t="n"/>
      <c r="E94" s="275" t="n"/>
      <c r="F94" s="276" t="n"/>
      <c r="G94" s="276" t="n"/>
      <c r="H94" s="241" t="n">
        <v>14500</v>
      </c>
      <c r="I94" s="242" t="n">
        <v>14500</v>
      </c>
      <c r="J94" s="242" t="n"/>
      <c r="K94" s="272" t="n"/>
      <c r="L94" s="272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79" t="n"/>
      <c r="B95" s="267" t="inlineStr">
        <is>
          <t>R GODOY 1614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/>
      <c r="J95" s="232" t="n">
        <v>21000</v>
      </c>
      <c r="K95" s="272" t="n"/>
      <c r="L95" s="272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73" t="n"/>
      <c r="B96" s="274" t="inlineStr">
        <is>
          <t>LOBOS</t>
        </is>
      </c>
      <c r="C96" s="275" t="n"/>
      <c r="D96" s="275" t="n"/>
      <c r="E96" s="275" t="n">
        <v>1</v>
      </c>
      <c r="F96" s="276" t="n"/>
      <c r="G96" s="276" t="n"/>
      <c r="H96" s="241" t="n">
        <v>79000</v>
      </c>
      <c r="I96" s="242" t="n">
        <v>79000</v>
      </c>
      <c r="J96" s="242" t="n"/>
      <c r="K96" s="272" t="n"/>
      <c r="L96" s="272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79" t="n"/>
      <c r="B97" s="267" t="inlineStr">
        <is>
          <t>LUCHO</t>
        </is>
      </c>
      <c r="C97" s="268" t="n">
        <v>2</v>
      </c>
      <c r="D97" s="268" t="n"/>
      <c r="E97" s="268" t="n"/>
      <c r="F97" s="269" t="n"/>
      <c r="G97" s="269" t="n"/>
      <c r="H97" s="231" t="n">
        <v>30000</v>
      </c>
      <c r="I97" s="232" t="n"/>
      <c r="J97" s="232" t="n">
        <v>30000</v>
      </c>
      <c r="K97" s="272" t="n"/>
      <c r="L97" s="272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73" t="n"/>
      <c r="B98" s="274" t="inlineStr">
        <is>
          <t>GABOTO 7445</t>
        </is>
      </c>
      <c r="C98" s="275" t="n">
        <v>1</v>
      </c>
      <c r="D98" s="275" t="n"/>
      <c r="E98" s="275" t="n"/>
      <c r="F98" s="276" t="n"/>
      <c r="G98" s="276" t="n"/>
      <c r="H98" s="241" t="n">
        <v>20000</v>
      </c>
      <c r="I98" s="242" t="n">
        <v>20000</v>
      </c>
      <c r="J98" s="242" t="n"/>
      <c r="K98" s="272" t="n"/>
      <c r="L98" s="272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2</v>
      </c>
      <c r="D99" s="268" t="n">
        <v>1</v>
      </c>
      <c r="E99" s="268" t="n"/>
      <c r="F99" s="269" t="n"/>
      <c r="G99" s="269" t="n"/>
      <c r="H99" s="231" t="n">
        <v>52500</v>
      </c>
      <c r="I99" s="232" t="n"/>
      <c r="J99" s="232" t="n">
        <v>52500</v>
      </c>
      <c r="K99" s="272" t="n"/>
      <c r="L99" s="272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73" t="n"/>
      <c r="B100" s="274" t="inlineStr">
        <is>
          <t>HNO OTNIEL</t>
        </is>
      </c>
      <c r="C100" s="275" t="n"/>
      <c r="D100" s="275" t="n"/>
      <c r="E100" s="275" t="n"/>
      <c r="F100" s="276" t="n"/>
      <c r="G100" s="276" t="n">
        <v>1</v>
      </c>
      <c r="H100" s="241" t="n">
        <v>5500</v>
      </c>
      <c r="I100" s="242" t="n"/>
      <c r="J100" s="242" t="n">
        <v>5500</v>
      </c>
      <c r="K100" s="272" t="n"/>
      <c r="L100" s="272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79" t="n"/>
      <c r="B101" s="267" t="inlineStr">
        <is>
          <t>LUCHO</t>
        </is>
      </c>
      <c r="C101" s="268" t="n"/>
      <c r="D101" s="268" t="n"/>
      <c r="E101" s="268" t="n"/>
      <c r="F101" s="269" t="n"/>
      <c r="G101" s="269" t="n">
        <v>1</v>
      </c>
      <c r="H101" s="231" t="n">
        <v>5500</v>
      </c>
      <c r="I101" s="232" t="n">
        <v>5500</v>
      </c>
      <c r="J101" s="232" t="n"/>
      <c r="K101" s="272" t="n"/>
      <c r="L101" s="272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73" t="n"/>
      <c r="B102" s="274" t="inlineStr">
        <is>
          <t>P DE VEGA 1428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>
        <v>22000</v>
      </c>
      <c r="J102" s="242" t="n"/>
      <c r="K102" s="272" t="n"/>
      <c r="L102" s="272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79" t="n"/>
      <c r="B103" s="267" t="inlineStr">
        <is>
          <t>LOLI</t>
        </is>
      </c>
      <c r="C103" s="268" t="n"/>
      <c r="D103" s="268" t="n">
        <v>1</v>
      </c>
      <c r="E103" s="268" t="n"/>
      <c r="F103" s="269" t="n">
        <v>6</v>
      </c>
      <c r="G103" s="269" t="n"/>
      <c r="H103" s="231" t="n">
        <v>54000</v>
      </c>
      <c r="I103" s="232" t="n">
        <v>54000</v>
      </c>
      <c r="J103" s="232" t="n"/>
      <c r="K103" s="272" t="n"/>
      <c r="L103" s="272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73" t="n"/>
      <c r="B104" s="274" t="inlineStr">
        <is>
          <t>LAVAISE 4366</t>
        </is>
      </c>
      <c r="C104" s="275" t="n"/>
      <c r="D104" s="275" t="n">
        <v>1</v>
      </c>
      <c r="E104" s="275" t="n"/>
      <c r="F104" s="276" t="n"/>
      <c r="G104" s="276" t="n"/>
      <c r="H104" s="241" t="n">
        <v>31500</v>
      </c>
      <c r="I104" s="242" t="n">
        <v>31500</v>
      </c>
      <c r="J104" s="242" t="n"/>
      <c r="K104" s="272" t="n"/>
      <c r="L104" s="272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79" t="n"/>
      <c r="B105" s="267" t="inlineStr">
        <is>
          <t>A DELGADO 1737</t>
        </is>
      </c>
      <c r="C105" s="268" t="n">
        <v>1</v>
      </c>
      <c r="D105" s="268" t="n"/>
      <c r="E105" s="268" t="n"/>
      <c r="F105" s="269" t="n"/>
      <c r="G105" s="269" t="n"/>
      <c r="H105" s="231" t="n">
        <v>23000</v>
      </c>
      <c r="I105" s="232" t="n">
        <v>23000</v>
      </c>
      <c r="J105" s="232" t="n"/>
      <c r="K105" s="272" t="n"/>
      <c r="L105" s="272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73" t="n"/>
      <c r="B106" s="274" t="inlineStr">
        <is>
          <t>SABOREAR</t>
        </is>
      </c>
      <c r="C106" s="275" t="n"/>
      <c r="D106" s="275" t="n">
        <v>1</v>
      </c>
      <c r="E106" s="275" t="n"/>
      <c r="F106" s="276" t="n"/>
      <c r="G106" s="276" t="n"/>
      <c r="H106" s="241" t="n">
        <v>29000</v>
      </c>
      <c r="I106" s="242" t="n"/>
      <c r="J106" s="242" t="n">
        <v>29000</v>
      </c>
      <c r="K106" s="272" t="n"/>
      <c r="L106" s="272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79" t="n"/>
      <c r="B107" s="267" t="inlineStr">
        <is>
          <t>FILOMENA</t>
        </is>
      </c>
      <c r="C107" s="268" t="n">
        <v>2</v>
      </c>
      <c r="D107" s="268" t="n"/>
      <c r="E107" s="268" t="n"/>
      <c r="F107" s="269" t="n"/>
      <c r="G107" s="269" t="n"/>
      <c r="H107" s="231" t="n">
        <v>38000</v>
      </c>
      <c r="I107" s="232" t="n"/>
      <c r="J107" s="232" t="n">
        <v>38000</v>
      </c>
      <c r="K107" s="272" t="n"/>
      <c r="L107" s="272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73" t="n"/>
      <c r="B108" s="274" t="inlineStr">
        <is>
          <t>ROTI AGUADO</t>
        </is>
      </c>
      <c r="C108" s="275" t="n"/>
      <c r="D108" s="275" t="n">
        <v>1</v>
      </c>
      <c r="E108" s="275" t="n"/>
      <c r="F108" s="276" t="n"/>
      <c r="G108" s="276" t="n"/>
      <c r="H108" s="241" t="n">
        <v>28000</v>
      </c>
      <c r="I108" s="242" t="n"/>
      <c r="J108" s="242" t="n">
        <v>28000</v>
      </c>
      <c r="K108" s="272" t="n"/>
      <c r="L108" s="272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79" t="n"/>
      <c r="B109" s="267" t="inlineStr">
        <is>
          <t>ANA ABDALA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>
        <v>23000</v>
      </c>
      <c r="J109" s="232" t="n"/>
      <c r="K109" s="272" t="n"/>
      <c r="L109" s="272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73" t="n"/>
      <c r="B110" s="274" t="inlineStr">
        <is>
          <t>ROTI VIEYTES</t>
        </is>
      </c>
      <c r="C110" s="275" t="n"/>
      <c r="D110" s="275" t="n">
        <v>2</v>
      </c>
      <c r="E110" s="275" t="n"/>
      <c r="F110" s="276" t="n"/>
      <c r="G110" s="276" t="n"/>
      <c r="H110" s="241" t="n">
        <v>45000</v>
      </c>
      <c r="I110" s="242" t="n"/>
      <c r="J110" s="242" t="n">
        <v>45000</v>
      </c>
      <c r="K110" s="272" t="n"/>
      <c r="L110" s="272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79" t="n"/>
      <c r="B111" s="267" t="inlineStr">
        <is>
          <t>PANA VIEYTES 4500</t>
        </is>
      </c>
      <c r="C111" s="268" t="n"/>
      <c r="D111" s="268" t="n"/>
      <c r="E111" s="268" t="n">
        <v>1</v>
      </c>
      <c r="F111" s="269" t="n"/>
      <c r="G111" s="269" t="n"/>
      <c r="H111" s="231" t="n">
        <v>68000</v>
      </c>
      <c r="I111" s="232" t="n"/>
      <c r="J111" s="232" t="n">
        <v>68000</v>
      </c>
      <c r="K111" s="272" t="n"/>
      <c r="L111" s="272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73" t="n"/>
      <c r="B112" s="274" t="inlineStr">
        <is>
          <t>NAMUNCURA 4436</t>
        </is>
      </c>
      <c r="C112" s="275" t="n"/>
      <c r="D112" s="275" t="n"/>
      <c r="E112" s="275" t="n">
        <v>1</v>
      </c>
      <c r="F112" s="276" t="n"/>
      <c r="G112" s="276" t="n"/>
      <c r="H112" s="241" t="n">
        <v>76000</v>
      </c>
      <c r="I112" s="242" t="n"/>
      <c r="J112" s="242" t="n">
        <v>76000</v>
      </c>
      <c r="K112" s="272" t="n"/>
      <c r="L112" s="272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79" t="n"/>
      <c r="B113" s="267" t="inlineStr">
        <is>
          <t>NACHO</t>
        </is>
      </c>
      <c r="C113" s="268" t="n"/>
      <c r="D113" s="268" t="n">
        <v>2</v>
      </c>
      <c r="E113" s="268" t="n"/>
      <c r="F113" s="269" t="n"/>
      <c r="G113" s="269" t="n"/>
      <c r="H113" s="231" t="n">
        <v>28500</v>
      </c>
      <c r="I113" s="232" t="n"/>
      <c r="J113" s="232" t="n">
        <v>28500</v>
      </c>
      <c r="K113" s="272" t="n"/>
      <c r="L113" s="272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73" t="n">
        <v>46090</v>
      </c>
      <c r="B114" s="274" t="inlineStr">
        <is>
          <t>DOMINGO SIVLA 4217</t>
        </is>
      </c>
      <c r="C114" s="275" t="n">
        <v>3</v>
      </c>
      <c r="D114" s="275" t="n"/>
      <c r="E114" s="275" t="n"/>
      <c r="F114" s="276" t="n"/>
      <c r="G114" s="276" t="n"/>
      <c r="H114" s="241" t="n">
        <v>43500</v>
      </c>
      <c r="I114" s="242" t="n"/>
      <c r="J114" s="242" t="n">
        <v>43500</v>
      </c>
      <c r="K114" s="272" t="n"/>
      <c r="L114" s="272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79" t="n"/>
      <c r="B115" s="267" t="inlineStr">
        <is>
          <t xml:space="preserve">VIANDA JORGE </t>
        </is>
      </c>
      <c r="C115" s="268" t="n">
        <v>1</v>
      </c>
      <c r="D115" s="268" t="n"/>
      <c r="E115" s="268" t="n"/>
      <c r="F115" s="269" t="n"/>
      <c r="G115" s="269" t="n"/>
      <c r="H115" s="231" t="n">
        <v>19000</v>
      </c>
      <c r="I115" s="232" t="n">
        <v>19000</v>
      </c>
      <c r="J115" s="232" t="n"/>
      <c r="K115" s="272" t="n"/>
      <c r="L115" s="272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73" t="n"/>
      <c r="B116" s="274" t="inlineStr">
        <is>
          <t>OTNIEL</t>
        </is>
      </c>
      <c r="C116" s="275" t="n"/>
      <c r="D116" s="275" t="n"/>
      <c r="E116" s="275" t="n"/>
      <c r="F116" s="276" t="n">
        <v>4</v>
      </c>
      <c r="G116" s="276" t="n"/>
      <c r="H116" s="241" t="n">
        <v>14000</v>
      </c>
      <c r="I116" s="242" t="n"/>
      <c r="J116" s="242" t="n">
        <v>14000</v>
      </c>
      <c r="K116" s="272" t="n"/>
      <c r="L116" s="272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79" t="n"/>
      <c r="B117" s="267" t="inlineStr">
        <is>
          <t>CHICLAMNA 7325</t>
        </is>
      </c>
      <c r="C117" s="268" t="n">
        <v>1</v>
      </c>
      <c r="D117" s="268" t="n"/>
      <c r="E117" s="268" t="n"/>
      <c r="F117" s="269" t="n"/>
      <c r="G117" s="269" t="n"/>
      <c r="H117" s="231" t="n">
        <v>15500</v>
      </c>
      <c r="I117" s="232" t="n">
        <v>15500</v>
      </c>
      <c r="J117" s="232" t="n"/>
      <c r="K117" s="272" t="n"/>
      <c r="L117" s="272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73" t="n"/>
      <c r="B118" s="274" t="inlineStr">
        <is>
          <t>EX COMBATIENTES 5583</t>
        </is>
      </c>
      <c r="C118" s="275" t="n">
        <v>1</v>
      </c>
      <c r="D118" s="275" t="n"/>
      <c r="E118" s="275" t="n"/>
      <c r="F118" s="276" t="n"/>
      <c r="G118" s="276" t="n"/>
      <c r="H118" s="241" t="n">
        <v>21000</v>
      </c>
      <c r="I118" s="242" t="n">
        <v>21000</v>
      </c>
      <c r="J118" s="242" t="n"/>
      <c r="K118" s="272" t="n"/>
      <c r="L118" s="272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79" t="n"/>
      <c r="B119" s="267" t="inlineStr">
        <is>
          <t>SAN MARTIN 1925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>
        <v>22000</v>
      </c>
      <c r="J119" s="232" t="n"/>
      <c r="K119" s="272" t="n"/>
      <c r="L119" s="272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73" t="n"/>
      <c r="B120" s="274" t="inlineStr">
        <is>
          <t>LARREA 5068</t>
        </is>
      </c>
      <c r="C120" s="275" t="n">
        <v>1</v>
      </c>
      <c r="D120" s="275" t="n"/>
      <c r="E120" s="275" t="n"/>
      <c r="F120" s="276" t="n"/>
      <c r="G120" s="276" t="n"/>
      <c r="H120" s="241" t="n">
        <v>22000</v>
      </c>
      <c r="I120" s="242" t="n">
        <v>22000</v>
      </c>
      <c r="J120" s="242" t="n"/>
      <c r="K120" s="272" t="n"/>
      <c r="L120" s="272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79" t="n"/>
      <c r="B121" s="267" t="inlineStr">
        <is>
          <t>RISSO 5454</t>
        </is>
      </c>
      <c r="C121" s="268" t="n">
        <v>1</v>
      </c>
      <c r="D121" s="268" t="n"/>
      <c r="E121" s="268" t="n"/>
      <c r="F121" s="269" t="n"/>
      <c r="G121" s="269" t="n"/>
      <c r="H121" s="231" t="n">
        <v>21000</v>
      </c>
      <c r="I121" s="232" t="n">
        <v>21000</v>
      </c>
      <c r="J121" s="232" t="n"/>
      <c r="K121" s="272" t="n"/>
      <c r="L121" s="272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73" t="n"/>
      <c r="B122" s="274" t="inlineStr">
        <is>
          <t>SANDRA</t>
        </is>
      </c>
      <c r="C122" s="275" t="n">
        <v>1</v>
      </c>
      <c r="D122" s="275" t="n"/>
      <c r="E122" s="275" t="n"/>
      <c r="F122" s="276" t="n"/>
      <c r="G122" s="276" t="n"/>
      <c r="H122" s="241" t="n">
        <v>15500</v>
      </c>
      <c r="I122" s="242" t="n">
        <v>15500</v>
      </c>
      <c r="J122" s="242" t="n"/>
      <c r="K122" s="272" t="n"/>
      <c r="L122" s="272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79" t="n"/>
      <c r="B123" s="267" t="inlineStr">
        <is>
          <t>F FERNANDEZ Y VIÑAS</t>
        </is>
      </c>
      <c r="C123" s="268" t="n">
        <v>1</v>
      </c>
      <c r="D123" s="268" t="n"/>
      <c r="E123" s="268" t="n"/>
      <c r="F123" s="269" t="n"/>
      <c r="G123" s="269" t="n"/>
      <c r="H123" s="231" t="n">
        <v>21000</v>
      </c>
      <c r="I123" s="232" t="n">
        <v>21000</v>
      </c>
      <c r="J123" s="232" t="n"/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73" t="n"/>
      <c r="B124" s="274" t="inlineStr">
        <is>
          <t>PENALOZA 7220</t>
        </is>
      </c>
      <c r="C124" s="275" t="n"/>
      <c r="D124" s="275" t="n"/>
      <c r="E124" s="275" t="n">
        <v>1</v>
      </c>
      <c r="F124" s="276" t="n"/>
      <c r="G124" s="276" t="n"/>
      <c r="H124" s="241" t="n">
        <v>74000</v>
      </c>
      <c r="I124" s="242" t="n"/>
      <c r="J124" s="242" t="n">
        <v>74000</v>
      </c>
      <c r="K124" s="272" t="n"/>
      <c r="L124" s="272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79" t="n"/>
      <c r="B125" s="267" t="inlineStr">
        <is>
          <t>AZOPARDO 7218</t>
        </is>
      </c>
      <c r="C125" s="268" t="n">
        <v>1</v>
      </c>
      <c r="D125" s="268" t="n"/>
      <c r="E125" s="268" t="n"/>
      <c r="F125" s="269" t="n"/>
      <c r="G125" s="269" t="n"/>
      <c r="H125" s="231" t="n">
        <v>21000</v>
      </c>
      <c r="I125" s="232" t="n">
        <v>21000</v>
      </c>
      <c r="J125" s="232" t="n"/>
      <c r="K125" s="272" t="n"/>
      <c r="L125" s="272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73" t="n"/>
      <c r="B126" s="274" t="inlineStr">
        <is>
          <t>PANA GENESIO</t>
        </is>
      </c>
      <c r="C126" s="275" t="n">
        <v>1</v>
      </c>
      <c r="D126" s="275" t="n"/>
      <c r="E126" s="275" t="n"/>
      <c r="F126" s="276" t="n"/>
      <c r="G126" s="276" t="n"/>
      <c r="H126" s="241" t="n">
        <v>19000</v>
      </c>
      <c r="I126" s="242" t="n"/>
      <c r="J126" s="242" t="n">
        <v>19000</v>
      </c>
      <c r="K126" s="272" t="n"/>
      <c r="L126" s="272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79" t="n">
        <v>46091</v>
      </c>
      <c r="B127" s="267" t="inlineStr">
        <is>
          <t>SAN AMRTIN 3939</t>
        </is>
      </c>
      <c r="C127" s="268" t="n">
        <v>1</v>
      </c>
      <c r="D127" s="268" t="n"/>
      <c r="E127" s="268" t="n"/>
      <c r="F127" s="269" t="n"/>
      <c r="G127" s="269" t="n"/>
      <c r="H127" s="231" t="n">
        <v>23000</v>
      </c>
      <c r="I127" s="232" t="n">
        <v>23000</v>
      </c>
      <c r="J127" s="232" t="n"/>
      <c r="K127" s="272" t="n"/>
      <c r="L127" s="272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73" t="n"/>
      <c r="B128" s="274" t="inlineStr">
        <is>
          <t>PANA VIEYTES GISELA</t>
        </is>
      </c>
      <c r="C128" s="275" t="n"/>
      <c r="D128" s="275" t="n"/>
      <c r="E128" s="275" t="n"/>
      <c r="F128" s="276" t="n">
        <v>2</v>
      </c>
      <c r="G128" s="276" t="n"/>
      <c r="H128" s="241" t="n">
        <v>7000</v>
      </c>
      <c r="I128" s="242" t="n"/>
      <c r="J128" s="242" t="n">
        <v>7000</v>
      </c>
      <c r="K128" s="272" t="n"/>
      <c r="L128" s="272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79" t="n"/>
      <c r="B129" s="267" t="inlineStr">
        <is>
          <t>PAULO</t>
        </is>
      </c>
      <c r="C129" s="268" t="n">
        <v>3</v>
      </c>
      <c r="D129" s="268" t="n"/>
      <c r="E129" s="268" t="n"/>
      <c r="F129" s="269" t="n"/>
      <c r="G129" s="269" t="n"/>
      <c r="H129" s="231" t="n">
        <v>46500</v>
      </c>
      <c r="I129" s="232" t="n">
        <v>46500</v>
      </c>
      <c r="J129" s="232" t="n"/>
      <c r="K129" s="272" t="n"/>
      <c r="L129" s="272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73" t="n"/>
      <c r="B130" s="274" t="inlineStr">
        <is>
          <t>LUCHO</t>
        </is>
      </c>
      <c r="C130" s="275" t="n">
        <v>1</v>
      </c>
      <c r="D130" s="275" t="n"/>
      <c r="E130" s="275" t="n"/>
      <c r="F130" s="276" t="n"/>
      <c r="G130" s="276" t="n"/>
      <c r="H130" s="241" t="n">
        <v>15500</v>
      </c>
      <c r="I130" s="242" t="n">
        <v>15500</v>
      </c>
      <c r="J130" s="242" t="n"/>
      <c r="K130" s="272" t="n"/>
      <c r="L130" s="272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79" t="n"/>
      <c r="B131" s="267" t="inlineStr">
        <is>
          <t>AGUADP 6970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73" t="n"/>
      <c r="B132" s="274" t="inlineStr">
        <is>
          <t>AYACUCHO 4878</t>
        </is>
      </c>
      <c r="C132" s="275" t="n"/>
      <c r="D132" s="275" t="n">
        <v>1</v>
      </c>
      <c r="E132" s="275" t="n"/>
      <c r="F132" s="276" t="n"/>
      <c r="G132" s="276" t="n"/>
      <c r="H132" s="241" t="n">
        <v>33000</v>
      </c>
      <c r="I132" s="242" t="n">
        <v>33000</v>
      </c>
      <c r="J132" s="242" t="n"/>
      <c r="K132" s="272" t="n"/>
      <c r="L132" s="272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79" t="n"/>
      <c r="B133" s="267" t="inlineStr">
        <is>
          <t>BRAZIL 4117</t>
        </is>
      </c>
      <c r="C133" s="268" t="n"/>
      <c r="D133" s="268" t="n"/>
      <c r="E133" s="268" t="n">
        <v>1</v>
      </c>
      <c r="F133" s="269" t="n"/>
      <c r="G133" s="269" t="n"/>
      <c r="H133" s="231" t="n">
        <v>76000</v>
      </c>
      <c r="I133" s="232" t="n"/>
      <c r="J133" s="232" t="n">
        <v>76000</v>
      </c>
      <c r="K133" s="272" t="n"/>
      <c r="L133" s="272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73" t="n"/>
      <c r="B134" s="274" t="inlineStr">
        <is>
          <t>LASAGA 7023</t>
        </is>
      </c>
      <c r="C134" s="275" t="n"/>
      <c r="D134" s="275" t="n">
        <v>1</v>
      </c>
      <c r="E134" s="275" t="n"/>
      <c r="F134" s="276" t="n"/>
      <c r="G134" s="276" t="n"/>
      <c r="H134" s="241" t="n">
        <v>33000</v>
      </c>
      <c r="I134" s="242" t="n">
        <v>33000</v>
      </c>
      <c r="J134" s="242" t="n"/>
      <c r="K134" s="272" t="n"/>
      <c r="L134" s="272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79" t="n"/>
      <c r="B135" s="267" t="inlineStr">
        <is>
          <t>MARCE DUSSO</t>
        </is>
      </c>
      <c r="C135" s="268" t="n">
        <v>4</v>
      </c>
      <c r="D135" s="268" t="n"/>
      <c r="E135" s="268" t="n">
        <v>1</v>
      </c>
      <c r="F135" s="269" t="n"/>
      <c r="G135" s="269" t="n"/>
      <c r="H135" s="231" t="n">
        <v>132000</v>
      </c>
      <c r="I135" s="232" t="n"/>
      <c r="J135" s="232" t="n">
        <v>132000</v>
      </c>
      <c r="K135" s="272" t="n"/>
      <c r="L135" s="272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73" t="n"/>
      <c r="B136" s="274" t="inlineStr">
        <is>
          <t>RIVADAVIA JUNIOR</t>
        </is>
      </c>
      <c r="C136" s="275" t="n">
        <v>1</v>
      </c>
      <c r="D136" s="275" t="n"/>
      <c r="E136" s="275" t="n"/>
      <c r="F136" s="276" t="n"/>
      <c r="G136" s="276" t="n"/>
      <c r="H136" s="241" t="n">
        <v>23000</v>
      </c>
      <c r="I136" s="242" t="n">
        <v>23000</v>
      </c>
      <c r="J136" s="242" t="n"/>
      <c r="K136" s="272" t="n"/>
      <c r="L136" s="272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79" t="n"/>
      <c r="B137" s="267" t="inlineStr">
        <is>
          <t>PIEDRABUENA 4599</t>
        </is>
      </c>
      <c r="C137" s="268" t="n"/>
      <c r="D137" s="268" t="n"/>
      <c r="E137" s="268" t="n">
        <v>1</v>
      </c>
      <c r="F137" s="269" t="n"/>
      <c r="G137" s="269" t="n"/>
      <c r="H137" s="231" t="n">
        <v>76000</v>
      </c>
      <c r="I137" s="232" t="n"/>
      <c r="J137" s="232" t="n">
        <v>76000</v>
      </c>
      <c r="K137" s="272" t="n"/>
      <c r="L137" s="272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73" t="n"/>
      <c r="B138" s="274" t="inlineStr">
        <is>
          <t>FILOMENA</t>
        </is>
      </c>
      <c r="C138" s="275" t="n">
        <v>2</v>
      </c>
      <c r="D138" s="275" t="n"/>
      <c r="E138" s="275" t="n"/>
      <c r="F138" s="276" t="n"/>
      <c r="G138" s="276" t="n"/>
      <c r="H138" s="241" t="n">
        <v>38000</v>
      </c>
      <c r="I138" s="242" t="n"/>
      <c r="J138" s="242" t="n">
        <v>38000</v>
      </c>
      <c r="K138" s="272" t="n"/>
      <c r="L138" s="272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79" t="n"/>
      <c r="B139" s="267" t="inlineStr">
        <is>
          <t>CORDOBA 2753</t>
        </is>
      </c>
      <c r="C139" s="268" t="n"/>
      <c r="D139" s="268" t="n"/>
      <c r="E139" s="268" t="n">
        <v>1</v>
      </c>
      <c r="F139" s="269" t="n"/>
      <c r="G139" s="269" t="n"/>
      <c r="H139" s="231" t="n">
        <v>75000</v>
      </c>
      <c r="I139" s="232" t="n"/>
      <c r="J139" s="232" t="n">
        <v>75000</v>
      </c>
      <c r="K139" s="272" t="n"/>
      <c r="L139" s="272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73" t="n"/>
      <c r="B140" s="274" t="inlineStr">
        <is>
          <t>EXE</t>
        </is>
      </c>
      <c r="C140" s="275" t="n">
        <v>2</v>
      </c>
      <c r="D140" s="275" t="n"/>
      <c r="E140" s="275" t="n">
        <v>1</v>
      </c>
      <c r="F140" s="276" t="n"/>
      <c r="G140" s="276" t="n"/>
      <c r="H140" s="241" t="n">
        <v>116000</v>
      </c>
      <c r="I140" s="242" t="n"/>
      <c r="J140" s="242" t="n">
        <v>116000</v>
      </c>
      <c r="K140" s="272" t="n"/>
      <c r="L140" s="272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79" t="n"/>
      <c r="B141" s="267" t="inlineStr">
        <is>
          <t>ROTI SAN LORENZO</t>
        </is>
      </c>
      <c r="C141" s="268" t="n">
        <v>2</v>
      </c>
      <c r="D141" s="268" t="n">
        <v>2</v>
      </c>
      <c r="E141" s="268" t="n"/>
      <c r="F141" s="269" t="n"/>
      <c r="G141" s="269" t="n"/>
      <c r="H141" s="231" t="n">
        <v>98000</v>
      </c>
      <c r="I141" s="232" t="n"/>
      <c r="J141" s="232" t="n">
        <v>98000</v>
      </c>
      <c r="K141" s="272" t="n"/>
      <c r="L141" s="272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73" t="n">
        <v>46092</v>
      </c>
      <c r="B142" s="274" t="inlineStr">
        <is>
          <t>VERA MUJICA 420</t>
        </is>
      </c>
      <c r="C142" s="275" t="n"/>
      <c r="D142" s="275" t="n">
        <v>1</v>
      </c>
      <c r="E142" s="275" t="n"/>
      <c r="F142" s="276" t="n"/>
      <c r="G142" s="276" t="n"/>
      <c r="H142" s="241" t="n">
        <v>33000</v>
      </c>
      <c r="I142" s="242" t="n">
        <v>33000</v>
      </c>
      <c r="J142" s="242" t="n"/>
      <c r="K142" s="272" t="n"/>
      <c r="L142" s="272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79" t="n"/>
      <c r="B143" s="267" t="inlineStr">
        <is>
          <t>MADAME CHEESE</t>
        </is>
      </c>
      <c r="C143" s="268" t="n"/>
      <c r="D143" s="268" t="n">
        <v>1</v>
      </c>
      <c r="E143" s="268" t="n"/>
      <c r="F143" s="269" t="n"/>
      <c r="G143" s="269" t="n"/>
      <c r="H143" s="231" t="n">
        <v>30000</v>
      </c>
      <c r="I143" s="232" t="n"/>
      <c r="J143" s="232" t="n">
        <v>30000</v>
      </c>
      <c r="K143" s="272" t="n"/>
      <c r="L143" s="272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73" t="n"/>
      <c r="B144" s="274" t="inlineStr">
        <is>
          <t>OTNIEL</t>
        </is>
      </c>
      <c r="C144" s="275" t="n"/>
      <c r="D144" s="275" t="n">
        <v>2</v>
      </c>
      <c r="E144" s="275" t="n"/>
      <c r="F144" s="276" t="n"/>
      <c r="G144" s="276" t="n"/>
      <c r="H144" s="241" t="n">
        <v>60000</v>
      </c>
      <c r="I144" s="242" t="n"/>
      <c r="J144" s="242" t="n">
        <v>60000</v>
      </c>
      <c r="K144" s="272" t="n"/>
      <c r="L144" s="272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79" t="n"/>
      <c r="B145" s="267" t="inlineStr">
        <is>
          <t>AZCUENAGA 5023</t>
        </is>
      </c>
      <c r="C145" s="268" t="n">
        <v>7</v>
      </c>
      <c r="D145" s="268" t="n"/>
      <c r="E145" s="268" t="n"/>
      <c r="F145" s="269" t="n"/>
      <c r="G145" s="269" t="n"/>
      <c r="H145" s="231" t="n">
        <v>108500</v>
      </c>
      <c r="I145" s="232" t="n"/>
      <c r="J145" s="232" t="n">
        <v>108500</v>
      </c>
      <c r="K145" s="272" t="n"/>
      <c r="L145" s="272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73" t="n"/>
      <c r="B146" s="274" t="inlineStr">
        <is>
          <t>LUCHO</t>
        </is>
      </c>
      <c r="C146" s="275" t="n">
        <v>1</v>
      </c>
      <c r="D146" s="275" t="n"/>
      <c r="E146" s="275" t="n"/>
      <c r="F146" s="276" t="n"/>
      <c r="G146" s="276" t="n"/>
      <c r="H146" s="241" t="n">
        <v>15500</v>
      </c>
      <c r="I146" s="242" t="n">
        <v>15500</v>
      </c>
      <c r="J146" s="242" t="n"/>
      <c r="K146" s="272" t="n"/>
      <c r="L146" s="272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79" t="n"/>
      <c r="B147" s="267" t="inlineStr">
        <is>
          <t>CAREN</t>
        </is>
      </c>
      <c r="C147" s="268" t="n"/>
      <c r="D147" s="268" t="n"/>
      <c r="E147" s="268" t="n">
        <v>1</v>
      </c>
      <c r="F147" s="269" t="n"/>
      <c r="G147" s="269" t="n"/>
      <c r="H147" s="231" t="n">
        <v>72000</v>
      </c>
      <c r="I147" s="232" t="n"/>
      <c r="J147" s="232" t="n">
        <v>72000</v>
      </c>
      <c r="K147" s="272" t="n"/>
      <c r="L147" s="272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73" t="n"/>
      <c r="B148" s="274" t="inlineStr">
        <is>
          <t>SEDLASEK 5347</t>
        </is>
      </c>
      <c r="C148" s="275" t="n">
        <v>1</v>
      </c>
      <c r="D148" s="275" t="n"/>
      <c r="E148" s="275" t="n"/>
      <c r="F148" s="276" t="n"/>
      <c r="G148" s="276" t="n"/>
      <c r="H148" s="241" t="n">
        <v>22000</v>
      </c>
      <c r="I148" s="242" t="n">
        <v>22000</v>
      </c>
      <c r="J148" s="242" t="n"/>
      <c r="K148" s="272" t="n"/>
      <c r="L148" s="272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79" t="n"/>
      <c r="B149" s="267" t="inlineStr">
        <is>
          <t>ALSINA 9348</t>
        </is>
      </c>
      <c r="C149" s="268" t="n">
        <v>2</v>
      </c>
      <c r="D149" s="268" t="n"/>
      <c r="E149" s="268" t="n"/>
      <c r="F149" s="269" t="n"/>
      <c r="G149" s="269" t="n"/>
      <c r="H149" s="231" t="n">
        <v>44000</v>
      </c>
      <c r="I149" s="232" t="n"/>
      <c r="J149" s="232" t="n">
        <v>44000</v>
      </c>
      <c r="K149" s="272" t="n"/>
      <c r="L149" s="272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73" t="n"/>
      <c r="B150" s="274" t="inlineStr">
        <is>
          <t>SERBANDO BAYO 7166</t>
        </is>
      </c>
      <c r="C150" s="275" t="n"/>
      <c r="D150" s="275" t="n">
        <v>1</v>
      </c>
      <c r="E150" s="275" t="n"/>
      <c r="F150" s="276" t="n"/>
      <c r="G150" s="276" t="n"/>
      <c r="H150" s="241" t="n">
        <v>30000</v>
      </c>
      <c r="I150" s="242" t="n"/>
      <c r="J150" s="242" t="n">
        <v>30000</v>
      </c>
      <c r="K150" s="272" t="n"/>
      <c r="L150" s="272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79" t="n"/>
      <c r="B151" s="267" t="inlineStr">
        <is>
          <t xml:space="preserve">PANAALBERTI </t>
        </is>
      </c>
      <c r="C151" s="268" t="n">
        <v>1</v>
      </c>
      <c r="D151" s="268" t="n"/>
      <c r="E151" s="268" t="n"/>
      <c r="F151" s="269" t="n"/>
      <c r="G151" s="269" t="n"/>
      <c r="H151" s="231" t="n">
        <v>20000</v>
      </c>
      <c r="I151" s="232" t="n">
        <v>20000</v>
      </c>
      <c r="J151" s="232" t="n"/>
      <c r="K151" s="272" t="n"/>
      <c r="L151" s="272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73" t="n"/>
      <c r="B152" s="274" t="inlineStr">
        <is>
          <t>PUBLICO 2383</t>
        </is>
      </c>
      <c r="C152" s="275" t="n">
        <v>1</v>
      </c>
      <c r="D152" s="275" t="n"/>
      <c r="E152" s="275" t="n">
        <v>1</v>
      </c>
      <c r="F152" s="276" t="n"/>
      <c r="G152" s="276" t="n"/>
      <c r="H152" s="241" t="n">
        <v>104000</v>
      </c>
      <c r="I152" s="242" t="n"/>
      <c r="J152" s="242" t="n">
        <v>104000</v>
      </c>
      <c r="K152" s="272" t="n"/>
      <c r="L152" s="272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79" t="n">
        <v>46093</v>
      </c>
      <c r="B153" s="267" t="inlineStr">
        <is>
          <t>QUINTANA 2950</t>
        </is>
      </c>
      <c r="C153" s="268" t="n">
        <v>1</v>
      </c>
      <c r="D153" s="268" t="n"/>
      <c r="E153" s="268" t="n"/>
      <c r="F153" s="269" t="n"/>
      <c r="G153" s="269" t="n"/>
      <c r="H153" s="231" t="n">
        <v>22000</v>
      </c>
      <c r="I153" s="232" t="n"/>
      <c r="J153" s="232" t="n">
        <v>22000</v>
      </c>
      <c r="K153" s="272" t="n"/>
      <c r="L153" s="272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73" t="n"/>
      <c r="B154" s="274" t="inlineStr">
        <is>
          <t>CANCHAS GRINGO</t>
        </is>
      </c>
      <c r="C154" s="275" t="n"/>
      <c r="D154" s="275" t="n">
        <v>1</v>
      </c>
      <c r="E154" s="275" t="n"/>
      <c r="F154" s="276" t="n"/>
      <c r="G154" s="276" t="n"/>
      <c r="H154" s="241" t="n">
        <v>30000</v>
      </c>
      <c r="I154" s="242" t="n">
        <v>30000</v>
      </c>
      <c r="J154" s="242" t="n"/>
      <c r="K154" s="272" t="n"/>
      <c r="L154" s="272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79" t="n"/>
      <c r="B155" s="267" t="inlineStr">
        <is>
          <t>LUCHO</t>
        </is>
      </c>
      <c r="C155" s="268" t="n">
        <v>1</v>
      </c>
      <c r="D155" s="268" t="n"/>
      <c r="E155" s="268" t="n"/>
      <c r="F155" s="269" t="n"/>
      <c r="G155" s="269" t="n"/>
      <c r="H155" s="231" t="n">
        <v>15500</v>
      </c>
      <c r="I155" s="232" t="n">
        <v>15500</v>
      </c>
      <c r="J155" s="232" t="n"/>
      <c r="K155" s="272" t="n"/>
      <c r="L155" s="272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73" t="n"/>
      <c r="B156" s="274" t="inlineStr">
        <is>
          <t>SANDRA</t>
        </is>
      </c>
      <c r="C156" s="275" t="n"/>
      <c r="D156" s="275" t="n"/>
      <c r="E156" s="275" t="n"/>
      <c r="F156" s="276" t="n"/>
      <c r="G156" s="276" t="n">
        <v>2</v>
      </c>
      <c r="H156" s="241" t="n">
        <v>8000</v>
      </c>
      <c r="I156" s="242" t="n">
        <v>8000</v>
      </c>
      <c r="J156" s="242" t="n"/>
      <c r="K156" s="272" t="n"/>
      <c r="L156" s="272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79" t="n"/>
      <c r="B157" s="267" t="inlineStr">
        <is>
          <t>FILOMEN A</t>
        </is>
      </c>
      <c r="C157" s="268" t="n">
        <v>2</v>
      </c>
      <c r="D157" s="268" t="n"/>
      <c r="E157" s="268" t="n"/>
      <c r="F157" s="269" t="n"/>
      <c r="G157" s="269" t="n"/>
      <c r="H157" s="231" t="n">
        <v>38000</v>
      </c>
      <c r="I157" s="232" t="n"/>
      <c r="J157" s="232" t="n">
        <v>38000</v>
      </c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73" t="n"/>
      <c r="B158" s="274" t="inlineStr">
        <is>
          <t>CASTELLI 5364</t>
        </is>
      </c>
      <c r="C158" s="275" t="n"/>
      <c r="D158" s="275" t="n"/>
      <c r="E158" s="275" t="n">
        <v>1</v>
      </c>
      <c r="F158" s="276" t="n"/>
      <c r="G158" s="276" t="n"/>
      <c r="H158" s="241" t="n">
        <v>75000</v>
      </c>
      <c r="I158" s="242" t="n">
        <v>75000</v>
      </c>
      <c r="J158" s="242" t="n"/>
      <c r="K158" s="272" t="n"/>
      <c r="L158" s="272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79" t="n"/>
      <c r="B159" s="267" t="inlineStr">
        <is>
          <t>IGUALDAD</t>
        </is>
      </c>
      <c r="C159" s="268" t="n">
        <v>1</v>
      </c>
      <c r="D159" s="268" t="n"/>
      <c r="E159" s="268" t="n"/>
      <c r="F159" s="269" t="n"/>
      <c r="G159" s="269" t="n"/>
      <c r="H159" s="231" t="n">
        <v>21000</v>
      </c>
      <c r="I159" s="232" t="n">
        <v>21000</v>
      </c>
      <c r="J159" s="232" t="n"/>
      <c r="K159" s="272" t="n"/>
      <c r="L159" s="272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73" t="n"/>
      <c r="B160" s="274" t="inlineStr">
        <is>
          <t>COGORNO 5520</t>
        </is>
      </c>
      <c r="C160" s="275" t="n">
        <v>6</v>
      </c>
      <c r="D160" s="275" t="n"/>
      <c r="E160" s="275" t="n"/>
      <c r="F160" s="276" t="n"/>
      <c r="G160" s="276" t="n"/>
      <c r="H160" s="241" t="n">
        <v>102000</v>
      </c>
      <c r="I160" s="242" t="n"/>
      <c r="J160" s="242" t="n">
        <v>102000</v>
      </c>
      <c r="K160" s="272" t="n"/>
      <c r="L160" s="272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79" t="n"/>
      <c r="B161" s="267" t="inlineStr">
        <is>
          <t>SABOREAR</t>
        </is>
      </c>
      <c r="C161" s="268" t="n">
        <v>1</v>
      </c>
      <c r="D161" s="268" t="n"/>
      <c r="E161" s="268" t="n">
        <v>1</v>
      </c>
      <c r="F161" s="269" t="n"/>
      <c r="G161" s="269" t="n"/>
      <c r="H161" s="231" t="n">
        <v>90500</v>
      </c>
      <c r="I161" s="232" t="n"/>
      <c r="J161" s="232" t="n">
        <v>90500</v>
      </c>
      <c r="K161" s="272" t="n"/>
      <c r="L161" s="272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73" t="n">
        <v>46094</v>
      </c>
      <c r="B162" s="274" t="inlineStr">
        <is>
          <t>D SILVA 4217</t>
        </is>
      </c>
      <c r="C162" s="275" t="n">
        <v>3</v>
      </c>
      <c r="D162" s="275" t="n"/>
      <c r="E162" s="275" t="n"/>
      <c r="F162" s="276" t="n"/>
      <c r="G162" s="276" t="n"/>
      <c r="H162" s="241" t="n">
        <v>51000</v>
      </c>
      <c r="I162" s="242" t="n"/>
      <c r="J162" s="242" t="n">
        <v>51000</v>
      </c>
      <c r="K162" s="272" t="n"/>
      <c r="L162" s="272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79" t="n"/>
      <c r="B163" s="267" t="inlineStr">
        <is>
          <t>CHICLANA 7325</t>
        </is>
      </c>
      <c r="C163" s="268" t="n">
        <v>1</v>
      </c>
      <c r="D163" s="268" t="n"/>
      <c r="E163" s="268" t="n"/>
      <c r="F163" s="269" t="n"/>
      <c r="G163" s="269" t="n"/>
      <c r="H163" s="231" t="n">
        <v>17000</v>
      </c>
      <c r="I163" s="232" t="n"/>
      <c r="J163" s="232" t="n">
        <v>17000</v>
      </c>
      <c r="K163" s="272" t="n"/>
      <c r="L163" s="272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73" t="n"/>
      <c r="B164" s="274" t="inlineStr">
        <is>
          <t>4 DE ENERO 6625</t>
        </is>
      </c>
      <c r="C164" s="275" t="n">
        <v>1</v>
      </c>
      <c r="D164" s="275" t="n"/>
      <c r="E164" s="275" t="n"/>
      <c r="F164" s="276" t="n"/>
      <c r="G164" s="276" t="n"/>
      <c r="H164" s="241" t="n">
        <v>22000</v>
      </c>
      <c r="I164" s="242" t="n">
        <v>22000</v>
      </c>
      <c r="J164" s="242" t="n"/>
      <c r="K164" s="272" t="n"/>
      <c r="L164" s="272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79" t="n"/>
      <c r="B165" s="267" t="inlineStr">
        <is>
          <t>AZCUENAGA 5023</t>
        </is>
      </c>
      <c r="C165" s="268" t="n">
        <v>2</v>
      </c>
      <c r="D165" s="268" t="n"/>
      <c r="E165" s="268" t="n"/>
      <c r="F165" s="269" t="n"/>
      <c r="G165" s="269" t="n"/>
      <c r="H165" s="231" t="n">
        <v>34000</v>
      </c>
      <c r="I165" s="232" t="n"/>
      <c r="J165" s="232" t="n">
        <v>34000</v>
      </c>
      <c r="K165" s="272" t="n"/>
      <c r="L165" s="272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73" t="n"/>
      <c r="B166" s="274" t="inlineStr">
        <is>
          <t>OTNIEL</t>
        </is>
      </c>
      <c r="C166" s="275" t="n"/>
      <c r="D166" s="275" t="n"/>
      <c r="E166" s="275" t="n"/>
      <c r="F166" s="276" t="n"/>
      <c r="G166" s="276" t="n">
        <v>2</v>
      </c>
      <c r="H166" s="241" t="n">
        <v>11000</v>
      </c>
      <c r="I166" s="242" t="n"/>
      <c r="J166" s="242" t="n">
        <v>11000</v>
      </c>
      <c r="K166" s="272" t="n"/>
      <c r="L166" s="272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79" t="n"/>
      <c r="B167" s="267" t="inlineStr">
        <is>
          <t>JORGE VIANDAS</t>
        </is>
      </c>
      <c r="C167" s="268" t="n">
        <v>1</v>
      </c>
      <c r="D167" s="268" t="n"/>
      <c r="E167" s="268" t="n"/>
      <c r="F167" s="269" t="n"/>
      <c r="G167" s="269" t="n"/>
      <c r="H167" s="231" t="n">
        <v>20000</v>
      </c>
      <c r="I167" s="232" t="n">
        <v>20000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73" t="n"/>
      <c r="B168" s="274" t="inlineStr">
        <is>
          <t>LUCHO3</t>
        </is>
      </c>
      <c r="C168" s="275" t="n">
        <v>3</v>
      </c>
      <c r="D168" s="275" t="n"/>
      <c r="E168" s="275" t="n"/>
      <c r="F168" s="276" t="n"/>
      <c r="G168" s="276" t="n"/>
      <c r="H168" s="241" t="n">
        <v>51000</v>
      </c>
      <c r="I168" s="242" t="n">
        <v>51000</v>
      </c>
      <c r="J168" s="242" t="n"/>
      <c r="K168" s="272" t="n"/>
      <c r="L168" s="272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79" t="n"/>
      <c r="B169" s="267" t="inlineStr">
        <is>
          <t>PANA HNO FIGUEROA</t>
        </is>
      </c>
      <c r="C169" s="268" t="n"/>
      <c r="D169" s="268" t="n"/>
      <c r="E169" s="268" t="n">
        <v>1</v>
      </c>
      <c r="F169" s="269" t="n"/>
      <c r="G169" s="269" t="n"/>
      <c r="H169" s="231" t="n">
        <v>70000</v>
      </c>
      <c r="I169" s="232" t="n">
        <v>70000</v>
      </c>
      <c r="J169" s="232" t="n"/>
      <c r="K169" s="272" t="n"/>
      <c r="L169" s="272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73" t="n"/>
      <c r="B170" s="274" t="inlineStr">
        <is>
          <t>I CRESPO 7337</t>
        </is>
      </c>
      <c r="C170" s="275" t="n"/>
      <c r="D170" s="275" t="n">
        <v>1</v>
      </c>
      <c r="E170" s="275" t="n"/>
      <c r="F170" s="276" t="n"/>
      <c r="G170" s="276" t="n"/>
      <c r="H170" s="241" t="n">
        <v>36000</v>
      </c>
      <c r="I170" s="242" t="n"/>
      <c r="J170" s="242" t="n">
        <v>36000</v>
      </c>
      <c r="K170" s="272" t="n"/>
      <c r="L170" s="272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79" t="n"/>
      <c r="B171" s="267" t="inlineStr">
        <is>
          <t xml:space="preserve">ROTI VIEYTES </t>
        </is>
      </c>
      <c r="C171" s="268" t="n"/>
      <c r="D171" s="268" t="n">
        <v>2</v>
      </c>
      <c r="E171" s="268" t="n"/>
      <c r="F171" s="269" t="n"/>
      <c r="G171" s="269" t="n"/>
      <c r="H171" s="231" t="n">
        <v>50000</v>
      </c>
      <c r="I171" s="232" t="n"/>
      <c r="J171" s="232" t="n">
        <v>50000</v>
      </c>
      <c r="K171" s="272" t="n"/>
      <c r="L171" s="272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73" t="n"/>
      <c r="B172" s="274" t="inlineStr">
        <is>
          <t>DAVID LEIVA Y ALBERTI</t>
        </is>
      </c>
      <c r="C172" s="275" t="n">
        <v>1</v>
      </c>
      <c r="D172" s="275" t="n"/>
      <c r="E172" s="275" t="n"/>
      <c r="F172" s="276" t="n"/>
      <c r="G172" s="276" t="n"/>
      <c r="H172" s="241" t="n">
        <v>23000</v>
      </c>
      <c r="I172" s="242" t="n">
        <v>23000</v>
      </c>
      <c r="J172" s="242" t="n"/>
      <c r="K172" s="272" t="n"/>
      <c r="L172" s="272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79" t="n"/>
      <c r="B173" s="267" t="inlineStr">
        <is>
          <t>GABOTO 7484</t>
        </is>
      </c>
      <c r="C173" s="268" t="n"/>
      <c r="D173" s="268" t="n"/>
      <c r="E173" s="268" t="n">
        <v>1</v>
      </c>
      <c r="F173" s="269" t="n"/>
      <c r="G173" s="269" t="n"/>
      <c r="H173" s="231" t="n">
        <v>79900</v>
      </c>
      <c r="I173" s="232" t="n">
        <v>79900</v>
      </c>
      <c r="J173" s="232" t="n"/>
      <c r="K173" s="272" t="n"/>
      <c r="L173" s="272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73" t="n"/>
      <c r="B174" s="274" t="inlineStr">
        <is>
          <t>ESPORA 4858</t>
        </is>
      </c>
      <c r="C174" s="275" t="n"/>
      <c r="D174" s="275" t="n">
        <v>2</v>
      </c>
      <c r="E174" s="275" t="n"/>
      <c r="F174" s="276" t="n"/>
      <c r="G174" s="276" t="n"/>
      <c r="H174" s="241" t="n">
        <v>62000</v>
      </c>
      <c r="I174" s="242" t="n"/>
      <c r="J174" s="242" t="n">
        <v>62000</v>
      </c>
      <c r="K174" s="272" t="n"/>
      <c r="L174" s="272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79" t="n"/>
      <c r="B175" s="267" t="inlineStr">
        <is>
          <t>FRATERNIDAD</t>
        </is>
      </c>
      <c r="C175" s="268" t="n">
        <v>1</v>
      </c>
      <c r="D175" s="268" t="n"/>
      <c r="E175" s="268" t="n"/>
      <c r="F175" s="269" t="n"/>
      <c r="G175" s="269" t="n"/>
      <c r="H175" s="231" t="n">
        <v>22000</v>
      </c>
      <c r="I175" s="232" t="n">
        <v>22000</v>
      </c>
      <c r="J175" s="232" t="n"/>
      <c r="K175" s="272" t="n"/>
      <c r="L175" s="272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73" t="n"/>
      <c r="B176" s="274" t="inlineStr">
        <is>
          <t>NACHO</t>
        </is>
      </c>
      <c r="C176" s="275" t="n">
        <v>1</v>
      </c>
      <c r="D176" s="275" t="n"/>
      <c r="E176" s="275" t="n"/>
      <c r="F176" s="276" t="n"/>
      <c r="G176" s="276" t="n"/>
      <c r="H176" s="241" t="n">
        <v>20500</v>
      </c>
      <c r="I176" s="242" t="n">
        <v>20500</v>
      </c>
      <c r="J176" s="242" t="n"/>
      <c r="K176" s="272" t="n"/>
      <c r="L176" s="272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79" t="n"/>
      <c r="B177" s="267" t="inlineStr">
        <is>
          <t>EUROPA 6851</t>
        </is>
      </c>
      <c r="C177" s="268" t="n">
        <v>1</v>
      </c>
      <c r="D177" s="268" t="n"/>
      <c r="E177" s="268" t="n"/>
      <c r="F177" s="269" t="n"/>
      <c r="G177" s="269" t="n"/>
      <c r="H177" s="231" t="n">
        <v>21000</v>
      </c>
      <c r="I177" s="232" t="n">
        <v>21000</v>
      </c>
      <c r="J177" s="232" t="n"/>
      <c r="K177" s="272" t="n"/>
      <c r="L177" s="272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73" t="n"/>
      <c r="B178" s="274" t="inlineStr">
        <is>
          <t>L Y PLANES 3884</t>
        </is>
      </c>
      <c r="C178" s="275" t="n"/>
      <c r="D178" s="275" t="n"/>
      <c r="E178" s="275" t="n">
        <v>1</v>
      </c>
      <c r="F178" s="276" t="n"/>
      <c r="G178" s="276" t="n"/>
      <c r="H178" s="241" t="n">
        <v>79900</v>
      </c>
      <c r="I178" s="242" t="n"/>
      <c r="J178" s="242" t="n">
        <v>79900</v>
      </c>
      <c r="K178" s="272" t="n"/>
      <c r="L178" s="272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79" t="n"/>
      <c r="B179" s="267" t="inlineStr">
        <is>
          <t>OTNIEL</t>
        </is>
      </c>
      <c r="C179" s="268" t="n"/>
      <c r="D179" s="268" t="n"/>
      <c r="E179" s="268" t="n">
        <v>1</v>
      </c>
      <c r="F179" s="269" t="n"/>
      <c r="G179" s="269" t="n"/>
      <c r="H179" s="231" t="n">
        <v>77000</v>
      </c>
      <c r="I179" s="232" t="n"/>
      <c r="J179" s="232" t="n">
        <v>77000</v>
      </c>
      <c r="K179" s="272" t="n"/>
      <c r="L179" s="272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73" t="n"/>
      <c r="B180" s="274" t="inlineStr">
        <is>
          <t>E ZEVALLOS 4881</t>
        </is>
      </c>
      <c r="C180" s="275" t="n">
        <v>1</v>
      </c>
      <c r="D180" s="275" t="n"/>
      <c r="E180" s="275" t="n"/>
      <c r="F180" s="276" t="n"/>
      <c r="G180" s="276" t="n"/>
      <c r="H180" s="241" t="n">
        <v>23000</v>
      </c>
      <c r="I180" s="242" t="n">
        <v>23000</v>
      </c>
      <c r="J180" s="242" t="n"/>
      <c r="K180" s="272" t="n"/>
      <c r="L180" s="272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79" t="n">
        <v>46095</v>
      </c>
      <c r="B181" s="267" t="inlineStr">
        <is>
          <t>GORRITI 5376</t>
        </is>
      </c>
      <c r="C181" s="268" t="n">
        <v>1</v>
      </c>
      <c r="D181" s="268" t="n"/>
      <c r="E181" s="268" t="n"/>
      <c r="F181" s="269" t="n"/>
      <c r="G181" s="269" t="n"/>
      <c r="H181" s="231" t="n">
        <v>23000</v>
      </c>
      <c r="I181" s="232" t="n">
        <v>23000</v>
      </c>
      <c r="J181" s="232" t="n"/>
      <c r="K181" s="272" t="n"/>
      <c r="L181" s="272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73" t="n"/>
      <c r="B182" s="274" t="inlineStr">
        <is>
          <t>ARISTOBULO 5879</t>
        </is>
      </c>
      <c r="C182" s="275" t="n"/>
      <c r="D182" s="275" t="n">
        <v>1</v>
      </c>
      <c r="E182" s="275" t="n"/>
      <c r="F182" s="276" t="n"/>
      <c r="G182" s="276" t="n"/>
      <c r="H182" s="241" t="n">
        <v>36000</v>
      </c>
      <c r="I182" s="242" t="n">
        <v>36000</v>
      </c>
      <c r="J182" s="242" t="n"/>
      <c r="K182" s="272" t="n"/>
      <c r="L182" s="272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79" t="n"/>
      <c r="B183" s="267" t="inlineStr">
        <is>
          <t>GRAL PAZ 7826</t>
        </is>
      </c>
      <c r="C183" s="268" t="n"/>
      <c r="D183" s="268" t="n"/>
      <c r="E183" s="268" t="n">
        <v>2</v>
      </c>
      <c r="F183" s="269" t="n"/>
      <c r="G183" s="269" t="n"/>
      <c r="H183" s="231" t="n">
        <v>156000</v>
      </c>
      <c r="I183" s="232" t="n"/>
      <c r="J183" s="232" t="n">
        <v>156000</v>
      </c>
      <c r="K183" s="272" t="n"/>
      <c r="L183" s="272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73" t="n"/>
      <c r="B184" s="274" t="inlineStr">
        <is>
          <t>PJE ROCA 6371</t>
        </is>
      </c>
      <c r="C184" s="275" t="n"/>
      <c r="D184" s="275" t="n"/>
      <c r="E184" s="275" t="n">
        <v>1</v>
      </c>
      <c r="F184" s="276" t="n"/>
      <c r="G184" s="276" t="n"/>
      <c r="H184" s="241" t="n">
        <v>77000</v>
      </c>
      <c r="I184" s="242" t="n">
        <v>77000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79" t="n"/>
      <c r="B185" s="267" t="inlineStr">
        <is>
          <t>PENALOZA 9757</t>
        </is>
      </c>
      <c r="C185" s="268" t="n">
        <v>1</v>
      </c>
      <c r="D185" s="268" t="n"/>
      <c r="E185" s="268" t="n"/>
      <c r="F185" s="269" t="n"/>
      <c r="G185" s="269" t="n"/>
      <c r="H185" s="231" t="n">
        <v>23000</v>
      </c>
      <c r="I185" s="232" t="n">
        <v>23000</v>
      </c>
      <c r="J185" s="232" t="n"/>
      <c r="K185" s="272" t="n"/>
      <c r="L185" s="272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73" t="n"/>
      <c r="B186" s="274" t="inlineStr">
        <is>
          <t xml:space="preserve">BRASERIA </t>
        </is>
      </c>
      <c r="C186" s="275" t="n"/>
      <c r="D186" s="275" t="n"/>
      <c r="E186" s="275" t="n">
        <v>1</v>
      </c>
      <c r="F186" s="276" t="n"/>
      <c r="G186" s="276" t="n"/>
      <c r="H186" s="241" t="n">
        <v>78000</v>
      </c>
      <c r="I186" s="242" t="n"/>
      <c r="J186" s="242" t="n">
        <v>78000</v>
      </c>
      <c r="K186" s="272" t="n"/>
      <c r="L186" s="272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79" t="n"/>
      <c r="B187" s="267" t="inlineStr">
        <is>
          <t>J DE LA ROSA 459</t>
        </is>
      </c>
      <c r="C187" s="268" t="n">
        <v>1</v>
      </c>
      <c r="D187" s="268" t="n"/>
      <c r="E187" s="268" t="n"/>
      <c r="F187" s="269" t="n"/>
      <c r="G187" s="269" t="n"/>
      <c r="H187" s="231" t="n">
        <v>23000</v>
      </c>
      <c r="I187" s="232" t="n"/>
      <c r="J187" s="232" t="n">
        <v>23000</v>
      </c>
      <c r="K187" s="272" t="n"/>
      <c r="L187" s="272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73" t="n"/>
      <c r="B188" s="274" t="inlineStr">
        <is>
          <t>FILOMENA</t>
        </is>
      </c>
      <c r="C188" s="275" t="n">
        <v>1</v>
      </c>
      <c r="D188" s="275" t="n"/>
      <c r="E188" s="275" t="n"/>
      <c r="F188" s="276" t="n"/>
      <c r="G188" s="276" t="n"/>
      <c r="H188" s="241" t="n">
        <v>20500</v>
      </c>
      <c r="I188" s="242" t="n"/>
      <c r="J188" s="242" t="n">
        <v>20500</v>
      </c>
      <c r="K188" s="272" t="n"/>
      <c r="L188" s="272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BLAS PARERA 9777</t>
        </is>
      </c>
      <c r="C189" s="268" t="n"/>
      <c r="D189" s="268" t="n"/>
      <c r="E189" s="268" t="n">
        <v>1</v>
      </c>
      <c r="F189" s="269" t="n"/>
      <c r="G189" s="269" t="n"/>
      <c r="H189" s="231" t="n">
        <v>80000</v>
      </c>
      <c r="I189" s="232" t="n">
        <v>80000</v>
      </c>
      <c r="J189" s="232" t="n"/>
      <c r="K189" s="272" t="n"/>
      <c r="L189" s="272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73" t="n"/>
      <c r="B190" s="274" t="inlineStr">
        <is>
          <t>J D SOLIS 10529</t>
        </is>
      </c>
      <c r="C190" s="275" t="n"/>
      <c r="D190" s="275" t="n"/>
      <c r="E190" s="275" t="n">
        <v>2</v>
      </c>
      <c r="F190" s="276" t="n"/>
      <c r="G190" s="276" t="n"/>
      <c r="H190" s="241" t="n">
        <v>166000</v>
      </c>
      <c r="I190" s="242" t="n"/>
      <c r="J190" s="242" t="n">
        <v>166000</v>
      </c>
      <c r="K190" s="272" t="n"/>
      <c r="L190" s="272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79" t="n"/>
      <c r="B191" s="267" t="inlineStr">
        <is>
          <t>AYACUCHO 5284</t>
        </is>
      </c>
      <c r="C191" s="268" t="n">
        <v>1</v>
      </c>
      <c r="D191" s="268" t="n"/>
      <c r="E191" s="268" t="n"/>
      <c r="F191" s="269" t="n"/>
      <c r="G191" s="269" t="n"/>
      <c r="H191" s="231" t="n">
        <v>22500</v>
      </c>
      <c r="I191" s="232" t="n"/>
      <c r="J191" s="232" t="n">
        <v>22500</v>
      </c>
      <c r="K191" s="272" t="n"/>
      <c r="L191" s="272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73" t="n"/>
      <c r="B192" s="274" t="inlineStr">
        <is>
          <t>PJE LUIS BELTRAN 4362</t>
        </is>
      </c>
      <c r="C192" s="275" t="n"/>
      <c r="D192" s="275" t="n"/>
      <c r="E192" s="275" t="n">
        <v>1</v>
      </c>
      <c r="F192" s="276" t="n"/>
      <c r="G192" s="276" t="n"/>
      <c r="H192" s="241" t="n">
        <v>79900</v>
      </c>
      <c r="I192" s="242" t="n">
        <v>79900</v>
      </c>
      <c r="J192" s="242" t="n"/>
      <c r="K192" s="272" t="n"/>
      <c r="L192" s="272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79" t="n"/>
      <c r="B193" s="267" t="inlineStr">
        <is>
          <t>SABOREAR</t>
        </is>
      </c>
      <c r="C193" s="268" t="n">
        <v>2</v>
      </c>
      <c r="D193" s="268" t="n"/>
      <c r="E193" s="268" t="n"/>
      <c r="F193" s="269" t="n"/>
      <c r="G193" s="269" t="n"/>
      <c r="H193" s="231" t="n">
        <v>42000</v>
      </c>
      <c r="I193" s="232" t="n">
        <v>42000</v>
      </c>
      <c r="J193" s="232" t="n"/>
      <c r="K193" s="272" t="n"/>
      <c r="L193" s="272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73" t="n"/>
      <c r="B194" s="274" t="inlineStr">
        <is>
          <t>BOEDO 1637</t>
        </is>
      </c>
      <c r="C194" s="275" t="n">
        <v>1</v>
      </c>
      <c r="D194" s="275" t="n"/>
      <c r="E194" s="275" t="n"/>
      <c r="F194" s="276" t="n"/>
      <c r="G194" s="276" t="n"/>
      <c r="H194" s="241" t="n">
        <v>23000</v>
      </c>
      <c r="I194" s="242" t="n">
        <v>23000</v>
      </c>
      <c r="J194" s="242" t="n"/>
      <c r="K194" s="272" t="n"/>
      <c r="L194" s="272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79" t="n"/>
      <c r="B195" s="267" t="inlineStr">
        <is>
          <t>CALLE</t>
        </is>
      </c>
      <c r="C195" s="268" t="n">
        <v>1</v>
      </c>
      <c r="D195" s="268" t="n"/>
      <c r="E195" s="268" t="n"/>
      <c r="F195" s="269" t="n"/>
      <c r="G195" s="269" t="n"/>
      <c r="H195" s="231" t="n">
        <v>20000</v>
      </c>
      <c r="I195" s="232" t="n"/>
      <c r="J195" s="232" t="n">
        <v>20000</v>
      </c>
      <c r="K195" s="272" t="n"/>
      <c r="L195" s="272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73" t="n"/>
      <c r="B196" s="274" t="inlineStr">
        <is>
          <t>D SILVA 4217</t>
        </is>
      </c>
      <c r="C196" s="275" t="n">
        <v>3</v>
      </c>
      <c r="D196" s="275" t="n"/>
      <c r="E196" s="275" t="n"/>
      <c r="F196" s="276" t="n"/>
      <c r="G196" s="276" t="n"/>
      <c r="H196" s="241" t="n">
        <v>51000</v>
      </c>
      <c r="I196" s="242" t="n">
        <v>51000</v>
      </c>
      <c r="J196" s="242" t="n"/>
      <c r="K196" s="272" t="n"/>
      <c r="L196" s="272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79" t="n"/>
      <c r="B197" s="267" t="inlineStr">
        <is>
          <t>1 DE MAYO 8361</t>
        </is>
      </c>
      <c r="C197" s="268" t="n">
        <v>1</v>
      </c>
      <c r="D197" s="268" t="n"/>
      <c r="E197" s="268" t="n"/>
      <c r="F197" s="269" t="n"/>
      <c r="G197" s="269" t="n"/>
      <c r="H197" s="231" t="n">
        <v>23000</v>
      </c>
      <c r="I197" s="232" t="n">
        <v>23000</v>
      </c>
      <c r="J197" s="232" t="n"/>
      <c r="K197" s="272" t="n"/>
      <c r="L197" s="272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73" t="n"/>
      <c r="B198" s="274" t="inlineStr">
        <is>
          <t>POLLERIA ARISTOBULO</t>
        </is>
      </c>
      <c r="C198" s="275" t="n">
        <v>2</v>
      </c>
      <c r="D198" s="275" t="n"/>
      <c r="E198" s="275" t="n"/>
      <c r="F198" s="276" t="n"/>
      <c r="G198" s="276" t="n"/>
      <c r="H198" s="241" t="n">
        <v>32000</v>
      </c>
      <c r="I198" s="242" t="n">
        <v>32000</v>
      </c>
      <c r="J198" s="242" t="n"/>
      <c r="K198" s="272" t="n"/>
      <c r="L198" s="272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79" t="n"/>
      <c r="B199" s="267" t="inlineStr">
        <is>
          <t>PUBLICO 2527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55500</v>
      </c>
      <c r="I199" s="232" t="n">
        <v>55500</v>
      </c>
      <c r="J199" s="232" t="n"/>
      <c r="K199" s="272" t="n"/>
      <c r="L199" s="272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73" t="n"/>
      <c r="B200" s="274" t="inlineStr">
        <is>
          <t>CASANELLO 3463</t>
        </is>
      </c>
      <c r="C200" s="275" t="n">
        <v>1</v>
      </c>
      <c r="D200" s="275" t="n">
        <v>1</v>
      </c>
      <c r="E200" s="275" t="n"/>
      <c r="F200" s="276" t="n"/>
      <c r="G200" s="276" t="n"/>
      <c r="H200" s="241" t="n">
        <v>56500</v>
      </c>
      <c r="I200" s="242" t="n">
        <v>56500</v>
      </c>
      <c r="J200" s="242" t="n"/>
      <c r="K200" s="272" t="n"/>
      <c r="L200" s="272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79" t="n">
        <v>46096</v>
      </c>
      <c r="B201" s="267" t="inlineStr">
        <is>
          <t>P GENESIO 2128</t>
        </is>
      </c>
      <c r="C201" s="268" t="n"/>
      <c r="D201" s="268" t="n"/>
      <c r="E201" s="268" t="n">
        <v>1</v>
      </c>
      <c r="F201" s="269" t="n"/>
      <c r="G201" s="269" t="n"/>
      <c r="H201" s="231" t="n">
        <v>82000</v>
      </c>
      <c r="I201" s="232" t="n"/>
      <c r="J201" s="232" t="n">
        <v>82000</v>
      </c>
      <c r="K201" s="272" t="n"/>
      <c r="L201" s="272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73" t="n"/>
      <c r="B202" s="274" t="inlineStr">
        <is>
          <t>FRANCIA 1872</t>
        </is>
      </c>
      <c r="C202" s="275" t="n"/>
      <c r="D202" s="275" t="n"/>
      <c r="E202" s="275" t="n">
        <v>1</v>
      </c>
      <c r="F202" s="276" t="n"/>
      <c r="G202" s="276" t="n"/>
      <c r="H202" s="241" t="n">
        <v>80000</v>
      </c>
      <c r="I202" s="242" t="n">
        <v>80000</v>
      </c>
      <c r="J202" s="242" t="n"/>
      <c r="K202" s="272" t="n"/>
      <c r="L202" s="272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79" t="n"/>
      <c r="B203" s="267" t="inlineStr">
        <is>
          <t>LARREA 3164</t>
        </is>
      </c>
      <c r="C203" s="268" t="n"/>
      <c r="D203" s="268" t="n"/>
      <c r="E203" s="268" t="n">
        <v>1</v>
      </c>
      <c r="F203" s="269" t="n"/>
      <c r="G203" s="269" t="n"/>
      <c r="H203" s="231" t="n">
        <v>79900</v>
      </c>
      <c r="I203" s="232" t="n"/>
      <c r="J203" s="232" t="n">
        <v>79900</v>
      </c>
      <c r="K203" s="272" t="n"/>
      <c r="L203" s="272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73" t="n"/>
      <c r="B204" s="274" t="inlineStr">
        <is>
          <t>CASTELLI 5406</t>
        </is>
      </c>
      <c r="C204" s="275" t="n"/>
      <c r="D204" s="275" t="n">
        <v>1</v>
      </c>
      <c r="E204" s="275" t="n"/>
      <c r="F204" s="276" t="n"/>
      <c r="G204" s="276" t="n"/>
      <c r="H204" s="241" t="n">
        <v>35000</v>
      </c>
      <c r="I204" s="242" t="n">
        <v>35000</v>
      </c>
      <c r="J204" s="242" t="n"/>
      <c r="K204" s="272" t="n"/>
      <c r="L204" s="272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79" t="n"/>
      <c r="B205" s="267" t="inlineStr">
        <is>
          <t>FILOMENA</t>
        </is>
      </c>
      <c r="C205" s="268" t="n">
        <v>2</v>
      </c>
      <c r="D205" s="268" t="n"/>
      <c r="E205" s="268" t="n"/>
      <c r="F205" s="269" t="n"/>
      <c r="G205" s="269" t="n"/>
      <c r="H205" s="231" t="n">
        <v>41000</v>
      </c>
      <c r="I205" s="232" t="n"/>
      <c r="J205" s="232" t="n">
        <v>41000</v>
      </c>
      <c r="K205" s="272" t="n"/>
      <c r="L205" s="272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73" t="n"/>
      <c r="B206" s="274" t="inlineStr">
        <is>
          <t>BLAS PARERA 6372</t>
        </is>
      </c>
      <c r="C206" s="275" t="n"/>
      <c r="D206" s="275" t="n"/>
      <c r="E206" s="275" t="n">
        <v>1</v>
      </c>
      <c r="F206" s="276" t="n"/>
      <c r="G206" s="276" t="n"/>
      <c r="H206" s="241" t="n">
        <v>78000</v>
      </c>
      <c r="I206" s="242" t="n"/>
      <c r="J206" s="242" t="n">
        <v>78000</v>
      </c>
      <c r="K206" s="272" t="n"/>
      <c r="L206" s="272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79" t="n"/>
      <c r="B207" s="267" t="inlineStr">
        <is>
          <t>ELI CARRIBAR</t>
        </is>
      </c>
      <c r="C207" s="268" t="n">
        <v>1</v>
      </c>
      <c r="D207" s="268" t="n"/>
      <c r="E207" s="268" t="n"/>
      <c r="F207" s="269" t="n"/>
      <c r="G207" s="269" t="n"/>
      <c r="H207" s="231" t="n">
        <v>20500</v>
      </c>
      <c r="I207" s="232" t="n">
        <v>20500</v>
      </c>
      <c r="J207" s="232" t="n"/>
      <c r="K207" s="272" t="n"/>
      <c r="L207" s="272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73" t="n"/>
      <c r="B208" s="274" t="inlineStr">
        <is>
          <t>ALBERTI 2865</t>
        </is>
      </c>
      <c r="C208" s="275" t="n">
        <v>1</v>
      </c>
      <c r="D208" s="275" t="n"/>
      <c r="E208" s="275" t="n"/>
      <c r="F208" s="276" t="n"/>
      <c r="G208" s="276" t="n"/>
      <c r="H208" s="241" t="n">
        <v>22500</v>
      </c>
      <c r="I208" s="242" t="n"/>
      <c r="J208" s="242" t="n">
        <v>22500</v>
      </c>
      <c r="K208" s="272" t="n"/>
      <c r="L208" s="272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79" t="n"/>
      <c r="B209" s="267" t="inlineStr">
        <is>
          <t>SANDRA</t>
        </is>
      </c>
      <c r="C209" s="268" t="n">
        <v>1</v>
      </c>
      <c r="D209" s="268" t="n"/>
      <c r="E209" s="268" t="n"/>
      <c r="F209" s="269" t="n"/>
      <c r="G209" s="269" t="n"/>
      <c r="H209" s="231" t="n">
        <v>17000</v>
      </c>
      <c r="I209" s="232" t="n">
        <v>17000</v>
      </c>
      <c r="J209" s="232" t="n"/>
      <c r="K209" s="272" t="n"/>
      <c r="L209" s="272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73" t="n"/>
      <c r="B210" s="274" t="inlineStr">
        <is>
          <t>D SILVA4217</t>
        </is>
      </c>
      <c r="C210" s="275" t="n">
        <v>3</v>
      </c>
      <c r="D210" s="275" t="n"/>
      <c r="E210" s="275" t="n"/>
      <c r="F210" s="276" t="n"/>
      <c r="G210" s="276" t="n"/>
      <c r="H210" s="241" t="n">
        <v>51000</v>
      </c>
      <c r="I210" s="242" t="n"/>
      <c r="J210" s="242" t="n">
        <v>51000</v>
      </c>
      <c r="K210" s="272" t="n"/>
      <c r="L210" s="272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79" t="n"/>
      <c r="B211" s="267" t="inlineStr">
        <is>
          <t>SABOREAR</t>
        </is>
      </c>
      <c r="C211" s="268" t="n"/>
      <c r="D211" s="268" t="n">
        <v>1</v>
      </c>
      <c r="E211" s="268" t="n"/>
      <c r="F211" s="269" t="n"/>
      <c r="G211" s="269" t="n"/>
      <c r="H211" s="231" t="n">
        <v>31500</v>
      </c>
      <c r="I211" s="232" t="n"/>
      <c r="J211" s="232" t="n">
        <v>31500</v>
      </c>
      <c r="K211" s="272" t="n"/>
      <c r="L211" s="272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73" t="n"/>
      <c r="B212" s="274" t="inlineStr">
        <is>
          <t>TACUARI 57171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/>
      <c r="J212" s="242" t="n">
        <v>22000</v>
      </c>
      <c r="K212" s="272" t="n"/>
      <c r="L212" s="272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79" t="n">
        <v>46097</v>
      </c>
      <c r="B213" s="267" t="inlineStr">
        <is>
          <t>ESTANIS DEL CAMPO 1625</t>
        </is>
      </c>
      <c r="C213" s="268" t="n">
        <v>1</v>
      </c>
      <c r="D213" s="268" t="n"/>
      <c r="E213" s="268" t="n"/>
      <c r="F213" s="269" t="n"/>
      <c r="G213" s="269" t="n"/>
      <c r="H213" s="231" t="n">
        <v>23000</v>
      </c>
      <c r="I213" s="232" t="n"/>
      <c r="J213" s="232" t="n">
        <v>23000</v>
      </c>
      <c r="K213" s="272" t="n"/>
      <c r="L213" s="272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73" t="n"/>
      <c r="B214" s="274" t="inlineStr">
        <is>
          <t>LA SALLE 4625</t>
        </is>
      </c>
      <c r="C214" s="275" t="n"/>
      <c r="D214" s="275" t="n"/>
      <c r="E214" s="275" t="n">
        <v>1</v>
      </c>
      <c r="F214" s="276" t="n"/>
      <c r="G214" s="276" t="n"/>
      <c r="H214" s="241" t="n">
        <v>83000</v>
      </c>
      <c r="I214" s="242" t="n"/>
      <c r="J214" s="242" t="n">
        <v>83000</v>
      </c>
      <c r="K214" s="272" t="n"/>
      <c r="L214" s="272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79" t="n"/>
      <c r="B215" s="267" t="inlineStr">
        <is>
          <t>OTNIEL</t>
        </is>
      </c>
      <c r="C215" s="268" t="n">
        <v>1</v>
      </c>
      <c r="D215" s="268" t="n"/>
      <c r="E215" s="268" t="n">
        <v>1</v>
      </c>
      <c r="F215" s="269" t="n"/>
      <c r="G215" s="269" t="n"/>
      <c r="H215" s="231" t="n">
        <v>98000</v>
      </c>
      <c r="I215" s="232" t="n"/>
      <c r="J215" s="232" t="n">
        <v>98000</v>
      </c>
      <c r="K215" s="272" t="n"/>
      <c r="L215" s="272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73" t="n"/>
      <c r="B216" s="274" t="inlineStr">
        <is>
          <t>VIANDAS ZEBALLOS</t>
        </is>
      </c>
      <c r="C216" s="275" t="n">
        <v>1</v>
      </c>
      <c r="D216" s="275" t="n"/>
      <c r="E216" s="275" t="n"/>
      <c r="F216" s="276" t="n"/>
      <c r="G216" s="276" t="n"/>
      <c r="H216" s="241" t="n">
        <v>20000</v>
      </c>
      <c r="I216" s="242" t="n">
        <v>20000</v>
      </c>
      <c r="J216" s="242" t="n"/>
      <c r="K216" s="272" t="n"/>
      <c r="L216" s="272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79" t="n"/>
      <c r="B217" s="267" t="inlineStr">
        <is>
          <t>S BAYO 7250</t>
        </is>
      </c>
      <c r="C217" s="268" t="n">
        <v>1</v>
      </c>
      <c r="D217" s="268" t="n"/>
      <c r="E217" s="268" t="n"/>
      <c r="F217" s="269" t="n"/>
      <c r="G217" s="269" t="n"/>
      <c r="H217" s="231" t="n">
        <v>22500</v>
      </c>
      <c r="I217" s="232" t="n"/>
      <c r="J217" s="232" t="n">
        <v>22500</v>
      </c>
      <c r="K217" s="272" t="n"/>
      <c r="L217" s="272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73" t="n"/>
      <c r="B218" s="274" t="inlineStr">
        <is>
          <t>EUROPA 8762</t>
        </is>
      </c>
      <c r="C218" s="275" t="n">
        <v>1</v>
      </c>
      <c r="D218" s="275" t="n"/>
      <c r="E218" s="275" t="n"/>
      <c r="F218" s="276" t="n"/>
      <c r="G218" s="276" t="n"/>
      <c r="H218" s="241" t="n">
        <v>24500</v>
      </c>
      <c r="I218" s="242" t="n">
        <v>24500</v>
      </c>
      <c r="J218" s="242" t="n"/>
      <c r="K218" s="272" t="n"/>
      <c r="L218" s="272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79" t="n"/>
      <c r="B219" s="267" t="inlineStr">
        <is>
          <t>ANDRE</t>
        </is>
      </c>
      <c r="C219" s="268" t="n"/>
      <c r="D219" s="268" t="n"/>
      <c r="E219" s="268" t="n"/>
      <c r="F219" s="269" t="n">
        <v>20</v>
      </c>
      <c r="G219" s="269" t="n"/>
      <c r="H219" s="231" t="n">
        <v>68000</v>
      </c>
      <c r="I219" s="232" t="n"/>
      <c r="J219" s="232" t="n">
        <v>68000</v>
      </c>
      <c r="K219" s="272" t="n"/>
      <c r="L219" s="272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73" t="n"/>
      <c r="B220" s="274" t="inlineStr">
        <is>
          <t>EXE</t>
        </is>
      </c>
      <c r="C220" s="275" t="n"/>
      <c r="D220" s="275" t="n"/>
      <c r="E220" s="275" t="n">
        <v>1</v>
      </c>
      <c r="F220" s="276" t="n"/>
      <c r="G220" s="276" t="n"/>
      <c r="H220" s="241" t="n">
        <v>77000</v>
      </c>
      <c r="I220" s="242" t="n"/>
      <c r="J220" s="242" t="n">
        <v>77000</v>
      </c>
      <c r="K220" s="272" t="n"/>
      <c r="L220" s="272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79" t="n"/>
      <c r="B221" s="267" t="inlineStr">
        <is>
          <t>BONEO 2625</t>
        </is>
      </c>
      <c r="C221" s="268" t="n"/>
      <c r="D221" s="268" t="n"/>
      <c r="E221" s="268" t="n">
        <v>1</v>
      </c>
      <c r="F221" s="269" t="n"/>
      <c r="G221" s="269" t="n"/>
      <c r="H221" s="231" t="n">
        <v>80000</v>
      </c>
      <c r="I221" s="232" t="n">
        <v>80000</v>
      </c>
      <c r="J221" s="232" t="n"/>
      <c r="K221" s="272" t="n"/>
      <c r="L221" s="272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73" t="n">
        <v>46098</v>
      </c>
      <c r="B222" s="274" t="inlineStr">
        <is>
          <t>INGENIERO 8364</t>
        </is>
      </c>
      <c r="C222" s="275" t="n"/>
      <c r="D222" s="275" t="n"/>
      <c r="E222" s="275" t="n">
        <v>1</v>
      </c>
      <c r="F222" s="276" t="n"/>
      <c r="G222" s="276" t="n"/>
      <c r="H222" s="241" t="n">
        <v>83000</v>
      </c>
      <c r="I222" s="242" t="n"/>
      <c r="J222" s="242" t="n">
        <v>83000</v>
      </c>
      <c r="K222" s="272" t="n"/>
      <c r="L222" s="272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79" t="n"/>
      <c r="B223" s="267" t="inlineStr">
        <is>
          <t>P CEBALLOS 8134</t>
        </is>
      </c>
      <c r="C223" s="268" t="n">
        <v>2</v>
      </c>
      <c r="D223" s="268" t="n"/>
      <c r="E223" s="268" t="n"/>
      <c r="F223" s="269" t="n"/>
      <c r="G223" s="269" t="n"/>
      <c r="H223" s="231" t="n">
        <v>34000</v>
      </c>
      <c r="I223" s="232" t="n">
        <v>34000</v>
      </c>
      <c r="J223" s="232" t="n"/>
      <c r="K223" s="272" t="n"/>
      <c r="L223" s="272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73" t="n"/>
      <c r="B224" s="274" t="inlineStr">
        <is>
          <t>RIO NEGRO 4464</t>
        </is>
      </c>
      <c r="C224" s="275" t="n">
        <v>2</v>
      </c>
      <c r="D224" s="275" t="n"/>
      <c r="E224" s="275" t="n"/>
      <c r="F224" s="276" t="n"/>
      <c r="G224" s="276" t="n"/>
      <c r="H224" s="241" t="n">
        <v>49000</v>
      </c>
      <c r="I224" s="242" t="n"/>
      <c r="J224" s="242" t="n">
        <v>49000</v>
      </c>
      <c r="K224" s="272" t="n"/>
      <c r="L224" s="272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79" t="n"/>
      <c r="B225" s="267" t="inlineStr">
        <is>
          <t>LUCHOI</t>
        </is>
      </c>
      <c r="C225" s="268" t="n">
        <v>1</v>
      </c>
      <c r="D225" s="268" t="n"/>
      <c r="E225" s="268" t="n"/>
      <c r="F225" s="269" t="n"/>
      <c r="G225" s="269" t="n">
        <v>2</v>
      </c>
      <c r="H225" s="231" t="n">
        <v>29000</v>
      </c>
      <c r="I225" s="232" t="n"/>
      <c r="J225" s="232" t="n">
        <v>29000</v>
      </c>
      <c r="K225" s="272" t="n"/>
      <c r="L225" s="272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73" t="n"/>
      <c r="B226" s="274" t="inlineStr">
        <is>
          <t>CAREN</t>
        </is>
      </c>
      <c r="C226" s="275" t="n"/>
      <c r="D226" s="275" t="n"/>
      <c r="E226" s="275" t="n">
        <v>1</v>
      </c>
      <c r="F226" s="276" t="n"/>
      <c r="G226" s="276" t="n"/>
      <c r="H226" s="241" t="n">
        <v>77000</v>
      </c>
      <c r="I226" s="242" t="n"/>
      <c r="J226" s="242" t="n">
        <v>77000</v>
      </c>
      <c r="K226" s="272" t="n"/>
      <c r="L226" s="272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79" t="n"/>
      <c r="B227" s="267" t="inlineStr">
        <is>
          <t>NECOCHEA 5587</t>
        </is>
      </c>
      <c r="C227" s="268" t="n">
        <v>2</v>
      </c>
      <c r="D227" s="268" t="n"/>
      <c r="E227" s="268" t="n"/>
      <c r="F227" s="269" t="n"/>
      <c r="G227" s="269" t="n"/>
      <c r="H227" s="231" t="n">
        <v>49000</v>
      </c>
      <c r="I227" s="232" t="n"/>
      <c r="J227" s="232" t="n">
        <v>49000</v>
      </c>
      <c r="K227" s="272" t="n"/>
      <c r="L227" s="272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73" t="n"/>
      <c r="B228" s="274" t="inlineStr">
        <is>
          <t>BELGRANO 7972</t>
        </is>
      </c>
      <c r="C228" s="275" t="n">
        <v>1</v>
      </c>
      <c r="D228" s="275" t="n"/>
      <c r="E228" s="275" t="n"/>
      <c r="F228" s="276" t="n"/>
      <c r="G228" s="276" t="n"/>
      <c r="H228" s="241" t="n">
        <v>24500</v>
      </c>
      <c r="I228" s="242" t="n"/>
      <c r="J228" s="242" t="n">
        <v>24500</v>
      </c>
      <c r="K228" s="272" t="n"/>
      <c r="L228" s="272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79" t="n"/>
      <c r="B229" s="267" t="inlineStr">
        <is>
          <t>SAN MARTIN 3518</t>
        </is>
      </c>
      <c r="C229" s="268" t="n">
        <v>1</v>
      </c>
      <c r="D229" s="268" t="n"/>
      <c r="E229" s="268" t="n"/>
      <c r="F229" s="269" t="n"/>
      <c r="G229" s="269" t="n"/>
      <c r="H229" s="231" t="n">
        <v>25500</v>
      </c>
      <c r="I229" s="232" t="n"/>
      <c r="J229" s="232" t="n">
        <v>25500</v>
      </c>
      <c r="K229" s="272" t="n"/>
      <c r="L229" s="272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73" t="n">
        <v>46099</v>
      </c>
      <c r="B230" s="274" t="inlineStr">
        <is>
          <t>JOSE MONTEVERA</t>
        </is>
      </c>
      <c r="C230" s="275" t="n"/>
      <c r="D230" s="275" t="n"/>
      <c r="E230" s="275" t="n">
        <v>1</v>
      </c>
      <c r="F230" s="276" t="n"/>
      <c r="G230" s="276" t="n"/>
      <c r="H230" s="241" t="n">
        <v>83000</v>
      </c>
      <c r="I230" s="242" t="n">
        <v>83000</v>
      </c>
      <c r="J230" s="242" t="n"/>
      <c r="K230" s="272" t="n"/>
      <c r="L230" s="272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79" t="n"/>
      <c r="B231" s="267" t="inlineStr">
        <is>
          <t>PANA GORRITI 4600</t>
        </is>
      </c>
      <c r="C231" s="268" t="n"/>
      <c r="D231" s="268" t="n"/>
      <c r="E231" s="268" t="n">
        <v>1</v>
      </c>
      <c r="F231" s="269" t="n"/>
      <c r="G231" s="269" t="n"/>
      <c r="H231" s="231" t="n">
        <v>79000</v>
      </c>
      <c r="I231" s="232" t="n"/>
      <c r="J231" s="232" t="n">
        <v>79000</v>
      </c>
      <c r="K231" s="272" t="n"/>
      <c r="L231" s="272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73" t="n"/>
      <c r="B232" s="274" t="inlineStr">
        <is>
          <t>CHICLANA 7325</t>
        </is>
      </c>
      <c r="C232" s="275" t="n">
        <v>1</v>
      </c>
      <c r="D232" s="275" t="n"/>
      <c r="E232" s="275" t="n"/>
      <c r="F232" s="276" t="n"/>
      <c r="G232" s="276" t="n"/>
      <c r="H232" s="241" t="n">
        <v>17000</v>
      </c>
      <c r="I232" s="242" t="n"/>
      <c r="J232" s="242" t="n">
        <v>17000</v>
      </c>
      <c r="K232" s="272" t="n"/>
      <c r="L232" s="272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79" t="n"/>
      <c r="B233" s="267" t="inlineStr">
        <is>
          <t>FILOMENA</t>
        </is>
      </c>
      <c r="C233" s="268" t="n">
        <v>2</v>
      </c>
      <c r="D233" s="268" t="n"/>
      <c r="E233" s="268" t="n"/>
      <c r="F233" s="269" t="n"/>
      <c r="G233" s="269" t="n"/>
      <c r="H233" s="231" t="n">
        <v>41000</v>
      </c>
      <c r="I233" s="232" t="n"/>
      <c r="J233" s="232" t="n">
        <v>41000</v>
      </c>
      <c r="K233" s="272" t="n"/>
      <c r="L233" s="272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73" t="n"/>
      <c r="B234" s="274" t="inlineStr">
        <is>
          <t>PANA VIEYTES 4500</t>
        </is>
      </c>
      <c r="C234" s="275" t="n"/>
      <c r="D234" s="275" t="n"/>
      <c r="E234" s="275" t="n">
        <v>1</v>
      </c>
      <c r="F234" s="276" t="n"/>
      <c r="G234" s="276" t="n"/>
      <c r="H234" s="241" t="n">
        <v>73000</v>
      </c>
      <c r="I234" s="242" t="n">
        <v>73000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79" t="n"/>
      <c r="B235" s="267" t="inlineStr">
        <is>
          <t>B IRIGOYRN 6848</t>
        </is>
      </c>
      <c r="C235" s="268" t="n">
        <v>1</v>
      </c>
      <c r="D235" s="268" t="n"/>
      <c r="E235" s="268" t="n"/>
      <c r="F235" s="269" t="n"/>
      <c r="G235" s="269" t="n"/>
      <c r="H235" s="231" t="n">
        <v>24000</v>
      </c>
      <c r="I235" s="232" t="n">
        <v>24000</v>
      </c>
      <c r="J235" s="232" t="n"/>
      <c r="K235" s="272" t="n"/>
      <c r="L235" s="272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73" t="n"/>
      <c r="B236" s="274" t="inlineStr">
        <is>
          <t>AYACUCHO 5370</t>
        </is>
      </c>
      <c r="C236" s="275" t="n"/>
      <c r="D236" s="275" t="n"/>
      <c r="E236" s="275" t="n"/>
      <c r="F236" s="276" t="n"/>
      <c r="G236" s="276" t="n">
        <v>2</v>
      </c>
      <c r="H236" s="241" t="n">
        <v>11000</v>
      </c>
      <c r="I236" s="242" t="n"/>
      <c r="J236" s="242" t="n">
        <v>11000</v>
      </c>
      <c r="K236" s="272" t="n"/>
      <c r="L236" s="272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79" t="n"/>
      <c r="B237" s="267" t="inlineStr">
        <is>
          <t xml:space="preserve">LAS FLORES 1 Y MILLAN MEDINA </t>
        </is>
      </c>
      <c r="C237" s="268" t="n">
        <v>1</v>
      </c>
      <c r="D237" s="268" t="n"/>
      <c r="E237" s="268" t="n"/>
      <c r="F237" s="269" t="n"/>
      <c r="G237" s="269" t="n"/>
      <c r="H237" s="231" t="n">
        <v>24500</v>
      </c>
      <c r="I237" s="232" t="n"/>
      <c r="J237" s="232" t="n">
        <v>24500</v>
      </c>
      <c r="K237" s="272" t="n"/>
      <c r="L237" s="272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73" t="n"/>
      <c r="B238" s="274" t="inlineStr">
        <is>
          <t xml:space="preserve">NINGO HIJA </t>
        </is>
      </c>
      <c r="C238" s="275" t="n"/>
      <c r="D238" s="275" t="n">
        <v>1</v>
      </c>
      <c r="E238" s="275" t="n"/>
      <c r="F238" s="276" t="n"/>
      <c r="G238" s="276" t="n"/>
      <c r="H238" s="241" t="n">
        <v>34000</v>
      </c>
      <c r="I238" s="242" t="n"/>
      <c r="J238" s="242" t="n">
        <v>34000</v>
      </c>
      <c r="K238" s="272" t="n"/>
      <c r="L238" s="272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79" t="n"/>
      <c r="B239" s="267" t="inlineStr">
        <is>
          <t>BERUTI 5199</t>
        </is>
      </c>
      <c r="C239" s="268" t="n"/>
      <c r="D239" s="268" t="n"/>
      <c r="E239" s="268" t="n">
        <v>1</v>
      </c>
      <c r="F239" s="269" t="n"/>
      <c r="G239" s="269" t="n"/>
      <c r="H239" s="231" t="n">
        <v>80000</v>
      </c>
      <c r="I239" s="232" t="n">
        <v>80000</v>
      </c>
      <c r="J239" s="232" t="n"/>
      <c r="K239" s="272" t="n"/>
      <c r="L239" s="272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73" t="n"/>
      <c r="B240" s="274" t="inlineStr">
        <is>
          <t xml:space="preserve">LAVADERO </t>
        </is>
      </c>
      <c r="C240" s="275" t="n">
        <v>1</v>
      </c>
      <c r="D240" s="275" t="n"/>
      <c r="E240" s="275" t="n"/>
      <c r="F240" s="276" t="n"/>
      <c r="G240" s="276" t="n"/>
      <c r="H240" s="241" t="n">
        <v>17000</v>
      </c>
      <c r="I240" s="242" t="n"/>
      <c r="J240" s="242" t="n">
        <v>17000</v>
      </c>
      <c r="K240" s="272" t="n"/>
      <c r="L240" s="272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79" t="n"/>
      <c r="B241" s="267" t="inlineStr">
        <is>
          <t>TERCER PJE 4771</t>
        </is>
      </c>
      <c r="C241" s="268" t="n"/>
      <c r="D241" s="268" t="n"/>
      <c r="E241" s="268" t="n">
        <v>1</v>
      </c>
      <c r="F241" s="269" t="n"/>
      <c r="G241" s="269" t="n"/>
      <c r="H241" s="231" t="n">
        <v>78000</v>
      </c>
      <c r="I241" s="232" t="n"/>
      <c r="J241" s="232" t="n">
        <v>78000</v>
      </c>
      <c r="K241" s="272" t="n"/>
      <c r="L241" s="272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73" t="n"/>
      <c r="B242" s="274" t="inlineStr">
        <is>
          <t>NACHO</t>
        </is>
      </c>
      <c r="C242" s="275" t="n">
        <v>2</v>
      </c>
      <c r="D242" s="275" t="n"/>
      <c r="E242" s="275" t="n"/>
      <c r="F242" s="276" t="n"/>
      <c r="G242" s="276" t="n"/>
      <c r="H242" s="241" t="n">
        <v>41000</v>
      </c>
      <c r="I242" s="242" t="n">
        <v>41000</v>
      </c>
      <c r="J242" s="242" t="n"/>
      <c r="K242" s="272" t="n"/>
      <c r="L242" s="272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79" t="n">
        <v>46100</v>
      </c>
      <c r="B243" s="267" t="inlineStr">
        <is>
          <t>LUCHO</t>
        </is>
      </c>
      <c r="C243" s="268" t="n"/>
      <c r="D243" s="268" t="n">
        <v>1</v>
      </c>
      <c r="E243" s="268" t="n"/>
      <c r="F243" s="269" t="n"/>
      <c r="G243" s="269" t="n"/>
      <c r="H243" s="231" t="n">
        <v>25500</v>
      </c>
      <c r="I243" s="232" t="n"/>
      <c r="J243" s="232" t="n">
        <v>25500</v>
      </c>
      <c r="K243" s="272" t="n"/>
      <c r="L243" s="272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73" t="n"/>
      <c r="B244" s="274" t="inlineStr">
        <is>
          <t>LAVADERO</t>
        </is>
      </c>
      <c r="C244" s="275" t="n">
        <v>1</v>
      </c>
      <c r="D244" s="275" t="n"/>
      <c r="E244" s="275" t="n"/>
      <c r="F244" s="276" t="n"/>
      <c r="G244" s="276" t="n"/>
      <c r="H244" s="241" t="n">
        <v>17000</v>
      </c>
      <c r="I244" s="242" t="n"/>
      <c r="J244" s="242" t="n">
        <v>17000</v>
      </c>
      <c r="K244" s="272" t="n"/>
      <c r="L244" s="272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79" t="n"/>
      <c r="B245" s="267" t="inlineStr">
        <is>
          <t>SANDRA</t>
        </is>
      </c>
      <c r="C245" s="268" t="n">
        <v>1</v>
      </c>
      <c r="D245" s="268" t="n">
        <v>1</v>
      </c>
      <c r="E245" s="268" t="n"/>
      <c r="F245" s="269" t="n"/>
      <c r="G245" s="269" t="n"/>
      <c r="H245" s="231" t="n">
        <v>42500</v>
      </c>
      <c r="I245" s="232" t="n">
        <v>42500</v>
      </c>
      <c r="J245" s="232" t="n"/>
      <c r="K245" s="272" t="n"/>
      <c r="L245" s="272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73" t="n"/>
      <c r="B246" s="274" t="inlineStr">
        <is>
          <t>PANA ALBERTI</t>
        </is>
      </c>
      <c r="C246" s="275" t="n"/>
      <c r="D246" s="275" t="n"/>
      <c r="E246" s="275" t="n">
        <v>1</v>
      </c>
      <c r="F246" s="276" t="n"/>
      <c r="G246" s="276" t="n"/>
      <c r="H246" s="241" t="n">
        <v>77000</v>
      </c>
      <c r="I246" s="242" t="n">
        <v>77000</v>
      </c>
      <c r="J246" s="242" t="n"/>
      <c r="K246" s="272" t="n"/>
      <c r="L246" s="272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79" t="n"/>
      <c r="B247" s="267" t="inlineStr">
        <is>
          <t>VIANDAS JORGE 1</t>
        </is>
      </c>
      <c r="C247" s="268" t="n">
        <v>1</v>
      </c>
      <c r="D247" s="268" t="n"/>
      <c r="E247" s="268" t="n"/>
      <c r="F247" s="269" t="n"/>
      <c r="G247" s="269" t="n"/>
      <c r="H247" s="231" t="n">
        <v>20000</v>
      </c>
      <c r="I247" s="232" t="n">
        <v>20000</v>
      </c>
      <c r="J247" s="232" t="n"/>
      <c r="K247" s="272" t="n"/>
      <c r="L247" s="272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73" t="n"/>
      <c r="B248" s="274" t="inlineStr">
        <is>
          <t>NEUQUEN 7046</t>
        </is>
      </c>
      <c r="C248" s="275" t="n">
        <v>1</v>
      </c>
      <c r="D248" s="275" t="n"/>
      <c r="E248" s="275" t="n"/>
      <c r="F248" s="276" t="n"/>
      <c r="G248" s="276" t="n"/>
      <c r="H248" s="241" t="n">
        <v>24500</v>
      </c>
      <c r="I248" s="242" t="n">
        <v>24500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79" t="n"/>
      <c r="B249" s="267" t="inlineStr">
        <is>
          <t>GORRITI 4661</t>
        </is>
      </c>
      <c r="C249" s="268" t="n">
        <v>1</v>
      </c>
      <c r="D249" s="268" t="n"/>
      <c r="E249" s="268" t="n"/>
      <c r="F249" s="269" t="n"/>
      <c r="G249" s="269" t="n"/>
      <c r="H249" s="231" t="n">
        <v>24500</v>
      </c>
      <c r="I249" s="232" t="n"/>
      <c r="J249" s="232" t="n">
        <v>24500</v>
      </c>
      <c r="K249" s="272" t="n"/>
      <c r="L249" s="272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73" t="n"/>
      <c r="B250" s="274" t="inlineStr">
        <is>
          <t>LOPEZ Y PLANES 4630</t>
        </is>
      </c>
      <c r="C250" s="275" t="n"/>
      <c r="D250" s="275" t="n"/>
      <c r="E250" s="275" t="n">
        <v>1</v>
      </c>
      <c r="F250" s="276" t="n"/>
      <c r="G250" s="276" t="n"/>
      <c r="H250" s="241" t="n">
        <v>80000</v>
      </c>
      <c r="I250" s="242" t="n">
        <v>80000</v>
      </c>
      <c r="J250" s="242" t="n"/>
      <c r="K250" s="272" t="n"/>
      <c r="L250" s="272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79" t="n"/>
      <c r="B251" s="267" t="inlineStr">
        <is>
          <t>FLORES 1 MON 5 ADENTRO</t>
        </is>
      </c>
      <c r="C251" s="268" t="n">
        <v>1</v>
      </c>
      <c r="D251" s="268" t="n"/>
      <c r="E251" s="268" t="n"/>
      <c r="F251" s="269" t="n"/>
      <c r="G251" s="269" t="n"/>
      <c r="H251" s="231" t="n">
        <v>24500</v>
      </c>
      <c r="I251" s="232" t="n">
        <v>24500</v>
      </c>
      <c r="J251" s="232" t="n"/>
      <c r="K251" s="272" t="n"/>
      <c r="L251" s="272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73" t="n"/>
      <c r="B252" s="274" t="inlineStr">
        <is>
          <t>ROTI VIYTES</t>
        </is>
      </c>
      <c r="C252" s="275" t="n"/>
      <c r="D252" s="275" t="n">
        <v>2</v>
      </c>
      <c r="E252" s="275" t="n"/>
      <c r="F252" s="276" t="n"/>
      <c r="G252" s="276" t="n"/>
      <c r="H252" s="241" t="n">
        <v>50000</v>
      </c>
      <c r="I252" s="242" t="n"/>
      <c r="J252" s="242" t="n">
        <v>50000</v>
      </c>
      <c r="K252" s="272" t="n"/>
      <c r="L252" s="272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79" t="n"/>
      <c r="B253" s="267" t="inlineStr">
        <is>
          <t>CHICLANA 7849</t>
        </is>
      </c>
      <c r="C253" s="268" t="n"/>
      <c r="D253" s="268" t="n">
        <v>1</v>
      </c>
      <c r="E253" s="268" t="n"/>
      <c r="F253" s="269" t="n"/>
      <c r="G253" s="269" t="n"/>
      <c r="H253" s="231" t="n">
        <v>36500</v>
      </c>
      <c r="I253" s="232" t="n">
        <v>36500</v>
      </c>
      <c r="J253" s="232" t="n"/>
      <c r="K253" s="272" t="n"/>
      <c r="L253" s="272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73" t="n">
        <v>46101</v>
      </c>
      <c r="B254" s="274" t="inlineStr">
        <is>
          <t>M ZAPATA 2101</t>
        </is>
      </c>
      <c r="C254" s="275" t="n">
        <v>3</v>
      </c>
      <c r="D254" s="275" t="n"/>
      <c r="E254" s="275" t="n"/>
      <c r="F254" s="276" t="n"/>
      <c r="G254" s="276" t="n"/>
      <c r="H254" s="241" t="n">
        <v>52500</v>
      </c>
      <c r="I254" s="242" t="n">
        <v>40000</v>
      </c>
      <c r="J254" s="242" t="n">
        <v>12500</v>
      </c>
      <c r="K254" s="272" t="n"/>
      <c r="L254" s="272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79" t="n"/>
      <c r="B255" s="267" t="inlineStr">
        <is>
          <t>BONEO 4821</t>
        </is>
      </c>
      <c r="C255" s="268" t="n"/>
      <c r="D255" s="268" t="n"/>
      <c r="E255" s="268" t="n"/>
      <c r="F255" s="269" t="n"/>
      <c r="G255" s="269" t="n">
        <v>2</v>
      </c>
      <c r="H255" s="231" t="n">
        <v>12000</v>
      </c>
      <c r="I255" s="232" t="n">
        <v>12000</v>
      </c>
      <c r="J255" s="232" t="n"/>
      <c r="K255" s="272" t="n"/>
      <c r="L255" s="272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73" t="n"/>
      <c r="B256" s="274" t="inlineStr">
        <is>
          <t>LAVAISE 3786</t>
        </is>
      </c>
      <c r="C256" s="275" t="n">
        <v>1</v>
      </c>
      <c r="D256" s="275" t="n">
        <v>1</v>
      </c>
      <c r="E256" s="275" t="n"/>
      <c r="F256" s="276" t="n"/>
      <c r="G256" s="276" t="n"/>
      <c r="H256" s="241" t="n">
        <v>58000</v>
      </c>
      <c r="I256" s="242" t="n"/>
      <c r="J256" s="242" t="n">
        <v>58000</v>
      </c>
      <c r="K256" s="272" t="n"/>
      <c r="L256" s="272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79" t="n"/>
      <c r="B257" s="267" t="inlineStr">
        <is>
          <t>FILOMENA</t>
        </is>
      </c>
      <c r="C257" s="268" t="n">
        <v>2</v>
      </c>
      <c r="D257" s="268" t="n"/>
      <c r="E257" s="268" t="n"/>
      <c r="F257" s="269" t="n"/>
      <c r="G257" s="269" t="n"/>
      <c r="H257" s="231" t="n">
        <v>41000</v>
      </c>
      <c r="I257" s="232" t="n"/>
      <c r="J257" s="232" t="n">
        <v>41000</v>
      </c>
      <c r="K257" s="272" t="n"/>
      <c r="L257" s="272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73" t="n"/>
      <c r="B258" s="274" t="inlineStr">
        <is>
          <t>NOGALES 2651</t>
        </is>
      </c>
      <c r="C258" s="275" t="n"/>
      <c r="D258" s="275" t="n"/>
      <c r="E258" s="275" t="n">
        <v>1</v>
      </c>
      <c r="F258" s="276" t="n"/>
      <c r="G258" s="276" t="n"/>
      <c r="H258" s="241" t="n">
        <v>80000</v>
      </c>
      <c r="I258" s="242" t="n">
        <v>80000</v>
      </c>
      <c r="J258" s="242" t="n"/>
      <c r="K258" s="272" t="n"/>
      <c r="L258" s="272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79" t="n">
        <v>46102</v>
      </c>
      <c r="B259" s="267" t="inlineStr">
        <is>
          <t>TATU</t>
        </is>
      </c>
      <c r="C259" s="268" t="n"/>
      <c r="D259" s="268" t="n"/>
      <c r="E259" s="268" t="n">
        <v>1</v>
      </c>
      <c r="F259" s="269" t="n"/>
      <c r="G259" s="269" t="n"/>
      <c r="H259" s="231" t="n">
        <v>83000</v>
      </c>
      <c r="I259" s="232" t="n"/>
      <c r="J259" s="232" t="n">
        <v>83000</v>
      </c>
      <c r="K259" s="272" t="n"/>
      <c r="L259" s="272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73" t="n"/>
      <c r="B260" s="274" t="inlineStr">
        <is>
          <t>OTNIEL</t>
        </is>
      </c>
      <c r="C260" s="275" t="n"/>
      <c r="D260" s="275" t="n"/>
      <c r="E260" s="275" t="n"/>
      <c r="F260" s="276" t="n"/>
      <c r="G260" s="276" t="n">
        <v>2</v>
      </c>
      <c r="H260" s="241" t="n">
        <v>11000</v>
      </c>
      <c r="I260" s="242" t="n"/>
      <c r="J260" s="242" t="n">
        <v>11000</v>
      </c>
      <c r="K260" s="272" t="n"/>
      <c r="L260" s="272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79" t="n"/>
      <c r="B261" s="267" t="inlineStr">
        <is>
          <t>BRASERIA</t>
        </is>
      </c>
      <c r="C261" s="268" t="n"/>
      <c r="D261" s="268" t="n"/>
      <c r="E261" s="268" t="n">
        <v>1</v>
      </c>
      <c r="F261" s="269" t="n"/>
      <c r="G261" s="269" t="n"/>
      <c r="H261" s="231" t="n">
        <v>78000</v>
      </c>
      <c r="I261" s="232" t="n"/>
      <c r="J261" s="232" t="n">
        <v>78000</v>
      </c>
      <c r="K261" s="272" t="n"/>
      <c r="L261" s="272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73" t="n"/>
      <c r="B262" s="274" t="inlineStr">
        <is>
          <t>DOMINGO SILVA 4217</t>
        </is>
      </c>
      <c r="C262" s="275" t="n">
        <v>3</v>
      </c>
      <c r="D262" s="275" t="n"/>
      <c r="E262" s="275" t="n"/>
      <c r="F262" s="276" t="n"/>
      <c r="G262" s="276" t="n"/>
      <c r="H262" s="241" t="n">
        <v>51000</v>
      </c>
      <c r="I262" s="242" t="n"/>
      <c r="J262" s="242" t="n">
        <v>51000</v>
      </c>
      <c r="K262" s="272" t="n"/>
      <c r="L262" s="272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79" t="n"/>
      <c r="B263" s="267" t="inlineStr">
        <is>
          <t>VELEZ SARFIELD 5632</t>
        </is>
      </c>
      <c r="C263" s="268" t="n"/>
      <c r="D263" s="268" t="n">
        <v>1</v>
      </c>
      <c r="E263" s="268" t="n"/>
      <c r="F263" s="269" t="n"/>
      <c r="G263" s="269" t="n"/>
      <c r="H263" s="231" t="n">
        <v>35000</v>
      </c>
      <c r="I263" s="232" t="n">
        <v>35000</v>
      </c>
      <c r="J263" s="232" t="n"/>
      <c r="K263" s="272" t="n"/>
      <c r="L263" s="272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73" t="n"/>
      <c r="B264" s="274" t="inlineStr">
        <is>
          <t>BONEO 5315</t>
        </is>
      </c>
      <c r="C264" s="275" t="n">
        <v>1</v>
      </c>
      <c r="D264" s="275" t="n"/>
      <c r="E264" s="275" t="n"/>
      <c r="F264" s="276" t="n"/>
      <c r="G264" s="276" t="n"/>
      <c r="H264" s="241" t="n">
        <v>23500</v>
      </c>
      <c r="I264" s="242" t="n">
        <v>23500</v>
      </c>
      <c r="J264" s="242" t="n"/>
      <c r="K264" s="272" t="n"/>
      <c r="L264" s="272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79" t="n"/>
      <c r="B265" s="267" t="inlineStr">
        <is>
          <t>AYACUCHO 3817</t>
        </is>
      </c>
      <c r="C265" s="268" t="n">
        <v>2</v>
      </c>
      <c r="D265" s="268" t="n"/>
      <c r="E265" s="268" t="n"/>
      <c r="F265" s="269" t="n"/>
      <c r="G265" s="269" t="n"/>
      <c r="H265" s="231" t="n">
        <v>42000</v>
      </c>
      <c r="I265" s="232" t="n">
        <v>42000</v>
      </c>
      <c r="J265" s="232" t="n"/>
      <c r="K265" s="272" t="n"/>
      <c r="L265" s="272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73" t="n"/>
      <c r="B266" s="274" t="inlineStr">
        <is>
          <t>ARISTOBULO 8998</t>
        </is>
      </c>
      <c r="C266" s="275" t="n"/>
      <c r="D266" s="275" t="n"/>
      <c r="E266" s="275" t="n">
        <v>1</v>
      </c>
      <c r="F266" s="276" t="n"/>
      <c r="G266" s="276" t="n"/>
      <c r="H266" s="241" t="n">
        <v>79000</v>
      </c>
      <c r="I266" s="242" t="n"/>
      <c r="J266" s="242" t="n">
        <v>79000</v>
      </c>
      <c r="K266" s="272" t="n"/>
      <c r="L266" s="272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79" t="n"/>
      <c r="B267" s="267" t="inlineStr">
        <is>
          <t>NACHO</t>
        </is>
      </c>
      <c r="C267" s="268" t="n">
        <v>1</v>
      </c>
      <c r="D267" s="268" t="n"/>
      <c r="E267" s="268" t="n"/>
      <c r="F267" s="269" t="n"/>
      <c r="G267" s="269" t="n"/>
      <c r="H267" s="231" t="n">
        <v>20500</v>
      </c>
      <c r="I267" s="232" t="n"/>
      <c r="J267" s="232" t="n">
        <v>20500</v>
      </c>
      <c r="K267" s="272" t="n"/>
      <c r="L267" s="272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73" t="n"/>
      <c r="B268" s="274" t="inlineStr">
        <is>
          <t>SABOREAR</t>
        </is>
      </c>
      <c r="C268" s="275" t="n">
        <v>1</v>
      </c>
      <c r="D268" s="275" t="n"/>
      <c r="E268" s="275" t="n"/>
      <c r="F268" s="276" t="n"/>
      <c r="G268" s="276" t="n"/>
      <c r="H268" s="241" t="n">
        <v>21000</v>
      </c>
      <c r="I268" s="242" t="n"/>
      <c r="J268" s="242" t="n">
        <v>21000</v>
      </c>
      <c r="K268" s="272" t="n"/>
      <c r="L268" s="272">
        <f>IF(K268&lt;&gt;"",7500+K268,7500)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CAREN</t>
        </is>
      </c>
      <c r="C269" s="268" t="n"/>
      <c r="D269" s="268" t="n"/>
      <c r="E269" s="268" t="n">
        <v>1</v>
      </c>
      <c r="F269" s="269" t="n"/>
      <c r="G269" s="269" t="n"/>
      <c r="H269" s="231" t="n">
        <v>77000</v>
      </c>
      <c r="I269" s="232" t="n"/>
      <c r="J269" s="232" t="n">
        <v>77000</v>
      </c>
      <c r="K269" s="272" t="n"/>
      <c r="L269" s="272">
        <f>IF(K269&lt;&gt;"",28000+K269,28000)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 xml:space="preserve">ARGENTA </t>
        </is>
      </c>
      <c r="C270" s="275" t="n">
        <v>1</v>
      </c>
      <c r="D270" s="275" t="n"/>
      <c r="E270" s="275" t="n"/>
      <c r="F270" s="276" t="n"/>
      <c r="G270" s="276" t="n"/>
      <c r="H270" s="241" t="n">
        <v>24500</v>
      </c>
      <c r="I270" s="242" t="n"/>
      <c r="J270" s="242" t="n">
        <v>24500</v>
      </c>
      <c r="K270" s="272" t="n"/>
      <c r="L270" s="272">
        <f>IF(K270&lt;&gt;"",11000+K270,11000)</f>
        <v/>
      </c>
      <c r="M270" s="156" t="n"/>
      <c r="N270" s="156" t="n"/>
      <c r="O270" s="156" t="n"/>
    </row>
    <row r="271" ht="18.75" customHeight="1" s="153">
      <c r="A271" s="279" t="n">
        <v>46103</v>
      </c>
      <c r="B271" s="267" t="inlineStr">
        <is>
          <t>MOLINA FLORES 1</t>
        </is>
      </c>
      <c r="C271" s="268" t="n"/>
      <c r="D271" s="268" t="n"/>
      <c r="E271" s="268" t="n">
        <v>1</v>
      </c>
      <c r="F271" s="269" t="n"/>
      <c r="G271" s="269" t="n"/>
      <c r="H271" s="231" t="n">
        <v>80000</v>
      </c>
      <c r="I271" s="232" t="n">
        <v>80000</v>
      </c>
      <c r="J271" s="232" t="n"/>
      <c r="K271" s="272" t="n"/>
      <c r="L271" s="272">
        <f>IF(K271&lt;&gt;"",31000+K271,31000)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GABOTO</t>
        </is>
      </c>
      <c r="C272" s="275" t="n">
        <v>2</v>
      </c>
      <c r="D272" s="275" t="n"/>
      <c r="E272" s="275" t="n"/>
      <c r="F272" s="276" t="n"/>
      <c r="G272" s="276" t="n"/>
      <c r="H272" s="241" t="n">
        <v>42000</v>
      </c>
      <c r="I272" s="242" t="n"/>
      <c r="J272" s="242" t="n">
        <v>42000</v>
      </c>
      <c r="K272" s="272" t="n"/>
      <c r="L272" s="272">
        <f>IF(K272&lt;&gt;"",15000+K272,15000)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REIANARES 8257</t>
        </is>
      </c>
      <c r="C273" s="268" t="n"/>
      <c r="D273" s="268" t="n"/>
      <c r="E273" s="268" t="n">
        <v>1</v>
      </c>
      <c r="F273" s="269" t="n"/>
      <c r="G273" s="269" t="n"/>
      <c r="H273" s="231" t="n">
        <v>79000</v>
      </c>
      <c r="I273" s="232" t="n"/>
      <c r="J273" s="232" t="n">
        <v>79000</v>
      </c>
      <c r="K273" s="272" t="n"/>
      <c r="L273" s="272">
        <f>IF(K273&lt;&gt;"",30000+K273,30000)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DUSO 7678</t>
        </is>
      </c>
      <c r="C274" s="275" t="n">
        <v>9</v>
      </c>
      <c r="D274" s="275" t="n">
        <v>1</v>
      </c>
      <c r="E274" s="275" t="n"/>
      <c r="F274" s="276" t="n"/>
      <c r="G274" s="276" t="n"/>
      <c r="H274" s="241" t="n">
        <v>178500</v>
      </c>
      <c r="I274" s="242" t="n">
        <v>100000</v>
      </c>
      <c r="J274" s="242" t="n">
        <v>78500</v>
      </c>
      <c r="K274" s="272" t="n"/>
      <c r="L274" s="272">
        <f>IF(K274&lt;&gt;"",36750+K274,36750)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9 DE JULIO 6543</t>
        </is>
      </c>
      <c r="C275" s="268" t="n">
        <v>1</v>
      </c>
      <c r="D275" s="268" t="n"/>
      <c r="E275" s="268" t="n"/>
      <c r="F275" s="269" t="n"/>
      <c r="G275" s="269" t="n"/>
      <c r="H275" s="231" t="n">
        <v>25500</v>
      </c>
      <c r="I275" s="232" t="n">
        <v>25500</v>
      </c>
      <c r="J275" s="232" t="n"/>
      <c r="K275" s="272" t="n"/>
      <c r="L275" s="272">
        <f>IF(K275&lt;&gt;"",12000+K275,12000)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BERUTI 3850 PANA</t>
        </is>
      </c>
      <c r="C276" s="275" t="n"/>
      <c r="D276" s="275" t="n"/>
      <c r="E276" s="275" t="n">
        <v>1</v>
      </c>
      <c r="F276" s="276" t="n"/>
      <c r="G276" s="276" t="n"/>
      <c r="H276" s="241" t="n">
        <v>74000</v>
      </c>
      <c r="I276" s="242" t="n">
        <v>74000</v>
      </c>
      <c r="J276" s="242" t="n"/>
      <c r="K276" s="272" t="n"/>
      <c r="L276" s="272">
        <f>IF(K276&lt;&gt;"",25000+K276,25000)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FLORENCIO SANCHEZ 4699</t>
        </is>
      </c>
      <c r="C277" s="268" t="n">
        <v>1</v>
      </c>
      <c r="D277" s="268" t="n"/>
      <c r="E277" s="268" t="n"/>
      <c r="F277" s="269" t="n"/>
      <c r="G277" s="269" t="n"/>
      <c r="H277" s="231" t="n">
        <v>23500</v>
      </c>
      <c r="I277" s="232" t="n">
        <v>23500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BELGRANO 3295</t>
        </is>
      </c>
      <c r="C278" s="275" t="n">
        <v>1</v>
      </c>
      <c r="D278" s="275" t="n"/>
      <c r="E278" s="275" t="n"/>
      <c r="F278" s="276" t="n"/>
      <c r="G278" s="276" t="n"/>
      <c r="H278" s="241" t="n">
        <v>24500</v>
      </c>
      <c r="I278" s="242" t="n">
        <v>24500</v>
      </c>
      <c r="J278" s="242" t="n"/>
      <c r="K278" s="272" t="n"/>
      <c r="L278" s="272">
        <f>IF(K278&lt;&gt;"",11000+K278,11000)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TERRAZAS DANTE</t>
        </is>
      </c>
      <c r="C279" s="268" t="n">
        <v>2</v>
      </c>
      <c r="D279" s="268" t="n"/>
      <c r="E279" s="268" t="n"/>
      <c r="F279" s="269" t="n"/>
      <c r="G279" s="269" t="n"/>
      <c r="H279" s="231" t="n">
        <v>51000</v>
      </c>
      <c r="I279" s="232" t="n">
        <v>51000</v>
      </c>
      <c r="J279" s="232" t="n"/>
      <c r="K279" s="272" t="n"/>
      <c r="L279" s="272">
        <f>IF(K279&lt;&gt;"",24000+K279,24000)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SABOREAR</t>
        </is>
      </c>
      <c r="C280" s="275" t="n">
        <v>1</v>
      </c>
      <c r="D280" s="275" t="n"/>
      <c r="E280" s="275" t="n"/>
      <c r="F280" s="276" t="n"/>
      <c r="G280" s="276" t="n"/>
      <c r="H280" s="241" t="n">
        <v>21000</v>
      </c>
      <c r="I280" s="242" t="n"/>
      <c r="J280" s="242" t="n">
        <v>21000</v>
      </c>
      <c r="K280" s="272" t="n"/>
      <c r="L280" s="272">
        <f>IF(K280&lt;&gt;"",7500+K280,7500)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NACHO</t>
        </is>
      </c>
      <c r="C281" s="268" t="n"/>
      <c r="D281" s="268" t="n">
        <v>1</v>
      </c>
      <c r="E281" s="268" t="n"/>
      <c r="F281" s="269" t="n"/>
      <c r="G281" s="269" t="n"/>
      <c r="H281" s="231" t="n">
        <v>31000</v>
      </c>
      <c r="I281" s="232" t="n"/>
      <c r="J281" s="232" t="n">
        <v>31000</v>
      </c>
      <c r="K281" s="272" t="n"/>
      <c r="L281" s="272">
        <f>IF(K281&lt;&gt;"",10750+K281,10750)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DOMINGO SILVA 4217</t>
        </is>
      </c>
      <c r="C282" s="275" t="n">
        <v>3</v>
      </c>
      <c r="D282" s="275" t="n"/>
      <c r="E282" s="275" t="n"/>
      <c r="F282" s="276" t="n"/>
      <c r="G282" s="276" t="n"/>
      <c r="H282" s="241" t="n">
        <v>51000</v>
      </c>
      <c r="I282" s="242" t="n"/>
      <c r="J282" s="242" t="n">
        <v>51000</v>
      </c>
      <c r="K282" s="272" t="n"/>
      <c r="L282" s="272">
        <f>IF(K282&lt;&gt;"",10500+K282,10500)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FILOMENA</t>
        </is>
      </c>
      <c r="C283" s="268" t="n">
        <v>1</v>
      </c>
      <c r="D283" s="268" t="n"/>
      <c r="E283" s="268" t="n"/>
      <c r="F283" s="269" t="n"/>
      <c r="G283" s="269" t="n"/>
      <c r="H283" s="231" t="n">
        <v>20500</v>
      </c>
      <c r="I283" s="232" t="n"/>
      <c r="J283" s="232" t="n">
        <v>20500</v>
      </c>
      <c r="K283" s="272" t="n"/>
      <c r="L283" s="272">
        <f>IF(K283&lt;&gt;"",7000+K283,7000)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OTNIEL</t>
        </is>
      </c>
      <c r="C284" s="275" t="n"/>
      <c r="D284" s="275" t="n"/>
      <c r="E284" s="275" t="n"/>
      <c r="F284" s="276" t="n"/>
      <c r="G284" s="276" t="n">
        <v>2</v>
      </c>
      <c r="H284" s="241" t="n">
        <v>11000</v>
      </c>
      <c r="I284" s="242" t="n"/>
      <c r="J284" s="242" t="n">
        <v>11000</v>
      </c>
      <c r="K284" s="272" t="n"/>
      <c r="L284" s="272">
        <f>IF(K284&lt;&gt;"",9300+K284,9300)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SANDRA</t>
        </is>
      </c>
      <c r="C285" s="268" t="n">
        <v>2</v>
      </c>
      <c r="D285" s="268" t="n"/>
      <c r="E285" s="268" t="n"/>
      <c r="F285" s="269" t="n"/>
      <c r="G285" s="269" t="n"/>
      <c r="H285" s="231" t="n">
        <v>34000</v>
      </c>
      <c r="I285" s="232" t="n">
        <v>34000</v>
      </c>
      <c r="J285" s="232" t="n"/>
      <c r="K285" s="272" t="n"/>
      <c r="L285" s="272">
        <f>IF(K285&lt;&gt;"",7000+K285,7000)</f>
        <v/>
      </c>
      <c r="M285" s="156" t="n"/>
      <c r="N285" s="156" t="n"/>
      <c r="O285" s="156" t="n"/>
    </row>
    <row r="286" ht="18.75" customHeight="1" s="153">
      <c r="A286" s="273" t="n">
        <v>46104</v>
      </c>
      <c r="B286" s="274" t="inlineStr">
        <is>
          <t>SANDRA</t>
        </is>
      </c>
      <c r="C286" s="275" t="n">
        <v>1</v>
      </c>
      <c r="D286" s="275" t="n"/>
      <c r="E286" s="275" t="n"/>
      <c r="F286" s="276" t="n"/>
      <c r="G286" s="276" t="n"/>
      <c r="H286" s="241" t="n">
        <v>17000</v>
      </c>
      <c r="I286" s="242" t="n">
        <v>17000</v>
      </c>
      <c r="J286" s="242" t="n"/>
      <c r="K286" s="272" t="n"/>
      <c r="L286" s="272">
        <f>IF(K286&lt;&gt;"",3500+K286,3500)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ANGEL</t>
        </is>
      </c>
      <c r="C287" s="268" t="n">
        <v>1</v>
      </c>
      <c r="D287" s="268" t="n">
        <v>1</v>
      </c>
      <c r="E287" s="268" t="n"/>
      <c r="F287" s="269" t="n"/>
      <c r="G287" s="269" t="n"/>
      <c r="H287" s="231" t="n">
        <v>42500</v>
      </c>
      <c r="I287" s="232" t="n">
        <v>42500</v>
      </c>
      <c r="J287" s="232" t="n"/>
      <c r="K287" s="272" t="n"/>
      <c r="L287" s="272">
        <f>IF(K287&lt;&gt;"",8750+K287,8750)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OTNIEL</t>
        </is>
      </c>
      <c r="C288" s="275" t="n"/>
      <c r="D288" s="275" t="n">
        <v>2</v>
      </c>
      <c r="E288" s="275" t="n">
        <v>1</v>
      </c>
      <c r="F288" s="276" t="n"/>
      <c r="G288" s="276" t="n"/>
      <c r="H288" s="241" t="n">
        <v>141000</v>
      </c>
      <c r="I288" s="242" t="n">
        <v>141000</v>
      </c>
      <c r="J288" s="242" t="n"/>
      <c r="K288" s="272" t="n"/>
      <c r="L288" s="272">
        <f>IF(K288&lt;&gt;"",51500+K288,51500)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PANA BERUTI</t>
        </is>
      </c>
      <c r="C289" s="268" t="n"/>
      <c r="D289" s="268" t="n"/>
      <c r="E289" s="268" t="n">
        <v>1</v>
      </c>
      <c r="F289" s="269" t="n"/>
      <c r="G289" s="269" t="n"/>
      <c r="H289" s="231" t="n">
        <v>73000</v>
      </c>
      <c r="I289" s="232" t="n"/>
      <c r="J289" s="232" t="n">
        <v>73000</v>
      </c>
      <c r="K289" s="272" t="n"/>
      <c r="L289" s="272">
        <f>IF(K289&lt;&gt;"",24000+K289,24000)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P GENESIO 5799</t>
        </is>
      </c>
      <c r="C290" s="275" t="n">
        <v>1</v>
      </c>
      <c r="D290" s="275" t="n"/>
      <c r="E290" s="275" t="n"/>
      <c r="F290" s="276" t="n"/>
      <c r="G290" s="276" t="n"/>
      <c r="H290" s="241" t="n">
        <v>24000</v>
      </c>
      <c r="I290" s="242" t="n">
        <v>24000</v>
      </c>
      <c r="J290" s="242" t="n"/>
      <c r="K290" s="272" t="n"/>
      <c r="L290" s="272">
        <f>IF(K290&lt;&gt;"",10500+K290,10500)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COCO ABUELO FACU CACERE</t>
        </is>
      </c>
      <c r="C291" s="268" t="n"/>
      <c r="D291" s="268" t="n">
        <v>1</v>
      </c>
      <c r="E291" s="268" t="n"/>
      <c r="F291" s="269" t="n"/>
      <c r="G291" s="269" t="n"/>
      <c r="H291" s="231" t="n">
        <v>34000</v>
      </c>
      <c r="I291" s="232" t="n">
        <v>34000</v>
      </c>
      <c r="J291" s="232" t="n"/>
      <c r="K291" s="272" t="n"/>
      <c r="L291" s="272">
        <f>IF(K291&lt;&gt;"",13750+K291,13750)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NOGALES 2412</t>
        </is>
      </c>
      <c r="C292" s="275" t="n"/>
      <c r="D292" s="275" t="n"/>
      <c r="E292" s="275" t="n">
        <v>1</v>
      </c>
      <c r="F292" s="276" t="n"/>
      <c r="G292" s="276" t="n"/>
      <c r="H292" s="241" t="n">
        <v>83000</v>
      </c>
      <c r="I292" s="242" t="n"/>
      <c r="J292" s="242" t="n">
        <v>83000</v>
      </c>
      <c r="K292" s="272" t="n"/>
      <c r="L292" s="272">
        <f>IF(K292&lt;&gt;"",34000+K292,34000)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CERVERA 7037</t>
        </is>
      </c>
      <c r="C293" s="268" t="n">
        <v>1</v>
      </c>
      <c r="D293" s="268" t="n"/>
      <c r="E293" s="268" t="n"/>
      <c r="F293" s="269" t="n"/>
      <c r="G293" s="269" t="n"/>
      <c r="H293" s="231" t="n">
        <v>25000</v>
      </c>
      <c r="I293" s="232" t="n">
        <v>25000</v>
      </c>
      <c r="J293" s="232" t="n"/>
      <c r="K293" s="272" t="n"/>
      <c r="L293" s="272">
        <f>IF(K293&lt;&gt;"",11500+K293,11500)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ALVEAR 5135</t>
        </is>
      </c>
      <c r="C294" s="275" t="n"/>
      <c r="D294" s="275" t="n"/>
      <c r="E294" s="275" t="n">
        <v>1</v>
      </c>
      <c r="F294" s="276" t="n"/>
      <c r="G294" s="276" t="n"/>
      <c r="H294" s="241" t="n">
        <v>83000</v>
      </c>
      <c r="I294" s="242" t="n"/>
      <c r="J294" s="242" t="n">
        <v>83000</v>
      </c>
      <c r="K294" s="272" t="n"/>
      <c r="L294" s="272">
        <f>IF(K294&lt;&gt;"",34000+K294,34000)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SAVEDRA 6545</t>
        </is>
      </c>
      <c r="C295" s="268" t="n"/>
      <c r="D295" s="268" t="n">
        <v>1</v>
      </c>
      <c r="E295" s="268" t="n"/>
      <c r="F295" s="269" t="n"/>
      <c r="G295" s="269" t="n"/>
      <c r="H295" s="231" t="n">
        <v>33500</v>
      </c>
      <c r="I295" s="232" t="n">
        <v>33500</v>
      </c>
      <c r="J295" s="232" t="n"/>
      <c r="K295" s="272" t="n"/>
      <c r="L295" s="272">
        <f>IF(K295&lt;&gt;"",13250+K295,13250)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 GENESIO 4501</t>
        </is>
      </c>
      <c r="C296" s="275" t="n">
        <v>1</v>
      </c>
      <c r="D296" s="275" t="n"/>
      <c r="E296" s="275" t="n"/>
      <c r="F296" s="276" t="n"/>
      <c r="G296" s="276" t="n"/>
      <c r="H296" s="241" t="n">
        <v>24500</v>
      </c>
      <c r="I296" s="242" t="n">
        <v>24500</v>
      </c>
      <c r="J296" s="242" t="n"/>
      <c r="K296" s="272" t="n"/>
      <c r="L296" s="272">
        <f>IF(K296&lt;&gt;"",11000+K296,11000)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ALSINA 9251</t>
        </is>
      </c>
      <c r="C297" s="268" t="n">
        <v>1</v>
      </c>
      <c r="D297" s="268" t="n"/>
      <c r="E297" s="268" t="n">
        <v>1</v>
      </c>
      <c r="F297" s="269" t="n"/>
      <c r="G297" s="269" t="n"/>
      <c r="H297" s="231" t="n">
        <v>103000</v>
      </c>
      <c r="I297" s="232" t="n">
        <v>103000</v>
      </c>
      <c r="J297" s="232" t="n"/>
      <c r="K297" s="272" t="n"/>
      <c r="L297" s="272">
        <f>IF(K297&lt;&gt;"",40500+K297,40500)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LOS PORKI</t>
        </is>
      </c>
      <c r="C298" s="275" t="n"/>
      <c r="D298" s="275" t="n"/>
      <c r="E298" s="275" t="n">
        <v>1</v>
      </c>
      <c r="F298" s="276" t="n"/>
      <c r="G298" s="276" t="n"/>
      <c r="H298" s="241" t="n">
        <v>77000</v>
      </c>
      <c r="I298" s="242" t="n"/>
      <c r="J298" s="242" t="n">
        <v>77000</v>
      </c>
      <c r="K298" s="272" t="n"/>
      <c r="L298" s="272">
        <f>IF(K298&lt;&gt;"",28000+K298,28000)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EXE</t>
        </is>
      </c>
      <c r="C299" s="268" t="n"/>
      <c r="D299" s="268" t="n"/>
      <c r="E299" s="268" t="n">
        <v>1</v>
      </c>
      <c r="F299" s="269" t="n"/>
      <c r="G299" s="269" t="n"/>
      <c r="H299" s="231" t="n">
        <v>77000</v>
      </c>
      <c r="I299" s="232" t="n"/>
      <c r="J299" s="232" t="n">
        <v>77000</v>
      </c>
      <c r="K299" s="272" t="n"/>
      <c r="L299" s="272">
        <f>IF(K299&lt;&gt;"",28000+K299,28000)</f>
        <v/>
      </c>
      <c r="M299" s="156" t="n"/>
      <c r="N299" s="156" t="n"/>
      <c r="O299" s="156" t="n"/>
    </row>
    <row r="300" ht="18.75" customHeight="1" s="153">
      <c r="A300" s="273" t="n"/>
      <c r="B300" s="274" t="inlineStr">
        <is>
          <t>GDOR FREIRE 1055</t>
        </is>
      </c>
      <c r="C300" s="275" t="n">
        <v>1</v>
      </c>
      <c r="D300" s="275" t="n"/>
      <c r="E300" s="275" t="n"/>
      <c r="F300" s="276" t="n"/>
      <c r="G300" s="276" t="n"/>
      <c r="H300" s="241" t="n">
        <v>25000</v>
      </c>
      <c r="I300" s="242" t="n">
        <v>25000</v>
      </c>
      <c r="J300" s="242" t="n"/>
      <c r="K300" s="272" t="n"/>
      <c r="L300" s="272">
        <f>IF(K300&lt;&gt;"",11500+K300,11500)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LUCHO</t>
        </is>
      </c>
      <c r="C301" s="268" t="n">
        <v>1</v>
      </c>
      <c r="D301" s="268" t="n"/>
      <c r="E301" s="268" t="n"/>
      <c r="F301" s="269" t="n"/>
      <c r="G301" s="269" t="n"/>
      <c r="H301" s="231" t="n">
        <v>17000</v>
      </c>
      <c r="I301" s="232" t="n">
        <v>17000</v>
      </c>
      <c r="J301" s="232" t="n"/>
      <c r="K301" s="272" t="n"/>
      <c r="L301" s="272">
        <f>IF(K301&lt;&gt;"",3500+K301,3500)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LARGUIA 7824</t>
        </is>
      </c>
      <c r="C302" s="275" t="n"/>
      <c r="D302" s="275" t="n"/>
      <c r="E302" s="275" t="n">
        <v>1</v>
      </c>
      <c r="F302" s="276" t="n"/>
      <c r="G302" s="276" t="n"/>
      <c r="H302" s="241" t="n">
        <v>80000</v>
      </c>
      <c r="I302" s="242" t="n"/>
      <c r="J302" s="242" t="n">
        <v>80000</v>
      </c>
      <c r="K302" s="272" t="n"/>
      <c r="L302" s="272">
        <f>IF(K302&lt;&gt;"",31000+K302,31000)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25 DE MAYO 2617</t>
        </is>
      </c>
      <c r="C303" s="268" t="n"/>
      <c r="D303" s="268" t="n">
        <v>1</v>
      </c>
      <c r="E303" s="268" t="n"/>
      <c r="F303" s="269" t="n"/>
      <c r="G303" s="269" t="n"/>
      <c r="H303" s="231" t="n">
        <v>35500</v>
      </c>
      <c r="I303" s="232" t="n">
        <v>35500</v>
      </c>
      <c r="J303" s="232" t="n"/>
      <c r="K303" s="272" t="n"/>
      <c r="L303" s="272">
        <f>IF(K303&lt;&gt;"",15250+K303,15250)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ECUADOR 4117</t>
        </is>
      </c>
      <c r="C304" s="275" t="n"/>
      <c r="D304" s="275" t="n"/>
      <c r="E304" s="275" t="n">
        <v>1</v>
      </c>
      <c r="F304" s="276" t="n"/>
      <c r="G304" s="276" t="n"/>
      <c r="H304" s="241" t="n">
        <v>80000</v>
      </c>
      <c r="I304" s="242" t="n"/>
      <c r="J304" s="242" t="n">
        <v>80000</v>
      </c>
      <c r="K304" s="272" t="n"/>
      <c r="L304" s="272">
        <f>IF(K304&lt;&gt;"",31000+K304,31000)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LARREA 3339</t>
        </is>
      </c>
      <c r="C305" s="268" t="n">
        <v>4</v>
      </c>
      <c r="D305" s="268" t="n"/>
      <c r="E305" s="268" t="n"/>
      <c r="F305" s="269" t="n"/>
      <c r="G305" s="269" t="n"/>
      <c r="H305" s="231" t="n">
        <v>68000</v>
      </c>
      <c r="I305" s="232" t="n">
        <v>68000</v>
      </c>
      <c r="J305" s="232" t="n"/>
      <c r="K305" s="272" t="n"/>
      <c r="L305" s="272">
        <f>IF(K305&lt;&gt;"",14000+K305,14000)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BLAS PARERA 7162</t>
        </is>
      </c>
      <c r="C306" s="275" t="n">
        <v>1</v>
      </c>
      <c r="D306" s="275" t="n"/>
      <c r="E306" s="275" t="n"/>
      <c r="F306" s="276" t="n"/>
      <c r="G306" s="276" t="n"/>
      <c r="H306" s="241" t="n">
        <v>23500</v>
      </c>
      <c r="I306" s="242" t="n">
        <v>23500</v>
      </c>
      <c r="J306" s="242" t="n"/>
      <c r="K306" s="272" t="n"/>
      <c r="L306" s="272">
        <f>IF(K306&lt;&gt;"",10000+K306,10000)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SANDRA</t>
        </is>
      </c>
      <c r="C307" s="268" t="n"/>
      <c r="D307" s="268" t="n">
        <v>1</v>
      </c>
      <c r="E307" s="268" t="n"/>
      <c r="F307" s="269" t="n"/>
      <c r="G307" s="269" t="n"/>
      <c r="H307" s="231" t="n">
        <v>25500</v>
      </c>
      <c r="I307" s="232" t="n">
        <v>25500</v>
      </c>
      <c r="J307" s="232" t="n"/>
      <c r="K307" s="272" t="n"/>
      <c r="L307" s="272">
        <f>IF(K307&lt;&gt;"",5250+K307,5250)</f>
        <v/>
      </c>
      <c r="M307" s="156" t="n"/>
      <c r="N307" s="156" t="n"/>
      <c r="O307" s="156" t="n"/>
    </row>
    <row r="308" ht="18.75" customHeight="1" s="153">
      <c r="A308" s="273" t="n">
        <v>46105</v>
      </c>
      <c r="B308" s="274" t="inlineStr">
        <is>
          <t>PJE PAEZ Y 25 MAYO</t>
        </is>
      </c>
      <c r="C308" s="275" t="n"/>
      <c r="D308" s="275" t="n">
        <v>1</v>
      </c>
      <c r="E308" s="275" t="n"/>
      <c r="F308" s="276" t="n"/>
      <c r="G308" s="276" t="n"/>
      <c r="H308" s="241" t="n">
        <v>37500</v>
      </c>
      <c r="I308" s="242" t="n"/>
      <c r="J308" s="242" t="n">
        <v>37500</v>
      </c>
      <c r="K308" s="272" t="n"/>
      <c r="L308" s="272">
        <f>IF(K308&lt;&gt;"",17250+K308,17250)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JM ZUVIRIA 3439</t>
        </is>
      </c>
      <c r="C309" s="268" t="n">
        <v>1</v>
      </c>
      <c r="D309" s="268" t="n"/>
      <c r="E309" s="268" t="n"/>
      <c r="F309" s="269" t="n"/>
      <c r="G309" s="269" t="n"/>
      <c r="H309" s="231" t="n">
        <v>24000</v>
      </c>
      <c r="I309" s="232" t="n"/>
      <c r="J309" s="232" t="n">
        <v>24000</v>
      </c>
      <c r="K309" s="272" t="n"/>
      <c r="L309" s="272">
        <f>IF(K309&lt;&gt;"",10500+K309,10500)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ANREALES 10512</t>
        </is>
      </c>
      <c r="C310" s="275" t="n"/>
      <c r="D310" s="275" t="n"/>
      <c r="E310" s="275" t="n">
        <v>1</v>
      </c>
      <c r="F310" s="276" t="n"/>
      <c r="G310" s="276" t="n"/>
      <c r="H310" s="241" t="n">
        <v>79000</v>
      </c>
      <c r="I310" s="242" t="n"/>
      <c r="J310" s="242" t="n">
        <v>79000</v>
      </c>
      <c r="K310" s="272" t="n"/>
      <c r="L310" s="272">
        <f>IF(K310&lt;&gt;"",30000+K310,30000)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GORRITI 5019</t>
        </is>
      </c>
      <c r="C311" s="268" t="n">
        <v>4</v>
      </c>
      <c r="D311" s="268" t="n"/>
      <c r="E311" s="268" t="n"/>
      <c r="F311" s="269" t="n"/>
      <c r="G311" s="269" t="n"/>
      <c r="H311" s="231" t="n">
        <v>64000</v>
      </c>
      <c r="I311" s="232" t="n"/>
      <c r="J311" s="232" t="n">
        <v>64000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JORGE VIANDA</t>
        </is>
      </c>
      <c r="C312" s="275" t="n">
        <v>1</v>
      </c>
      <c r="D312" s="275" t="n"/>
      <c r="E312" s="275" t="n"/>
      <c r="F312" s="276" t="n"/>
      <c r="G312" s="276" t="n"/>
      <c r="H312" s="241" t="n">
        <v>20000</v>
      </c>
      <c r="I312" s="242" t="n">
        <v>20000</v>
      </c>
      <c r="J312" s="242" t="n"/>
      <c r="K312" s="272" t="n"/>
      <c r="L312" s="272">
        <f>IF(K312&lt;&gt;"",6500+K312,6500)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PJE PUBLICO 2035</t>
        </is>
      </c>
      <c r="C313" s="268" t="n"/>
      <c r="D313" s="268" t="n"/>
      <c r="E313" s="268" t="n">
        <v>1</v>
      </c>
      <c r="F313" s="269" t="n"/>
      <c r="G313" s="269" t="n"/>
      <c r="H313" s="231" t="n">
        <v>80000</v>
      </c>
      <c r="I313" s="232" t="n"/>
      <c r="J313" s="232" t="n">
        <v>80000</v>
      </c>
      <c r="K313" s="272" t="n"/>
      <c r="L313" s="272">
        <f>IF(K313&lt;&gt;"",31000+K313,31000)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LA MADRID 6330</t>
        </is>
      </c>
      <c r="C314" s="275" t="n">
        <v>1</v>
      </c>
      <c r="D314" s="275" t="n"/>
      <c r="E314" s="275" t="n"/>
      <c r="F314" s="276" t="n"/>
      <c r="G314" s="276" t="n"/>
      <c r="H314" s="241" t="n">
        <v>16500</v>
      </c>
      <c r="I314" s="242" t="n">
        <v>16500</v>
      </c>
      <c r="J314" s="242" t="n"/>
      <c r="K314" s="272" t="n"/>
      <c r="L314" s="272">
        <f>IF(K314&lt;&gt;"",3000+K314,3000)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VIEYTES 4500</t>
        </is>
      </c>
      <c r="C315" s="268" t="n"/>
      <c r="D315" s="268" t="n"/>
      <c r="E315" s="268" t="n">
        <v>1</v>
      </c>
      <c r="F315" s="269" t="n"/>
      <c r="G315" s="269" t="n"/>
      <c r="H315" s="231" t="n">
        <v>73000</v>
      </c>
      <c r="I315" s="232" t="n">
        <v>73000</v>
      </c>
      <c r="J315" s="232" t="n"/>
      <c r="K315" s="272" t="n"/>
      <c r="L315" s="272">
        <f>IF(K315&lt;&gt;"",24000+K315,24000)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PUBLICO 2550</t>
        </is>
      </c>
      <c r="C316" s="275" t="n"/>
      <c r="D316" s="275" t="n"/>
      <c r="E316" s="275" t="n">
        <v>1</v>
      </c>
      <c r="F316" s="276" t="n"/>
      <c r="G316" s="276" t="n"/>
      <c r="H316" s="241" t="n">
        <v>79000</v>
      </c>
      <c r="I316" s="242" t="n"/>
      <c r="J316" s="242" t="n">
        <v>79000</v>
      </c>
      <c r="K316" s="272" t="n"/>
      <c r="L316" s="272">
        <f>IF(K316&lt;&gt;"",30000+K316,30000)</f>
        <v/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AZOPARDO 10529</t>
        </is>
      </c>
      <c r="C317" s="268" t="n">
        <v>1</v>
      </c>
      <c r="D317" s="268" t="n"/>
      <c r="E317" s="268" t="n"/>
      <c r="F317" s="269" t="n"/>
      <c r="G317" s="269" t="n"/>
      <c r="H317" s="231" t="n">
        <v>25000</v>
      </c>
      <c r="I317" s="232" t="n">
        <v>25000</v>
      </c>
      <c r="J317" s="232" t="n"/>
      <c r="K317" s="272" t="n"/>
      <c r="L317" s="272">
        <f>IF(K317&lt;&gt;"",11500+K317,11500)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GDOR FREIRE 6445</t>
        </is>
      </c>
      <c r="C318" s="275" t="n">
        <v>1</v>
      </c>
      <c r="D318" s="275" t="n"/>
      <c r="E318" s="275" t="n"/>
      <c r="F318" s="276" t="n"/>
      <c r="G318" s="276" t="n"/>
      <c r="H318" s="241" t="n">
        <v>25000</v>
      </c>
      <c r="I318" s="242" t="n"/>
      <c r="J318" s="242" t="n">
        <v>25000</v>
      </c>
      <c r="K318" s="272" t="n"/>
      <c r="L318" s="272">
        <f>IF(K318&lt;&gt;"",11500+K318,11500)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GDOR FREIRE 1047</t>
        </is>
      </c>
      <c r="C319" s="268" t="n">
        <v>1</v>
      </c>
      <c r="D319" s="268" t="n"/>
      <c r="E319" s="268" t="n"/>
      <c r="F319" s="269" t="n"/>
      <c r="G319" s="269" t="n"/>
      <c r="H319" s="231" t="n">
        <v>24500</v>
      </c>
      <c r="I319" s="232" t="n">
        <v>24500</v>
      </c>
      <c r="J319" s="232" t="n"/>
      <c r="K319" s="272" t="n"/>
      <c r="L319" s="272">
        <f>IF(K319&lt;&gt;"",11000+K319,11000)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ALBERTI 4930</t>
        </is>
      </c>
      <c r="C320" s="275" t="n"/>
      <c r="D320" s="275" t="n"/>
      <c r="E320" s="275" t="n"/>
      <c r="F320" s="276" t="n"/>
      <c r="G320" s="276" t="n">
        <v>1</v>
      </c>
      <c r="H320" s="241" t="n">
        <v>5000</v>
      </c>
      <c r="I320" s="242" t="n">
        <v>5000</v>
      </c>
      <c r="J320" s="242" t="n"/>
      <c r="K320" s="272" t="n"/>
      <c r="L320" s="272">
        <f>IF(K320&lt;&gt;"",4150+K320,4150)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ULRICO SCHMIT</t>
        </is>
      </c>
      <c r="C321" s="268" t="n"/>
      <c r="D321" s="268" t="n"/>
      <c r="E321" s="268" t="n">
        <v>1</v>
      </c>
      <c r="F321" s="269" t="n"/>
      <c r="G321" s="269" t="n"/>
      <c r="H321" s="231" t="n">
        <v>80000</v>
      </c>
      <c r="I321" s="232" t="n"/>
      <c r="J321" s="232" t="n">
        <v>80000</v>
      </c>
      <c r="K321" s="272" t="n"/>
      <c r="L321" s="272">
        <f>IF(K321&lt;&gt;"",31000+K321,31000)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I CRESPO 8180</t>
        </is>
      </c>
      <c r="C322" s="275" t="n">
        <v>1</v>
      </c>
      <c r="D322" s="275" t="n"/>
      <c r="E322" s="275" t="n"/>
      <c r="F322" s="276" t="n"/>
      <c r="G322" s="276" t="n"/>
      <c r="H322" s="241" t="n">
        <v>25000</v>
      </c>
      <c r="I322" s="242" t="n">
        <v>25000</v>
      </c>
      <c r="J322" s="242" t="n"/>
      <c r="K322" s="272" t="n"/>
      <c r="L322" s="272">
        <f>IF(K322&lt;&gt;"",11500+K322,11500)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ZAVALLA 10319</t>
        </is>
      </c>
      <c r="C323" s="268" t="n">
        <v>1</v>
      </c>
      <c r="D323" s="268" t="n"/>
      <c r="E323" s="268" t="n"/>
      <c r="F323" s="269" t="n"/>
      <c r="G323" s="269" t="n"/>
      <c r="H323" s="231" t="n">
        <v>24000</v>
      </c>
      <c r="I323" s="232" t="n"/>
      <c r="J323" s="232" t="n">
        <v>24000</v>
      </c>
      <c r="K323" s="272" t="n"/>
      <c r="L323" s="272">
        <f>IF(K323&lt;&gt;"",10500+K323,10500)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BELGRANO 6382</t>
        </is>
      </c>
      <c r="C324" s="275" t="n">
        <v>1</v>
      </c>
      <c r="D324" s="275" t="n"/>
      <c r="E324" s="275" t="n"/>
      <c r="F324" s="276" t="n"/>
      <c r="G324" s="276" t="n"/>
      <c r="H324" s="241" t="n">
        <v>25000</v>
      </c>
      <c r="I324" s="242" t="n"/>
      <c r="J324" s="242" t="n">
        <v>25000</v>
      </c>
      <c r="K324" s="272" t="n"/>
      <c r="L324" s="272">
        <f>IF(K324&lt;&gt;"",11500+K324,11500)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FILOMENA</t>
        </is>
      </c>
      <c r="C325" s="268" t="n">
        <v>2</v>
      </c>
      <c r="D325" s="268" t="n"/>
      <c r="E325" s="268" t="n"/>
      <c r="F325" s="269" t="n"/>
      <c r="G325" s="269" t="n"/>
      <c r="H325" s="231" t="n">
        <v>41000</v>
      </c>
      <c r="I325" s="232" t="n"/>
      <c r="J325" s="232" t="n">
        <v>41000</v>
      </c>
      <c r="K325" s="272" t="n"/>
      <c r="L325" s="272">
        <f>IF(K325&lt;&gt;"",14000+K325,14000)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RICARDO ALDAO 369</t>
        </is>
      </c>
      <c r="C326" s="275" t="n"/>
      <c r="D326" s="275" t="n"/>
      <c r="E326" s="275" t="n">
        <v>1</v>
      </c>
      <c r="F326" s="276" t="n"/>
      <c r="G326" s="276" t="n"/>
      <c r="H326" s="241" t="n">
        <v>83000</v>
      </c>
      <c r="I326" s="242" t="n"/>
      <c r="J326" s="242" t="n">
        <v>83000</v>
      </c>
      <c r="K326" s="272" t="n"/>
      <c r="L326" s="272">
        <f>IF(K326&lt;&gt;"",34000+K326,34000)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SANDRA</t>
        </is>
      </c>
      <c r="C327" s="268" t="n">
        <v>1</v>
      </c>
      <c r="D327" s="268" t="n"/>
      <c r="E327" s="268" t="n"/>
      <c r="F327" s="269" t="n"/>
      <c r="G327" s="269" t="n"/>
      <c r="H327" s="231" t="n">
        <v>17000</v>
      </c>
      <c r="I327" s="232" t="n">
        <v>17000</v>
      </c>
      <c r="J327" s="232" t="n"/>
      <c r="K327" s="272" t="n"/>
      <c r="L327" s="272">
        <f>IF(K327&lt;&gt;"",3500+K327,3500)</f>
        <v/>
      </c>
      <c r="M327" s="156" t="n"/>
      <c r="N327" s="156" t="n"/>
      <c r="O327" s="156" t="n"/>
    </row>
    <row r="328" ht="18.75" customHeight="1" s="153">
      <c r="A328" s="273" t="n">
        <v>46106</v>
      </c>
      <c r="B328" s="274" t="inlineStr">
        <is>
          <t>MARTINEZ 3221</t>
        </is>
      </c>
      <c r="C328" s="275" t="n">
        <v>1</v>
      </c>
      <c r="D328" s="275" t="n"/>
      <c r="E328" s="275" t="n">
        <v>1</v>
      </c>
      <c r="F328" s="276" t="n"/>
      <c r="G328" s="276" t="n"/>
      <c r="H328" s="241" t="n">
        <v>108000</v>
      </c>
      <c r="I328" s="242" t="n"/>
      <c r="J328" s="242" t="n">
        <v>108000</v>
      </c>
      <c r="K328" s="272" t="n"/>
      <c r="L328" s="272">
        <f>IF(K328&lt;&gt;"",33000+K328,33000)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COGORNO 5520</t>
        </is>
      </c>
      <c r="C329" s="268" t="n">
        <v>4</v>
      </c>
      <c r="D329" s="268" t="n"/>
      <c r="E329" s="268" t="n"/>
      <c r="F329" s="269" t="n"/>
      <c r="G329" s="269" t="n"/>
      <c r="H329" s="231" t="n">
        <v>68000</v>
      </c>
      <c r="I329" s="232" t="n"/>
      <c r="J329" s="232" t="n">
        <v>68000</v>
      </c>
      <c r="K329" s="272" t="n"/>
      <c r="L329" s="272">
        <f>IF(K329&lt;&gt;"",8000+K329,8000)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AGUADO</t>
        </is>
      </c>
      <c r="C330" s="275" t="n"/>
      <c r="D330" s="275" t="n">
        <v>1</v>
      </c>
      <c r="E330" s="275" t="n">
        <v>1</v>
      </c>
      <c r="F330" s="276" t="n"/>
      <c r="G330" s="276" t="n"/>
      <c r="H330" s="241" t="n">
        <v>107000</v>
      </c>
      <c r="I330" s="242" t="n"/>
      <c r="J330" s="242" t="n">
        <v>107000</v>
      </c>
      <c r="K330" s="272" t="n"/>
      <c r="L330" s="272">
        <f>IF(K330&lt;&gt;"",24500+K330,24500)</f>
        <v/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PAULO</t>
        </is>
      </c>
      <c r="C331" s="268" t="n">
        <v>2</v>
      </c>
      <c r="D331" s="268" t="n"/>
      <c r="E331" s="268" t="n"/>
      <c r="F331" s="269" t="n"/>
      <c r="G331" s="269" t="n"/>
      <c r="H331" s="231" t="n">
        <v>34000</v>
      </c>
      <c r="I331" s="232" t="n">
        <v>34000</v>
      </c>
      <c r="J331" s="232" t="n"/>
      <c r="K331" s="272" t="n"/>
      <c r="L331" s="272">
        <f>IF(K331&lt;&gt;"",4000+K331,4000)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SEGUI 1680</t>
        </is>
      </c>
      <c r="C332" s="275" t="n"/>
      <c r="D332" s="275" t="n">
        <v>1</v>
      </c>
      <c r="E332" s="275" t="n"/>
      <c r="F332" s="276" t="n"/>
      <c r="G332" s="276" t="n"/>
      <c r="H332" s="241" t="n">
        <v>37500</v>
      </c>
      <c r="I332" s="242" t="n"/>
      <c r="J332" s="242" t="n">
        <v>37500</v>
      </c>
      <c r="K332" s="272" t="n"/>
      <c r="L332" s="272">
        <f>IF(K332&lt;&gt;"",15000+K332,15000)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MARIELA</t>
        </is>
      </c>
      <c r="C333" s="268" t="n"/>
      <c r="D333" s="268" t="n"/>
      <c r="E333" s="268" t="n">
        <v>2</v>
      </c>
      <c r="F333" s="269" t="n">
        <v>20</v>
      </c>
      <c r="G333" s="269" t="n"/>
      <c r="H333" s="231" t="n">
        <v>219000</v>
      </c>
      <c r="I333" s="232" t="n"/>
      <c r="J333" s="232" t="n">
        <v>219000</v>
      </c>
      <c r="K333" s="272" t="n"/>
      <c r="L333" s="272">
        <f>IF(K333&lt;&gt;"",53000+K333,53000)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VIEYTES 5168</t>
        </is>
      </c>
      <c r="C334" s="275" t="n"/>
      <c r="D334" s="275" t="n"/>
      <c r="E334" s="275" t="n">
        <v>1</v>
      </c>
      <c r="F334" s="276" t="n"/>
      <c r="G334" s="276" t="n"/>
      <c r="H334" s="241" t="n">
        <v>80000</v>
      </c>
      <c r="I334" s="242" t="n"/>
      <c r="J334" s="242" t="n">
        <v>80000</v>
      </c>
      <c r="K334" s="272" t="n"/>
      <c r="L334" s="272">
        <f>IF(K334&lt;&gt;"",20000+K334,20000)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EUROPA 9186</t>
        </is>
      </c>
      <c r="C335" s="268" t="n"/>
      <c r="D335" s="268" t="n">
        <v>1</v>
      </c>
      <c r="E335" s="268" t="n"/>
      <c r="F335" s="269" t="n"/>
      <c r="G335" s="269" t="n"/>
      <c r="H335" s="231" t="n">
        <v>35500</v>
      </c>
      <c r="I335" s="232" t="n">
        <v>35500</v>
      </c>
      <c r="J335" s="232" t="n"/>
      <c r="K335" s="272" t="n"/>
      <c r="L335" s="272">
        <f>IF(K335&lt;&gt;"",13000+K335,13000)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PAMPA 4751</t>
        </is>
      </c>
      <c r="C336" s="275" t="n">
        <v>1</v>
      </c>
      <c r="D336" s="275" t="n"/>
      <c r="E336" s="275" t="n"/>
      <c r="F336" s="276" t="n"/>
      <c r="G336" s="276" t="n"/>
      <c r="H336" s="241" t="n">
        <v>25000</v>
      </c>
      <c r="I336" s="242" t="n">
        <v>25000</v>
      </c>
      <c r="J336" s="242" t="n"/>
      <c r="K336" s="272" t="n"/>
      <c r="L336" s="272">
        <f>IF(K336&lt;&gt;"",10000+K336,10000)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P GENESIO 5851</t>
        </is>
      </c>
      <c r="C337" s="268" t="n">
        <v>1</v>
      </c>
      <c r="D337" s="268" t="n"/>
      <c r="E337" s="268" t="n"/>
      <c r="F337" s="269" t="n"/>
      <c r="G337" s="269" t="n"/>
      <c r="H337" s="231" t="n">
        <v>24500</v>
      </c>
      <c r="I337" s="232" t="n">
        <v>24500</v>
      </c>
      <c r="J337" s="232" t="n"/>
      <c r="K337" s="272" t="n"/>
      <c r="L337" s="272">
        <f>IF(K337&lt;&gt;"",9500+K337,9500)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AVELLANEDA 7745</t>
        </is>
      </c>
      <c r="C338" s="275" t="n">
        <v>1</v>
      </c>
      <c r="D338" s="275" t="n"/>
      <c r="E338" s="275" t="n"/>
      <c r="F338" s="276" t="n"/>
      <c r="G338" s="276" t="n"/>
      <c r="H338" s="241" t="n">
        <v>25000</v>
      </c>
      <c r="I338" s="242" t="n"/>
      <c r="J338" s="242" t="n">
        <v>25000</v>
      </c>
      <c r="K338" s="272" t="n"/>
      <c r="L338" s="272">
        <f>IF(K338&lt;&gt;"",10000+K338,10000)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ALBERTI 4538</t>
        </is>
      </c>
      <c r="C339" s="268" t="n"/>
      <c r="D339" s="268" t="n">
        <v>1</v>
      </c>
      <c r="E339" s="268" t="n"/>
      <c r="F339" s="269" t="n"/>
      <c r="G339" s="269" t="n"/>
      <c r="H339" s="231" t="n">
        <v>37500</v>
      </c>
      <c r="I339" s="232" t="n">
        <v>37500</v>
      </c>
      <c r="J339" s="232" t="n"/>
      <c r="K339" s="272" t="n"/>
      <c r="L339" s="272">
        <f>IF(K339&lt;&gt;"",15000+K339,15000)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LUCHO</t>
        </is>
      </c>
      <c r="C340" s="275" t="n">
        <v>2</v>
      </c>
      <c r="D340" s="275" t="n"/>
      <c r="E340" s="275" t="n"/>
      <c r="F340" s="276" t="n"/>
      <c r="G340" s="276" t="n"/>
      <c r="H340" s="241" t="n">
        <v>34000</v>
      </c>
      <c r="I340" s="242" t="n"/>
      <c r="J340" s="242" t="n">
        <v>34000</v>
      </c>
      <c r="K340" s="272" t="n"/>
      <c r="L340" s="272">
        <f>IF(K340&lt;&gt;"",4000+K340,4000)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PAVON 4712</t>
        </is>
      </c>
      <c r="C341" s="268" t="n"/>
      <c r="D341" s="268" t="n">
        <v>1</v>
      </c>
      <c r="E341" s="268" t="n"/>
      <c r="F341" s="269" t="n"/>
      <c r="G341" s="269" t="n"/>
      <c r="H341" s="231" t="n">
        <v>33500</v>
      </c>
      <c r="I341" s="232" t="n">
        <v>33500</v>
      </c>
      <c r="J341" s="232" t="n"/>
      <c r="K341" s="272" t="n"/>
      <c r="L341" s="272">
        <f>IF(K341&lt;&gt;"",11000+K341,11000)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PERU 3841</t>
        </is>
      </c>
      <c r="C342" s="275" t="n">
        <v>1</v>
      </c>
      <c r="D342" s="275" t="n"/>
      <c r="E342" s="275" t="n"/>
      <c r="F342" s="276" t="n"/>
      <c r="G342" s="276" t="n"/>
      <c r="H342" s="241" t="n">
        <v>24500</v>
      </c>
      <c r="I342" s="242" t="n"/>
      <c r="J342" s="242" t="n">
        <v>24500</v>
      </c>
      <c r="K342" s="272" t="n"/>
      <c r="L342" s="272">
        <f>IF(K342&lt;&gt;"",9500+K342,9500)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LARGUIA 7186</t>
        </is>
      </c>
      <c r="C343" s="268" t="n"/>
      <c r="D343" s="268" t="n"/>
      <c r="E343" s="268" t="n">
        <v>1</v>
      </c>
      <c r="F343" s="269" t="n"/>
      <c r="G343" s="269" t="n"/>
      <c r="H343" s="231" t="n">
        <v>80000</v>
      </c>
      <c r="I343" s="232" t="n"/>
      <c r="J343" s="232" t="n">
        <v>80000</v>
      </c>
      <c r="K343" s="272" t="n"/>
      <c r="L343" s="272">
        <f>IF(K343&lt;&gt;"",20000+K343,20000)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LARGUIA 7150</t>
        </is>
      </c>
      <c r="C344" s="275" t="n"/>
      <c r="D344" s="275" t="n">
        <v>1</v>
      </c>
      <c r="E344" s="275" t="n"/>
      <c r="F344" s="276" t="n"/>
      <c r="G344" s="276" t="n"/>
      <c r="H344" s="241" t="n">
        <v>33500</v>
      </c>
      <c r="I344" s="242" t="n">
        <v>33500</v>
      </c>
      <c r="J344" s="242" t="n"/>
      <c r="K344" s="272" t="n"/>
      <c r="L344" s="272">
        <f>IF(K344&lt;&gt;"",11000+K344,11000)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PUBLICO 2454</t>
        </is>
      </c>
      <c r="C345" s="268" t="n"/>
      <c r="D345" s="268" t="n">
        <v>1</v>
      </c>
      <c r="E345" s="268" t="n"/>
      <c r="F345" s="269" t="n"/>
      <c r="G345" s="269" t="n"/>
      <c r="H345" s="231" t="n">
        <v>37500</v>
      </c>
      <c r="I345" s="232" t="n">
        <v>37500</v>
      </c>
      <c r="J345" s="232" t="n"/>
      <c r="K345" s="272" t="n"/>
      <c r="L345" s="272">
        <f>IF(K345&lt;&gt;"",15000+K345,15000)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LUCHO</t>
        </is>
      </c>
      <c r="C346" s="275" t="n">
        <v>2</v>
      </c>
      <c r="D346" s="275" t="n"/>
      <c r="E346" s="275" t="n"/>
      <c r="F346" s="276" t="n"/>
      <c r="G346" s="276" t="n"/>
      <c r="H346" s="241" t="n">
        <v>34000</v>
      </c>
      <c r="I346" s="242" t="n">
        <v>34000</v>
      </c>
      <c r="J346" s="242" t="n"/>
      <c r="K346" s="272" t="n"/>
      <c r="L346" s="272">
        <f>IF(K346&lt;&gt;"",4000+K346,4000)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ANGEL</t>
        </is>
      </c>
      <c r="C347" s="268" t="n">
        <v>1</v>
      </c>
      <c r="D347" s="268" t="n"/>
      <c r="E347" s="268" t="n"/>
      <c r="F347" s="269" t="n"/>
      <c r="G347" s="269" t="n"/>
      <c r="H347" s="231" t="n">
        <v>17000</v>
      </c>
      <c r="I347" s="232" t="n">
        <v>17000</v>
      </c>
      <c r="J347" s="232" t="n"/>
      <c r="K347" s="272" t="n"/>
      <c r="L347" s="272">
        <f>IF(K347&lt;&gt;"",2000+K347,2000)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ALMOMACID 4615</t>
        </is>
      </c>
      <c r="C348" s="275" t="n"/>
      <c r="D348" s="275" t="n">
        <v>1</v>
      </c>
      <c r="E348" s="275" t="n"/>
      <c r="F348" s="276" t="n"/>
      <c r="G348" s="276" t="n"/>
      <c r="H348" s="241" t="n">
        <v>37500</v>
      </c>
      <c r="I348" s="242" t="n"/>
      <c r="J348" s="242" t="n">
        <v>37500</v>
      </c>
      <c r="K348" s="272" t="n"/>
      <c r="L348" s="272">
        <f>IF(K348&lt;&gt;"",15000+K348,15000)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DANA</t>
        </is>
      </c>
      <c r="C349" s="268" t="n">
        <v>4</v>
      </c>
      <c r="D349" s="268" t="n"/>
      <c r="E349" s="268" t="n"/>
      <c r="F349" s="269" t="n"/>
      <c r="G349" s="269" t="n"/>
      <c r="H349" s="231" t="n">
        <v>68000</v>
      </c>
      <c r="I349" s="232" t="n"/>
      <c r="J349" s="232" t="n">
        <v>68000</v>
      </c>
      <c r="K349" s="272" t="n"/>
      <c r="L349" s="272">
        <f>IF(K349&lt;&gt;"",8000+K349,8000)</f>
        <v/>
      </c>
      <c r="M349" s="156" t="n"/>
      <c r="N349" s="156" t="n"/>
      <c r="O349" s="156" t="n"/>
    </row>
    <row r="350" ht="18.75" customHeight="1" s="153">
      <c r="A350" s="273" t="n">
        <v>46107</v>
      </c>
      <c r="B350" s="274" t="inlineStr">
        <is>
          <t>ECUADOR 3735</t>
        </is>
      </c>
      <c r="C350" s="275" t="n">
        <v>1</v>
      </c>
      <c r="D350" s="275" t="n"/>
      <c r="E350" s="275" t="n"/>
      <c r="F350" s="276" t="n"/>
      <c r="G350" s="276" t="n"/>
      <c r="H350" s="241" t="n">
        <v>24500</v>
      </c>
      <c r="I350" s="242" t="n"/>
      <c r="J350" s="242" t="n">
        <v>24500</v>
      </c>
      <c r="K350" s="272" t="n"/>
      <c r="L350" s="272">
        <f>IF(K350&lt;&gt;"",9500+K350,9500)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BERUTI 3850</t>
        </is>
      </c>
      <c r="C351" s="268" t="n">
        <v>1</v>
      </c>
      <c r="D351" s="268" t="n"/>
      <c r="E351" s="268" t="n">
        <v>1</v>
      </c>
      <c r="F351" s="269" t="n"/>
      <c r="G351" s="269" t="n"/>
      <c r="H351" s="231" t="n">
        <v>91500</v>
      </c>
      <c r="I351" s="232" t="n"/>
      <c r="J351" s="232" t="n">
        <v>91500</v>
      </c>
      <c r="K351" s="272" t="n"/>
      <c r="L351" s="272">
        <f>IF(K351&lt;&gt;"",16500+K351,16500)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PANA FIGUEROA</t>
        </is>
      </c>
      <c r="C352" s="275" t="n"/>
      <c r="D352" s="275" t="n"/>
      <c r="E352" s="275" t="n">
        <v>1</v>
      </c>
      <c r="F352" s="276" t="n"/>
      <c r="G352" s="276" t="n"/>
      <c r="H352" s="241" t="n">
        <v>70000</v>
      </c>
      <c r="I352" s="242" t="n">
        <v>40000</v>
      </c>
      <c r="J352" s="242" t="n">
        <v>30000</v>
      </c>
      <c r="K352" s="272" t="n"/>
      <c r="L352" s="272">
        <f>IF(K352&lt;&gt;"",10000+K352,10000)</f>
        <v/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GABOTO 7320</t>
        </is>
      </c>
      <c r="C353" s="268" t="n">
        <v>1</v>
      </c>
      <c r="D353" s="268" t="n"/>
      <c r="E353" s="268" t="n">
        <v>1</v>
      </c>
      <c r="F353" s="269" t="n"/>
      <c r="G353" s="269" t="n"/>
      <c r="H353" s="231" t="n">
        <v>105000</v>
      </c>
      <c r="I353" s="232" t="n">
        <v>105000</v>
      </c>
      <c r="J353" s="232" t="n"/>
      <c r="K353" s="272" t="n"/>
      <c r="L353" s="272">
        <f>IF(K353&lt;&gt;"",30000+K353,30000)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AZCUENAGA 5023</t>
        </is>
      </c>
      <c r="C354" s="275" t="n">
        <v>4</v>
      </c>
      <c r="D354" s="275" t="n"/>
      <c r="E354" s="275" t="n"/>
      <c r="F354" s="276" t="n"/>
      <c r="G354" s="276" t="n"/>
      <c r="H354" s="241" t="n">
        <v>68000</v>
      </c>
      <c r="I354" s="242" t="n"/>
      <c r="J354" s="242" t="n">
        <v>68000</v>
      </c>
      <c r="K354" s="272" t="n"/>
      <c r="L354" s="272">
        <f>IF(K354&lt;&gt;"",8000+K354,8000)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ESMERALDA 2376</t>
        </is>
      </c>
      <c r="C355" s="268" t="n"/>
      <c r="D355" s="268" t="n"/>
      <c r="E355" s="268" t="n">
        <v>1</v>
      </c>
      <c r="F355" s="269" t="n"/>
      <c r="G355" s="269" t="n"/>
      <c r="H355" s="270" t="n">
        <v>80000</v>
      </c>
      <c r="I355" s="271" t="n"/>
      <c r="J355" s="271" t="n">
        <v>80000</v>
      </c>
      <c r="K355" s="272" t="n"/>
      <c r="L355" s="272">
        <f>IF(K355&lt;&gt;"",20000+K355,20000)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CHICLANA 7325</t>
        </is>
      </c>
      <c r="C356" s="275" t="n">
        <v>1</v>
      </c>
      <c r="D356" s="275" t="n"/>
      <c r="E356" s="275" t="n"/>
      <c r="F356" s="276" t="n"/>
      <c r="G356" s="276" t="n"/>
      <c r="H356" s="277" t="n">
        <v>19000</v>
      </c>
      <c r="I356" s="278" t="n"/>
      <c r="J356" s="278" t="n">
        <v>19000</v>
      </c>
      <c r="K356" s="272" t="n"/>
      <c r="L356" s="272">
        <f>IF(K356&lt;&gt;"",4000+K356,4000)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PEDRO ESPINOSA 5609</t>
        </is>
      </c>
      <c r="C357" s="268" t="n">
        <v>1</v>
      </c>
      <c r="D357" s="268" t="n"/>
      <c r="E357" s="268" t="n"/>
      <c r="F357" s="269" t="n"/>
      <c r="G357" s="269" t="n"/>
      <c r="H357" s="270" t="n">
        <v>25000</v>
      </c>
      <c r="I357" s="271" t="n">
        <v>25000</v>
      </c>
      <c r="J357" s="271" t="n"/>
      <c r="K357" s="272" t="n"/>
      <c r="L357" s="272">
        <f>IF(K357&lt;&gt;"",10000+K357,10000)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ESTANISLAO ZEBALLOS 5278</t>
        </is>
      </c>
      <c r="C358" s="275" t="n"/>
      <c r="D358" s="275" t="n"/>
      <c r="E358" s="275" t="n">
        <v>1</v>
      </c>
      <c r="F358" s="276" t="n"/>
      <c r="G358" s="276" t="n"/>
      <c r="H358" s="277" t="n">
        <v>80000</v>
      </c>
      <c r="I358" s="278" t="n">
        <v>80000</v>
      </c>
      <c r="J358" s="278" t="n"/>
      <c r="K358" s="272" t="n"/>
      <c r="L358" s="272">
        <f>IF(K358&lt;&gt;"",20000+K358,20000)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AGUAYO 3617</t>
        </is>
      </c>
      <c r="C359" s="268" t="n">
        <v>1</v>
      </c>
      <c r="D359" s="268" t="n"/>
      <c r="E359" s="268" t="n"/>
      <c r="F359" s="269" t="n"/>
      <c r="G359" s="269" t="n"/>
      <c r="H359" s="270" t="n">
        <v>25000</v>
      </c>
      <c r="I359" s="271" t="n">
        <v>25000</v>
      </c>
      <c r="J359" s="271" t="n"/>
      <c r="K359" s="272" t="n"/>
      <c r="L359" s="272">
        <f>IF(K359&lt;&gt;"",10000+K359,10000)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SABOREAR</t>
        </is>
      </c>
      <c r="C360" s="275" t="n"/>
      <c r="D360" s="275" t="n">
        <v>1</v>
      </c>
      <c r="E360" s="275" t="n"/>
      <c r="F360" s="276" t="n"/>
      <c r="G360" s="276" t="n"/>
      <c r="H360" s="277" t="n">
        <v>31500</v>
      </c>
      <c r="I360" s="278" t="n"/>
      <c r="J360" s="278" t="n">
        <v>31500</v>
      </c>
      <c r="K360" s="272" t="n"/>
      <c r="L360" s="272">
        <f>IF(K360&lt;&gt;"",9000+K360,9000)</f>
        <v/>
      </c>
      <c r="M360" s="156" t="n"/>
      <c r="N360" s="156" t="n"/>
      <c r="O360" s="156" t="n"/>
    </row>
    <row r="361" ht="15.75" customHeight="1" s="153">
      <c r="A361" s="279" t="n">
        <v>46108</v>
      </c>
      <c r="B361" s="267" t="inlineStr">
        <is>
          <t>ANGEL</t>
        </is>
      </c>
      <c r="C361" s="268" t="n">
        <v>1</v>
      </c>
      <c r="D361" s="268" t="n"/>
      <c r="E361" s="268" t="n"/>
      <c r="F361" s="269" t="n"/>
      <c r="G361" s="269" t="n"/>
      <c r="H361" s="270" t="n">
        <v>17000</v>
      </c>
      <c r="I361" s="271" t="n">
        <v>17000</v>
      </c>
      <c r="J361" s="271" t="n"/>
      <c r="K361" s="272" t="n"/>
      <c r="L361" s="272">
        <f>IF(K361&lt;&gt;"",2000+K361,2000)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CINDI</t>
        </is>
      </c>
      <c r="C362" s="275" t="n"/>
      <c r="D362" s="275" t="n"/>
      <c r="E362" s="275" t="n"/>
      <c r="F362" s="276" t="n">
        <v>2</v>
      </c>
      <c r="G362" s="276" t="n"/>
      <c r="H362" s="277" t="n">
        <v>7000</v>
      </c>
      <c r="I362" s="278" t="n"/>
      <c r="J362" s="278" t="n">
        <v>7000</v>
      </c>
      <c r="K362" s="272" t="n"/>
      <c r="L362" s="272">
        <f>IF(K362&lt;&gt;"",2400+K362,2400)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JORGE VIANDA</t>
        </is>
      </c>
      <c r="C363" s="268" t="n">
        <v>1</v>
      </c>
      <c r="D363" s="268" t="n"/>
      <c r="E363" s="268" t="n"/>
      <c r="F363" s="269" t="n"/>
      <c r="G363" s="269" t="n"/>
      <c r="H363" s="270" t="n">
        <v>20000</v>
      </c>
      <c r="I363" s="271" t="n">
        <v>20000</v>
      </c>
      <c r="J363" s="271" t="n"/>
      <c r="K363" s="272" t="n"/>
      <c r="L363" s="272">
        <f>IF(K363&lt;&gt;"",5000+K363,5000)</f>
        <v/>
      </c>
      <c r="M363" s="156" t="n"/>
      <c r="N363" s="156" t="n"/>
      <c r="O363" s="156" t="n"/>
    </row>
    <row r="364" ht="15.75" customHeight="1" s="153">
      <c r="A364" s="273" t="n"/>
      <c r="B364" s="274" t="inlineStr">
        <is>
          <t>LUCHO</t>
        </is>
      </c>
      <c r="C364" s="275" t="n">
        <v>2</v>
      </c>
      <c r="D364" s="275" t="n"/>
      <c r="E364" s="275" t="n"/>
      <c r="F364" s="276" t="n"/>
      <c r="G364" s="276" t="n"/>
      <c r="H364" s="277" t="n">
        <v>34000</v>
      </c>
      <c r="I364" s="278" t="n"/>
      <c r="J364" s="278" t="n">
        <v>34000</v>
      </c>
      <c r="K364" s="272" t="n"/>
      <c r="L364" s="272">
        <f>IF(K364&lt;&gt;"",4000+K364,4000)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PASAJE RODRIGUEZ 4461</t>
        </is>
      </c>
      <c r="C365" s="268" t="n"/>
      <c r="D365" s="268" t="n">
        <v>1</v>
      </c>
      <c r="E365" s="268" t="n"/>
      <c r="F365" s="269" t="n"/>
      <c r="G365" s="269" t="n"/>
      <c r="H365" s="270" t="n">
        <v>37500</v>
      </c>
      <c r="I365" s="271" t="n"/>
      <c r="J365" s="271" t="n">
        <v>37500</v>
      </c>
      <c r="K365" s="272" t="n"/>
      <c r="L365" s="272">
        <f>IF(K365&lt;&gt;"",15000+K365,15000)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5401</t>
        </is>
      </c>
      <c r="C366" s="275" t="n"/>
      <c r="D366" s="275" t="n">
        <v>1</v>
      </c>
      <c r="E366" s="275" t="n"/>
      <c r="F366" s="276" t="n"/>
      <c r="G366" s="276" t="n"/>
      <c r="H366" s="277" t="n">
        <v>27000</v>
      </c>
      <c r="I366" s="278" t="n">
        <v>27000</v>
      </c>
      <c r="J366" s="278" t="n"/>
      <c r="K366" s="272" t="n"/>
      <c r="L366" s="272">
        <f>IF(K366&lt;&gt;"",4500+K366,4500)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12 INFANTERIA 3982</t>
        </is>
      </c>
      <c r="C367" s="268" t="n"/>
      <c r="D367" s="268" t="n"/>
      <c r="E367" s="268" t="n">
        <v>1</v>
      </c>
      <c r="F367" s="269" t="n"/>
      <c r="G367" s="269" t="n"/>
      <c r="H367" s="270" t="n">
        <v>80000</v>
      </c>
      <c r="I367" s="271" t="n"/>
      <c r="J367" s="271" t="n">
        <v>80000</v>
      </c>
      <c r="K367" s="272" t="n"/>
      <c r="L367" s="272">
        <f>IF(K367&lt;&gt;"",20000+K367,20000)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FORMOSA 5746</t>
        </is>
      </c>
      <c r="C368" s="275" t="n">
        <v>1</v>
      </c>
      <c r="D368" s="275" t="n"/>
      <c r="E368" s="275" t="n"/>
      <c r="F368" s="276" t="n"/>
      <c r="G368" s="276" t="n"/>
      <c r="H368" s="277" t="n">
        <v>23500</v>
      </c>
      <c r="I368" s="278" t="n">
        <v>23500</v>
      </c>
      <c r="J368" s="278" t="n"/>
      <c r="K368" s="272" t="n"/>
      <c r="L368" s="272">
        <f>IF(K368&lt;&gt;"",8500+K368,8500)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9 DE JULIO 1144</t>
        </is>
      </c>
      <c r="C369" s="268" t="n"/>
      <c r="D369" s="268" t="n"/>
      <c r="E369" s="268" t="n">
        <v>2</v>
      </c>
      <c r="F369" s="269" t="n"/>
      <c r="G369" s="269" t="n"/>
      <c r="H369" s="270" t="n">
        <v>172000</v>
      </c>
      <c r="I369" s="271" t="n"/>
      <c r="J369" s="271" t="n">
        <v>172000</v>
      </c>
      <c r="K369" s="272" t="n"/>
      <c r="L369" s="272">
        <f>IF(K369&lt;&gt;"",52000+K369,52000)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ROTI VIEYTES</t>
        </is>
      </c>
      <c r="C370" s="275" t="n"/>
      <c r="D370" s="275" t="n">
        <v>1</v>
      </c>
      <c r="E370" s="275" t="n"/>
      <c r="F370" s="276" t="n"/>
      <c r="G370" s="276" t="n"/>
      <c r="H370" s="277" t="n">
        <v>25000</v>
      </c>
      <c r="I370" s="278" t="n"/>
      <c r="J370" s="278" t="n">
        <v>25000</v>
      </c>
      <c r="K370" s="272" t="n"/>
      <c r="L370" s="272">
        <f>IF(K370&lt;&gt;"",2500+K370,2500)</f>
        <v/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ALE</t>
        </is>
      </c>
      <c r="C371" s="268" t="n"/>
      <c r="D371" s="268" t="n"/>
      <c r="E371" s="268" t="n"/>
      <c r="F371" s="269" t="n"/>
      <c r="G371" s="269" t="n">
        <v>1</v>
      </c>
      <c r="H371" s="270" t="n">
        <v>5500</v>
      </c>
      <c r="I371" s="271" t="n">
        <v>5500</v>
      </c>
      <c r="J371" s="271" t="n"/>
      <c r="K371" s="272" t="n"/>
      <c r="L371" s="272">
        <f>IF(K371&lt;&gt;"",4650+K371,4650)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CAREN</t>
        </is>
      </c>
      <c r="C372" s="275" t="n"/>
      <c r="D372" s="275" t="n"/>
      <c r="E372" s="275" t="n">
        <v>1</v>
      </c>
      <c r="F372" s="276" t="n"/>
      <c r="G372" s="276" t="n"/>
      <c r="H372" s="277" t="n">
        <v>77000</v>
      </c>
      <c r="I372" s="278" t="n"/>
      <c r="J372" s="278" t="n">
        <v>77000</v>
      </c>
      <c r="K372" s="272" t="n"/>
      <c r="L372" s="272">
        <f>IF(K372&lt;&gt;"",17000+K372,17000)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/>
      <c r="D373" s="268" t="n"/>
      <c r="E373" s="268" t="n">
        <v>1</v>
      </c>
      <c r="F373" s="269" t="n"/>
      <c r="G373" s="269" t="n"/>
      <c r="H373" s="270" t="n">
        <v>77000</v>
      </c>
      <c r="I373" s="271" t="n"/>
      <c r="J373" s="271" t="n">
        <v>77000</v>
      </c>
      <c r="K373" s="272" t="n"/>
      <c r="L373" s="272">
        <f>IF(K373&lt;&gt;"",17000+K373,17000)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TACUARI 5717</t>
        </is>
      </c>
      <c r="C374" s="275" t="n">
        <v>1</v>
      </c>
      <c r="D374" s="275" t="n"/>
      <c r="E374" s="275" t="n"/>
      <c r="F374" s="276" t="n"/>
      <c r="G374" s="276" t="n"/>
      <c r="H374" s="277" t="n">
        <v>23000</v>
      </c>
      <c r="I374" s="278" t="n"/>
      <c r="J374" s="278" t="n">
        <v>23000</v>
      </c>
      <c r="K374" s="272" t="n"/>
      <c r="L374" s="272">
        <f>IF(K374&lt;&gt;"",8000+K374,8000)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FILOMENA</t>
        </is>
      </c>
      <c r="C375" s="268" t="n">
        <v>2</v>
      </c>
      <c r="D375" s="268" t="n"/>
      <c r="E375" s="268" t="n"/>
      <c r="F375" s="269" t="n"/>
      <c r="G375" s="269" t="n"/>
      <c r="H375" s="270" t="n">
        <v>41000</v>
      </c>
      <c r="I375" s="271" t="n"/>
      <c r="J375" s="271" t="n">
        <v>41000</v>
      </c>
      <c r="K375" s="272" t="n"/>
      <c r="L375" s="272">
        <f>IF(K375&lt;&gt;"",11000+K375,11000)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VIEYTES 4361</t>
        </is>
      </c>
      <c r="C376" s="275" t="n">
        <v>2</v>
      </c>
      <c r="D376" s="275" t="n"/>
      <c r="E376" s="275" t="n"/>
      <c r="F376" s="276" t="n"/>
      <c r="G376" s="276" t="n"/>
      <c r="H376" s="277" t="n">
        <v>50000</v>
      </c>
      <c r="I376" s="278" t="n">
        <v>50000</v>
      </c>
      <c r="J376" s="278" t="n"/>
      <c r="K376" s="272" t="n"/>
      <c r="L376" s="272">
        <f>IF(K376&lt;&gt;"",20000+K376,20000)</f>
        <v/>
      </c>
      <c r="M376" s="156" t="n"/>
      <c r="N376" s="156" t="n"/>
      <c r="O376" s="156" t="n"/>
    </row>
    <row r="377" ht="15.75" customHeight="1" s="153">
      <c r="A377" s="279" t="n">
        <v>46109</v>
      </c>
      <c r="B377" s="267" t="inlineStr">
        <is>
          <t>PANA ALBERTI</t>
        </is>
      </c>
      <c r="C377" s="268" t="n"/>
      <c r="D377" s="268" t="n"/>
      <c r="E377" s="268" t="n">
        <v>1</v>
      </c>
      <c r="F377" s="269" t="n"/>
      <c r="G377" s="269" t="n"/>
      <c r="H377" s="270" t="n">
        <v>77000</v>
      </c>
      <c r="I377" s="271" t="n">
        <v>77000</v>
      </c>
      <c r="J377" s="271" t="n"/>
      <c r="K377" s="272" t="n"/>
      <c r="L377" s="272">
        <f>IF(K377&lt;&gt;"",17000+K377,17000)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PANA GORRITI 4600</t>
        </is>
      </c>
      <c r="C378" s="275" t="n"/>
      <c r="D378" s="275" t="n"/>
      <c r="E378" s="275" t="n">
        <v>1</v>
      </c>
      <c r="F378" s="276" t="n"/>
      <c r="G378" s="276" t="n"/>
      <c r="H378" s="277" t="n">
        <v>79000</v>
      </c>
      <c r="I378" s="278" t="n">
        <v>79000</v>
      </c>
      <c r="J378" s="278" t="n"/>
      <c r="K378" s="272" t="n"/>
      <c r="L378" s="272">
        <f>IF(K378&lt;&gt;"",19000+K378,19000)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BRASERIA</t>
        </is>
      </c>
      <c r="C379" s="268" t="n"/>
      <c r="D379" s="268" t="n"/>
      <c r="E379" s="268" t="n">
        <v>1</v>
      </c>
      <c r="F379" s="269" t="n"/>
      <c r="G379" s="269" t="n"/>
      <c r="H379" s="270" t="n">
        <v>78000</v>
      </c>
      <c r="I379" s="271" t="n"/>
      <c r="J379" s="271" t="n">
        <v>78000</v>
      </c>
      <c r="K379" s="272" t="n"/>
      <c r="L379" s="272">
        <f>IF(K379&lt;&gt;"",18000+K379,18000)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AZCUENAGA 5023</t>
        </is>
      </c>
      <c r="C380" s="275" t="n">
        <v>2</v>
      </c>
      <c r="D380" s="275" t="n">
        <v>1</v>
      </c>
      <c r="E380" s="275" t="n"/>
      <c r="F380" s="276" t="n"/>
      <c r="G380" s="276" t="n"/>
      <c r="H380" s="277" t="n">
        <v>59500</v>
      </c>
      <c r="I380" s="278" t="n"/>
      <c r="J380" s="278" t="n">
        <v>59500</v>
      </c>
      <c r="K380" s="272" t="n"/>
      <c r="L380" s="272">
        <f>IF(K380&lt;&gt;"",7000+K380,7000)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VIANDAS JORGE</t>
        </is>
      </c>
      <c r="C381" s="268" t="n">
        <v>1</v>
      </c>
      <c r="D381" s="268" t="n"/>
      <c r="E381" s="268" t="n"/>
      <c r="F381" s="269" t="n"/>
      <c r="G381" s="269" t="n"/>
      <c r="H381" s="270" t="n">
        <v>20000</v>
      </c>
      <c r="I381" s="271" t="n">
        <v>20000</v>
      </c>
      <c r="J381" s="271" t="n"/>
      <c r="K381" s="272" t="n"/>
      <c r="L381" s="272">
        <f>IF(K381&lt;&gt;"",5000+K381,5000)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EXE</t>
        </is>
      </c>
      <c r="C382" s="275" t="n"/>
      <c r="D382" s="275" t="n"/>
      <c r="E382" s="275" t="n">
        <v>1</v>
      </c>
      <c r="F382" s="276" t="n"/>
      <c r="G382" s="276" t="n"/>
      <c r="H382" s="277" t="n">
        <v>77000</v>
      </c>
      <c r="I382" s="278" t="n"/>
      <c r="J382" s="278" t="n">
        <v>77000</v>
      </c>
      <c r="K382" s="272" t="n"/>
      <c r="L382" s="272">
        <f>IF(K382&lt;&gt;"",17000+K382,17000)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PAULO</t>
        </is>
      </c>
      <c r="C383" s="268" t="n">
        <v>2</v>
      </c>
      <c r="D383" s="268" t="n"/>
      <c r="E383" s="268" t="n"/>
      <c r="F383" s="269" t="n"/>
      <c r="G383" s="269" t="n"/>
      <c r="H383" s="270" t="n">
        <v>33000</v>
      </c>
      <c r="I383" s="271" t="n">
        <v>33000</v>
      </c>
      <c r="J383" s="271" t="n"/>
      <c r="K383" s="272" t="n"/>
      <c r="L383" s="272">
        <f>IF(K383&lt;&gt;"",3000+K383,3000)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NEUQUEN 2531</t>
        </is>
      </c>
      <c r="C384" s="275" t="n"/>
      <c r="D384" s="275" t="n"/>
      <c r="E384" s="275" t="n">
        <v>1</v>
      </c>
      <c r="F384" s="276" t="n"/>
      <c r="G384" s="276" t="n"/>
      <c r="H384" s="277" t="n">
        <v>82000</v>
      </c>
      <c r="I384" s="278" t="n"/>
      <c r="J384" s="278" t="n">
        <v>82000</v>
      </c>
      <c r="K384" s="272" t="n"/>
      <c r="L384" s="272">
        <f>IF(K384&lt;&gt;"",22000+K384,22000)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TUYA ABUELA</t>
        </is>
      </c>
      <c r="C385" s="268" t="n"/>
      <c r="D385" s="268" t="n">
        <v>1</v>
      </c>
      <c r="E385" s="268" t="n"/>
      <c r="F385" s="269" t="n"/>
      <c r="G385" s="269" t="n"/>
      <c r="H385" s="270" t="n">
        <v>39000</v>
      </c>
      <c r="I385" s="271" t="n">
        <v>39000</v>
      </c>
      <c r="J385" s="271" t="n"/>
      <c r="K385" s="272" t="n"/>
      <c r="L385" s="272">
        <f>IF(K385&lt;&gt;"",16500+K385,16500)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BERNARDO IRIGOYEN 6854</t>
        </is>
      </c>
      <c r="C386" s="275" t="n">
        <v>1</v>
      </c>
      <c r="D386" s="275" t="n"/>
      <c r="E386" s="275" t="n"/>
      <c r="F386" s="276" t="n"/>
      <c r="G386" s="276" t="n"/>
      <c r="H386" s="277" t="n">
        <v>23500</v>
      </c>
      <c r="I386" s="278" t="n">
        <v>23500</v>
      </c>
      <c r="J386" s="278" t="n"/>
      <c r="K386" s="272" t="n"/>
      <c r="L386" s="272">
        <f>IF(K386&lt;&gt;"",8500+K386,8500)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SAN MARTIN 8515</t>
        </is>
      </c>
      <c r="C387" s="268" t="n"/>
      <c r="D387" s="268" t="n"/>
      <c r="E387" s="268" t="n">
        <v>1</v>
      </c>
      <c r="F387" s="269" t="n"/>
      <c r="G387" s="269" t="n"/>
      <c r="H387" s="270" t="n">
        <v>82000</v>
      </c>
      <c r="I387" s="271" t="n">
        <v>82000</v>
      </c>
      <c r="J387" s="271" t="n"/>
      <c r="K387" s="272" t="n"/>
      <c r="L387" s="272">
        <f>IF(K387&lt;&gt;"",22000+K387,22000)</f>
        <v/>
      </c>
      <c r="M387" s="156" t="n"/>
      <c r="N387" s="156" t="n"/>
      <c r="O387" s="156" t="n"/>
    </row>
    <row r="388" ht="15.75" customHeight="1" s="153">
      <c r="A388" s="273" t="n">
        <v>46110</v>
      </c>
      <c r="B388" s="274" t="inlineStr">
        <is>
          <t>PASTELERIA GLADYS</t>
        </is>
      </c>
      <c r="C388" s="275" t="n"/>
      <c r="D388" s="275" t="n"/>
      <c r="E388" s="275" t="n">
        <v>2</v>
      </c>
      <c r="F388" s="276" t="n"/>
      <c r="G388" s="276" t="n"/>
      <c r="H388" s="277" t="n">
        <v>140000</v>
      </c>
      <c r="I388" s="278" t="n">
        <v>140000</v>
      </c>
      <c r="J388" s="278" t="n"/>
      <c r="K388" s="272" t="n"/>
      <c r="L388" s="272">
        <f>IF(K388&lt;&gt;"",20000+K388,20000)</f>
        <v/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PEDRO CENTENO</t>
        </is>
      </c>
      <c r="C389" s="268" t="n">
        <v>1</v>
      </c>
      <c r="D389" s="268" t="n"/>
      <c r="E389" s="268" t="n"/>
      <c r="F389" s="269" t="n"/>
      <c r="G389" s="269" t="n"/>
      <c r="H389" s="270" t="n">
        <v>27000</v>
      </c>
      <c r="I389" s="271" t="n">
        <v>27000</v>
      </c>
      <c r="J389" s="271" t="n"/>
      <c r="K389" s="272" t="n"/>
      <c r="L389" s="272">
        <f>IF(K389&lt;&gt;"",12000+K389,12000)</f>
        <v/>
      </c>
      <c r="M389" s="156" t="n"/>
      <c r="N389" s="156" t="n"/>
      <c r="O389" s="156" t="n"/>
    </row>
    <row r="390" ht="15.75" customHeight="1" s="153">
      <c r="A390" s="273" t="n"/>
      <c r="B390" s="274" t="inlineStr">
        <is>
          <t>PAULO</t>
        </is>
      </c>
      <c r="C390" s="275" t="n">
        <v>2</v>
      </c>
      <c r="D390" s="275" t="n"/>
      <c r="E390" s="275" t="n"/>
      <c r="F390" s="276" t="n"/>
      <c r="G390" s="276" t="n"/>
      <c r="H390" s="277" t="n">
        <v>33000</v>
      </c>
      <c r="I390" s="278" t="n">
        <v>33000</v>
      </c>
      <c r="J390" s="278" t="n"/>
      <c r="K390" s="272" t="n"/>
      <c r="L390" s="272">
        <f>IF(K390&lt;&gt;"",3000+K390,3000)</f>
        <v/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DANA</t>
        </is>
      </c>
      <c r="C391" s="268" t="n">
        <v>3</v>
      </c>
      <c r="D391" s="268" t="n"/>
      <c r="E391" s="268" t="n"/>
      <c r="F391" s="269" t="n"/>
      <c r="G391" s="269" t="n"/>
      <c r="H391" s="270" t="n">
        <v>51000</v>
      </c>
      <c r="I391" s="271" t="n">
        <v>51000</v>
      </c>
      <c r="J391" s="271" t="n"/>
      <c r="K391" s="272" t="n"/>
      <c r="L391" s="272">
        <f>IF(K391&lt;&gt;"",6000+K391,6000)</f>
        <v/>
      </c>
      <c r="M391" s="156" t="n"/>
      <c r="N391" s="156" t="n"/>
      <c r="O391" s="156" t="n"/>
    </row>
    <row r="392" ht="15.75" customHeight="1" s="153">
      <c r="A392" s="273" t="n"/>
      <c r="B392" s="274" t="inlineStr">
        <is>
          <t>CHICLANA 7325</t>
        </is>
      </c>
      <c r="C392" s="275" t="n">
        <v>1</v>
      </c>
      <c r="D392" s="275" t="n"/>
      <c r="E392" s="275" t="n"/>
      <c r="F392" s="276" t="n"/>
      <c r="G392" s="276" t="n"/>
      <c r="H392" s="277" t="n">
        <v>17000</v>
      </c>
      <c r="I392" s="278" t="n">
        <v>17000</v>
      </c>
      <c r="J392" s="278" t="n"/>
      <c r="K392" s="272" t="n"/>
      <c r="L392" s="272">
        <f>IF(K392&lt;&gt;"",2000+K392,2000)</f>
        <v/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ROTI AGUADO</t>
        </is>
      </c>
      <c r="C393" s="268" t="n">
        <v>1</v>
      </c>
      <c r="D393" s="268" t="n">
        <v>1</v>
      </c>
      <c r="E393" s="268" t="n"/>
      <c r="F393" s="269" t="n"/>
      <c r="G393" s="269" t="n"/>
      <c r="H393" s="270" t="n">
        <v>51500</v>
      </c>
      <c r="I393" s="271" t="n"/>
      <c r="J393" s="271" t="n">
        <v>51500</v>
      </c>
      <c r="K393" s="272" t="n"/>
      <c r="L393" s="272">
        <f>IF(K393&lt;&gt;"",14000+K393,14000)</f>
        <v/>
      </c>
      <c r="M393" s="156" t="n"/>
      <c r="N393" s="156" t="n"/>
      <c r="O393" s="156" t="n"/>
    </row>
    <row r="394" ht="15.75" customHeight="1" s="153">
      <c r="A394" s="273" t="n"/>
      <c r="B394" s="274" t="inlineStr">
        <is>
          <t>JUAN JOSE VALLE 5573</t>
        </is>
      </c>
      <c r="C394" s="275" t="n">
        <v>1</v>
      </c>
      <c r="D394" s="275" t="n"/>
      <c r="E394" s="275" t="n"/>
      <c r="F394" s="276" t="n"/>
      <c r="G394" s="276" t="n"/>
      <c r="H394" s="277" t="n">
        <v>27000</v>
      </c>
      <c r="I394" s="278" t="n">
        <v>27000</v>
      </c>
      <c r="J394" s="278" t="n"/>
      <c r="K394" s="272" t="n"/>
      <c r="L394" s="272">
        <f>IF(K394&lt;&gt;"",12000+K394,12000)</f>
        <v/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MONSEÑOR RODRIGUEZ</t>
        </is>
      </c>
      <c r="C395" s="268" t="n">
        <v>1</v>
      </c>
      <c r="D395" s="268" t="n"/>
      <c r="E395" s="268" t="n"/>
      <c r="F395" s="269" t="n"/>
      <c r="G395" s="269" t="n"/>
      <c r="H395" s="270" t="n">
        <v>27000</v>
      </c>
      <c r="I395" s="271" t="n"/>
      <c r="J395" s="271" t="n">
        <v>27000</v>
      </c>
      <c r="K395" s="272" t="n"/>
      <c r="L395" s="272">
        <f>IF(K395&lt;&gt;"",12000+K395,12000)</f>
        <v/>
      </c>
      <c r="M395" s="156" t="n"/>
      <c r="N395" s="156" t="n"/>
      <c r="O395" s="156" t="n"/>
    </row>
    <row r="396" ht="15.75" customHeight="1" s="153">
      <c r="A396" s="273" t="n"/>
      <c r="B396" s="274" t="inlineStr">
        <is>
          <t>NOGALES 3419</t>
        </is>
      </c>
      <c r="C396" s="275" t="n"/>
      <c r="D396" s="275" t="n"/>
      <c r="E396" s="275" t="n">
        <v>1</v>
      </c>
      <c r="F396" s="276" t="n"/>
      <c r="G396" s="276" t="n"/>
      <c r="H396" s="277" t="n">
        <v>85000</v>
      </c>
      <c r="I396" s="278" t="n"/>
      <c r="J396" s="278" t="n">
        <v>85000</v>
      </c>
      <c r="K396" s="272" t="n"/>
      <c r="L396" s="272">
        <f>IF(K396&lt;&gt;"",25000+K396,25000)</f>
        <v/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PORKIS</t>
        </is>
      </c>
      <c r="C397" s="268" t="n">
        <v>1</v>
      </c>
      <c r="D397" s="268" t="n"/>
      <c r="E397" s="268" t="n"/>
      <c r="F397" s="269" t="n"/>
      <c r="G397" s="269" t="n"/>
      <c r="H397" s="270" t="n">
        <v>23000</v>
      </c>
      <c r="I397" s="271" t="n"/>
      <c r="J397" s="271" t="n">
        <v>23000</v>
      </c>
      <c r="K397" s="272" t="n"/>
      <c r="L397" s="272">
        <f>IF(K397&lt;&gt;"",8000+K397,8000)</f>
        <v/>
      </c>
      <c r="M397" s="156" t="n"/>
      <c r="N397" s="156" t="n"/>
      <c r="O397" s="156" t="n"/>
    </row>
    <row r="398" ht="15.75" customHeight="1" s="153">
      <c r="A398" s="273" t="n"/>
      <c r="B398" s="274" t="inlineStr">
        <is>
          <t>NACHO</t>
        </is>
      </c>
      <c r="C398" s="275" t="n">
        <v>1</v>
      </c>
      <c r="D398" s="275" t="n"/>
      <c r="E398" s="275" t="n"/>
      <c r="F398" s="276" t="n"/>
      <c r="G398" s="276" t="n"/>
      <c r="H398" s="277" t="n">
        <v>20500</v>
      </c>
      <c r="I398" s="278" t="n"/>
      <c r="J398" s="278" t="n">
        <v>20500</v>
      </c>
      <c r="K398" s="272" t="n"/>
      <c r="L398" s="272">
        <f>IF(K398&lt;&gt;"",5500+K398,5500)</f>
        <v/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FILOMENA</t>
        </is>
      </c>
      <c r="C399" s="268" t="n">
        <v>2</v>
      </c>
      <c r="D399" s="268" t="n"/>
      <c r="E399" s="268" t="n"/>
      <c r="F399" s="269" t="n"/>
      <c r="G399" s="269" t="n"/>
      <c r="H399" s="270" t="n">
        <v>41000</v>
      </c>
      <c r="I399" s="271" t="n"/>
      <c r="J399" s="271" t="n">
        <v>41000</v>
      </c>
      <c r="K399" s="272" t="n"/>
      <c r="L399" s="272">
        <f>IF(K399&lt;&gt;"",11000+K399,11000)</f>
        <v/>
      </c>
      <c r="M399" s="156" t="n"/>
      <c r="N399" s="156" t="n"/>
      <c r="O399" s="156" t="n"/>
    </row>
    <row r="400" ht="15.75" customHeight="1" s="153">
      <c r="A400" s="273" t="n"/>
      <c r="B400" s="274" t="inlineStr">
        <is>
          <t>SABOREAR</t>
        </is>
      </c>
      <c r="C400" s="275" t="n">
        <v>1</v>
      </c>
      <c r="D400" s="275" t="n"/>
      <c r="E400" s="275" t="n"/>
      <c r="F400" s="276" t="n"/>
      <c r="G400" s="276" t="n"/>
      <c r="H400" s="277" t="n">
        <v>21000</v>
      </c>
      <c r="I400" s="278" t="n"/>
      <c r="J400" s="278" t="n">
        <v>21000</v>
      </c>
      <c r="K400" s="272" t="n"/>
      <c r="L400" s="272">
        <f>IF(K400&lt;&gt;"",6000+K400,6000)</f>
        <v/>
      </c>
    </row>
    <row r="401" ht="15.75" customHeight="1" s="153">
      <c r="A401" s="279" t="n">
        <v>46111</v>
      </c>
      <c r="B401" s="267" t="inlineStr">
        <is>
          <t>ALSINA 7980</t>
        </is>
      </c>
      <c r="C401" s="268" t="n">
        <v>1</v>
      </c>
      <c r="D401" s="268" t="n"/>
      <c r="E401" s="268" t="n"/>
      <c r="F401" s="269" t="n"/>
      <c r="G401" s="269" t="n"/>
      <c r="H401" s="270" t="n">
        <v>27000</v>
      </c>
      <c r="I401" s="271" t="n">
        <v>27000</v>
      </c>
      <c r="J401" s="271" t="n"/>
      <c r="K401" s="272" t="n"/>
      <c r="L401" s="272">
        <f>IF(K401&lt;&gt;"",12000+K401,12000)</f>
        <v/>
      </c>
    </row>
    <row r="402" ht="15.75" customHeight="1" s="153">
      <c r="A402" s="273" t="n"/>
      <c r="B402" s="274" t="inlineStr">
        <is>
          <t>PANA BERUTI 3850</t>
        </is>
      </c>
      <c r="C402" s="275" t="n"/>
      <c r="D402" s="275" t="n"/>
      <c r="E402" s="275" t="n">
        <v>1</v>
      </c>
      <c r="F402" s="276" t="n"/>
      <c r="G402" s="276" t="n"/>
      <c r="H402" s="277" t="n">
        <v>76000</v>
      </c>
      <c r="I402" s="278" t="n"/>
      <c r="J402" s="278" t="n">
        <v>76000</v>
      </c>
      <c r="K402" s="272" t="n"/>
      <c r="L402" s="272">
        <f>IF(K402&lt;&gt;"",16000+K402,16000)</f>
        <v/>
      </c>
    </row>
    <row r="403" ht="15.75" customHeight="1" s="153">
      <c r="A403" s="279" t="n"/>
      <c r="B403" s="267" t="inlineStr">
        <is>
          <t>BEATRIZ</t>
        </is>
      </c>
      <c r="C403" s="268" t="n"/>
      <c r="D403" s="268" t="n"/>
      <c r="E403" s="268" t="n"/>
      <c r="F403" s="269" t="n"/>
      <c r="G403" s="269" t="n">
        <v>2</v>
      </c>
      <c r="H403" s="270" t="n">
        <v>11000</v>
      </c>
      <c r="I403" s="271" t="n"/>
      <c r="J403" s="271" t="n">
        <v>11000</v>
      </c>
      <c r="K403" s="272" t="n"/>
      <c r="L403" s="272">
        <f>IF(K403&lt;&gt;"",9300+K403,9300)</f>
        <v/>
      </c>
    </row>
    <row r="404" ht="15.75" customHeight="1" s="153">
      <c r="A404" s="273" t="n"/>
      <c r="B404" s="274" t="inlineStr">
        <is>
          <t>AZCUENAGA 5023</t>
        </is>
      </c>
      <c r="C404" s="275" t="n">
        <v>3</v>
      </c>
      <c r="D404" s="275" t="n"/>
      <c r="E404" s="275" t="n"/>
      <c r="F404" s="276" t="n"/>
      <c r="G404" s="276" t="n"/>
      <c r="H404" s="277" t="n">
        <v>57000</v>
      </c>
      <c r="I404" s="278" t="n"/>
      <c r="J404" s="278" t="n">
        <v>57000</v>
      </c>
      <c r="K404" s="272" t="n"/>
      <c r="L404" s="272">
        <f>IF(K404&lt;&gt;"",12000+K404,12000)</f>
        <v/>
      </c>
    </row>
    <row r="405" ht="15.75" customHeight="1" s="153">
      <c r="A405" s="279" t="n"/>
      <c r="B405" s="267" t="inlineStr">
        <is>
          <t>LUCHO</t>
        </is>
      </c>
      <c r="C405" s="268" t="n">
        <v>2</v>
      </c>
      <c r="D405" s="268" t="n"/>
      <c r="E405" s="268" t="n"/>
      <c r="F405" s="269" t="n"/>
      <c r="G405" s="269" t="n"/>
      <c r="H405" s="270" t="n">
        <v>38000</v>
      </c>
      <c r="I405" s="271" t="n"/>
      <c r="J405" s="271" t="n">
        <v>38000</v>
      </c>
      <c r="K405" s="272" t="n"/>
      <c r="L405" s="272">
        <f>IF(K405&lt;&gt;"",8000+K405,8000)</f>
        <v/>
      </c>
    </row>
    <row r="406" ht="15.75" customHeight="1" s="153">
      <c r="A406" s="273" t="n"/>
      <c r="B406" s="274" t="inlineStr">
        <is>
          <t>SANTA CRUZ 3051</t>
        </is>
      </c>
      <c r="C406" s="275" t="n"/>
      <c r="D406" s="275" t="n"/>
      <c r="E406" s="275" t="n">
        <v>1</v>
      </c>
      <c r="F406" s="276" t="n"/>
      <c r="G406" s="276" t="n"/>
      <c r="H406" s="277" t="n">
        <v>75000</v>
      </c>
      <c r="I406" s="278" t="n">
        <v>75000</v>
      </c>
      <c r="J406" s="278" t="n"/>
      <c r="K406" s="272" t="n"/>
      <c r="L406" s="272">
        <f>IF(K406&lt;&gt;"",15000+K406,15000)</f>
        <v/>
      </c>
    </row>
    <row r="407" ht="15.75" customHeight="1" s="153">
      <c r="A407" s="279" t="n"/>
      <c r="B407" s="267" t="inlineStr">
        <is>
          <t>AZCUENAGA 5800 CASA 13</t>
        </is>
      </c>
      <c r="C407" s="268" t="n"/>
      <c r="D407" s="268" t="n"/>
      <c r="E407" s="268" t="n">
        <v>1</v>
      </c>
      <c r="F407" s="269" t="n"/>
      <c r="G407" s="269" t="n"/>
      <c r="H407" s="270" t="n">
        <v>86000</v>
      </c>
      <c r="I407" s="271" t="n"/>
      <c r="J407" s="271" t="n">
        <v>86000</v>
      </c>
      <c r="K407" s="272" t="n"/>
      <c r="L407" s="272">
        <f>IF(K407&lt;&gt;"",26000+K407,26000)</f>
        <v/>
      </c>
    </row>
    <row r="408" ht="15.75" customHeight="1" s="153">
      <c r="A408" s="273" t="n"/>
      <c r="B408" s="274" t="inlineStr">
        <is>
          <t>SANDRA</t>
        </is>
      </c>
      <c r="C408" s="275" t="n">
        <v>2</v>
      </c>
      <c r="D408" s="275" t="n"/>
      <c r="E408" s="275" t="n"/>
      <c r="F408" s="276" t="n"/>
      <c r="G408" s="276" t="n"/>
      <c r="H408" s="277" t="n">
        <v>38000</v>
      </c>
      <c r="I408" s="278" t="n">
        <v>38000</v>
      </c>
      <c r="J408" s="278" t="n"/>
      <c r="K408" s="272" t="n"/>
      <c r="L408" s="272">
        <f>IF(K408&lt;&gt;"",8000+K408,8000)</f>
        <v/>
      </c>
    </row>
    <row r="409" ht="15.75" customHeight="1" s="153">
      <c r="A409" s="279" t="n"/>
      <c r="B409" s="267" t="inlineStr">
        <is>
          <t>ALMONACID 4485</t>
        </is>
      </c>
      <c r="C409" s="268" t="n"/>
      <c r="D409" s="268" t="n"/>
      <c r="E409" s="268" t="n">
        <v>1</v>
      </c>
      <c r="F409" s="269" t="n"/>
      <c r="G409" s="269" t="n"/>
      <c r="H409" s="270" t="n">
        <v>89000</v>
      </c>
      <c r="I409" s="271" t="n"/>
      <c r="J409" s="271" t="n">
        <v>89000</v>
      </c>
      <c r="K409" s="272" t="n"/>
      <c r="L409" s="272">
        <f>IF(K409&lt;&gt;"",29000+K409,29000)</f>
        <v/>
      </c>
    </row>
    <row r="410" ht="15.75" customHeight="1" s="153">
      <c r="A410" s="273" t="n"/>
      <c r="B410" s="274" t="inlineStr">
        <is>
          <t>4 DE ENERO 6034</t>
        </is>
      </c>
      <c r="C410" s="275" t="n">
        <v>1</v>
      </c>
      <c r="D410" s="275" t="n"/>
      <c r="E410" s="275" t="n"/>
      <c r="F410" s="276" t="n"/>
      <c r="G410" s="276" t="n"/>
      <c r="H410" s="277" t="n">
        <v>27000</v>
      </c>
      <c r="I410" s="278" t="n">
        <v>27000</v>
      </c>
      <c r="J410" s="278" t="n"/>
      <c r="K410" s="272" t="n"/>
      <c r="L410" s="272">
        <f>IF(K410&lt;&gt;"",12000+K410,12000)</f>
        <v/>
      </c>
    </row>
    <row r="411" ht="15.75" customHeight="1" s="153">
      <c r="A411" s="279" t="n">
        <v>46112</v>
      </c>
      <c r="B411" s="267" t="inlineStr">
        <is>
          <t>RICARDO ALDAO 2400</t>
        </is>
      </c>
      <c r="C411" s="268" t="n"/>
      <c r="D411" s="268" t="n"/>
      <c r="E411" s="268" t="n"/>
      <c r="F411" s="269" t="n"/>
      <c r="G411" s="269" t="n">
        <v>1</v>
      </c>
      <c r="H411" s="270" t="n">
        <v>6900</v>
      </c>
      <c r="I411" s="271" t="n"/>
      <c r="J411" s="271" t="n">
        <v>6900</v>
      </c>
      <c r="K411" s="272" t="n"/>
      <c r="L411" s="272">
        <f>IF(K411&lt;&gt;"",6050+K411,6050)</f>
        <v/>
      </c>
    </row>
    <row r="412" ht="15.75" customHeight="1" s="153">
      <c r="A412" s="273" t="n"/>
      <c r="B412" s="274" t="inlineStr">
        <is>
          <t>OTNIEL</t>
        </is>
      </c>
      <c r="C412" s="275" t="n"/>
      <c r="D412" s="275" t="n"/>
      <c r="E412" s="275" t="n">
        <v>1</v>
      </c>
      <c r="F412" s="276" t="n"/>
      <c r="G412" s="276" t="n"/>
      <c r="H412" s="277" t="n">
        <v>81000</v>
      </c>
      <c r="I412" s="278" t="n">
        <v>81000</v>
      </c>
      <c r="J412" s="278" t="n"/>
      <c r="K412" s="272" t="n"/>
      <c r="L412" s="272">
        <f>IF(K412&lt;&gt;"",21000+K412,21000)</f>
        <v/>
      </c>
    </row>
    <row r="413" ht="15.75" customHeight="1" s="153">
      <c r="A413" s="279" t="n"/>
      <c r="B413" s="267" t="inlineStr">
        <is>
          <t>NERUDA Y GANDHI</t>
        </is>
      </c>
      <c r="C413" s="268" t="n"/>
      <c r="D413" s="268" t="n"/>
      <c r="E413" s="268" t="n">
        <v>1</v>
      </c>
      <c r="F413" s="269" t="n"/>
      <c r="G413" s="269" t="n"/>
      <c r="H413" s="270" t="n">
        <v>90000</v>
      </c>
      <c r="I413" s="271" t="n"/>
      <c r="J413" s="271" t="n">
        <v>90000</v>
      </c>
      <c r="K413" s="272" t="n"/>
      <c r="L413" s="272">
        <f>IF(K413&lt;&gt;"",30000+K413,30000)</f>
        <v/>
      </c>
    </row>
    <row r="414" ht="15.75" customHeight="1" s="153">
      <c r="A414" s="273" t="n"/>
      <c r="B414" s="274" t="inlineStr">
        <is>
          <t>EUROPA 8841</t>
        </is>
      </c>
      <c r="C414" s="275" t="n">
        <v>1</v>
      </c>
      <c r="D414" s="275" t="n"/>
      <c r="E414" s="275" t="n"/>
      <c r="F414" s="276" t="n"/>
      <c r="G414" s="276" t="n"/>
      <c r="H414" s="277" t="n">
        <v>27000</v>
      </c>
      <c r="I414" s="278" t="n">
        <v>27000</v>
      </c>
      <c r="J414" s="278" t="n"/>
      <c r="K414" s="272" t="n"/>
      <c r="L414" s="272">
        <f>IF(K414&lt;&gt;"",12000+K414,12000)</f>
        <v/>
      </c>
    </row>
    <row r="415" ht="15.75" customHeight="1" s="153">
      <c r="A415" s="279" t="n"/>
      <c r="B415" s="267" t="inlineStr">
        <is>
          <t>URQUIZA 5456</t>
        </is>
      </c>
      <c r="C415" s="268" t="n">
        <v>1</v>
      </c>
      <c r="D415" s="268" t="n"/>
      <c r="E415" s="268" t="n"/>
      <c r="F415" s="269" t="n"/>
      <c r="G415" s="269" t="n"/>
      <c r="H415" s="270" t="n">
        <v>27000</v>
      </c>
      <c r="I415" s="271" t="n">
        <v>27000</v>
      </c>
      <c r="J415" s="271" t="n"/>
      <c r="K415" s="272" t="n"/>
      <c r="L415" s="272">
        <f>IF(K415&lt;&gt;"",12000+K415,12000)</f>
        <v/>
      </c>
    </row>
    <row r="416" ht="15.75" customHeight="1" s="153">
      <c r="A416" s="273" t="n"/>
      <c r="B416" s="274" t="inlineStr">
        <is>
          <t>AYACUCHO 5370</t>
        </is>
      </c>
      <c r="C416" s="275" t="n"/>
      <c r="D416" s="275" t="n"/>
      <c r="E416" s="275" t="n"/>
      <c r="F416" s="276" t="n"/>
      <c r="G416" s="276" t="n">
        <v>2</v>
      </c>
      <c r="H416" s="277" t="n">
        <v>12000</v>
      </c>
      <c r="I416" s="278" t="n"/>
      <c r="J416" s="278" t="n">
        <v>12000</v>
      </c>
      <c r="K416" s="272" t="n"/>
      <c r="L416" s="272">
        <f>IF(K416&lt;&gt;"",10300+K416,10300)</f>
        <v/>
      </c>
    </row>
    <row r="417" ht="15.75" customHeight="1" s="153">
      <c r="A417" s="279" t="n"/>
      <c r="B417" s="267" t="inlineStr">
        <is>
          <t>TAMBOR TACUARI</t>
        </is>
      </c>
      <c r="C417" s="268" t="n"/>
      <c r="D417" s="268" t="n"/>
      <c r="E417" s="268" t="n">
        <v>1</v>
      </c>
      <c r="F417" s="269" t="n"/>
      <c r="G417" s="269" t="n"/>
      <c r="H417" s="270" t="n">
        <v>90000</v>
      </c>
      <c r="I417" s="271" t="n"/>
      <c r="J417" s="271" t="n">
        <v>90000</v>
      </c>
      <c r="K417" s="272" t="n"/>
      <c r="L417" s="272">
        <f>IF(K417&lt;&gt;"",30000+K417,30000)</f>
        <v/>
      </c>
    </row>
    <row r="418" ht="15.75" customHeight="1" s="153">
      <c r="A418" s="273" t="n"/>
      <c r="B418" s="274" t="inlineStr">
        <is>
          <t>4TO PASAJE 3782</t>
        </is>
      </c>
      <c r="C418" s="275" t="n">
        <v>1</v>
      </c>
      <c r="D418" s="275" t="n"/>
      <c r="E418" s="275" t="n"/>
      <c r="F418" s="276" t="n"/>
      <c r="G418" s="276" t="n"/>
      <c r="H418" s="277" t="n">
        <v>27000</v>
      </c>
      <c r="I418" s="278" t="n"/>
      <c r="J418" s="278" t="n">
        <v>27000</v>
      </c>
      <c r="K418" s="272" t="n"/>
      <c r="L418" s="272">
        <f>IF(K418&lt;&gt;"",12000+K418,12000)</f>
        <v/>
      </c>
    </row>
    <row r="419" ht="15.75" customHeight="1" s="153">
      <c r="A419" s="279" t="n"/>
      <c r="B419" s="267" t="inlineStr">
        <is>
          <t>CACO</t>
        </is>
      </c>
      <c r="C419" s="268" t="n">
        <v>1</v>
      </c>
      <c r="D419" s="268" t="n"/>
      <c r="E419" s="268" t="n"/>
      <c r="F419" s="269" t="n"/>
      <c r="G419" s="269" t="n"/>
      <c r="H419" s="270" t="n">
        <v>27000</v>
      </c>
      <c r="I419" s="271" t="n"/>
      <c r="J419" s="271" t="n">
        <v>27000</v>
      </c>
      <c r="K419" s="272" t="n"/>
      <c r="L419" s="272">
        <f>IF(K419&lt;&gt;"",12000+K419,12000)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79" t="n">
        <v>46113</v>
      </c>
      <c r="B5" s="267" t="inlineStr">
        <is>
          <t>DOMINGO SILVA 4217</t>
        </is>
      </c>
      <c r="C5" s="268" t="n">
        <v>2</v>
      </c>
      <c r="D5" s="268" t="n">
        <v>1</v>
      </c>
      <c r="E5" s="268" t="n"/>
      <c r="F5" s="269" t="n"/>
      <c r="G5" s="269" t="n"/>
      <c r="H5" s="231" t="n">
        <v>66500</v>
      </c>
      <c r="I5" s="232" t="n"/>
      <c r="J5" s="232" t="n">
        <v>66500</v>
      </c>
      <c r="K5" s="272" t="n"/>
      <c r="L5" s="272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73" t="n"/>
      <c r="B6" s="274" t="inlineStr">
        <is>
          <t>MAMA NICO BUSTO</t>
        </is>
      </c>
      <c r="C6" s="275" t="n">
        <v>1</v>
      </c>
      <c r="D6" s="275" t="n"/>
      <c r="E6" s="275" t="n"/>
      <c r="F6" s="276" t="n">
        <v>10</v>
      </c>
      <c r="G6" s="276" t="n"/>
      <c r="H6" s="241" t="n">
        <v>61000</v>
      </c>
      <c r="I6" s="242" t="n"/>
      <c r="J6" s="242" t="n">
        <v>61000</v>
      </c>
      <c r="K6" s="272" t="n"/>
      <c r="L6" s="272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PANA VIEYTES 4500</t>
        </is>
      </c>
      <c r="C7" s="268" t="n"/>
      <c r="D7" s="268" t="n"/>
      <c r="E7" s="268" t="n">
        <v>1</v>
      </c>
      <c r="F7" s="269" t="n"/>
      <c r="G7" s="269" t="n"/>
      <c r="H7" s="231" t="n">
        <v>78000</v>
      </c>
      <c r="I7" s="232" t="n"/>
      <c r="J7" s="232" t="n">
        <v>78000</v>
      </c>
      <c r="K7" s="272" t="n"/>
      <c r="L7" s="272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OTNIEL</t>
        </is>
      </c>
      <c r="C8" s="275" t="n"/>
      <c r="D8" s="275" t="n"/>
      <c r="E8" s="275" t="n"/>
      <c r="F8" s="276" t="n"/>
      <c r="G8" s="276" t="n">
        <v>3</v>
      </c>
      <c r="H8" s="241" t="n">
        <v>16500</v>
      </c>
      <c r="I8" s="242" t="n"/>
      <c r="J8" s="242" t="n">
        <v>16500</v>
      </c>
      <c r="K8" s="272" t="n"/>
      <c r="L8" s="272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M ZAPATA 2101</t>
        </is>
      </c>
      <c r="C9" s="268" t="n">
        <v>2</v>
      </c>
      <c r="D9" s="268" t="n"/>
      <c r="E9" s="268" t="n"/>
      <c r="F9" s="269" t="n"/>
      <c r="G9" s="269" t="n"/>
      <c r="H9" s="231" t="n">
        <v>39000</v>
      </c>
      <c r="I9" s="232" t="n">
        <v>39000</v>
      </c>
      <c r="J9" s="232" t="n"/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LUCHO</t>
        </is>
      </c>
      <c r="C10" s="275" t="n">
        <v>1</v>
      </c>
      <c r="D10" s="275" t="n"/>
      <c r="E10" s="275" t="n"/>
      <c r="F10" s="276" t="n"/>
      <c r="G10" s="276" t="n"/>
      <c r="H10" s="241" t="n">
        <v>19000</v>
      </c>
      <c r="I10" s="242" t="n"/>
      <c r="J10" s="242" t="n">
        <v>19000</v>
      </c>
      <c r="K10" s="272" t="n"/>
      <c r="L10" s="272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ALBERTI 5570</t>
        </is>
      </c>
      <c r="C11" s="268" t="n"/>
      <c r="D11" s="268" t="n"/>
      <c r="E11" s="268" t="n">
        <v>2</v>
      </c>
      <c r="F11" s="269" t="n"/>
      <c r="G11" s="269" t="n"/>
      <c r="H11" s="231" t="n">
        <v>166000</v>
      </c>
      <c r="I11" s="232" t="n"/>
      <c r="J11" s="232" t="n">
        <v>166000</v>
      </c>
      <c r="K11" s="272" t="n"/>
      <c r="L11" s="272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73" t="n"/>
      <c r="B12" s="274" t="inlineStr">
        <is>
          <t>ROTI SAN LORENZO</t>
        </is>
      </c>
      <c r="C12" s="275" t="n">
        <v>2</v>
      </c>
      <c r="D12" s="275" t="n">
        <v>1</v>
      </c>
      <c r="E12" s="275" t="n"/>
      <c r="F12" s="276" t="n"/>
      <c r="G12" s="276" t="n"/>
      <c r="H12" s="241" t="n">
        <v>84000</v>
      </c>
      <c r="I12" s="242" t="n"/>
      <c r="J12" s="242" t="n">
        <v>84000</v>
      </c>
      <c r="K12" s="272" t="n"/>
      <c r="L12" s="272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79" t="n"/>
      <c r="B13" s="267" t="inlineStr">
        <is>
          <t>LUCHIO</t>
        </is>
      </c>
      <c r="C13" s="268" t="n"/>
      <c r="D13" s="268" t="n"/>
      <c r="E13" s="268" t="n"/>
      <c r="F13" s="269" t="n"/>
      <c r="G13" s="269" t="n">
        <v>1</v>
      </c>
      <c r="H13" s="231" t="n">
        <v>6000</v>
      </c>
      <c r="I13" s="232" t="n"/>
      <c r="J13" s="232" t="n">
        <v>6000</v>
      </c>
      <c r="K13" s="272" t="n"/>
      <c r="L13" s="272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73" t="n"/>
      <c r="B14" s="274" t="inlineStr">
        <is>
          <t>GENEIRO 8200</t>
        </is>
      </c>
      <c r="C14" s="275" t="n"/>
      <c r="D14" s="275" t="n">
        <v>1</v>
      </c>
      <c r="E14" s="275" t="n"/>
      <c r="F14" s="276" t="n"/>
      <c r="G14" s="276" t="n"/>
      <c r="H14" s="241" t="n">
        <v>39000</v>
      </c>
      <c r="I14" s="242" t="n">
        <v>39000</v>
      </c>
      <c r="J14" s="242" t="n"/>
      <c r="K14" s="272" t="n"/>
      <c r="L14" s="272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79" t="n"/>
      <c r="B15" s="267" t="inlineStr">
        <is>
          <t xml:space="preserve">FILOMENA </t>
        </is>
      </c>
      <c r="C15" s="268" t="n">
        <v>2</v>
      </c>
      <c r="D15" s="268" t="n"/>
      <c r="E15" s="268" t="n"/>
      <c r="F15" s="269" t="n"/>
      <c r="G15" s="269" t="n"/>
      <c r="H15" s="231" t="n">
        <v>46000</v>
      </c>
      <c r="I15" s="232" t="n"/>
      <c r="J15" s="232" t="n">
        <v>46000</v>
      </c>
      <c r="K15" s="272" t="n"/>
      <c r="L15" s="272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73" t="n"/>
      <c r="B16" s="274" t="inlineStr">
        <is>
          <t>SABOREAR</t>
        </is>
      </c>
      <c r="C16" s="275" t="n">
        <v>1</v>
      </c>
      <c r="D16" s="275" t="n"/>
      <c r="E16" s="275" t="n"/>
      <c r="F16" s="276" t="n"/>
      <c r="G16" s="276" t="n"/>
      <c r="H16" s="241" t="n">
        <v>22500</v>
      </c>
      <c r="I16" s="242" t="n"/>
      <c r="J16" s="242" t="n">
        <v>22500</v>
      </c>
      <c r="K16" s="272" t="n"/>
      <c r="L16" s="272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79" t="n"/>
      <c r="B17" s="267" t="inlineStr">
        <is>
          <t>MITRE 4930</t>
        </is>
      </c>
      <c r="C17" s="268" t="n">
        <v>1</v>
      </c>
      <c r="D17" s="268" t="n"/>
      <c r="E17" s="268" t="n"/>
      <c r="F17" s="269" t="n"/>
      <c r="G17" s="269" t="n"/>
      <c r="H17" s="231" t="n">
        <v>27000</v>
      </c>
      <c r="I17" s="232" t="n">
        <v>27000</v>
      </c>
      <c r="J17" s="232" t="n"/>
      <c r="K17" s="272" t="n"/>
      <c r="L17" s="272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73" t="n"/>
      <c r="B18" s="274" t="inlineStr">
        <is>
          <t>POSTA EL TORO</t>
        </is>
      </c>
      <c r="C18" s="275" t="n">
        <v>2</v>
      </c>
      <c r="D18" s="275" t="n"/>
      <c r="E18" s="275" t="n"/>
      <c r="F18" s="276" t="n"/>
      <c r="G18" s="276" t="n"/>
      <c r="H18" s="241" t="n">
        <v>38000</v>
      </c>
      <c r="I18" s="242" t="n">
        <v>38000</v>
      </c>
      <c r="J18" s="242" t="n"/>
      <c r="K18" s="272" t="n"/>
      <c r="L18" s="272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79" t="n"/>
      <c r="B19" s="267" t="inlineStr">
        <is>
          <t>LUCHO</t>
        </is>
      </c>
      <c r="C19" s="268" t="n">
        <v>1</v>
      </c>
      <c r="D19" s="268" t="n">
        <v>1</v>
      </c>
      <c r="E19" s="268" t="n"/>
      <c r="F19" s="269" t="n"/>
      <c r="G19" s="269" t="n"/>
      <c r="H19" s="231" t="n">
        <v>47500</v>
      </c>
      <c r="I19" s="232" t="n"/>
      <c r="J19" s="232" t="n">
        <v>47500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73" t="n"/>
      <c r="B20" s="274" t="inlineStr">
        <is>
          <t>LA MADRID 7175</t>
        </is>
      </c>
      <c r="C20" s="275" t="n"/>
      <c r="D20" s="275" t="n">
        <v>1</v>
      </c>
      <c r="E20" s="275" t="n"/>
      <c r="F20" s="276" t="n"/>
      <c r="G20" s="276" t="n"/>
      <c r="H20" s="241" t="n">
        <v>39000</v>
      </c>
      <c r="I20" s="242" t="n"/>
      <c r="J20" s="242" t="n">
        <v>39000</v>
      </c>
      <c r="K20" s="272" t="n"/>
      <c r="L20" s="272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ROTI ARISTOBULO 5401</t>
        </is>
      </c>
      <c r="C21" s="268" t="n"/>
      <c r="D21" s="268" t="n">
        <v>1</v>
      </c>
      <c r="E21" s="268" t="n"/>
      <c r="F21" s="269" t="n"/>
      <c r="G21" s="269" t="n"/>
      <c r="H21" s="231" t="n">
        <v>33500</v>
      </c>
      <c r="I21" s="232" t="n">
        <v>33500</v>
      </c>
      <c r="J21" s="232" t="n"/>
      <c r="K21" s="272" t="n"/>
      <c r="L21" s="272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73" t="n">
        <v>46114</v>
      </c>
      <c r="B22" s="274" t="inlineStr">
        <is>
          <t>GABOTO 8168</t>
        </is>
      </c>
      <c r="C22" s="275" t="n"/>
      <c r="D22" s="275" t="n"/>
      <c r="E22" s="275" t="n">
        <v>1</v>
      </c>
      <c r="F22" s="276" t="n"/>
      <c r="G22" s="276" t="n"/>
      <c r="H22" s="241" t="n">
        <v>83000</v>
      </c>
      <c r="I22" s="242" t="n"/>
      <c r="J22" s="242" t="n">
        <v>83000</v>
      </c>
      <c r="K22" s="272" t="n"/>
      <c r="L22" s="272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79" t="n"/>
      <c r="B23" s="267" t="inlineStr">
        <is>
          <t>AZCUENAGA 5023</t>
        </is>
      </c>
      <c r="C23" s="268" t="n">
        <v>7</v>
      </c>
      <c r="D23" s="268" t="n"/>
      <c r="E23" s="268" t="n"/>
      <c r="F23" s="269" t="n"/>
      <c r="G23" s="269" t="n"/>
      <c r="H23" s="231" t="n">
        <v>133000</v>
      </c>
      <c r="I23" s="232" t="n"/>
      <c r="J23" s="232" t="n">
        <v>133000</v>
      </c>
      <c r="K23" s="272" t="n"/>
      <c r="L23" s="272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73" t="n"/>
      <c r="B24" s="274" t="inlineStr">
        <is>
          <t>OTNIEL</t>
        </is>
      </c>
      <c r="C24" s="275" t="n">
        <v>1</v>
      </c>
      <c r="D24" s="275" t="n">
        <v>1</v>
      </c>
      <c r="E24" s="275" t="n"/>
      <c r="F24" s="276" t="n"/>
      <c r="G24" s="276" t="n"/>
      <c r="H24" s="241" t="n">
        <v>57000</v>
      </c>
      <c r="I24" s="242" t="n"/>
      <c r="J24" s="242" t="n">
        <v>57000</v>
      </c>
      <c r="K24" s="272" t="n"/>
      <c r="L24" s="272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79" t="n"/>
      <c r="B25" s="267" t="inlineStr">
        <is>
          <t>LINIERS 3735</t>
        </is>
      </c>
      <c r="C25" s="268" t="n">
        <v>1</v>
      </c>
      <c r="D25" s="268" t="n"/>
      <c r="E25" s="268" t="n"/>
      <c r="F25" s="269" t="n"/>
      <c r="G25" s="269" t="n"/>
      <c r="H25" s="231" t="n">
        <v>26000</v>
      </c>
      <c r="I25" s="232" t="n">
        <v>26000</v>
      </c>
      <c r="J25" s="232" t="n"/>
      <c r="K25" s="272" t="n"/>
      <c r="L25" s="272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73" t="n"/>
      <c r="B26" s="274" t="inlineStr">
        <is>
          <t>SIRLAKI</t>
        </is>
      </c>
      <c r="C26" s="275" t="n"/>
      <c r="D26" s="275" t="n"/>
      <c r="E26" s="275" t="n">
        <v>1</v>
      </c>
      <c r="F26" s="276" t="n"/>
      <c r="G26" s="276" t="n"/>
      <c r="H26" s="241" t="n">
        <v>80000</v>
      </c>
      <c r="I26" s="242" t="n"/>
      <c r="J26" s="242" t="n">
        <v>80000</v>
      </c>
      <c r="K26" s="272" t="n"/>
      <c r="L26" s="272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79" t="n"/>
      <c r="B27" s="267" t="inlineStr">
        <is>
          <t>DANA</t>
        </is>
      </c>
      <c r="C27" s="268" t="n">
        <v>3</v>
      </c>
      <c r="D27" s="268" t="n"/>
      <c r="E27" s="268" t="n"/>
      <c r="F27" s="269" t="n"/>
      <c r="G27" s="269" t="n"/>
      <c r="H27" s="231" t="n">
        <v>57000</v>
      </c>
      <c r="I27" s="232" t="n">
        <v>57000</v>
      </c>
      <c r="J27" s="232" t="n"/>
      <c r="K27" s="272" t="n"/>
      <c r="L27" s="272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73" t="n"/>
      <c r="B28" s="274" t="inlineStr">
        <is>
          <t>CASTELLI 2219</t>
        </is>
      </c>
      <c r="C28" s="275" t="n">
        <v>1</v>
      </c>
      <c r="D28" s="275" t="n"/>
      <c r="E28" s="275" t="n"/>
      <c r="F28" s="276" t="n"/>
      <c r="G28" s="276" t="n"/>
      <c r="H28" s="241" t="n">
        <v>27000</v>
      </c>
      <c r="I28" s="242" t="n"/>
      <c r="J28" s="242" t="n">
        <v>27000</v>
      </c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79" t="n"/>
      <c r="B29" s="267" t="inlineStr">
        <is>
          <t>TERE</t>
        </is>
      </c>
      <c r="C29" s="268" t="n"/>
      <c r="D29" s="268" t="n"/>
      <c r="E29" s="268" t="n">
        <v>2</v>
      </c>
      <c r="F29" s="269" t="n"/>
      <c r="G29" s="269" t="n"/>
      <c r="H29" s="231" t="n">
        <v>172000</v>
      </c>
      <c r="I29" s="232" t="n">
        <v>86000</v>
      </c>
      <c r="J29" s="232" t="n">
        <v>86000</v>
      </c>
      <c r="K29" s="272" t="n"/>
      <c r="L29" s="272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73" t="n"/>
      <c r="B30" s="274" t="inlineStr">
        <is>
          <t>TACUARI 5717</t>
        </is>
      </c>
      <c r="C30" s="275" t="n">
        <v>1</v>
      </c>
      <c r="D30" s="275" t="n"/>
      <c r="E30" s="275" t="n"/>
      <c r="F30" s="276" t="n"/>
      <c r="G30" s="276" t="n"/>
      <c r="H30" s="241" t="n">
        <v>25000</v>
      </c>
      <c r="I30" s="242" t="n"/>
      <c r="J30" s="242" t="n">
        <v>25000</v>
      </c>
      <c r="K30" s="272" t="n"/>
      <c r="L30" s="272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79" t="n"/>
      <c r="B31" s="267" t="inlineStr">
        <is>
          <t>BAIGORRIA 9351</t>
        </is>
      </c>
      <c r="C31" s="268" t="n"/>
      <c r="D31" s="268" t="n"/>
      <c r="E31" s="268" t="n">
        <v>1</v>
      </c>
      <c r="F31" s="269" t="n"/>
      <c r="G31" s="269" t="n"/>
      <c r="H31" s="231" t="n">
        <v>90000</v>
      </c>
      <c r="I31" s="232" t="n">
        <v>90000</v>
      </c>
      <c r="J31" s="232" t="n"/>
      <c r="K31" s="272" t="n"/>
      <c r="L31" s="272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73" t="n"/>
      <c r="B32" s="274" t="inlineStr">
        <is>
          <t>EXE</t>
        </is>
      </c>
      <c r="C32" s="275" t="n"/>
      <c r="D32" s="275" t="n"/>
      <c r="E32" s="275" t="n">
        <v>1</v>
      </c>
      <c r="F32" s="276" t="n"/>
      <c r="G32" s="276" t="n"/>
      <c r="H32" s="241" t="n">
        <v>82000</v>
      </c>
      <c r="I32" s="242" t="n"/>
      <c r="J32" s="242" t="n">
        <v>82000</v>
      </c>
      <c r="K32" s="272" t="n"/>
      <c r="L32" s="272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79" t="n"/>
      <c r="B33" s="267" t="inlineStr">
        <is>
          <t>NACHO</t>
        </is>
      </c>
      <c r="C33" s="268" t="n">
        <v>1</v>
      </c>
      <c r="D33" s="268" t="n">
        <v>1</v>
      </c>
      <c r="E33" s="268" t="n"/>
      <c r="F33" s="269" t="n"/>
      <c r="G33" s="269" t="n"/>
      <c r="H33" s="231" t="n">
        <v>56500</v>
      </c>
      <c r="I33" s="232" t="n">
        <v>56500</v>
      </c>
      <c r="J33" s="232" t="n"/>
      <c r="K33" s="272" t="n"/>
      <c r="L33" s="272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73" t="n"/>
      <c r="B34" s="274" t="inlineStr">
        <is>
          <t>GABOTO 7298</t>
        </is>
      </c>
      <c r="C34" s="275" t="n"/>
      <c r="D34" s="275" t="n">
        <v>1</v>
      </c>
      <c r="E34" s="275" t="n"/>
      <c r="F34" s="276" t="n"/>
      <c r="G34" s="276" t="n"/>
      <c r="H34" s="241" t="n">
        <v>39000</v>
      </c>
      <c r="I34" s="242" t="n">
        <v>39000</v>
      </c>
      <c r="J34" s="242" t="n"/>
      <c r="K34" s="272" t="n"/>
      <c r="L34" s="272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79" t="n"/>
      <c r="B35" s="267" t="inlineStr">
        <is>
          <t>GOROSTIAGA 4619</t>
        </is>
      </c>
      <c r="C35" s="268" t="n"/>
      <c r="D35" s="268" t="n"/>
      <c r="E35" s="268" t="n">
        <v>1</v>
      </c>
      <c r="F35" s="269" t="n"/>
      <c r="G35" s="269" t="n"/>
      <c r="H35" s="231" t="n">
        <v>88000</v>
      </c>
      <c r="I35" s="232" t="n"/>
      <c r="J35" s="232" t="n">
        <v>88000</v>
      </c>
      <c r="K35" s="272" t="n"/>
      <c r="L35" s="272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LARGUIA 6924</t>
        </is>
      </c>
      <c r="C36" s="275" t="n">
        <v>1</v>
      </c>
      <c r="D36" s="275" t="n"/>
      <c r="E36" s="275" t="n"/>
      <c r="F36" s="276" t="n"/>
      <c r="G36" s="276" t="n"/>
      <c r="H36" s="241" t="n">
        <v>25000</v>
      </c>
      <c r="I36" s="242" t="n">
        <v>25000</v>
      </c>
      <c r="J36" s="242" t="n"/>
      <c r="K36" s="272" t="n"/>
      <c r="L36" s="272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79" t="n"/>
      <c r="B37" s="267" t="inlineStr">
        <is>
          <t>BELNGRANO 3881</t>
        </is>
      </c>
      <c r="C37" s="268" t="n">
        <v>2</v>
      </c>
      <c r="D37" s="268" t="n"/>
      <c r="E37" s="268" t="n"/>
      <c r="F37" s="269" t="n"/>
      <c r="G37" s="269" t="n"/>
      <c r="H37" s="231" t="n">
        <v>54000</v>
      </c>
      <c r="I37" s="232" t="n"/>
      <c r="J37" s="232" t="n">
        <v>54000</v>
      </c>
      <c r="K37" s="272" t="n"/>
      <c r="L37" s="272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73" t="n">
        <v>46115</v>
      </c>
      <c r="B38" s="274" t="inlineStr">
        <is>
          <t>PAVON 2124</t>
        </is>
      </c>
      <c r="C38" s="275" t="n"/>
      <c r="D38" s="275" t="n">
        <v>1</v>
      </c>
      <c r="E38" s="275" t="n"/>
      <c r="F38" s="276" t="n"/>
      <c r="G38" s="276" t="n"/>
      <c r="H38" s="241" t="n">
        <v>39000</v>
      </c>
      <c r="I38" s="242" t="n">
        <v>39000</v>
      </c>
      <c r="J38" s="242" t="n"/>
      <c r="K38" s="272" t="n"/>
      <c r="L38" s="272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79" t="n"/>
      <c r="B39" s="267" t="inlineStr">
        <is>
          <t>D SILVA 4217</t>
        </is>
      </c>
      <c r="C39" s="268" t="n">
        <v>2</v>
      </c>
      <c r="D39" s="268" t="n"/>
      <c r="E39" s="268" t="n"/>
      <c r="F39" s="269" t="n"/>
      <c r="G39" s="269" t="n"/>
      <c r="H39" s="231" t="n">
        <v>38000</v>
      </c>
      <c r="I39" s="232" t="n"/>
      <c r="J39" s="232" t="n">
        <v>38000</v>
      </c>
      <c r="K39" s="272" t="n"/>
      <c r="L39" s="272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73" t="n"/>
      <c r="B40" s="274" t="inlineStr">
        <is>
          <t>ROTI ROCA 6371</t>
        </is>
      </c>
      <c r="C40" s="275" t="n">
        <v>1</v>
      </c>
      <c r="D40" s="275" t="n"/>
      <c r="E40" s="275" t="n"/>
      <c r="F40" s="276" t="n"/>
      <c r="G40" s="276" t="n"/>
      <c r="H40" s="241" t="n">
        <v>25000</v>
      </c>
      <c r="I40" s="242" t="n"/>
      <c r="J40" s="242" t="n">
        <v>25000</v>
      </c>
      <c r="K40" s="272" t="n"/>
      <c r="L40" s="272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79" t="n"/>
      <c r="B41" s="267" t="inlineStr">
        <is>
          <t>BLS PARERA 8380</t>
        </is>
      </c>
      <c r="C41" s="268" t="n"/>
      <c r="D41" s="268" t="n">
        <v>1</v>
      </c>
      <c r="E41" s="268" t="n"/>
      <c r="F41" s="269" t="n"/>
      <c r="G41" s="269" t="n"/>
      <c r="H41" s="231" t="n">
        <v>39000</v>
      </c>
      <c r="I41" s="232" t="n">
        <v>39000</v>
      </c>
      <c r="J41" s="232" t="n"/>
      <c r="K41" s="272" t="n"/>
      <c r="L41" s="272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73" t="n"/>
      <c r="B42" s="274" t="inlineStr">
        <is>
          <t>M CANDIOTI 6141</t>
        </is>
      </c>
      <c r="C42" s="275" t="n">
        <v>1</v>
      </c>
      <c r="D42" s="275" t="n"/>
      <c r="E42" s="275" t="n"/>
      <c r="F42" s="276" t="n"/>
      <c r="G42" s="276" t="n"/>
      <c r="H42" s="241" t="n">
        <v>26000</v>
      </c>
      <c r="I42" s="242" t="n">
        <v>26000</v>
      </c>
      <c r="J42" s="242" t="n"/>
      <c r="K42" s="272" t="n"/>
      <c r="L42" s="272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79" t="n"/>
      <c r="B43" s="267" t="inlineStr">
        <is>
          <t>DANA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86000</v>
      </c>
      <c r="I43" s="232" t="n"/>
      <c r="J43" s="232" t="n">
        <v>86000</v>
      </c>
      <c r="K43" s="272" t="n"/>
      <c r="L43" s="272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73" t="n"/>
      <c r="B44" s="274" t="inlineStr">
        <is>
          <t>SAN LORENZO 5949</t>
        </is>
      </c>
      <c r="C44" s="275" t="n">
        <v>1</v>
      </c>
      <c r="D44" s="275" t="n"/>
      <c r="E44" s="275" t="n"/>
      <c r="F44" s="276" t="n"/>
      <c r="G44" s="276" t="n"/>
      <c r="H44" s="241" t="n">
        <v>25000</v>
      </c>
      <c r="I44" s="242" t="n">
        <v>25000</v>
      </c>
      <c r="J44" s="242" t="n"/>
      <c r="K44" s="272" t="n"/>
      <c r="L44" s="272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79" t="n"/>
      <c r="B45" s="267" t="inlineStr">
        <is>
          <t>SABORERAR</t>
        </is>
      </c>
      <c r="C45" s="268" t="n">
        <v>1</v>
      </c>
      <c r="D45" s="268" t="n"/>
      <c r="E45" s="268" t="n"/>
      <c r="F45" s="269" t="n"/>
      <c r="G45" s="269" t="n"/>
      <c r="H45" s="231" t="n">
        <v>22500</v>
      </c>
      <c r="I45" s="232" t="n"/>
      <c r="J45" s="232" t="n">
        <v>22500</v>
      </c>
      <c r="K45" s="272" t="n"/>
      <c r="L45" s="272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73" t="n"/>
      <c r="B46" s="274" t="inlineStr">
        <is>
          <t>BLAS PARERA 9129</t>
        </is>
      </c>
      <c r="C46" s="275" t="n">
        <v>1</v>
      </c>
      <c r="D46" s="275" t="n"/>
      <c r="E46" s="275" t="n"/>
      <c r="F46" s="276" t="n"/>
      <c r="G46" s="276" t="n"/>
      <c r="H46" s="241" t="n">
        <v>27000</v>
      </c>
      <c r="I46" s="242" t="n">
        <v>27000</v>
      </c>
      <c r="J46" s="242" t="n"/>
      <c r="K46" s="272" t="n"/>
      <c r="L46" s="272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79" t="n">
        <v>46116</v>
      </c>
      <c r="B47" s="267" t="inlineStr">
        <is>
          <t>CHICLANA 7325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73" t="n"/>
      <c r="B48" s="274" t="inlineStr">
        <is>
          <t>DUSSO 7678</t>
        </is>
      </c>
      <c r="C48" s="275" t="n">
        <v>4</v>
      </c>
      <c r="D48" s="275" t="n">
        <v>2</v>
      </c>
      <c r="E48" s="275" t="n"/>
      <c r="F48" s="276" t="n"/>
      <c r="G48" s="276" t="n"/>
      <c r="H48" s="241" t="n">
        <v>133000</v>
      </c>
      <c r="I48" s="242" t="n">
        <v>60000</v>
      </c>
      <c r="J48" s="242" t="n">
        <v>73000</v>
      </c>
      <c r="K48" s="272" t="n"/>
      <c r="L48" s="272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79" t="n"/>
      <c r="B49" s="267" t="inlineStr">
        <is>
          <t>FILOMENA</t>
        </is>
      </c>
      <c r="C49" s="268" t="n">
        <v>2</v>
      </c>
      <c r="D49" s="268" t="n"/>
      <c r="E49" s="268" t="n"/>
      <c r="F49" s="269" t="n"/>
      <c r="G49" s="269" t="n"/>
      <c r="H49" s="231" t="n">
        <v>46000</v>
      </c>
      <c r="I49" s="232" t="n"/>
      <c r="J49" s="232" t="n">
        <v>46000</v>
      </c>
      <c r="K49" s="272" t="n"/>
      <c r="L49" s="272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73" t="n"/>
      <c r="B50" s="274" t="inlineStr">
        <is>
          <t>EUROPA 9186</t>
        </is>
      </c>
      <c r="C50" s="275" t="n"/>
      <c r="D50" s="275" t="n"/>
      <c r="E50" s="275" t="n">
        <v>1</v>
      </c>
      <c r="F50" s="276" t="n"/>
      <c r="G50" s="276" t="n"/>
      <c r="H50" s="241" t="n">
        <v>90000</v>
      </c>
      <c r="I50" s="242" t="n"/>
      <c r="J50" s="242" t="n">
        <v>90000</v>
      </c>
      <c r="K50" s="272" t="n"/>
      <c r="L50" s="272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79" t="n"/>
      <c r="B51" s="267" t="inlineStr">
        <is>
          <t>LAPACHOS 1840</t>
        </is>
      </c>
      <c r="C51" s="268" t="n"/>
      <c r="D51" s="268" t="n"/>
      <c r="E51" s="268" t="n">
        <v>1</v>
      </c>
      <c r="F51" s="269" t="n"/>
      <c r="G51" s="269" t="n"/>
      <c r="H51" s="231" t="n">
        <v>86000</v>
      </c>
      <c r="I51" s="232" t="n"/>
      <c r="J51" s="232" t="n">
        <v>86000</v>
      </c>
      <c r="K51" s="272" t="n"/>
      <c r="L51" s="272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73" t="n"/>
      <c r="B52" s="274" t="inlineStr">
        <is>
          <t>BEATRIZ</t>
        </is>
      </c>
      <c r="C52" s="275" t="n"/>
      <c r="D52" s="275" t="n"/>
      <c r="E52" s="275" t="n"/>
      <c r="F52" s="276" t="n"/>
      <c r="G52" s="276" t="n">
        <v>1</v>
      </c>
      <c r="H52" s="241" t="n">
        <v>6000</v>
      </c>
      <c r="I52" s="242" t="n"/>
      <c r="J52" s="242" t="n">
        <v>6000</v>
      </c>
      <c r="K52" s="272" t="n"/>
      <c r="L52" s="272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79" t="n"/>
      <c r="B53" s="267" t="inlineStr">
        <is>
          <t xml:space="preserve">POSTA COLASTINE </t>
        </is>
      </c>
      <c r="C53" s="268" t="n">
        <v>5</v>
      </c>
      <c r="D53" s="268" t="n"/>
      <c r="E53" s="268" t="n"/>
      <c r="F53" s="269" t="n"/>
      <c r="G53" s="269" t="n"/>
      <c r="H53" s="231" t="n">
        <v>100000</v>
      </c>
      <c r="I53" s="232" t="n">
        <v>100000</v>
      </c>
      <c r="J53" s="232" t="n"/>
      <c r="K53" s="272" t="n"/>
      <c r="L53" s="272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73" t="n"/>
      <c r="B54" s="274" t="inlineStr">
        <is>
          <t>LARGUIA 7251</t>
        </is>
      </c>
      <c r="C54" s="275" t="n">
        <v>1</v>
      </c>
      <c r="D54" s="275" t="n"/>
      <c r="E54" s="275" t="n"/>
      <c r="F54" s="276" t="n"/>
      <c r="G54" s="276" t="n"/>
      <c r="H54" s="241" t="n">
        <v>27000</v>
      </c>
      <c r="I54" s="242" t="n">
        <v>27000</v>
      </c>
      <c r="J54" s="242" t="n"/>
      <c r="K54" s="272" t="n"/>
      <c r="L54" s="272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79" t="n"/>
      <c r="B55" s="267" t="inlineStr">
        <is>
          <t>PANA VOEYTES 4500</t>
        </is>
      </c>
      <c r="C55" s="268" t="n"/>
      <c r="D55" s="268" t="n"/>
      <c r="E55" s="268" t="n">
        <v>1</v>
      </c>
      <c r="F55" s="269" t="n"/>
      <c r="G55" s="269" t="n"/>
      <c r="H55" s="231" t="n">
        <v>78000</v>
      </c>
      <c r="I55" s="232" t="n"/>
      <c r="J55" s="232" t="n">
        <v>78000</v>
      </c>
      <c r="K55" s="272" t="n"/>
      <c r="L55" s="272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GUANELA 4543</t>
        </is>
      </c>
      <c r="C56" s="275" t="n">
        <v>1</v>
      </c>
      <c r="D56" s="275" t="n"/>
      <c r="E56" s="275" t="n"/>
      <c r="F56" s="276" t="n"/>
      <c r="G56" s="276" t="n"/>
      <c r="H56" s="241" t="n">
        <v>25000</v>
      </c>
      <c r="I56" s="242" t="n"/>
      <c r="J56" s="242" t="n">
        <v>25000</v>
      </c>
      <c r="K56" s="272" t="n"/>
      <c r="L56" s="272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79" t="n"/>
      <c r="B57" s="267" t="inlineStr">
        <is>
          <t>FRANCIA 1047</t>
        </is>
      </c>
      <c r="C57" s="268" t="n">
        <v>1</v>
      </c>
      <c r="D57" s="268" t="n"/>
      <c r="E57" s="268" t="n"/>
      <c r="F57" s="269" t="n"/>
      <c r="G57" s="269" t="n"/>
      <c r="H57" s="231" t="n">
        <v>26000</v>
      </c>
      <c r="I57" s="232" t="n">
        <v>26000</v>
      </c>
      <c r="J57" s="232" t="n"/>
      <c r="K57" s="272" t="n"/>
      <c r="L57" s="272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73" t="n"/>
      <c r="B58" s="274" t="inlineStr">
        <is>
          <t>ZAVALIA 779</t>
        </is>
      </c>
      <c r="C58" s="275" t="n"/>
      <c r="D58" s="275" t="n">
        <v>1</v>
      </c>
      <c r="E58" s="275" t="n"/>
      <c r="F58" s="276" t="n"/>
      <c r="G58" s="276" t="n"/>
      <c r="H58" s="241" t="n">
        <v>39000</v>
      </c>
      <c r="I58" s="242" t="n">
        <v>39000</v>
      </c>
      <c r="J58" s="242" t="n"/>
      <c r="K58" s="272" t="n"/>
      <c r="L58" s="272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79" t="n"/>
      <c r="B59" s="267" t="inlineStr">
        <is>
          <t xml:space="preserve">ROTI VIEYTES </t>
        </is>
      </c>
      <c r="C59" s="268" t="n"/>
      <c r="D59" s="268" t="n">
        <v>2</v>
      </c>
      <c r="E59" s="268" t="n"/>
      <c r="F59" s="269" t="n"/>
      <c r="G59" s="269" t="n"/>
      <c r="H59" s="231" t="n">
        <v>61000</v>
      </c>
      <c r="I59" s="232" t="n"/>
      <c r="J59" s="232" t="n">
        <v>61000</v>
      </c>
      <c r="K59" s="272" t="n"/>
      <c r="L59" s="272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73" t="n"/>
      <c r="B60" s="274" t="inlineStr">
        <is>
          <t>JOSE CIBILS 2467</t>
        </is>
      </c>
      <c r="C60" s="275" t="n"/>
      <c r="D60" s="275" t="n"/>
      <c r="E60" s="275" t="n">
        <v>1</v>
      </c>
      <c r="F60" s="276" t="n"/>
      <c r="G60" s="276" t="n"/>
      <c r="H60" s="241" t="n">
        <v>84000</v>
      </c>
      <c r="I60" s="242" t="n"/>
      <c r="J60" s="242" t="n">
        <v>84000</v>
      </c>
      <c r="K60" s="272" t="n"/>
      <c r="L60" s="272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79" t="n"/>
      <c r="B61" s="267" t="inlineStr">
        <is>
          <t>FLORES 2 CAS A75</t>
        </is>
      </c>
      <c r="C61" s="268" t="n">
        <v>1</v>
      </c>
      <c r="D61" s="268" t="n"/>
      <c r="E61" s="268" t="n"/>
      <c r="F61" s="269" t="n"/>
      <c r="G61" s="269" t="n"/>
      <c r="H61" s="231" t="n">
        <v>27000</v>
      </c>
      <c r="I61" s="232" t="n">
        <v>27000</v>
      </c>
      <c r="J61" s="232" t="n"/>
      <c r="K61" s="272" t="n"/>
      <c r="L61" s="272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73" t="n"/>
      <c r="B62" s="274" t="inlineStr">
        <is>
          <t>SAVEDRA 2799</t>
        </is>
      </c>
      <c r="C62" s="275" t="n">
        <v>1</v>
      </c>
      <c r="D62" s="275" t="n"/>
      <c r="E62" s="275" t="n"/>
      <c r="F62" s="276" t="n"/>
      <c r="G62" s="276" t="n"/>
      <c r="H62" s="241" t="n">
        <v>27000</v>
      </c>
      <c r="I62" s="242" t="n">
        <v>27000</v>
      </c>
      <c r="J62" s="242" t="n"/>
      <c r="K62" s="272" t="n"/>
      <c r="L62" s="272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79" t="n"/>
      <c r="B63" s="267" t="inlineStr">
        <is>
          <t>TERRAZAS</t>
        </is>
      </c>
      <c r="C63" s="268" t="n">
        <v>2</v>
      </c>
      <c r="D63" s="268" t="n"/>
      <c r="E63" s="268" t="n"/>
      <c r="F63" s="269" t="n"/>
      <c r="G63" s="269" t="n"/>
      <c r="H63" s="231" t="n">
        <v>54000</v>
      </c>
      <c r="I63" s="232" t="n">
        <v>54000</v>
      </c>
      <c r="J63" s="232" t="n"/>
      <c r="K63" s="272" t="n"/>
      <c r="L63" s="272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73" t="n"/>
      <c r="B64" s="274" t="inlineStr">
        <is>
          <t xml:space="preserve">BRASERIA </t>
        </is>
      </c>
      <c r="C64" s="275" t="n"/>
      <c r="D64" s="275" t="n"/>
      <c r="E64" s="275" t="n">
        <v>1</v>
      </c>
      <c r="F64" s="276" t="n"/>
      <c r="G64" s="276" t="n"/>
      <c r="H64" s="241" t="n">
        <v>83000</v>
      </c>
      <c r="I64" s="242" t="n"/>
      <c r="J64" s="242" t="n">
        <v>83000</v>
      </c>
      <c r="K64" s="272" t="n"/>
      <c r="L64" s="272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79" t="n"/>
      <c r="B65" s="267" t="inlineStr">
        <is>
          <t>LUCHO</t>
        </is>
      </c>
      <c r="C65" s="268" t="n">
        <v>1</v>
      </c>
      <c r="D65" s="268" t="n"/>
      <c r="E65" s="268" t="n"/>
      <c r="F65" s="269" t="n"/>
      <c r="G65" s="269" t="n"/>
      <c r="H65" s="231" t="n">
        <v>19000</v>
      </c>
      <c r="I65" s="232" t="n"/>
      <c r="J65" s="232" t="n">
        <v>19000</v>
      </c>
      <c r="K65" s="272" t="n"/>
      <c r="L65" s="272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73" t="n"/>
      <c r="B66" s="274" t="inlineStr">
        <is>
          <t>GOLRD BURGER</t>
        </is>
      </c>
      <c r="C66" s="275" t="n">
        <v>5</v>
      </c>
      <c r="D66" s="275" t="n"/>
      <c r="E66" s="275" t="n"/>
      <c r="F66" s="276" t="n"/>
      <c r="G66" s="276" t="n"/>
      <c r="H66" s="241" t="n">
        <v>115000</v>
      </c>
      <c r="I66" s="242" t="n">
        <v>115000</v>
      </c>
      <c r="J66" s="242" t="n"/>
      <c r="K66" s="272" t="n"/>
      <c r="L66" s="272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79" t="n"/>
      <c r="B67" s="267" t="inlineStr">
        <is>
          <t>ALBERTI 5315</t>
        </is>
      </c>
      <c r="C67" s="268" t="n"/>
      <c r="D67" s="268" t="n"/>
      <c r="E67" s="268" t="n">
        <v>1</v>
      </c>
      <c r="F67" s="269" t="n"/>
      <c r="G67" s="269" t="n"/>
      <c r="H67" s="231" t="n">
        <v>80000</v>
      </c>
      <c r="I67" s="232" t="n"/>
      <c r="J67" s="232" t="n">
        <v>80000</v>
      </c>
      <c r="K67" s="272" t="n"/>
      <c r="L67" s="272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73" t="n"/>
      <c r="B68" s="274" t="inlineStr">
        <is>
          <t>LA SALLE Y PUBLICO</t>
        </is>
      </c>
      <c r="C68" s="275" t="n"/>
      <c r="D68" s="275" t="n"/>
      <c r="E68" s="275" t="n">
        <v>1</v>
      </c>
      <c r="F68" s="276" t="n"/>
      <c r="G68" s="276" t="n"/>
      <c r="H68" s="241" t="n">
        <v>84000</v>
      </c>
      <c r="I68" s="242" t="n"/>
      <c r="J68" s="242" t="n">
        <v>84000</v>
      </c>
      <c r="K68" s="272" t="n"/>
      <c r="L68" s="272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79" t="n"/>
      <c r="B69" s="267" t="inlineStr">
        <is>
          <t>JAURETCHE 10100</t>
        </is>
      </c>
      <c r="C69" s="268" t="n">
        <v>1</v>
      </c>
      <c r="D69" s="268" t="n"/>
      <c r="E69" s="268" t="n"/>
      <c r="F69" s="269" t="n"/>
      <c r="G69" s="269" t="n"/>
      <c r="H69" s="231" t="n">
        <v>25000</v>
      </c>
      <c r="I69" s="232" t="n">
        <v>20000</v>
      </c>
      <c r="J69" s="232" t="n">
        <v>5000</v>
      </c>
      <c r="K69" s="272" t="n"/>
      <c r="L69" s="272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73" t="n"/>
      <c r="B70" s="274" t="inlineStr">
        <is>
          <t>CHICLANA 6668</t>
        </is>
      </c>
      <c r="C70" s="275" t="n"/>
      <c r="D70" s="275" t="n">
        <v>1</v>
      </c>
      <c r="E70" s="275" t="n"/>
      <c r="F70" s="276" t="n"/>
      <c r="G70" s="276" t="n"/>
      <c r="H70" s="241" t="n">
        <v>34500</v>
      </c>
      <c r="I70" s="242" t="n"/>
      <c r="J70" s="242" t="n">
        <v>34500</v>
      </c>
      <c r="K70" s="272" t="n"/>
      <c r="L70" s="272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79" t="n">
        <v>46058</v>
      </c>
      <c r="B71" s="267" t="inlineStr">
        <is>
          <t>CERVERA 4748</t>
        </is>
      </c>
      <c r="C71" s="268" t="n">
        <v>1</v>
      </c>
      <c r="D71" s="268" t="n"/>
      <c r="E71" s="268" t="n"/>
      <c r="F71" s="269" t="n"/>
      <c r="G71" s="269" t="n"/>
      <c r="H71" s="231" t="n">
        <v>27000</v>
      </c>
      <c r="I71" s="232" t="n"/>
      <c r="J71" s="232" t="n">
        <v>27000</v>
      </c>
      <c r="K71" s="272" t="n"/>
      <c r="L71" s="272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73" t="n"/>
      <c r="B72" s="274" t="inlineStr">
        <is>
          <t>CHACO 2843</t>
        </is>
      </c>
      <c r="C72" s="275" t="n"/>
      <c r="D72" s="275" t="n"/>
      <c r="E72" s="275" t="n">
        <v>1</v>
      </c>
      <c r="F72" s="276" t="n"/>
      <c r="G72" s="276" t="n"/>
      <c r="H72" s="241" t="n">
        <v>83000</v>
      </c>
      <c r="I72" s="242" t="n">
        <v>83000</v>
      </c>
      <c r="J72" s="242" t="n"/>
      <c r="K72" s="272" t="n"/>
      <c r="L72" s="272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79" t="n"/>
      <c r="B73" s="267" t="inlineStr">
        <is>
          <t>LAS HERAS 5471</t>
        </is>
      </c>
      <c r="C73" s="268" t="n">
        <v>2</v>
      </c>
      <c r="D73" s="268" t="n"/>
      <c r="E73" s="268" t="n"/>
      <c r="F73" s="269" t="n"/>
      <c r="G73" s="269" t="n"/>
      <c r="H73" s="231" t="n">
        <v>50000</v>
      </c>
      <c r="I73" s="232" t="n"/>
      <c r="J73" s="232" t="n">
        <v>50000</v>
      </c>
      <c r="K73" s="272" t="n"/>
      <c r="L73" s="272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73" t="n"/>
      <c r="B74" s="274" t="inlineStr">
        <is>
          <t>VIEYTES 4587</t>
        </is>
      </c>
      <c r="C74" s="275" t="n"/>
      <c r="D74" s="275" t="n">
        <v>1</v>
      </c>
      <c r="E74" s="275" t="n"/>
      <c r="F74" s="276" t="n"/>
      <c r="G74" s="276" t="n"/>
      <c r="H74" s="241" t="n">
        <v>39000</v>
      </c>
      <c r="I74" s="242" t="n">
        <v>39000</v>
      </c>
      <c r="J74" s="242" t="n"/>
      <c r="K74" s="272" t="n"/>
      <c r="L74" s="272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79" t="n"/>
      <c r="B75" s="267" t="inlineStr">
        <is>
          <t>GORRITI 1418</t>
        </is>
      </c>
      <c r="C75" s="268" t="n"/>
      <c r="D75" s="268" t="n"/>
      <c r="E75" s="268" t="n">
        <v>1</v>
      </c>
      <c r="F75" s="269" t="n"/>
      <c r="G75" s="269" t="n"/>
      <c r="H75" s="231" t="n">
        <v>90000</v>
      </c>
      <c r="I75" s="232" t="n"/>
      <c r="J75" s="232" t="n">
        <v>90000</v>
      </c>
      <c r="K75" s="272" t="n"/>
      <c r="L75" s="272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73" t="n"/>
      <c r="B76" s="274" t="inlineStr">
        <is>
          <t>BARRETO 9261</t>
        </is>
      </c>
      <c r="C76" s="275" t="n"/>
      <c r="D76" s="275" t="n">
        <v>1</v>
      </c>
      <c r="E76" s="275" t="n"/>
      <c r="F76" s="276" t="n"/>
      <c r="G76" s="276" t="n"/>
      <c r="H76" s="241" t="n">
        <v>39000</v>
      </c>
      <c r="I76" s="242" t="n"/>
      <c r="J76" s="242" t="n">
        <v>39000</v>
      </c>
      <c r="K76" s="272" t="n"/>
      <c r="L76" s="272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79" t="n"/>
      <c r="B77" s="267" t="inlineStr">
        <is>
          <t>CERVERA 6885</t>
        </is>
      </c>
      <c r="C77" s="268" t="n">
        <v>1</v>
      </c>
      <c r="D77" s="268" t="n"/>
      <c r="E77" s="268" t="n"/>
      <c r="F77" s="269" t="n"/>
      <c r="G77" s="269" t="n"/>
      <c r="H77" s="231" t="n">
        <v>27000</v>
      </c>
      <c r="I77" s="232" t="n">
        <v>27000</v>
      </c>
      <c r="J77" s="232" t="n"/>
      <c r="K77" s="272" t="n"/>
      <c r="L77" s="272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73" t="n"/>
      <c r="B78" s="274" t="inlineStr">
        <is>
          <t>PANA VIEYTES GISELA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/>
      <c r="J78" s="242" t="n">
        <v>22000</v>
      </c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79" t="n"/>
      <c r="B79" s="267" t="inlineStr">
        <is>
          <t>PARRI GABOTO</t>
        </is>
      </c>
      <c r="C79" s="268" t="n">
        <v>1</v>
      </c>
      <c r="D79" s="268" t="n"/>
      <c r="E79" s="268" t="n"/>
      <c r="F79" s="269" t="n"/>
      <c r="G79" s="269" t="n"/>
      <c r="H79" s="231" t="n">
        <v>23000</v>
      </c>
      <c r="I79" s="232" t="n"/>
      <c r="J79" s="232" t="n">
        <v>23000</v>
      </c>
      <c r="K79" s="272" t="n"/>
      <c r="L79" s="272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73" t="n"/>
      <c r="B80" s="274" t="inlineStr">
        <is>
          <t>LA PLATA 2834</t>
        </is>
      </c>
      <c r="C80" s="275" t="n"/>
      <c r="D80" s="275" t="n"/>
      <c r="E80" s="275" t="n">
        <v>1</v>
      </c>
      <c r="F80" s="276" t="n"/>
      <c r="G80" s="276" t="n"/>
      <c r="H80" s="241" t="n">
        <v>90000</v>
      </c>
      <c r="I80" s="242" t="n"/>
      <c r="J80" s="242" t="n">
        <v>90000</v>
      </c>
      <c r="K80" s="272" t="n"/>
      <c r="L80" s="272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79" t="n"/>
      <c r="B81" s="267" t="inlineStr">
        <is>
          <t>LAVAISE 2118</t>
        </is>
      </c>
      <c r="C81" s="268" t="n"/>
      <c r="D81" s="268" t="n"/>
      <c r="E81" s="268" t="n">
        <v>1</v>
      </c>
      <c r="F81" s="269" t="n"/>
      <c r="G81" s="269" t="n"/>
      <c r="H81" s="231" t="n">
        <v>87000</v>
      </c>
      <c r="I81" s="232" t="n"/>
      <c r="J81" s="232" t="n">
        <v>87000</v>
      </c>
      <c r="K81" s="272" t="n"/>
      <c r="L81" s="272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73" t="n"/>
      <c r="B82" s="274" t="inlineStr">
        <is>
          <t>LOS PARAISOS 3422</t>
        </is>
      </c>
      <c r="C82" s="275" t="n"/>
      <c r="D82" s="275" t="n"/>
      <c r="E82" s="275" t="n">
        <v>1</v>
      </c>
      <c r="F82" s="276" t="n"/>
      <c r="G82" s="276" t="n"/>
      <c r="H82" s="241" t="n">
        <v>86000</v>
      </c>
      <c r="I82" s="242" t="n"/>
      <c r="J82" s="242" t="n">
        <v>86000</v>
      </c>
      <c r="K82" s="272" t="n"/>
      <c r="L82" s="272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79" t="n"/>
      <c r="B83" s="267" t="inlineStr">
        <is>
          <t>MANTOVANI 6752</t>
        </is>
      </c>
      <c r="C83" s="268" t="n">
        <v>1</v>
      </c>
      <c r="D83" s="268" t="n"/>
      <c r="E83" s="268" t="n"/>
      <c r="F83" s="269" t="n"/>
      <c r="G83" s="269" t="n"/>
      <c r="H83" s="231" t="n">
        <v>25000</v>
      </c>
      <c r="I83" s="232" t="n"/>
      <c r="J83" s="232" t="n">
        <v>25000</v>
      </c>
      <c r="K83" s="272" t="n"/>
      <c r="L83" s="272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73" t="n"/>
      <c r="B84" s="274" t="inlineStr">
        <is>
          <t>PENALOZA 9757</t>
        </is>
      </c>
      <c r="C84" s="275" t="n">
        <v>1</v>
      </c>
      <c r="D84" s="275" t="n"/>
      <c r="E84" s="275" t="n"/>
      <c r="F84" s="276" t="n"/>
      <c r="G84" s="276" t="n"/>
      <c r="H84" s="241" t="n">
        <v>25500</v>
      </c>
      <c r="I84" s="242" t="n"/>
      <c r="J84" s="242" t="n">
        <v>25500</v>
      </c>
      <c r="K84" s="272" t="n"/>
      <c r="L84" s="272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79" t="n"/>
      <c r="B85" s="267" t="inlineStr">
        <is>
          <t>TACUARI 5717</t>
        </is>
      </c>
      <c r="C85" s="268" t="n">
        <v>1</v>
      </c>
      <c r="D85" s="268" t="n"/>
      <c r="E85" s="268" t="n"/>
      <c r="F85" s="269" t="n"/>
      <c r="G85" s="269" t="n"/>
      <c r="H85" s="231" t="n">
        <v>25000</v>
      </c>
      <c r="I85" s="232" t="n"/>
      <c r="J85" s="232" t="n">
        <v>25000</v>
      </c>
      <c r="K85" s="272" t="n"/>
      <c r="L85" s="272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73" t="n"/>
      <c r="B86" s="274" t="inlineStr">
        <is>
          <t>SANDRA</t>
        </is>
      </c>
      <c r="C86" s="275" t="n">
        <v>2</v>
      </c>
      <c r="D86" s="275" t="n"/>
      <c r="E86" s="275" t="n"/>
      <c r="F86" s="276" t="n"/>
      <c r="G86" s="276" t="n"/>
      <c r="H86" s="241" t="n">
        <v>38000</v>
      </c>
      <c r="I86" s="242" t="n">
        <v>10000</v>
      </c>
      <c r="J86" s="242" t="n">
        <v>28000</v>
      </c>
      <c r="K86" s="272" t="n"/>
      <c r="L86" s="272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79" t="n"/>
      <c r="B87" s="267" t="inlineStr">
        <is>
          <t>PIRU</t>
        </is>
      </c>
      <c r="C87" s="268" t="n"/>
      <c r="D87" s="268" t="n">
        <v>1</v>
      </c>
      <c r="E87" s="268" t="n"/>
      <c r="F87" s="269" t="n"/>
      <c r="G87" s="269" t="n"/>
      <c r="H87" s="231" t="n">
        <v>35500</v>
      </c>
      <c r="I87" s="232" t="n"/>
      <c r="J87" s="232" t="n">
        <v>35500</v>
      </c>
      <c r="K87" s="272" t="n"/>
      <c r="L87" s="272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73" t="n">
        <v>46118</v>
      </c>
      <c r="B88" s="274" t="inlineStr">
        <is>
          <t>FREIRE 6181</t>
        </is>
      </c>
      <c r="C88" s="275" t="n"/>
      <c r="D88" s="275" t="n"/>
      <c r="E88" s="275" t="n">
        <v>1</v>
      </c>
      <c r="F88" s="276" t="n"/>
      <c r="G88" s="276" t="n"/>
      <c r="H88" s="241" t="n">
        <v>96000</v>
      </c>
      <c r="I88" s="242" t="n">
        <v>96000</v>
      </c>
      <c r="J88" s="242" t="n"/>
      <c r="K88" s="272" t="n"/>
      <c r="L88" s="272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79" t="n"/>
      <c r="B89" s="267" t="inlineStr">
        <is>
          <t>VIANDAS JORGE</t>
        </is>
      </c>
      <c r="C89" s="268" t="n">
        <v>1</v>
      </c>
      <c r="D89" s="268" t="n"/>
      <c r="E89" s="268" t="n"/>
      <c r="F89" s="269" t="n"/>
      <c r="G89" s="269" t="n"/>
      <c r="H89" s="231" t="n">
        <v>22000</v>
      </c>
      <c r="I89" s="232" t="n">
        <v>22000</v>
      </c>
      <c r="J89" s="232" t="n"/>
      <c r="K89" s="272" t="n"/>
      <c r="L89" s="272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73" t="n"/>
      <c r="B90" s="274" t="inlineStr">
        <is>
          <t>HUERGO 2487</t>
        </is>
      </c>
      <c r="C90" s="275" t="n">
        <v>1</v>
      </c>
      <c r="D90" s="275" t="n"/>
      <c r="E90" s="275" t="n"/>
      <c r="F90" s="276" t="n"/>
      <c r="G90" s="276" t="n"/>
      <c r="H90" s="241" t="n">
        <v>25000</v>
      </c>
      <c r="I90" s="242" t="n"/>
      <c r="J90" s="242" t="n">
        <v>25000</v>
      </c>
      <c r="K90" s="272" t="n"/>
      <c r="L90" s="272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79" t="n"/>
      <c r="B91" s="267" t="inlineStr">
        <is>
          <t>PJE MANUE LEIVA 4230</t>
        </is>
      </c>
      <c r="C91" s="268" t="n">
        <v>1</v>
      </c>
      <c r="D91" s="268" t="n"/>
      <c r="E91" s="268" t="n"/>
      <c r="F91" s="269" t="n"/>
      <c r="G91" s="269" t="n"/>
      <c r="H91" s="231" t="n">
        <v>26000</v>
      </c>
      <c r="I91" s="232" t="n">
        <v>26000</v>
      </c>
      <c r="J91" s="232" t="n"/>
      <c r="K91" s="272" t="n"/>
      <c r="L91" s="272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73" t="n"/>
      <c r="B92" s="274" t="inlineStr">
        <is>
          <t>OTNIEL</t>
        </is>
      </c>
      <c r="C92" s="275" t="n"/>
      <c r="D92" s="275" t="n">
        <v>2</v>
      </c>
      <c r="E92" s="275" t="n"/>
      <c r="F92" s="276" t="n"/>
      <c r="G92" s="276" t="n"/>
      <c r="H92" s="241" t="n">
        <v>68000</v>
      </c>
      <c r="I92" s="242" t="n"/>
      <c r="J92" s="242" t="n">
        <v>68000</v>
      </c>
      <c r="K92" s="272" t="n"/>
      <c r="L92" s="272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79" t="n"/>
      <c r="B93" s="267" t="inlineStr">
        <is>
          <t>PJE GIMNASIA 5186</t>
        </is>
      </c>
      <c r="C93" s="268" t="n">
        <v>1</v>
      </c>
      <c r="D93" s="268" t="n"/>
      <c r="E93" s="268" t="n"/>
      <c r="F93" s="269" t="n"/>
      <c r="G93" s="269" t="n"/>
      <c r="H93" s="231" t="n">
        <v>27000</v>
      </c>
      <c r="I93" s="232" t="n">
        <v>27000</v>
      </c>
      <c r="J93" s="232" t="n"/>
      <c r="K93" s="272" t="n"/>
      <c r="L93" s="272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73" t="n"/>
      <c r="B94" s="274" t="inlineStr">
        <is>
          <t>LA SALLE 6030</t>
        </is>
      </c>
      <c r="C94" s="275" t="n"/>
      <c r="D94" s="275" t="n"/>
      <c r="E94" s="275" t="n">
        <v>1</v>
      </c>
      <c r="F94" s="276" t="n"/>
      <c r="G94" s="276" t="n"/>
      <c r="H94" s="241" t="n">
        <v>86000</v>
      </c>
      <c r="I94" s="242" t="n">
        <v>86000</v>
      </c>
      <c r="J94" s="242" t="n"/>
      <c r="K94" s="272" t="n"/>
      <c r="L94" s="272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79" t="n"/>
      <c r="B95" s="267" t="inlineStr">
        <is>
          <t>NAMUNCURA 4439</t>
        </is>
      </c>
      <c r="C95" s="268" t="n"/>
      <c r="D95" s="268" t="n">
        <v>1</v>
      </c>
      <c r="E95" s="268" t="n"/>
      <c r="F95" s="269" t="n"/>
      <c r="G95" s="269" t="n"/>
      <c r="H95" s="231" t="n">
        <v>36500</v>
      </c>
      <c r="I95" s="232" t="n">
        <v>36500</v>
      </c>
      <c r="J95" s="232" t="n"/>
      <c r="K95" s="272" t="n"/>
      <c r="L95" s="272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73" t="n"/>
      <c r="B96" s="274" t="inlineStr">
        <is>
          <t>PANA COLODRERO 1258</t>
        </is>
      </c>
      <c r="C96" s="275" t="n"/>
      <c r="D96" s="275" t="n"/>
      <c r="E96" s="275" t="n">
        <v>1</v>
      </c>
      <c r="F96" s="276" t="n"/>
      <c r="G96" s="276" t="n"/>
      <c r="H96" s="241" t="n">
        <v>78000</v>
      </c>
      <c r="I96" s="242" t="n"/>
      <c r="J96" s="242" t="n">
        <v>78000</v>
      </c>
      <c r="K96" s="272" t="n"/>
      <c r="L96" s="272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79" t="n"/>
      <c r="B97" s="267" t="inlineStr">
        <is>
          <t>CAREN</t>
        </is>
      </c>
      <c r="C97" s="268" t="n"/>
      <c r="D97" s="268" t="n"/>
      <c r="E97" s="268" t="n">
        <v>1</v>
      </c>
      <c r="F97" s="269" t="n"/>
      <c r="G97" s="269" t="n"/>
      <c r="H97" s="231" t="n">
        <v>82000</v>
      </c>
      <c r="I97" s="232" t="n"/>
      <c r="J97" s="232" t="n">
        <v>82000</v>
      </c>
      <c r="K97" s="272" t="n"/>
      <c r="L97" s="272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73" t="n">
        <v>46119</v>
      </c>
      <c r="B98" s="274" t="inlineStr">
        <is>
          <t>PANA ALBERTI</t>
        </is>
      </c>
      <c r="C98" s="275" t="n"/>
      <c r="D98" s="275" t="n"/>
      <c r="E98" s="275" t="n">
        <v>1</v>
      </c>
      <c r="F98" s="276" t="n"/>
      <c r="G98" s="276" t="n"/>
      <c r="H98" s="241" t="n">
        <v>82000</v>
      </c>
      <c r="I98" s="242" t="n">
        <v>82000</v>
      </c>
      <c r="J98" s="242" t="n"/>
      <c r="K98" s="272" t="n"/>
      <c r="L98" s="272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79" t="n"/>
      <c r="B99" s="267" t="inlineStr">
        <is>
          <t>LUCHO</t>
        </is>
      </c>
      <c r="C99" s="268" t="n">
        <v>3</v>
      </c>
      <c r="D99" s="268" t="n"/>
      <c r="E99" s="268" t="n"/>
      <c r="F99" s="269" t="n"/>
      <c r="G99" s="269" t="n"/>
      <c r="H99" s="231" t="n">
        <v>57000</v>
      </c>
      <c r="I99" s="232" t="n">
        <v>57000</v>
      </c>
      <c r="J99" s="232" t="n"/>
      <c r="K99" s="272" t="n"/>
      <c r="L99" s="272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73" t="n"/>
      <c r="B100" s="274" t="inlineStr">
        <is>
          <t>AZCUENAGA 5023</t>
        </is>
      </c>
      <c r="C100" s="275" t="n">
        <v>6</v>
      </c>
      <c r="D100" s="275" t="n"/>
      <c r="E100" s="275" t="n"/>
      <c r="F100" s="276" t="n"/>
      <c r="G100" s="276" t="n"/>
      <c r="H100" s="241" t="n">
        <v>114000</v>
      </c>
      <c r="I100" s="242" t="n"/>
      <c r="J100" s="242" t="n">
        <v>114000</v>
      </c>
      <c r="K100" s="272" t="n"/>
      <c r="L100" s="272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79" t="n"/>
      <c r="B101" s="267" t="inlineStr">
        <is>
          <t>PUESTO TORTAS M ZAPATA</t>
        </is>
      </c>
      <c r="C101" s="268" t="n">
        <v>1</v>
      </c>
      <c r="D101" s="268" t="n"/>
      <c r="E101" s="268" t="n"/>
      <c r="F101" s="269" t="n"/>
      <c r="G101" s="269" t="n"/>
      <c r="H101" s="231" t="n">
        <v>23500</v>
      </c>
      <c r="I101" s="232" t="n">
        <v>23500</v>
      </c>
      <c r="J101" s="232" t="n"/>
      <c r="K101" s="272" t="n"/>
      <c r="L101" s="272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73" t="n"/>
      <c r="B102" s="274" t="inlineStr">
        <is>
          <t>F ZUVIRIA 7757</t>
        </is>
      </c>
      <c r="C102" s="275" t="n"/>
      <c r="D102" s="275" t="n"/>
      <c r="E102" s="275" t="n">
        <v>1</v>
      </c>
      <c r="F102" s="276" t="n"/>
      <c r="G102" s="276" t="n"/>
      <c r="H102" s="241" t="n">
        <v>85000</v>
      </c>
      <c r="I102" s="242" t="n"/>
      <c r="J102" s="242" t="n">
        <v>85000</v>
      </c>
      <c r="K102" s="272" t="n"/>
      <c r="L102" s="272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79" t="n"/>
      <c r="B103" s="267" t="inlineStr">
        <is>
          <t>PUBLICO 3640</t>
        </is>
      </c>
      <c r="C103" s="268" t="n">
        <v>1</v>
      </c>
      <c r="D103" s="268" t="n"/>
      <c r="E103" s="268" t="n"/>
      <c r="F103" s="269" t="n"/>
      <c r="G103" s="269" t="n"/>
      <c r="H103" s="231" t="n">
        <v>27000</v>
      </c>
      <c r="I103" s="232" t="n">
        <v>27000</v>
      </c>
      <c r="J103" s="232" t="n"/>
      <c r="K103" s="272" t="n"/>
      <c r="L103" s="272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JP LOPE 2580</t>
        </is>
      </c>
      <c r="C104" s="275" t="n">
        <v>1</v>
      </c>
      <c r="D104" s="275" t="n"/>
      <c r="E104" s="275" t="n"/>
      <c r="F104" s="276" t="n"/>
      <c r="G104" s="276" t="n"/>
      <c r="H104" s="241" t="n">
        <v>26000</v>
      </c>
      <c r="I104" s="242" t="n">
        <v>26000</v>
      </c>
      <c r="J104" s="242" t="n"/>
      <c r="K104" s="272" t="n"/>
      <c r="L104" s="272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79" t="n"/>
      <c r="B105" s="267" t="inlineStr">
        <is>
          <t>PUBLICO 8193</t>
        </is>
      </c>
      <c r="C105" s="268" t="n"/>
      <c r="D105" s="268" t="n"/>
      <c r="E105" s="268" t="n">
        <v>1</v>
      </c>
      <c r="F105" s="269" t="n"/>
      <c r="G105" s="269" t="n"/>
      <c r="H105" s="231" t="n">
        <v>84000</v>
      </c>
      <c r="I105" s="232" t="n"/>
      <c r="J105" s="232" t="n">
        <v>84000</v>
      </c>
      <c r="K105" s="272" t="n"/>
      <c r="L105" s="272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73" t="n"/>
      <c r="B106" s="274" t="inlineStr">
        <is>
          <t>LARGUIA 9655</t>
        </is>
      </c>
      <c r="C106" s="275" t="n"/>
      <c r="D106" s="275" t="n">
        <v>1</v>
      </c>
      <c r="E106" s="275" t="n"/>
      <c r="F106" s="276" t="n"/>
      <c r="G106" s="276" t="n"/>
      <c r="H106" s="241" t="n">
        <v>39000</v>
      </c>
      <c r="I106" s="242" t="n"/>
      <c r="J106" s="242" t="n">
        <v>39000</v>
      </c>
      <c r="K106" s="272" t="n"/>
      <c r="L106" s="272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79" t="n"/>
      <c r="B107" s="267" t="inlineStr">
        <is>
          <t>NAMUNCURA 4436</t>
        </is>
      </c>
      <c r="C107" s="268" t="n"/>
      <c r="D107" s="268" t="n"/>
      <c r="E107" s="268" t="n">
        <v>1</v>
      </c>
      <c r="F107" s="269" t="n"/>
      <c r="G107" s="269" t="n"/>
      <c r="H107" s="231" t="n">
        <v>86000</v>
      </c>
      <c r="I107" s="232" t="n"/>
      <c r="J107" s="232" t="n">
        <v>86000</v>
      </c>
      <c r="K107" s="272" t="n"/>
      <c r="L107" s="272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73" t="n"/>
      <c r="B108" s="274" t="inlineStr">
        <is>
          <t>HERNANDARIAS 5356</t>
        </is>
      </c>
      <c r="C108" s="275" t="n">
        <v>1</v>
      </c>
      <c r="D108" s="275" t="n"/>
      <c r="E108" s="275" t="n"/>
      <c r="F108" s="276" t="n"/>
      <c r="G108" s="276" t="n"/>
      <c r="H108" s="241" t="n">
        <v>25000</v>
      </c>
      <c r="I108" s="242" t="n">
        <v>25000</v>
      </c>
      <c r="J108" s="242" t="n"/>
      <c r="K108" s="272" t="n"/>
      <c r="L108" s="272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79" t="n"/>
      <c r="B109" s="267" t="inlineStr">
        <is>
          <t>FILOMENA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/>
      <c r="J109" s="232" t="n">
        <v>23000</v>
      </c>
      <c r="K109" s="272" t="n"/>
      <c r="L109" s="272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73" t="n"/>
      <c r="B110" s="274" t="inlineStr">
        <is>
          <t>LUCHO</t>
        </is>
      </c>
      <c r="C110" s="275" t="n">
        <v>2</v>
      </c>
      <c r="D110" s="275" t="n"/>
      <c r="E110" s="275" t="n"/>
      <c r="F110" s="276" t="n"/>
      <c r="G110" s="276" t="n"/>
      <c r="H110" s="241" t="n">
        <v>38000</v>
      </c>
      <c r="I110" s="242" t="n">
        <v>38000</v>
      </c>
      <c r="J110" s="242" t="n"/>
      <c r="K110" s="272" t="n"/>
      <c r="L110" s="272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79" t="n"/>
      <c r="B111" s="267" t="inlineStr">
        <is>
          <t>EX COMBATIENTES 5433</t>
        </is>
      </c>
      <c r="C111" s="268" t="n"/>
      <c r="D111" s="268" t="n"/>
      <c r="E111" s="268" t="n">
        <v>1</v>
      </c>
      <c r="F111" s="269" t="n"/>
      <c r="G111" s="269" t="n"/>
      <c r="H111" s="231" t="n">
        <v>85000</v>
      </c>
      <c r="I111" s="232" t="n">
        <v>85000</v>
      </c>
      <c r="J111" s="232" t="n"/>
      <c r="K111" s="272" t="n"/>
      <c r="L111" s="272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73" t="n">
        <v>46120</v>
      </c>
      <c r="B112" s="274" t="inlineStr">
        <is>
          <t>CALLE 12 3856</t>
        </is>
      </c>
      <c r="C112" s="275" t="n"/>
      <c r="D112" s="275" t="n"/>
      <c r="E112" s="275" t="n">
        <v>1</v>
      </c>
      <c r="F112" s="276" t="n"/>
      <c r="G112" s="276" t="n"/>
      <c r="H112" s="241" t="n">
        <v>83000</v>
      </c>
      <c r="I112" s="242" t="n"/>
      <c r="J112" s="242" t="n">
        <v>83000</v>
      </c>
      <c r="K112" s="272" t="n"/>
      <c r="L112" s="272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79" t="n"/>
      <c r="B113" s="267" t="inlineStr">
        <is>
          <t>MARIANA</t>
        </is>
      </c>
      <c r="C113" s="268" t="n"/>
      <c r="D113" s="268" t="n"/>
      <c r="E113" s="268" t="n">
        <v>1</v>
      </c>
      <c r="F113" s="269" t="n"/>
      <c r="G113" s="269" t="n"/>
      <c r="H113" s="231" t="n">
        <v>90000</v>
      </c>
      <c r="I113" s="232" t="n">
        <v>90000</v>
      </c>
      <c r="J113" s="232" t="n"/>
      <c r="K113" s="272" t="n"/>
      <c r="L113" s="272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73" t="n"/>
      <c r="B114" s="274" t="inlineStr">
        <is>
          <t>NECOCHEA 3837</t>
        </is>
      </c>
      <c r="C114" s="275" t="n">
        <v>2</v>
      </c>
      <c r="D114" s="275" t="n"/>
      <c r="E114" s="275" t="n"/>
      <c r="F114" s="276" t="n"/>
      <c r="G114" s="276" t="n"/>
      <c r="H114" s="241" t="n">
        <v>52000</v>
      </c>
      <c r="I114" s="242" t="n">
        <v>52000</v>
      </c>
      <c r="J114" s="242" t="n"/>
      <c r="K114" s="272" t="n"/>
      <c r="L114" s="272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79" t="n"/>
      <c r="B115" s="267" t="inlineStr">
        <is>
          <t>BLAS PARERA 7062</t>
        </is>
      </c>
      <c r="C115" s="268" t="n"/>
      <c r="D115" s="268" t="n">
        <v>1</v>
      </c>
      <c r="E115" s="268" t="n"/>
      <c r="F115" s="269" t="n"/>
      <c r="G115" s="269" t="n"/>
      <c r="H115" s="231" t="n">
        <v>36500</v>
      </c>
      <c r="I115" s="232" t="n"/>
      <c r="J115" s="232" t="n">
        <v>36500</v>
      </c>
      <c r="K115" s="272" t="n"/>
      <c r="L115" s="272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73" t="n"/>
      <c r="B116" s="274" t="inlineStr">
        <is>
          <t>PANA BERUTI 3850</t>
        </is>
      </c>
      <c r="C116" s="275" t="n">
        <v>3</v>
      </c>
      <c r="D116" s="275" t="n"/>
      <c r="E116" s="275" t="n">
        <v>1</v>
      </c>
      <c r="F116" s="276" t="n"/>
      <c r="G116" s="276" t="n"/>
      <c r="H116" s="241" t="n">
        <v>142000</v>
      </c>
      <c r="I116" s="242" t="n">
        <v>66000</v>
      </c>
      <c r="J116" s="242" t="n">
        <v>76000</v>
      </c>
      <c r="K116" s="272" t="n"/>
      <c r="L116" s="272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79" t="n"/>
      <c r="B117" s="267" t="inlineStr">
        <is>
          <t>PANA GORRITI 4600</t>
        </is>
      </c>
      <c r="C117" s="268" t="n"/>
      <c r="D117" s="268" t="n"/>
      <c r="E117" s="268" t="n">
        <v>1</v>
      </c>
      <c r="F117" s="269" t="n"/>
      <c r="G117" s="269" t="n"/>
      <c r="H117" s="231" t="n">
        <v>82000</v>
      </c>
      <c r="I117" s="232" t="n">
        <v>82000</v>
      </c>
      <c r="J117" s="232" t="n"/>
      <c r="K117" s="272" t="n"/>
      <c r="L117" s="272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73" t="n"/>
      <c r="B118" s="274" t="inlineStr">
        <is>
          <t>PANA BERUTI 6400</t>
        </is>
      </c>
      <c r="C118" s="275" t="n"/>
      <c r="D118" s="275" t="n"/>
      <c r="E118" s="275" t="n">
        <v>1</v>
      </c>
      <c r="F118" s="276" t="n"/>
      <c r="G118" s="276" t="n"/>
      <c r="H118" s="241" t="n">
        <v>75000</v>
      </c>
      <c r="I118" s="242" t="n"/>
      <c r="J118" s="242" t="n">
        <v>75000</v>
      </c>
      <c r="K118" s="272" t="n"/>
      <c r="L118" s="272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79" t="n"/>
      <c r="B119" s="267" t="inlineStr">
        <is>
          <t>EX COMBATIENTE 5550</t>
        </is>
      </c>
      <c r="C119" s="268" t="n">
        <v>1</v>
      </c>
      <c r="D119" s="268" t="n"/>
      <c r="E119" s="268" t="n"/>
      <c r="F119" s="269" t="n"/>
      <c r="G119" s="269" t="n"/>
      <c r="H119" s="231" t="n">
        <v>26000</v>
      </c>
      <c r="I119" s="232" t="n"/>
      <c r="J119" s="232" t="n">
        <v>26000</v>
      </c>
      <c r="K119" s="272" t="n"/>
      <c r="L119" s="272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73" t="n"/>
      <c r="B120" s="274" t="inlineStr">
        <is>
          <t>LAVAISE 3786</t>
        </is>
      </c>
      <c r="C120" s="275" t="n">
        <v>1</v>
      </c>
      <c r="D120" s="275" t="n"/>
      <c r="E120" s="275" t="n"/>
      <c r="F120" s="276" t="n"/>
      <c r="G120" s="276" t="n"/>
      <c r="H120" s="241" t="n">
        <v>25000</v>
      </c>
      <c r="I120" s="242" t="n"/>
      <c r="J120" s="242" t="n">
        <v>25000</v>
      </c>
      <c r="K120" s="272" t="n"/>
      <c r="L120" s="272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79" t="n"/>
      <c r="B121" s="267" t="inlineStr">
        <is>
          <t xml:space="preserve">SANDRA </t>
        </is>
      </c>
      <c r="C121" s="268" t="n">
        <v>2</v>
      </c>
      <c r="D121" s="268" t="n">
        <v>2</v>
      </c>
      <c r="E121" s="268" t="n"/>
      <c r="F121" s="269" t="n"/>
      <c r="G121" s="269" t="n"/>
      <c r="H121" s="231" t="n">
        <v>95000</v>
      </c>
      <c r="I121" s="232" t="n">
        <v>40000</v>
      </c>
      <c r="J121" s="232" t="n">
        <v>55000</v>
      </c>
      <c r="K121" s="272" t="n"/>
      <c r="L121" s="272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73" t="n"/>
      <c r="B122" s="274" t="inlineStr">
        <is>
          <t>FRATERNIDAD GUANELLA</t>
        </is>
      </c>
      <c r="C122" s="275" t="n">
        <v>1</v>
      </c>
      <c r="D122" s="275" t="n"/>
      <c r="E122" s="275" t="n"/>
      <c r="F122" s="276" t="n"/>
      <c r="G122" s="276" t="n"/>
      <c r="H122" s="241" t="n">
        <v>23000</v>
      </c>
      <c r="I122" s="242" t="n">
        <v>23000</v>
      </c>
      <c r="J122" s="242" t="n"/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79" t="n"/>
      <c r="B123" s="267" t="inlineStr">
        <is>
          <t>PANA VIEYTES 3800</t>
        </is>
      </c>
      <c r="C123" s="268" t="n"/>
      <c r="D123" s="268" t="n"/>
      <c r="E123" s="268" t="n">
        <v>1</v>
      </c>
      <c r="F123" s="269" t="n"/>
      <c r="G123" s="269" t="n"/>
      <c r="H123" s="231" t="n">
        <v>82000</v>
      </c>
      <c r="I123" s="232" t="n"/>
      <c r="J123" s="232" t="n">
        <v>82000</v>
      </c>
      <c r="K123" s="272" t="n"/>
      <c r="L123" s="272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73" t="n"/>
      <c r="B124" s="274" t="inlineStr">
        <is>
          <t>GARMENDIA 9249</t>
        </is>
      </c>
      <c r="C124" s="275" t="n"/>
      <c r="D124" s="275" t="n">
        <v>1</v>
      </c>
      <c r="E124" s="275" t="n"/>
      <c r="F124" s="276" t="n"/>
      <c r="G124" s="276" t="n"/>
      <c r="H124" s="241" t="n">
        <v>35500</v>
      </c>
      <c r="I124" s="242" t="n"/>
      <c r="J124" s="242" t="n">
        <v>35500</v>
      </c>
      <c r="K124" s="272" t="n"/>
      <c r="L124" s="272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79" t="n"/>
      <c r="B125" s="267" t="inlineStr">
        <is>
          <t>PUBLICO 5489 Y CAFERATA</t>
        </is>
      </c>
      <c r="C125" s="268" t="n">
        <v>1</v>
      </c>
      <c r="D125" s="268" t="n"/>
      <c r="E125" s="268" t="n"/>
      <c r="F125" s="269" t="n"/>
      <c r="G125" s="269" t="n"/>
      <c r="H125" s="231" t="n">
        <v>27000</v>
      </c>
      <c r="I125" s="232" t="n"/>
      <c r="J125" s="232" t="n">
        <v>27000</v>
      </c>
      <c r="K125" s="272" t="n"/>
      <c r="L125" s="272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73" t="n"/>
      <c r="B126" s="274" t="inlineStr">
        <is>
          <t xml:space="preserve">ESC JUAN DE GARAY </t>
        </is>
      </c>
      <c r="C126" s="275" t="n">
        <v>1</v>
      </c>
      <c r="D126" s="275" t="n"/>
      <c r="E126" s="275" t="n"/>
      <c r="F126" s="276" t="n"/>
      <c r="G126" s="276" t="n"/>
      <c r="H126" s="241" t="n">
        <v>25000</v>
      </c>
      <c r="I126" s="242" t="n">
        <v>25000</v>
      </c>
      <c r="J126" s="242" t="n"/>
      <c r="K126" s="272" t="n"/>
      <c r="L126" s="272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79" t="n"/>
      <c r="B127" s="267" t="inlineStr">
        <is>
          <t>LOLI</t>
        </is>
      </c>
      <c r="C127" s="268" t="n">
        <v>1</v>
      </c>
      <c r="D127" s="268" t="n"/>
      <c r="E127" s="268" t="n"/>
      <c r="F127" s="269" t="n">
        <v>6</v>
      </c>
      <c r="G127" s="269" t="n"/>
      <c r="H127" s="231" t="n">
        <v>49000</v>
      </c>
      <c r="I127" s="232" t="n">
        <v>49000</v>
      </c>
      <c r="J127" s="232" t="n"/>
      <c r="K127" s="272" t="n"/>
      <c r="L127" s="272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73" t="n"/>
      <c r="B128" s="274" t="inlineStr">
        <is>
          <t>TROPPO</t>
        </is>
      </c>
      <c r="C128" s="275" t="n">
        <v>3</v>
      </c>
      <c r="D128" s="275" t="n"/>
      <c r="E128" s="275" t="n"/>
      <c r="F128" s="276" t="n"/>
      <c r="G128" s="276" t="n"/>
      <c r="H128" s="241" t="n">
        <v>75000</v>
      </c>
      <c r="I128" s="242" t="n"/>
      <c r="J128" s="242" t="n">
        <v>75000</v>
      </c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79" t="n"/>
      <c r="B129" s="267" t="inlineStr">
        <is>
          <t>FILOMENA</t>
        </is>
      </c>
      <c r="C129" s="268" t="n">
        <v>1</v>
      </c>
      <c r="D129" s="268" t="n"/>
      <c r="E129" s="268" t="n"/>
      <c r="F129" s="269" t="n"/>
      <c r="G129" s="269" t="n"/>
      <c r="H129" s="231" t="n">
        <v>23000</v>
      </c>
      <c r="I129" s="232" t="n"/>
      <c r="J129" s="232" t="n">
        <v>23000</v>
      </c>
      <c r="K129" s="272" t="n"/>
      <c r="L129" s="272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73" t="n"/>
      <c r="B130" s="274" t="inlineStr">
        <is>
          <t>B IRIGOYEN 6854</t>
        </is>
      </c>
      <c r="C130" s="275" t="n">
        <v>1</v>
      </c>
      <c r="D130" s="275" t="n"/>
      <c r="E130" s="275" t="n"/>
      <c r="F130" s="276" t="n"/>
      <c r="G130" s="276" t="n"/>
      <c r="H130" s="241" t="n">
        <v>23000</v>
      </c>
      <c r="I130" s="242" t="n">
        <v>23000</v>
      </c>
      <c r="J130" s="242" t="n"/>
      <c r="K130" s="272" t="n"/>
      <c r="L130" s="272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79" t="n"/>
      <c r="B131" s="267" t="inlineStr">
        <is>
          <t>ANA ABDALA</t>
        </is>
      </c>
      <c r="C131" s="268" t="n">
        <v>1</v>
      </c>
      <c r="D131" s="268" t="n"/>
      <c r="E131" s="268" t="n"/>
      <c r="F131" s="269" t="n"/>
      <c r="G131" s="269" t="n"/>
      <c r="H131" s="231" t="n">
        <v>27000</v>
      </c>
      <c r="I131" s="232" t="n"/>
      <c r="J131" s="232" t="n">
        <v>27000</v>
      </c>
      <c r="K131" s="272" t="n"/>
      <c r="L131" s="272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73" t="n">
        <v>46121</v>
      </c>
      <c r="B132" s="274" t="inlineStr">
        <is>
          <t>PIEDRABUENA 1927</t>
        </is>
      </c>
      <c r="C132" s="275" t="n"/>
      <c r="D132" s="275" t="n"/>
      <c r="E132" s="275" t="n">
        <v>1</v>
      </c>
      <c r="F132" s="276" t="n"/>
      <c r="G132" s="276" t="n"/>
      <c r="H132" s="241" t="n">
        <v>86000</v>
      </c>
      <c r="I132" s="242" t="n">
        <v>86000</v>
      </c>
      <c r="J132" s="242" t="n"/>
      <c r="K132" s="272" t="n"/>
      <c r="L132" s="272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79" t="n"/>
      <c r="B133" s="267" t="inlineStr">
        <is>
          <t>OTNIEL</t>
        </is>
      </c>
      <c r="C133" s="268" t="n"/>
      <c r="D133" s="268" t="n"/>
      <c r="E133" s="268" t="n">
        <v>1</v>
      </c>
      <c r="F133" s="269" t="n">
        <v>4</v>
      </c>
      <c r="G133" s="269" t="n">
        <v>4</v>
      </c>
      <c r="H133" s="231" t="n">
        <v>124800</v>
      </c>
      <c r="I133" s="232" t="n">
        <v>103000</v>
      </c>
      <c r="J133" s="232" t="n">
        <v>21800</v>
      </c>
      <c r="K133" s="272" t="n"/>
      <c r="L133" s="272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73" t="n"/>
      <c r="B134" s="274" t="inlineStr">
        <is>
          <t>PEDRO VEGA 4343</t>
        </is>
      </c>
      <c r="C134" s="275" t="n"/>
      <c r="D134" s="275" t="n"/>
      <c r="E134" s="275" t="n">
        <v>1</v>
      </c>
      <c r="F134" s="276" t="n"/>
      <c r="G134" s="276" t="n"/>
      <c r="H134" s="241" t="n">
        <v>90000</v>
      </c>
      <c r="I134" s="242" t="n">
        <v>90000</v>
      </c>
      <c r="J134" s="242" t="n"/>
      <c r="K134" s="272" t="n"/>
      <c r="L134" s="272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79" t="n"/>
      <c r="B135" s="267" t="inlineStr">
        <is>
          <t>VIANDAS JORGE</t>
        </is>
      </c>
      <c r="C135" s="268" t="n">
        <v>1</v>
      </c>
      <c r="D135" s="268" t="n"/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73" t="n"/>
      <c r="B136" s="274" t="inlineStr">
        <is>
          <t>URQUIZA 2031</t>
        </is>
      </c>
      <c r="C136" s="275" t="n"/>
      <c r="D136" s="275" t="n"/>
      <c r="E136" s="275" t="n">
        <v>1</v>
      </c>
      <c r="F136" s="276" t="n"/>
      <c r="G136" s="276" t="n"/>
      <c r="H136" s="241" t="n">
        <v>85000</v>
      </c>
      <c r="I136" s="242" t="n">
        <v>85000</v>
      </c>
      <c r="J136" s="242" t="n"/>
      <c r="K136" s="272" t="n"/>
      <c r="L136" s="272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79" t="n"/>
      <c r="B137" s="267" t="inlineStr">
        <is>
          <t xml:space="preserve">ALBERTI Y GABOTO </t>
        </is>
      </c>
      <c r="C137" s="268" t="n">
        <v>3</v>
      </c>
      <c r="D137" s="268" t="n"/>
      <c r="E137" s="268" t="n"/>
      <c r="F137" s="269" t="n"/>
      <c r="G137" s="269" t="n"/>
      <c r="H137" s="231" t="n">
        <v>57000</v>
      </c>
      <c r="I137" s="232" t="n">
        <v>57000</v>
      </c>
      <c r="J137" s="232" t="n"/>
      <c r="K137" s="272" t="n"/>
      <c r="L137" s="272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73" t="n"/>
      <c r="B138" s="274" t="inlineStr">
        <is>
          <t>BLAS PARERA 5224</t>
        </is>
      </c>
      <c r="C138" s="275" t="n"/>
      <c r="D138" s="275" t="n"/>
      <c r="E138" s="275" t="n">
        <v>1</v>
      </c>
      <c r="F138" s="276" t="n"/>
      <c r="G138" s="276" t="n"/>
      <c r="H138" s="241" t="n">
        <v>85000</v>
      </c>
      <c r="I138" s="242" t="n"/>
      <c r="J138" s="242" t="n">
        <v>85000</v>
      </c>
      <c r="K138" s="272" t="n"/>
      <c r="L138" s="272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79" t="n"/>
      <c r="B139" s="267" t="inlineStr">
        <is>
          <t>MALAVER 4238</t>
        </is>
      </c>
      <c r="C139" s="268" t="n"/>
      <c r="D139" s="268" t="n">
        <v>1</v>
      </c>
      <c r="E139" s="268" t="n"/>
      <c r="F139" s="269" t="n"/>
      <c r="G139" s="269" t="n"/>
      <c r="H139" s="231" t="n">
        <v>36500</v>
      </c>
      <c r="I139" s="232" t="n"/>
      <c r="J139" s="232" t="n">
        <v>36500</v>
      </c>
      <c r="K139" s="272" t="n"/>
      <c r="L139" s="272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73" t="n"/>
      <c r="B140" s="274" t="inlineStr">
        <is>
          <t>ZAVALLA 8455</t>
        </is>
      </c>
      <c r="C140" s="275" t="n">
        <v>1</v>
      </c>
      <c r="D140" s="275" t="n"/>
      <c r="E140" s="275" t="n"/>
      <c r="F140" s="276" t="n"/>
      <c r="G140" s="276" t="n"/>
      <c r="H140" s="241" t="n">
        <v>26000</v>
      </c>
      <c r="I140" s="242" t="n"/>
      <c r="J140" s="242" t="n">
        <v>26000</v>
      </c>
      <c r="K140" s="272" t="n"/>
      <c r="L140" s="272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79" t="n"/>
      <c r="B141" s="267" t="inlineStr">
        <is>
          <t xml:space="preserve">DANTE </t>
        </is>
      </c>
      <c r="C141" s="268" t="n">
        <v>2</v>
      </c>
      <c r="D141" s="268" t="n"/>
      <c r="E141" s="268" t="n"/>
      <c r="F141" s="269" t="n"/>
      <c r="G141" s="269" t="n"/>
      <c r="H141" s="231" t="n">
        <v>54000</v>
      </c>
      <c r="I141" s="232" t="n">
        <v>54000</v>
      </c>
      <c r="J141" s="232" t="n"/>
      <c r="K141" s="272" t="n"/>
      <c r="L141" s="272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73" t="n"/>
      <c r="B142" s="274" t="inlineStr">
        <is>
          <t>CASANELLO 3463</t>
        </is>
      </c>
      <c r="C142" s="275" t="n"/>
      <c r="D142" s="275" t="n">
        <v>1</v>
      </c>
      <c r="E142" s="275" t="n"/>
      <c r="F142" s="276" t="n"/>
      <c r="G142" s="276" t="n"/>
      <c r="H142" s="241" t="n">
        <v>36500</v>
      </c>
      <c r="I142" s="242" t="n">
        <v>36500</v>
      </c>
      <c r="J142" s="242" t="n"/>
      <c r="K142" s="272" t="n"/>
      <c r="L142" s="272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79" t="n"/>
      <c r="B143" s="267" t="inlineStr">
        <is>
          <t xml:space="preserve">ROTI VIEYTES </t>
        </is>
      </c>
      <c r="C143" s="268" t="n"/>
      <c r="D143" s="268" t="n">
        <v>2</v>
      </c>
      <c r="E143" s="268" t="n"/>
      <c r="F143" s="269" t="n"/>
      <c r="G143" s="269" t="n"/>
      <c r="H143" s="231" t="n">
        <v>61000</v>
      </c>
      <c r="I143" s="232" t="n"/>
      <c r="J143" s="232" t="n">
        <v>61000</v>
      </c>
      <c r="K143" s="272" t="n"/>
      <c r="L143" s="272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73" t="n"/>
      <c r="B144" s="274" t="inlineStr">
        <is>
          <t>SAVEDRA 10125</t>
        </is>
      </c>
      <c r="C144" s="275" t="n"/>
      <c r="D144" s="275" t="n"/>
      <c r="E144" s="275" t="n">
        <v>1</v>
      </c>
      <c r="F144" s="276" t="n"/>
      <c r="G144" s="276" t="n"/>
      <c r="H144" s="241" t="n">
        <v>92000</v>
      </c>
      <c r="I144" s="242" t="n"/>
      <c r="J144" s="242" t="n">
        <v>92000</v>
      </c>
      <c r="K144" s="272" t="n"/>
      <c r="L144" s="272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22500</v>
      </c>
      <c r="I145" s="232" t="n"/>
      <c r="J145" s="232" t="n">
        <v>22500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73" t="n"/>
      <c r="B146" s="274" t="inlineStr">
        <is>
          <t>EXE</t>
        </is>
      </c>
      <c r="C146" s="275" t="n"/>
      <c r="D146" s="275" t="n"/>
      <c r="E146" s="275" t="n">
        <v>1</v>
      </c>
      <c r="F146" s="276" t="n"/>
      <c r="G146" s="276" t="n"/>
      <c r="H146" s="241" t="n">
        <v>82000</v>
      </c>
      <c r="I146" s="242" t="n"/>
      <c r="J146" s="242" t="n">
        <v>82000</v>
      </c>
      <c r="K146" s="272" t="n"/>
      <c r="L146" s="272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79" t="n"/>
      <c r="B147" s="267" t="inlineStr">
        <is>
          <t>CASTAÑADUY 7035</t>
        </is>
      </c>
      <c r="C147" s="268" t="n"/>
      <c r="D147" s="268" t="n"/>
      <c r="E147" s="268" t="n">
        <v>1</v>
      </c>
      <c r="F147" s="269" t="n"/>
      <c r="G147" s="269" t="n"/>
      <c r="H147" s="231" t="n">
        <v>85000</v>
      </c>
      <c r="I147" s="232" t="n"/>
      <c r="J147" s="232" t="n">
        <v>85000</v>
      </c>
      <c r="K147" s="272" t="n"/>
      <c r="L147" s="272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73" t="n">
        <v>46122</v>
      </c>
      <c r="B148" s="274" t="inlineStr">
        <is>
          <t>ESTRADA 2198</t>
        </is>
      </c>
      <c r="C148" s="275" t="n"/>
      <c r="D148" s="275" t="n"/>
      <c r="E148" s="275" t="n">
        <v>1</v>
      </c>
      <c r="F148" s="276" t="n"/>
      <c r="G148" s="276" t="n"/>
      <c r="H148" s="241" t="n">
        <v>95000</v>
      </c>
      <c r="I148" s="242" t="n">
        <v>95000</v>
      </c>
      <c r="J148" s="242" t="n"/>
      <c r="K148" s="272" t="n"/>
      <c r="L148" s="272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79" t="n"/>
      <c r="B149" s="267" t="inlineStr">
        <is>
          <t>FORMOSA 6058</t>
        </is>
      </c>
      <c r="C149" s="268" t="n">
        <v>1</v>
      </c>
      <c r="D149" s="268" t="n"/>
      <c r="E149" s="268" t="n"/>
      <c r="F149" s="269" t="n"/>
      <c r="G149" s="269" t="n">
        <v>3</v>
      </c>
      <c r="H149" s="231" t="n">
        <v>45000</v>
      </c>
      <c r="I149" s="232" t="n">
        <v>45000</v>
      </c>
      <c r="J149" s="232" t="n"/>
      <c r="K149" s="272" t="n"/>
      <c r="L149" s="272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73" t="n"/>
      <c r="B150" s="274" t="inlineStr">
        <is>
          <t>PJE AGUIAR 9340</t>
        </is>
      </c>
      <c r="C150" s="275" t="n"/>
      <c r="D150" s="275" t="n">
        <v>1</v>
      </c>
      <c r="E150" s="275" t="n"/>
      <c r="F150" s="276" t="n"/>
      <c r="G150" s="276" t="n"/>
      <c r="H150" s="241" t="n">
        <v>36500</v>
      </c>
      <c r="I150" s="242" t="n"/>
      <c r="J150" s="242" t="n">
        <v>36500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79" t="n"/>
      <c r="B151" s="267" t="inlineStr">
        <is>
          <t>FILOMENA</t>
        </is>
      </c>
      <c r="C151" s="268" t="n">
        <v>2</v>
      </c>
      <c r="D151" s="268" t="n"/>
      <c r="E151" s="268" t="n"/>
      <c r="F151" s="269" t="n"/>
      <c r="G151" s="269" t="n"/>
      <c r="H151" s="231" t="n">
        <v>46000</v>
      </c>
      <c r="I151" s="232" t="n"/>
      <c r="J151" s="232" t="n">
        <v>46000</v>
      </c>
      <c r="K151" s="272" t="n"/>
      <c r="L151" s="272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73" t="n"/>
      <c r="B152" s="274" t="inlineStr">
        <is>
          <t>LLERENA 3161</t>
        </is>
      </c>
      <c r="C152" s="275" t="n">
        <v>1</v>
      </c>
      <c r="D152" s="275" t="n"/>
      <c r="E152" s="275" t="n"/>
      <c r="F152" s="276" t="n"/>
      <c r="G152" s="276" t="n"/>
      <c r="H152" s="241" t="n">
        <v>26000</v>
      </c>
      <c r="I152" s="242" t="n"/>
      <c r="J152" s="242" t="n">
        <v>26000</v>
      </c>
      <c r="K152" s="272" t="n"/>
      <c r="L152" s="272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79" t="n"/>
      <c r="B153" s="267" t="inlineStr">
        <is>
          <t>IGUALDAD</t>
        </is>
      </c>
      <c r="C153" s="268" t="n">
        <v>1</v>
      </c>
      <c r="D153" s="268" t="n"/>
      <c r="E153" s="268" t="n"/>
      <c r="F153" s="269" t="n"/>
      <c r="G153" s="269" t="n"/>
      <c r="H153" s="231" t="n">
        <v>23000</v>
      </c>
      <c r="I153" s="232" t="n"/>
      <c r="J153" s="232" t="n">
        <v>23000</v>
      </c>
      <c r="K153" s="272" t="n"/>
      <c r="L153" s="272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73" t="n"/>
      <c r="B154" s="274" t="inlineStr">
        <is>
          <t>SABOREAR</t>
        </is>
      </c>
      <c r="C154" s="275" t="n"/>
      <c r="D154" s="275" t="n"/>
      <c r="E154" s="275" t="n">
        <v>1</v>
      </c>
      <c r="F154" s="276" t="n"/>
      <c r="G154" s="276" t="n"/>
      <c r="H154" s="241" t="n">
        <v>81000</v>
      </c>
      <c r="I154" s="242" t="n"/>
      <c r="J154" s="242" t="n">
        <v>81000</v>
      </c>
      <c r="K154" s="272" t="n"/>
      <c r="L154" s="272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79" t="n"/>
      <c r="B155" s="267" t="inlineStr">
        <is>
          <t>LAVAISE 3458</t>
        </is>
      </c>
      <c r="C155" s="268" t="n"/>
      <c r="D155" s="268" t="n">
        <v>1</v>
      </c>
      <c r="E155" s="268" t="n"/>
      <c r="F155" s="269" t="n"/>
      <c r="G155" s="269" t="n"/>
      <c r="H155" s="231" t="n">
        <v>35000</v>
      </c>
      <c r="I155" s="232" t="n">
        <v>35000</v>
      </c>
      <c r="J155" s="232" t="n"/>
      <c r="K155" s="272" t="n"/>
      <c r="L155" s="272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73" t="n"/>
      <c r="B156" s="274" t="inlineStr">
        <is>
          <t>PEDRO CEBALLOS 8134</t>
        </is>
      </c>
      <c r="C156" s="275" t="n">
        <v>2</v>
      </c>
      <c r="D156" s="275" t="n"/>
      <c r="E156" s="275" t="n"/>
      <c r="F156" s="276" t="n"/>
      <c r="G156" s="276" t="n"/>
      <c r="H156" s="241" t="n">
        <v>38000</v>
      </c>
      <c r="I156" s="242" t="n">
        <v>38000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79" t="n"/>
      <c r="B157" s="267" t="inlineStr">
        <is>
          <t>GORRITI 6742</t>
        </is>
      </c>
      <c r="C157" s="268" t="n">
        <v>1</v>
      </c>
      <c r="D157" s="268" t="n"/>
      <c r="E157" s="268" t="n"/>
      <c r="F157" s="269" t="n"/>
      <c r="G157" s="269" t="n"/>
      <c r="H157" s="231" t="n">
        <v>26000</v>
      </c>
      <c r="I157" s="232" t="n">
        <v>26000</v>
      </c>
      <c r="J157" s="232" t="n"/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73" t="n"/>
      <c r="B158" s="274" t="inlineStr">
        <is>
          <t>ROTI ARISTOBULO</t>
        </is>
      </c>
      <c r="C158" s="275" t="n"/>
      <c r="D158" s="275" t="n">
        <v>1</v>
      </c>
      <c r="E158" s="275" t="n"/>
      <c r="F158" s="276" t="n"/>
      <c r="G158" s="276" t="n"/>
      <c r="H158" s="241" t="n">
        <v>33500</v>
      </c>
      <c r="I158" s="242" t="n"/>
      <c r="J158" s="242" t="n">
        <v>33500</v>
      </c>
      <c r="K158" s="272" t="n"/>
      <c r="L158" s="272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79" t="n"/>
      <c r="B159" s="267" t="inlineStr">
        <is>
          <t>ALSINA 6671</t>
        </is>
      </c>
      <c r="C159" s="268" t="n">
        <v>1</v>
      </c>
      <c r="D159" s="268" t="n"/>
      <c r="E159" s="268" t="n"/>
      <c r="F159" s="269" t="n"/>
      <c r="G159" s="269" t="n"/>
      <c r="H159" s="231" t="n">
        <v>26000</v>
      </c>
      <c r="I159" s="232" t="n">
        <v>26000</v>
      </c>
      <c r="J159" s="232" t="n"/>
      <c r="K159" s="272" t="n"/>
      <c r="L159" s="272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73" t="n">
        <v>46123</v>
      </c>
      <c r="B160" s="274" t="inlineStr">
        <is>
          <t>AYACUCHO 5370</t>
        </is>
      </c>
      <c r="C160" s="275" t="n"/>
      <c r="D160" s="275" t="n"/>
      <c r="E160" s="275" t="n"/>
      <c r="F160" s="276" t="n"/>
      <c r="G160" s="276" t="n">
        <v>1</v>
      </c>
      <c r="H160" s="241" t="n">
        <v>6000</v>
      </c>
      <c r="I160" s="242" t="n"/>
      <c r="J160" s="242" t="n">
        <v>6000</v>
      </c>
      <c r="K160" s="272" t="n"/>
      <c r="L160" s="272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79" t="n"/>
      <c r="B161" s="267" t="inlineStr">
        <is>
          <t>ROTI AGUADO</t>
        </is>
      </c>
      <c r="C161" s="268" t="n"/>
      <c r="D161" s="268" t="n">
        <v>1</v>
      </c>
      <c r="E161" s="268" t="n"/>
      <c r="F161" s="269" t="n"/>
      <c r="G161" s="269" t="n"/>
      <c r="H161" s="231" t="n">
        <v>33500</v>
      </c>
      <c r="I161" s="232" t="n"/>
      <c r="J161" s="232" t="n">
        <v>33500</v>
      </c>
      <c r="K161" s="272" t="n"/>
      <c r="L161" s="272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73" t="n"/>
      <c r="B162" s="274" t="inlineStr">
        <is>
          <t>PANA GISELA</t>
        </is>
      </c>
      <c r="C162" s="275" t="n"/>
      <c r="D162" s="275" t="n"/>
      <c r="E162" s="275" t="n"/>
      <c r="F162" s="276" t="n">
        <v>2</v>
      </c>
      <c r="G162" s="276" t="n"/>
      <c r="H162" s="241" t="n">
        <v>7200</v>
      </c>
      <c r="I162" s="242" t="n"/>
      <c r="J162" s="242" t="n">
        <v>7200</v>
      </c>
      <c r="K162" s="272" t="n"/>
      <c r="L162" s="272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78000</v>
      </c>
      <c r="I163" s="232" t="n"/>
      <c r="J163" s="232" t="n">
        <v>78000</v>
      </c>
      <c r="K163" s="272" t="n"/>
      <c r="L163" s="272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73" t="n"/>
      <c r="B164" s="274" t="inlineStr">
        <is>
          <t>PANA ALBERTI</t>
        </is>
      </c>
      <c r="C164" s="275" t="n"/>
      <c r="D164" s="275" t="n"/>
      <c r="E164" s="275" t="n">
        <v>1</v>
      </c>
      <c r="F164" s="276" t="n"/>
      <c r="G164" s="276" t="n"/>
      <c r="H164" s="241" t="n">
        <v>82000</v>
      </c>
      <c r="I164" s="242" t="n">
        <v>82000</v>
      </c>
      <c r="J164" s="242" t="n"/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79" t="n"/>
      <c r="B165" s="267" t="inlineStr">
        <is>
          <t>BRASERIA</t>
        </is>
      </c>
      <c r="C165" s="268" t="n"/>
      <c r="D165" s="268" t="n"/>
      <c r="E165" s="268" t="n">
        <v>1</v>
      </c>
      <c r="F165" s="269" t="n"/>
      <c r="G165" s="269" t="n"/>
      <c r="H165" s="231" t="n">
        <v>83000</v>
      </c>
      <c r="I165" s="232" t="n"/>
      <c r="J165" s="232" t="n">
        <v>83000</v>
      </c>
      <c r="K165" s="272" t="n"/>
      <c r="L165" s="272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73" t="n"/>
      <c r="B166" s="274" t="inlineStr">
        <is>
          <t>ARISTOBULO ROTI</t>
        </is>
      </c>
      <c r="C166" s="275" t="n">
        <v>1</v>
      </c>
      <c r="D166" s="275" t="n"/>
      <c r="E166" s="275" t="n"/>
      <c r="F166" s="276" t="n"/>
      <c r="G166" s="276" t="n"/>
      <c r="H166" s="241" t="n">
        <v>23000</v>
      </c>
      <c r="I166" s="242" t="n">
        <v>23000</v>
      </c>
      <c r="J166" s="242" t="n"/>
      <c r="K166" s="272" t="n"/>
      <c r="L166" s="272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79" t="n"/>
      <c r="B167" s="267" t="inlineStr">
        <is>
          <t>PAULO</t>
        </is>
      </c>
      <c r="C167" s="268" t="n">
        <v>2</v>
      </c>
      <c r="D167" s="268" t="n"/>
      <c r="E167" s="268" t="n"/>
      <c r="F167" s="269" t="n"/>
      <c r="G167" s="269" t="n"/>
      <c r="H167" s="231" t="n">
        <v>37000</v>
      </c>
      <c r="I167" s="232" t="n"/>
      <c r="J167" s="232" t="n">
        <v>37000</v>
      </c>
      <c r="K167" s="272" t="n"/>
      <c r="L167" s="272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73" t="n"/>
      <c r="B168" s="274" t="inlineStr">
        <is>
          <t>OTNIEL</t>
        </is>
      </c>
      <c r="C168" s="275" t="n"/>
      <c r="D168" s="275" t="n">
        <v>1</v>
      </c>
      <c r="E168" s="275" t="n"/>
      <c r="F168" s="276" t="n"/>
      <c r="G168" s="276" t="n"/>
      <c r="H168" s="241" t="n">
        <v>34000</v>
      </c>
      <c r="I168" s="242" t="n"/>
      <c r="J168" s="242" t="n">
        <v>34000</v>
      </c>
      <c r="K168" s="272" t="n"/>
      <c r="L168" s="272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79" t="n"/>
      <c r="B169" s="267" t="inlineStr">
        <is>
          <t>ARISTOBULO 6897</t>
        </is>
      </c>
      <c r="C169" s="268" t="n"/>
      <c r="D169" s="268" t="n"/>
      <c r="E169" s="268" t="n">
        <v>1</v>
      </c>
      <c r="F169" s="269" t="n"/>
      <c r="G169" s="269" t="n"/>
      <c r="H169" s="231" t="n">
        <v>90000</v>
      </c>
      <c r="I169" s="232" t="n"/>
      <c r="J169" s="232" t="n">
        <v>90000</v>
      </c>
      <c r="K169" s="272" t="n"/>
      <c r="L169" s="272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73" t="n"/>
      <c r="B170" s="274" t="inlineStr">
        <is>
          <t>D SILVA 4217</t>
        </is>
      </c>
      <c r="C170" s="275" t="n">
        <v>2</v>
      </c>
      <c r="D170" s="275" t="n"/>
      <c r="E170" s="275" t="n"/>
      <c r="F170" s="276" t="n"/>
      <c r="G170" s="276" t="n"/>
      <c r="H170" s="241" t="n">
        <v>38000</v>
      </c>
      <c r="I170" s="242" t="n"/>
      <c r="J170" s="242" t="n">
        <v>38000</v>
      </c>
      <c r="K170" s="272" t="n"/>
      <c r="L170" s="272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79" t="n"/>
      <c r="B171" s="267" t="inlineStr">
        <is>
          <t>ROQUE S PEÑA 3066</t>
        </is>
      </c>
      <c r="C171" s="268" t="n"/>
      <c r="D171" s="268" t="n">
        <v>1</v>
      </c>
      <c r="E171" s="268" t="n"/>
      <c r="F171" s="269" t="n"/>
      <c r="G171" s="269" t="n"/>
      <c r="H171" s="231" t="n">
        <v>41000</v>
      </c>
      <c r="I171" s="232" t="n"/>
      <c r="J171" s="232" t="n">
        <v>41000</v>
      </c>
      <c r="K171" s="272" t="n"/>
      <c r="L171" s="272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73" t="n"/>
      <c r="B172" s="274" t="inlineStr">
        <is>
          <t>BONEO 4054</t>
        </is>
      </c>
      <c r="C172" s="275" t="n">
        <v>1</v>
      </c>
      <c r="D172" s="275" t="n">
        <v>1</v>
      </c>
      <c r="E172" s="275" t="n"/>
      <c r="F172" s="276" t="n"/>
      <c r="G172" s="276" t="n"/>
      <c r="H172" s="241" t="n">
        <v>65000</v>
      </c>
      <c r="I172" s="242" t="n">
        <v>65000</v>
      </c>
      <c r="J172" s="242" t="n"/>
      <c r="K172" s="272" t="n"/>
      <c r="L172" s="272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79" t="n"/>
      <c r="B173" s="267" t="inlineStr">
        <is>
          <t>E ISRAEL 4717</t>
        </is>
      </c>
      <c r="C173" s="268" t="n">
        <v>1</v>
      </c>
      <c r="D173" s="268" t="n"/>
      <c r="E173" s="268" t="n"/>
      <c r="F173" s="269" t="n"/>
      <c r="G173" s="269" t="n"/>
      <c r="H173" s="231" t="n">
        <v>26000</v>
      </c>
      <c r="I173" s="232" t="n">
        <v>26000</v>
      </c>
      <c r="J173" s="232" t="n"/>
      <c r="K173" s="272" t="n"/>
      <c r="L173" s="272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73" t="n"/>
      <c r="B174" s="274" t="inlineStr">
        <is>
          <t>TACUARI 5717</t>
        </is>
      </c>
      <c r="C174" s="275" t="n">
        <v>1</v>
      </c>
      <c r="D174" s="275" t="n"/>
      <c r="E174" s="275" t="n"/>
      <c r="F174" s="276" t="n"/>
      <c r="G174" s="276" t="n"/>
      <c r="H174" s="241" t="n">
        <v>25000</v>
      </c>
      <c r="I174" s="242" t="n"/>
      <c r="J174" s="242" t="n">
        <v>25000</v>
      </c>
      <c r="K174" s="272" t="n"/>
      <c r="L174" s="272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79" t="n"/>
      <c r="B175" s="267" t="inlineStr">
        <is>
          <t>FILOMENA</t>
        </is>
      </c>
      <c r="C175" s="268" t="n">
        <v>2</v>
      </c>
      <c r="D175" s="268" t="n"/>
      <c r="E175" s="268" t="n"/>
      <c r="F175" s="269" t="n"/>
      <c r="G175" s="269" t="n"/>
      <c r="H175" s="231" t="n">
        <v>46000</v>
      </c>
      <c r="I175" s="232" t="n"/>
      <c r="J175" s="232" t="n">
        <v>46000</v>
      </c>
      <c r="K175" s="272" t="n"/>
      <c r="L175" s="272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73" t="n"/>
      <c r="B176" s="274" t="inlineStr">
        <is>
          <t>DRAXXO COSTA</t>
        </is>
      </c>
      <c r="C176" s="275" t="n">
        <v>1</v>
      </c>
      <c r="D176" s="275" t="n"/>
      <c r="E176" s="275" t="n"/>
      <c r="F176" s="276" t="n"/>
      <c r="G176" s="276" t="n"/>
      <c r="H176" s="241" t="n">
        <v>26000</v>
      </c>
      <c r="I176" s="242" t="n">
        <v>26000</v>
      </c>
      <c r="J176" s="242" t="n"/>
      <c r="K176" s="272" t="n"/>
      <c r="L176" s="272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79" t="n"/>
      <c r="B177" s="267" t="inlineStr">
        <is>
          <t>CANCHA RIVADAVIA</t>
        </is>
      </c>
      <c r="C177" s="268" t="n">
        <v>1</v>
      </c>
      <c r="D177" s="268" t="n"/>
      <c r="E177" s="268" t="n">
        <v>1</v>
      </c>
      <c r="F177" s="269" t="n"/>
      <c r="G177" s="269" t="n"/>
      <c r="H177" s="231" t="n">
        <v>105000</v>
      </c>
      <c r="I177" s="232" t="n"/>
      <c r="J177" s="232" t="n">
        <v>105000</v>
      </c>
      <c r="K177" s="272" t="n"/>
      <c r="L177" s="272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73" t="n"/>
      <c r="B178" s="274" t="inlineStr">
        <is>
          <t>CAREN</t>
        </is>
      </c>
      <c r="C178" s="275" t="n"/>
      <c r="D178" s="275" t="n"/>
      <c r="E178" s="275" t="n">
        <v>1</v>
      </c>
      <c r="F178" s="276" t="n"/>
      <c r="G178" s="276" t="n"/>
      <c r="H178" s="241" t="n">
        <v>82000</v>
      </c>
      <c r="I178" s="242" t="n"/>
      <c r="J178" s="242" t="n">
        <v>82000</v>
      </c>
      <c r="K178" s="272" t="n"/>
      <c r="L178" s="272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79" t="n">
        <v>46124</v>
      </c>
      <c r="B179" s="267" t="inlineStr">
        <is>
          <t>9 DE JULIO 2366</t>
        </is>
      </c>
      <c r="C179" s="268" t="n">
        <v>1</v>
      </c>
      <c r="D179" s="268" t="n"/>
      <c r="E179" s="268" t="n"/>
      <c r="F179" s="269" t="n"/>
      <c r="G179" s="269" t="n"/>
      <c r="H179" s="231" t="n">
        <v>27000</v>
      </c>
      <c r="I179" s="232" t="n">
        <v>27000</v>
      </c>
      <c r="J179" s="232" t="n"/>
      <c r="K179" s="272" t="n"/>
      <c r="L179" s="272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73" t="n"/>
      <c r="B180" s="274" t="inlineStr">
        <is>
          <t>DANA</t>
        </is>
      </c>
      <c r="C180" s="275" t="n">
        <v>2</v>
      </c>
      <c r="D180" s="275" t="n">
        <v>1</v>
      </c>
      <c r="E180" s="275" t="n"/>
      <c r="F180" s="276" t="n"/>
      <c r="G180" s="276" t="n"/>
      <c r="H180" s="241" t="n">
        <v>67000</v>
      </c>
      <c r="I180" s="242" t="n"/>
      <c r="J180" s="242" t="n">
        <v>67000</v>
      </c>
      <c r="K180" s="272" t="n"/>
      <c r="L180" s="272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79" t="n"/>
      <c r="B181" s="267" t="inlineStr">
        <is>
          <t>LUCAS MANSILLA</t>
        </is>
      </c>
      <c r="C181" s="268" t="n">
        <v>1</v>
      </c>
      <c r="D181" s="268" t="n"/>
      <c r="E181" s="268" t="n"/>
      <c r="F181" s="269" t="n"/>
      <c r="G181" s="269" t="n"/>
      <c r="H181" s="231" t="n">
        <v>27000</v>
      </c>
      <c r="I181" s="232" t="n">
        <v>27000</v>
      </c>
      <c r="J181" s="232" t="n"/>
      <c r="K181" s="272" t="n"/>
      <c r="L181" s="272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73" t="n"/>
      <c r="B182" s="274" t="inlineStr">
        <is>
          <t>DANTE</t>
        </is>
      </c>
      <c r="C182" s="275" t="n">
        <v>2</v>
      </c>
      <c r="D182" s="275" t="n"/>
      <c r="E182" s="275" t="n"/>
      <c r="F182" s="276" t="n"/>
      <c r="G182" s="276" t="n"/>
      <c r="H182" s="241" t="n">
        <v>54000</v>
      </c>
      <c r="I182" s="242" t="n">
        <v>54000</v>
      </c>
      <c r="J182" s="242" t="n"/>
      <c r="K182" s="272" t="n"/>
      <c r="L182" s="272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79" t="n"/>
      <c r="B183" s="267" t="inlineStr">
        <is>
          <t>ILGATO</t>
        </is>
      </c>
      <c r="C183" s="268" t="n"/>
      <c r="D183" s="268" t="n"/>
      <c r="E183" s="268" t="n">
        <v>1</v>
      </c>
      <c r="F183" s="269" t="n"/>
      <c r="G183" s="269" t="n"/>
      <c r="H183" s="231" t="n">
        <v>92000</v>
      </c>
      <c r="I183" s="232" t="n"/>
      <c r="J183" s="232" t="n">
        <v>92000</v>
      </c>
      <c r="K183" s="272" t="n"/>
      <c r="L183" s="272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73" t="n"/>
      <c r="B184" s="274" t="inlineStr">
        <is>
          <t>NECOCHEA 3933</t>
        </is>
      </c>
      <c r="C184" s="275" t="n"/>
      <c r="D184" s="275" t="n"/>
      <c r="E184" s="275" t="n">
        <v>1</v>
      </c>
      <c r="F184" s="276" t="n"/>
      <c r="G184" s="276" t="n"/>
      <c r="H184" s="241" t="n">
        <v>80000</v>
      </c>
      <c r="I184" s="242" t="n"/>
      <c r="J184" s="242" t="n">
        <v>80000</v>
      </c>
      <c r="K184" s="272" t="n"/>
      <c r="L184" s="272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79" t="n"/>
      <c r="B185" s="267" t="inlineStr">
        <is>
          <t>9 DE JULIO 9244</t>
        </is>
      </c>
      <c r="C185" s="268" t="n"/>
      <c r="D185" s="268" t="n"/>
      <c r="E185" s="268" t="n">
        <v>1</v>
      </c>
      <c r="F185" s="269" t="n"/>
      <c r="G185" s="269" t="n"/>
      <c r="H185" s="231" t="n">
        <v>84000</v>
      </c>
      <c r="I185" s="232" t="n"/>
      <c r="J185" s="232" t="n">
        <v>84000</v>
      </c>
      <c r="K185" s="272" t="n"/>
      <c r="L185" s="272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73" t="n"/>
      <c r="B186" s="274" t="inlineStr">
        <is>
          <t>LUCHO</t>
        </is>
      </c>
      <c r="C186" s="275" t="n">
        <v>5</v>
      </c>
      <c r="D186" s="275" t="n"/>
      <c r="E186" s="275" t="n"/>
      <c r="F186" s="276" t="n"/>
      <c r="G186" s="276" t="n"/>
      <c r="H186" s="241" t="n">
        <v>95000</v>
      </c>
      <c r="I186" s="242" t="n">
        <v>95000</v>
      </c>
      <c r="J186" s="242" t="n"/>
      <c r="K186" s="272" t="n"/>
      <c r="L186" s="272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79" t="n">
        <v>46125</v>
      </c>
      <c r="B187" s="267" t="inlineStr">
        <is>
          <t>ZAVALLA 2880</t>
        </is>
      </c>
      <c r="C187" s="268" t="n">
        <v>1</v>
      </c>
      <c r="D187" s="268" t="n"/>
      <c r="E187" s="268" t="n"/>
      <c r="F187" s="269" t="n"/>
      <c r="G187" s="269" t="n"/>
      <c r="H187" s="231" t="n">
        <v>26000</v>
      </c>
      <c r="I187" s="232" t="n"/>
      <c r="J187" s="232" t="n">
        <v>26000</v>
      </c>
      <c r="K187" s="272" t="n"/>
      <c r="L187" s="272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73" t="n"/>
      <c r="B188" s="274" t="inlineStr">
        <is>
          <t>PAULO</t>
        </is>
      </c>
      <c r="C188" s="275" t="n">
        <v>3</v>
      </c>
      <c r="D188" s="275" t="n"/>
      <c r="E188" s="275" t="n"/>
      <c r="F188" s="276" t="n"/>
      <c r="G188" s="276" t="n"/>
      <c r="H188" s="241" t="n">
        <v>57000</v>
      </c>
      <c r="I188" s="242" t="n"/>
      <c r="J188" s="242" t="n">
        <v>57000</v>
      </c>
      <c r="K188" s="272" t="n"/>
      <c r="L188" s="272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79" t="n"/>
      <c r="B189" s="267" t="inlineStr">
        <is>
          <t>AZCUENAGA 5023</t>
        </is>
      </c>
      <c r="C189" s="268" t="n">
        <v>7</v>
      </c>
      <c r="D189" s="268" t="n"/>
      <c r="E189" s="268" t="n"/>
      <c r="F189" s="269" t="n"/>
      <c r="G189" s="269" t="n"/>
      <c r="H189" s="231" t="n">
        <v>133000</v>
      </c>
      <c r="I189" s="232" t="n"/>
      <c r="J189" s="232" t="n">
        <v>133000</v>
      </c>
      <c r="K189" s="272" t="n"/>
      <c r="L189" s="272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73" t="n"/>
      <c r="B190" s="274" t="inlineStr">
        <is>
          <t>M ZAPATA 1328</t>
        </is>
      </c>
      <c r="C190" s="275" t="n">
        <v>1</v>
      </c>
      <c r="D190" s="275" t="n"/>
      <c r="E190" s="275" t="n"/>
      <c r="F190" s="276" t="n"/>
      <c r="G190" s="276" t="n"/>
      <c r="H190" s="241" t="n">
        <v>26000</v>
      </c>
      <c r="I190" s="242" t="n">
        <v>26000</v>
      </c>
      <c r="J190" s="242" t="n"/>
      <c r="K190" s="272" t="n"/>
      <c r="L190" s="272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79" t="n"/>
      <c r="B191" s="267" t="inlineStr">
        <is>
          <t>VIANDAS JORGE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73" t="n"/>
      <c r="B192" s="274" t="inlineStr">
        <is>
          <t>BLAS PARERA 6578</t>
        </is>
      </c>
      <c r="C192" s="275" t="n"/>
      <c r="D192" s="275" t="n">
        <v>1</v>
      </c>
      <c r="E192" s="275" t="n"/>
      <c r="F192" s="276" t="n"/>
      <c r="G192" s="276" t="n"/>
      <c r="H192" s="241" t="n">
        <v>39000</v>
      </c>
      <c r="I192" s="242" t="n">
        <v>39000</v>
      </c>
      <c r="J192" s="242" t="n"/>
      <c r="K192" s="272" t="n"/>
      <c r="L192" s="272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79" t="n"/>
      <c r="B193" s="267" t="inlineStr">
        <is>
          <t>LOBATO</t>
        </is>
      </c>
      <c r="C193" s="268" t="n"/>
      <c r="D193" s="268" t="n"/>
      <c r="E193" s="268" t="n">
        <v>1</v>
      </c>
      <c r="F193" s="269" t="n"/>
      <c r="G193" s="269" t="n"/>
      <c r="H193" s="231" t="n">
        <v>85000</v>
      </c>
      <c r="I193" s="232" t="n">
        <v>85000</v>
      </c>
      <c r="J193" s="232" t="n"/>
      <c r="K193" s="272" t="n"/>
      <c r="L193" s="272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73" t="n"/>
      <c r="B194" s="274" t="inlineStr">
        <is>
          <t>FILOMENA</t>
        </is>
      </c>
      <c r="C194" s="275" t="n">
        <v>2</v>
      </c>
      <c r="D194" s="275" t="n"/>
      <c r="E194" s="275" t="n"/>
      <c r="F194" s="276" t="n"/>
      <c r="G194" s="276" t="n"/>
      <c r="H194" s="241" t="n">
        <v>46000</v>
      </c>
      <c r="I194" s="242" t="n"/>
      <c r="J194" s="242" t="n">
        <v>46000</v>
      </c>
      <c r="K194" s="272" t="n"/>
      <c r="L194" s="272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79" t="n"/>
      <c r="B195" s="267" t="inlineStr">
        <is>
          <t>PAVON 3435</t>
        </is>
      </c>
      <c r="C195" s="268" t="n"/>
      <c r="D195" s="268" t="n"/>
      <c r="E195" s="268" t="n">
        <v>1</v>
      </c>
      <c r="F195" s="269" t="n"/>
      <c r="G195" s="269" t="n"/>
      <c r="H195" s="231" t="n">
        <v>78000</v>
      </c>
      <c r="I195" s="232" t="n"/>
      <c r="J195" s="232" t="n">
        <v>78000</v>
      </c>
      <c r="K195" s="272" t="n"/>
      <c r="L195" s="272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73" t="n"/>
      <c r="B196" s="274" t="inlineStr">
        <is>
          <t>ARISTOBULO 5137</t>
        </is>
      </c>
      <c r="C196" s="275" t="n"/>
      <c r="D196" s="275" t="n">
        <v>1</v>
      </c>
      <c r="E196" s="275" t="n"/>
      <c r="F196" s="276" t="n"/>
      <c r="G196" s="276" t="n"/>
      <c r="H196" s="241" t="n">
        <v>37500</v>
      </c>
      <c r="I196" s="242" t="n"/>
      <c r="J196" s="242" t="n">
        <v>37500</v>
      </c>
      <c r="K196" s="272" t="n"/>
      <c r="L196" s="272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79" t="n"/>
      <c r="B197" s="267" t="inlineStr">
        <is>
          <t>FRANCIA 2247</t>
        </is>
      </c>
      <c r="C197" s="268" t="n">
        <v>1</v>
      </c>
      <c r="D197" s="268" t="n"/>
      <c r="E197" s="268" t="n"/>
      <c r="F197" s="269" t="n"/>
      <c r="G197" s="269" t="n"/>
      <c r="H197" s="231" t="n">
        <v>26000</v>
      </c>
      <c r="I197" s="232" t="n"/>
      <c r="J197" s="232" t="n">
        <v>26000</v>
      </c>
      <c r="K197" s="272" t="n"/>
      <c r="L197" s="272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73" t="n"/>
      <c r="B198" s="274" t="inlineStr">
        <is>
          <t>FRANCIA 9250</t>
        </is>
      </c>
      <c r="C198" s="275" t="n"/>
      <c r="D198" s="275" t="n"/>
      <c r="E198" s="275" t="n">
        <v>1</v>
      </c>
      <c r="F198" s="276" t="n"/>
      <c r="G198" s="276" t="n"/>
      <c r="H198" s="241" t="n">
        <v>84000</v>
      </c>
      <c r="I198" s="242" t="n"/>
      <c r="J198" s="242" t="n">
        <v>84000</v>
      </c>
      <c r="K198" s="272" t="n"/>
      <c r="L198" s="272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79" t="n">
        <v>46127</v>
      </c>
      <c r="B199" s="267" t="inlineStr">
        <is>
          <t>JAVIER DE LA ROSA 459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61500</v>
      </c>
      <c r="I199" s="232" t="n"/>
      <c r="J199" s="232" t="n">
        <v>61500</v>
      </c>
      <c r="K199" s="272" t="n"/>
      <c r="L199" s="272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73" t="n"/>
      <c r="B200" s="274" t="inlineStr">
        <is>
          <t>AYACUCHO 3760</t>
        </is>
      </c>
      <c r="C200" s="275" t="n">
        <v>1</v>
      </c>
      <c r="D200" s="275" t="n"/>
      <c r="E200" s="275" t="n"/>
      <c r="F200" s="276" t="n"/>
      <c r="G200" s="276" t="n"/>
      <c r="H200" s="241" t="n">
        <v>25000</v>
      </c>
      <c r="I200" s="242" t="n"/>
      <c r="J200" s="242" t="n">
        <v>25000</v>
      </c>
      <c r="K200" s="272" t="n"/>
      <c r="L200" s="272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79" t="n"/>
      <c r="B201" s="267" t="inlineStr">
        <is>
          <t xml:space="preserve">SAN MARTIN 8050 </t>
        </is>
      </c>
      <c r="C201" s="268" t="n">
        <v>1</v>
      </c>
      <c r="D201" s="268" t="n"/>
      <c r="E201" s="268" t="n"/>
      <c r="F201" s="269" t="n"/>
      <c r="G201" s="269" t="n"/>
      <c r="H201" s="231" t="n">
        <v>26000</v>
      </c>
      <c r="I201" s="232" t="n"/>
      <c r="J201" s="232" t="n">
        <v>26000</v>
      </c>
      <c r="K201" s="272" t="n"/>
      <c r="L201" s="272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73" t="n"/>
      <c r="B202" s="274" t="inlineStr">
        <is>
          <t xml:space="preserve">ROTI SAN LORENZO </t>
        </is>
      </c>
      <c r="C202" s="275" t="n">
        <v>2</v>
      </c>
      <c r="D202" s="275" t="n">
        <v>2</v>
      </c>
      <c r="E202" s="275" t="n"/>
      <c r="F202" s="276" t="n"/>
      <c r="G202" s="276" t="n"/>
      <c r="H202" s="241" t="n">
        <v>117000</v>
      </c>
      <c r="I202" s="242" t="n"/>
      <c r="J202" s="242" t="n">
        <v>117000</v>
      </c>
      <c r="K202" s="272" t="n"/>
      <c r="L202" s="272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79" t="n"/>
      <c r="B203" s="267" t="inlineStr">
        <is>
          <t>MARIO</t>
        </is>
      </c>
      <c r="C203" s="268" t="n">
        <v>3</v>
      </c>
      <c r="D203" s="268" t="n"/>
      <c r="E203" s="268" t="n"/>
      <c r="F203" s="269" t="n"/>
      <c r="G203" s="269" t="n"/>
      <c r="H203" s="231" t="n">
        <v>57000</v>
      </c>
      <c r="I203" s="232" t="n"/>
      <c r="J203" s="232" t="n">
        <v>57000</v>
      </c>
      <c r="K203" s="272" t="n"/>
      <c r="L203" s="272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73" t="n"/>
      <c r="B204" s="274" t="inlineStr">
        <is>
          <t>GORRITI 1971</t>
        </is>
      </c>
      <c r="C204" s="275" t="n"/>
      <c r="D204" s="275" t="n">
        <v>1</v>
      </c>
      <c r="E204" s="275" t="n"/>
      <c r="F204" s="276" t="n"/>
      <c r="G204" s="276" t="n"/>
      <c r="H204" s="241" t="n">
        <v>39000</v>
      </c>
      <c r="I204" s="242" t="n">
        <v>39000</v>
      </c>
      <c r="J204" s="242" t="n"/>
      <c r="K204" s="272" t="n"/>
      <c r="L204" s="272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79" t="n"/>
      <c r="B205" s="267" t="inlineStr">
        <is>
          <t>PUBLICO 9118</t>
        </is>
      </c>
      <c r="C205" s="268" t="n"/>
      <c r="D205" s="268" t="n"/>
      <c r="E205" s="268" t="n">
        <v>1</v>
      </c>
      <c r="F205" s="269" t="n"/>
      <c r="G205" s="269" t="n"/>
      <c r="H205" s="231" t="n">
        <v>88000</v>
      </c>
      <c r="I205" s="232" t="n"/>
      <c r="J205" s="232" t="n">
        <v>88000</v>
      </c>
      <c r="K205" s="272" t="n"/>
      <c r="L205" s="272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73" t="n"/>
      <c r="B206" s="274" t="inlineStr">
        <is>
          <t>GASTON AMARAL</t>
        </is>
      </c>
      <c r="C206" s="275" t="n"/>
      <c r="D206" s="275" t="n"/>
      <c r="E206" s="275" t="n">
        <v>1</v>
      </c>
      <c r="F206" s="276" t="n">
        <v>2</v>
      </c>
      <c r="G206" s="276" t="n"/>
      <c r="H206" s="241" t="n">
        <v>95000</v>
      </c>
      <c r="I206" s="242" t="n">
        <v>95000</v>
      </c>
      <c r="J206" s="242" t="n"/>
      <c r="K206" s="272" t="n"/>
      <c r="L206" s="272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79" t="n">
        <v>46128</v>
      </c>
      <c r="B207" s="267" t="inlineStr">
        <is>
          <t xml:space="preserve">JUAN AZUAGA </t>
        </is>
      </c>
      <c r="C207" s="268" t="n">
        <v>1</v>
      </c>
      <c r="D207" s="268" t="n"/>
      <c r="E207" s="268" t="n"/>
      <c r="F207" s="269" t="n"/>
      <c r="G207" s="269" t="n"/>
      <c r="H207" s="231" t="n">
        <v>20000</v>
      </c>
      <c r="I207" s="232" t="n">
        <v>20000</v>
      </c>
      <c r="J207" s="232" t="n"/>
      <c r="K207" s="272" t="n"/>
      <c r="L207" s="272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73" t="n"/>
      <c r="B208" s="274" t="inlineStr">
        <is>
          <t>AYACUCHO 5370</t>
        </is>
      </c>
      <c r="C208" s="275" t="n"/>
      <c r="D208" s="275" t="n"/>
      <c r="E208" s="275" t="n"/>
      <c r="F208" s="276" t="n"/>
      <c r="G208" s="276" t="n">
        <v>2</v>
      </c>
      <c r="H208" s="241" t="n">
        <v>12000</v>
      </c>
      <c r="I208" s="242" t="n"/>
      <c r="J208" s="242" t="n">
        <v>12000</v>
      </c>
      <c r="K208" s="272" t="n"/>
      <c r="L208" s="272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79" t="n"/>
      <c r="B209" s="267" t="inlineStr">
        <is>
          <t>BEATRIZ</t>
        </is>
      </c>
      <c r="C209" s="268" t="n"/>
      <c r="D209" s="268" t="n"/>
      <c r="E209" s="268" t="n"/>
      <c r="F209" s="269" t="n"/>
      <c r="G209" s="269" t="n">
        <v>1</v>
      </c>
      <c r="H209" s="231" t="n">
        <v>6000</v>
      </c>
      <c r="I209" s="232" t="n">
        <v>6000</v>
      </c>
      <c r="J209" s="232" t="n"/>
      <c r="K209" s="272" t="n"/>
      <c r="L209" s="272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73" t="n"/>
      <c r="B210" s="274" t="inlineStr">
        <is>
          <t>SANDRA</t>
        </is>
      </c>
      <c r="C210" s="275" t="n"/>
      <c r="D210" s="275" t="n"/>
      <c r="E210" s="275" t="n"/>
      <c r="F210" s="276" t="n"/>
      <c r="G210" s="276" t="n">
        <v>2</v>
      </c>
      <c r="H210" s="241" t="n">
        <v>8000</v>
      </c>
      <c r="I210" s="242" t="n">
        <v>8000</v>
      </c>
      <c r="J210" s="242" t="n"/>
      <c r="K210" s="272" t="n"/>
      <c r="L210" s="272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79" t="n"/>
      <c r="B211" s="267" t="inlineStr">
        <is>
          <t>FRANCIA 2247</t>
        </is>
      </c>
      <c r="C211" s="268" t="n">
        <v>1</v>
      </c>
      <c r="D211" s="268" t="n"/>
      <c r="E211" s="268" t="n"/>
      <c r="F211" s="269" t="n"/>
      <c r="G211" s="269" t="n"/>
      <c r="H211" s="231" t="n">
        <v>26000</v>
      </c>
      <c r="I211" s="232" t="n">
        <v>26000</v>
      </c>
      <c r="J211" s="232" t="n"/>
      <c r="K211" s="272" t="n"/>
      <c r="L211" s="272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73" t="n"/>
      <c r="B212" s="274" t="inlineStr">
        <is>
          <t>NIC OBUSTO</t>
        </is>
      </c>
      <c r="C212" s="275" t="n"/>
      <c r="D212" s="275" t="n"/>
      <c r="E212" s="275" t="n"/>
      <c r="F212" s="276" t="n">
        <v>10</v>
      </c>
      <c r="G212" s="276" t="n"/>
      <c r="H212" s="241" t="n">
        <v>35500</v>
      </c>
      <c r="I212" s="242" t="n"/>
      <c r="J212" s="242" t="n">
        <v>35500</v>
      </c>
      <c r="K212" s="272" t="n"/>
      <c r="L212" s="272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79" t="n"/>
      <c r="B213" s="267" t="inlineStr">
        <is>
          <t>VIANDAS JORGE</t>
        </is>
      </c>
      <c r="C213" s="268" t="n">
        <v>1</v>
      </c>
      <c r="D213" s="268" t="n"/>
      <c r="E213" s="268" t="n"/>
      <c r="F213" s="269" t="n"/>
      <c r="G213" s="269" t="n"/>
      <c r="H213" s="231" t="n">
        <v>22000</v>
      </c>
      <c r="I213" s="232" t="n">
        <v>22000</v>
      </c>
      <c r="J213" s="232" t="n"/>
      <c r="K213" s="272" t="n"/>
      <c r="L213" s="272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73" t="n"/>
      <c r="B214" s="274" t="inlineStr">
        <is>
          <t>ANGEL</t>
        </is>
      </c>
      <c r="C214" s="275" t="n">
        <v>2</v>
      </c>
      <c r="D214" s="275" t="n"/>
      <c r="E214" s="275" t="n"/>
      <c r="F214" s="276" t="n"/>
      <c r="G214" s="276" t="n"/>
      <c r="H214" s="241" t="n">
        <v>38000</v>
      </c>
      <c r="I214" s="242" t="n">
        <v>38000</v>
      </c>
      <c r="J214" s="242" t="n"/>
      <c r="K214" s="272" t="n"/>
      <c r="L214" s="272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79" t="n"/>
      <c r="B215" s="267" t="inlineStr">
        <is>
          <t>LUCHO</t>
        </is>
      </c>
      <c r="C215" s="268" t="n">
        <v>2</v>
      </c>
      <c r="D215" s="268" t="n"/>
      <c r="E215" s="268" t="n"/>
      <c r="F215" s="269" t="n"/>
      <c r="G215" s="269" t="n">
        <v>2</v>
      </c>
      <c r="H215" s="231" t="n">
        <v>50000</v>
      </c>
      <c r="I215" s="232" t="n">
        <v>50000</v>
      </c>
      <c r="J215" s="232" t="n"/>
      <c r="K215" s="272" t="n"/>
      <c r="L215" s="272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73" t="n"/>
      <c r="B216" s="274" t="inlineStr">
        <is>
          <t>PANA VIEYTES 4500</t>
        </is>
      </c>
      <c r="C216" s="275" t="n"/>
      <c r="D216" s="275" t="n"/>
      <c r="E216" s="275" t="n">
        <v>1</v>
      </c>
      <c r="F216" s="276" t="n"/>
      <c r="G216" s="276" t="n"/>
      <c r="H216" s="241" t="n">
        <v>78000</v>
      </c>
      <c r="I216" s="242" t="n"/>
      <c r="J216" s="242" t="n">
        <v>78000</v>
      </c>
      <c r="K216" s="272" t="n"/>
      <c r="L216" s="272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79" t="n"/>
      <c r="B217" s="267" t="inlineStr">
        <is>
          <t>ILGATO NEGRO CASA</t>
        </is>
      </c>
      <c r="C217" s="268" t="n">
        <v>1</v>
      </c>
      <c r="D217" s="268" t="n"/>
      <c r="E217" s="268" t="n"/>
      <c r="F217" s="269" t="n"/>
      <c r="G217" s="269" t="n"/>
      <c r="H217" s="231" t="n">
        <v>26000</v>
      </c>
      <c r="I217" s="232" t="n">
        <v>26000</v>
      </c>
      <c r="J217" s="232" t="n"/>
      <c r="K217" s="272" t="n"/>
      <c r="L217" s="272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73" t="n"/>
      <c r="B218" s="274" t="inlineStr">
        <is>
          <t>OTNIEL</t>
        </is>
      </c>
      <c r="C218" s="275" t="n"/>
      <c r="D218" s="275" t="n">
        <v>1</v>
      </c>
      <c r="E218" s="275" t="n">
        <v>1</v>
      </c>
      <c r="F218" s="276" t="n"/>
      <c r="G218" s="276" t="n"/>
      <c r="H218" s="241" t="n">
        <v>115000</v>
      </c>
      <c r="I218" s="242" t="n">
        <v>115000</v>
      </c>
      <c r="J218" s="242" t="n"/>
      <c r="K218" s="272" t="n"/>
      <c r="L218" s="272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79" t="n"/>
      <c r="B219" s="267" t="inlineStr">
        <is>
          <t>FRAY CAYETANO 3920</t>
        </is>
      </c>
      <c r="C219" s="268" t="n">
        <v>1</v>
      </c>
      <c r="D219" s="268" t="n"/>
      <c r="E219" s="268" t="n"/>
      <c r="F219" s="269" t="n"/>
      <c r="G219" s="269" t="n"/>
      <c r="H219" s="231" t="n">
        <v>27000</v>
      </c>
      <c r="I219" s="232" t="n"/>
      <c r="J219" s="232" t="n">
        <v>27000</v>
      </c>
      <c r="K219" s="272" t="n"/>
      <c r="L219" s="272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73" t="n"/>
      <c r="B220" s="274" t="inlineStr">
        <is>
          <t>IRALA 2865</t>
        </is>
      </c>
      <c r="C220" s="275" t="n">
        <v>1</v>
      </c>
      <c r="D220" s="275" t="n"/>
      <c r="E220" s="275" t="n"/>
      <c r="F220" s="276" t="n"/>
      <c r="G220" s="276" t="n"/>
      <c r="H220" s="241" t="n">
        <v>26500</v>
      </c>
      <c r="I220" s="242" t="n"/>
      <c r="J220" s="242" t="n">
        <v>26500</v>
      </c>
      <c r="K220" s="272" t="n"/>
      <c r="L220" s="272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79" t="n"/>
      <c r="B221" s="267" t="inlineStr">
        <is>
          <t>GARMENDIA 9250</t>
        </is>
      </c>
      <c r="C221" s="268" t="n"/>
      <c r="D221" s="268" t="n"/>
      <c r="E221" s="268" t="n">
        <v>1</v>
      </c>
      <c r="F221" s="269" t="n"/>
      <c r="G221" s="269" t="n"/>
      <c r="H221" s="231" t="n">
        <v>90000</v>
      </c>
      <c r="I221" s="232" t="n"/>
      <c r="J221" s="232" t="n">
        <v>90000</v>
      </c>
      <c r="K221" s="272" t="n"/>
      <c r="L221" s="272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73" t="n"/>
      <c r="B222" s="274" t="inlineStr">
        <is>
          <t>EXE</t>
        </is>
      </c>
      <c r="C222" s="275" t="n"/>
      <c r="D222" s="275" t="n"/>
      <c r="E222" s="275" t="n">
        <v>1</v>
      </c>
      <c r="F222" s="276" t="n"/>
      <c r="G222" s="276" t="n"/>
      <c r="H222" s="241" t="n">
        <v>82000</v>
      </c>
      <c r="I222" s="242" t="n"/>
      <c r="J222" s="242" t="n">
        <v>82000</v>
      </c>
      <c r="K222" s="272" t="n"/>
      <c r="L222" s="272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79" t="n"/>
      <c r="B223" s="267" t="inlineStr">
        <is>
          <t>AZCUENAGA 3972</t>
        </is>
      </c>
      <c r="C223" s="268" t="n"/>
      <c r="D223" s="268" t="n"/>
      <c r="E223" s="268" t="n">
        <v>1</v>
      </c>
      <c r="F223" s="269" t="n"/>
      <c r="G223" s="269" t="n"/>
      <c r="H223" s="231" t="n">
        <v>78000</v>
      </c>
      <c r="I223" s="232" t="n">
        <v>78000</v>
      </c>
      <c r="J223" s="232" t="n"/>
      <c r="K223" s="272" t="n"/>
      <c r="L223" s="272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73" t="n"/>
      <c r="B224" s="274" t="inlineStr">
        <is>
          <t>J CAMPILLO 3481</t>
        </is>
      </c>
      <c r="C224" s="275" t="n">
        <v>1</v>
      </c>
      <c r="D224" s="275" t="n"/>
      <c r="E224" s="275" t="n"/>
      <c r="F224" s="276" t="n"/>
      <c r="G224" s="276" t="n"/>
      <c r="H224" s="241" t="n">
        <v>27000</v>
      </c>
      <c r="I224" s="242" t="n">
        <v>27000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79" t="n"/>
      <c r="B225" s="267" t="inlineStr">
        <is>
          <t>RIVADAVIA JUNIOR</t>
        </is>
      </c>
      <c r="C225" s="268" t="n"/>
      <c r="D225" s="268" t="n">
        <v>1</v>
      </c>
      <c r="E225" s="268" t="n"/>
      <c r="F225" s="269" t="n"/>
      <c r="G225" s="269" t="n"/>
      <c r="H225" s="231" t="n">
        <v>40000</v>
      </c>
      <c r="I225" s="232" t="n">
        <v>40000</v>
      </c>
      <c r="J225" s="232" t="n"/>
      <c r="K225" s="272" t="n"/>
      <c r="L225" s="272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73" t="n"/>
      <c r="B226" s="274" t="inlineStr">
        <is>
          <t>JJ VALLE 5511</t>
        </is>
      </c>
      <c r="C226" s="275" t="n">
        <v>1</v>
      </c>
      <c r="D226" s="275" t="n"/>
      <c r="E226" s="275" t="n"/>
      <c r="F226" s="276" t="n"/>
      <c r="G226" s="276" t="n"/>
      <c r="H226" s="241" t="n">
        <v>26000</v>
      </c>
      <c r="I226" s="242" t="n">
        <v>26000</v>
      </c>
      <c r="J226" s="242" t="n"/>
      <c r="K226" s="272" t="n"/>
      <c r="L226" s="272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79" t="n"/>
      <c r="B227" s="267" t="inlineStr">
        <is>
          <t>HUERGO 1868</t>
        </is>
      </c>
      <c r="C227" s="268" t="n">
        <v>1</v>
      </c>
      <c r="D227" s="268" t="n"/>
      <c r="E227" s="268" t="n"/>
      <c r="F227" s="269" t="n"/>
      <c r="G227" s="269" t="n"/>
      <c r="H227" s="231" t="n">
        <v>26000</v>
      </c>
      <c r="I227" s="232" t="n">
        <v>26000</v>
      </c>
      <c r="J227" s="232" t="n"/>
      <c r="K227" s="272" t="n"/>
      <c r="L227" s="272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73" t="n"/>
      <c r="B228" s="274" t="inlineStr">
        <is>
          <t>PANA VIEYTES GISELA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79" t="n"/>
      <c r="B229" s="267" t="inlineStr">
        <is>
          <t>ARGENTA</t>
        </is>
      </c>
      <c r="C229" s="268" t="n">
        <v>1</v>
      </c>
      <c r="D229" s="268" t="n"/>
      <c r="E229" s="268" t="n"/>
      <c r="F229" s="269" t="n"/>
      <c r="G229" s="269" t="n"/>
      <c r="H229" s="231" t="n">
        <v>25000</v>
      </c>
      <c r="I229" s="232" t="n">
        <v>25000</v>
      </c>
      <c r="J229" s="232" t="n"/>
      <c r="K229" s="272" t="n"/>
      <c r="L229" s="272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73" t="n">
        <v>46129</v>
      </c>
      <c r="B230" s="274" t="inlineStr">
        <is>
          <t>CAMELI 4860</t>
        </is>
      </c>
      <c r="C230" s="275" t="n">
        <v>1</v>
      </c>
      <c r="D230" s="275" t="n"/>
      <c r="E230" s="275" t="n"/>
      <c r="F230" s="276" t="n"/>
      <c r="G230" s="276" t="n"/>
      <c r="H230" s="241" t="n">
        <v>26000</v>
      </c>
      <c r="I230" s="242" t="n"/>
      <c r="J230" s="242" t="n">
        <v>26000</v>
      </c>
      <c r="K230" s="272" t="n"/>
      <c r="L230" s="272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79" t="n"/>
      <c r="B231" s="267" t="inlineStr">
        <is>
          <t>SANTA BAR 1 MAYO 1959</t>
        </is>
      </c>
      <c r="C231" s="268" t="n"/>
      <c r="D231" s="268" t="n"/>
      <c r="E231" s="268" t="n">
        <v>1</v>
      </c>
      <c r="F231" s="269" t="n"/>
      <c r="G231" s="269" t="n"/>
      <c r="H231" s="231" t="n">
        <v>85000</v>
      </c>
      <c r="I231" s="232" t="n"/>
      <c r="J231" s="232" t="n">
        <v>85000</v>
      </c>
      <c r="K231" s="272" t="n"/>
      <c r="L231" s="272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73" t="n"/>
      <c r="B232" s="274" t="inlineStr">
        <is>
          <t>FILOMENA</t>
        </is>
      </c>
      <c r="C232" s="275" t="n">
        <v>3</v>
      </c>
      <c r="D232" s="275" t="n"/>
      <c r="E232" s="275" t="n"/>
      <c r="F232" s="276" t="n"/>
      <c r="G232" s="276" t="n"/>
      <c r="H232" s="241" t="n">
        <v>69000</v>
      </c>
      <c r="I232" s="242" t="n"/>
      <c r="J232" s="242" t="n">
        <v>69000</v>
      </c>
      <c r="K232" s="272" t="n"/>
      <c r="L232" s="272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31" t="n">
        <v>38000</v>
      </c>
      <c r="I233" s="232" t="n">
        <v>20000</v>
      </c>
      <c r="J233" s="232" t="n">
        <v>18000</v>
      </c>
      <c r="K233" s="272" t="n"/>
      <c r="L233" s="272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73" t="n"/>
      <c r="B234" s="274" t="inlineStr">
        <is>
          <t>GARMENDIA 9250</t>
        </is>
      </c>
      <c r="C234" s="275" t="n"/>
      <c r="D234" s="275" t="n"/>
      <c r="E234" s="275" t="n"/>
      <c r="F234" s="276" t="n"/>
      <c r="G234" s="276" t="n">
        <v>2</v>
      </c>
      <c r="H234" s="241" t="n">
        <v>12000</v>
      </c>
      <c r="I234" s="242" t="n"/>
      <c r="J234" s="242" t="n">
        <v>12000</v>
      </c>
      <c r="K234" s="272" t="n"/>
      <c r="L234" s="272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79" t="n"/>
      <c r="B235" s="267" t="inlineStr">
        <is>
          <t>SABOREAR</t>
        </is>
      </c>
      <c r="C235" s="268" t="n">
        <v>1</v>
      </c>
      <c r="D235" s="268" t="n"/>
      <c r="E235" s="268" t="n"/>
      <c r="F235" s="269" t="n"/>
      <c r="G235" s="269" t="n"/>
      <c r="H235" s="231" t="n">
        <v>22500</v>
      </c>
      <c r="I235" s="232" t="n"/>
      <c r="J235" s="232" t="n">
        <v>22500</v>
      </c>
      <c r="K235" s="272" t="n"/>
      <c r="L235" s="272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73" t="n"/>
      <c r="B236" s="274" t="inlineStr">
        <is>
          <t>CALLEJON FUNES 1883 CARO</t>
        </is>
      </c>
      <c r="C236" s="275" t="n"/>
      <c r="D236" s="275" t="n"/>
      <c r="E236" s="275" t="n">
        <v>1</v>
      </c>
      <c r="F236" s="276" t="n"/>
      <c r="G236" s="276" t="n"/>
      <c r="H236" s="241" t="n">
        <v>85000</v>
      </c>
      <c r="I236" s="242" t="n">
        <v>85000</v>
      </c>
      <c r="J236" s="242" t="n"/>
      <c r="K236" s="272" t="n"/>
      <c r="L236" s="272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79" t="n"/>
      <c r="B237" s="267" t="inlineStr">
        <is>
          <t>VIEYTES 5046</t>
        </is>
      </c>
      <c r="C237" s="268" t="n"/>
      <c r="D237" s="268" t="n"/>
      <c r="E237" s="268" t="n">
        <v>1</v>
      </c>
      <c r="F237" s="269" t="n"/>
      <c r="G237" s="269" t="n"/>
      <c r="H237" s="231" t="n">
        <v>85000</v>
      </c>
      <c r="I237" s="232" t="n">
        <v>85000</v>
      </c>
      <c r="J237" s="232" t="n"/>
      <c r="K237" s="272" t="n"/>
      <c r="L237" s="272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73" t="n"/>
      <c r="B238" s="274" t="inlineStr">
        <is>
          <t xml:space="preserve">ROTI VIEYTES </t>
        </is>
      </c>
      <c r="C238" s="275" t="n"/>
      <c r="D238" s="275" t="n">
        <v>2</v>
      </c>
      <c r="E238" s="275" t="n"/>
      <c r="F238" s="276" t="n"/>
      <c r="G238" s="276" t="n"/>
      <c r="H238" s="241" t="n">
        <v>61000</v>
      </c>
      <c r="I238" s="242" t="n"/>
      <c r="J238" s="242" t="n">
        <v>61000</v>
      </c>
      <c r="K238" s="272" t="n"/>
      <c r="L238" s="272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79" t="n"/>
      <c r="B239" s="267" t="inlineStr">
        <is>
          <t>7 JEFES 4525</t>
        </is>
      </c>
      <c r="C239" s="268" t="n"/>
      <c r="D239" s="268" t="n"/>
      <c r="E239" s="268" t="n">
        <v>1</v>
      </c>
      <c r="F239" s="269" t="n"/>
      <c r="G239" s="269" t="n"/>
      <c r="H239" s="231" t="n">
        <v>84000</v>
      </c>
      <c r="I239" s="232" t="n">
        <v>84000</v>
      </c>
      <c r="J239" s="232" t="n"/>
      <c r="K239" s="272" t="n"/>
      <c r="L239" s="272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73" t="n"/>
      <c r="B240" s="274" t="inlineStr">
        <is>
          <t>CASANELLO 2128</t>
        </is>
      </c>
      <c r="C240" s="275" t="n"/>
      <c r="D240" s="275" t="n">
        <v>1</v>
      </c>
      <c r="E240" s="275" t="n"/>
      <c r="F240" s="276" t="n"/>
      <c r="G240" s="276" t="n"/>
      <c r="H240" s="241" t="n">
        <v>35500</v>
      </c>
      <c r="I240" s="242" t="n"/>
      <c r="J240" s="242" t="n">
        <v>35500</v>
      </c>
      <c r="K240" s="272" t="n"/>
      <c r="L240" s="272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79" t="n"/>
      <c r="B241" s="267" t="inlineStr">
        <is>
          <t>PEDRO ESPINOSA 3169</t>
        </is>
      </c>
      <c r="C241" s="268" t="n"/>
      <c r="D241" s="268" t="n"/>
      <c r="E241" s="268" t="n">
        <v>1</v>
      </c>
      <c r="F241" s="269" t="n"/>
      <c r="G241" s="269" t="n"/>
      <c r="H241" s="231" t="n">
        <v>84000</v>
      </c>
      <c r="I241" s="232" t="n"/>
      <c r="J241" s="232" t="n">
        <v>84000</v>
      </c>
      <c r="K241" s="272" t="n"/>
      <c r="L241" s="272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73" t="n"/>
      <c r="B242" s="274" t="inlineStr">
        <is>
          <t>ROTI AGUADO</t>
        </is>
      </c>
      <c r="C242" s="275" t="n"/>
      <c r="D242" s="275" t="n"/>
      <c r="E242" s="275" t="n">
        <v>1</v>
      </c>
      <c r="F242" s="276" t="n"/>
      <c r="G242" s="276" t="n"/>
      <c r="H242" s="241" t="n">
        <v>82000</v>
      </c>
      <c r="I242" s="242" t="n"/>
      <c r="J242" s="242" t="n">
        <v>82000</v>
      </c>
      <c r="K242" s="272" t="n"/>
      <c r="L242" s="272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79" t="n"/>
      <c r="B243" s="267" t="inlineStr">
        <is>
          <t>CAREN</t>
        </is>
      </c>
      <c r="C243" s="268" t="n"/>
      <c r="D243" s="268" t="n"/>
      <c r="E243" s="268" t="n">
        <v>1</v>
      </c>
      <c r="F243" s="269" t="n"/>
      <c r="G243" s="269" t="n"/>
      <c r="H243" s="231" t="n">
        <v>82000</v>
      </c>
      <c r="I243" s="232" t="n"/>
      <c r="J243" s="232" t="n">
        <v>82000</v>
      </c>
      <c r="K243" s="272" t="n"/>
      <c r="L243" s="272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73" t="n"/>
      <c r="B244" s="274" t="inlineStr">
        <is>
          <t>S BAYO 7165</t>
        </is>
      </c>
      <c r="C244" s="275" t="n"/>
      <c r="D244" s="275" t="n"/>
      <c r="E244" s="275" t="n">
        <v>1</v>
      </c>
      <c r="F244" s="276" t="n"/>
      <c r="G244" s="276" t="n"/>
      <c r="H244" s="241" t="n">
        <v>89000</v>
      </c>
      <c r="I244" s="242" t="n"/>
      <c r="J244" s="242" t="n">
        <v>89000</v>
      </c>
      <c r="K244" s="272" t="n"/>
      <c r="L244" s="272">
        <f>IF(K244&lt;&gt;"",29000+K244,29000)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PORKIS</t>
        </is>
      </c>
      <c r="C245" s="268" t="n">
        <v>1</v>
      </c>
      <c r="D245" s="268" t="n"/>
      <c r="E245" s="268" t="n"/>
      <c r="F245" s="269" t="n"/>
      <c r="G245" s="269" t="n"/>
      <c r="H245" s="231" t="n">
        <v>23000</v>
      </c>
      <c r="I245" s="232" t="n"/>
      <c r="J245" s="232" t="n">
        <v>23000</v>
      </c>
      <c r="K245" s="272" t="n"/>
      <c r="L245" s="272">
        <f>IF(K245&lt;&gt;"",8000+K245,8000)</f>
        <v/>
      </c>
      <c r="M245" s="156" t="n"/>
      <c r="N245" s="156" t="n"/>
      <c r="O245" s="156" t="n"/>
    </row>
    <row r="246" ht="18.75" customHeight="1" s="153">
      <c r="A246" s="273" t="n">
        <v>46130</v>
      </c>
      <c r="B246" s="274" t="inlineStr">
        <is>
          <t>ROTI ARISTOBULO</t>
        </is>
      </c>
      <c r="C246" s="275" t="n"/>
      <c r="D246" s="275" t="n">
        <v>1</v>
      </c>
      <c r="E246" s="275" t="n"/>
      <c r="F246" s="276" t="n"/>
      <c r="G246" s="276" t="n"/>
      <c r="H246" s="241" t="n">
        <v>33500</v>
      </c>
      <c r="I246" s="242" t="n"/>
      <c r="J246" s="242" t="n">
        <v>33500</v>
      </c>
      <c r="K246" s="272" t="n"/>
      <c r="L246" s="272">
        <f>IF(K246&lt;&gt;"",11000+K246,11000)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VIEYTES 4333</t>
        </is>
      </c>
      <c r="C247" s="268" t="n">
        <v>1</v>
      </c>
      <c r="D247" s="268" t="n"/>
      <c r="E247" s="268" t="n"/>
      <c r="F247" s="269" t="n"/>
      <c r="G247" s="269" t="n"/>
      <c r="H247" s="231" t="n">
        <v>22000</v>
      </c>
      <c r="I247" s="232" t="n">
        <v>22000</v>
      </c>
      <c r="J247" s="232" t="n"/>
      <c r="K247" s="272" t="n"/>
      <c r="L247" s="272">
        <f>IF(K247&lt;&gt;"",7000+K247,7000)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 xml:space="preserve">IRMA </t>
        </is>
      </c>
      <c r="C248" s="275" t="n">
        <v>1</v>
      </c>
      <c r="D248" s="275" t="n"/>
      <c r="E248" s="275" t="n"/>
      <c r="F248" s="276" t="n"/>
      <c r="G248" s="276" t="n"/>
      <c r="H248" s="241" t="n">
        <v>26000</v>
      </c>
      <c r="I248" s="242" t="n">
        <v>26000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ALE</t>
        </is>
      </c>
      <c r="C249" s="268" t="n"/>
      <c r="D249" s="268" t="n"/>
      <c r="E249" s="268" t="n"/>
      <c r="F249" s="269" t="n"/>
      <c r="G249" s="269" t="n">
        <v>1</v>
      </c>
      <c r="H249" s="231" t="n">
        <v>6000</v>
      </c>
      <c r="I249" s="232" t="n">
        <v>6000</v>
      </c>
      <c r="J249" s="232" t="n"/>
      <c r="K249" s="272" t="n"/>
      <c r="L249" s="272">
        <f>IF(K249&lt;&gt;"",5150+K249,5150)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>COGORNP 5520</t>
        </is>
      </c>
      <c r="C250" s="275" t="n">
        <v>6</v>
      </c>
      <c r="D250" s="275" t="n"/>
      <c r="E250" s="275" t="n"/>
      <c r="F250" s="276" t="n"/>
      <c r="G250" s="276" t="n"/>
      <c r="H250" s="241" t="n">
        <v>114000</v>
      </c>
      <c r="I250" s="242" t="n"/>
      <c r="J250" s="242" t="n">
        <v>114000</v>
      </c>
      <c r="K250" s="272" t="n"/>
      <c r="L250" s="272">
        <f>IF(K250&lt;&gt;"",24000+K250,24000)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BRASERIA</t>
        </is>
      </c>
      <c r="C251" s="268" t="n"/>
      <c r="D251" s="268" t="n"/>
      <c r="E251" s="268" t="n">
        <v>1</v>
      </c>
      <c r="F251" s="269" t="n"/>
      <c r="G251" s="269" t="n"/>
      <c r="H251" s="231" t="n">
        <v>83000</v>
      </c>
      <c r="I251" s="232" t="n"/>
      <c r="J251" s="232" t="n">
        <v>83000</v>
      </c>
      <c r="K251" s="272" t="n"/>
      <c r="L251" s="272">
        <f>IF(K251&lt;&gt;"",23000+K251,23000)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PICHI</t>
        </is>
      </c>
      <c r="C252" s="275" t="n">
        <v>1</v>
      </c>
      <c r="D252" s="275" t="n"/>
      <c r="E252" s="275" t="n"/>
      <c r="F252" s="276" t="n"/>
      <c r="G252" s="276" t="n"/>
      <c r="H252" s="241" t="n">
        <v>23000</v>
      </c>
      <c r="I252" s="242" t="n">
        <v>11000</v>
      </c>
      <c r="J252" s="242" t="n">
        <v>12000</v>
      </c>
      <c r="K252" s="272" t="n"/>
      <c r="L252" s="272">
        <f>IF(K252&lt;&gt;"",8000+K252,8000)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INGENIERO 6866</t>
        </is>
      </c>
      <c r="C253" s="268" t="n">
        <v>1</v>
      </c>
      <c r="D253" s="268" t="n"/>
      <c r="E253" s="268" t="n"/>
      <c r="F253" s="269" t="n"/>
      <c r="G253" s="269" t="n"/>
      <c r="H253" s="231" t="n">
        <v>25000</v>
      </c>
      <c r="I253" s="232" t="n"/>
      <c r="J253" s="232" t="n">
        <v>25000</v>
      </c>
      <c r="K253" s="272" t="n"/>
      <c r="L253" s="272">
        <f>IF(K253&lt;&gt;"",10000+K253,10000)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FILOMENA</t>
        </is>
      </c>
      <c r="C254" s="275" t="n">
        <v>2</v>
      </c>
      <c r="D254" s="275" t="n"/>
      <c r="E254" s="275" t="n"/>
      <c r="F254" s="276" t="n"/>
      <c r="G254" s="276" t="n"/>
      <c r="H254" s="241" t="n">
        <v>46000</v>
      </c>
      <c r="I254" s="242" t="n"/>
      <c r="J254" s="242" t="n">
        <v>46000</v>
      </c>
      <c r="K254" s="272" t="n"/>
      <c r="L254" s="272">
        <f>IF(K254&lt;&gt;"",16000+K254,16000)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HUERGO 4365</t>
        </is>
      </c>
      <c r="C255" s="268" t="n">
        <v>1</v>
      </c>
      <c r="D255" s="268" t="n"/>
      <c r="E255" s="268" t="n"/>
      <c r="F255" s="269" t="n"/>
      <c r="G255" s="269" t="n"/>
      <c r="H255" s="231" t="n">
        <v>25000</v>
      </c>
      <c r="I255" s="232" t="n"/>
      <c r="J255" s="232" t="n">
        <v>25000</v>
      </c>
      <c r="K255" s="272" t="n"/>
      <c r="L255" s="272">
        <f>IF(K255&lt;&gt;"",10000+K255,10000)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1 DE MAYO 8361</t>
        </is>
      </c>
      <c r="C256" s="275" t="n">
        <v>1</v>
      </c>
      <c r="D256" s="275" t="n"/>
      <c r="E256" s="275" t="n"/>
      <c r="F256" s="276" t="n"/>
      <c r="G256" s="276" t="n"/>
      <c r="H256" s="241" t="n">
        <v>26000</v>
      </c>
      <c r="I256" s="242" t="n">
        <v>26000</v>
      </c>
      <c r="J256" s="242" t="n"/>
      <c r="K256" s="272" t="n"/>
      <c r="L256" s="272">
        <f>IF(K256&lt;&gt;"",11000+K256,11000)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PANADERIA BAGUETE</t>
        </is>
      </c>
      <c r="C257" s="268" t="n"/>
      <c r="D257" s="268" t="n"/>
      <c r="E257" s="268" t="n">
        <v>1</v>
      </c>
      <c r="F257" s="269" t="n"/>
      <c r="G257" s="269" t="n"/>
      <c r="H257" s="231" t="n">
        <v>75000</v>
      </c>
      <c r="I257" s="232" t="n"/>
      <c r="J257" s="232" t="n">
        <v>75000</v>
      </c>
      <c r="K257" s="272" t="n"/>
      <c r="L257" s="272">
        <f>IF(K257&lt;&gt;"",15000+K257,15000)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PAZ 4556</t>
        </is>
      </c>
      <c r="C258" s="275" t="n">
        <v>1</v>
      </c>
      <c r="D258" s="275" t="n"/>
      <c r="E258" s="275" t="n"/>
      <c r="F258" s="276" t="n"/>
      <c r="G258" s="276" t="n"/>
      <c r="H258" s="241" t="n">
        <v>25000</v>
      </c>
      <c r="I258" s="242" t="n"/>
      <c r="J258" s="242" t="n">
        <v>25000</v>
      </c>
      <c r="K258" s="272" t="n"/>
      <c r="L258" s="272">
        <f>IF(K258&lt;&gt;"",10000+K258,10000)</f>
        <v/>
      </c>
      <c r="M258" s="156" t="n"/>
      <c r="N258" s="156" t="n"/>
      <c r="O258" s="156" t="n"/>
    </row>
    <row r="259" ht="18.75" customHeight="1" s="153">
      <c r="A259" s="279" t="n">
        <v>46131</v>
      </c>
      <c r="B259" s="267" t="inlineStr">
        <is>
          <t>DOMINGO SILVA 4217</t>
        </is>
      </c>
      <c r="C259" s="268" t="n">
        <v>4</v>
      </c>
      <c r="D259" s="268" t="n"/>
      <c r="E259" s="268" t="n"/>
      <c r="F259" s="269" t="n"/>
      <c r="G259" s="269" t="n"/>
      <c r="H259" s="231" t="n">
        <v>76000</v>
      </c>
      <c r="I259" s="232" t="n"/>
      <c r="J259" s="232" t="n">
        <v>76000</v>
      </c>
      <c r="K259" s="272" t="n"/>
      <c r="L259" s="272">
        <f>IF(K259&lt;&gt;"",16000+K259,16000)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LUCHO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>
        <v>19000</v>
      </c>
      <c r="J260" s="242" t="n"/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DANA</t>
        </is>
      </c>
      <c r="C261" s="268" t="n">
        <v>3</v>
      </c>
      <c r="D261" s="268" t="n"/>
      <c r="E261" s="268" t="n"/>
      <c r="F261" s="269" t="n"/>
      <c r="G261" s="269" t="n"/>
      <c r="H261" s="231" t="n">
        <v>57000</v>
      </c>
      <c r="I261" s="232" t="n"/>
      <c r="J261" s="232" t="n">
        <v>57000</v>
      </c>
      <c r="K261" s="272" t="n"/>
      <c r="L261" s="272">
        <f>IF(K261&lt;&gt;"",12000+K261,12000)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FRAY CAYETANO 3813</t>
        </is>
      </c>
      <c r="C262" s="275" t="n"/>
      <c r="D262" s="275" t="n"/>
      <c r="E262" s="275" t="n">
        <v>1</v>
      </c>
      <c r="F262" s="276" t="n"/>
      <c r="G262" s="276" t="n"/>
      <c r="H262" s="241" t="n">
        <v>90000</v>
      </c>
      <c r="I262" s="242" t="n">
        <v>90000</v>
      </c>
      <c r="J262" s="242" t="n"/>
      <c r="K262" s="272" t="n"/>
      <c r="L262" s="272">
        <f>IF(K262&lt;&gt;"",30000+K262,30000)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BONEO 5315</t>
        </is>
      </c>
      <c r="C263" s="268" t="n">
        <v>1</v>
      </c>
      <c r="D263" s="268" t="n"/>
      <c r="E263" s="268" t="n"/>
      <c r="F263" s="269" t="n"/>
      <c r="G263" s="269" t="n"/>
      <c r="H263" s="231" t="n">
        <v>23500</v>
      </c>
      <c r="I263" s="232" t="n">
        <v>23500</v>
      </c>
      <c r="J263" s="232" t="n"/>
      <c r="K263" s="272" t="n"/>
      <c r="L263" s="272">
        <f>IF(K263&lt;&gt;"",8500+K263,8500)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ALMONACID 4248</t>
        </is>
      </c>
      <c r="C264" s="275" t="n">
        <v>1</v>
      </c>
      <c r="D264" s="275" t="n"/>
      <c r="E264" s="275" t="n"/>
      <c r="F264" s="276" t="n"/>
      <c r="G264" s="276" t="n"/>
      <c r="H264" s="241" t="n">
        <v>26000</v>
      </c>
      <c r="I264" s="242" t="n">
        <v>26000</v>
      </c>
      <c r="J264" s="242" t="n"/>
      <c r="K264" s="272" t="n"/>
      <c r="L264" s="272">
        <f>IF(K264&lt;&gt;"",11000+K264,11000)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EXE</t>
        </is>
      </c>
      <c r="C265" s="268" t="n"/>
      <c r="D265" s="268" t="n"/>
      <c r="E265" s="268" t="n">
        <v>1</v>
      </c>
      <c r="F265" s="269" t="n"/>
      <c r="G265" s="269" t="n"/>
      <c r="H265" s="231" t="n">
        <v>82000</v>
      </c>
      <c r="I265" s="232" t="n"/>
      <c r="J265" s="232" t="n">
        <v>82000</v>
      </c>
      <c r="K265" s="272" t="n"/>
      <c r="L265" s="272">
        <f>IF(K265&lt;&gt;"",22000+K265,22000)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PORKIS</t>
        </is>
      </c>
      <c r="C266" s="275" t="n"/>
      <c r="D266" s="275" t="n"/>
      <c r="E266" s="275" t="n">
        <v>1</v>
      </c>
      <c r="F266" s="276" t="n"/>
      <c r="G266" s="276" t="n"/>
      <c r="H266" s="241" t="n">
        <v>82000</v>
      </c>
      <c r="I266" s="242" t="n"/>
      <c r="J266" s="242" t="n">
        <v>82000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PIZZA TRUCK</t>
        </is>
      </c>
      <c r="C267" s="268" t="n">
        <v>1</v>
      </c>
      <c r="D267" s="268" t="n"/>
      <c r="E267" s="268" t="n"/>
      <c r="F267" s="269" t="n"/>
      <c r="G267" s="269" t="n"/>
      <c r="H267" s="231" t="n">
        <v>22000</v>
      </c>
      <c r="I267" s="232" t="n"/>
      <c r="J267" s="232" t="n">
        <v>22000</v>
      </c>
      <c r="K267" s="272" t="n"/>
      <c r="L267" s="272">
        <f>IF(K267&lt;&gt;"",7000+K267,7000)</f>
        <v/>
      </c>
      <c r="M267" s="156" t="n"/>
      <c r="N267" s="156" t="n"/>
      <c r="O267" s="156" t="n"/>
    </row>
    <row r="268" ht="18.75" customHeight="1" s="153">
      <c r="A268" s="273" t="n">
        <v>46132</v>
      </c>
      <c r="B268" s="274" t="inlineStr">
        <is>
          <t>JUAN DE GARAY 3453</t>
        </is>
      </c>
      <c r="C268" s="275" t="n">
        <v>1</v>
      </c>
      <c r="D268" s="275" t="n"/>
      <c r="E268" s="275" t="n"/>
      <c r="F268" s="276" t="n"/>
      <c r="G268" s="276" t="n"/>
      <c r="H268" s="241" t="n">
        <v>26000</v>
      </c>
      <c r="I268" s="242" t="n">
        <v>26000</v>
      </c>
      <c r="J268" s="242" t="n"/>
      <c r="K268" s="272" t="n"/>
      <c r="L268" s="272">
        <f>IF(K268&lt;&gt;"",11000+K268,11000)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NOGALES 3462</t>
        </is>
      </c>
      <c r="C269" s="268" t="n"/>
      <c r="D269" s="268" t="n">
        <v>1</v>
      </c>
      <c r="E269" s="268" t="n"/>
      <c r="F269" s="269" t="n"/>
      <c r="G269" s="269" t="n"/>
      <c r="H269" s="231" t="n">
        <v>39000</v>
      </c>
      <c r="I269" s="232" t="n">
        <v>39000</v>
      </c>
      <c r="J269" s="232" t="n"/>
      <c r="K269" s="272" t="n"/>
      <c r="L269" s="272">
        <f>IF(K269&lt;&gt;"",16500+K269,16500)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FRENCH 2382</t>
        </is>
      </c>
      <c r="C270" s="275" t="n">
        <v>1</v>
      </c>
      <c r="D270" s="275" t="n"/>
      <c r="E270" s="275" t="n"/>
      <c r="F270" s="276" t="n"/>
      <c r="G270" s="276" t="n"/>
      <c r="H270" s="241" t="n">
        <v>25000</v>
      </c>
      <c r="I270" s="242" t="n">
        <v>25000</v>
      </c>
      <c r="J270" s="242" t="n"/>
      <c r="K270" s="272" t="n"/>
      <c r="L270" s="272">
        <f>IF(K270&lt;&gt;"",10000+K270,10000)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LOPEZ Y PLANES 4765</t>
        </is>
      </c>
      <c r="C271" s="268" t="n">
        <v>1</v>
      </c>
      <c r="D271" s="268" t="n"/>
      <c r="E271" s="268" t="n"/>
      <c r="F271" s="269" t="n"/>
      <c r="G271" s="269" t="n"/>
      <c r="H271" s="231" t="n">
        <v>25000</v>
      </c>
      <c r="I271" s="232" t="n"/>
      <c r="J271" s="232" t="n">
        <v>25000</v>
      </c>
      <c r="K271" s="272" t="n"/>
      <c r="L271" s="272">
        <f>IF(K271&lt;&gt;"",10000+K271,10000)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 xml:space="preserve">VIANDAS JORGE </t>
        </is>
      </c>
      <c r="C272" s="275" t="n">
        <v>1</v>
      </c>
      <c r="D272" s="275" t="n"/>
      <c r="E272" s="275" t="n"/>
      <c r="F272" s="276" t="n"/>
      <c r="G272" s="276" t="n"/>
      <c r="H272" s="241" t="n">
        <v>22000</v>
      </c>
      <c r="I272" s="242" t="n">
        <v>22000</v>
      </c>
      <c r="J272" s="242" t="n"/>
      <c r="K272" s="272" t="n"/>
      <c r="L272" s="272">
        <f>IF(K272&lt;&gt;"",7000+K272,7000)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>
        <v>1</v>
      </c>
      <c r="E273" s="268" t="n"/>
      <c r="F273" s="269" t="n"/>
      <c r="G273" s="269" t="n"/>
      <c r="H273" s="231" t="n">
        <v>28500</v>
      </c>
      <c r="I273" s="232" t="n"/>
      <c r="J273" s="232" t="n">
        <v>28500</v>
      </c>
      <c r="K273" s="272" t="n"/>
      <c r="L273" s="272">
        <f>IF(K273&lt;&gt;"",6000+K273,6000)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CHICLANA 7325</t>
        </is>
      </c>
      <c r="C274" s="275" t="n">
        <v>1</v>
      </c>
      <c r="D274" s="275" t="n"/>
      <c r="E274" s="275" t="n"/>
      <c r="F274" s="276" t="n"/>
      <c r="G274" s="276" t="n"/>
      <c r="H274" s="241" t="n">
        <v>19000</v>
      </c>
      <c r="I274" s="242" t="n"/>
      <c r="J274" s="242" t="n">
        <v>19000</v>
      </c>
      <c r="K274" s="272" t="n"/>
      <c r="L274" s="272">
        <f>IF(K274&lt;&gt;"",4000+K274,4000)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PUBLICO 5727</t>
        </is>
      </c>
      <c r="C275" s="268" t="n">
        <v>1</v>
      </c>
      <c r="D275" s="268" t="n">
        <v>1</v>
      </c>
      <c r="E275" s="268" t="n"/>
      <c r="F275" s="269" t="n"/>
      <c r="G275" s="269" t="n"/>
      <c r="H275" s="231" t="n">
        <v>63000</v>
      </c>
      <c r="I275" s="232" t="n"/>
      <c r="J275" s="232" t="n">
        <v>63000</v>
      </c>
      <c r="K275" s="272" t="n"/>
      <c r="L275" s="272">
        <f>IF(K275&lt;&gt;"",25500+K275,25500)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FILOMENA</t>
        </is>
      </c>
      <c r="C276" s="275" t="n">
        <v>2</v>
      </c>
      <c r="D276" s="275" t="n"/>
      <c r="E276" s="275" t="n"/>
      <c r="F276" s="276" t="n"/>
      <c r="G276" s="276" t="n"/>
      <c r="H276" s="241" t="n">
        <v>46000</v>
      </c>
      <c r="I276" s="242" t="n"/>
      <c r="J276" s="242" t="n">
        <v>46000</v>
      </c>
      <c r="K276" s="272" t="n"/>
      <c r="L276" s="272">
        <f>IF(K276&lt;&gt;"",16000+K276,16000)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LARGUIA 7287</t>
        </is>
      </c>
      <c r="C277" s="268" t="n">
        <v>2</v>
      </c>
      <c r="D277" s="268" t="n"/>
      <c r="E277" s="268" t="n">
        <v>1</v>
      </c>
      <c r="F277" s="269" t="n"/>
      <c r="G277" s="269" t="n"/>
      <c r="H277" s="231" t="n">
        <v>132000</v>
      </c>
      <c r="I277" s="232" t="n">
        <v>132000</v>
      </c>
      <c r="J277" s="232" t="n"/>
      <c r="K277" s="272" t="n"/>
      <c r="L277" s="272">
        <f>IF(K277&lt;&gt;"",42000+K277,42000)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JAVIER DE LA ROSA 5767</t>
        </is>
      </c>
      <c r="C278" s="275" t="n"/>
      <c r="D278" s="275" t="n">
        <v>1</v>
      </c>
      <c r="E278" s="275" t="n"/>
      <c r="F278" s="276" t="n"/>
      <c r="G278" s="276" t="n"/>
      <c r="H278" s="241" t="n">
        <v>37500</v>
      </c>
      <c r="I278" s="242" t="n"/>
      <c r="J278" s="242" t="n">
        <v>37500</v>
      </c>
      <c r="K278" s="272" t="n"/>
      <c r="L278" s="272">
        <f>IF(K278&lt;&gt;"",15000+K278,15000)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LEO MASARA</t>
        </is>
      </c>
      <c r="C279" s="268" t="n">
        <v>1</v>
      </c>
      <c r="D279" s="268" t="n"/>
      <c r="E279" s="268" t="n"/>
      <c r="F279" s="269" t="n"/>
      <c r="G279" s="269" t="n"/>
      <c r="H279" s="231" t="n">
        <v>25000</v>
      </c>
      <c r="I279" s="232" t="n">
        <v>25000</v>
      </c>
      <c r="J279" s="232" t="n"/>
      <c r="K279" s="272" t="n"/>
      <c r="L279" s="272">
        <f>IF(K279&lt;&gt;"",10000+K279,10000)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AZCUENAGA 5023</t>
        </is>
      </c>
      <c r="C280" s="275" t="n">
        <v>5</v>
      </c>
      <c r="D280" s="275" t="n"/>
      <c r="E280" s="275" t="n"/>
      <c r="F280" s="276" t="n"/>
      <c r="G280" s="276" t="n"/>
      <c r="H280" s="241" t="n">
        <v>95000</v>
      </c>
      <c r="I280" s="242" t="n"/>
      <c r="J280" s="242" t="n">
        <v>95000</v>
      </c>
      <c r="K280" s="272" t="n"/>
      <c r="L280" s="272">
        <f>IF(K280&lt;&gt;"",20000+K280,20000)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PUBLICO 5712</t>
        </is>
      </c>
      <c r="C281" s="268" t="n"/>
      <c r="D281" s="268" t="n">
        <v>1</v>
      </c>
      <c r="E281" s="268" t="n"/>
      <c r="F281" s="269" t="n"/>
      <c r="G281" s="269" t="n"/>
      <c r="H281" s="231" t="n">
        <v>37000</v>
      </c>
      <c r="I281" s="232" t="n">
        <v>37000</v>
      </c>
      <c r="J281" s="232" t="n"/>
      <c r="K281" s="272" t="n"/>
      <c r="L281" s="272">
        <f>IF(K281&lt;&gt;"",14500+K281,14500)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CAREN</t>
        </is>
      </c>
      <c r="C282" s="275" t="n"/>
      <c r="D282" s="275" t="n"/>
      <c r="E282" s="275" t="n">
        <v>1</v>
      </c>
      <c r="F282" s="276" t="n"/>
      <c r="G282" s="276" t="n"/>
      <c r="H282" s="241" t="n">
        <v>82000</v>
      </c>
      <c r="I282" s="242" t="n"/>
      <c r="J282" s="242" t="n">
        <v>82000</v>
      </c>
      <c r="K282" s="272" t="n"/>
      <c r="L282" s="272">
        <f>IF(K282&lt;&gt;"",22000+K282,22000)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PUBLICO 5746</t>
        </is>
      </c>
      <c r="C283" s="268" t="n"/>
      <c r="D283" s="268" t="n">
        <v>1</v>
      </c>
      <c r="E283" s="268" t="n"/>
      <c r="F283" s="269" t="n"/>
      <c r="G283" s="269" t="n"/>
      <c r="H283" s="231" t="n">
        <v>37000</v>
      </c>
      <c r="I283" s="232" t="n">
        <v>37000</v>
      </c>
      <c r="J283" s="232" t="n"/>
      <c r="K283" s="272" t="n"/>
      <c r="L283" s="272">
        <f>IF(K283&lt;&gt;"",14500+K283,14500)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PASAJE QUIROGA 5244</t>
        </is>
      </c>
      <c r="C284" s="275" t="n"/>
      <c r="D284" s="275" t="n">
        <v>1</v>
      </c>
      <c r="E284" s="275" t="n"/>
      <c r="F284" s="276" t="n"/>
      <c r="G284" s="276" t="n"/>
      <c r="H284" s="241" t="n">
        <v>37500</v>
      </c>
      <c r="I284" s="242" t="n"/>
      <c r="J284" s="242" t="n">
        <v>37500</v>
      </c>
      <c r="K284" s="272" t="n"/>
      <c r="L284" s="272">
        <f>IF(K284&lt;&gt;"",15000+K284,15000)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PEÑALOZA 9757</t>
        </is>
      </c>
      <c r="C285" s="268" t="n">
        <v>1</v>
      </c>
      <c r="D285" s="268" t="n"/>
      <c r="E285" s="268" t="n"/>
      <c r="F285" s="269" t="n"/>
      <c r="G285" s="269" t="n"/>
      <c r="H285" s="231" t="n">
        <v>26000</v>
      </c>
      <c r="I285" s="232" t="n">
        <v>26000</v>
      </c>
      <c r="J285" s="232" t="n"/>
      <c r="K285" s="272" t="n"/>
      <c r="L285" s="272">
        <f>IF(K285&lt;&gt;"",11000+K285,11000)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LLERENA 3746</t>
        </is>
      </c>
      <c r="C286" s="275" t="n"/>
      <c r="D286" s="275" t="n"/>
      <c r="E286" s="275" t="n">
        <v>1</v>
      </c>
      <c r="F286" s="276" t="n"/>
      <c r="G286" s="276" t="n"/>
      <c r="H286" s="241" t="n">
        <v>85000</v>
      </c>
      <c r="I286" s="242" t="n">
        <v>60000</v>
      </c>
      <c r="J286" s="242" t="n">
        <v>25000</v>
      </c>
      <c r="K286" s="272" t="n"/>
      <c r="L286" s="272">
        <f>IF(K286&lt;&gt;"",25000+K286,25000)</f>
        <v/>
      </c>
      <c r="M286" s="156" t="n"/>
      <c r="N286" s="156" t="n"/>
      <c r="O286" s="156" t="n"/>
    </row>
    <row r="287" ht="18.75" customHeight="1" s="153">
      <c r="A287" s="279" t="n">
        <v>46133</v>
      </c>
      <c r="B287" s="267" t="inlineStr">
        <is>
          <t>ESTANISLAO DEL CAMPO 1613</t>
        </is>
      </c>
      <c r="C287" s="268" t="n">
        <v>1</v>
      </c>
      <c r="D287" s="268" t="n"/>
      <c r="E287" s="268" t="n"/>
      <c r="F287" s="269" t="n"/>
      <c r="G287" s="269" t="n"/>
      <c r="H287" s="231" t="n">
        <v>26000</v>
      </c>
      <c r="I287" s="232" t="n"/>
      <c r="J287" s="232" t="n">
        <v>26000</v>
      </c>
      <c r="K287" s="272" t="n"/>
      <c r="L287" s="272">
        <f>IF(K287&lt;&gt;"",11000+K287,11000)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ANA ABDALA</t>
        </is>
      </c>
      <c r="C288" s="275" t="n">
        <v>1</v>
      </c>
      <c r="D288" s="275" t="n"/>
      <c r="E288" s="275" t="n"/>
      <c r="F288" s="276" t="n"/>
      <c r="G288" s="276" t="n"/>
      <c r="H288" s="241" t="n">
        <v>27000</v>
      </c>
      <c r="I288" s="242" t="n"/>
      <c r="J288" s="242" t="n">
        <v>27000</v>
      </c>
      <c r="K288" s="272" t="n"/>
      <c r="L288" s="272">
        <f>IF(K288&lt;&gt;"",12000+K288,12000)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VIEYTES 5299</t>
        </is>
      </c>
      <c r="C289" s="268" t="n"/>
      <c r="D289" s="268" t="n">
        <v>1</v>
      </c>
      <c r="E289" s="268" t="n"/>
      <c r="F289" s="269" t="n"/>
      <c r="G289" s="269" t="n"/>
      <c r="H289" s="231" t="n">
        <v>39000</v>
      </c>
      <c r="I289" s="232" t="n">
        <v>39000</v>
      </c>
      <c r="J289" s="232" t="n"/>
      <c r="K289" s="272" t="n"/>
      <c r="L289" s="272">
        <f>IF(K289&lt;&gt;"",16500+K289,16500)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SERBANDO BAYO 6650</t>
        </is>
      </c>
      <c r="C290" s="275" t="n"/>
      <c r="D290" s="275" t="n">
        <v>1</v>
      </c>
      <c r="E290" s="275" t="n"/>
      <c r="F290" s="276" t="n"/>
      <c r="G290" s="276" t="n"/>
      <c r="H290" s="241" t="n">
        <v>39000</v>
      </c>
      <c r="I290" s="242" t="n">
        <v>39000</v>
      </c>
      <c r="J290" s="242" t="n"/>
      <c r="K290" s="272" t="n"/>
      <c r="L290" s="272">
        <f>IF(K290&lt;&gt;"",16500+K290,16500)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AZOPARDO 10560</t>
        </is>
      </c>
      <c r="C291" s="268" t="n">
        <v>1</v>
      </c>
      <c r="D291" s="268" t="n"/>
      <c r="E291" s="268" t="n"/>
      <c r="F291" s="269" t="n"/>
      <c r="G291" s="269" t="n"/>
      <c r="H291" s="231" t="n">
        <v>26000</v>
      </c>
      <c r="I291" s="232" t="n">
        <v>26000</v>
      </c>
      <c r="J291" s="232" t="n"/>
      <c r="K291" s="272" t="n"/>
      <c r="L291" s="272">
        <f>IF(K291&lt;&gt;"",11000+K291,11000)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LARGUIA 6924</t>
        </is>
      </c>
      <c r="C292" s="275" t="n">
        <v>1</v>
      </c>
      <c r="D292" s="275" t="n"/>
      <c r="E292" s="275" t="n"/>
      <c r="F292" s="276" t="n"/>
      <c r="G292" s="276" t="n"/>
      <c r="H292" s="241" t="n">
        <v>25000</v>
      </c>
      <c r="I292" s="242" t="n">
        <v>25000</v>
      </c>
      <c r="J292" s="242" t="n"/>
      <c r="K292" s="272" t="n"/>
      <c r="L292" s="272">
        <f>IF(K292&lt;&gt;"",10000+K292,10000)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EX COMBATIENTES 5520</t>
        </is>
      </c>
      <c r="C293" s="268" t="n">
        <v>2</v>
      </c>
      <c r="D293" s="268" t="n"/>
      <c r="E293" s="268" t="n"/>
      <c r="F293" s="269" t="n"/>
      <c r="G293" s="269" t="n"/>
      <c r="H293" s="231" t="n">
        <v>52000</v>
      </c>
      <c r="I293" s="232" t="n"/>
      <c r="J293" s="232" t="n">
        <v>52000</v>
      </c>
      <c r="K293" s="272" t="n"/>
      <c r="L293" s="272">
        <f>IF(K293&lt;&gt;"",22000+K293,22000)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DORREGO 5575</t>
        </is>
      </c>
      <c r="C294" s="275" t="n">
        <v>1</v>
      </c>
      <c r="D294" s="275" t="n"/>
      <c r="E294" s="275" t="n"/>
      <c r="F294" s="276" t="n"/>
      <c r="G294" s="276" t="n"/>
      <c r="H294" s="241" t="n">
        <v>26000</v>
      </c>
      <c r="I294" s="242" t="n">
        <v>20000</v>
      </c>
      <c r="J294" s="242" t="n">
        <v>6000</v>
      </c>
      <c r="K294" s="272" t="n"/>
      <c r="L294" s="272">
        <f>IF(K294&lt;&gt;"",11000+K294,11000)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VIÑAS Y PAUCKE</t>
        </is>
      </c>
      <c r="C295" s="268" t="n"/>
      <c r="D295" s="268" t="n">
        <v>1</v>
      </c>
      <c r="E295" s="268" t="n"/>
      <c r="F295" s="269" t="n"/>
      <c r="G295" s="269" t="n"/>
      <c r="H295" s="231" t="n">
        <v>35500</v>
      </c>
      <c r="I295" s="232" t="n"/>
      <c r="J295" s="232" t="n">
        <v>35500</v>
      </c>
      <c r="K295" s="272" t="n"/>
      <c r="L295" s="272">
        <f>IF(K295&lt;&gt;"",13000+K295,13000)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4 DE ENERO 1342</t>
        </is>
      </c>
      <c r="C296" s="275" t="n">
        <v>1</v>
      </c>
      <c r="D296" s="275" t="n">
        <v>1</v>
      </c>
      <c r="E296" s="275" t="n"/>
      <c r="F296" s="276" t="n"/>
      <c r="G296" s="276" t="n"/>
      <c r="H296" s="241" t="n">
        <v>65000</v>
      </c>
      <c r="I296" s="242" t="n"/>
      <c r="J296" s="242" t="n">
        <v>65000</v>
      </c>
      <c r="K296" s="272" t="n"/>
      <c r="L296" s="272">
        <f>IF(K296&lt;&gt;"",27500+K296,27500)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 xml:space="preserve">FABIAN ALADO VIA NORTE </t>
        </is>
      </c>
      <c r="C297" s="268" t="n">
        <v>1</v>
      </c>
      <c r="D297" s="268" t="n"/>
      <c r="E297" s="268" t="n"/>
      <c r="F297" s="269" t="n"/>
      <c r="G297" s="269" t="n"/>
      <c r="H297" s="231" t="n">
        <v>25000</v>
      </c>
      <c r="I297" s="232" t="n"/>
      <c r="J297" s="232" t="n">
        <v>25000</v>
      </c>
      <c r="K297" s="272" t="n"/>
      <c r="L297" s="272">
        <f>IF(K297&lt;&gt;"",10000+K297,10000)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AZOPARDO 8443</t>
        </is>
      </c>
      <c r="C298" s="275" t="n">
        <v>1</v>
      </c>
      <c r="D298" s="275" t="n"/>
      <c r="E298" s="275" t="n"/>
      <c r="F298" s="276" t="n"/>
      <c r="G298" s="276" t="n"/>
      <c r="H298" s="241" t="n">
        <v>25000</v>
      </c>
      <c r="I298" s="242" t="n"/>
      <c r="J298" s="242" t="n">
        <v>25000</v>
      </c>
      <c r="K298" s="272" t="n"/>
      <c r="L298" s="272">
        <f>IF(K298&lt;&gt;"",10000+K298,10000)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 xml:space="preserve">USUARIO CALLE </t>
        </is>
      </c>
      <c r="C299" s="268" t="n">
        <v>1</v>
      </c>
      <c r="D299" s="268" t="n"/>
      <c r="E299" s="268" t="n"/>
      <c r="F299" s="269" t="n"/>
      <c r="G299" s="269" t="n"/>
      <c r="H299" s="231" t="n">
        <v>20000</v>
      </c>
      <c r="I299" s="232" t="n"/>
      <c r="J299" s="232" t="n">
        <v>20000</v>
      </c>
      <c r="K299" s="272" t="n"/>
      <c r="L299" s="272">
        <f>IF(K299&lt;&gt;"",5000+K299,5000)</f>
        <v/>
      </c>
      <c r="M299" s="156" t="n"/>
      <c r="N299" s="156" t="n"/>
      <c r="O299" s="156" t="n"/>
    </row>
    <row r="300" ht="18.75" customHeight="1" s="153">
      <c r="A300" s="273" t="n">
        <v>46134</v>
      </c>
      <c r="B300" s="274" t="inlineStr">
        <is>
          <t>CAYASTA 4887 MARCE</t>
        </is>
      </c>
      <c r="C300" s="275" t="n"/>
      <c r="D300" s="275" t="n"/>
      <c r="E300" s="275" t="n"/>
      <c r="F300" s="276" t="n">
        <v>4</v>
      </c>
      <c r="G300" s="276" t="n"/>
      <c r="H300" s="241" t="n">
        <v>15000</v>
      </c>
      <c r="I300" s="242" t="n">
        <v>15000</v>
      </c>
      <c r="J300" s="242" t="n"/>
      <c r="K300" s="272" t="n"/>
      <c r="L300" s="272">
        <f>IF(K300&lt;&gt;"",5800+K300,5800)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CHICLANA 7325</t>
        </is>
      </c>
      <c r="C301" s="268" t="n">
        <v>2</v>
      </c>
      <c r="D301" s="268" t="n"/>
      <c r="E301" s="268" t="n"/>
      <c r="F301" s="269" t="n"/>
      <c r="G301" s="269" t="n"/>
      <c r="H301" s="231" t="n">
        <v>38000</v>
      </c>
      <c r="I301" s="232" t="n"/>
      <c r="J301" s="232" t="n">
        <v>38000</v>
      </c>
      <c r="K301" s="272" t="n"/>
      <c r="L301" s="272">
        <f>IF(K301&lt;&gt;"",8000+K301,8000)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 xml:space="preserve">EMIR </t>
        </is>
      </c>
      <c r="C302" s="275" t="n">
        <v>1</v>
      </c>
      <c r="D302" s="275" t="n"/>
      <c r="E302" s="275" t="n"/>
      <c r="F302" s="276" t="n"/>
      <c r="G302" s="276" t="n"/>
      <c r="H302" s="241" t="n">
        <v>26000</v>
      </c>
      <c r="I302" s="242" t="n"/>
      <c r="J302" s="242" t="n">
        <v>26000</v>
      </c>
      <c r="K302" s="272" t="n"/>
      <c r="L302" s="272">
        <f>IF(K302&lt;&gt;"",11000+K302,11000)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 xml:space="preserve">PANA BERUTI 6726 </t>
        </is>
      </c>
      <c r="C303" s="268" t="n"/>
      <c r="D303" s="268" t="n"/>
      <c r="E303" s="268" t="n">
        <v>1</v>
      </c>
      <c r="F303" s="269" t="n"/>
      <c r="G303" s="269" t="n"/>
      <c r="H303" s="231" t="n">
        <v>78000</v>
      </c>
      <c r="I303" s="232" t="n">
        <v>78000</v>
      </c>
      <c r="J303" s="232" t="n"/>
      <c r="K303" s="272" t="n"/>
      <c r="L303" s="272">
        <f>IF(K303&lt;&gt;"",18000+K303,18000)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PANADERIA BAGUETE</t>
        </is>
      </c>
      <c r="C304" s="275" t="n"/>
      <c r="D304" s="275" t="n"/>
      <c r="E304" s="275" t="n">
        <v>1</v>
      </c>
      <c r="F304" s="276" t="n"/>
      <c r="G304" s="276" t="n"/>
      <c r="H304" s="241" t="n">
        <v>75000</v>
      </c>
      <c r="I304" s="242" t="n"/>
      <c r="J304" s="242" t="n">
        <v>75000</v>
      </c>
      <c r="K304" s="272" t="n"/>
      <c r="L304" s="272">
        <f>IF(K304&lt;&gt;"",15000+K304,15000)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EMA COMBETO PJE MARSENGO</t>
        </is>
      </c>
      <c r="C305" s="268" t="n"/>
      <c r="D305" s="268" t="n">
        <v>1</v>
      </c>
      <c r="E305" s="268" t="n"/>
      <c r="F305" s="269" t="n"/>
      <c r="G305" s="269" t="n"/>
      <c r="H305" s="231" t="n">
        <v>37500</v>
      </c>
      <c r="I305" s="232" t="n"/>
      <c r="J305" s="232" t="n">
        <v>37500</v>
      </c>
      <c r="K305" s="272" t="n"/>
      <c r="L305" s="272">
        <f>IF(K305&lt;&gt;"",15000+K305,15000)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TOFFO</t>
        </is>
      </c>
      <c r="C306" s="275" t="n"/>
      <c r="D306" s="275" t="n"/>
      <c r="E306" s="275" t="n">
        <v>1</v>
      </c>
      <c r="F306" s="276" t="n"/>
      <c r="G306" s="276" t="n"/>
      <c r="H306" s="241" t="n">
        <v>90000</v>
      </c>
      <c r="I306" s="242" t="n"/>
      <c r="J306" s="242" t="n">
        <v>90000</v>
      </c>
      <c r="K306" s="272" t="n"/>
      <c r="L306" s="272">
        <f>IF(K306&lt;&gt;"",30000+K306,30000)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FACUNDO ZUVIRIA 10235</t>
        </is>
      </c>
      <c r="C307" s="268" t="n">
        <v>1</v>
      </c>
      <c r="D307" s="268" t="n"/>
      <c r="E307" s="268" t="n"/>
      <c r="F307" s="269" t="n"/>
      <c r="G307" s="269" t="n"/>
      <c r="H307" s="231" t="n">
        <v>27000</v>
      </c>
      <c r="I307" s="232" t="n"/>
      <c r="J307" s="232" t="n">
        <v>27000</v>
      </c>
      <c r="K307" s="272" t="n"/>
      <c r="L307" s="272">
        <f>IF(K307&lt;&gt;"",12000+K307,12000)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ALSINA 6601</t>
        </is>
      </c>
      <c r="C308" s="275" t="n"/>
      <c r="D308" s="275" t="n"/>
      <c r="E308" s="275" t="n">
        <v>1</v>
      </c>
      <c r="F308" s="276" t="n"/>
      <c r="G308" s="276" t="n"/>
      <c r="H308" s="241" t="n">
        <v>80000</v>
      </c>
      <c r="I308" s="242" t="n"/>
      <c r="J308" s="242" t="n">
        <v>80000</v>
      </c>
      <c r="K308" s="272" t="n"/>
      <c r="L308" s="272">
        <f>IF(K308&lt;&gt;"",20000+K308,20000)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GUEMES 4421</t>
        </is>
      </c>
      <c r="C309" s="268" t="n">
        <v>1</v>
      </c>
      <c r="D309" s="268" t="n"/>
      <c r="E309" s="268" t="n"/>
      <c r="F309" s="269" t="n"/>
      <c r="G309" s="269" t="n"/>
      <c r="H309" s="231" t="n">
        <v>27000</v>
      </c>
      <c r="I309" s="232" t="n"/>
      <c r="J309" s="232" t="n">
        <v>27000</v>
      </c>
      <c r="K309" s="272" t="n"/>
      <c r="L309" s="272">
        <f>IF(K309&lt;&gt;"",12000+K309,12000)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DANA</t>
        </is>
      </c>
      <c r="C310" s="275" t="n">
        <v>3</v>
      </c>
      <c r="D310" s="275" t="n"/>
      <c r="E310" s="275" t="n"/>
      <c r="F310" s="276" t="n"/>
      <c r="G310" s="276" t="n"/>
      <c r="H310" s="241" t="n">
        <v>57000</v>
      </c>
      <c r="I310" s="242" t="n"/>
      <c r="J310" s="242" t="n">
        <v>57000</v>
      </c>
      <c r="K310" s="272" t="n"/>
      <c r="L310" s="272">
        <f>IF(K310&lt;&gt;"",12000+K310,12000)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LOPEZ Y PLANES 4585</t>
        </is>
      </c>
      <c r="C311" s="268" t="n">
        <v>1</v>
      </c>
      <c r="D311" s="268" t="n"/>
      <c r="E311" s="268" t="n"/>
      <c r="F311" s="269" t="n"/>
      <c r="G311" s="269" t="n"/>
      <c r="H311" s="231" t="n">
        <v>25000</v>
      </c>
      <c r="I311" s="232" t="n"/>
      <c r="J311" s="232" t="n">
        <v>25000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PEÑALOZA 7716</t>
        </is>
      </c>
      <c r="C312" s="275" t="n">
        <v>1</v>
      </c>
      <c r="D312" s="275" t="n"/>
      <c r="E312" s="275" t="n"/>
      <c r="F312" s="276" t="n"/>
      <c r="G312" s="276" t="n"/>
      <c r="H312" s="241" t="n">
        <v>25000</v>
      </c>
      <c r="I312" s="242" t="n"/>
      <c r="J312" s="242" t="n">
        <v>25000</v>
      </c>
      <c r="K312" s="272" t="n"/>
      <c r="L312" s="272">
        <f>IF(K312&lt;&gt;"",10000+K312,10000)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PANA ALBERTI</t>
        </is>
      </c>
      <c r="C313" s="268" t="n"/>
      <c r="D313" s="268" t="n"/>
      <c r="E313" s="268" t="n">
        <v>1</v>
      </c>
      <c r="F313" s="269" t="n"/>
      <c r="G313" s="269" t="n"/>
      <c r="H313" s="231" t="n">
        <v>82000</v>
      </c>
      <c r="I313" s="232" t="n">
        <v>82000</v>
      </c>
      <c r="J313" s="232" t="n"/>
      <c r="K313" s="272" t="n"/>
      <c r="L313" s="272">
        <f>IF(K313&lt;&gt;"",22000+K313,22000)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SANTA CRUZ 3051</t>
        </is>
      </c>
      <c r="C314" s="275" t="n"/>
      <c r="D314" s="275" t="n"/>
      <c r="E314" s="275" t="n">
        <v>1</v>
      </c>
      <c r="F314" s="276" t="n"/>
      <c r="G314" s="276" t="n"/>
      <c r="H314" s="241" t="n">
        <v>78000</v>
      </c>
      <c r="I314" s="242" t="n">
        <v>78000</v>
      </c>
      <c r="J314" s="242" t="n"/>
      <c r="K314" s="272" t="n"/>
      <c r="L314" s="272">
        <f>IF(K314&lt;&gt;"",18000+K314,18000)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BERUTI 6400</t>
        </is>
      </c>
      <c r="C315" s="268" t="n"/>
      <c r="D315" s="268" t="n"/>
      <c r="E315" s="268" t="n">
        <v>1</v>
      </c>
      <c r="F315" s="269" t="n"/>
      <c r="G315" s="269" t="n"/>
      <c r="H315" s="231" t="n">
        <v>75000</v>
      </c>
      <c r="I315" s="232" t="n">
        <v>5000</v>
      </c>
      <c r="J315" s="232" t="n">
        <v>70000</v>
      </c>
      <c r="K315" s="272" t="n"/>
      <c r="L315" s="272">
        <f>IF(K315&lt;&gt;"",15000+K315,15000)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>
        <v>2</v>
      </c>
      <c r="D316" s="275" t="n"/>
      <c r="E316" s="275" t="n"/>
      <c r="F316" s="276" t="n"/>
      <c r="G316" s="276" t="n"/>
      <c r="H316" s="241" t="n">
        <v>45000</v>
      </c>
      <c r="I316" s="242" t="n"/>
      <c r="J316" s="242" t="n">
        <v>45000</v>
      </c>
      <c r="K316" s="272" t="n"/>
      <c r="L316" s="272">
        <f>IF(K316&lt;&gt;"",15000+K316,15000)</f>
        <v/>
      </c>
      <c r="M316" s="156" t="n"/>
      <c r="N316" s="156" t="n"/>
      <c r="O316" s="156" t="n"/>
    </row>
    <row r="317" ht="18.75" customHeight="1" s="153">
      <c r="A317" s="279" t="n">
        <v>46135</v>
      </c>
      <c r="B317" s="267" t="inlineStr">
        <is>
          <t>PAULO</t>
        </is>
      </c>
      <c r="C317" s="268" t="n">
        <v>2</v>
      </c>
      <c r="D317" s="268" t="n"/>
      <c r="E317" s="268" t="n"/>
      <c r="F317" s="269" t="n"/>
      <c r="G317" s="269" t="n"/>
      <c r="H317" s="270" t="n">
        <v>38000</v>
      </c>
      <c r="I317" s="271" t="n">
        <v>38000</v>
      </c>
      <c r="J317" s="271" t="n"/>
      <c r="K317" s="272" t="n"/>
      <c r="L317" s="272">
        <f>IF(K317&lt;&gt;"",8000+K317,8000)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MARIO GABOTO Y ALBERTI</t>
        </is>
      </c>
      <c r="C318" s="275" t="n">
        <v>2</v>
      </c>
      <c r="D318" s="275" t="n"/>
      <c r="E318" s="275" t="n"/>
      <c r="F318" s="276" t="n"/>
      <c r="G318" s="276" t="n"/>
      <c r="H318" s="277" t="n">
        <v>38000</v>
      </c>
      <c r="I318" s="278" t="n">
        <v>38000</v>
      </c>
      <c r="J318" s="278" t="n"/>
      <c r="K318" s="272" t="n"/>
      <c r="L318" s="272">
        <f>IF(K318&lt;&gt;"",8000+K318,8000)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BEATRIZ</t>
        </is>
      </c>
      <c r="C319" s="268" t="n"/>
      <c r="D319" s="268" t="n"/>
      <c r="E319" s="268" t="n"/>
      <c r="F319" s="269" t="n"/>
      <c r="G319" s="269" t="n">
        <v>1</v>
      </c>
      <c r="H319" s="270" t="n">
        <v>6000</v>
      </c>
      <c r="I319" s="271" t="n"/>
      <c r="J319" s="271" t="n">
        <v>6000</v>
      </c>
      <c r="K319" s="272" t="n"/>
      <c r="L319" s="272">
        <f>IF(K319&lt;&gt;"",5150+K319,5150)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GUANELLA 4552</t>
        </is>
      </c>
      <c r="C320" s="275" t="n">
        <v>1</v>
      </c>
      <c r="D320" s="275" t="n"/>
      <c r="E320" s="275" t="n"/>
      <c r="F320" s="276" t="n"/>
      <c r="G320" s="276" t="n"/>
      <c r="H320" s="277" t="n">
        <v>27000</v>
      </c>
      <c r="I320" s="278" t="n"/>
      <c r="J320" s="278" t="n">
        <v>27000</v>
      </c>
      <c r="K320" s="272" t="n"/>
      <c r="L320" s="272">
        <f>IF(K320&lt;&gt;"",12000+K320,12000)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ALBERTI 4649</t>
        </is>
      </c>
      <c r="C321" s="268" t="n">
        <v>1</v>
      </c>
      <c r="D321" s="268" t="n"/>
      <c r="E321" s="268" t="n"/>
      <c r="F321" s="269" t="n"/>
      <c r="G321" s="269" t="n"/>
      <c r="H321" s="270" t="n">
        <v>25000</v>
      </c>
      <c r="I321" s="271" t="n"/>
      <c r="J321" s="271" t="n">
        <v>25000</v>
      </c>
      <c r="K321" s="272" t="n"/>
      <c r="L321" s="272">
        <f>IF(K321&lt;&gt;"",10000+K321,10000)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OTNIEL</t>
        </is>
      </c>
      <c r="C322" s="275" t="n"/>
      <c r="D322" s="275" t="n"/>
      <c r="E322" s="275" t="n"/>
      <c r="F322" s="276" t="n"/>
      <c r="G322" s="276" t="n">
        <v>2</v>
      </c>
      <c r="H322" s="277" t="n">
        <v>12000</v>
      </c>
      <c r="I322" s="278" t="n"/>
      <c r="J322" s="278" t="n">
        <v>12000</v>
      </c>
      <c r="K322" s="272" t="n"/>
      <c r="L322" s="272">
        <f>IF(K322&lt;&gt;"",10300+K322,10300)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TROPPO</t>
        </is>
      </c>
      <c r="C323" s="268" t="n">
        <v>1</v>
      </c>
      <c r="D323" s="268" t="n"/>
      <c r="E323" s="268" t="n"/>
      <c r="F323" s="269" t="n"/>
      <c r="G323" s="269" t="n"/>
      <c r="H323" s="270" t="n">
        <v>27000</v>
      </c>
      <c r="I323" s="271" t="n"/>
      <c r="J323" s="271" t="n">
        <v>27000</v>
      </c>
      <c r="K323" s="272" t="n"/>
      <c r="L323" s="272">
        <f>IF(K323&lt;&gt;"",12000+K323,12000)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1 DE MAYO 1605</t>
        </is>
      </c>
      <c r="C324" s="275" t="n"/>
      <c r="D324" s="275" t="n">
        <v>1</v>
      </c>
      <c r="E324" s="275" t="n"/>
      <c r="F324" s="276" t="n"/>
      <c r="G324" s="276" t="n"/>
      <c r="H324" s="277" t="n">
        <v>39000</v>
      </c>
      <c r="I324" s="278" t="n">
        <v>39000</v>
      </c>
      <c r="J324" s="278" t="n"/>
      <c r="K324" s="272" t="n"/>
      <c r="L324" s="272">
        <f>IF(K324&lt;&gt;"",16500+K324,16500)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SEDLASEK 5347</t>
        </is>
      </c>
      <c r="C325" s="268" t="n">
        <v>1</v>
      </c>
      <c r="D325" s="268" t="n"/>
      <c r="E325" s="268" t="n"/>
      <c r="F325" s="269" t="n"/>
      <c r="G325" s="269" t="n"/>
      <c r="H325" s="270" t="n">
        <v>26000</v>
      </c>
      <c r="I325" s="271" t="n">
        <v>26000</v>
      </c>
      <c r="J325" s="271" t="n"/>
      <c r="K325" s="272" t="n"/>
      <c r="L325" s="272">
        <f>IF(K325&lt;&gt;"",11000+K325,11000)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PANA VIEYTES 4500</t>
        </is>
      </c>
      <c r="C326" s="275" t="n"/>
      <c r="D326" s="275" t="n"/>
      <c r="E326" s="275" t="n">
        <v>1</v>
      </c>
      <c r="F326" s="276" t="n"/>
      <c r="G326" s="276" t="n"/>
      <c r="H326" s="277" t="n">
        <v>78000</v>
      </c>
      <c r="I326" s="278" t="n">
        <v>78000</v>
      </c>
      <c r="J326" s="278" t="n"/>
      <c r="K326" s="272" t="n"/>
      <c r="L326" s="272">
        <f>IF(K326&lt;&gt;"",18000+K326,18000)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FILOMENA</t>
        </is>
      </c>
      <c r="C327" s="268" t="n">
        <v>2</v>
      </c>
      <c r="D327" s="268" t="n"/>
      <c r="E327" s="268" t="n"/>
      <c r="F327" s="269" t="n"/>
      <c r="G327" s="269" t="n"/>
      <c r="H327" s="270" t="n">
        <v>46000</v>
      </c>
      <c r="I327" s="271" t="n"/>
      <c r="J327" s="271" t="n">
        <v>46000</v>
      </c>
      <c r="K327" s="272" t="n"/>
      <c r="L327" s="272">
        <f>IF(K327&lt;&gt;"",16000+K327,16000)</f>
        <v/>
      </c>
      <c r="M327" s="156" t="n"/>
      <c r="N327" s="156" t="n"/>
      <c r="O327" s="156" t="n"/>
    </row>
    <row r="328" ht="18.75" customHeight="1" s="153">
      <c r="A328" s="273" t="n"/>
      <c r="B328" s="274" t="inlineStr">
        <is>
          <t>SABOREAR</t>
        </is>
      </c>
      <c r="C328" s="275" t="n"/>
      <c r="D328" s="275" t="n"/>
      <c r="E328" s="275" t="n">
        <v>1</v>
      </c>
      <c r="F328" s="276" t="n"/>
      <c r="G328" s="276" t="n"/>
      <c r="H328" s="277" t="n">
        <v>81000</v>
      </c>
      <c r="I328" s="278" t="n"/>
      <c r="J328" s="278" t="n">
        <v>81000</v>
      </c>
      <c r="K328" s="272" t="n"/>
      <c r="L328" s="272">
        <f>IF(K328&lt;&gt;"",21000+K328,21000)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LAVALLE 4224</t>
        </is>
      </c>
      <c r="C329" s="268" t="n">
        <v>1</v>
      </c>
      <c r="D329" s="268" t="n"/>
      <c r="E329" s="268" t="n"/>
      <c r="F329" s="269" t="n"/>
      <c r="G329" s="269" t="n"/>
      <c r="H329" s="270" t="n">
        <v>26000</v>
      </c>
      <c r="I329" s="271" t="n"/>
      <c r="J329" s="271" t="n">
        <v>26000</v>
      </c>
      <c r="K329" s="272" t="n"/>
      <c r="L329" s="272">
        <f>IF(K329&lt;&gt;"",11000+K329,11000)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ARISTOBULO</t>
        </is>
      </c>
      <c r="C330" s="275" t="n"/>
      <c r="D330" s="275" t="n">
        <v>1</v>
      </c>
      <c r="E330" s="275" t="n"/>
      <c r="F330" s="276" t="n"/>
      <c r="G330" s="276" t="n"/>
      <c r="H330" s="277" t="n">
        <v>33500</v>
      </c>
      <c r="I330" s="278" t="n"/>
      <c r="J330" s="278" t="n">
        <v>33500</v>
      </c>
      <c r="K330" s="272" t="n"/>
      <c r="L330" s="272">
        <f>IF(K330&lt;&gt;"",11000+K330,11000)</f>
        <v/>
      </c>
      <c r="M330" s="156" t="n"/>
      <c r="N330" s="156" t="n"/>
      <c r="O330" s="156" t="n"/>
    </row>
    <row r="331" ht="18.75" customHeight="1" s="153">
      <c r="A331" s="279" t="n">
        <v>46136</v>
      </c>
      <c r="B331" s="267" t="inlineStr">
        <is>
          <t>FREY AROCA 9560 ESCUELA</t>
        </is>
      </c>
      <c r="C331" s="268" t="n"/>
      <c r="D331" s="268" t="n"/>
      <c r="E331" s="268" t="n">
        <v>2</v>
      </c>
      <c r="F331" s="269" t="n"/>
      <c r="G331" s="269" t="n"/>
      <c r="H331" s="270" t="n">
        <v>187900</v>
      </c>
      <c r="I331" s="271" t="n"/>
      <c r="J331" s="271" t="n">
        <v>187900</v>
      </c>
      <c r="K331" s="272" t="n"/>
      <c r="L331" s="272">
        <f>IF(K331&lt;&gt;"",67900+K331,67900)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ROTI AGUADO</t>
        </is>
      </c>
      <c r="C332" s="275" t="n"/>
      <c r="D332" s="275" t="n">
        <v>2</v>
      </c>
      <c r="E332" s="275" t="n"/>
      <c r="F332" s="276" t="n"/>
      <c r="G332" s="276" t="n"/>
      <c r="H332" s="277" t="n">
        <v>67000</v>
      </c>
      <c r="I332" s="278" t="n"/>
      <c r="J332" s="278" t="n">
        <v>67000</v>
      </c>
      <c r="K332" s="272" t="n"/>
      <c r="L332" s="272">
        <f>IF(K332&lt;&gt;"",22000+K332,22000)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DOMINGO SILVA 4217</t>
        </is>
      </c>
      <c r="C333" s="268" t="n">
        <v>2</v>
      </c>
      <c r="D333" s="268" t="n">
        <v>1</v>
      </c>
      <c r="E333" s="268" t="n"/>
      <c r="F333" s="269" t="n"/>
      <c r="G333" s="269" t="n"/>
      <c r="H333" s="270" t="n">
        <v>66500</v>
      </c>
      <c r="I333" s="271" t="n">
        <v>66500</v>
      </c>
      <c r="J333" s="271" t="n"/>
      <c r="K333" s="272" t="n"/>
      <c r="L333" s="272">
        <f>IF(K333&lt;&gt;"",14000+K333,14000)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OTNIEL</t>
        </is>
      </c>
      <c r="C334" s="275" t="n"/>
      <c r="D334" s="275" t="n">
        <v>2</v>
      </c>
      <c r="E334" s="275" t="n">
        <v>1</v>
      </c>
      <c r="F334" s="276" t="n"/>
      <c r="G334" s="276" t="n"/>
      <c r="H334" s="277" t="n">
        <v>149000</v>
      </c>
      <c r="I334" s="278" t="n">
        <v>149000</v>
      </c>
      <c r="J334" s="278" t="n"/>
      <c r="K334" s="272" t="n"/>
      <c r="L334" s="272">
        <f>IF(K334&lt;&gt;"",44000+K334,44000)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VIANDAS JORGE</t>
        </is>
      </c>
      <c r="C335" s="268" t="n">
        <v>1</v>
      </c>
      <c r="D335" s="268" t="n"/>
      <c r="E335" s="268" t="n"/>
      <c r="F335" s="269" t="n"/>
      <c r="G335" s="269" t="n"/>
      <c r="H335" s="270" t="n">
        <v>22000</v>
      </c>
      <c r="I335" s="271" t="n">
        <v>22000</v>
      </c>
      <c r="J335" s="271" t="n"/>
      <c r="K335" s="272" t="n"/>
      <c r="L335" s="272">
        <f>IF(K335&lt;&gt;"",7000+K335,7000)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ESPORA 3421</t>
        </is>
      </c>
      <c r="C336" s="275" t="n">
        <v>1</v>
      </c>
      <c r="D336" s="275" t="n"/>
      <c r="E336" s="275" t="n"/>
      <c r="F336" s="276" t="n"/>
      <c r="G336" s="276" t="n"/>
      <c r="H336" s="277" t="n">
        <v>26000</v>
      </c>
      <c r="I336" s="278" t="n">
        <v>26000</v>
      </c>
      <c r="J336" s="278" t="n"/>
      <c r="K336" s="272" t="n"/>
      <c r="L336" s="272">
        <f>IF(K336&lt;&gt;"",11000+K336,11000)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BAGUETT</t>
        </is>
      </c>
      <c r="C337" s="268" t="n"/>
      <c r="D337" s="268" t="n"/>
      <c r="E337" s="268" t="n">
        <v>1</v>
      </c>
      <c r="F337" s="269" t="n"/>
      <c r="G337" s="269" t="n"/>
      <c r="H337" s="270" t="n">
        <v>75000</v>
      </c>
      <c r="I337" s="271" t="n"/>
      <c r="J337" s="271" t="n">
        <v>75000</v>
      </c>
      <c r="K337" s="272" t="n"/>
      <c r="L337" s="272">
        <f>IF(K337&lt;&gt;"",15000+K337,15000)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CHICLANA 7325</t>
        </is>
      </c>
      <c r="C338" s="275" t="n">
        <v>1</v>
      </c>
      <c r="D338" s="275" t="n"/>
      <c r="E338" s="275" t="n"/>
      <c r="F338" s="276" t="n"/>
      <c r="G338" s="276" t="n"/>
      <c r="H338" s="277" t="n">
        <v>19000</v>
      </c>
      <c r="I338" s="278" t="n"/>
      <c r="J338" s="278" t="n">
        <v>19000</v>
      </c>
      <c r="K338" s="272" t="n"/>
      <c r="L338" s="272">
        <f>IF(K338&lt;&gt;"",4000+K338,4000)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GENERAL LOPEZ 2614 LOS PRIMOS</t>
        </is>
      </c>
      <c r="C339" s="268" t="n">
        <v>3</v>
      </c>
      <c r="D339" s="268" t="n"/>
      <c r="E339" s="268" t="n"/>
      <c r="F339" s="269" t="n"/>
      <c r="G339" s="269" t="n"/>
      <c r="H339" s="270" t="n">
        <v>81000</v>
      </c>
      <c r="I339" s="271" t="n">
        <v>81000</v>
      </c>
      <c r="J339" s="271" t="n"/>
      <c r="K339" s="272" t="n"/>
      <c r="L339" s="272">
        <f>IF(K339&lt;&gt;"",36000+K339,36000)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AZCUENAGA 6551</t>
        </is>
      </c>
      <c r="C340" s="275" t="n">
        <v>4</v>
      </c>
      <c r="D340" s="275" t="n">
        <v>1</v>
      </c>
      <c r="E340" s="275" t="n"/>
      <c r="F340" s="276" t="n"/>
      <c r="G340" s="276" t="n"/>
      <c r="H340" s="277" t="n">
        <v>102500</v>
      </c>
      <c r="I340" s="278" t="n"/>
      <c r="J340" s="278" t="n">
        <v>102500</v>
      </c>
      <c r="K340" s="272" t="n"/>
      <c r="L340" s="272">
        <f>IF(K340&lt;&gt;"",20000+K340,20000)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PASAJE SANTA FE 5893</t>
        </is>
      </c>
      <c r="C341" s="268" t="n"/>
      <c r="D341" s="268" t="n">
        <v>1</v>
      </c>
      <c r="E341" s="268" t="n"/>
      <c r="F341" s="269" t="n"/>
      <c r="G341" s="269" t="n"/>
      <c r="H341" s="270" t="n">
        <v>37500</v>
      </c>
      <c r="I341" s="271" t="n">
        <v>37500</v>
      </c>
      <c r="J341" s="271" t="n"/>
      <c r="K341" s="272" t="n"/>
      <c r="L341" s="272">
        <f>IF(K341&lt;&gt;"",15000+K341,15000)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SANTA CRUZ 6194</t>
        </is>
      </c>
      <c r="C342" s="275" t="n">
        <v>1</v>
      </c>
      <c r="D342" s="275" t="n"/>
      <c r="E342" s="275" t="n"/>
      <c r="F342" s="276" t="n"/>
      <c r="G342" s="276" t="n"/>
      <c r="H342" s="277" t="n">
        <v>26000</v>
      </c>
      <c r="I342" s="278" t="n">
        <v>26000</v>
      </c>
      <c r="J342" s="278" t="n"/>
      <c r="K342" s="272" t="n"/>
      <c r="L342" s="272">
        <f>IF(K342&lt;&gt;"",11000+K342,11000)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CAREN</t>
        </is>
      </c>
      <c r="C343" s="268" t="n"/>
      <c r="D343" s="268" t="n"/>
      <c r="E343" s="268" t="n">
        <v>1</v>
      </c>
      <c r="F343" s="269" t="n"/>
      <c r="G343" s="269" t="n"/>
      <c r="H343" s="270" t="n">
        <v>82000</v>
      </c>
      <c r="I343" s="271" t="n"/>
      <c r="J343" s="271" t="n">
        <v>82000</v>
      </c>
      <c r="K343" s="272" t="n"/>
      <c r="L343" s="272">
        <f>IF(K343&lt;&gt;"",22000+K343,22000)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RIVADAVIA JUNIORS</t>
        </is>
      </c>
      <c r="C344" s="275" t="n">
        <v>3</v>
      </c>
      <c r="D344" s="275" t="n"/>
      <c r="E344" s="275" t="n"/>
      <c r="F344" s="276" t="n"/>
      <c r="G344" s="276" t="n"/>
      <c r="H344" s="277" t="n">
        <v>75000</v>
      </c>
      <c r="I344" s="278" t="n">
        <v>75000</v>
      </c>
      <c r="J344" s="278" t="n"/>
      <c r="K344" s="272" t="n"/>
      <c r="L344" s="272">
        <f>IF(K344&lt;&gt;"",30000+K344,30000)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PEDRO DIAZ COLODRERO 1224</t>
        </is>
      </c>
      <c r="C345" s="268" t="n">
        <v>1</v>
      </c>
      <c r="D345" s="268" t="n"/>
      <c r="E345" s="268" t="n"/>
      <c r="F345" s="269" t="n"/>
      <c r="G345" s="269" t="n"/>
      <c r="H345" s="270" t="n">
        <v>26000</v>
      </c>
      <c r="I345" s="271" t="n">
        <v>26000</v>
      </c>
      <c r="J345" s="271" t="n"/>
      <c r="K345" s="272" t="n"/>
      <c r="L345" s="272">
        <f>IF(K345&lt;&gt;"",11000+K345,11000)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MATEU 4059</t>
        </is>
      </c>
      <c r="C346" s="275" t="n"/>
      <c r="D346" s="275" t="n">
        <v>1</v>
      </c>
      <c r="E346" s="275" t="n"/>
      <c r="F346" s="276" t="n"/>
      <c r="G346" s="276" t="n"/>
      <c r="H346" s="277" t="n">
        <v>32500</v>
      </c>
      <c r="I346" s="278" t="n">
        <v>32500</v>
      </c>
      <c r="J346" s="278" t="n"/>
      <c r="K346" s="272" t="n"/>
      <c r="L346" s="272">
        <f>IF(K346&lt;&gt;"",10000+K346,10000)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TROPPO</t>
        </is>
      </c>
      <c r="C347" s="268" t="n">
        <v>3</v>
      </c>
      <c r="D347" s="268" t="n"/>
      <c r="E347" s="268" t="n"/>
      <c r="F347" s="269" t="n"/>
      <c r="G347" s="269" t="n"/>
      <c r="H347" s="270" t="n">
        <v>75000</v>
      </c>
      <c r="I347" s="271" t="n">
        <v>75000</v>
      </c>
      <c r="J347" s="271" t="n"/>
      <c r="K347" s="272" t="n"/>
      <c r="L347" s="272">
        <f>IF(K347&lt;&gt;"",30000+K347,30000)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9 DE JULIO 1144</t>
        </is>
      </c>
      <c r="C348" s="275" t="n"/>
      <c r="D348" s="275" t="n"/>
      <c r="E348" s="275" t="n">
        <v>2</v>
      </c>
      <c r="F348" s="276" t="n"/>
      <c r="G348" s="276" t="n"/>
      <c r="H348" s="277" t="n">
        <v>180000</v>
      </c>
      <c r="I348" s="278" t="n"/>
      <c r="J348" s="278" t="n">
        <v>180000</v>
      </c>
      <c r="K348" s="272" t="n"/>
      <c r="L348" s="272">
        <f>IF(K348&lt;&gt;"",60000+K348,60000)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RUPERTO GODOT 1179</t>
        </is>
      </c>
      <c r="C349" s="268" t="n">
        <v>1</v>
      </c>
      <c r="D349" s="268" t="n"/>
      <c r="E349" s="268" t="n"/>
      <c r="F349" s="269" t="n"/>
      <c r="G349" s="269" t="n"/>
      <c r="H349" s="270" t="n">
        <v>25000</v>
      </c>
      <c r="I349" s="271" t="n">
        <v>25000</v>
      </c>
      <c r="J349" s="271" t="n"/>
      <c r="K349" s="272" t="n"/>
      <c r="L349" s="272">
        <f>IF(K349&lt;&gt;"",10000+K349,10000)</f>
        <v/>
      </c>
      <c r="M349" s="156" t="n"/>
      <c r="N349" s="156" t="n"/>
      <c r="O349" s="156" t="n"/>
    </row>
    <row r="350" ht="18.75" customHeight="1" s="153">
      <c r="A350" s="273" t="n"/>
      <c r="B350" s="274" t="inlineStr">
        <is>
          <t>ROTI VIEYTES</t>
        </is>
      </c>
      <c r="C350" s="275" t="n"/>
      <c r="D350" s="275" t="n">
        <v>2</v>
      </c>
      <c r="E350" s="275" t="n"/>
      <c r="F350" s="276" t="n"/>
      <c r="G350" s="276" t="n"/>
      <c r="H350" s="277" t="n">
        <v>61000</v>
      </c>
      <c r="I350" s="278" t="n"/>
      <c r="J350" s="278" t="n">
        <v>61000</v>
      </c>
      <c r="K350" s="272" t="n"/>
      <c r="L350" s="272">
        <f>IF(K350&lt;&gt;"",16000+K350,16000)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FRANCIA 1864</t>
        </is>
      </c>
      <c r="C351" s="268" t="n"/>
      <c r="D351" s="268" t="n"/>
      <c r="E351" s="268" t="n">
        <v>1</v>
      </c>
      <c r="F351" s="269" t="n"/>
      <c r="G351" s="269" t="n"/>
      <c r="H351" s="270" t="n">
        <v>86000</v>
      </c>
      <c r="I351" s="271" t="n">
        <v>86000</v>
      </c>
      <c r="J351" s="271" t="n"/>
      <c r="K351" s="272" t="n"/>
      <c r="L351" s="272">
        <f>IF(K351&lt;&gt;"",26000+K351,26000)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BRASERIA</t>
        </is>
      </c>
      <c r="C352" s="275" t="n"/>
      <c r="D352" s="275" t="n"/>
      <c r="E352" s="275" t="n">
        <v>1</v>
      </c>
      <c r="F352" s="276" t="n"/>
      <c r="G352" s="276" t="n"/>
      <c r="H352" s="277" t="n">
        <v>83000</v>
      </c>
      <c r="I352" s="278" t="n"/>
      <c r="J352" s="278" t="n">
        <v>83000</v>
      </c>
      <c r="K352" s="272" t="n"/>
      <c r="L352" s="272">
        <f>IF(K352&lt;&gt;"",23000+K352,23000)</f>
        <v/>
      </c>
      <c r="M352" s="156" t="n"/>
      <c r="N352" s="156" t="n"/>
      <c r="O352" s="156" t="n"/>
    </row>
    <row r="353" ht="18.75" customHeight="1" s="153">
      <c r="A353" s="279" t="n">
        <v>46137</v>
      </c>
      <c r="B353" s="267" t="inlineStr">
        <is>
          <t>SANDRA</t>
        </is>
      </c>
      <c r="C353" s="268" t="n">
        <v>1</v>
      </c>
      <c r="D353" s="268" t="n"/>
      <c r="E353" s="268" t="n"/>
      <c r="F353" s="269" t="n"/>
      <c r="G353" s="269" t="n"/>
      <c r="H353" s="270" t="n">
        <v>19000</v>
      </c>
      <c r="I353" s="271" t="n">
        <v>19000</v>
      </c>
      <c r="J353" s="271" t="n"/>
      <c r="K353" s="272" t="n"/>
      <c r="L353" s="272">
        <f>IF(K353&lt;&gt;"",4000+K353,4000)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SUPER SERATO</t>
        </is>
      </c>
      <c r="C354" s="275" t="n"/>
      <c r="D354" s="275" t="n"/>
      <c r="E354" s="275" t="n">
        <v>1</v>
      </c>
      <c r="F354" s="276" t="n"/>
      <c r="G354" s="276" t="n"/>
      <c r="H354" s="277" t="n">
        <v>90000</v>
      </c>
      <c r="I354" s="278" t="n"/>
      <c r="J354" s="278" t="n">
        <v>90000</v>
      </c>
      <c r="K354" s="272" t="n"/>
      <c r="L354" s="272">
        <f>IF(K354&lt;&gt;"",30000+K354,30000)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ABUELA LUCAS</t>
        </is>
      </c>
      <c r="C355" s="268" t="n">
        <v>1</v>
      </c>
      <c r="D355" s="268" t="n"/>
      <c r="E355" s="268" t="n"/>
      <c r="F355" s="269" t="n"/>
      <c r="G355" s="269" t="n"/>
      <c r="H355" s="270" t="n">
        <v>25000</v>
      </c>
      <c r="I355" s="271" t="n">
        <v>25000</v>
      </c>
      <c r="J355" s="271" t="n"/>
      <c r="K355" s="272" t="n"/>
      <c r="L355" s="272">
        <f>IF(K355&lt;&gt;"",10000+K355,10000)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PARRI BLAS PARERA</t>
        </is>
      </c>
      <c r="C356" s="275" t="n">
        <v>1</v>
      </c>
      <c r="D356" s="275" t="n"/>
      <c r="E356" s="275" t="n"/>
      <c r="F356" s="276" t="n"/>
      <c r="G356" s="276" t="n"/>
      <c r="H356" s="277" t="n">
        <v>23000</v>
      </c>
      <c r="I356" s="278" t="n"/>
      <c r="J356" s="278" t="n">
        <v>23000</v>
      </c>
      <c r="K356" s="272" t="n"/>
      <c r="L356" s="272">
        <f>IF(K356&lt;&gt;"",8000+K356,8000)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LOLI</t>
        </is>
      </c>
      <c r="C357" s="268" t="n">
        <v>1</v>
      </c>
      <c r="D357" s="268" t="n"/>
      <c r="E357" s="268" t="n"/>
      <c r="F357" s="269" t="n">
        <v>4</v>
      </c>
      <c r="G357" s="269" t="n"/>
      <c r="H357" s="270" t="n">
        <v>50000</v>
      </c>
      <c r="I357" s="271" t="n">
        <v>50000</v>
      </c>
      <c r="J357" s="271" t="n"/>
      <c r="K357" s="272" t="n"/>
      <c r="L357" s="272">
        <f>IF(K357&lt;&gt;"",25800+K357,25800)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CINDI</t>
        </is>
      </c>
      <c r="C358" s="275" t="n"/>
      <c r="D358" s="275" t="n"/>
      <c r="E358" s="275" t="n"/>
      <c r="F358" s="276" t="n">
        <v>2</v>
      </c>
      <c r="G358" s="276" t="n"/>
      <c r="H358" s="277" t="n">
        <v>7000</v>
      </c>
      <c r="I358" s="278" t="n">
        <v>7000</v>
      </c>
      <c r="J358" s="278" t="n"/>
      <c r="K358" s="272" t="n"/>
      <c r="L358" s="272">
        <f>IF(K358&lt;&gt;"",2400+K358,2400)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LUCHO</t>
        </is>
      </c>
      <c r="C359" s="268" t="n">
        <v>2</v>
      </c>
      <c r="D359" s="268" t="n"/>
      <c r="E359" s="268" t="n"/>
      <c r="F359" s="269" t="n"/>
      <c r="G359" s="269" t="n"/>
      <c r="H359" s="270" t="n">
        <v>38000</v>
      </c>
      <c r="I359" s="271" t="n">
        <v>38000</v>
      </c>
      <c r="J359" s="271" t="n"/>
      <c r="K359" s="272" t="n"/>
      <c r="L359" s="272">
        <f>IF(K359&lt;&gt;"",8000+K359,8000)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DAMIANOVICH 3190</t>
        </is>
      </c>
      <c r="C360" s="275" t="n"/>
      <c r="D360" s="275" t="n">
        <v>1</v>
      </c>
      <c r="E360" s="275" t="n"/>
      <c r="F360" s="276" t="n"/>
      <c r="G360" s="276" t="n"/>
      <c r="H360" s="277" t="n">
        <v>38500</v>
      </c>
      <c r="I360" s="278" t="n">
        <v>38500</v>
      </c>
      <c r="J360" s="278" t="n"/>
      <c r="K360" s="272" t="n"/>
      <c r="L360" s="272">
        <f>IF(K360&lt;&gt;"",16000+K360,16000)</f>
        <v/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SANTA BAR 1 MAYO 1959</t>
        </is>
      </c>
      <c r="C361" s="268" t="n"/>
      <c r="D361" s="268" t="n"/>
      <c r="E361" s="268" t="n">
        <v>1</v>
      </c>
      <c r="F361" s="269" t="n"/>
      <c r="G361" s="269" t="n"/>
      <c r="H361" s="270" t="n">
        <v>85000</v>
      </c>
      <c r="I361" s="271" t="n"/>
      <c r="J361" s="271" t="n">
        <v>85000</v>
      </c>
      <c r="K361" s="272" t="n"/>
      <c r="L361" s="272">
        <f>IF(K361&lt;&gt;"",25000+K361,25000)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PANA BERUTI 3850</t>
        </is>
      </c>
      <c r="C362" s="275" t="n">
        <v>1</v>
      </c>
      <c r="D362" s="275" t="n"/>
      <c r="E362" s="275" t="n">
        <v>1</v>
      </c>
      <c r="F362" s="276" t="n"/>
      <c r="G362" s="276" t="n"/>
      <c r="H362" s="277" t="n">
        <v>99000</v>
      </c>
      <c r="I362" s="278" t="n">
        <v>99000</v>
      </c>
      <c r="J362" s="278" t="n"/>
      <c r="K362" s="272" t="n"/>
      <c r="L362" s="272">
        <f>IF(K362&lt;&gt;"",24000+K362,24000)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FILOMENA</t>
        </is>
      </c>
      <c r="C363" s="268" t="n">
        <v>2</v>
      </c>
      <c r="D363" s="268" t="n"/>
      <c r="E363" s="268" t="n"/>
      <c r="F363" s="269" t="n"/>
      <c r="G363" s="269" t="n"/>
      <c r="H363" s="270" t="n">
        <v>41000</v>
      </c>
      <c r="I363" s="271" t="n"/>
      <c r="J363" s="271" t="n">
        <v>41000</v>
      </c>
      <c r="K363" s="272" t="n"/>
      <c r="L363" s="272">
        <f>IF(K363&lt;&gt;"",11000+K363,11000)</f>
        <v/>
      </c>
      <c r="M363" s="156" t="n"/>
      <c r="N363" s="156" t="n"/>
      <c r="O363" s="156" t="n"/>
    </row>
    <row r="364" ht="15.75" customHeight="1" s="153">
      <c r="A364" s="273" t="n">
        <v>46138</v>
      </c>
      <c r="B364" s="274" t="inlineStr">
        <is>
          <t>MITRE 4241</t>
        </is>
      </c>
      <c r="C364" s="275" t="n"/>
      <c r="D364" s="275" t="n"/>
      <c r="E364" s="275" t="n">
        <v>1</v>
      </c>
      <c r="F364" s="276" t="n"/>
      <c r="G364" s="276" t="n"/>
      <c r="H364" s="277" t="n">
        <v>86000</v>
      </c>
      <c r="I364" s="278" t="n">
        <v>86000</v>
      </c>
      <c r="J364" s="278" t="n"/>
      <c r="K364" s="272" t="n"/>
      <c r="L364" s="272">
        <f>IF(K364&lt;&gt;"",26000+K364,26000)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PORKI</t>
        </is>
      </c>
      <c r="C365" s="268" t="n">
        <v>1</v>
      </c>
      <c r="D365" s="268" t="n"/>
      <c r="E365" s="268" t="n"/>
      <c r="F365" s="269" t="n"/>
      <c r="G365" s="269" t="n"/>
      <c r="H365" s="270" t="n">
        <v>23000</v>
      </c>
      <c r="I365" s="271" t="n"/>
      <c r="J365" s="271" t="n">
        <v>23000</v>
      </c>
      <c r="K365" s="272" t="n"/>
      <c r="L365" s="272">
        <f>IF(K365&lt;&gt;"",8000+K365,8000)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5119</t>
        </is>
      </c>
      <c r="C366" s="275" t="n"/>
      <c r="D366" s="275" t="n"/>
      <c r="E366" s="275" t="n">
        <v>1</v>
      </c>
      <c r="F366" s="276" t="n"/>
      <c r="G366" s="276" t="n"/>
      <c r="H366" s="277" t="n">
        <v>85000</v>
      </c>
      <c r="I366" s="278" t="n"/>
      <c r="J366" s="278" t="n">
        <v>85000</v>
      </c>
      <c r="K366" s="272" t="n"/>
      <c r="L366" s="272">
        <f>IF(K366&lt;&gt;"",25000+K366,25000)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CONDOMINIO MIRLOS RINCON</t>
        </is>
      </c>
      <c r="C367" s="268" t="n">
        <v>3</v>
      </c>
      <c r="D367" s="268" t="n"/>
      <c r="E367" s="268" t="n"/>
      <c r="F367" s="269" t="n"/>
      <c r="G367" s="269" t="n"/>
      <c r="H367" s="270" t="n">
        <v>78000</v>
      </c>
      <c r="I367" s="271" t="n"/>
      <c r="J367" s="271" t="n">
        <v>78000</v>
      </c>
      <c r="K367" s="272" t="n"/>
      <c r="L367" s="272">
        <f>IF(K367&lt;&gt;"",33000+K367,33000)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DEL SOL Y LUCIERNAGAS</t>
        </is>
      </c>
      <c r="C368" s="275" t="n"/>
      <c r="D368" s="275" t="n"/>
      <c r="E368" s="275" t="n">
        <v>1</v>
      </c>
      <c r="F368" s="276" t="n"/>
      <c r="G368" s="276" t="n"/>
      <c r="H368" s="277" t="n">
        <v>89000</v>
      </c>
      <c r="I368" s="278" t="n"/>
      <c r="J368" s="278" t="n">
        <v>89000</v>
      </c>
      <c r="K368" s="272" t="n"/>
      <c r="L368" s="272">
        <f>IF(K368&lt;&gt;"",29000+K368,29000)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DANA</t>
        </is>
      </c>
      <c r="C369" s="268" t="n">
        <v>3</v>
      </c>
      <c r="D369" s="268" t="n"/>
      <c r="E369" s="268" t="n"/>
      <c r="F369" s="269" t="n"/>
      <c r="G369" s="269" t="n"/>
      <c r="H369" s="270" t="n">
        <v>57000</v>
      </c>
      <c r="I369" s="271" t="n">
        <v>57000</v>
      </c>
      <c r="J369" s="271" t="n"/>
      <c r="K369" s="272" t="n"/>
      <c r="L369" s="272">
        <f>IF(K369&lt;&gt;"",12000+K369,12000)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MILENIO DE POLONIA 2819</t>
        </is>
      </c>
      <c r="C370" s="275" t="n">
        <v>2</v>
      </c>
      <c r="D370" s="275" t="n"/>
      <c r="E370" s="275" t="n"/>
      <c r="F370" s="276" t="n"/>
      <c r="G370" s="276" t="n"/>
      <c r="H370" s="277" t="n">
        <v>54000</v>
      </c>
      <c r="I370" s="278" t="n">
        <v>54000</v>
      </c>
      <c r="J370" s="278" t="n"/>
      <c r="K370" s="272" t="n"/>
      <c r="L370" s="272">
        <f>IF(K370&lt;&gt;"",24000+K370,24000)</f>
        <v/>
      </c>
      <c r="M370" s="156" t="n"/>
      <c r="N370" s="156" t="n"/>
      <c r="O370" s="156" t="n"/>
    </row>
    <row r="371" ht="15.75" customHeight="1" s="153">
      <c r="A371" s="279" t="n">
        <v>46139</v>
      </c>
      <c r="B371" s="267" t="inlineStr">
        <is>
          <t>PALLARES 8200 CASA 104</t>
        </is>
      </c>
      <c r="C371" s="268" t="n"/>
      <c r="D371" s="268" t="n"/>
      <c r="E371" s="268" t="n">
        <v>1</v>
      </c>
      <c r="F371" s="269" t="n"/>
      <c r="G371" s="269" t="n"/>
      <c r="H371" s="270" t="n">
        <v>90000</v>
      </c>
      <c r="I371" s="271" t="n"/>
      <c r="J371" s="271" t="n">
        <v>90000</v>
      </c>
      <c r="K371" s="272" t="n"/>
      <c r="L371" s="272">
        <f>IF(K371&lt;&gt;"",30000+K371,30000)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FACUNDO ZUVIRIA 4041</t>
        </is>
      </c>
      <c r="C372" s="275" t="n">
        <v>1</v>
      </c>
      <c r="D372" s="275" t="n"/>
      <c r="E372" s="275" t="n"/>
      <c r="F372" s="276" t="n"/>
      <c r="G372" s="276" t="n"/>
      <c r="H372" s="277" t="n">
        <v>26000</v>
      </c>
      <c r="I372" s="278" t="n"/>
      <c r="J372" s="278" t="n">
        <v>26000</v>
      </c>
      <c r="K372" s="272" t="n"/>
      <c r="L372" s="272">
        <f>IF(K372&lt;&gt;"",11000+K372,11000)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ACACIAS 10301</t>
        </is>
      </c>
      <c r="C373" s="268" t="n"/>
      <c r="D373" s="268" t="n"/>
      <c r="E373" s="268" t="n">
        <v>1</v>
      </c>
      <c r="F373" s="269" t="n"/>
      <c r="G373" s="269" t="n"/>
      <c r="H373" s="270" t="n">
        <v>86000</v>
      </c>
      <c r="I373" s="271" t="n">
        <v>86000</v>
      </c>
      <c r="J373" s="271" t="n"/>
      <c r="K373" s="272" t="n"/>
      <c r="L373" s="272">
        <f>IF(K373&lt;&gt;"",26000+K373,26000)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SAN MARTIN 8400 LULI</t>
        </is>
      </c>
      <c r="C374" s="275" t="n"/>
      <c r="D374" s="275" t="n"/>
      <c r="E374" s="275" t="n">
        <v>1</v>
      </c>
      <c r="F374" s="276" t="n"/>
      <c r="G374" s="276" t="n"/>
      <c r="H374" s="277" t="n">
        <v>86000</v>
      </c>
      <c r="I374" s="278" t="n"/>
      <c r="J374" s="278" t="n">
        <v>86000</v>
      </c>
      <c r="K374" s="272" t="n"/>
      <c r="L374" s="272">
        <f>IF(K374&lt;&gt;"",26000+K374,26000)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BRASERIA</t>
        </is>
      </c>
      <c r="C375" s="268" t="n"/>
      <c r="D375" s="268" t="n"/>
      <c r="E375" s="268" t="n">
        <v>1</v>
      </c>
      <c r="F375" s="269" t="n"/>
      <c r="G375" s="269" t="n"/>
      <c r="H375" s="270" t="n">
        <v>83000</v>
      </c>
      <c r="I375" s="271" t="n"/>
      <c r="J375" s="271" t="n">
        <v>83000</v>
      </c>
      <c r="K375" s="272" t="n"/>
      <c r="L375" s="272">
        <f>IF(K375&lt;&gt;"",23000+K375,23000)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BLAS PARERA 7162</t>
        </is>
      </c>
      <c r="C376" s="275" t="n"/>
      <c r="D376" s="275" t="n">
        <v>1</v>
      </c>
      <c r="E376" s="275" t="n"/>
      <c r="F376" s="276" t="n"/>
      <c r="G376" s="276" t="n"/>
      <c r="H376" s="277" t="n">
        <v>34500</v>
      </c>
      <c r="I376" s="278" t="n"/>
      <c r="J376" s="278" t="n">
        <v>34500</v>
      </c>
      <c r="K376" s="272" t="n"/>
      <c r="L376" s="272">
        <f>IF(K376&lt;&gt;"",12000+K376,12000)</f>
        <v/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GENERAL PAZ 7826</t>
        </is>
      </c>
      <c r="C377" s="268" t="n"/>
      <c r="D377" s="268" t="n"/>
      <c r="E377" s="268" t="n">
        <v>1</v>
      </c>
      <c r="F377" s="269" t="n"/>
      <c r="G377" s="269" t="n"/>
      <c r="H377" s="270" t="n">
        <v>85000</v>
      </c>
      <c r="I377" s="271" t="n"/>
      <c r="J377" s="271" t="n">
        <v>85000</v>
      </c>
      <c r="K377" s="272" t="n"/>
      <c r="L377" s="272">
        <f>IF(K377&lt;&gt;"",25000+K377,25000)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AZCUENAGA 5023</t>
        </is>
      </c>
      <c r="C378" s="275" t="n">
        <v>5</v>
      </c>
      <c r="D378" s="275" t="n">
        <v>1</v>
      </c>
      <c r="E378" s="275" t="n"/>
      <c r="F378" s="276" t="n"/>
      <c r="G378" s="276" t="n"/>
      <c r="H378" s="277" t="n">
        <v>123500</v>
      </c>
      <c r="I378" s="278" t="n"/>
      <c r="J378" s="278" t="n">
        <v>123500</v>
      </c>
      <c r="K378" s="272" t="n"/>
      <c r="L378" s="272">
        <f>IF(K378&lt;&gt;"",26000+K378,26000)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CARRASCO 9330</t>
        </is>
      </c>
      <c r="C379" s="268" t="n">
        <v>1</v>
      </c>
      <c r="D379" s="268" t="n"/>
      <c r="E379" s="268" t="n"/>
      <c r="F379" s="269" t="n"/>
      <c r="G379" s="269" t="n"/>
      <c r="H379" s="270" t="n">
        <v>25000</v>
      </c>
      <c r="I379" s="271" t="n">
        <v>25000</v>
      </c>
      <c r="J379" s="271" t="n"/>
      <c r="K379" s="272" t="n"/>
      <c r="L379" s="272">
        <f>IF(K379&lt;&gt;"",10000+K379,10000)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BRAZIL 4871</t>
        </is>
      </c>
      <c r="C380" s="275" t="n">
        <v>1</v>
      </c>
      <c r="D380" s="275" t="n"/>
      <c r="E380" s="275" t="n"/>
      <c r="F380" s="276" t="n"/>
      <c r="G380" s="276" t="n"/>
      <c r="H380" s="277" t="n">
        <v>26000</v>
      </c>
      <c r="I380" s="278" t="n"/>
      <c r="J380" s="278" t="n">
        <v>26000</v>
      </c>
      <c r="K380" s="272" t="n"/>
      <c r="L380" s="272">
        <f>IF(K380&lt;&gt;"",11000+K380,11000)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BONEO 5564</t>
        </is>
      </c>
      <c r="C381" s="268" t="n"/>
      <c r="D381" s="268" t="n"/>
      <c r="E381" s="268" t="n">
        <v>1</v>
      </c>
      <c r="F381" s="269" t="n"/>
      <c r="G381" s="269" t="n"/>
      <c r="H381" s="270" t="n">
        <v>90000</v>
      </c>
      <c r="I381" s="271" t="n">
        <v>90000</v>
      </c>
      <c r="J381" s="271" t="n"/>
      <c r="K381" s="272" t="n"/>
      <c r="L381" s="272">
        <f>IF(K381&lt;&gt;"",30000+K381,30000)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FILOMENA</t>
        </is>
      </c>
      <c r="C382" s="275" t="n">
        <v>2</v>
      </c>
      <c r="D382" s="275" t="n"/>
      <c r="E382" s="275" t="n"/>
      <c r="F382" s="276" t="n"/>
      <c r="G382" s="276" t="n"/>
      <c r="H382" s="277" t="n">
        <v>46000</v>
      </c>
      <c r="I382" s="278" t="n"/>
      <c r="J382" s="278" t="n">
        <v>46000</v>
      </c>
      <c r="K382" s="272" t="n"/>
      <c r="L382" s="272">
        <f>IF(K382&lt;&gt;"",16000+K382,16000)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ANGEL</t>
        </is>
      </c>
      <c r="C383" s="268" t="n">
        <v>1</v>
      </c>
      <c r="D383" s="268" t="n"/>
      <c r="E383" s="268" t="n"/>
      <c r="F383" s="269" t="n"/>
      <c r="G383" s="269" t="n"/>
      <c r="H383" s="270" t="n">
        <v>19000</v>
      </c>
      <c r="I383" s="271" t="n">
        <v>19000</v>
      </c>
      <c r="J383" s="271" t="n"/>
      <c r="K383" s="272" t="n"/>
      <c r="L383" s="272">
        <f>IF(K383&lt;&gt;"",4000+K383,4000)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PAVON 6035</t>
        </is>
      </c>
      <c r="C384" s="275" t="n"/>
      <c r="D384" s="275" t="n">
        <v>1</v>
      </c>
      <c r="E384" s="275" t="n"/>
      <c r="F384" s="276" t="n"/>
      <c r="G384" s="276" t="n"/>
      <c r="H384" s="277" t="n">
        <v>34500</v>
      </c>
      <c r="I384" s="278" t="n">
        <v>34500</v>
      </c>
      <c r="J384" s="278" t="n"/>
      <c r="K384" s="272" t="n"/>
      <c r="L384" s="272">
        <f>IF(K384&lt;&gt;"",12000+K384,12000)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YANET</t>
        </is>
      </c>
      <c r="C385" s="268" t="n">
        <v>1</v>
      </c>
      <c r="D385" s="268" t="n"/>
      <c r="E385" s="268" t="n"/>
      <c r="F385" s="269" t="n"/>
      <c r="G385" s="269" t="n"/>
      <c r="H385" s="270" t="n">
        <v>25000</v>
      </c>
      <c r="I385" s="271" t="n">
        <v>25000</v>
      </c>
      <c r="J385" s="271" t="n"/>
      <c r="K385" s="272" t="n"/>
      <c r="L385" s="272">
        <f>IF(K385&lt;&gt;"",10000+K385,10000)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LUCHO</t>
        </is>
      </c>
      <c r="C386" s="275" t="n">
        <v>2</v>
      </c>
      <c r="D386" s="275" t="n"/>
      <c r="E386" s="275" t="n"/>
      <c r="F386" s="276" t="n"/>
      <c r="G386" s="276" t="n"/>
      <c r="H386" s="277" t="n">
        <v>38000</v>
      </c>
      <c r="I386" s="278" t="n">
        <v>38000</v>
      </c>
      <c r="J386" s="278" t="n"/>
      <c r="K386" s="272" t="n"/>
      <c r="L386" s="272">
        <f>IF(K386&lt;&gt;"",8000+K386,8000)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PANA GORRITI 6500</t>
        </is>
      </c>
      <c r="C387" s="268" t="n"/>
      <c r="D387" s="268" t="n"/>
      <c r="E387" s="268" t="n">
        <v>1</v>
      </c>
      <c r="F387" s="269" t="n"/>
      <c r="G387" s="269" t="n"/>
      <c r="H387" s="270" t="n">
        <v>85000</v>
      </c>
      <c r="I387" s="271" t="n"/>
      <c r="J387" s="271" t="n">
        <v>85000</v>
      </c>
      <c r="K387" s="272" t="n"/>
      <c r="L387" s="272">
        <f>IF(K387&lt;&gt;"",25000+K387,25000)</f>
        <v/>
      </c>
      <c r="M387" s="156" t="n"/>
      <c r="N387" s="156" t="n"/>
      <c r="O387" s="156" t="n"/>
    </row>
    <row r="388" ht="15.75" customHeight="1" s="153">
      <c r="A388" s="279" t="n">
        <v>46140</v>
      </c>
      <c r="B388" s="267" t="inlineStr">
        <is>
          <t>DANA</t>
        </is>
      </c>
      <c r="C388" s="268" t="n">
        <v>4</v>
      </c>
      <c r="D388" s="268" t="n"/>
      <c r="E388" s="268" t="n"/>
      <c r="F388" s="269" t="n"/>
      <c r="G388" s="269" t="n"/>
      <c r="H388" s="270" t="n">
        <v>76000</v>
      </c>
      <c r="I388" s="271" t="n"/>
      <c r="J388" s="271" t="n">
        <v>76000</v>
      </c>
      <c r="K388" s="272" t="n"/>
      <c r="L388" s="272">
        <f>IF(K388&lt;&gt;"",16000+K388,16000)</f>
        <v/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SAN MARTIN 9308</t>
        </is>
      </c>
      <c r="C389" s="275" t="n"/>
      <c r="D389" s="275" t="n">
        <v>1</v>
      </c>
      <c r="E389" s="275" t="n"/>
      <c r="F389" s="276" t="n"/>
      <c r="G389" s="276" t="n"/>
      <c r="H389" s="277" t="n">
        <v>37500</v>
      </c>
      <c r="I389" s="278" t="n"/>
      <c r="J389" s="278" t="n">
        <v>37500</v>
      </c>
      <c r="K389" s="272" t="n"/>
      <c r="L389" s="272">
        <f>IF(K389&lt;&gt;"",15000+K389,15000)</f>
        <v/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DANI PAPA BRUNO</t>
        </is>
      </c>
      <c r="C390" s="268" t="n"/>
      <c r="D390" s="268" t="n">
        <v>1</v>
      </c>
      <c r="E390" s="268" t="n"/>
      <c r="F390" s="269" t="n"/>
      <c r="G390" s="269" t="n"/>
      <c r="H390" s="270" t="n">
        <v>37500</v>
      </c>
      <c r="I390" s="271" t="n"/>
      <c r="J390" s="271" t="n">
        <v>37500</v>
      </c>
      <c r="K390" s="272" t="n"/>
      <c r="L390" s="272">
        <f>IF(K390&lt;&gt;"",15000+K390,15000)</f>
        <v/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VIANDAS JORGE</t>
        </is>
      </c>
      <c r="C391" s="275" t="n">
        <v>1</v>
      </c>
      <c r="D391" s="275" t="n"/>
      <c r="E391" s="275" t="n"/>
      <c r="F391" s="276" t="n"/>
      <c r="G391" s="276" t="n"/>
      <c r="H391" s="277" t="n">
        <v>22000</v>
      </c>
      <c r="I391" s="278" t="n">
        <v>22000</v>
      </c>
      <c r="J391" s="278" t="n"/>
      <c r="K391" s="272" t="n"/>
      <c r="L391" s="272">
        <f>IF(K391&lt;&gt;"",7000+K391,7000)</f>
        <v/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PANA VIEYTES 3800</t>
        </is>
      </c>
      <c r="C392" s="268" t="n"/>
      <c r="D392" s="268" t="n"/>
      <c r="E392" s="268" t="n">
        <v>1</v>
      </c>
      <c r="F392" s="269" t="n"/>
      <c r="G392" s="269" t="n"/>
      <c r="H392" s="270" t="n">
        <v>82000</v>
      </c>
      <c r="I392" s="271" t="n"/>
      <c r="J392" s="271" t="n">
        <v>82000</v>
      </c>
      <c r="K392" s="272" t="n"/>
      <c r="L392" s="272">
        <f>IF(K392&lt;&gt;"",22000+K392,22000)</f>
        <v/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PEDRO CEBALLOS 8134</t>
        </is>
      </c>
      <c r="C393" s="275" t="n">
        <v>3</v>
      </c>
      <c r="D393" s="275" t="n"/>
      <c r="E393" s="275" t="n"/>
      <c r="F393" s="276" t="n"/>
      <c r="G393" s="276" t="n"/>
      <c r="H393" s="277" t="n">
        <v>57000</v>
      </c>
      <c r="I393" s="278" t="n">
        <v>57000</v>
      </c>
      <c r="J393" s="278" t="n"/>
      <c r="K393" s="272" t="n"/>
      <c r="L393" s="272">
        <f>IF(K393&lt;&gt;"",12000+K393,12000)</f>
        <v/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PANA COLODRERO 1258</t>
        </is>
      </c>
      <c r="C394" s="268" t="n"/>
      <c r="D394" s="268" t="n"/>
      <c r="E394" s="268" t="n">
        <v>1</v>
      </c>
      <c r="F394" s="269" t="n"/>
      <c r="G394" s="269" t="n"/>
      <c r="H394" s="270" t="n">
        <v>78000</v>
      </c>
      <c r="I394" s="271" t="n"/>
      <c r="J394" s="271" t="n">
        <v>78000</v>
      </c>
      <c r="K394" s="272" t="n"/>
      <c r="L394" s="272">
        <f>IF(K394&lt;&gt;"",18000+K394,18000)</f>
        <v/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CHICLANA 7345</t>
        </is>
      </c>
      <c r="C395" s="275" t="n"/>
      <c r="D395" s="275" t="n"/>
      <c r="E395" s="275" t="n">
        <v>1</v>
      </c>
      <c r="F395" s="276" t="n"/>
      <c r="G395" s="276" t="n"/>
      <c r="H395" s="277" t="n">
        <v>90000</v>
      </c>
      <c r="I395" s="278" t="n"/>
      <c r="J395" s="278" t="n">
        <v>90000</v>
      </c>
      <c r="K395" s="272" t="n"/>
      <c r="L395" s="272">
        <f>IF(K395&lt;&gt;"",30000+K395,30000)</f>
        <v/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SERBANDO BAYO 7165</t>
        </is>
      </c>
      <c r="C396" s="268" t="n">
        <v>1</v>
      </c>
      <c r="D396" s="268" t="n"/>
      <c r="E396" s="268" t="n"/>
      <c r="F396" s="269" t="n"/>
      <c r="G396" s="269" t="n"/>
      <c r="H396" s="270" t="n">
        <v>25000</v>
      </c>
      <c r="I396" s="271" t="n">
        <v>25000</v>
      </c>
      <c r="J396" s="271" t="n"/>
      <c r="K396" s="272" t="n"/>
      <c r="L396" s="272">
        <f>IF(K396&lt;&gt;"",10000+K396,10000)</f>
        <v/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EXE</t>
        </is>
      </c>
      <c r="C397" s="275" t="n"/>
      <c r="D397" s="275" t="n"/>
      <c r="E397" s="275" t="n">
        <v>1</v>
      </c>
      <c r="F397" s="276" t="n"/>
      <c r="G397" s="276" t="n"/>
      <c r="H397" s="277" t="n">
        <v>82000</v>
      </c>
      <c r="I397" s="278" t="n"/>
      <c r="J397" s="278" t="n">
        <v>82000</v>
      </c>
      <c r="K397" s="272" t="n"/>
      <c r="L397" s="272">
        <f>IF(K397&lt;&gt;"",22000+K397,22000)</f>
        <v/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CAFERATA 9416</t>
        </is>
      </c>
      <c r="C398" s="268" t="n"/>
      <c r="D398" s="268" t="n">
        <v>1</v>
      </c>
      <c r="E398" s="268" t="n"/>
      <c r="F398" s="269" t="n"/>
      <c r="G398" s="269" t="n"/>
      <c r="H398" s="270" t="n">
        <v>39000</v>
      </c>
      <c r="I398" s="271" t="n"/>
      <c r="J398" s="271" t="n">
        <v>39000</v>
      </c>
      <c r="K398" s="272" t="n"/>
      <c r="L398" s="272">
        <f>IF(K398&lt;&gt;"",16500+K398,16500)</f>
        <v/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PANA VIEYTES 4500</t>
        </is>
      </c>
      <c r="C399" s="275" t="n"/>
      <c r="D399" s="275" t="n"/>
      <c r="E399" s="275" t="n">
        <v>1</v>
      </c>
      <c r="F399" s="276" t="n"/>
      <c r="G399" s="276" t="n"/>
      <c r="H399" s="277" t="n">
        <v>78000</v>
      </c>
      <c r="I399" s="278" t="n"/>
      <c r="J399" s="278" t="n">
        <v>78000</v>
      </c>
      <c r="K399" s="272" t="n"/>
      <c r="L399" s="272">
        <f>IF(K399&lt;&gt;"",18000+K399,18000)</f>
        <v/>
      </c>
      <c r="M399" s="156" t="n"/>
      <c r="N399" s="156" t="n"/>
      <c r="O399" s="156" t="n"/>
    </row>
    <row r="400" ht="15.75" customHeight="1" s="153">
      <c r="A400" s="279" t="n">
        <v>46141</v>
      </c>
      <c r="B400" s="267" t="inlineStr">
        <is>
          <t>PANA VIEYTES GISELA</t>
        </is>
      </c>
      <c r="C400" s="268" t="n">
        <v>1</v>
      </c>
      <c r="D400" s="268" t="n"/>
      <c r="E400" s="268" t="n"/>
      <c r="F400" s="269" t="n"/>
      <c r="G400" s="269" t="n"/>
      <c r="H400" s="270" t="n">
        <v>22000</v>
      </c>
      <c r="I400" s="271" t="n"/>
      <c r="J400" s="271" t="n">
        <v>22000</v>
      </c>
      <c r="K400" s="272" t="n"/>
      <c r="L400" s="272">
        <f>IF(K400&lt;&gt;"",7000+K400,7000)</f>
        <v/>
      </c>
    </row>
    <row r="401" ht="15.75" customHeight="1" s="153">
      <c r="A401" s="273" t="n"/>
      <c r="B401" s="274" t="inlineStr">
        <is>
          <t>PANA GORRITI 4600</t>
        </is>
      </c>
      <c r="C401" s="275" t="n"/>
      <c r="D401" s="275" t="n"/>
      <c r="E401" s="275" t="n">
        <v>1</v>
      </c>
      <c r="F401" s="276" t="n"/>
      <c r="G401" s="276" t="n"/>
      <c r="H401" s="277" t="n">
        <v>83000</v>
      </c>
      <c r="I401" s="278" t="n">
        <v>83000</v>
      </c>
      <c r="J401" s="278" t="n"/>
      <c r="K401" s="272" t="n"/>
      <c r="L401" s="272">
        <f>IF(K401&lt;&gt;"",23000+K401,23000)</f>
        <v/>
      </c>
    </row>
    <row r="402" ht="15.75" customHeight="1" s="153">
      <c r="A402" s="279" t="n"/>
      <c r="B402" s="267" t="inlineStr">
        <is>
          <t>ARISTOBULO 5879</t>
        </is>
      </c>
      <c r="C402" s="268" t="n"/>
      <c r="D402" s="268" t="n">
        <v>1</v>
      </c>
      <c r="E402" s="268" t="n"/>
      <c r="F402" s="269" t="n"/>
      <c r="G402" s="269" t="n"/>
      <c r="H402" s="270" t="n">
        <v>41000</v>
      </c>
      <c r="I402" s="271" t="n">
        <v>41000</v>
      </c>
      <c r="J402" s="271" t="n"/>
      <c r="K402" s="272" t="n"/>
      <c r="L402" s="272">
        <f>IF(K402&lt;&gt;"",18500+K402,18500)</f>
        <v/>
      </c>
    </row>
    <row r="403" ht="15.75" customHeight="1" s="153">
      <c r="A403" s="273" t="n"/>
      <c r="B403" s="274" t="inlineStr">
        <is>
          <t>ROTI VIEYTES</t>
        </is>
      </c>
      <c r="C403" s="275" t="n">
        <v>1</v>
      </c>
      <c r="D403" s="275" t="n">
        <v>2</v>
      </c>
      <c r="E403" s="275" t="n"/>
      <c r="F403" s="276" t="n"/>
      <c r="G403" s="276" t="n"/>
      <c r="H403" s="277" t="n">
        <v>82000</v>
      </c>
      <c r="I403" s="278" t="n"/>
      <c r="J403" s="278" t="n">
        <v>82000</v>
      </c>
      <c r="K403" s="272" t="n"/>
      <c r="L403" s="272">
        <f>IF(K403&lt;&gt;"",22000+K403,22000)</f>
        <v/>
      </c>
    </row>
    <row r="404" ht="15.75" customHeight="1" s="153">
      <c r="A404" s="279" t="n"/>
      <c r="B404" s="267" t="inlineStr">
        <is>
          <t>PEÑALOZA 9757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>
        <f>IF(K404&lt;&gt;"",11000+K404,11000)</f>
        <v/>
      </c>
    </row>
    <row r="405" ht="15.75" customHeight="1" s="153">
      <c r="A405" s="273" t="n"/>
      <c r="B405" s="274" t="inlineStr">
        <is>
          <t>ANGEL</t>
        </is>
      </c>
      <c r="C405" s="275" t="n"/>
      <c r="D405" s="275" t="n">
        <v>1</v>
      </c>
      <c r="E405" s="275" t="n"/>
      <c r="F405" s="276" t="n"/>
      <c r="G405" s="276" t="n"/>
      <c r="H405" s="277" t="n">
        <v>28500</v>
      </c>
      <c r="I405" s="278" t="n">
        <v>28500</v>
      </c>
      <c r="J405" s="278" t="n"/>
      <c r="K405" s="272" t="n"/>
      <c r="L405" s="272">
        <f>IF(K405&lt;&gt;"",6000+K405,6000)</f>
        <v/>
      </c>
    </row>
    <row r="406" ht="15.75" customHeight="1" s="153">
      <c r="A406" s="279" t="n"/>
      <c r="B406" s="267" t="inlineStr">
        <is>
          <t>PAULO</t>
        </is>
      </c>
      <c r="C406" s="268" t="n">
        <v>3</v>
      </c>
      <c r="D406" s="268" t="n"/>
      <c r="E406" s="268" t="n"/>
      <c r="F406" s="269" t="n"/>
      <c r="G406" s="269" t="n"/>
      <c r="H406" s="270" t="n">
        <v>57000</v>
      </c>
      <c r="I406" s="271" t="n">
        <v>57000</v>
      </c>
      <c r="J406" s="271" t="n"/>
      <c r="K406" s="272" t="n"/>
      <c r="L406" s="272">
        <f>IF(K406&lt;&gt;"",12000+K406,12000)</f>
        <v/>
      </c>
    </row>
    <row r="407" ht="15.75" customHeight="1" s="153">
      <c r="A407" s="273" t="n"/>
      <c r="B407" s="274" t="inlineStr">
        <is>
          <t>SANDRA</t>
        </is>
      </c>
      <c r="C407" s="275" t="n">
        <v>1</v>
      </c>
      <c r="D407" s="275" t="n">
        <v>1</v>
      </c>
      <c r="E407" s="275" t="n"/>
      <c r="F407" s="276" t="n"/>
      <c r="G407" s="276" t="n"/>
      <c r="H407" s="277" t="n">
        <v>47500</v>
      </c>
      <c r="I407" s="278" t="n">
        <v>47500</v>
      </c>
      <c r="J407" s="278" t="n"/>
      <c r="K407" s="272" t="n"/>
      <c r="L407" s="272">
        <f>IF(K407&lt;&gt;"",10000+K407,10000)</f>
        <v/>
      </c>
    </row>
    <row r="408" ht="15.75" customHeight="1" s="153">
      <c r="A408" s="279" t="n"/>
      <c r="B408" s="267" t="inlineStr">
        <is>
          <t>ALBERTI 4930</t>
        </is>
      </c>
      <c r="C408" s="268" t="n"/>
      <c r="D408" s="268" t="n"/>
      <c r="E408" s="268" t="n">
        <v>1</v>
      </c>
      <c r="F408" s="269" t="n"/>
      <c r="G408" s="269" t="n"/>
      <c r="H408" s="270" t="n">
        <v>95000</v>
      </c>
      <c r="I408" s="271" t="n"/>
      <c r="J408" s="271" t="n">
        <v>95000</v>
      </c>
      <c r="K408" s="272" t="n"/>
      <c r="L408" s="272">
        <f>IF(K408&lt;&gt;"",35000+K408,35000)</f>
        <v/>
      </c>
    </row>
    <row r="409" ht="15.75" customHeight="1" s="153">
      <c r="A409" s="273" t="n"/>
      <c r="B409" s="274" t="inlineStr">
        <is>
          <t>BLAS PARERA 6372</t>
        </is>
      </c>
      <c r="C409" s="275" t="n"/>
      <c r="D409" s="275" t="n"/>
      <c r="E409" s="275" t="n">
        <v>1</v>
      </c>
      <c r="F409" s="276" t="n"/>
      <c r="G409" s="276" t="n"/>
      <c r="H409" s="277" t="n">
        <v>83000</v>
      </c>
      <c r="I409" s="278" t="n"/>
      <c r="J409" s="278" t="n">
        <v>83000</v>
      </c>
      <c r="K409" s="272" t="n"/>
      <c r="L409" s="272">
        <f>IF(K409&lt;&gt;"",23000+K409,23000)</f>
        <v/>
      </c>
    </row>
    <row r="410" ht="15.75" customHeight="1" s="153">
      <c r="A410" s="279" t="n"/>
      <c r="B410" s="267" t="inlineStr">
        <is>
          <t>AZCUENAGA 6551</t>
        </is>
      </c>
      <c r="C410" s="268" t="n">
        <v>2</v>
      </c>
      <c r="D410" s="268" t="n"/>
      <c r="E410" s="268" t="n"/>
      <c r="F410" s="269" t="n"/>
      <c r="G410" s="269" t="n"/>
      <c r="H410" s="270" t="n">
        <v>37000</v>
      </c>
      <c r="I410" s="271" t="n">
        <v>37000</v>
      </c>
      <c r="J410" s="271" t="n"/>
      <c r="K410" s="272" t="n"/>
      <c r="L410" s="272">
        <f>IF(K410&lt;&gt;"",7000+K410,7000)</f>
        <v/>
      </c>
    </row>
    <row r="411" ht="15.75" customHeight="1" s="153">
      <c r="A411" s="273" t="n"/>
      <c r="B411" s="274" t="inlineStr">
        <is>
          <t>ALBERTI 5251</t>
        </is>
      </c>
      <c r="C411" s="275" t="n"/>
      <c r="D411" s="275" t="n">
        <v>1</v>
      </c>
      <c r="E411" s="275" t="n"/>
      <c r="F411" s="276" t="n"/>
      <c r="G411" s="276" t="n"/>
      <c r="H411" s="277" t="n">
        <v>36000</v>
      </c>
      <c r="I411" s="278" t="n">
        <v>36000</v>
      </c>
      <c r="J411" s="278" t="n"/>
      <c r="K411" s="272" t="n"/>
      <c r="L411" s="272">
        <f>IF(K411&lt;&gt;"",13500+K411,13500)</f>
        <v/>
      </c>
    </row>
    <row r="412" ht="15.75" customHeight="1" s="153">
      <c r="A412" s="279" t="n">
        <v>46142</v>
      </c>
      <c r="B412" s="267" t="inlineStr">
        <is>
          <t>LOBOS</t>
        </is>
      </c>
      <c r="C412" s="268" t="n"/>
      <c r="D412" s="268" t="n"/>
      <c r="E412" s="268" t="n">
        <v>1</v>
      </c>
      <c r="F412" s="269" t="n"/>
      <c r="G412" s="269" t="n"/>
      <c r="H412" s="270" t="n">
        <v>88000</v>
      </c>
      <c r="I412" s="271" t="n"/>
      <c r="J412" s="271" t="n">
        <v>88000</v>
      </c>
      <c r="K412" s="272" t="n"/>
      <c r="L412" s="272">
        <f>IF(K412&lt;&gt;"",28000+K412,28000)</f>
        <v/>
      </c>
    </row>
    <row r="413" ht="15.75" customHeight="1" s="153">
      <c r="A413" s="273" t="n"/>
      <c r="B413" s="274" t="inlineStr">
        <is>
          <t>MARTIN IGUALDAD</t>
        </is>
      </c>
      <c r="C413" s="275" t="n">
        <v>1</v>
      </c>
      <c r="D413" s="275" t="n"/>
      <c r="E413" s="275" t="n"/>
      <c r="F413" s="276" t="n"/>
      <c r="G413" s="276" t="n"/>
      <c r="H413" s="277" t="n">
        <v>23000</v>
      </c>
      <c r="I413" s="278" t="n"/>
      <c r="J413" s="278" t="n">
        <v>23000</v>
      </c>
      <c r="K413" s="272" t="n"/>
      <c r="L413" s="272">
        <f>IF(K413&lt;&gt;"",8000+K413,8000)</f>
        <v/>
      </c>
    </row>
    <row r="414" ht="15.75" customHeight="1" s="153">
      <c r="A414" s="279" t="n"/>
      <c r="B414" s="267" t="inlineStr">
        <is>
          <t>MIGUEZ 5479</t>
        </is>
      </c>
      <c r="C414" s="268" t="n">
        <v>1</v>
      </c>
      <c r="D414" s="268" t="n"/>
      <c r="E414" s="268" t="n"/>
      <c r="F414" s="269" t="n"/>
      <c r="G414" s="269" t="n"/>
      <c r="H414" s="270" t="n">
        <v>25000</v>
      </c>
      <c r="I414" s="271" t="n">
        <v>25000</v>
      </c>
      <c r="J414" s="271" t="n"/>
      <c r="K414" s="272" t="n"/>
      <c r="L414" s="272">
        <f>IF(K414&lt;&gt;"",10000+K414,10000)</f>
        <v/>
      </c>
    </row>
    <row r="415" ht="15.75" customHeight="1" s="153">
      <c r="A415" s="273" t="n"/>
      <c r="B415" s="274" t="inlineStr">
        <is>
          <t>LUCHO</t>
        </is>
      </c>
      <c r="C415" s="275" t="n">
        <v>2</v>
      </c>
      <c r="D415" s="275" t="n"/>
      <c r="E415" s="275" t="n"/>
      <c r="F415" s="276" t="n"/>
      <c r="G415" s="276" t="n"/>
      <c r="H415" s="277" t="n">
        <v>38000</v>
      </c>
      <c r="I415" s="278" t="n"/>
      <c r="J415" s="278" t="n">
        <v>38000</v>
      </c>
      <c r="K415" s="272" t="n"/>
      <c r="L415" s="272">
        <f>IF(K415&lt;&gt;"",8000+K415,8000)</f>
        <v/>
      </c>
    </row>
    <row r="416" ht="15.75" customHeight="1" s="153">
      <c r="A416" s="279" t="n"/>
      <c r="B416" s="267" t="inlineStr">
        <is>
          <t>AZCUENAGA 5023</t>
        </is>
      </c>
      <c r="C416" s="268" t="n">
        <v>3</v>
      </c>
      <c r="D416" s="268" t="n">
        <v>2</v>
      </c>
      <c r="E416" s="268" t="n"/>
      <c r="F416" s="269" t="n"/>
      <c r="G416" s="269" t="n"/>
      <c r="H416" s="270" t="n">
        <v>114000</v>
      </c>
      <c r="I416" s="271" t="n"/>
      <c r="J416" s="271" t="n">
        <v>114000</v>
      </c>
      <c r="K416" s="272" t="n"/>
      <c r="L416" s="272">
        <f>IF(K416&lt;&gt;"",24000+K416,24000)</f>
        <v/>
      </c>
    </row>
    <row r="417" ht="15.75" customHeight="1" s="153">
      <c r="A417" s="273" t="n"/>
      <c r="B417" s="274" t="inlineStr">
        <is>
          <t>VIANDAS JORGE</t>
        </is>
      </c>
      <c r="C417" s="275" t="n">
        <v>1</v>
      </c>
      <c r="D417" s="275" t="n"/>
      <c r="E417" s="275" t="n"/>
      <c r="F417" s="276" t="n"/>
      <c r="G417" s="276" t="n"/>
      <c r="H417" s="277" t="n">
        <v>22000</v>
      </c>
      <c r="I417" s="278" t="n">
        <v>22000</v>
      </c>
      <c r="J417" s="278" t="n"/>
      <c r="K417" s="272" t="n"/>
      <c r="L417" s="272">
        <f>IF(K417&lt;&gt;"",7000+K417,7000)</f>
        <v/>
      </c>
    </row>
    <row r="418" ht="15.75" customHeight="1" s="153">
      <c r="A418" s="279" t="n"/>
      <c r="B418" s="267" t="inlineStr">
        <is>
          <t>ARENALES 9203</t>
        </is>
      </c>
      <c r="C418" s="268" t="n"/>
      <c r="D418" s="268" t="n"/>
      <c r="E418" s="268" t="n">
        <v>1</v>
      </c>
      <c r="F418" s="269" t="n"/>
      <c r="G418" s="269" t="n"/>
      <c r="H418" s="270" t="n">
        <v>90000</v>
      </c>
      <c r="I418" s="271" t="n"/>
      <c r="J418" s="271" t="n">
        <v>90000</v>
      </c>
      <c r="K418" s="272" t="n"/>
      <c r="L418" s="272">
        <f>IF(K418&lt;&gt;"",30000+K418,30000)</f>
        <v/>
      </c>
    </row>
    <row r="419" ht="15.75" customHeight="1" s="153">
      <c r="A419" s="273" t="n"/>
      <c r="B419" s="274" t="inlineStr">
        <is>
          <t>TROPPO</t>
        </is>
      </c>
      <c r="C419" s="275" t="n">
        <v>4</v>
      </c>
      <c r="D419" s="275" t="n"/>
      <c r="E419" s="275" t="n"/>
      <c r="F419" s="276" t="n"/>
      <c r="G419" s="276" t="n"/>
      <c r="H419" s="277" t="n">
        <v>108000</v>
      </c>
      <c r="I419" s="278" t="n">
        <v>108000</v>
      </c>
      <c r="J419" s="278" t="n"/>
      <c r="K419" s="272" t="n"/>
      <c r="L419" s="272">
        <f>IF(K419&lt;&gt;"",48000+K419,48000)</f>
        <v/>
      </c>
    </row>
    <row r="420" ht="15.75" customHeight="1" s="153">
      <c r="A420" s="279" t="n"/>
      <c r="B420" s="267" t="inlineStr">
        <is>
          <t>PAULO</t>
        </is>
      </c>
      <c r="C420" s="268" t="n"/>
      <c r="D420" s="268" t="n">
        <v>1</v>
      </c>
      <c r="E420" s="268" t="n"/>
      <c r="F420" s="269" t="n"/>
      <c r="G420" s="269" t="n"/>
      <c r="H420" s="270" t="n">
        <v>28500</v>
      </c>
      <c r="I420" s="271" t="n"/>
      <c r="J420" s="271" t="n">
        <v>28500</v>
      </c>
      <c r="K420" s="272" t="n"/>
      <c r="L420" s="272">
        <f>IF(K420&lt;&gt;"",6000+K420,6000)</f>
        <v/>
      </c>
    </row>
    <row r="421" ht="15.75" customHeight="1" s="153">
      <c r="A421" s="273" t="n"/>
      <c r="B421" s="274" t="inlineStr">
        <is>
          <t>FILOMENA</t>
        </is>
      </c>
      <c r="C421" s="275" t="n">
        <v>2</v>
      </c>
      <c r="D421" s="275" t="n"/>
      <c r="E421" s="275" t="n"/>
      <c r="F421" s="276" t="n"/>
      <c r="G421" s="276" t="n"/>
      <c r="H421" s="277" t="n">
        <v>46000</v>
      </c>
      <c r="I421" s="278" t="n"/>
      <c r="J421" s="278" t="n">
        <v>46000</v>
      </c>
      <c r="K421" s="272" t="n"/>
      <c r="L421" s="272">
        <f>IF(K421&lt;&gt;"",16000+K421,16000)</f>
        <v/>
      </c>
    </row>
    <row r="422" ht="15.75" customHeight="1" s="153">
      <c r="A422" s="279" t="n"/>
      <c r="B422" s="267" t="inlineStr">
        <is>
          <t>ABUELA TUYA</t>
        </is>
      </c>
      <c r="C422" s="268" t="n">
        <v>1</v>
      </c>
      <c r="D422" s="268" t="n"/>
      <c r="E422" s="268" t="n"/>
      <c r="F422" s="269" t="n"/>
      <c r="G422" s="269" t="n"/>
      <c r="H422" s="270" t="n">
        <v>25000</v>
      </c>
      <c r="I422" s="271" t="n">
        <v>25000</v>
      </c>
      <c r="J422" s="271" t="n"/>
      <c r="K422" s="272" t="n"/>
      <c r="L422" s="272">
        <f>IF(K422&lt;&gt;"",10000+K422,10000)</f>
        <v/>
      </c>
    </row>
    <row r="423" ht="15.75" customHeight="1" s="153">
      <c r="A423" s="273" t="n"/>
      <c r="B423" s="274" t="inlineStr">
        <is>
          <t>4TO PASAJE 3782</t>
        </is>
      </c>
      <c r="C423" s="275" t="n">
        <v>1</v>
      </c>
      <c r="D423" s="275" t="n"/>
      <c r="E423" s="275" t="n"/>
      <c r="F423" s="276" t="n"/>
      <c r="G423" s="276" t="n"/>
      <c r="H423" s="277" t="n">
        <v>26000</v>
      </c>
      <c r="I423" s="278" t="n"/>
      <c r="J423" s="278" t="n">
        <v>26000</v>
      </c>
      <c r="K423" s="272" t="n"/>
      <c r="L423" s="272">
        <f>IF(K423&lt;&gt;"",11000+K423,11000)</f>
        <v/>
      </c>
    </row>
    <row r="424" ht="15.75" customHeight="1" s="153">
      <c r="A424" s="279" t="n"/>
      <c r="B424" s="267" t="inlineStr">
        <is>
          <t>IRALA 3140</t>
        </is>
      </c>
      <c r="C424" s="268" t="n">
        <v>1</v>
      </c>
      <c r="D424" s="268" t="n"/>
      <c r="E424" s="268" t="n"/>
      <c r="F424" s="269" t="n"/>
      <c r="G424" s="269" t="n"/>
      <c r="H424" s="270" t="n">
        <v>26000</v>
      </c>
      <c r="I424" s="271" t="n">
        <v>26000</v>
      </c>
      <c r="J424" s="271" t="n"/>
      <c r="K424" s="272" t="n"/>
      <c r="L424" s="272">
        <f>IF(K424&lt;&gt;"",11000+K424,11000)</f>
        <v/>
      </c>
    </row>
    <row r="425" ht="15.75" customHeight="1" s="153">
      <c r="A425" s="273" t="n"/>
      <c r="B425" s="274" t="inlineStr">
        <is>
          <t>ROTI ARISTOBULO</t>
        </is>
      </c>
      <c r="C425" s="275" t="n"/>
      <c r="D425" s="275" t="n">
        <v>1</v>
      </c>
      <c r="E425" s="275" t="n"/>
      <c r="F425" s="276" t="n"/>
      <c r="G425" s="276" t="n"/>
      <c r="H425" s="277" t="n">
        <v>33500</v>
      </c>
      <c r="I425" s="278" t="n"/>
      <c r="J425" s="278" t="n">
        <v>33500</v>
      </c>
      <c r="K425" s="272" t="n"/>
      <c r="L425" s="272">
        <f>IF(K425&lt;&gt;"",11000+K425,11000)</f>
        <v/>
      </c>
    </row>
    <row r="426" ht="15.75" customHeight="1" s="153">
      <c r="A426" s="279" t="n"/>
      <c r="B426" s="267" t="inlineStr">
        <is>
          <t>AGUADO 8961</t>
        </is>
      </c>
      <c r="C426" s="268" t="n"/>
      <c r="D426" s="268" t="n">
        <v>1</v>
      </c>
      <c r="E426" s="268" t="n"/>
      <c r="F426" s="269" t="n"/>
      <c r="G426" s="269" t="n"/>
      <c r="H426" s="270" t="n">
        <v>38500</v>
      </c>
      <c r="I426" s="271" t="n">
        <v>38500</v>
      </c>
      <c r="J426" s="271" t="n"/>
      <c r="K426" s="272" t="n"/>
      <c r="L426" s="272">
        <f>IF(K426&lt;&gt;"",16000+K426,16000)</f>
        <v/>
      </c>
    </row>
    <row r="427" ht="15.75" customHeight="1" s="153">
      <c r="A427" s="273" t="n"/>
      <c r="B427" s="274" t="inlineStr">
        <is>
          <t>PANA BERUTI 6400</t>
        </is>
      </c>
      <c r="C427" s="275" t="n"/>
      <c r="D427" s="275" t="n"/>
      <c r="E427" s="275" t="n">
        <v>2</v>
      </c>
      <c r="F427" s="276" t="n"/>
      <c r="G427" s="276" t="n"/>
      <c r="H427" s="277" t="n">
        <v>150000</v>
      </c>
      <c r="I427" s="278" t="n"/>
      <c r="J427" s="278" t="n">
        <v>150000</v>
      </c>
      <c r="K427" s="272" t="n"/>
      <c r="L427" s="272">
        <f>IF(K427&lt;&gt;"",30000+K427,30000)</f>
        <v/>
      </c>
    </row>
    <row r="428" ht="15.75" customHeight="1" s="153">
      <c r="A428" s="279" t="n"/>
      <c r="B428" s="267" t="inlineStr">
        <is>
          <t>MARTINEZ 3221</t>
        </is>
      </c>
      <c r="C428" s="268" t="n">
        <v>2</v>
      </c>
      <c r="D428" s="268" t="n"/>
      <c r="E428" s="268" t="n">
        <v>1</v>
      </c>
      <c r="F428" s="269" t="n"/>
      <c r="G428" s="269" t="n"/>
      <c r="H428" s="270" t="n">
        <v>147000</v>
      </c>
      <c r="I428" s="271" t="n"/>
      <c r="J428" s="271" t="n">
        <v>147000</v>
      </c>
      <c r="K428" s="272" t="n"/>
      <c r="L428" s="272">
        <f>IF(K428&lt;&gt;"",57000+K428,57000)</f>
        <v/>
      </c>
    </row>
    <row r="429" ht="15.75" customHeight="1" s="153">
      <c r="A429" s="273" t="n"/>
      <c r="B429" s="274" t="inlineStr">
        <is>
          <t>RICARDO ALDAO 928</t>
        </is>
      </c>
      <c r="C429" s="275" t="n">
        <v>1</v>
      </c>
      <c r="D429" s="275" t="n"/>
      <c r="E429" s="275" t="n"/>
      <c r="F429" s="276" t="n"/>
      <c r="G429" s="276" t="n"/>
      <c r="H429" s="277" t="n">
        <v>26000</v>
      </c>
      <c r="I429" s="278" t="n">
        <v>26000</v>
      </c>
      <c r="J429" s="278" t="n"/>
      <c r="K429" s="272" t="n"/>
      <c r="L429" s="272">
        <f>IF(K429&lt;&gt;"",11000+K429,11000)</f>
        <v/>
      </c>
    </row>
    <row r="430" ht="15.75" customHeight="1" s="153">
      <c r="A430" s="279" t="n"/>
      <c r="B430" s="267" t="inlineStr">
        <is>
          <t>PADRE GENESIO 5950</t>
        </is>
      </c>
      <c r="C430" s="268" t="n"/>
      <c r="D430" s="268" t="n">
        <v>1</v>
      </c>
      <c r="E430" s="268" t="n"/>
      <c r="F430" s="269" t="n"/>
      <c r="G430" s="269" t="n"/>
      <c r="H430" s="270" t="n">
        <v>34500</v>
      </c>
      <c r="I430" s="271" t="n"/>
      <c r="J430" s="271" t="n">
        <v>34500</v>
      </c>
      <c r="K430" s="272" t="n"/>
      <c r="L430" s="272">
        <f>IF(K430&lt;&gt;"",12000+K430,12000)</f>
        <v/>
      </c>
    </row>
    <row r="431" ht="15.75" customHeight="1" s="153">
      <c r="A431" s="273" t="n"/>
      <c r="B431" s="274" t="inlineStr">
        <is>
          <t>5TO PASAJE 3750</t>
        </is>
      </c>
      <c r="C431" s="275" t="n"/>
      <c r="D431" s="275" t="n"/>
      <c r="E431" s="275" t="n">
        <v>1</v>
      </c>
      <c r="F431" s="276" t="n"/>
      <c r="G431" s="276" t="n"/>
      <c r="H431" s="277" t="n">
        <v>88000</v>
      </c>
      <c r="I431" s="278" t="n"/>
      <c r="J431" s="278" t="n">
        <v>88000</v>
      </c>
      <c r="K431" s="272" t="n"/>
      <c r="L431" s="272">
        <f>IF(K431&lt;&gt;"",28000+K431,28000)</f>
        <v/>
      </c>
    </row>
    <row r="432" ht="15.75" customHeight="1" s="153">
      <c r="A432" s="279" t="n"/>
      <c r="B432" s="267" t="inlineStr">
        <is>
          <t>VERBENA</t>
        </is>
      </c>
      <c r="C432" s="268" t="n">
        <v>2</v>
      </c>
      <c r="D432" s="268" t="n"/>
      <c r="E432" s="268" t="n"/>
      <c r="F432" s="269" t="n"/>
      <c r="G432" s="269" t="n"/>
      <c r="H432" s="270" t="n">
        <v>51000</v>
      </c>
      <c r="I432" s="271" t="n">
        <v>51000</v>
      </c>
      <c r="J432" s="271" t="n"/>
      <c r="K432" s="272" t="n"/>
      <c r="L432" s="272">
        <f>IF(K432&lt;&gt;"",21000+K432,21000)</f>
        <v/>
      </c>
    </row>
    <row r="433" ht="15.75" customHeight="1" s="153">
      <c r="A433" s="273" t="n"/>
      <c r="B433" s="274" t="inlineStr">
        <is>
          <t>RIVADAVIA 6330</t>
        </is>
      </c>
      <c r="C433" s="275" t="n">
        <v>1</v>
      </c>
      <c r="D433" s="275" t="n"/>
      <c r="E433" s="275" t="n"/>
      <c r="F433" s="276" t="n"/>
      <c r="G433" s="276" t="n"/>
      <c r="H433" s="277" t="n">
        <v>26000</v>
      </c>
      <c r="I433" s="278" t="n">
        <v>26000</v>
      </c>
      <c r="J433" s="278" t="n"/>
      <c r="K433" s="272" t="n"/>
      <c r="L433" s="272">
        <f>IF(K433&lt;&gt;"",11000+K433,11000)</f>
        <v/>
      </c>
    </row>
    <row r="434" ht="15.75" customHeight="1" s="153">
      <c r="A434" s="279" t="n"/>
      <c r="B434" s="267" t="inlineStr">
        <is>
          <t>FLORES 2 TORRE 8 MARCELO</t>
        </is>
      </c>
      <c r="C434" s="268" t="n">
        <v>1</v>
      </c>
      <c r="D434" s="268" t="n"/>
      <c r="E434" s="268" t="n"/>
      <c r="F434" s="269" t="n"/>
      <c r="G434" s="269" t="n"/>
      <c r="H434" s="270" t="n">
        <v>26000</v>
      </c>
      <c r="I434" s="271" t="n"/>
      <c r="J434" s="271" t="n">
        <v>26000</v>
      </c>
      <c r="K434" s="272" t="n"/>
      <c r="L434" s="272">
        <f>IF(K434&lt;&gt;"",11000+K434,11000)</f>
        <v/>
      </c>
    </row>
    <row r="435" ht="15.75" customHeight="1" s="153">
      <c r="A435" s="273" t="n"/>
      <c r="B435" s="274" t="inlineStr">
        <is>
          <t>SANTA BAR 1 MAYO 1959</t>
        </is>
      </c>
      <c r="C435" s="275" t="n">
        <v>1</v>
      </c>
      <c r="D435" s="275" t="n"/>
      <c r="E435" s="275" t="n">
        <v>1</v>
      </c>
      <c r="F435" s="276" t="n"/>
      <c r="G435" s="276" t="n"/>
      <c r="H435" s="277" t="n">
        <v>110000</v>
      </c>
      <c r="I435" s="278" t="n">
        <v>110000</v>
      </c>
      <c r="J435" s="278" t="n"/>
      <c r="K435" s="272" t="n"/>
      <c r="L435" s="272">
        <f>IF(K435&lt;&gt;"",35000+K435,35000)</f>
        <v/>
      </c>
    </row>
    <row r="436" ht="15.75" customHeight="1" s="153">
      <c r="A436" s="279" t="n"/>
      <c r="B436" s="267" t="inlineStr">
        <is>
          <t>PASAJE SUAREZ 3752</t>
        </is>
      </c>
      <c r="C436" s="268" t="n">
        <v>1</v>
      </c>
      <c r="D436" s="268" t="n"/>
      <c r="E436" s="268" t="n"/>
      <c r="F436" s="269" t="n"/>
      <c r="G436" s="269" t="n"/>
      <c r="H436" s="270" t="n">
        <v>25000</v>
      </c>
      <c r="I436" s="271" t="n">
        <v>25000</v>
      </c>
      <c r="J436" s="271" t="n"/>
      <c r="K436" s="272" t="n"/>
      <c r="L436" s="272">
        <f>IF(K436&lt;&gt;"",10000+K436,10000)</f>
        <v/>
      </c>
    </row>
    <row r="437" ht="15.75" customHeight="1" s="153">
      <c r="A437" s="273" t="n"/>
      <c r="B437" s="274" t="inlineStr">
        <is>
          <t>CAREN</t>
        </is>
      </c>
      <c r="C437" s="275" t="n"/>
      <c r="D437" s="275" t="n"/>
      <c r="E437" s="275" t="n">
        <v>1</v>
      </c>
      <c r="F437" s="276" t="n"/>
      <c r="G437" s="276" t="n"/>
      <c r="H437" s="277" t="n">
        <v>82000</v>
      </c>
      <c r="I437" s="278" t="n"/>
      <c r="J437" s="278" t="n">
        <v>82000</v>
      </c>
      <c r="K437" s="272" t="n"/>
      <c r="L437" s="272">
        <f>IF(K437&lt;&gt;"",22000+K437,22000)</f>
        <v/>
      </c>
    </row>
    <row r="438" ht="15.75" customHeight="1" s="153">
      <c r="A438" s="279" t="n"/>
      <c r="B438" s="267" t="inlineStr">
        <is>
          <t>ALVEAR 5259</t>
        </is>
      </c>
      <c r="C438" s="268" t="n">
        <v>1</v>
      </c>
      <c r="D438" s="268" t="n"/>
      <c r="E438" s="268" t="n"/>
      <c r="F438" s="269" t="n"/>
      <c r="G438" s="269" t="n"/>
      <c r="H438" s="270" t="n">
        <v>26000</v>
      </c>
      <c r="I438" s="271" t="n">
        <v>26000</v>
      </c>
      <c r="J438" s="271" t="n"/>
      <c r="K438" s="272" t="n"/>
      <c r="L438" s="272">
        <f>IF(K438&lt;&gt;"",11000+K438,11000)</f>
        <v/>
      </c>
    </row>
    <row r="439" ht="15.75" customHeight="1" s="153">
      <c r="A439" s="273" t="n"/>
      <c r="B439" s="274" t="inlineStr">
        <is>
          <t>TACUARI 5717</t>
        </is>
      </c>
      <c r="C439" s="275" t="n">
        <v>1</v>
      </c>
      <c r="D439" s="275" t="n"/>
      <c r="E439" s="275" t="n"/>
      <c r="F439" s="276" t="n"/>
      <c r="G439" s="276" t="n"/>
      <c r="H439" s="277" t="n">
        <v>25000</v>
      </c>
      <c r="I439" s="278" t="n"/>
      <c r="J439" s="278" t="n">
        <v>25000</v>
      </c>
      <c r="K439" s="272" t="n"/>
      <c r="L439" s="272">
        <f>IF(K439&lt;&gt;"",10000+K439,10000)</f>
        <v/>
      </c>
    </row>
    <row r="440" ht="15.75" customHeight="1" s="153">
      <c r="A440" s="279" t="n"/>
      <c r="B440" s="267" t="inlineStr">
        <is>
          <t>SABOREAR</t>
        </is>
      </c>
      <c r="C440" s="268" t="n">
        <v>1</v>
      </c>
      <c r="D440" s="268" t="n"/>
      <c r="E440" s="268" t="n"/>
      <c r="F440" s="269" t="n"/>
      <c r="G440" s="269" t="n"/>
      <c r="H440" s="270" t="n">
        <v>22500</v>
      </c>
      <c r="I440" s="271" t="n"/>
      <c r="J440" s="271" t="n">
        <v>22500</v>
      </c>
      <c r="K440" s="272" t="n"/>
      <c r="L440" s="272">
        <f>IF(K440&lt;&gt;"",7500+K440,7500)</f>
        <v/>
      </c>
    </row>
    <row r="441" ht="15.75" customHeight="1" s="153">
      <c r="A441" s="273" t="n"/>
      <c r="B441" s="274" t="inlineStr">
        <is>
          <t>PUBLICO 2527</t>
        </is>
      </c>
      <c r="C441" s="275" t="n">
        <v>1</v>
      </c>
      <c r="D441" s="275" t="n"/>
      <c r="E441" s="275" t="n"/>
      <c r="F441" s="276" t="n"/>
      <c r="G441" s="276" t="n"/>
      <c r="H441" s="277" t="n">
        <v>26000</v>
      </c>
      <c r="I441" s="278" t="n">
        <v>26000</v>
      </c>
      <c r="J441" s="278" t="n"/>
      <c r="K441" s="272" t="n"/>
      <c r="L441" s="272">
        <f>IF(K441&lt;&gt;"",11000+K441,11000)</f>
        <v/>
      </c>
    </row>
    <row r="442" ht="15.75" customHeight="1" s="153">
      <c r="A442" s="279" t="n"/>
      <c r="B442" s="267" t="inlineStr">
        <is>
          <t>LAVAISE 3786</t>
        </is>
      </c>
      <c r="C442" s="268" t="n">
        <v>1</v>
      </c>
      <c r="D442" s="268" t="n">
        <v>1</v>
      </c>
      <c r="E442" s="268" t="n"/>
      <c r="F442" s="269" t="n"/>
      <c r="G442" s="269" t="n"/>
      <c r="H442" s="270" t="n">
        <v>61000</v>
      </c>
      <c r="I442" s="271" t="n">
        <v>61000</v>
      </c>
      <c r="J442" s="271" t="n"/>
      <c r="K442" s="272" t="n"/>
      <c r="L442" s="272">
        <f>IF(K442&lt;&gt;"",23500+K442,23500)</f>
        <v/>
      </c>
    </row>
    <row r="443" ht="15.75" customHeight="1" s="153">
      <c r="A443" s="273" t="n"/>
      <c r="B443" s="274" t="inlineStr">
        <is>
          <t>JP LOPEZ 2322</t>
        </is>
      </c>
      <c r="C443" s="275" t="n">
        <v>1</v>
      </c>
      <c r="D443" s="275" t="n"/>
      <c r="E443" s="275" t="n"/>
      <c r="F443" s="276" t="n"/>
      <c r="G443" s="276" t="n"/>
      <c r="H443" s="277" t="n">
        <v>26000</v>
      </c>
      <c r="I443" s="278" t="n">
        <v>26000</v>
      </c>
      <c r="J443" s="278" t="n"/>
      <c r="K443" s="272" t="n"/>
      <c r="L443" s="272">
        <f>IF(K443&lt;&gt;"",11000+K443,11000)</f>
        <v/>
      </c>
    </row>
    <row r="444" ht="15.75" customHeight="1" s="153">
      <c r="A444" s="279" t="n"/>
      <c r="B444" s="267" t="inlineStr">
        <is>
          <t>PASAJE PARAGUAY 6660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>
        <v>26000</v>
      </c>
      <c r="J444" s="271" t="n"/>
      <c r="K444" s="272" t="n"/>
      <c r="L444" s="272">
        <f>IF(K444&lt;&gt;"",11000+K444,11000)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79" t="n">
        <v>46143</v>
      </c>
      <c r="B5" s="267" t="inlineStr">
        <is>
          <t>5TO PASAJE 9681</t>
        </is>
      </c>
      <c r="C5" s="268" t="n"/>
      <c r="D5" s="268" t="n"/>
      <c r="E5" s="268" t="n">
        <v>1</v>
      </c>
      <c r="F5" s="269" t="n"/>
      <c r="G5" s="269" t="n"/>
      <c r="H5" s="270" t="n">
        <v>95000</v>
      </c>
      <c r="I5" s="271" t="n"/>
      <c r="J5" s="271" t="n">
        <v>95000</v>
      </c>
      <c r="K5" s="272" t="n"/>
      <c r="L5" s="272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PIEDRABUENA 4506</t>
        </is>
      </c>
      <c r="C6" s="275" t="n"/>
      <c r="D6" s="275" t="n"/>
      <c r="E6" s="275" t="n">
        <v>1</v>
      </c>
      <c r="F6" s="276" t="n"/>
      <c r="G6" s="276" t="n"/>
      <c r="H6" s="277" t="n">
        <v>91000</v>
      </c>
      <c r="I6" s="278" t="n"/>
      <c r="J6" s="278" t="n">
        <v>91000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ALBERTI 5303</t>
        </is>
      </c>
      <c r="C7" s="268" t="n">
        <v>1</v>
      </c>
      <c r="D7" s="268" t="n"/>
      <c r="E7" s="268" t="n"/>
      <c r="F7" s="269" t="n"/>
      <c r="G7" s="269" t="n"/>
      <c r="H7" s="270" t="n">
        <v>25000</v>
      </c>
      <c r="I7" s="271" t="n">
        <v>25000</v>
      </c>
      <c r="J7" s="271" t="n"/>
      <c r="K7" s="272" t="n"/>
      <c r="L7" s="272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LUCHO</t>
        </is>
      </c>
      <c r="C8" s="275" t="n">
        <v>1</v>
      </c>
      <c r="D8" s="275" t="n">
        <v>1</v>
      </c>
      <c r="E8" s="275" t="n"/>
      <c r="F8" s="276" t="n"/>
      <c r="G8" s="276" t="n"/>
      <c r="H8" s="277" t="n">
        <v>47500</v>
      </c>
      <c r="I8" s="278" t="n">
        <v>47500</v>
      </c>
      <c r="J8" s="278" t="n"/>
      <c r="K8" s="272" t="n"/>
      <c r="L8" s="272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CALLEJON ROCA 2622</t>
        </is>
      </c>
      <c r="C9" s="268" t="n">
        <v>1</v>
      </c>
      <c r="D9" s="268" t="n"/>
      <c r="E9" s="268" t="n"/>
      <c r="F9" s="269" t="n"/>
      <c r="G9" s="269" t="n"/>
      <c r="H9" s="270" t="n">
        <v>27000</v>
      </c>
      <c r="I9" s="271" t="n">
        <v>27000</v>
      </c>
      <c r="J9" s="271" t="n"/>
      <c r="K9" s="272" t="n"/>
      <c r="L9" s="272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4 DE ENERO 6652</t>
        </is>
      </c>
      <c r="C10" s="275" t="n">
        <v>1</v>
      </c>
      <c r="D10" s="275" t="n"/>
      <c r="E10" s="275" t="n"/>
      <c r="F10" s="276" t="n"/>
      <c r="G10" s="276" t="n"/>
      <c r="H10" s="277" t="n">
        <v>27000</v>
      </c>
      <c r="I10" s="278" t="n">
        <v>27000</v>
      </c>
      <c r="J10" s="278" t="n"/>
      <c r="K10" s="272" t="n"/>
      <c r="L10" s="272">
        <f>IF(K10&lt;&gt;"",12000+K10,12000)</f>
        <v/>
      </c>
      <c r="M10" s="156" t="n"/>
      <c r="N10" s="243" t="n"/>
      <c r="O10" s="244" t="n"/>
    </row>
    <row r="11" ht="21.75" customHeight="1" s="153">
      <c r="A11" s="279" t="n"/>
      <c r="B11" s="267" t="inlineStr">
        <is>
          <t>GUANELLA 4883</t>
        </is>
      </c>
      <c r="C11" s="268" t="n"/>
      <c r="D11" s="268" t="n">
        <v>1</v>
      </c>
      <c r="E11" s="268" t="n"/>
      <c r="F11" s="269" t="n"/>
      <c r="G11" s="269" t="n"/>
      <c r="H11" s="270" t="n">
        <v>37500</v>
      </c>
      <c r="I11" s="271" t="n"/>
      <c r="J11" s="271" t="n">
        <v>37500</v>
      </c>
      <c r="K11" s="272" t="n"/>
      <c r="L11" s="272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CARRANZA 8275</t>
        </is>
      </c>
      <c r="C12" s="275" t="n">
        <v>1</v>
      </c>
      <c r="D12" s="275" t="n"/>
      <c r="E12" s="275" t="n"/>
      <c r="F12" s="276" t="n"/>
      <c r="G12" s="276" t="n"/>
      <c r="H12" s="277" t="n">
        <v>26000</v>
      </c>
      <c r="I12" s="278" t="n"/>
      <c r="J12" s="278" t="n">
        <v>26000</v>
      </c>
      <c r="K12" s="272" t="n"/>
      <c r="L12" s="272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70" t="n">
        <v>26000</v>
      </c>
      <c r="I13" s="271" t="n"/>
      <c r="J13" s="271" t="n">
        <v>26000</v>
      </c>
      <c r="K13" s="272" t="n"/>
      <c r="L13" s="272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PANA ALBERTI</t>
        </is>
      </c>
      <c r="C14" s="275" t="n"/>
      <c r="D14" s="275" t="n"/>
      <c r="E14" s="275" t="n">
        <v>1</v>
      </c>
      <c r="F14" s="276" t="n"/>
      <c r="G14" s="276" t="n"/>
      <c r="H14" s="277" t="n">
        <v>82000</v>
      </c>
      <c r="I14" s="278" t="n">
        <v>82000</v>
      </c>
      <c r="J14" s="278" t="n"/>
      <c r="K14" s="272" t="n"/>
      <c r="L14" s="272">
        <f>IF(K14&lt;&gt;"",22000+K14,22000)</f>
        <v/>
      </c>
      <c r="M14" s="156" t="n"/>
      <c r="N14" s="243" t="n"/>
      <c r="O14" s="244" t="n"/>
    </row>
    <row r="15" ht="21.75" customHeight="1" s="153">
      <c r="A15" s="279" t="n"/>
      <c r="B15" s="267" t="inlineStr">
        <is>
          <t>BAGUETTE</t>
        </is>
      </c>
      <c r="C15" s="268" t="n"/>
      <c r="D15" s="268" t="n"/>
      <c r="E15" s="268" t="n">
        <v>1</v>
      </c>
      <c r="F15" s="269" t="n"/>
      <c r="G15" s="269" t="n"/>
      <c r="H15" s="270" t="n">
        <v>75000</v>
      </c>
      <c r="I15" s="271" t="n"/>
      <c r="J15" s="271" t="n">
        <v>75000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RIVADAVIA 8280</t>
        </is>
      </c>
      <c r="C16" s="275" t="n"/>
      <c r="D16" s="275" t="n"/>
      <c r="E16" s="275" t="n">
        <v>1</v>
      </c>
      <c r="F16" s="276" t="n"/>
      <c r="G16" s="276" t="n"/>
      <c r="H16" s="277" t="n">
        <v>92000</v>
      </c>
      <c r="I16" s="278" t="n"/>
      <c r="J16" s="278" t="n">
        <v>92000</v>
      </c>
      <c r="K16" s="272" t="n"/>
      <c r="L16" s="272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LUCHO</t>
        </is>
      </c>
      <c r="C17" s="268" t="n">
        <v>1</v>
      </c>
      <c r="D17" s="268" t="n">
        <v>1</v>
      </c>
      <c r="E17" s="268" t="n"/>
      <c r="F17" s="269" t="n"/>
      <c r="G17" s="269" t="n"/>
      <c r="H17" s="270" t="n">
        <v>47500</v>
      </c>
      <c r="I17" s="271" t="n"/>
      <c r="J17" s="271" t="n">
        <v>47500</v>
      </c>
      <c r="K17" s="272" t="n"/>
      <c r="L17" s="272">
        <f>IF(K17&lt;&gt;"",10000+K17,10000)</f>
        <v/>
      </c>
      <c r="M17" s="156" t="n"/>
      <c r="N17" s="243" t="n"/>
      <c r="O17" s="244" t="n"/>
    </row>
    <row r="18" ht="21.75" customHeight="1" s="153">
      <c r="A18" s="273" t="n"/>
      <c r="B18" s="274" t="inlineStr">
        <is>
          <t>MARCIAL CANDIOTI 6281</t>
        </is>
      </c>
      <c r="C18" s="275" t="n"/>
      <c r="D18" s="275" t="n">
        <v>1</v>
      </c>
      <c r="E18" s="275" t="n"/>
      <c r="F18" s="276" t="n"/>
      <c r="G18" s="276" t="n"/>
      <c r="H18" s="277" t="n">
        <v>39000</v>
      </c>
      <c r="I18" s="278" t="n">
        <v>39000</v>
      </c>
      <c r="J18" s="278" t="n"/>
      <c r="K18" s="272" t="n"/>
      <c r="L18" s="272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BRASERIA</t>
        </is>
      </c>
      <c r="C19" s="268" t="n"/>
      <c r="D19" s="268" t="n"/>
      <c r="E19" s="268" t="n">
        <v>1</v>
      </c>
      <c r="F19" s="269" t="n"/>
      <c r="G19" s="269" t="n"/>
      <c r="H19" s="270" t="n">
        <v>83000</v>
      </c>
      <c r="I19" s="271" t="n"/>
      <c r="J19" s="271" t="n">
        <v>83000</v>
      </c>
      <c r="K19" s="272" t="n"/>
      <c r="L19" s="272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>
        <v>46144</v>
      </c>
      <c r="B20" s="267" t="inlineStr">
        <is>
          <t>RIVADAVIA JUNIORS</t>
        </is>
      </c>
      <c r="C20" s="268" t="n">
        <v>2</v>
      </c>
      <c r="D20" s="268" t="n"/>
      <c r="E20" s="268" t="n"/>
      <c r="F20" s="269" t="n"/>
      <c r="G20" s="269" t="n"/>
      <c r="H20" s="270" t="n">
        <v>52000</v>
      </c>
      <c r="I20" s="271" t="n">
        <v>52000</v>
      </c>
      <c r="J20" s="271" t="n"/>
      <c r="K20" s="272" t="n"/>
      <c r="L20" s="272">
        <f>IF(K20&lt;&gt;"",22000+K20,22000)</f>
        <v/>
      </c>
      <c r="M20" s="156" t="n"/>
      <c r="N20" s="243" t="n"/>
      <c r="O20" s="244" t="n"/>
    </row>
    <row r="21" ht="21.75" customHeight="1" s="153">
      <c r="A21" s="273" t="n"/>
      <c r="B21" s="274" t="inlineStr">
        <is>
          <t>URQUIZA 9309</t>
        </is>
      </c>
      <c r="C21" s="275" t="n">
        <v>2</v>
      </c>
      <c r="D21" s="275" t="n">
        <v>1</v>
      </c>
      <c r="E21" s="275" t="n"/>
      <c r="F21" s="276" t="n"/>
      <c r="G21" s="276" t="n"/>
      <c r="H21" s="277" t="n">
        <v>68500</v>
      </c>
      <c r="I21" s="278" t="n"/>
      <c r="J21" s="278" t="n">
        <v>68500</v>
      </c>
      <c r="K21" s="272" t="n"/>
      <c r="L21" s="272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BEATRIZ</t>
        </is>
      </c>
      <c r="C22" s="268" t="n"/>
      <c r="D22" s="268" t="n"/>
      <c r="E22" s="268" t="n"/>
      <c r="F22" s="269" t="n"/>
      <c r="G22" s="269" t="n">
        <v>2</v>
      </c>
      <c r="H22" s="270" t="n">
        <v>12000</v>
      </c>
      <c r="I22" s="271" t="n"/>
      <c r="J22" s="271" t="n">
        <v>12000</v>
      </c>
      <c r="K22" s="272" t="n"/>
      <c r="L22" s="272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LAVALLE 4859</t>
        </is>
      </c>
      <c r="C23" s="275" t="n">
        <v>1</v>
      </c>
      <c r="D23" s="275" t="n"/>
      <c r="E23" s="275" t="n"/>
      <c r="F23" s="276" t="n"/>
      <c r="G23" s="276" t="n"/>
      <c r="H23" s="277" t="n">
        <v>26000</v>
      </c>
      <c r="I23" s="278" t="n">
        <v>26000</v>
      </c>
      <c r="J23" s="278" t="n"/>
      <c r="K23" s="272" t="n"/>
      <c r="L23" s="272">
        <f>IF(K23&lt;&gt;"",11000+K23,11000)</f>
        <v/>
      </c>
      <c r="M23" s="156" t="n"/>
      <c r="N23" s="156" t="n"/>
      <c r="O23" s="156" t="n"/>
    </row>
    <row r="24" ht="18.75" customHeight="1" s="153">
      <c r="A24" s="279" t="n"/>
      <c r="B24" s="267" t="inlineStr">
        <is>
          <t>DOMINGO SILVA 4217</t>
        </is>
      </c>
      <c r="C24" s="268" t="n">
        <v>1</v>
      </c>
      <c r="D24" s="268" t="n">
        <v>1</v>
      </c>
      <c r="E24" s="268" t="n"/>
      <c r="F24" s="269" t="n"/>
      <c r="G24" s="269" t="n"/>
      <c r="H24" s="270" t="n">
        <v>47500</v>
      </c>
      <c r="I24" s="271" t="n"/>
      <c r="J24" s="271" t="n">
        <v>47500</v>
      </c>
      <c r="K24" s="272" t="n"/>
      <c r="L24" s="272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3" t="n"/>
      <c r="B25" s="274" t="inlineStr">
        <is>
          <t>ALSINA 7981</t>
        </is>
      </c>
      <c r="C25" s="275" t="n"/>
      <c r="D25" s="275" t="n"/>
      <c r="E25" s="275" t="n">
        <v>1</v>
      </c>
      <c r="F25" s="276" t="n"/>
      <c r="G25" s="276" t="n"/>
      <c r="H25" s="277" t="n">
        <v>84000</v>
      </c>
      <c r="I25" s="278" t="n">
        <v>84000</v>
      </c>
      <c r="J25" s="278" t="n"/>
      <c r="K25" s="272" t="n"/>
      <c r="L25" s="272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9" t="n"/>
      <c r="B26" s="267" t="inlineStr">
        <is>
          <t>ROTI SAN LORENZO</t>
        </is>
      </c>
      <c r="C26" s="268" t="n">
        <v>2</v>
      </c>
      <c r="D26" s="268" t="n">
        <v>1</v>
      </c>
      <c r="E26" s="268" t="n"/>
      <c r="F26" s="269" t="n"/>
      <c r="G26" s="269" t="n"/>
      <c r="H26" s="270" t="n">
        <v>85000</v>
      </c>
      <c r="I26" s="271" t="n"/>
      <c r="J26" s="271" t="n">
        <v>85000</v>
      </c>
      <c r="K26" s="272" t="n"/>
      <c r="L26" s="272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3" t="n"/>
      <c r="B27" s="274" t="inlineStr">
        <is>
          <t>OTNIEL</t>
        </is>
      </c>
      <c r="C27" s="275" t="n"/>
      <c r="D27" s="275" t="n">
        <v>1</v>
      </c>
      <c r="E27" s="275" t="n">
        <v>1</v>
      </c>
      <c r="F27" s="276" t="n"/>
      <c r="G27" s="276" t="n"/>
      <c r="H27" s="277" t="n">
        <v>115000</v>
      </c>
      <c r="I27" s="278" t="n">
        <v>115000</v>
      </c>
      <c r="J27" s="278" t="n"/>
      <c r="K27" s="272" t="n"/>
      <c r="L27" s="272">
        <f>IF(K27&lt;&gt;"",32500+K27,32500)</f>
        <v/>
      </c>
      <c r="M27" s="156" t="n"/>
      <c r="N27" s="156" t="n"/>
      <c r="O27" s="156" t="n"/>
    </row>
    <row r="28" ht="18.75" customHeight="1" s="153">
      <c r="A28" s="279" t="n"/>
      <c r="B28" s="267" t="inlineStr">
        <is>
          <t>MARCE DUSO</t>
        </is>
      </c>
      <c r="C28" s="268" t="n">
        <v>3</v>
      </c>
      <c r="D28" s="268" t="n"/>
      <c r="E28" s="268" t="n"/>
      <c r="F28" s="269" t="n"/>
      <c r="G28" s="269" t="n"/>
      <c r="H28" s="270" t="n">
        <v>57000</v>
      </c>
      <c r="I28" s="271" t="n">
        <v>57000</v>
      </c>
      <c r="J28" s="271" t="n"/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3" t="n"/>
      <c r="B29" s="274" t="inlineStr">
        <is>
          <t>VIÑAS 9420</t>
        </is>
      </c>
      <c r="C29" s="275" t="n"/>
      <c r="D29" s="275" t="n"/>
      <c r="E29" s="275" t="n">
        <v>1</v>
      </c>
      <c r="F29" s="276" t="n"/>
      <c r="G29" s="276" t="n"/>
      <c r="H29" s="277" t="n">
        <v>92000</v>
      </c>
      <c r="I29" s="278" t="n"/>
      <c r="J29" s="278" t="n">
        <v>92000</v>
      </c>
      <c r="K29" s="272" t="n"/>
      <c r="L29" s="272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9" t="n"/>
      <c r="B30" s="267" t="inlineStr">
        <is>
          <t>VIANDAS JORGE</t>
        </is>
      </c>
      <c r="C30" s="268" t="n">
        <v>1</v>
      </c>
      <c r="D30" s="268" t="n"/>
      <c r="E30" s="268" t="n"/>
      <c r="F30" s="269" t="n"/>
      <c r="G30" s="269" t="n"/>
      <c r="H30" s="270" t="n">
        <v>22000</v>
      </c>
      <c r="I30" s="271" t="n">
        <v>22000</v>
      </c>
      <c r="J30" s="271" t="n"/>
      <c r="K30" s="272" t="n"/>
      <c r="L30" s="272">
        <f>IF(K30&lt;&gt;"",7000+K30,7000)</f>
        <v/>
      </c>
      <c r="M30" s="156" t="n"/>
      <c r="N30" s="156" t="n"/>
      <c r="O30" s="156" t="n"/>
    </row>
    <row r="31" ht="18.75" customHeight="1" s="153">
      <c r="A31" s="273" t="n"/>
      <c r="B31" s="274" t="inlineStr">
        <is>
          <t>JOSE CIBILS 6789</t>
        </is>
      </c>
      <c r="C31" s="275" t="n"/>
      <c r="D31" s="275" t="n"/>
      <c r="E31" s="275" t="n">
        <v>1</v>
      </c>
      <c r="F31" s="276" t="n"/>
      <c r="G31" s="276" t="n"/>
      <c r="H31" s="277" t="n">
        <v>91000</v>
      </c>
      <c r="I31" s="278" t="n">
        <v>91000</v>
      </c>
      <c r="J31" s="278" t="n"/>
      <c r="K31" s="272" t="n"/>
      <c r="L31" s="272">
        <f>IF(K31&lt;&gt;"",31000+K31,31000)</f>
        <v/>
      </c>
      <c r="M31" s="156" t="n"/>
      <c r="N31" s="156" t="n"/>
      <c r="O31" s="156" t="n"/>
    </row>
    <row r="32" ht="18.75" customHeight="1" s="153">
      <c r="A32" s="279" t="n"/>
      <c r="B32" s="267" t="inlineStr">
        <is>
          <t>RICARDO ALDAO 3082</t>
        </is>
      </c>
      <c r="C32" s="268" t="n">
        <v>1</v>
      </c>
      <c r="D32" s="268" t="n"/>
      <c r="E32" s="268" t="n"/>
      <c r="F32" s="269" t="n"/>
      <c r="G32" s="269" t="n"/>
      <c r="H32" s="270" t="n">
        <v>26000</v>
      </c>
      <c r="I32" s="271" t="n">
        <v>26000</v>
      </c>
      <c r="J32" s="271" t="n"/>
      <c r="K32" s="272" t="n"/>
      <c r="L32" s="272">
        <f>IF(K32&lt;&gt;"",11000+K32,11000)</f>
        <v/>
      </c>
      <c r="M32" s="156" t="n"/>
      <c r="N32" s="156" t="n"/>
      <c r="O32" s="156" t="n"/>
    </row>
    <row r="33" ht="18.75" customHeight="1" s="153">
      <c r="A33" s="273" t="n"/>
      <c r="B33" s="274" t="inlineStr">
        <is>
          <t>FLORENCIO FERNANDEZ 6196</t>
        </is>
      </c>
      <c r="C33" s="275" t="n">
        <v>10</v>
      </c>
      <c r="D33" s="275" t="n"/>
      <c r="E33" s="275" t="n"/>
      <c r="F33" s="276" t="n"/>
      <c r="G33" s="276" t="n"/>
      <c r="H33" s="277" t="n">
        <v>185000</v>
      </c>
      <c r="I33" s="278" t="n"/>
      <c r="J33" s="278" t="n">
        <v>185000</v>
      </c>
      <c r="K33" s="272" t="n"/>
      <c r="L33" s="272">
        <f>IF(K33&lt;&gt;"",35000+K33,35000)</f>
        <v/>
      </c>
      <c r="M33" s="156" t="n"/>
      <c r="N33" s="156" t="n"/>
      <c r="O33" s="156" t="n"/>
    </row>
    <row r="34" ht="18.75" customHeight="1" s="153">
      <c r="A34" s="279" t="n"/>
      <c r="B34" s="267" t="inlineStr">
        <is>
          <t>FLORES 1 CANCHITA</t>
        </is>
      </c>
      <c r="C34" s="268" t="n">
        <v>1</v>
      </c>
      <c r="D34" s="268" t="n"/>
      <c r="E34" s="268" t="n"/>
      <c r="F34" s="269" t="n"/>
      <c r="G34" s="269" t="n"/>
      <c r="H34" s="270" t="n">
        <v>26000</v>
      </c>
      <c r="I34" s="271" t="n">
        <v>26000</v>
      </c>
      <c r="J34" s="271" t="n"/>
      <c r="K34" s="272" t="n"/>
      <c r="L34" s="272">
        <f>IF(K34&lt;&gt;"",11000+K34,11000)</f>
        <v/>
      </c>
      <c r="M34" s="156" t="n"/>
      <c r="N34" s="156" t="n"/>
      <c r="O34" s="156" t="n"/>
    </row>
    <row r="35" ht="18.75" customHeight="1" s="153">
      <c r="A35" s="273" t="n"/>
      <c r="B35" s="274" t="inlineStr">
        <is>
          <t>GORRITI 4661</t>
        </is>
      </c>
      <c r="C35" s="275" t="n">
        <v>1</v>
      </c>
      <c r="D35" s="275" t="n"/>
      <c r="E35" s="275" t="n"/>
      <c r="F35" s="276" t="n"/>
      <c r="G35" s="276" t="n"/>
      <c r="H35" s="277" t="n">
        <v>26000</v>
      </c>
      <c r="I35" s="278" t="n"/>
      <c r="J35" s="278" t="n">
        <v>26000</v>
      </c>
      <c r="K35" s="272" t="n"/>
      <c r="L35" s="272">
        <f>IF(K35&lt;&gt;"",11000+K35,11000)</f>
        <v/>
      </c>
      <c r="M35" s="156" t="n"/>
      <c r="N35" s="156" t="n"/>
      <c r="O35" s="156" t="n"/>
    </row>
    <row r="36" ht="18.75" customHeight="1" s="153">
      <c r="A36" s="279" t="n"/>
      <c r="B36" s="267" t="inlineStr">
        <is>
          <t>AZOPARDO Y FLORENCIO SANCHEZ</t>
        </is>
      </c>
      <c r="C36" s="268" t="n"/>
      <c r="D36" s="268" t="n">
        <v>1</v>
      </c>
      <c r="E36" s="268" t="n"/>
      <c r="F36" s="269" t="n"/>
      <c r="G36" s="269" t="n"/>
      <c r="H36" s="270" t="n">
        <v>35500</v>
      </c>
      <c r="I36" s="271" t="n"/>
      <c r="J36" s="271" t="n">
        <v>35500</v>
      </c>
      <c r="K36" s="272" t="n"/>
      <c r="L36" s="272">
        <f>IF(K36&lt;&gt;"",13000+K36,13000)</f>
        <v/>
      </c>
      <c r="M36" s="156" t="n"/>
      <c r="N36" s="156" t="n"/>
      <c r="O36" s="156" t="n"/>
    </row>
    <row r="37" ht="18.75" customHeight="1" s="153">
      <c r="A37" s="273" t="n"/>
      <c r="B37" s="274" t="inlineStr">
        <is>
          <t>CALLE 14 3363</t>
        </is>
      </c>
      <c r="C37" s="275" t="n"/>
      <c r="D37" s="275" t="n"/>
      <c r="E37" s="275" t="n">
        <v>1</v>
      </c>
      <c r="F37" s="276" t="n"/>
      <c r="G37" s="276" t="n"/>
      <c r="H37" s="277" t="n">
        <v>91000</v>
      </c>
      <c r="I37" s="278" t="n"/>
      <c r="J37" s="278" t="n">
        <v>91000</v>
      </c>
      <c r="K37" s="272" t="n"/>
      <c r="L37" s="272">
        <f>IF(K37&lt;&gt;"",31000+K37,31000)</f>
        <v/>
      </c>
      <c r="M37" s="156" t="n"/>
      <c r="N37" s="156" t="n"/>
      <c r="O37" s="156" t="n"/>
    </row>
    <row r="38" ht="18.75" customHeight="1" s="153">
      <c r="A38" s="279" t="n"/>
      <c r="B38" s="267" t="inlineStr">
        <is>
          <t>REMEDIO DE ESCALADA</t>
        </is>
      </c>
      <c r="C38" s="268" t="n"/>
      <c r="D38" s="268" t="n"/>
      <c r="E38" s="268" t="n">
        <v>2</v>
      </c>
      <c r="F38" s="269" t="n"/>
      <c r="G38" s="269" t="n"/>
      <c r="H38" s="270" t="n">
        <v>180000</v>
      </c>
      <c r="I38" s="271" t="n">
        <v>180000</v>
      </c>
      <c r="J38" s="271" t="n"/>
      <c r="K38" s="272" t="n"/>
      <c r="L38" s="272">
        <f>IF(K38&lt;&gt;"",60000+K38,60000)</f>
        <v/>
      </c>
      <c r="M38" s="156" t="n"/>
      <c r="N38" s="156" t="n"/>
      <c r="O38" s="156" t="n"/>
    </row>
    <row r="39" ht="18.75" customHeight="1" s="153">
      <c r="A39" s="273" t="n"/>
      <c r="B39" s="274" t="inlineStr">
        <is>
          <t>LUCHO</t>
        </is>
      </c>
      <c r="C39" s="275" t="n">
        <v>1</v>
      </c>
      <c r="D39" s="275" t="n">
        <v>1</v>
      </c>
      <c r="E39" s="275" t="n"/>
      <c r="F39" s="276" t="n"/>
      <c r="G39" s="276" t="n"/>
      <c r="H39" s="277" t="n">
        <v>47500</v>
      </c>
      <c r="I39" s="278" t="n"/>
      <c r="J39" s="278" t="n">
        <v>47500</v>
      </c>
      <c r="K39" s="272" t="n"/>
      <c r="L39" s="272">
        <f>IF(K39&lt;&gt;"",10000+K39,10000)</f>
        <v/>
      </c>
      <c r="M39" s="156" t="n"/>
      <c r="N39" s="156" t="n"/>
      <c r="O39" s="156" t="n"/>
    </row>
    <row r="40" ht="18.75" customHeight="1" s="153">
      <c r="A40" s="279" t="n"/>
      <c r="B40" s="267" t="inlineStr">
        <is>
          <t>SAN JUAN 1963</t>
        </is>
      </c>
      <c r="C40" s="268" t="n"/>
      <c r="D40" s="268" t="n"/>
      <c r="E40" s="268" t="n">
        <v>1</v>
      </c>
      <c r="F40" s="269" t="n"/>
      <c r="G40" s="269" t="n"/>
      <c r="H40" s="270" t="n">
        <v>91000</v>
      </c>
      <c r="I40" s="271" t="n"/>
      <c r="J40" s="271" t="n">
        <v>91000</v>
      </c>
      <c r="K40" s="272" t="n"/>
      <c r="L40" s="272">
        <f>IF(K40&lt;&gt;"",31000+K40,31000)</f>
        <v/>
      </c>
      <c r="M40" s="156" t="n"/>
      <c r="N40" s="156" t="n"/>
      <c r="O40" s="156" t="n"/>
    </row>
    <row r="41" ht="18.75" customHeight="1" s="153">
      <c r="A41" s="273" t="n"/>
      <c r="B41" s="274" t="inlineStr">
        <is>
          <t>URQUIZA 9309</t>
        </is>
      </c>
      <c r="C41" s="275" t="n">
        <v>3</v>
      </c>
      <c r="D41" s="275" t="n">
        <v>1</v>
      </c>
      <c r="E41" s="275" t="n"/>
      <c r="F41" s="276" t="n"/>
      <c r="G41" s="276" t="n"/>
      <c r="H41" s="277" t="n">
        <v>88000</v>
      </c>
      <c r="I41" s="278" t="n"/>
      <c r="J41" s="278" t="n">
        <v>88000</v>
      </c>
      <c r="K41" s="272" t="n"/>
      <c r="L41" s="272">
        <f>IF(K41&lt;&gt;"",20500+K41,20500)</f>
        <v/>
      </c>
      <c r="M41" s="156" t="n"/>
      <c r="N41" s="156" t="n"/>
      <c r="O41" s="156" t="n"/>
    </row>
    <row r="42" ht="18.75" customHeight="1" s="153">
      <c r="A42" s="279" t="n"/>
      <c r="B42" s="267" t="inlineStr">
        <is>
          <t>MISIONES 4693</t>
        </is>
      </c>
      <c r="C42" s="268" t="n"/>
      <c r="D42" s="268" t="n"/>
      <c r="E42" s="268" t="n">
        <v>1</v>
      </c>
      <c r="F42" s="269" t="n"/>
      <c r="G42" s="269" t="n"/>
      <c r="H42" s="270" t="n">
        <v>91000</v>
      </c>
      <c r="I42" s="271" t="n"/>
      <c r="J42" s="271" t="n">
        <v>91000</v>
      </c>
      <c r="K42" s="272" t="n"/>
      <c r="L42" s="272">
        <f>IF(K42&lt;&gt;"",31000+K42,31000)</f>
        <v/>
      </c>
      <c r="M42" s="156" t="n"/>
      <c r="N42" s="156" t="n"/>
      <c r="O42" s="156" t="n"/>
    </row>
    <row r="43" ht="18.75" customHeight="1" s="153">
      <c r="A43" s="273" t="n"/>
      <c r="B43" s="274" t="inlineStr">
        <is>
          <t>FILOMENA</t>
        </is>
      </c>
      <c r="C43" s="275" t="n">
        <v>2</v>
      </c>
      <c r="D43" s="275" t="n"/>
      <c r="E43" s="275" t="n"/>
      <c r="F43" s="276" t="n"/>
      <c r="G43" s="276" t="n"/>
      <c r="H43" s="277" t="n">
        <v>46000</v>
      </c>
      <c r="I43" s="278" t="n"/>
      <c r="J43" s="278" t="n">
        <v>46000</v>
      </c>
      <c r="K43" s="272" t="n"/>
      <c r="L43" s="272">
        <f>IF(K43&lt;&gt;"",16000+K43,16000)</f>
        <v/>
      </c>
      <c r="M43" s="156" t="n"/>
      <c r="N43" s="156" t="n"/>
      <c r="O43" s="156" t="n"/>
    </row>
    <row r="44" ht="18.75" customHeight="1" s="153">
      <c r="A44" s="279" t="n"/>
      <c r="B44" s="267" t="inlineStr">
        <is>
          <t>PANA VIEYTES GISELA</t>
        </is>
      </c>
      <c r="C44" s="268" t="n">
        <v>2</v>
      </c>
      <c r="D44" s="268" t="n"/>
      <c r="E44" s="268" t="n"/>
      <c r="F44" s="269" t="n"/>
      <c r="G44" s="269" t="n"/>
      <c r="H44" s="270" t="n">
        <v>44000</v>
      </c>
      <c r="I44" s="271" t="n"/>
      <c r="J44" s="271" t="n">
        <v>44000</v>
      </c>
      <c r="K44" s="272" t="n"/>
      <c r="L44" s="272">
        <f>IF(K44&lt;&gt;"",14000+K44,14000)</f>
        <v/>
      </c>
      <c r="M44" s="156" t="n"/>
      <c r="N44" s="156" t="n"/>
      <c r="O44" s="156" t="n"/>
    </row>
    <row r="45" ht="18.75" customHeight="1" s="153">
      <c r="A45" s="273" t="n"/>
      <c r="B45" s="274" t="inlineStr">
        <is>
          <t>SABOREAR</t>
        </is>
      </c>
      <c r="C45" s="275" t="n">
        <v>1</v>
      </c>
      <c r="D45" s="275" t="n"/>
      <c r="E45" s="275" t="n"/>
      <c r="F45" s="276" t="n"/>
      <c r="G45" s="276" t="n"/>
      <c r="H45" s="277" t="n">
        <v>22500</v>
      </c>
      <c r="I45" s="278" t="n"/>
      <c r="J45" s="278" t="n">
        <v>22500</v>
      </c>
      <c r="K45" s="272" t="n"/>
      <c r="L45" s="272">
        <f>IF(K45&lt;&gt;"",7500+K45,7500)</f>
        <v/>
      </c>
      <c r="M45" s="156" t="n"/>
      <c r="N45" s="156" t="n"/>
      <c r="O45" s="156" t="n"/>
    </row>
    <row r="46" ht="18.75" customHeight="1" s="153">
      <c r="A46" s="279" t="n"/>
      <c r="B46" s="267" t="inlineStr">
        <is>
          <t>PAVON 4712</t>
        </is>
      </c>
      <c r="C46" s="268" t="n">
        <v>1</v>
      </c>
      <c r="D46" s="268" t="n"/>
      <c r="E46" s="268" t="n"/>
      <c r="F46" s="269" t="n"/>
      <c r="G46" s="269" t="n"/>
      <c r="H46" s="270" t="n">
        <v>26000</v>
      </c>
      <c r="I46" s="271" t="n"/>
      <c r="J46" s="271" t="n">
        <v>26000</v>
      </c>
      <c r="K46" s="272" t="n"/>
      <c r="L46" s="272">
        <f>IF(K46&lt;&gt;"",11000+K46,11000)</f>
        <v/>
      </c>
      <c r="M46" s="156" t="n"/>
      <c r="N46" s="156" t="n"/>
      <c r="O46" s="156" t="n"/>
    </row>
    <row r="47" ht="18.75" customHeight="1" s="153">
      <c r="A47" s="273" t="n"/>
      <c r="B47" s="274" t="inlineStr">
        <is>
          <t>LAVADERO</t>
        </is>
      </c>
      <c r="C47" s="275" t="n">
        <v>2</v>
      </c>
      <c r="D47" s="275" t="n"/>
      <c r="E47" s="275" t="n"/>
      <c r="F47" s="276" t="n"/>
      <c r="G47" s="276" t="n"/>
      <c r="H47" s="277" t="n">
        <v>38000</v>
      </c>
      <c r="I47" s="278" t="n">
        <v>38000</v>
      </c>
      <c r="J47" s="278" t="n"/>
      <c r="K47" s="272" t="n"/>
      <c r="L47" s="272">
        <f>IF(K47&lt;&gt;"",8000+K47,8000)</f>
        <v/>
      </c>
      <c r="M47" s="156" t="n"/>
      <c r="N47" s="156" t="n"/>
      <c r="O47" s="156" t="n"/>
    </row>
    <row r="48" ht="18.75" customHeight="1" s="153">
      <c r="A48" s="279" t="n">
        <v>46145</v>
      </c>
      <c r="B48" s="267" t="inlineStr">
        <is>
          <t>PEDRONI 6704</t>
        </is>
      </c>
      <c r="C48" s="268" t="n"/>
      <c r="D48" s="268" t="n"/>
      <c r="E48" s="268" t="n">
        <v>1</v>
      </c>
      <c r="F48" s="269" t="n"/>
      <c r="G48" s="269" t="n"/>
      <c r="H48" s="270" t="n">
        <v>90000</v>
      </c>
      <c r="I48" s="271" t="n">
        <v>90000</v>
      </c>
      <c r="J48" s="271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inlineStr">
        <is>
          <t>CÓRDOBA 2753</t>
        </is>
      </c>
      <c r="C49" s="268" t="n"/>
      <c r="D49" s="268" t="n"/>
      <c r="E49" s="268" t="n">
        <v>1</v>
      </c>
      <c r="F49" s="269" t="n"/>
      <c r="G49" s="269" t="n"/>
      <c r="H49" s="270" t="n">
        <v>91000</v>
      </c>
      <c r="I49" s="271" t="n">
        <v>91000</v>
      </c>
      <c r="J49" s="271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9" t="n"/>
      <c r="B50" s="267" t="inlineStr">
        <is>
          <t>AYACUCHO 5644</t>
        </is>
      </c>
      <c r="C50" s="268" t="n"/>
      <c r="D50" s="268" t="n"/>
      <c r="E50" s="268" t="n">
        <v>1</v>
      </c>
      <c r="F50" s="269" t="n"/>
      <c r="G50" s="269" t="n"/>
      <c r="H50" s="270" t="n">
        <v>91000</v>
      </c>
      <c r="I50" s="271" t="n"/>
      <c r="J50" s="271" t="n">
        <v>91000</v>
      </c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inlineStr">
        <is>
          <t>DOMINGO SILVA 4217</t>
        </is>
      </c>
      <c r="C51" s="268" t="n">
        <v>2</v>
      </c>
      <c r="D51" s="268" t="n"/>
      <c r="E51" s="268" t="n"/>
      <c r="F51" s="269" t="n"/>
      <c r="G51" s="269" t="n"/>
      <c r="H51" s="270" t="n">
        <v>38000</v>
      </c>
      <c r="I51" s="271" t="n">
        <v>38000</v>
      </c>
      <c r="J51" s="271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9" t="n"/>
      <c r="B52" s="267" t="inlineStr">
        <is>
          <t>JOSÉ 6529</t>
        </is>
      </c>
      <c r="C52" s="268" t="n"/>
      <c r="D52" s="268" t="n"/>
      <c r="E52" s="268" t="n">
        <v>1</v>
      </c>
      <c r="F52" s="269" t="n"/>
      <c r="G52" s="269" t="n"/>
      <c r="H52" s="270" t="n">
        <v>95000</v>
      </c>
      <c r="I52" s="271" t="n"/>
      <c r="J52" s="271" t="n">
        <v>95000</v>
      </c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inlineStr">
        <is>
          <t>PORKIS</t>
        </is>
      </c>
      <c r="C53" s="268" t="n">
        <v>1</v>
      </c>
      <c r="D53" s="268" t="n"/>
      <c r="E53" s="268" t="n"/>
      <c r="F53" s="269" t="n"/>
      <c r="G53" s="269" t="n"/>
      <c r="H53" s="270" t="n">
        <v>23000</v>
      </c>
      <c r="I53" s="271" t="n"/>
      <c r="J53" s="271" t="n">
        <v>23000</v>
      </c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9" t="n"/>
      <c r="B54" s="267" t="inlineStr">
        <is>
          <t>LUCHO</t>
        </is>
      </c>
      <c r="C54" s="268" t="n">
        <v>1</v>
      </c>
      <c r="D54" s="268" t="n">
        <v>1</v>
      </c>
      <c r="E54" s="268" t="n"/>
      <c r="F54" s="269" t="n"/>
      <c r="G54" s="269" t="n"/>
      <c r="H54" s="270" t="n">
        <v>47500</v>
      </c>
      <c r="I54" s="271" t="n"/>
      <c r="J54" s="271" t="n">
        <v>47500</v>
      </c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inlineStr">
        <is>
          <t>SERVANDO 6858</t>
        </is>
      </c>
      <c r="C55" s="268" t="n"/>
      <c r="D55" s="268" t="n"/>
      <c r="E55" s="268" t="n">
        <v>1</v>
      </c>
      <c r="F55" s="269" t="n"/>
      <c r="G55" s="269" t="n"/>
      <c r="H55" s="270" t="n">
        <v>91000</v>
      </c>
      <c r="I55" s="271" t="n">
        <v>91000</v>
      </c>
      <c r="J55" s="271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9" t="n"/>
      <c r="B56" s="267" t="inlineStr">
        <is>
          <t>QUINTANA 1868</t>
        </is>
      </c>
      <c r="C56" s="268" t="n">
        <v>1</v>
      </c>
      <c r="D56" s="268" t="n"/>
      <c r="E56" s="268" t="n"/>
      <c r="F56" s="269" t="n"/>
      <c r="G56" s="269" t="n"/>
      <c r="H56" s="270" t="n">
        <v>27000</v>
      </c>
      <c r="I56" s="271" t="n">
        <v>27000</v>
      </c>
      <c r="J56" s="271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inlineStr">
        <is>
          <t>SANTA CRUZ 3051</t>
        </is>
      </c>
      <c r="C57" s="268" t="n"/>
      <c r="D57" s="268" t="n"/>
      <c r="E57" s="268" t="n">
        <v>1</v>
      </c>
      <c r="F57" s="269" t="n"/>
      <c r="G57" s="269" t="n"/>
      <c r="H57" s="270" t="n">
        <v>78000</v>
      </c>
      <c r="I57" s="271" t="n">
        <v>78000</v>
      </c>
      <c r="J57" s="271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9" t="n"/>
      <c r="B58" s="267" t="inlineStr">
        <is>
          <t>GABOTO 8168</t>
        </is>
      </c>
      <c r="C58" s="268" t="n"/>
      <c r="D58" s="268" t="n"/>
      <c r="E58" s="268" t="n">
        <v>1</v>
      </c>
      <c r="F58" s="269" t="n"/>
      <c r="G58" s="269" t="n"/>
      <c r="H58" s="270" t="n">
        <v>91000</v>
      </c>
      <c r="I58" s="271" t="n">
        <v>91000</v>
      </c>
      <c r="J58" s="271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inlineStr">
        <is>
          <t>DUCHO</t>
        </is>
      </c>
      <c r="C59" s="268" t="n">
        <v>1</v>
      </c>
      <c r="D59" s="268" t="n"/>
      <c r="E59" s="268" t="n"/>
      <c r="F59" s="269" t="n"/>
      <c r="G59" s="269" t="n"/>
      <c r="H59" s="270" t="n">
        <v>19000</v>
      </c>
      <c r="I59" s="271" t="n"/>
      <c r="J59" s="271" t="n">
        <v>19000</v>
      </c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9" t="n"/>
      <c r="B60" s="267" t="inlineStr">
        <is>
          <t>50 Y 23</t>
        </is>
      </c>
      <c r="C60" s="268" t="n">
        <v>3</v>
      </c>
      <c r="D60" s="268" t="n"/>
      <c r="E60" s="268" t="n"/>
      <c r="F60" s="269" t="n"/>
      <c r="G60" s="269" t="n"/>
      <c r="H60" s="270" t="n">
        <v>57000</v>
      </c>
      <c r="I60" s="271" t="n">
        <v>57000</v>
      </c>
      <c r="J60" s="271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inlineStr">
        <is>
          <t>9 DE JULIO 1356</t>
        </is>
      </c>
      <c r="C61" s="268" t="n">
        <v>1</v>
      </c>
      <c r="D61" s="268" t="n"/>
      <c r="E61" s="268" t="n"/>
      <c r="F61" s="269" t="n"/>
      <c r="G61" s="269" t="n"/>
      <c r="H61" s="270" t="n">
        <v>27000</v>
      </c>
      <c r="I61" s="271" t="n">
        <v>27000</v>
      </c>
      <c r="J61" s="271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9" t="n"/>
      <c r="B62" s="267" t="inlineStr">
        <is>
          <t>AVELLANEDA 4448</t>
        </is>
      </c>
      <c r="C62" s="268" t="n"/>
      <c r="D62" s="268" t="n"/>
      <c r="E62" s="268" t="n">
        <v>1</v>
      </c>
      <c r="F62" s="269" t="n"/>
      <c r="G62" s="269" t="n"/>
      <c r="H62" s="270" t="n">
        <v>87000</v>
      </c>
      <c r="I62" s="271" t="n"/>
      <c r="J62" s="271" t="n">
        <v>87000</v>
      </c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inlineStr">
        <is>
          <t>AZOPARDO 6965</t>
        </is>
      </c>
      <c r="C63" s="268" t="n"/>
      <c r="D63" s="268" t="n"/>
      <c r="E63" s="268" t="n">
        <v>1</v>
      </c>
      <c r="F63" s="269" t="n"/>
      <c r="G63" s="269" t="n"/>
      <c r="H63" s="270" t="n">
        <v>91000</v>
      </c>
      <c r="I63" s="271" t="n"/>
      <c r="J63" s="271" t="n">
        <v>91000</v>
      </c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9" t="n"/>
      <c r="B64" s="267" t="inlineStr">
        <is>
          <t>EXE</t>
        </is>
      </c>
      <c r="C64" s="268" t="n"/>
      <c r="D64" s="268" t="n"/>
      <c r="E64" s="268" t="n">
        <v>1</v>
      </c>
      <c r="F64" s="269" t="n"/>
      <c r="G64" s="269" t="n"/>
      <c r="H64" s="270" t="n">
        <v>82000</v>
      </c>
      <c r="I64" s="271" t="n"/>
      <c r="J64" s="271" t="n">
        <v>82000</v>
      </c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inlineStr">
        <is>
          <t>CAREN</t>
        </is>
      </c>
      <c r="C65" s="268" t="n"/>
      <c r="D65" s="268" t="n"/>
      <c r="E65" s="268" t="n">
        <v>1</v>
      </c>
      <c r="F65" s="269" t="n"/>
      <c r="G65" s="269" t="n"/>
      <c r="H65" s="270" t="n">
        <v>82000</v>
      </c>
      <c r="I65" s="271" t="n"/>
      <c r="J65" s="271" t="n">
        <v>82000</v>
      </c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9" t="n"/>
      <c r="B66" s="267" t="inlineStr">
        <is>
          <t>DANA</t>
        </is>
      </c>
      <c r="C66" s="268" t="n">
        <v>4</v>
      </c>
      <c r="D66" s="268" t="n"/>
      <c r="E66" s="268" t="n"/>
      <c r="F66" s="269" t="n"/>
      <c r="G66" s="269" t="n"/>
      <c r="H66" s="270" t="n">
        <v>76000</v>
      </c>
      <c r="I66" s="271" t="n"/>
      <c r="J66" s="271" t="n">
        <v>76000</v>
      </c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>
        <v>46146</v>
      </c>
      <c r="B67" s="267" t="inlineStr">
        <is>
          <t>JORGE VIANDAS</t>
        </is>
      </c>
      <c r="C67" s="268" t="n">
        <v>1</v>
      </c>
      <c r="D67" s="268" t="n"/>
      <c r="E67" s="268" t="n"/>
      <c r="F67" s="269" t="n"/>
      <c r="G67" s="269" t="n"/>
      <c r="H67" s="270" t="n">
        <v>22000</v>
      </c>
      <c r="I67" s="271" t="n"/>
      <c r="J67" s="271" t="n">
        <v>22000</v>
      </c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9" t="n"/>
      <c r="B68" s="267" t="inlineStr">
        <is>
          <t>OTNIEL</t>
        </is>
      </c>
      <c r="C68" s="268" t="n"/>
      <c r="D68" s="268" t="n"/>
      <c r="E68" s="268" t="n"/>
      <c r="F68" s="269" t="n">
        <v>20</v>
      </c>
      <c r="G68" s="269" t="n"/>
      <c r="H68" s="270" t="n">
        <v>69000</v>
      </c>
      <c r="I68" s="271" t="n">
        <v>69000</v>
      </c>
      <c r="J68" s="271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inlineStr">
        <is>
          <t>FLORES 1 MOLINA</t>
        </is>
      </c>
      <c r="C69" s="268" t="n"/>
      <c r="D69" s="268" t="n"/>
      <c r="E69" s="268" t="n">
        <v>1</v>
      </c>
      <c r="F69" s="269" t="n"/>
      <c r="G69" s="269" t="n"/>
      <c r="H69" s="270" t="n">
        <v>91000</v>
      </c>
      <c r="I69" s="271" t="n">
        <v>91000</v>
      </c>
      <c r="J69" s="271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9" t="n"/>
      <c r="B70" s="267" t="inlineStr">
        <is>
          <t>BAGUETTE</t>
        </is>
      </c>
      <c r="C70" s="268" t="n"/>
      <c r="D70" s="268" t="n"/>
      <c r="E70" s="268" t="n">
        <v>1</v>
      </c>
      <c r="F70" s="269" t="n"/>
      <c r="G70" s="269" t="n"/>
      <c r="H70" s="270" t="n">
        <v>75000</v>
      </c>
      <c r="I70" s="271" t="n"/>
      <c r="J70" s="271" t="n">
        <v>75000</v>
      </c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inlineStr">
        <is>
          <t>JM ZUVIRIA 3439</t>
        </is>
      </c>
      <c r="C71" s="268" t="n">
        <v>1</v>
      </c>
      <c r="D71" s="268" t="n"/>
      <c r="E71" s="268" t="n"/>
      <c r="F71" s="269" t="n"/>
      <c r="G71" s="269" t="n"/>
      <c r="H71" s="270" t="n">
        <v>26000</v>
      </c>
      <c r="I71" s="271" t="n">
        <v>26000</v>
      </c>
      <c r="J71" s="271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9" t="n"/>
      <c r="B72" s="267" t="inlineStr">
        <is>
          <t>PEDRONI 6521</t>
        </is>
      </c>
      <c r="C72" s="268" t="n">
        <v>2</v>
      </c>
      <c r="D72" s="268" t="n"/>
      <c r="E72" s="268" t="n"/>
      <c r="F72" s="269" t="n"/>
      <c r="G72" s="269" t="n"/>
      <c r="H72" s="270" t="n">
        <v>39000</v>
      </c>
      <c r="I72" s="271" t="n">
        <v>39000</v>
      </c>
      <c r="J72" s="271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inlineStr">
        <is>
          <t>GUANELLA 4543</t>
        </is>
      </c>
      <c r="C73" s="268" t="n">
        <v>1</v>
      </c>
      <c r="D73" s="268" t="n"/>
      <c r="E73" s="268" t="n"/>
      <c r="F73" s="269" t="n"/>
      <c r="G73" s="269" t="n"/>
      <c r="H73" s="270" t="n">
        <v>25000</v>
      </c>
      <c r="I73" s="271" t="n"/>
      <c r="J73" s="271" t="n">
        <v>25000</v>
      </c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9" t="n"/>
      <c r="B74" s="267" t="inlineStr">
        <is>
          <t>BERUTI 4075</t>
        </is>
      </c>
      <c r="C74" s="268" t="n"/>
      <c r="D74" s="268" t="n"/>
      <c r="E74" s="268" t="n">
        <v>2</v>
      </c>
      <c r="F74" s="269" t="n"/>
      <c r="G74" s="269" t="n"/>
      <c r="H74" s="270" t="n">
        <v>182000</v>
      </c>
      <c r="I74" s="271" t="n"/>
      <c r="J74" s="271" t="n">
        <v>182000</v>
      </c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inlineStr">
        <is>
          <t>ROTI VIEYTES</t>
        </is>
      </c>
      <c r="C75" s="268" t="n"/>
      <c r="D75" s="268" t="n">
        <v>2</v>
      </c>
      <c r="E75" s="268" t="n"/>
      <c r="F75" s="269" t="n"/>
      <c r="G75" s="269" t="n"/>
      <c r="H75" s="270" t="n">
        <v>61000</v>
      </c>
      <c r="I75" s="271" t="n"/>
      <c r="J75" s="271" t="n">
        <v>61000</v>
      </c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9" t="n"/>
      <c r="B76" s="267" t="inlineStr">
        <is>
          <t>DAVID LEIVA Y ALBERTO</t>
        </is>
      </c>
      <c r="C76" s="268" t="n">
        <v>1</v>
      </c>
      <c r="D76" s="268" t="n"/>
      <c r="E76" s="268" t="n"/>
      <c r="F76" s="269" t="n"/>
      <c r="G76" s="269" t="n"/>
      <c r="H76" s="270" t="n">
        <v>25000</v>
      </c>
      <c r="I76" s="271" t="n">
        <v>25000</v>
      </c>
      <c r="J76" s="271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inlineStr">
        <is>
          <t>SAN MARTÍN 6376</t>
        </is>
      </c>
      <c r="C77" s="268" t="n">
        <v>1</v>
      </c>
      <c r="D77" s="268" t="n"/>
      <c r="E77" s="268" t="n"/>
      <c r="F77" s="269" t="n"/>
      <c r="G77" s="269" t="n"/>
      <c r="H77" s="270" t="n">
        <v>26000</v>
      </c>
      <c r="I77" s="271" t="n"/>
      <c r="J77" s="271" t="n">
        <v>26000</v>
      </c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9" t="n"/>
      <c r="B78" s="267" t="inlineStr">
        <is>
          <t>DRUGSTORE LODENICO</t>
        </is>
      </c>
      <c r="C78" s="268" t="n">
        <v>3</v>
      </c>
      <c r="D78" s="268" t="n"/>
      <c r="E78" s="268" t="n"/>
      <c r="F78" s="269" t="n"/>
      <c r="G78" s="269" t="n"/>
      <c r="H78" s="270" t="n">
        <v>58500</v>
      </c>
      <c r="I78" s="271" t="n"/>
      <c r="J78" s="271" t="n">
        <v>58500</v>
      </c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inlineStr">
        <is>
          <t>NECOCHEA 7314</t>
        </is>
      </c>
      <c r="C79" s="268" t="n"/>
      <c r="D79" s="268" t="n"/>
      <c r="E79" s="268" t="n">
        <v>1</v>
      </c>
      <c r="F79" s="269" t="n"/>
      <c r="G79" s="269" t="n"/>
      <c r="H79" s="270" t="n">
        <v>91000</v>
      </c>
      <c r="I79" s="271" t="n"/>
      <c r="J79" s="271" t="n">
        <v>91000</v>
      </c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9" t="n"/>
      <c r="B80" s="267" t="inlineStr">
        <is>
          <t>EX COMBATIENTES 5500</t>
        </is>
      </c>
      <c r="C80" s="268" t="n">
        <v>1</v>
      </c>
      <c r="D80" s="268" t="n"/>
      <c r="E80" s="268" t="n"/>
      <c r="F80" s="269" t="n"/>
      <c r="G80" s="269" t="n"/>
      <c r="H80" s="270" t="n">
        <v>27000</v>
      </c>
      <c r="I80" s="271" t="n">
        <v>27000</v>
      </c>
      <c r="J80" s="271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inlineStr">
        <is>
          <t>FILOMENA</t>
        </is>
      </c>
      <c r="C81" s="268" t="n">
        <v>2</v>
      </c>
      <c r="D81" s="268" t="n"/>
      <c r="E81" s="268" t="n"/>
      <c r="F81" s="269" t="n"/>
      <c r="G81" s="269" t="n"/>
      <c r="H81" s="270" t="n">
        <v>46000</v>
      </c>
      <c r="I81" s="271" t="n"/>
      <c r="J81" s="271" t="n">
        <v>46000</v>
      </c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9" t="n"/>
      <c r="B82" s="267" t="inlineStr">
        <is>
          <t>EX COMBATIENTES 5400</t>
        </is>
      </c>
      <c r="C82" s="268" t="n">
        <v>1</v>
      </c>
      <c r="D82" s="268" t="n"/>
      <c r="E82" s="268" t="n"/>
      <c r="F82" s="269" t="n"/>
      <c r="G82" s="269" t="n"/>
      <c r="H82" s="270" t="n">
        <v>25000</v>
      </c>
      <c r="I82" s="271" t="n"/>
      <c r="J82" s="271" t="n">
        <v>25000</v>
      </c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inlineStr">
        <is>
          <t>ÁNGEL</t>
        </is>
      </c>
      <c r="C83" s="268" t="n"/>
      <c r="D83" s="268" t="n">
        <v>1</v>
      </c>
      <c r="E83" s="268" t="n"/>
      <c r="F83" s="269" t="n"/>
      <c r="G83" s="269" t="n"/>
      <c r="H83" s="270" t="n">
        <v>28500</v>
      </c>
      <c r="I83" s="271" t="n">
        <v>28500</v>
      </c>
      <c r="J83" s="271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9" t="n"/>
      <c r="B84" s="267" t="inlineStr">
        <is>
          <t>ALMONACID 4248</t>
        </is>
      </c>
      <c r="C84" s="268" t="n">
        <v>1</v>
      </c>
      <c r="D84" s="268" t="n"/>
      <c r="E84" s="268" t="n"/>
      <c r="F84" s="269" t="n"/>
      <c r="G84" s="269" t="n"/>
      <c r="H84" s="270" t="n">
        <v>26000</v>
      </c>
      <c r="I84" s="271" t="n"/>
      <c r="J84" s="271" t="n">
        <v>26000</v>
      </c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inlineStr">
        <is>
          <t>SANDRA</t>
        </is>
      </c>
      <c r="C85" s="268" t="n">
        <v>2</v>
      </c>
      <c r="D85" s="268" t="n"/>
      <c r="E85" s="268" t="n"/>
      <c r="F85" s="269" t="n"/>
      <c r="G85" s="269" t="n"/>
      <c r="H85" s="270" t="n">
        <v>38000</v>
      </c>
      <c r="I85" s="271" t="n">
        <v>38000</v>
      </c>
      <c r="J85" s="271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9" t="n"/>
      <c r="B86" s="267" t="inlineStr">
        <is>
          <t>JULIO ALBERTI</t>
        </is>
      </c>
      <c r="C86" s="268" t="n"/>
      <c r="D86" s="268" t="n"/>
      <c r="E86" s="268" t="n">
        <v>1</v>
      </c>
      <c r="F86" s="269" t="n"/>
      <c r="G86" s="269" t="n"/>
      <c r="H86" s="270" t="n">
        <v>95000</v>
      </c>
      <c r="I86" s="271" t="n">
        <v>95000</v>
      </c>
      <c r="J86" s="271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>
        <v>46147</v>
      </c>
      <c r="B87" s="267" t="inlineStr">
        <is>
          <t>LUCIANO TORRENT 2027</t>
        </is>
      </c>
      <c r="C87" s="268" t="n">
        <v>1</v>
      </c>
      <c r="D87" s="268" t="n"/>
      <c r="E87" s="268" t="n"/>
      <c r="F87" s="269" t="n"/>
      <c r="G87" s="269" t="n"/>
      <c r="H87" s="270" t="n">
        <v>27000</v>
      </c>
      <c r="I87" s="271" t="n">
        <v>27000</v>
      </c>
      <c r="J87" s="271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9" t="n"/>
      <c r="B88" s="267" t="inlineStr">
        <is>
          <t>AVENIDA FREIRE 3151</t>
        </is>
      </c>
      <c r="C88" s="268" t="n">
        <v>1</v>
      </c>
      <c r="D88" s="268" t="n"/>
      <c r="E88" s="268" t="n"/>
      <c r="F88" s="269" t="n"/>
      <c r="G88" s="269" t="n"/>
      <c r="H88" s="270" t="n">
        <v>27000</v>
      </c>
      <c r="I88" s="271" t="n">
        <v>27000</v>
      </c>
      <c r="J88" s="271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inlineStr">
        <is>
          <t>NAMUNCURA 4436</t>
        </is>
      </c>
      <c r="C89" s="268" t="n"/>
      <c r="D89" s="268" t="n"/>
      <c r="E89" s="268" t="n">
        <v>1</v>
      </c>
      <c r="F89" s="269" t="n"/>
      <c r="G89" s="269" t="n"/>
      <c r="H89" s="270" t="n">
        <v>89000</v>
      </c>
      <c r="I89" s="271" t="n"/>
      <c r="J89" s="271" t="n">
        <v>89000</v>
      </c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9" t="n">
        <v>46148</v>
      </c>
      <c r="B90" s="267" t="inlineStr">
        <is>
          <t>SUPERCERATO</t>
        </is>
      </c>
      <c r="C90" s="268" t="n">
        <v>1</v>
      </c>
      <c r="D90" s="268" t="n"/>
      <c r="E90" s="268" t="n"/>
      <c r="F90" s="269" t="n"/>
      <c r="G90" s="269" t="n"/>
      <c r="H90" s="270" t="n">
        <v>25000</v>
      </c>
      <c r="I90" s="271" t="n"/>
      <c r="J90" s="271" t="n">
        <v>25000</v>
      </c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inlineStr">
        <is>
          <t>ESPORA 4874</t>
        </is>
      </c>
      <c r="C91" s="268" t="n"/>
      <c r="D91" s="268" t="n">
        <v>1</v>
      </c>
      <c r="E91" s="268" t="n"/>
      <c r="F91" s="269" t="n"/>
      <c r="G91" s="269" t="n"/>
      <c r="H91" s="270" t="n">
        <v>43000</v>
      </c>
      <c r="I91" s="271" t="n"/>
      <c r="J91" s="271" t="n">
        <v>43000</v>
      </c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9" t="n"/>
      <c r="B92" s="267" t="inlineStr">
        <is>
          <t>CHICLANA 7325</t>
        </is>
      </c>
      <c r="C92" s="268" t="n">
        <v>1</v>
      </c>
      <c r="D92" s="268" t="n"/>
      <c r="E92" s="268" t="n"/>
      <c r="F92" s="269" t="n"/>
      <c r="G92" s="269" t="n"/>
      <c r="H92" s="270" t="n">
        <v>19000</v>
      </c>
      <c r="I92" s="271" t="n"/>
      <c r="J92" s="271" t="n">
        <v>19000</v>
      </c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inlineStr">
        <is>
          <t>BAIGORRIA 9351</t>
        </is>
      </c>
      <c r="C93" s="268" t="n"/>
      <c r="D93" s="268" t="n"/>
      <c r="E93" s="268" t="n">
        <v>1</v>
      </c>
      <c r="F93" s="269" t="n"/>
      <c r="G93" s="269" t="n"/>
      <c r="H93" s="270" t="n">
        <v>95000</v>
      </c>
      <c r="I93" s="271" t="n">
        <v>95000</v>
      </c>
      <c r="J93" s="271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9" t="n"/>
      <c r="B94" s="267" t="inlineStr">
        <is>
          <t>ZAVALLA 6577</t>
        </is>
      </c>
      <c r="C94" s="268" t="n">
        <v>1</v>
      </c>
      <c r="D94" s="268" t="n"/>
      <c r="E94" s="268" t="n"/>
      <c r="F94" s="269" t="n"/>
      <c r="G94" s="269" t="n"/>
      <c r="H94" s="270" t="n">
        <v>26000</v>
      </c>
      <c r="I94" s="271" t="n">
        <v>26000</v>
      </c>
      <c r="J94" s="271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inlineStr">
        <is>
          <t>ROTI ARISTÓBULO</t>
        </is>
      </c>
      <c r="C95" s="268" t="n"/>
      <c r="D95" s="268" t="n">
        <v>1</v>
      </c>
      <c r="E95" s="268" t="n"/>
      <c r="F95" s="269" t="n"/>
      <c r="G95" s="269" t="n"/>
      <c r="H95" s="270" t="n">
        <v>33500</v>
      </c>
      <c r="I95" s="271" t="n"/>
      <c r="J95" s="271" t="n">
        <v>33500</v>
      </c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9" t="n"/>
      <c r="B96" s="267" t="inlineStr">
        <is>
          <t>GENERAL PAZ 7826</t>
        </is>
      </c>
      <c r="C96" s="268" t="n">
        <v>2</v>
      </c>
      <c r="D96" s="268" t="n"/>
      <c r="E96" s="268" t="n"/>
      <c r="F96" s="269" t="n"/>
      <c r="G96" s="269" t="n"/>
      <c r="H96" s="270" t="n">
        <v>52000</v>
      </c>
      <c r="I96" s="271" t="n">
        <v>52000</v>
      </c>
      <c r="J96" s="271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inlineStr">
        <is>
          <t>LEMANN 7856</t>
        </is>
      </c>
      <c r="C97" s="268" t="n">
        <v>1</v>
      </c>
      <c r="D97" s="268" t="n"/>
      <c r="E97" s="268" t="n"/>
      <c r="F97" s="269" t="n"/>
      <c r="G97" s="269" t="n"/>
      <c r="H97" s="270" t="n">
        <v>26000</v>
      </c>
      <c r="I97" s="271" t="n"/>
      <c r="J97" s="271" t="n">
        <v>26000</v>
      </c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9" t="n"/>
      <c r="B98" s="267" t="inlineStr">
        <is>
          <t>CASTAÑADUI 6601</t>
        </is>
      </c>
      <c r="C98" s="268" t="n">
        <v>1</v>
      </c>
      <c r="D98" s="268" t="n"/>
      <c r="E98" s="268" t="n"/>
      <c r="F98" s="269" t="n"/>
      <c r="G98" s="269" t="n"/>
      <c r="H98" s="270" t="n">
        <v>26000</v>
      </c>
      <c r="I98" s="271" t="n">
        <v>26000</v>
      </c>
      <c r="J98" s="271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inlineStr">
        <is>
          <t>LAS HERAS 6714</t>
        </is>
      </c>
      <c r="C99" s="268" t="n">
        <v>1</v>
      </c>
      <c r="D99" s="268" t="n"/>
      <c r="E99" s="268" t="n"/>
      <c r="F99" s="269" t="n"/>
      <c r="G99" s="269" t="n"/>
      <c r="H99" s="270" t="n">
        <v>25000</v>
      </c>
      <c r="I99" s="271" t="n"/>
      <c r="J99" s="271" t="n">
        <v>25000</v>
      </c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9" t="n"/>
      <c r="B100" s="267" t="inlineStr">
        <is>
          <t>PANA VIEYTES 4500</t>
        </is>
      </c>
      <c r="C100" s="268" t="n"/>
      <c r="D100" s="268" t="n"/>
      <c r="E100" s="268" t="n">
        <v>1</v>
      </c>
      <c r="F100" s="269" t="n"/>
      <c r="G100" s="269" t="n"/>
      <c r="H100" s="270" t="n">
        <v>78000</v>
      </c>
      <c r="I100" s="271" t="n">
        <v>78000</v>
      </c>
      <c r="J100" s="271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ASCUÉNAGA 5023</t>
        </is>
      </c>
      <c r="C101" s="268" t="n">
        <v>3</v>
      </c>
      <c r="D101" s="268" t="n">
        <v>1</v>
      </c>
      <c r="E101" s="268" t="n"/>
      <c r="F101" s="269" t="n"/>
      <c r="G101" s="269" t="n"/>
      <c r="H101" s="270" t="n">
        <v>85500</v>
      </c>
      <c r="I101" s="271" t="n"/>
      <c r="J101" s="271" t="n">
        <v>85500</v>
      </c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LUCHO</t>
        </is>
      </c>
      <c r="C102" s="268" t="n">
        <v>1</v>
      </c>
      <c r="D102" s="268" t="n">
        <v>1</v>
      </c>
      <c r="E102" s="268" t="n"/>
      <c r="F102" s="269" t="n"/>
      <c r="G102" s="269" t="n"/>
      <c r="H102" s="270" t="n">
        <v>47500</v>
      </c>
      <c r="I102" s="271" t="n"/>
      <c r="J102" s="271" t="n">
        <v>47500</v>
      </c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SAN MARTÍN 1925</t>
        </is>
      </c>
      <c r="C103" s="268" t="n">
        <v>1</v>
      </c>
      <c r="D103" s="268" t="n"/>
      <c r="E103" s="268" t="n"/>
      <c r="F103" s="269" t="n"/>
      <c r="G103" s="269" t="n"/>
      <c r="H103" s="270" t="n">
        <v>26000</v>
      </c>
      <c r="I103" s="271" t="n">
        <v>26000</v>
      </c>
      <c r="J103" s="271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PANADERÍA CAFERATA 8877</t>
        </is>
      </c>
      <c r="C104" s="268" t="n"/>
      <c r="D104" s="268" t="n"/>
      <c r="E104" s="268" t="n">
        <v>1</v>
      </c>
      <c r="F104" s="269" t="n"/>
      <c r="G104" s="269" t="n"/>
      <c r="H104" s="270" t="n">
        <v>78000</v>
      </c>
      <c r="I104" s="271" t="n">
        <v>78000</v>
      </c>
      <c r="J104" s="271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IGLESIA FRATERNIDAD</t>
        </is>
      </c>
      <c r="C105" s="268" t="n">
        <v>1</v>
      </c>
      <c r="D105" s="268" t="n"/>
      <c r="E105" s="268" t="n"/>
      <c r="F105" s="269" t="n"/>
      <c r="G105" s="269" t="n"/>
      <c r="H105" s="270" t="n">
        <v>25000</v>
      </c>
      <c r="I105" s="271" t="n"/>
      <c r="J105" s="271" t="n">
        <v>25000</v>
      </c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BERUTI 2430</t>
        </is>
      </c>
      <c r="C106" s="268" t="n"/>
      <c r="D106" s="268" t="n"/>
      <c r="E106" s="268" t="n">
        <v>1</v>
      </c>
      <c r="F106" s="269" t="n"/>
      <c r="G106" s="269" t="n"/>
      <c r="H106" s="270" t="n">
        <v>91000</v>
      </c>
      <c r="I106" s="271" t="n">
        <v>91000</v>
      </c>
      <c r="J106" s="271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MISIONES 5280</t>
        </is>
      </c>
      <c r="C107" s="268" t="n"/>
      <c r="D107" s="268" t="n"/>
      <c r="E107" s="268" t="n">
        <v>1</v>
      </c>
      <c r="F107" s="269" t="n"/>
      <c r="G107" s="269" t="n"/>
      <c r="H107" s="270" t="n">
        <v>95000</v>
      </c>
      <c r="I107" s="271" t="n">
        <v>95000</v>
      </c>
      <c r="J107" s="271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JUAN DE GARAY 3810</t>
        </is>
      </c>
      <c r="C108" s="268" t="n">
        <v>1</v>
      </c>
      <c r="D108" s="268" t="n">
        <v>1</v>
      </c>
      <c r="E108" s="268" t="n"/>
      <c r="F108" s="269" t="n"/>
      <c r="G108" s="269" t="n"/>
      <c r="H108" s="270" t="n">
        <v>63500</v>
      </c>
      <c r="I108" s="271" t="n"/>
      <c r="J108" s="271" t="n">
        <v>63500</v>
      </c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AGUADO 6766</t>
        </is>
      </c>
      <c r="C109" s="268" t="n"/>
      <c r="D109" s="268" t="n"/>
      <c r="E109" s="268" t="n">
        <v>1</v>
      </c>
      <c r="F109" s="269" t="n"/>
      <c r="G109" s="269" t="n"/>
      <c r="H109" s="270" t="n">
        <v>89000</v>
      </c>
      <c r="I109" s="271" t="n"/>
      <c r="J109" s="271" t="n">
        <v>89000</v>
      </c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SABOREAR</t>
        </is>
      </c>
      <c r="C110" s="268" t="n"/>
      <c r="D110" s="268" t="n"/>
      <c r="E110" s="268" t="n">
        <v>1</v>
      </c>
      <c r="F110" s="269" t="n"/>
      <c r="G110" s="269" t="n"/>
      <c r="H110" s="270" t="n">
        <v>81000</v>
      </c>
      <c r="I110" s="271" t="n"/>
      <c r="J110" s="271" t="n">
        <v>81000</v>
      </c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>
        <v>46149</v>
      </c>
      <c r="B111" s="267" t="inlineStr">
        <is>
          <t>OTNIEL</t>
        </is>
      </c>
      <c r="C111" s="268" t="n"/>
      <c r="D111" s="268" t="n"/>
      <c r="E111" s="268" t="n"/>
      <c r="F111" s="269" t="n"/>
      <c r="G111" s="269" t="n">
        <v>2</v>
      </c>
      <c r="H111" s="270" t="n">
        <v>12000</v>
      </c>
      <c r="I111" s="271" t="n">
        <v>12000</v>
      </c>
      <c r="J111" s="271" t="n"/>
      <c r="K111" s="272" t="n"/>
      <c r="L111" s="272" t="n">
        <v>10300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AYACUCHO 5370</t>
        </is>
      </c>
      <c r="C112" s="268" t="n"/>
      <c r="D112" s="268" t="n"/>
      <c r="E112" s="268" t="n"/>
      <c r="F112" s="269" t="n"/>
      <c r="G112" s="269" t="n">
        <v>2</v>
      </c>
      <c r="H112" s="270" t="n">
        <v>12000</v>
      </c>
      <c r="I112" s="271" t="n"/>
      <c r="J112" s="271" t="n">
        <v>12000</v>
      </c>
      <c r="K112" s="272" t="n"/>
      <c r="L112" s="272" t="n">
        <v>10300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BONEO 4821</t>
        </is>
      </c>
      <c r="C113" s="268" t="n"/>
      <c r="D113" s="268" t="n"/>
      <c r="E113" s="268" t="n"/>
      <c r="F113" s="269" t="n"/>
      <c r="G113" s="269" t="n">
        <v>2</v>
      </c>
      <c r="H113" s="270" t="n">
        <v>12000</v>
      </c>
      <c r="I113" s="271" t="n">
        <v>12000</v>
      </c>
      <c r="J113" s="271" t="n"/>
      <c r="K113" s="272" t="n"/>
      <c r="L113" s="272" t="n">
        <v>10300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LARGUIA 6924</t>
        </is>
      </c>
      <c r="C114" s="268" t="n">
        <v>1</v>
      </c>
      <c r="D114" s="268" t="n"/>
      <c r="E114" s="268" t="n"/>
      <c r="F114" s="269" t="n"/>
      <c r="G114" s="269" t="n"/>
      <c r="H114" s="270" t="n">
        <v>25000</v>
      </c>
      <c r="I114" s="271" t="n">
        <v>25000</v>
      </c>
      <c r="J114" s="271" t="n"/>
      <c r="K114" s="272" t="n"/>
      <c r="L114" s="272" t="n">
        <v>10000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RICARDO ALDAO 362</t>
        </is>
      </c>
      <c r="C115" s="268" t="n"/>
      <c r="D115" s="268" t="n"/>
      <c r="E115" s="268" t="n">
        <v>1</v>
      </c>
      <c r="F115" s="269" t="n"/>
      <c r="G115" s="269" t="n"/>
      <c r="H115" s="270" t="n">
        <v>94000</v>
      </c>
      <c r="I115" s="271" t="n"/>
      <c r="J115" s="271" t="n">
        <v>94000</v>
      </c>
      <c r="K115" s="272" t="n"/>
      <c r="L115" s="272" t="n">
        <v>34000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PANA VIEYTES 4500</t>
        </is>
      </c>
      <c r="C116" s="268" t="n"/>
      <c r="D116" s="268" t="n"/>
      <c r="E116" s="268" t="n">
        <v>1</v>
      </c>
      <c r="F116" s="269" t="n"/>
      <c r="G116" s="269" t="n"/>
      <c r="H116" s="270" t="n">
        <v>78000</v>
      </c>
      <c r="I116" s="271" t="n">
        <v>78000</v>
      </c>
      <c r="J116" s="271" t="n"/>
      <c r="K116" s="272" t="n"/>
      <c r="L116" s="272" t="n">
        <v>18000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FACUNDO ZUVIRIA 10235</t>
        </is>
      </c>
      <c r="C117" s="268" t="n">
        <v>1</v>
      </c>
      <c r="D117" s="268" t="n"/>
      <c r="E117" s="268" t="n"/>
      <c r="F117" s="269" t="n"/>
      <c r="G117" s="269" t="n"/>
      <c r="H117" s="270" t="n">
        <v>27000</v>
      </c>
      <c r="I117" s="271" t="n"/>
      <c r="J117" s="271" t="n">
        <v>27000</v>
      </c>
      <c r="K117" s="272" t="n"/>
      <c r="L117" s="272" t="n">
        <v>12000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PAULO</t>
        </is>
      </c>
      <c r="C118" s="268" t="n">
        <v>3</v>
      </c>
      <c r="D118" s="268" t="n"/>
      <c r="E118" s="268" t="n"/>
      <c r="F118" s="269" t="n"/>
      <c r="G118" s="269" t="n"/>
      <c r="H118" s="270" t="n">
        <v>57000</v>
      </c>
      <c r="I118" s="271" t="n"/>
      <c r="J118" s="271" t="n">
        <v>57000</v>
      </c>
      <c r="K118" s="272" t="n"/>
      <c r="L118" s="272" t="n">
        <v>12000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PERU 3841</t>
        </is>
      </c>
      <c r="C119" s="268" t="n">
        <v>1</v>
      </c>
      <c r="D119" s="268" t="n"/>
      <c r="E119" s="268" t="n"/>
      <c r="F119" s="269" t="n"/>
      <c r="G119" s="269" t="n"/>
      <c r="H119" s="270" t="n">
        <v>27000</v>
      </c>
      <c r="I119" s="271" t="n"/>
      <c r="J119" s="271" t="n">
        <v>27000</v>
      </c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CERVERA 7081</t>
        </is>
      </c>
      <c r="C120" s="268" t="n">
        <v>1</v>
      </c>
      <c r="D120" s="268" t="n"/>
      <c r="E120" s="268" t="n"/>
      <c r="F120" s="269" t="n"/>
      <c r="G120" s="269" t="n"/>
      <c r="H120" s="270" t="n">
        <v>26000</v>
      </c>
      <c r="I120" s="271" t="n"/>
      <c r="J120" s="271" t="n">
        <v>26000</v>
      </c>
      <c r="K120" s="272" t="n"/>
      <c r="L120" s="272" t="n">
        <v>11000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SARA FAISAL 1723</t>
        </is>
      </c>
      <c r="C121" s="268" t="n"/>
      <c r="D121" s="268" t="n"/>
      <c r="E121" s="268" t="n">
        <v>1</v>
      </c>
      <c r="F121" s="269" t="n"/>
      <c r="G121" s="269" t="n"/>
      <c r="H121" s="270" t="n">
        <v>95000</v>
      </c>
      <c r="I121" s="271" t="n">
        <v>95000</v>
      </c>
      <c r="J121" s="271" t="n"/>
      <c r="K121" s="272" t="n"/>
      <c r="L121" s="272" t="n">
        <v>35000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DON LOBO</t>
        </is>
      </c>
      <c r="C122" s="268" t="n">
        <v>1</v>
      </c>
      <c r="D122" s="268" t="n"/>
      <c r="E122" s="268" t="n"/>
      <c r="F122" s="269" t="n"/>
      <c r="G122" s="269" t="n"/>
      <c r="H122" s="270" t="n">
        <v>27000</v>
      </c>
      <c r="I122" s="271" t="n"/>
      <c r="J122" s="271" t="n">
        <v>27000</v>
      </c>
      <c r="K122" s="272" t="n"/>
      <c r="L122" s="272" t="n">
        <v>12000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FILOMENA</t>
        </is>
      </c>
      <c r="C123" s="268" t="n">
        <v>2</v>
      </c>
      <c r="D123" s="268" t="n"/>
      <c r="E123" s="268" t="n"/>
      <c r="F123" s="269" t="n"/>
      <c r="G123" s="269" t="n"/>
      <c r="H123" s="270" t="n">
        <v>46000</v>
      </c>
      <c r="I123" s="271" t="n"/>
      <c r="J123" s="271" t="n">
        <v>46000</v>
      </c>
      <c r="K123" s="272" t="n"/>
      <c r="L123" s="272" t="n">
        <v>16000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CAPILLA LA SALLE Y GRANDOLI</t>
        </is>
      </c>
      <c r="C124" s="268" t="n">
        <v>1</v>
      </c>
      <c r="D124" s="268" t="n"/>
      <c r="E124" s="268" t="n"/>
      <c r="F124" s="269" t="n"/>
      <c r="G124" s="269" t="n"/>
      <c r="H124" s="270" t="n">
        <v>27000</v>
      </c>
      <c r="I124" s="271" t="n"/>
      <c r="J124" s="271" t="n">
        <v>27000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9" t="n"/>
      <c r="B125" s="267" t="inlineStr">
        <is>
          <t>LUCHO</t>
        </is>
      </c>
      <c r="C125" s="268" t="n">
        <v>1</v>
      </c>
      <c r="D125" s="268" t="n"/>
      <c r="E125" s="268" t="n"/>
      <c r="F125" s="269" t="n"/>
      <c r="G125" s="269" t="n">
        <v>1</v>
      </c>
      <c r="H125" s="270" t="n">
        <v>25000</v>
      </c>
      <c r="I125" s="271" t="n"/>
      <c r="J125" s="271" t="n">
        <v>25000</v>
      </c>
      <c r="K125" s="272" t="n"/>
      <c r="L125" s="272" t="n">
        <v>9150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CACO</t>
        </is>
      </c>
      <c r="C126" s="268" t="n">
        <v>1</v>
      </c>
      <c r="D126" s="268" t="n"/>
      <c r="E126" s="268" t="n"/>
      <c r="F126" s="269" t="n"/>
      <c r="G126" s="269" t="n"/>
      <c r="H126" s="270" t="n">
        <v>27000</v>
      </c>
      <c r="I126" s="271" t="n"/>
      <c r="J126" s="271" t="n">
        <v>27000</v>
      </c>
      <c r="K126" s="272" t="n"/>
      <c r="L126" s="272" t="n">
        <v>12000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TROPPO</t>
        </is>
      </c>
      <c r="C127" s="268" t="n">
        <v>3</v>
      </c>
      <c r="D127" s="268" t="n"/>
      <c r="E127" s="268" t="n"/>
      <c r="F127" s="269" t="n"/>
      <c r="G127" s="269" t="n"/>
      <c r="H127" s="270" t="n">
        <v>84000</v>
      </c>
      <c r="I127" s="271" t="n">
        <v>84000</v>
      </c>
      <c r="J127" s="271" t="n"/>
      <c r="K127" s="272" t="n"/>
      <c r="L127" s="272" t="n">
        <v>39000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CAREN</t>
        </is>
      </c>
      <c r="C128" s="268" t="n"/>
      <c r="D128" s="268" t="n"/>
      <c r="E128" s="268" t="n">
        <v>1</v>
      </c>
      <c r="F128" s="269" t="n"/>
      <c r="G128" s="269" t="n"/>
      <c r="H128" s="270" t="n">
        <v>85000</v>
      </c>
      <c r="I128" s="271" t="n"/>
      <c r="J128" s="271" t="n">
        <v>85000</v>
      </c>
      <c r="K128" s="272" t="n"/>
      <c r="L128" s="272" t="n">
        <v>25000</v>
      </c>
      <c r="M128" s="156" t="n"/>
      <c r="N128" s="156" t="n"/>
      <c r="O128" s="156" t="n"/>
    </row>
    <row r="129" ht="18.75" customHeight="1" s="153">
      <c r="A129" s="279" t="n">
        <v>46150</v>
      </c>
      <c r="B129" s="267" t="inlineStr">
        <is>
          <t>SANTA BAR 1 MAYO 1959</t>
        </is>
      </c>
      <c r="C129" s="268" t="n"/>
      <c r="D129" s="268" t="n"/>
      <c r="E129" s="268" t="n">
        <v>1</v>
      </c>
      <c r="F129" s="269" t="n"/>
      <c r="G129" s="269" t="n"/>
      <c r="H129" s="270" t="n">
        <v>85000</v>
      </c>
      <c r="I129" s="271" t="n"/>
      <c r="J129" s="271" t="n">
        <v>85000</v>
      </c>
      <c r="K129" s="272" t="n"/>
      <c r="L129" s="272">
        <f>IF(K129&lt;&gt;"",23000+K129,23000)</f>
        <v/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VIANDAS JORGE</t>
        </is>
      </c>
      <c r="C130" s="268" t="n">
        <v>1</v>
      </c>
      <c r="D130" s="268" t="n"/>
      <c r="E130" s="268" t="n"/>
      <c r="F130" s="269" t="n"/>
      <c r="G130" s="269" t="n"/>
      <c r="H130" s="270" t="n">
        <v>22000</v>
      </c>
      <c r="I130" s="271" t="n">
        <v>22000</v>
      </c>
      <c r="J130" s="271" t="n"/>
      <c r="K130" s="272" t="n"/>
      <c r="L130" s="272">
        <f>IF(K130&lt;&gt;"",6200+K130,6200)</f>
        <v/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OTNIEL</t>
        </is>
      </c>
      <c r="C131" s="268" t="n"/>
      <c r="D131" s="268" t="n">
        <v>2</v>
      </c>
      <c r="E131" s="268" t="n"/>
      <c r="F131" s="269" t="n"/>
      <c r="G131" s="269" t="n"/>
      <c r="H131" s="270" t="n">
        <v>70000</v>
      </c>
      <c r="I131" s="271" t="n">
        <v>70000</v>
      </c>
      <c r="J131" s="271" t="n"/>
      <c r="K131" s="272" t="n"/>
      <c r="L131" s="272">
        <f>IF(K131&lt;&gt;"",22600+K131,22600)</f>
        <v/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SANDRA</t>
        </is>
      </c>
      <c r="C132" s="268" t="n">
        <v>1</v>
      </c>
      <c r="D132" s="268" t="n"/>
      <c r="E132" s="268" t="n"/>
      <c r="F132" s="269" t="n"/>
      <c r="G132" s="269" t="n"/>
      <c r="H132" s="270" t="n">
        <v>19500</v>
      </c>
      <c r="I132" s="271" t="n">
        <v>19500</v>
      </c>
      <c r="J132" s="271" t="n"/>
      <c r="K132" s="272" t="n"/>
      <c r="L132" s="272">
        <f>IF(K132&lt;&gt;"",3700+K132,3700)</f>
        <v/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LARGUIA 6924</t>
        </is>
      </c>
      <c r="C133" s="268" t="n">
        <v>2</v>
      </c>
      <c r="D133" s="268" t="n"/>
      <c r="E133" s="268" t="n"/>
      <c r="F133" s="269" t="n"/>
      <c r="G133" s="269" t="n"/>
      <c r="H133" s="270" t="n">
        <v>50000</v>
      </c>
      <c r="I133" s="271" t="n">
        <v>50000</v>
      </c>
      <c r="J133" s="271" t="n"/>
      <c r="K133" s="272" t="n"/>
      <c r="L133" s="272">
        <f>IF(K133&lt;&gt;"",18400+K133,18400)</f>
        <v/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PANA VIEYTES 3800</t>
        </is>
      </c>
      <c r="C134" s="268" t="n">
        <v>1</v>
      </c>
      <c r="D134" s="268" t="n"/>
      <c r="E134" s="268" t="n">
        <v>1</v>
      </c>
      <c r="F134" s="269" t="n"/>
      <c r="G134" s="269" t="n"/>
      <c r="H134" s="270" t="n">
        <v>110000</v>
      </c>
      <c r="I134" s="271" t="n">
        <v>110000</v>
      </c>
      <c r="J134" s="271" t="n"/>
      <c r="K134" s="272" t="n"/>
      <c r="L134" s="272">
        <f>IF(K134&lt;&gt;"",32200+K134,32200)</f>
        <v/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ARISTÓBULO 5137</t>
        </is>
      </c>
      <c r="C135" s="268" t="n"/>
      <c r="D135" s="268" t="n">
        <v>1</v>
      </c>
      <c r="E135" s="268" t="n"/>
      <c r="F135" s="269" t="n"/>
      <c r="G135" s="269" t="n"/>
      <c r="H135" s="270" t="n">
        <v>39000</v>
      </c>
      <c r="I135" s="271" t="n">
        <v>39000</v>
      </c>
      <c r="J135" s="271" t="n"/>
      <c r="K135" s="272" t="n"/>
      <c r="L135" s="272">
        <f>IF(K135&lt;&gt;"",15300+K135,15300)</f>
        <v/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MARIO</t>
        </is>
      </c>
      <c r="C136" s="268" t="n">
        <v>2</v>
      </c>
      <c r="D136" s="268" t="n"/>
      <c r="E136" s="268" t="n"/>
      <c r="F136" s="269" t="n"/>
      <c r="G136" s="269" t="n"/>
      <c r="H136" s="270" t="n">
        <v>39000</v>
      </c>
      <c r="I136" s="271" t="n"/>
      <c r="J136" s="271" t="n">
        <v>39000</v>
      </c>
      <c r="K136" s="272" t="n"/>
      <c r="L136" s="272">
        <f>IF(K136&lt;&gt;"",7400+K136,7400)</f>
        <v/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MATEU 4059</t>
        </is>
      </c>
      <c r="C137" s="268" t="n"/>
      <c r="D137" s="268" t="n">
        <v>1</v>
      </c>
      <c r="E137" s="268" t="n"/>
      <c r="F137" s="269" t="n"/>
      <c r="G137" s="269" t="n"/>
      <c r="H137" s="270" t="n">
        <v>35000</v>
      </c>
      <c r="I137" s="271" t="n">
        <v>35000</v>
      </c>
      <c r="J137" s="271" t="n"/>
      <c r="K137" s="272" t="n"/>
      <c r="L137" s="272">
        <f>IF(K137&lt;&gt;"",11300+K137,11300)</f>
        <v/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GOLD BURGER</t>
        </is>
      </c>
      <c r="C138" s="268" t="n">
        <v>4</v>
      </c>
      <c r="D138" s="268" t="n"/>
      <c r="E138" s="268" t="n"/>
      <c r="F138" s="269" t="n"/>
      <c r="G138" s="269" t="n"/>
      <c r="H138" s="270" t="n">
        <v>104000</v>
      </c>
      <c r="I138" s="271" t="n">
        <v>104000</v>
      </c>
      <c r="J138" s="271" t="n"/>
      <c r="K138" s="272" t="n"/>
      <c r="L138" s="272">
        <f>IF(K138&lt;&gt;"",40800+K138,40800)</f>
        <v/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PIRU</t>
        </is>
      </c>
      <c r="C139" s="268" t="n"/>
      <c r="D139" s="268" t="n">
        <v>1</v>
      </c>
      <c r="E139" s="268" t="n"/>
      <c r="F139" s="269" t="n"/>
      <c r="G139" s="269" t="n"/>
      <c r="H139" s="270" t="n">
        <v>37000</v>
      </c>
      <c r="I139" s="271" t="n">
        <v>37000</v>
      </c>
      <c r="J139" s="271" t="n"/>
      <c r="K139" s="272" t="n"/>
      <c r="L139" s="272">
        <f>IF(K139&lt;&gt;"",13300+K139,13300)</f>
        <v/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MARCIAL CANDIOTI 8846</t>
        </is>
      </c>
      <c r="C140" s="268" t="n"/>
      <c r="D140" s="268" t="n"/>
      <c r="E140" s="268" t="n">
        <v>1</v>
      </c>
      <c r="F140" s="269" t="n"/>
      <c r="G140" s="269" t="n"/>
      <c r="H140" s="270" t="n">
        <v>91000</v>
      </c>
      <c r="I140" s="271" t="n"/>
      <c r="J140" s="271" t="n">
        <v>91000</v>
      </c>
      <c r="K140" s="272" t="n"/>
      <c r="L140" s="272">
        <f>IF(K140&lt;&gt;"",29000+K140,29000)</f>
        <v/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SAN MARTÍN 8947</t>
        </is>
      </c>
      <c r="C141" s="268" t="n">
        <v>1</v>
      </c>
      <c r="D141" s="268" t="n"/>
      <c r="E141" s="268" t="n"/>
      <c r="F141" s="269" t="n"/>
      <c r="G141" s="269" t="n"/>
      <c r="H141" s="270" t="n">
        <v>27000</v>
      </c>
      <c r="I141" s="271" t="n">
        <v>27000</v>
      </c>
      <c r="J141" s="271" t="n"/>
      <c r="K141" s="272" t="n"/>
      <c r="L141" s="272">
        <f>IF(K141&lt;&gt;"",11200+K141,11200)</f>
        <v/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PUBLICO 8436</t>
        </is>
      </c>
      <c r="C142" s="268" t="n"/>
      <c r="D142" s="268" t="n">
        <v>1</v>
      </c>
      <c r="E142" s="268" t="n"/>
      <c r="F142" s="269" t="n"/>
      <c r="G142" s="269" t="n"/>
      <c r="H142" s="270" t="n">
        <v>42000</v>
      </c>
      <c r="I142" s="271" t="n">
        <v>42000</v>
      </c>
      <c r="J142" s="271" t="n"/>
      <c r="K142" s="272" t="n"/>
      <c r="L142" s="272">
        <f>IF(K142&lt;&gt;"",18300+K142,18300)</f>
        <v/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JAVIER DE LA ROSA 2585</t>
        </is>
      </c>
      <c r="C143" s="268" t="n">
        <v>1</v>
      </c>
      <c r="D143" s="268" t="n"/>
      <c r="E143" s="268" t="n"/>
      <c r="F143" s="269" t="n"/>
      <c r="G143" s="269" t="n"/>
      <c r="H143" s="270" t="n">
        <v>27000</v>
      </c>
      <c r="I143" s="271" t="n">
        <v>27000</v>
      </c>
      <c r="J143" s="271" t="n"/>
      <c r="K143" s="272" t="n"/>
      <c r="L143" s="272">
        <f>IF(K143&lt;&gt;"",11200+K143,11200)</f>
        <v/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SAAVEDRA 5820</t>
        </is>
      </c>
      <c r="C144" s="268" t="n"/>
      <c r="D144" s="268" t="n"/>
      <c r="E144" s="268" t="n">
        <v>1</v>
      </c>
      <c r="F144" s="269" t="n"/>
      <c r="G144" s="269" t="n"/>
      <c r="H144" s="270" t="n">
        <v>91000</v>
      </c>
      <c r="I144" s="271" t="n">
        <v>91000</v>
      </c>
      <c r="J144" s="271" t="n"/>
      <c r="K144" s="272" t="n"/>
      <c r="L144" s="272">
        <f>IF(K144&lt;&gt;"",29000+K144,29000)</f>
        <v/>
      </c>
      <c r="M144" s="156" t="n"/>
      <c r="N144" s="156" t="n"/>
      <c r="O144" s="156" t="n"/>
    </row>
    <row r="145" ht="18.75" customHeight="1" s="153">
      <c r="A145" s="279" t="n"/>
      <c r="B145" s="267" t="inlineStr">
        <is>
          <t>LUCHO</t>
        </is>
      </c>
      <c r="C145" s="268" t="n">
        <v>1</v>
      </c>
      <c r="D145" s="268" t="n"/>
      <c r="E145" s="268" t="n"/>
      <c r="F145" s="269" t="n"/>
      <c r="G145" s="269" t="n"/>
      <c r="H145" s="270" t="n">
        <v>20000</v>
      </c>
      <c r="I145" s="271" t="n"/>
      <c r="J145" s="271" t="n">
        <v>20000</v>
      </c>
      <c r="K145" s="272" t="n"/>
      <c r="L145" s="272">
        <f>IF(K145&lt;&gt;"",4200+K145,4200)</f>
        <v/>
      </c>
      <c r="M145" s="156" t="n"/>
      <c r="N145" s="156" t="n"/>
      <c r="O145" s="156" t="n"/>
    </row>
    <row r="146" ht="18.75" customHeight="1" s="153">
      <c r="A146" s="279" t="n"/>
      <c r="B146" s="267" t="inlineStr">
        <is>
          <t>AZCUENAGA 5023</t>
        </is>
      </c>
      <c r="C146" s="268" t="n">
        <v>3</v>
      </c>
      <c r="D146" s="268" t="n"/>
      <c r="E146" s="268" t="n"/>
      <c r="F146" s="269" t="n"/>
      <c r="G146" s="269" t="n"/>
      <c r="H146" s="270" t="n">
        <v>60000</v>
      </c>
      <c r="I146" s="271" t="n"/>
      <c r="J146" s="271" t="n">
        <v>60000</v>
      </c>
      <c r="K146" s="272" t="n"/>
      <c r="L146" s="272">
        <f>IF(K146&lt;&gt;"",12600+K146,12600)</f>
        <v/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BRASERIA</t>
        </is>
      </c>
      <c r="C147" s="268" t="n"/>
      <c r="D147" s="268" t="n"/>
      <c r="E147" s="268" t="n">
        <v>1</v>
      </c>
      <c r="F147" s="269" t="n"/>
      <c r="G147" s="269" t="n"/>
      <c r="H147" s="270" t="n">
        <v>86000</v>
      </c>
      <c r="I147" s="271" t="n"/>
      <c r="J147" s="271" t="n">
        <v>86000</v>
      </c>
      <c r="K147" s="272" t="n"/>
      <c r="L147" s="272">
        <f>IF(K147&lt;&gt;"",24000+K147,24000)</f>
        <v/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TACUARI 5717</t>
        </is>
      </c>
      <c r="C148" s="268" t="n">
        <v>1</v>
      </c>
      <c r="D148" s="268" t="n"/>
      <c r="E148" s="268" t="n"/>
      <c r="F148" s="269" t="n"/>
      <c r="G148" s="269" t="n"/>
      <c r="H148" s="270" t="n">
        <v>27000</v>
      </c>
      <c r="I148" s="271" t="n"/>
      <c r="J148" s="271" t="n">
        <v>27000</v>
      </c>
      <c r="K148" s="272" t="n"/>
      <c r="L148" s="272">
        <f>IF(K148&lt;&gt;"",11200+K148,11200)</f>
        <v/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BELGRANO 7972</t>
        </is>
      </c>
      <c r="C149" s="268" t="n">
        <v>1</v>
      </c>
      <c r="D149" s="268" t="n"/>
      <c r="E149" s="268" t="n"/>
      <c r="F149" s="269" t="n"/>
      <c r="G149" s="269" t="n"/>
      <c r="H149" s="270" t="n">
        <v>27000</v>
      </c>
      <c r="I149" s="271" t="n">
        <v>27000</v>
      </c>
      <c r="J149" s="271" t="n"/>
      <c r="K149" s="272" t="n"/>
      <c r="L149" s="272">
        <f>IF(K149&lt;&gt;"",11200+K149,11200)</f>
        <v/>
      </c>
      <c r="M149" s="156" t="n"/>
      <c r="N149" s="156" t="n"/>
      <c r="O149" s="156" t="n"/>
    </row>
    <row r="150" ht="18.75" customHeight="1" s="153">
      <c r="A150" s="279" t="n">
        <v>46151</v>
      </c>
      <c r="B150" s="267" t="inlineStr">
        <is>
          <t>GENERAL PAZ 5179</t>
        </is>
      </c>
      <c r="C150" s="268" t="n"/>
      <c r="D150" s="268" t="n">
        <v>1</v>
      </c>
      <c r="E150" s="268" t="n"/>
      <c r="F150" s="269" t="n"/>
      <c r="G150" s="269" t="n"/>
      <c r="H150" s="270" t="n">
        <v>38500</v>
      </c>
      <c r="I150" s="271" t="n"/>
      <c r="J150" s="271" t="n">
        <v>38500</v>
      </c>
      <c r="K150" s="272" t="n"/>
      <c r="L150" s="272" t="n">
        <v>14800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ALSINA 7980</t>
        </is>
      </c>
      <c r="C151" s="268" t="n"/>
      <c r="D151" s="268" t="n"/>
      <c r="E151" s="268" t="n">
        <v>1</v>
      </c>
      <c r="F151" s="269" t="n"/>
      <c r="G151" s="269" t="n"/>
      <c r="H151" s="270" t="n">
        <v>91000</v>
      </c>
      <c r="I151" s="271" t="n"/>
      <c r="J151" s="271" t="n">
        <v>91000</v>
      </c>
      <c r="K151" s="272" t="n"/>
      <c r="L151" s="272" t="n">
        <v>29000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PANA ALBERTI</t>
        </is>
      </c>
      <c r="C152" s="268" t="n"/>
      <c r="D152" s="268" t="n"/>
      <c r="E152" s="268" t="n">
        <v>1</v>
      </c>
      <c r="F152" s="269" t="n"/>
      <c r="G152" s="269" t="n"/>
      <c r="H152" s="270" t="n">
        <v>84000</v>
      </c>
      <c r="I152" s="271" t="n">
        <v>84000</v>
      </c>
      <c r="J152" s="271" t="n"/>
      <c r="K152" s="272" t="n"/>
      <c r="L152" s="272" t="n">
        <v>22000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EXE</t>
        </is>
      </c>
      <c r="C153" s="268" t="n"/>
      <c r="D153" s="268" t="n"/>
      <c r="E153" s="268" t="n">
        <v>1</v>
      </c>
      <c r="F153" s="269" t="n"/>
      <c r="G153" s="269" t="n"/>
      <c r="H153" s="270" t="n">
        <v>85000</v>
      </c>
      <c r="I153" s="271" t="n"/>
      <c r="J153" s="271" t="n">
        <v>85000</v>
      </c>
      <c r="K153" s="272" t="n"/>
      <c r="L153" s="272" t="n">
        <v>23000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SABOREAR</t>
        </is>
      </c>
      <c r="C154" s="268" t="n">
        <v>2</v>
      </c>
      <c r="D154" s="268" t="n"/>
      <c r="E154" s="268" t="n"/>
      <c r="F154" s="269" t="n"/>
      <c r="G154" s="269" t="n"/>
      <c r="H154" s="270" t="n">
        <v>47000</v>
      </c>
      <c r="I154" s="271" t="n"/>
      <c r="J154" s="271" t="n">
        <v>47000</v>
      </c>
      <c r="K154" s="272" t="n"/>
      <c r="L154" s="272" t="n">
        <v>15400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MARCIAL CANDIOTI 8968</t>
        </is>
      </c>
      <c r="C155" s="268" t="n"/>
      <c r="D155" s="268" t="n"/>
      <c r="E155" s="268" t="n">
        <v>1</v>
      </c>
      <c r="F155" s="269" t="n"/>
      <c r="G155" s="269" t="n"/>
      <c r="H155" s="270" t="n">
        <v>91000</v>
      </c>
      <c r="I155" s="271" t="n">
        <v>91000</v>
      </c>
      <c r="J155" s="271" t="n"/>
      <c r="K155" s="272" t="n"/>
      <c r="L155" s="272" t="n">
        <v>29000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AVENIDA FREIRE 6181</t>
        </is>
      </c>
      <c r="C156" s="268" t="n">
        <v>1</v>
      </c>
      <c r="D156" s="268" t="n"/>
      <c r="E156" s="268" t="n"/>
      <c r="F156" s="269" t="n"/>
      <c r="G156" s="269" t="n"/>
      <c r="H156" s="270" t="n">
        <v>26000</v>
      </c>
      <c r="I156" s="271" t="n">
        <v>26000</v>
      </c>
      <c r="J156" s="271" t="n"/>
      <c r="K156" s="272" t="n"/>
      <c r="L156" s="272" t="n">
        <v>10200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FILOMENA</t>
        </is>
      </c>
      <c r="C157" s="268" t="n">
        <v>2</v>
      </c>
      <c r="D157" s="268" t="n"/>
      <c r="E157" s="268" t="n"/>
      <c r="F157" s="269" t="n"/>
      <c r="G157" s="269" t="n"/>
      <c r="H157" s="270" t="n">
        <v>49000</v>
      </c>
      <c r="I157" s="271" t="n"/>
      <c r="J157" s="271" t="n">
        <v>49000</v>
      </c>
      <c r="K157" s="272" t="n"/>
      <c r="L157" s="272" t="n">
        <v>17400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ARIEL IMPRENTA</t>
        </is>
      </c>
      <c r="C158" s="268" t="n"/>
      <c r="D158" s="268" t="n"/>
      <c r="E158" s="268" t="n">
        <v>1</v>
      </c>
      <c r="F158" s="269" t="n"/>
      <c r="G158" s="269" t="n"/>
      <c r="H158" s="270" t="n">
        <v>91000</v>
      </c>
      <c r="I158" s="271" t="n"/>
      <c r="J158" s="271" t="n">
        <v>91000</v>
      </c>
      <c r="K158" s="272" t="n"/>
      <c r="L158" s="272" t="n">
        <v>29000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ALSINA 7980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>
        <v>27000</v>
      </c>
      <c r="J159" s="271" t="n"/>
      <c r="K159" s="272" t="n"/>
      <c r="L159" s="272" t="n">
        <v>11200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MARIO ALBERTI Y GABOTO</t>
        </is>
      </c>
      <c r="C160" s="268" t="n">
        <v>2</v>
      </c>
      <c r="D160" s="268" t="n">
        <v>1</v>
      </c>
      <c r="E160" s="268" t="n"/>
      <c r="F160" s="269" t="n"/>
      <c r="G160" s="269" t="n"/>
      <c r="H160" s="270" t="n">
        <v>67500</v>
      </c>
      <c r="I160" s="271" t="n">
        <v>67500</v>
      </c>
      <c r="J160" s="271" t="n"/>
      <c r="K160" s="272" t="n"/>
      <c r="L160" s="272" t="n">
        <v>12200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TROPPO</t>
        </is>
      </c>
      <c r="C161" s="268" t="n">
        <v>1</v>
      </c>
      <c r="D161" s="268" t="n"/>
      <c r="E161" s="268" t="n"/>
      <c r="F161" s="269" t="n"/>
      <c r="G161" s="269" t="n"/>
      <c r="H161" s="270" t="n">
        <v>27000</v>
      </c>
      <c r="I161" s="271" t="n"/>
      <c r="J161" s="271" t="n">
        <v>27000</v>
      </c>
      <c r="K161" s="272" t="n"/>
      <c r="L161" s="272" t="n">
        <v>11200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NOGALES 2412</t>
        </is>
      </c>
      <c r="C162" s="268" t="n"/>
      <c r="D162" s="268" t="n"/>
      <c r="E162" s="268" t="n">
        <v>1</v>
      </c>
      <c r="F162" s="269" t="n"/>
      <c r="G162" s="269" t="n"/>
      <c r="H162" s="270" t="n">
        <v>95000</v>
      </c>
      <c r="I162" s="271" t="n"/>
      <c r="J162" s="271" t="n">
        <v>95000</v>
      </c>
      <c r="K162" s="272" t="n"/>
      <c r="L162" s="272" t="n">
        <v>33000</v>
      </c>
      <c r="M162" s="156" t="n"/>
      <c r="N162" s="156" t="n"/>
      <c r="O162" s="156" t="n"/>
    </row>
    <row r="163" ht="18.75" customHeight="1" s="153">
      <c r="A163" s="279" t="n">
        <v>46152</v>
      </c>
      <c r="B163" s="267" t="inlineStr">
        <is>
          <t>JUANA ZUAGA</t>
        </is>
      </c>
      <c r="C163" s="268" t="n">
        <v>1</v>
      </c>
      <c r="D163" s="268" t="n"/>
      <c r="E163" s="268" t="n"/>
      <c r="F163" s="269" t="n"/>
      <c r="G163" s="269" t="n"/>
      <c r="H163" s="270" t="n">
        <v>20000</v>
      </c>
      <c r="I163" s="271" t="n">
        <v>20000</v>
      </c>
      <c r="J163" s="271" t="n"/>
      <c r="K163" s="272" t="n"/>
      <c r="L163" s="272" t="n">
        <v>4200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EX COMBATIENTES 5462</t>
        </is>
      </c>
      <c r="C164" s="268" t="n"/>
      <c r="D164" s="268" t="n">
        <v>1</v>
      </c>
      <c r="E164" s="268" t="n"/>
      <c r="F164" s="269" t="n"/>
      <c r="G164" s="269" t="n"/>
      <c r="H164" s="270" t="n">
        <v>37500</v>
      </c>
      <c r="I164" s="271" t="n">
        <v>37500</v>
      </c>
      <c r="J164" s="271" t="n"/>
      <c r="K164" s="272" t="n"/>
      <c r="L164" s="272" t="n">
        <v>13800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LOS PRIMOS</t>
        </is>
      </c>
      <c r="C165" s="268" t="n">
        <v>1</v>
      </c>
      <c r="D165" s="268" t="n">
        <v>1</v>
      </c>
      <c r="E165" s="268" t="n"/>
      <c r="F165" s="269" t="n"/>
      <c r="G165" s="269" t="n"/>
      <c r="H165" s="270" t="n">
        <v>64000</v>
      </c>
      <c r="I165" s="271" t="n">
        <v>64000</v>
      </c>
      <c r="J165" s="271" t="n"/>
      <c r="K165" s="272" t="n"/>
      <c r="L165" s="272" t="n">
        <v>24500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ASCUÉNAGA 6551</t>
        </is>
      </c>
      <c r="C166" s="268" t="n">
        <v>5</v>
      </c>
      <c r="D166" s="268" t="n"/>
      <c r="E166" s="268" t="n"/>
      <c r="F166" s="269" t="n"/>
      <c r="G166" s="269" t="n"/>
      <c r="H166" s="270" t="n">
        <v>100000</v>
      </c>
      <c r="I166" s="271" t="n"/>
      <c r="J166" s="271" t="n">
        <v>100000</v>
      </c>
      <c r="K166" s="272" t="n"/>
      <c r="L166" s="272" t="n">
        <v>21000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PAULO</t>
        </is>
      </c>
      <c r="C167" s="268" t="n">
        <v>1</v>
      </c>
      <c r="D167" s="268" t="n">
        <v>1</v>
      </c>
      <c r="E167" s="268" t="n"/>
      <c r="F167" s="269" t="n"/>
      <c r="G167" s="269" t="n"/>
      <c r="H167" s="270" t="n">
        <v>47500</v>
      </c>
      <c r="I167" s="271" t="n">
        <v>47500</v>
      </c>
      <c r="J167" s="271" t="n"/>
      <c r="K167" s="272" t="n"/>
      <c r="L167" s="272" t="n">
        <v>8000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LAS HERAS 5471</t>
        </is>
      </c>
      <c r="C168" s="268" t="n">
        <v>2</v>
      </c>
      <c r="D168" s="268" t="n"/>
      <c r="E168" s="268" t="n"/>
      <c r="F168" s="269" t="n"/>
      <c r="G168" s="269" t="n"/>
      <c r="H168" s="270" t="n">
        <v>54000</v>
      </c>
      <c r="I168" s="271" t="n"/>
      <c r="J168" s="271" t="n">
        <v>54000</v>
      </c>
      <c r="K168" s="272" t="n"/>
      <c r="L168" s="272" t="n">
        <v>22400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SAN JERÓNIMO 4532</t>
        </is>
      </c>
      <c r="C169" s="268" t="n">
        <v>1</v>
      </c>
      <c r="D169" s="268" t="n"/>
      <c r="E169" s="268" t="n"/>
      <c r="F169" s="269" t="n"/>
      <c r="G169" s="269" t="n"/>
      <c r="H169" s="270" t="n">
        <v>27000</v>
      </c>
      <c r="I169" s="271" t="n"/>
      <c r="J169" s="271" t="n">
        <v>27000</v>
      </c>
      <c r="K169" s="272" t="n"/>
      <c r="L169" s="272" t="n">
        <v>11200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FORMOSA 6058</t>
        </is>
      </c>
      <c r="C170" s="268" t="n"/>
      <c r="D170" s="268" t="n"/>
      <c r="E170" s="268" t="n"/>
      <c r="F170" s="269" t="n"/>
      <c r="G170" s="269" t="n">
        <v>3</v>
      </c>
      <c r="H170" s="270" t="n">
        <v>18000</v>
      </c>
      <c r="I170" s="271" t="n">
        <v>18000</v>
      </c>
      <c r="J170" s="271" t="n"/>
      <c r="K170" s="272" t="n"/>
      <c r="L170" s="272" t="n">
        <v>15240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ROTI AGUADO</t>
        </is>
      </c>
      <c r="C171" s="268" t="n">
        <v>1</v>
      </c>
      <c r="D171" s="268" t="n">
        <v>1</v>
      </c>
      <c r="E171" s="268" t="n"/>
      <c r="F171" s="269" t="n"/>
      <c r="G171" s="269" t="n"/>
      <c r="H171" s="270" t="n">
        <v>65500</v>
      </c>
      <c r="I171" s="271" t="n">
        <v>65500</v>
      </c>
      <c r="J171" s="271" t="n"/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COLODRERO 2414</t>
        </is>
      </c>
      <c r="C172" s="268" t="n"/>
      <c r="D172" s="268" t="n">
        <v>1</v>
      </c>
      <c r="E172" s="268" t="n"/>
      <c r="F172" s="269" t="n"/>
      <c r="G172" s="269" t="n"/>
      <c r="H172" s="270" t="n">
        <v>37000</v>
      </c>
      <c r="I172" s="271" t="n">
        <v>37000</v>
      </c>
      <c r="J172" s="271" t="n"/>
      <c r="K172" s="272" t="n"/>
      <c r="L172" s="272" t="n">
        <v>13300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GRINGO IL GATO</t>
        </is>
      </c>
      <c r="C173" s="268" t="n"/>
      <c r="D173" s="268" t="n"/>
      <c r="E173" s="268" t="n">
        <v>1</v>
      </c>
      <c r="F173" s="269" t="n"/>
      <c r="G173" s="269" t="n"/>
      <c r="H173" s="270" t="n">
        <v>95000</v>
      </c>
      <c r="I173" s="271" t="n">
        <v>95000</v>
      </c>
      <c r="J173" s="271" t="n"/>
      <c r="K173" s="272" t="n"/>
      <c r="L173" s="272" t="n">
        <v>33000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ALSINA 6550</t>
        </is>
      </c>
      <c r="C174" s="268" t="n"/>
      <c r="D174" s="268" t="n">
        <v>1</v>
      </c>
      <c r="E174" s="268" t="n"/>
      <c r="F174" s="269" t="n"/>
      <c r="G174" s="269" t="n"/>
      <c r="H174" s="270" t="n">
        <v>40000</v>
      </c>
      <c r="I174" s="271" t="n">
        <v>40000</v>
      </c>
      <c r="J174" s="271" t="n"/>
      <c r="K174" s="272" t="n"/>
      <c r="L174" s="272" t="n">
        <v>16300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LEHMANN 9357</t>
        </is>
      </c>
      <c r="C175" s="268" t="n"/>
      <c r="D175" s="268" t="n"/>
      <c r="E175" s="268" t="n">
        <v>1</v>
      </c>
      <c r="F175" s="269" t="n"/>
      <c r="G175" s="269" t="n"/>
      <c r="H175" s="270" t="n">
        <v>92000</v>
      </c>
      <c r="I175" s="271" t="n">
        <v>92000</v>
      </c>
      <c r="J175" s="271" t="n"/>
      <c r="K175" s="272" t="n"/>
      <c r="L175" s="272" t="n">
        <v>30000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JOSÉ MONTEVERA</t>
        </is>
      </c>
      <c r="C176" s="268" t="n">
        <v>1</v>
      </c>
      <c r="D176" s="268" t="n"/>
      <c r="E176" s="268" t="n">
        <v>1</v>
      </c>
      <c r="F176" s="269" t="n"/>
      <c r="G176" s="269" t="n"/>
      <c r="H176" s="270" t="n">
        <v>122000</v>
      </c>
      <c r="I176" s="271" t="n">
        <v>122000</v>
      </c>
      <c r="J176" s="271" t="n"/>
      <c r="K176" s="272" t="n"/>
      <c r="L176" s="272" t="n">
        <v>44200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1 DE MAYO 3173</t>
        </is>
      </c>
      <c r="C177" s="268" t="n">
        <v>1</v>
      </c>
      <c r="D177" s="268" t="n"/>
      <c r="E177" s="268" t="n"/>
      <c r="F177" s="269" t="n"/>
      <c r="G177" s="269" t="n"/>
      <c r="H177" s="270" t="n">
        <v>27000</v>
      </c>
      <c r="I177" s="271" t="n">
        <v>27000</v>
      </c>
      <c r="J177" s="271" t="n"/>
      <c r="K177" s="272" t="n"/>
      <c r="L177" s="272" t="n">
        <v>11200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NECOCHEA 7264</t>
        </is>
      </c>
      <c r="C178" s="268" t="n">
        <v>1</v>
      </c>
      <c r="D178" s="268" t="n"/>
      <c r="E178" s="268" t="n"/>
      <c r="F178" s="269" t="n"/>
      <c r="G178" s="269" t="n"/>
      <c r="H178" s="270" t="n">
        <v>26000</v>
      </c>
      <c r="I178" s="271" t="n"/>
      <c r="J178" s="271" t="n">
        <v>26000</v>
      </c>
      <c r="K178" s="272" t="n"/>
      <c r="L178" s="272" t="n">
        <v>10200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RÍO NEGRO 4464</t>
        </is>
      </c>
      <c r="C179" s="268" t="n">
        <v>1</v>
      </c>
      <c r="D179" s="268" t="n"/>
      <c r="E179" s="268" t="n"/>
      <c r="F179" s="269" t="n"/>
      <c r="G179" s="269" t="n"/>
      <c r="H179" s="270" t="n">
        <v>27000</v>
      </c>
      <c r="I179" s="271" t="n">
        <v>27000</v>
      </c>
      <c r="J179" s="271" t="n"/>
      <c r="K179" s="272" t="n"/>
      <c r="L179" s="272" t="n">
        <v>11200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PUBLICO 8251</t>
        </is>
      </c>
      <c r="C180" s="268" t="n"/>
      <c r="D180" s="268" t="n"/>
      <c r="E180" s="268" t="n">
        <v>1</v>
      </c>
      <c r="F180" s="269" t="n"/>
      <c r="G180" s="269" t="n"/>
      <c r="H180" s="270" t="n">
        <v>91000</v>
      </c>
      <c r="I180" s="271" t="n"/>
      <c r="J180" s="271" t="n">
        <v>91000</v>
      </c>
      <c r="K180" s="272" t="n"/>
      <c r="L180" s="272" t="n">
        <v>29000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ROTI ARISTÓBULO</t>
        </is>
      </c>
      <c r="C181" s="268" t="n">
        <v>1</v>
      </c>
      <c r="D181" s="268" t="n"/>
      <c r="E181" s="268" t="n"/>
      <c r="F181" s="269" t="n"/>
      <c r="G181" s="269" t="n"/>
      <c r="H181" s="270" t="n">
        <v>25000</v>
      </c>
      <c r="I181" s="271" t="n"/>
      <c r="J181" s="271" t="n">
        <v>25000</v>
      </c>
      <c r="K181" s="272" t="n"/>
      <c r="L181" s="272" t="n">
        <v>9200</v>
      </c>
      <c r="M181" s="156" t="n"/>
      <c r="N181" s="156" t="n"/>
      <c r="O181" s="156" t="n"/>
    </row>
    <row r="182" ht="18.75" customHeight="1" s="153">
      <c r="A182" s="279" t="n"/>
      <c r="B182" s="267" t="inlineStr">
        <is>
          <t>DOMINGO SILVA 4217</t>
        </is>
      </c>
      <c r="C182" s="268" t="n">
        <v>1</v>
      </c>
      <c r="D182" s="268" t="n"/>
      <c r="E182" s="268" t="n"/>
      <c r="F182" s="269" t="n"/>
      <c r="G182" s="269" t="n"/>
      <c r="H182" s="270" t="n">
        <v>20000</v>
      </c>
      <c r="I182" s="271" t="n"/>
      <c r="J182" s="271" t="n">
        <v>20000</v>
      </c>
      <c r="K182" s="272" t="n"/>
      <c r="L182" s="272" t="n">
        <v>4200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PADRE GENESIO 4001</t>
        </is>
      </c>
      <c r="C183" s="268" t="n">
        <v>1</v>
      </c>
      <c r="D183" s="268" t="n"/>
      <c r="E183" s="268" t="n"/>
      <c r="F183" s="269" t="n"/>
      <c r="G183" s="269" t="n"/>
      <c r="H183" s="270" t="n">
        <v>26000</v>
      </c>
      <c r="I183" s="271" t="n"/>
      <c r="J183" s="271" t="n">
        <v>26000</v>
      </c>
      <c r="K183" s="272" t="n"/>
      <c r="L183" s="272" t="n">
        <v>10200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SANDRA</t>
        </is>
      </c>
      <c r="C184" s="268" t="n">
        <v>2</v>
      </c>
      <c r="D184" s="268" t="n"/>
      <c r="E184" s="268" t="n"/>
      <c r="F184" s="269" t="n"/>
      <c r="G184" s="269" t="n"/>
      <c r="H184" s="270" t="n">
        <v>39000</v>
      </c>
      <c r="I184" s="271" t="n">
        <v>39000</v>
      </c>
      <c r="J184" s="271" t="n"/>
      <c r="K184" s="272" t="n"/>
      <c r="L184" s="272" t="n">
        <v>7400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ARENALES 9100 CASA 5</t>
        </is>
      </c>
      <c r="C185" s="268" t="n"/>
      <c r="D185" s="268" t="n"/>
      <c r="E185" s="268" t="n">
        <v>1</v>
      </c>
      <c r="F185" s="269" t="n"/>
      <c r="G185" s="269" t="n"/>
      <c r="H185" s="270" t="n">
        <v>93000</v>
      </c>
      <c r="I185" s="271" t="n"/>
      <c r="J185" s="271" t="n">
        <v>93000</v>
      </c>
      <c r="K185" s="272" t="n"/>
      <c r="L185" s="272" t="n">
        <v>31000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PUERTA</t>
        </is>
      </c>
      <c r="C186" s="268" t="n">
        <v>1</v>
      </c>
      <c r="D186" s="268" t="n"/>
      <c r="E186" s="268" t="n"/>
      <c r="F186" s="269" t="n"/>
      <c r="G186" s="269" t="n"/>
      <c r="H186" s="270" t="n">
        <v>22000</v>
      </c>
      <c r="I186" s="271" t="n">
        <v>22000</v>
      </c>
      <c r="J186" s="271" t="n"/>
      <c r="K186" s="272" t="n"/>
      <c r="L186" s="272" t="n">
        <v>6200</v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CORRIENTES 2979</t>
        </is>
      </c>
      <c r="C187" s="268" t="n"/>
      <c r="D187" s="268" t="n">
        <v>1</v>
      </c>
      <c r="E187" s="268" t="n"/>
      <c r="F187" s="269" t="n"/>
      <c r="G187" s="269" t="n"/>
      <c r="H187" s="270" t="n">
        <v>42000</v>
      </c>
      <c r="I187" s="271" t="n"/>
      <c r="J187" s="271" t="n">
        <v>42000</v>
      </c>
      <c r="K187" s="272" t="n"/>
      <c r="L187" s="272" t="n">
        <v>18300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PUBLICO 2527</t>
        </is>
      </c>
      <c r="C188" s="268" t="n"/>
      <c r="D188" s="268" t="n">
        <v>1</v>
      </c>
      <c r="E188" s="268" t="n"/>
      <c r="F188" s="269" t="n"/>
      <c r="G188" s="269" t="n"/>
      <c r="H188" s="270" t="n">
        <v>38500</v>
      </c>
      <c r="I188" s="271" t="n"/>
      <c r="J188" s="271" t="n">
        <v>38500</v>
      </c>
      <c r="K188" s="272" t="n"/>
      <c r="L188" s="272" t="n">
        <v>14800</v>
      </c>
      <c r="M188" s="156" t="n"/>
      <c r="N188" s="156" t="n"/>
      <c r="O188" s="156" t="n"/>
    </row>
    <row r="189" ht="18.75" customHeight="1" s="153">
      <c r="A189" s="279" t="n">
        <v>46153</v>
      </c>
      <c r="B189" s="267" t="inlineStr">
        <is>
          <t>SANDRA</t>
        </is>
      </c>
      <c r="C189" s="268" t="n">
        <v>1</v>
      </c>
      <c r="D189" s="268" t="n"/>
      <c r="E189" s="268" t="n"/>
      <c r="F189" s="269" t="n"/>
      <c r="G189" s="269" t="n"/>
      <c r="H189" s="270" t="n">
        <v>19500</v>
      </c>
      <c r="I189" s="271" t="n">
        <v>19500</v>
      </c>
      <c r="J189" s="271" t="n"/>
      <c r="K189" s="272" t="n"/>
      <c r="L189" s="272" t="n">
        <v>3700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ÁNGEL</t>
        </is>
      </c>
      <c r="C190" s="268" t="n"/>
      <c r="D190" s="268" t="n">
        <v>1</v>
      </c>
      <c r="E190" s="268" t="n"/>
      <c r="F190" s="269" t="n"/>
      <c r="G190" s="269" t="n"/>
      <c r="H190" s="270" t="n">
        <v>28500</v>
      </c>
      <c r="I190" s="271" t="n">
        <v>28500</v>
      </c>
      <c r="J190" s="271" t="n"/>
      <c r="K190" s="272" t="n"/>
      <c r="L190" s="272" t="n">
        <v>4800</v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DAMIÁN BENTEVEOS</t>
        </is>
      </c>
      <c r="C191" s="268" t="n"/>
      <c r="D191" s="268" t="n"/>
      <c r="E191" s="268" t="n">
        <v>1</v>
      </c>
      <c r="F191" s="269" t="n"/>
      <c r="G191" s="269" t="n"/>
      <c r="H191" s="270" t="n">
        <v>95000</v>
      </c>
      <c r="I191" s="271" t="n"/>
      <c r="J191" s="271" t="n">
        <v>95000</v>
      </c>
      <c r="K191" s="272" t="n"/>
      <c r="L191" s="272" t="n">
        <v>33000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MAMA NICO BUSTOS</t>
        </is>
      </c>
      <c r="C192" s="268" t="n">
        <v>2</v>
      </c>
      <c r="D192" s="268" t="n"/>
      <c r="E192" s="268" t="n"/>
      <c r="F192" s="269" t="n"/>
      <c r="G192" s="269" t="n"/>
      <c r="H192" s="270" t="n">
        <v>52000</v>
      </c>
      <c r="I192" s="271" t="n"/>
      <c r="J192" s="271" t="n">
        <v>52000</v>
      </c>
      <c r="K192" s="272" t="n"/>
      <c r="L192" s="272" t="n">
        <v>20400</v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VIANDAS JORGE</t>
        </is>
      </c>
      <c r="C193" s="268" t="n">
        <v>1</v>
      </c>
      <c r="D193" s="268" t="n"/>
      <c r="E193" s="268" t="n"/>
      <c r="F193" s="269" t="n"/>
      <c r="G193" s="269" t="n"/>
      <c r="H193" s="270" t="n">
        <v>23000</v>
      </c>
      <c r="I193" s="271" t="n">
        <v>23000</v>
      </c>
      <c r="J193" s="271" t="n"/>
      <c r="K193" s="272" t="n"/>
      <c r="L193" s="272" t="n">
        <v>7200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CHICLANA 6630</t>
        </is>
      </c>
      <c r="C194" s="268" t="n">
        <v>1</v>
      </c>
      <c r="D194" s="268" t="n"/>
      <c r="E194" s="268" t="n"/>
      <c r="F194" s="269" t="n"/>
      <c r="G194" s="269" t="n"/>
      <c r="H194" s="270" t="n">
        <v>120000</v>
      </c>
      <c r="I194" s="271" t="n">
        <v>120000</v>
      </c>
      <c r="J194" s="271" t="n"/>
      <c r="K194" s="272" t="n">
        <v>29000</v>
      </c>
      <c r="L194" s="272" t="n">
        <v>39200</v>
      </c>
      <c r="M194" s="156" t="n"/>
      <c r="N194" s="156" t="n"/>
      <c r="O194" s="156" t="n"/>
    </row>
    <row r="195" ht="18.75" customHeight="1" s="153">
      <c r="A195" s="279" t="n"/>
      <c r="B195" s="267" t="inlineStr">
        <is>
          <t>OTNIEL</t>
        </is>
      </c>
      <c r="C195" s="268" t="n"/>
      <c r="D195" s="268" t="n"/>
      <c r="E195" s="268" t="n">
        <v>1</v>
      </c>
      <c r="F195" s="269" t="n"/>
      <c r="G195" s="269" t="n"/>
      <c r="H195" s="270" t="n">
        <v>84000</v>
      </c>
      <c r="I195" s="271" t="n"/>
      <c r="J195" s="271" t="n">
        <v>84000</v>
      </c>
      <c r="K195" s="272" t="n"/>
      <c r="L195" s="272" t="n">
        <v>22000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COGORNO 5520</t>
        </is>
      </c>
      <c r="C196" s="268" t="n">
        <v>6</v>
      </c>
      <c r="D196" s="268" t="n"/>
      <c r="E196" s="268" t="n"/>
      <c r="F196" s="269" t="n"/>
      <c r="G196" s="269" t="n"/>
      <c r="H196" s="270" t="n">
        <v>123000</v>
      </c>
      <c r="I196" s="271" t="n"/>
      <c r="J196" s="271" t="n">
        <v>123000</v>
      </c>
      <c r="K196" s="272" t="n"/>
      <c r="L196" s="272" t="n">
        <v>28200</v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GORRITI 4600</t>
        </is>
      </c>
      <c r="C197" s="268" t="n"/>
      <c r="D197" s="268" t="n"/>
      <c r="E197" s="268" t="n">
        <v>1</v>
      </c>
      <c r="F197" s="269" t="n"/>
      <c r="G197" s="269" t="n"/>
      <c r="H197" s="270" t="n">
        <v>84000</v>
      </c>
      <c r="I197" s="271" t="n"/>
      <c r="J197" s="271" t="n">
        <v>84000</v>
      </c>
      <c r="K197" s="272" t="n"/>
      <c r="L197" s="272" t="n">
        <v>22000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9 DE JULIO 2107</t>
        </is>
      </c>
      <c r="C198" s="268" t="n">
        <v>1</v>
      </c>
      <c r="D198" s="268" t="n"/>
      <c r="E198" s="268" t="n"/>
      <c r="F198" s="269" t="n"/>
      <c r="G198" s="269" t="n"/>
      <c r="H198" s="270" t="n">
        <v>27000</v>
      </c>
      <c r="I198" s="271" t="n"/>
      <c r="J198" s="271" t="n">
        <v>27000</v>
      </c>
      <c r="K198" s="272" t="n"/>
      <c r="L198" s="272" t="n">
        <v>11200</v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MALAVER 3793</t>
        </is>
      </c>
      <c r="C199" s="268" t="n"/>
      <c r="D199" s="268" t="n"/>
      <c r="E199" s="268" t="n">
        <v>1</v>
      </c>
      <c r="F199" s="269" t="n"/>
      <c r="G199" s="269" t="n"/>
      <c r="H199" s="270" t="n">
        <v>91000</v>
      </c>
      <c r="I199" s="271" t="n">
        <v>91000</v>
      </c>
      <c r="J199" s="271" t="n"/>
      <c r="K199" s="272" t="n"/>
      <c r="L199" s="272" t="n">
        <v>29000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PUBLICO 2371</t>
        </is>
      </c>
      <c r="C200" s="268" t="n"/>
      <c r="D200" s="268" t="n"/>
      <c r="E200" s="268" t="n">
        <v>1</v>
      </c>
      <c r="F200" s="269" t="n"/>
      <c r="G200" s="269" t="n"/>
      <c r="H200" s="270" t="n">
        <v>89000</v>
      </c>
      <c r="I200" s="271" t="n">
        <v>89000</v>
      </c>
      <c r="J200" s="271" t="n"/>
      <c r="K200" s="272" t="n"/>
      <c r="L200" s="272" t="n">
        <v>27000</v>
      </c>
      <c r="M200" s="156" t="n"/>
      <c r="N200" s="156" t="n"/>
      <c r="O200" s="156" t="n"/>
    </row>
    <row r="201" ht="18.75" customHeight="1" s="153">
      <c r="A201" s="279" t="n">
        <v>46154</v>
      </c>
      <c r="B201" s="267" t="inlineStr">
        <is>
          <t>JJ PASO 3905</t>
        </is>
      </c>
      <c r="C201" s="268" t="n">
        <v>2</v>
      </c>
      <c r="D201" s="268" t="n">
        <v>1</v>
      </c>
      <c r="E201" s="268" t="n"/>
      <c r="F201" s="269" t="n"/>
      <c r="G201" s="269" t="n"/>
      <c r="H201" s="270" t="n">
        <v>91000</v>
      </c>
      <c r="I201" s="271" t="n"/>
      <c r="J201" s="271" t="n">
        <v>91000</v>
      </c>
      <c r="K201" s="272" t="n"/>
      <c r="L201" s="272" t="n">
        <v>35700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AZCUENAGA 5023</t>
        </is>
      </c>
      <c r="C202" s="268" t="n">
        <v>4</v>
      </c>
      <c r="D202" s="268" t="n"/>
      <c r="E202" s="268" t="n"/>
      <c r="F202" s="269" t="n"/>
      <c r="G202" s="269" t="n"/>
      <c r="H202" s="270" t="n">
        <v>80000</v>
      </c>
      <c r="I202" s="271" t="n"/>
      <c r="J202" s="271" t="n">
        <v>80000</v>
      </c>
      <c r="K202" s="272" t="n"/>
      <c r="L202" s="272" t="n">
        <v>16800</v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LUCHO</t>
        </is>
      </c>
      <c r="C203" s="268" t="n">
        <v>1</v>
      </c>
      <c r="D203" s="268" t="n"/>
      <c r="E203" s="268" t="n"/>
      <c r="F203" s="269" t="n"/>
      <c r="G203" s="269" t="n"/>
      <c r="H203" s="270" t="n">
        <v>20000</v>
      </c>
      <c r="I203" s="271" t="n"/>
      <c r="J203" s="271" t="n">
        <v>20000</v>
      </c>
      <c r="K203" s="272" t="n"/>
      <c r="L203" s="272" t="n">
        <v>4200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ÁNGEL</t>
        </is>
      </c>
      <c r="C204" s="268" t="n"/>
      <c r="D204" s="268" t="n">
        <v>1</v>
      </c>
      <c r="E204" s="268" t="n"/>
      <c r="F204" s="269" t="n"/>
      <c r="G204" s="269" t="n"/>
      <c r="H204" s="270" t="n">
        <v>28500</v>
      </c>
      <c r="I204" s="271" t="n">
        <v>28500</v>
      </c>
      <c r="J204" s="271" t="n"/>
      <c r="K204" s="272" t="n"/>
      <c r="L204" s="272" t="n">
        <v>4800</v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PANA VIEYTES 4500</t>
        </is>
      </c>
      <c r="C205" s="268" t="n"/>
      <c r="D205" s="268" t="n"/>
      <c r="E205" s="268" t="n">
        <v>1</v>
      </c>
      <c r="F205" s="269" t="n"/>
      <c r="G205" s="269" t="n"/>
      <c r="H205" s="270" t="n">
        <v>81000</v>
      </c>
      <c r="I205" s="271" t="n"/>
      <c r="J205" s="271" t="n">
        <v>81000</v>
      </c>
      <c r="K205" s="272" t="n"/>
      <c r="L205" s="272" t="n">
        <v>19000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ESPORA 3540</t>
        </is>
      </c>
      <c r="C206" s="268" t="n">
        <v>1</v>
      </c>
      <c r="D206" s="268" t="n"/>
      <c r="E206" s="268" t="n"/>
      <c r="F206" s="269" t="n"/>
      <c r="G206" s="269" t="n"/>
      <c r="H206" s="270" t="n">
        <v>26000</v>
      </c>
      <c r="I206" s="271" t="n">
        <v>26000</v>
      </c>
      <c r="J206" s="271" t="n"/>
      <c r="K206" s="272" t="n"/>
      <c r="L206" s="272" t="n">
        <v>10200</v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ESTANISLAO DEL CAMPO 1613</t>
        </is>
      </c>
      <c r="C207" s="268" t="n">
        <v>1</v>
      </c>
      <c r="D207" s="268" t="n"/>
      <c r="E207" s="268" t="n"/>
      <c r="F207" s="269" t="n"/>
      <c r="G207" s="269" t="n"/>
      <c r="H207" s="270" t="n">
        <v>27000</v>
      </c>
      <c r="I207" s="271" t="n"/>
      <c r="J207" s="271" t="n">
        <v>27000</v>
      </c>
      <c r="K207" s="272" t="n"/>
      <c r="L207" s="272" t="n">
        <v>11200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LA RIOJA 3730</t>
        </is>
      </c>
      <c r="C208" s="268" t="n">
        <v>1</v>
      </c>
      <c r="D208" s="268" t="n"/>
      <c r="E208" s="268" t="n"/>
      <c r="F208" s="269" t="n"/>
      <c r="G208" s="269" t="n"/>
      <c r="H208" s="270" t="n">
        <v>26000</v>
      </c>
      <c r="I208" s="271" t="n"/>
      <c r="J208" s="271" t="n">
        <v>26000</v>
      </c>
      <c r="K208" s="272" t="n"/>
      <c r="L208" s="272" t="n">
        <v>10200</v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M POLONIA 3065</t>
        </is>
      </c>
      <c r="C209" s="268" t="n">
        <v>4</v>
      </c>
      <c r="D209" s="268" t="n"/>
      <c r="E209" s="268" t="n"/>
      <c r="F209" s="269" t="n"/>
      <c r="G209" s="269" t="n"/>
      <c r="H209" s="270" t="n">
        <v>104000</v>
      </c>
      <c r="I209" s="271" t="n">
        <v>104000</v>
      </c>
      <c r="J209" s="271" t="n"/>
      <c r="K209" s="272" t="n"/>
      <c r="L209" s="272" t="n">
        <v>40800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ROTI ARISTÓBULO</t>
        </is>
      </c>
      <c r="C210" s="268" t="n"/>
      <c r="D210" s="268" t="n">
        <v>1</v>
      </c>
      <c r="E210" s="268" t="n"/>
      <c r="F210" s="269" t="n"/>
      <c r="G210" s="269" t="n"/>
      <c r="H210" s="270" t="n">
        <v>36000</v>
      </c>
      <c r="I210" s="271" t="n"/>
      <c r="J210" s="271" t="n">
        <v>36000</v>
      </c>
      <c r="K210" s="272" t="n"/>
      <c r="L210" s="272" t="n">
        <v>12300</v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MORENO 3669</t>
        </is>
      </c>
      <c r="C211" s="268" t="n">
        <v>1</v>
      </c>
      <c r="D211" s="268" t="n"/>
      <c r="E211" s="268" t="n"/>
      <c r="F211" s="269" t="n"/>
      <c r="G211" s="269" t="n"/>
      <c r="H211" s="270" t="n">
        <v>26000</v>
      </c>
      <c r="I211" s="271" t="n">
        <v>26000</v>
      </c>
      <c r="J211" s="271" t="n"/>
      <c r="K211" s="272" t="n"/>
      <c r="L211" s="272" t="n">
        <v>10200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SANDRA</t>
        </is>
      </c>
      <c r="C212" s="268" t="n"/>
      <c r="D212" s="268" t="n">
        <v>2</v>
      </c>
      <c r="E212" s="268" t="n"/>
      <c r="F212" s="269" t="n"/>
      <c r="G212" s="269" t="n">
        <v>2</v>
      </c>
      <c r="H212" s="270" t="n">
        <v>70000</v>
      </c>
      <c r="I212" s="271" t="n">
        <v>70000</v>
      </c>
      <c r="J212" s="271" t="n"/>
      <c r="K212" s="272" t="n"/>
      <c r="L212" s="272" t="n">
        <v>20760</v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PEÑALOZA 9757</t>
        </is>
      </c>
      <c r="C213" s="268" t="n">
        <v>2</v>
      </c>
      <c r="D213" s="268" t="n"/>
      <c r="E213" s="268" t="n"/>
      <c r="F213" s="269" t="n"/>
      <c r="G213" s="269" t="n"/>
      <c r="H213" s="270" t="n">
        <v>52000</v>
      </c>
      <c r="I213" s="271" t="n">
        <v>52000</v>
      </c>
      <c r="J213" s="271" t="n"/>
      <c r="K213" s="272" t="n"/>
      <c r="L213" s="272" t="n">
        <v>20400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MARIO</t>
        </is>
      </c>
      <c r="C214" s="268" t="n">
        <v>3</v>
      </c>
      <c r="D214" s="268" t="n"/>
      <c r="E214" s="268" t="n"/>
      <c r="F214" s="269" t="n"/>
      <c r="G214" s="269" t="n"/>
      <c r="H214" s="270" t="n">
        <v>57000</v>
      </c>
      <c r="I214" s="271" t="n"/>
      <c r="J214" s="271" t="n">
        <v>57000</v>
      </c>
      <c r="K214" s="272" t="n"/>
      <c r="L214" s="272" t="n">
        <v>9600</v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VIEYTES 4361</t>
        </is>
      </c>
      <c r="C215" s="268" t="n">
        <v>2</v>
      </c>
      <c r="D215" s="268" t="n"/>
      <c r="E215" s="268" t="n"/>
      <c r="F215" s="269" t="n"/>
      <c r="G215" s="269" t="n"/>
      <c r="H215" s="270" t="n">
        <v>52000</v>
      </c>
      <c r="I215" s="271" t="n">
        <v>52000</v>
      </c>
      <c r="J215" s="271" t="n"/>
      <c r="K215" s="272" t="n"/>
      <c r="L215" s="272" t="n">
        <v>20400</v>
      </c>
      <c r="M215" s="156" t="n"/>
      <c r="N215" s="156" t="n"/>
      <c r="O215" s="156" t="n"/>
    </row>
    <row r="216" ht="18.75" customHeight="1" s="153">
      <c r="A216" s="279" t="n"/>
      <c r="B216" s="267" t="inlineStr">
        <is>
          <t>FILOMENA</t>
        </is>
      </c>
      <c r="C216" s="268" t="n">
        <v>2</v>
      </c>
      <c r="D216" s="268" t="n"/>
      <c r="E216" s="268" t="n"/>
      <c r="F216" s="269" t="n"/>
      <c r="G216" s="269" t="n"/>
      <c r="H216" s="270" t="n">
        <v>49000</v>
      </c>
      <c r="I216" s="271" t="n"/>
      <c r="J216" s="271" t="n">
        <v>49000</v>
      </c>
      <c r="K216" s="272" t="n"/>
      <c r="L216" s="272" t="n">
        <v>17400</v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DRUGSTORE LO DE NICO</t>
        </is>
      </c>
      <c r="C217" s="268" t="n">
        <v>4</v>
      </c>
      <c r="D217" s="268" t="n"/>
      <c r="E217" s="268" t="n"/>
      <c r="F217" s="269" t="n"/>
      <c r="G217" s="269" t="n"/>
      <c r="H217" s="270" t="n">
        <v>82000</v>
      </c>
      <c r="I217" s="271" t="n"/>
      <c r="J217" s="271" t="n">
        <v>82000</v>
      </c>
      <c r="K217" s="272" t="n"/>
      <c r="L217" s="272" t="n">
        <v>18800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9 DE JULIO 1144</t>
        </is>
      </c>
      <c r="C218" s="268" t="n"/>
      <c r="D218" s="268" t="n"/>
      <c r="E218" s="268" t="n">
        <v>2</v>
      </c>
      <c r="F218" s="269" t="n"/>
      <c r="G218" s="269" t="n"/>
      <c r="H218" s="270" t="n">
        <v>184000</v>
      </c>
      <c r="I218" s="271" t="n"/>
      <c r="J218" s="271" t="n">
        <v>184000</v>
      </c>
      <c r="K218" s="272" t="n"/>
      <c r="L218" s="272" t="n">
        <v>60000</v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DANA</t>
        </is>
      </c>
      <c r="C219" s="268" t="n">
        <v>4</v>
      </c>
      <c r="D219" s="268" t="n"/>
      <c r="E219" s="268" t="n"/>
      <c r="F219" s="269" t="n"/>
      <c r="G219" s="269" t="n"/>
      <c r="H219" s="270" t="n">
        <v>80000</v>
      </c>
      <c r="I219" s="271" t="n">
        <v>80000</v>
      </c>
      <c r="J219" s="271" t="n"/>
      <c r="K219" s="272" t="n"/>
      <c r="L219" s="272" t="n">
        <v>16800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PANA VIEYTES GISELA</t>
        </is>
      </c>
      <c r="C220" s="268" t="n">
        <v>1</v>
      </c>
      <c r="D220" s="268" t="n"/>
      <c r="E220" s="268" t="n"/>
      <c r="F220" s="269" t="n"/>
      <c r="G220" s="269" t="n"/>
      <c r="H220" s="270" t="n">
        <v>24000</v>
      </c>
      <c r="I220" s="271" t="n"/>
      <c r="J220" s="271" t="n">
        <v>24000</v>
      </c>
      <c r="K220" s="272" t="n"/>
      <c r="L220" s="272" t="n">
        <v>8200</v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PANDOLFO 8845</t>
        </is>
      </c>
      <c r="C221" s="268" t="n"/>
      <c r="D221" s="268" t="n"/>
      <c r="E221" s="268" t="n">
        <v>1</v>
      </c>
      <c r="F221" s="269" t="n"/>
      <c r="G221" s="269" t="n"/>
      <c r="H221" s="270" t="n">
        <v>89000</v>
      </c>
      <c r="I221" s="271" t="n">
        <v>89000</v>
      </c>
      <c r="J221" s="271" t="n"/>
      <c r="K221" s="272" t="n"/>
      <c r="L221" s="272" t="n">
        <v>27000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CASANELLO 3463</t>
        </is>
      </c>
      <c r="C222" s="268" t="n">
        <v>1</v>
      </c>
      <c r="D222" s="268" t="n"/>
      <c r="E222" s="268" t="n"/>
      <c r="F222" s="269" t="n"/>
      <c r="G222" s="269" t="n"/>
      <c r="H222" s="270" t="n">
        <v>26000</v>
      </c>
      <c r="I222" s="271" t="n">
        <v>26000</v>
      </c>
      <c r="J222" s="271" t="n"/>
      <c r="K222" s="272" t="n"/>
      <c r="L222" s="272" t="n">
        <v>10200</v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LA SALLE 3904</t>
        </is>
      </c>
      <c r="C223" s="268" t="n"/>
      <c r="D223" s="268" t="n"/>
      <c r="E223" s="268" t="n">
        <v>1</v>
      </c>
      <c r="F223" s="269" t="n"/>
      <c r="G223" s="269" t="n"/>
      <c r="H223" s="270" t="n">
        <v>89000</v>
      </c>
      <c r="I223" s="271" t="n">
        <v>89000</v>
      </c>
      <c r="J223" s="271" t="n"/>
      <c r="K223" s="272" t="n"/>
      <c r="L223" s="272" t="n">
        <v>27000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GENERAL PAZ 6721</t>
        </is>
      </c>
      <c r="C224" s="268" t="n">
        <v>1</v>
      </c>
      <c r="D224" s="268" t="n"/>
      <c r="E224" s="268" t="n"/>
      <c r="F224" s="269" t="n"/>
      <c r="G224" s="269" t="n"/>
      <c r="H224" s="270" t="n">
        <v>26000</v>
      </c>
      <c r="I224" s="271" t="n"/>
      <c r="J224" s="271" t="n">
        <v>26000</v>
      </c>
      <c r="K224" s="272" t="n"/>
      <c r="L224" s="272" t="n">
        <v>10200</v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FRANCIA 3285</t>
        </is>
      </c>
      <c r="C225" s="268" t="n">
        <v>3</v>
      </c>
      <c r="D225" s="268" t="n"/>
      <c r="E225" s="268" t="n"/>
      <c r="F225" s="269" t="n"/>
      <c r="G225" s="269" t="n"/>
      <c r="H225" s="270" t="n">
        <v>78000</v>
      </c>
      <c r="I225" s="271" t="n">
        <v>78000</v>
      </c>
      <c r="J225" s="271" t="n"/>
      <c r="K225" s="272" t="n"/>
      <c r="L225" s="272" t="n">
        <v>30600</v>
      </c>
      <c r="M225" s="156" t="n"/>
      <c r="N225" s="156" t="n"/>
      <c r="O225" s="156" t="n"/>
    </row>
    <row r="226" ht="18.75" customHeight="1" s="153">
      <c r="A226" s="279" t="n">
        <v>46155</v>
      </c>
      <c r="B226" s="267" t="inlineStr">
        <is>
          <t>ACSIAS 10301</t>
        </is>
      </c>
      <c r="C226" s="268" t="n">
        <v>2</v>
      </c>
      <c r="D226" s="268" t="n"/>
      <c r="E226" s="268" t="n"/>
      <c r="F226" s="269" t="n"/>
      <c r="G226" s="269" t="n"/>
      <c r="H226" s="270" t="n">
        <v>54000</v>
      </c>
      <c r="I226" s="271" t="n"/>
      <c r="J226" s="271" t="n">
        <v>54000</v>
      </c>
      <c r="K226" s="272" t="n"/>
      <c r="L226" s="272" t="n">
        <v>22400</v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CHICLANA 7325</t>
        </is>
      </c>
      <c r="C227" s="268" t="n">
        <v>1</v>
      </c>
      <c r="D227" s="268" t="n"/>
      <c r="E227" s="268" t="n"/>
      <c r="F227" s="269" t="n"/>
      <c r="G227" s="269" t="n"/>
      <c r="H227" s="270" t="n">
        <v>20000</v>
      </c>
      <c r="I227" s="271" t="n"/>
      <c r="J227" s="271" t="n">
        <v>20000</v>
      </c>
      <c r="K227" s="272" t="n"/>
      <c r="L227" s="272" t="n">
        <v>4200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PUBLICO 8821</t>
        </is>
      </c>
      <c r="C228" s="268" t="n"/>
      <c r="D228" s="268" t="n"/>
      <c r="E228" s="268" t="n">
        <v>1</v>
      </c>
      <c r="F228" s="269" t="n"/>
      <c r="G228" s="269" t="n"/>
      <c r="H228" s="270" t="n">
        <v>91000</v>
      </c>
      <c r="I228" s="271" t="n"/>
      <c r="J228" s="271" t="n">
        <v>91000</v>
      </c>
      <c r="K228" s="272" t="n"/>
      <c r="L228" s="272" t="n">
        <v>29000</v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ÁNGEL</t>
        </is>
      </c>
      <c r="C229" s="268" t="n"/>
      <c r="D229" s="268" t="n">
        <v>1</v>
      </c>
      <c r="E229" s="268" t="n"/>
      <c r="F229" s="269" t="n"/>
      <c r="G229" s="269" t="n"/>
      <c r="H229" s="270" t="n">
        <v>28500</v>
      </c>
      <c r="I229" s="271" t="n">
        <v>28500</v>
      </c>
      <c r="J229" s="271" t="n"/>
      <c r="K229" s="272" t="n"/>
      <c r="L229" s="272" t="n">
        <v>4800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BEATRIZ</t>
        </is>
      </c>
      <c r="C230" s="268" t="n"/>
      <c r="D230" s="268" t="n"/>
      <c r="E230" s="268" t="n"/>
      <c r="F230" s="269" t="n"/>
      <c r="G230" s="269" t="n">
        <v>1</v>
      </c>
      <c r="H230" s="270" t="n">
        <v>6000</v>
      </c>
      <c r="I230" s="271" t="n"/>
      <c r="J230" s="271" t="n">
        <v>6000</v>
      </c>
      <c r="K230" s="272" t="n"/>
      <c r="L230" s="272" t="n">
        <v>5080</v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LOBOS</t>
        </is>
      </c>
      <c r="C231" s="268" t="n">
        <v>1</v>
      </c>
      <c r="D231" s="268" t="n"/>
      <c r="E231" s="268" t="n">
        <v>1</v>
      </c>
      <c r="F231" s="269" t="n"/>
      <c r="G231" s="269" t="n"/>
      <c r="H231" s="270" t="n">
        <v>117000</v>
      </c>
      <c r="I231" s="271" t="n">
        <v>117000</v>
      </c>
      <c r="J231" s="271" t="n"/>
      <c r="K231" s="272" t="n"/>
      <c r="L231" s="272" t="n">
        <v>39200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TOFFO MAMA</t>
        </is>
      </c>
      <c r="C232" s="268" t="n"/>
      <c r="D232" s="268" t="n">
        <v>1</v>
      </c>
      <c r="E232" s="268" t="n"/>
      <c r="F232" s="269" t="n"/>
      <c r="G232" s="269" t="n"/>
      <c r="H232" s="270" t="n">
        <v>39500</v>
      </c>
      <c r="I232" s="271" t="n">
        <v>39500</v>
      </c>
      <c r="J232" s="271" t="n"/>
      <c r="K232" s="272" t="n"/>
      <c r="L232" s="272" t="n">
        <v>15800</v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70" t="n">
        <v>40000</v>
      </c>
      <c r="I233" s="271" t="n"/>
      <c r="J233" s="271" t="n">
        <v>40000</v>
      </c>
      <c r="K233" s="272" t="n"/>
      <c r="L233" s="272" t="n">
        <v>8400</v>
      </c>
      <c r="M233" s="156" t="n"/>
      <c r="N233" s="156" t="n"/>
      <c r="O233" s="156" t="n"/>
    </row>
    <row r="234" ht="18.75" customHeight="1" s="153">
      <c r="A234" s="279" t="n"/>
      <c r="B234" s="267" t="inlineStr">
        <is>
          <t>CASTELLI 5351</t>
        </is>
      </c>
      <c r="C234" s="268" t="n">
        <v>1</v>
      </c>
      <c r="D234" s="268" t="n"/>
      <c r="E234" s="268" t="n"/>
      <c r="F234" s="269" t="n"/>
      <c r="G234" s="269" t="n"/>
      <c r="H234" s="270" t="n">
        <v>26000</v>
      </c>
      <c r="I234" s="271" t="n">
        <v>26000</v>
      </c>
      <c r="J234" s="271" t="n"/>
      <c r="K234" s="272" t="n"/>
      <c r="L234" s="272" t="n">
        <v>10200</v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4 DE ENERO 2646</t>
        </is>
      </c>
      <c r="C235" s="268" t="n">
        <v>1</v>
      </c>
      <c r="D235" s="268" t="n"/>
      <c r="E235" s="268" t="n"/>
      <c r="F235" s="269" t="n"/>
      <c r="G235" s="269" t="n"/>
      <c r="H235" s="270" t="n">
        <v>26000</v>
      </c>
      <c r="I235" s="271" t="n">
        <v>26000</v>
      </c>
      <c r="J235" s="271" t="n"/>
      <c r="K235" s="272" t="n"/>
      <c r="L235" s="272" t="n">
        <v>10200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ROTI VIEYTES</t>
        </is>
      </c>
      <c r="C236" s="268" t="n"/>
      <c r="D236" s="268" t="n">
        <v>2</v>
      </c>
      <c r="E236" s="268" t="n"/>
      <c r="F236" s="269" t="n"/>
      <c r="G236" s="269" t="n"/>
      <c r="H236" s="270" t="n">
        <v>64000</v>
      </c>
      <c r="I236" s="271" t="n"/>
      <c r="J236" s="271" t="n">
        <v>64000</v>
      </c>
      <c r="K236" s="272" t="n"/>
      <c r="L236" s="272" t="n">
        <v>16600</v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SANTIAGO CHILE 5832</t>
        </is>
      </c>
      <c r="C237" s="268" t="n">
        <v>1</v>
      </c>
      <c r="D237" s="268" t="n"/>
      <c r="E237" s="268" t="n"/>
      <c r="F237" s="269" t="n"/>
      <c r="G237" s="269" t="n"/>
      <c r="H237" s="270" t="n">
        <v>26000</v>
      </c>
      <c r="I237" s="271" t="n">
        <v>26000</v>
      </c>
      <c r="J237" s="271" t="n"/>
      <c r="K237" s="272" t="n"/>
      <c r="L237" s="272" t="n">
        <v>10200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DANA</t>
        </is>
      </c>
      <c r="C238" s="268" t="n"/>
      <c r="D238" s="268" t="n">
        <v>1</v>
      </c>
      <c r="E238" s="268" t="n"/>
      <c r="F238" s="269" t="n"/>
      <c r="G238" s="269" t="n"/>
      <c r="H238" s="270" t="n">
        <v>31000</v>
      </c>
      <c r="I238" s="271" t="n">
        <v>31000</v>
      </c>
      <c r="J238" s="271" t="n"/>
      <c r="K238" s="272" t="n"/>
      <c r="L238" s="272" t="n">
        <v>7300</v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JM ZUVIRIA 1852</t>
        </is>
      </c>
      <c r="C239" s="268" t="n"/>
      <c r="D239" s="268" t="n"/>
      <c r="E239" s="268" t="n">
        <v>1</v>
      </c>
      <c r="F239" s="269" t="n"/>
      <c r="G239" s="269" t="n"/>
      <c r="H239" s="270" t="n">
        <v>92000</v>
      </c>
      <c r="I239" s="271" t="n"/>
      <c r="J239" s="271" t="n">
        <v>92000</v>
      </c>
      <c r="K239" s="272" t="n"/>
      <c r="L239" s="272" t="n">
        <v>30000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CAREN</t>
        </is>
      </c>
      <c r="C240" s="268" t="n"/>
      <c r="D240" s="268" t="n"/>
      <c r="E240" s="268" t="n">
        <v>1</v>
      </c>
      <c r="F240" s="269" t="n"/>
      <c r="G240" s="269" t="n"/>
      <c r="H240" s="270" t="n">
        <v>85000</v>
      </c>
      <c r="I240" s="271" t="n"/>
      <c r="J240" s="271" t="n">
        <v>85000</v>
      </c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AYACUCHO 5284</t>
        </is>
      </c>
      <c r="C241" s="268" t="n">
        <v>1</v>
      </c>
      <c r="D241" s="268" t="n"/>
      <c r="E241" s="268" t="n"/>
      <c r="F241" s="269" t="n"/>
      <c r="G241" s="269" t="n"/>
      <c r="H241" s="270" t="n">
        <v>26000</v>
      </c>
      <c r="I241" s="271" t="n"/>
      <c r="J241" s="271" t="n">
        <v>26000</v>
      </c>
      <c r="K241" s="272" t="n"/>
      <c r="L241" s="272" t="n">
        <v>10200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HERNANDARIAS 3445</t>
        </is>
      </c>
      <c r="C242" s="268" t="n">
        <v>1</v>
      </c>
      <c r="D242" s="268" t="n"/>
      <c r="E242" s="268" t="n"/>
      <c r="F242" s="269" t="n"/>
      <c r="G242" s="269" t="n"/>
      <c r="H242" s="270" t="n">
        <v>26000</v>
      </c>
      <c r="I242" s="271" t="n">
        <v>26000</v>
      </c>
      <c r="J242" s="271" t="n"/>
      <c r="K242" s="272" t="n"/>
      <c r="L242" s="272" t="n">
        <v>10200</v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HERNANDARIAS 2253</t>
        </is>
      </c>
      <c r="C243" s="268" t="n"/>
      <c r="D243" s="268" t="n">
        <v>1</v>
      </c>
      <c r="E243" s="268" t="n"/>
      <c r="F243" s="269" t="n"/>
      <c r="G243" s="269" t="n"/>
      <c r="H243" s="270" t="n">
        <v>39500</v>
      </c>
      <c r="I243" s="271" t="n"/>
      <c r="J243" s="271" t="n">
        <v>39500</v>
      </c>
      <c r="K243" s="272" t="n"/>
      <c r="L243" s="272" t="n">
        <v>15800</v>
      </c>
      <c r="M243" s="156" t="n"/>
      <c r="N243" s="156" t="n"/>
      <c r="O243" s="156" t="n"/>
    </row>
    <row r="244" ht="18.75" customHeight="1" s="153">
      <c r="A244" s="279" t="n">
        <v>46156</v>
      </c>
      <c r="B244" s="267" t="inlineStr">
        <is>
          <t>VALDIVIESO 6832</t>
        </is>
      </c>
      <c r="C244" s="268" t="n"/>
      <c r="D244" s="268" t="n"/>
      <c r="E244" s="268" t="n">
        <v>1</v>
      </c>
      <c r="F244" s="269" t="n"/>
      <c r="G244" s="269" t="n"/>
      <c r="H244" s="270" t="n">
        <v>91000</v>
      </c>
      <c r="I244" s="271" t="n"/>
      <c r="J244" s="271" t="n">
        <v>91000</v>
      </c>
      <c r="K244" s="272" t="n"/>
      <c r="L244" s="272" t="n">
        <v>29000</v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RIVADAVIA 6330</t>
        </is>
      </c>
      <c r="C245" s="268" t="n">
        <v>1</v>
      </c>
      <c r="D245" s="268" t="n"/>
      <c r="E245" s="268" t="n"/>
      <c r="F245" s="269" t="n"/>
      <c r="G245" s="269" t="n"/>
      <c r="H245" s="270" t="n">
        <v>27000</v>
      </c>
      <c r="I245" s="271" t="n">
        <v>27000</v>
      </c>
      <c r="J245" s="271" t="n"/>
      <c r="K245" s="272" t="n"/>
      <c r="L245" s="272" t="n">
        <v>11200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MAIPU 3315</t>
        </is>
      </c>
      <c r="C246" s="268" t="n"/>
      <c r="D246" s="268" t="n"/>
      <c r="E246" s="268" t="n">
        <v>1</v>
      </c>
      <c r="F246" s="269" t="n"/>
      <c r="G246" s="269" t="n"/>
      <c r="H246" s="270" t="n">
        <v>91000</v>
      </c>
      <c r="I246" s="271" t="n"/>
      <c r="J246" s="271" t="n">
        <v>91000</v>
      </c>
      <c r="K246" s="272" t="n"/>
      <c r="L246" s="272" t="n">
        <v>29000</v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COSTA ESTE 1980</t>
        </is>
      </c>
      <c r="C247" s="268" t="n">
        <v>4</v>
      </c>
      <c r="D247" s="268" t="n"/>
      <c r="E247" s="268" t="n"/>
      <c r="F247" s="269" t="n"/>
      <c r="G247" s="269" t="n"/>
      <c r="H247" s="270" t="n">
        <v>112000</v>
      </c>
      <c r="I247" s="271" t="n">
        <v>112000</v>
      </c>
      <c r="J247" s="271" t="n"/>
      <c r="K247" s="272" t="n"/>
      <c r="L247" s="272" t="n">
        <v>48800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ÁNGEL</t>
        </is>
      </c>
      <c r="C248" s="268" t="n">
        <v>1</v>
      </c>
      <c r="D248" s="268" t="n">
        <v>1</v>
      </c>
      <c r="E248" s="268" t="n"/>
      <c r="F248" s="269" t="n"/>
      <c r="G248" s="269" t="n"/>
      <c r="H248" s="270" t="n">
        <v>47500</v>
      </c>
      <c r="I248" s="271" t="n">
        <v>47500</v>
      </c>
      <c r="J248" s="271" t="n"/>
      <c r="K248" s="272" t="n"/>
      <c r="L248" s="272" t="n">
        <v>8000</v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VIANDAS JORGE</t>
        </is>
      </c>
      <c r="C249" s="268" t="n">
        <v>1</v>
      </c>
      <c r="D249" s="268" t="n"/>
      <c r="E249" s="268" t="n"/>
      <c r="F249" s="269" t="n"/>
      <c r="G249" s="269" t="n"/>
      <c r="H249" s="270" t="n">
        <v>23000</v>
      </c>
      <c r="I249" s="271" t="n">
        <v>23000</v>
      </c>
      <c r="J249" s="271" t="n"/>
      <c r="K249" s="272" t="n"/>
      <c r="L249" s="272" t="n">
        <v>7200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CAMELLI 4860</t>
        </is>
      </c>
      <c r="C250" s="268" t="n">
        <v>1</v>
      </c>
      <c r="D250" s="268" t="n"/>
      <c r="E250" s="268" t="n"/>
      <c r="F250" s="269" t="n"/>
      <c r="G250" s="269" t="n"/>
      <c r="H250" s="270" t="n">
        <v>27000</v>
      </c>
      <c r="I250" s="271" t="n"/>
      <c r="J250" s="271" t="n">
        <v>27000</v>
      </c>
      <c r="K250" s="272" t="n"/>
      <c r="L250" s="272" t="n">
        <v>11200</v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AZCUENAGA 5023</t>
        </is>
      </c>
      <c r="C251" s="268" t="n">
        <v>4</v>
      </c>
      <c r="D251" s="268" t="n"/>
      <c r="E251" s="268" t="n"/>
      <c r="F251" s="269" t="n"/>
      <c r="G251" s="269" t="n"/>
      <c r="H251" s="270" t="n">
        <v>80000</v>
      </c>
      <c r="I251" s="271" t="n"/>
      <c r="J251" s="271" t="n">
        <v>80000</v>
      </c>
      <c r="K251" s="272" t="n"/>
      <c r="L251" s="272" t="n">
        <v>16800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PJE BOEDO 1637</t>
        </is>
      </c>
      <c r="C252" s="268" t="n">
        <v>1</v>
      </c>
      <c r="D252" s="268" t="n"/>
      <c r="E252" s="268" t="n"/>
      <c r="F252" s="269" t="n"/>
      <c r="G252" s="269" t="n"/>
      <c r="H252" s="270" t="n">
        <v>27000</v>
      </c>
      <c r="I252" s="271" t="n">
        <v>27000</v>
      </c>
      <c r="J252" s="271" t="n"/>
      <c r="K252" s="272" t="n"/>
      <c r="L252" s="272" t="n">
        <v>11200</v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LAS HERAS 5947</t>
        </is>
      </c>
      <c r="C253" s="268" t="n">
        <v>1</v>
      </c>
      <c r="D253" s="268" t="n"/>
      <c r="E253" s="268" t="n"/>
      <c r="F253" s="269" t="n"/>
      <c r="G253" s="269" t="n"/>
      <c r="H253" s="270" t="n">
        <v>27000</v>
      </c>
      <c r="I253" s="271" t="n"/>
      <c r="J253" s="271" t="n">
        <v>27000</v>
      </c>
      <c r="K253" s="272" t="n"/>
      <c r="L253" s="272" t="n">
        <v>11200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PICHI</t>
        </is>
      </c>
      <c r="C254" s="268" t="n">
        <v>1</v>
      </c>
      <c r="D254" s="268" t="n"/>
      <c r="E254" s="268" t="n"/>
      <c r="F254" s="269" t="n"/>
      <c r="G254" s="269" t="n"/>
      <c r="H254" s="270" t="n">
        <v>22000</v>
      </c>
      <c r="I254" s="271" t="n"/>
      <c r="J254" s="271" t="n">
        <v>22000</v>
      </c>
      <c r="K254" s="272" t="n"/>
      <c r="L254" s="272" t="n">
        <v>6200</v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ROTI SAN LORENZO</t>
        </is>
      </c>
      <c r="C255" s="268" t="n">
        <v>2</v>
      </c>
      <c r="D255" s="268" t="n">
        <v>2</v>
      </c>
      <c r="E255" s="268" t="n"/>
      <c r="F255" s="269" t="n"/>
      <c r="G255" s="269" t="n"/>
      <c r="H255" s="270" t="n">
        <v>125000</v>
      </c>
      <c r="I255" s="271" t="n"/>
      <c r="J255" s="271" t="n">
        <v>125000</v>
      </c>
      <c r="K255" s="272" t="n"/>
      <c r="L255" s="272" t="n">
        <v>46000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SANTA BAR 1 MAYO 1959</t>
        </is>
      </c>
      <c r="C256" s="268" t="n"/>
      <c r="D256" s="268" t="n"/>
      <c r="E256" s="268" t="n">
        <v>1</v>
      </c>
      <c r="F256" s="269" t="n"/>
      <c r="G256" s="269" t="n"/>
      <c r="H256" s="270" t="n">
        <v>88000</v>
      </c>
      <c r="I256" s="271" t="n">
        <v>43000</v>
      </c>
      <c r="J256" s="271" t="n">
        <v>45000</v>
      </c>
      <c r="K256" s="272" t="n"/>
      <c r="L256" s="272" t="n">
        <v>26000</v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ARENALES 10625</t>
        </is>
      </c>
      <c r="C257" s="268" t="n">
        <v>2</v>
      </c>
      <c r="D257" s="268" t="n"/>
      <c r="E257" s="268" t="n">
        <v>1</v>
      </c>
      <c r="F257" s="269" t="n"/>
      <c r="G257" s="269" t="n"/>
      <c r="H257" s="270" t="n">
        <v>112000</v>
      </c>
      <c r="I257" s="271" t="n">
        <v>112000</v>
      </c>
      <c r="J257" s="271" t="n"/>
      <c r="K257" s="272" t="n"/>
      <c r="L257" s="272" t="n">
        <v>18400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AZOPARDO 8443</t>
        </is>
      </c>
      <c r="C258" s="268" t="n">
        <v>1</v>
      </c>
      <c r="D258" s="268" t="n"/>
      <c r="E258" s="268" t="n"/>
      <c r="F258" s="269" t="n"/>
      <c r="G258" s="269" t="n"/>
      <c r="H258" s="270" t="n">
        <v>26000</v>
      </c>
      <c r="I258" s="271" t="n">
        <v>26000</v>
      </c>
      <c r="J258" s="271" t="n"/>
      <c r="K258" s="272" t="n"/>
      <c r="L258" s="272" t="n">
        <v>10200</v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PAPA BRUNO</t>
        </is>
      </c>
      <c r="C259" s="268" t="n"/>
      <c r="D259" s="268" t="n">
        <v>1</v>
      </c>
      <c r="E259" s="268" t="n"/>
      <c r="F259" s="269" t="n"/>
      <c r="G259" s="269" t="n"/>
      <c r="H259" s="270" t="n">
        <v>37500</v>
      </c>
      <c r="I259" s="271" t="n"/>
      <c r="J259" s="271" t="n">
        <v>37500</v>
      </c>
      <c r="K259" s="272" t="n"/>
      <c r="L259" s="272" t="n">
        <v>13800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DAMIANOVICH 6212</t>
        </is>
      </c>
      <c r="C260" s="268" t="n"/>
      <c r="D260" s="268" t="n"/>
      <c r="E260" s="268" t="n">
        <v>1</v>
      </c>
      <c r="F260" s="269" t="n"/>
      <c r="G260" s="269" t="n"/>
      <c r="H260" s="270" t="n">
        <v>92000</v>
      </c>
      <c r="I260" s="271" t="n"/>
      <c r="J260" s="271" t="n">
        <v>92000</v>
      </c>
      <c r="K260" s="272" t="n"/>
      <c r="L260" s="272" t="n">
        <v>30000</v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LO DE NICO</t>
        </is>
      </c>
      <c r="C261" s="268" t="n">
        <v>4</v>
      </c>
      <c r="D261" s="268" t="n"/>
      <c r="E261" s="268" t="n"/>
      <c r="F261" s="269" t="n"/>
      <c r="G261" s="269" t="n"/>
      <c r="H261" s="270" t="n">
        <v>82000</v>
      </c>
      <c r="I261" s="271" t="n"/>
      <c r="J261" s="271" t="n">
        <v>82000</v>
      </c>
      <c r="K261" s="272" t="n"/>
      <c r="L261" s="272" t="n">
        <v>18800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GENERAL PAZ 7826</t>
        </is>
      </c>
      <c r="C262" s="268" t="n"/>
      <c r="D262" s="268" t="n"/>
      <c r="E262" s="268" t="n">
        <v>1</v>
      </c>
      <c r="F262" s="269" t="n"/>
      <c r="G262" s="269" t="n"/>
      <c r="H262" s="270" t="n">
        <v>88000</v>
      </c>
      <c r="I262" s="271" t="n">
        <v>88000</v>
      </c>
      <c r="J262" s="271" t="n"/>
      <c r="K262" s="272" t="n"/>
      <c r="L262" s="272" t="n">
        <v>26000</v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GENERAL PAZ 7651</t>
        </is>
      </c>
      <c r="C263" s="268" t="n"/>
      <c r="D263" s="268" t="n"/>
      <c r="E263" s="268" t="n">
        <v>1</v>
      </c>
      <c r="F263" s="269" t="n"/>
      <c r="G263" s="269" t="n"/>
      <c r="H263" s="270" t="n">
        <v>91000</v>
      </c>
      <c r="I263" s="271" t="n">
        <v>91000</v>
      </c>
      <c r="J263" s="271" t="n"/>
      <c r="K263" s="272" t="n"/>
      <c r="L263" s="272" t="n">
        <v>29000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FRANCIA 2063</t>
        </is>
      </c>
      <c r="C264" s="268" t="n"/>
      <c r="D264" s="268" t="n">
        <v>1</v>
      </c>
      <c r="E264" s="268" t="n"/>
      <c r="F264" s="269" t="n"/>
      <c r="G264" s="269" t="n"/>
      <c r="H264" s="270" t="n">
        <v>42000</v>
      </c>
      <c r="I264" s="271" t="n">
        <v>42000</v>
      </c>
      <c r="J264" s="271" t="n"/>
      <c r="K264" s="272" t="n"/>
      <c r="L264" s="272" t="n">
        <v>18300</v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GASTON AMARAL</t>
        </is>
      </c>
      <c r="C265" s="268" t="n"/>
      <c r="D265" s="268" t="n"/>
      <c r="E265" s="268" t="n">
        <v>1</v>
      </c>
      <c r="F265" s="269" t="n"/>
      <c r="G265" s="269" t="n"/>
      <c r="H265" s="270" t="n">
        <v>91000</v>
      </c>
      <c r="I265" s="271" t="n">
        <v>91000</v>
      </c>
      <c r="J265" s="271" t="n"/>
      <c r="K265" s="272" t="n"/>
      <c r="L265" s="272" t="n">
        <v>29000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HERNANDARIAS 3445</t>
        </is>
      </c>
      <c r="C266" s="268" t="n">
        <v>1</v>
      </c>
      <c r="D266" s="268" t="n"/>
      <c r="E266" s="268" t="n"/>
      <c r="F266" s="269" t="n"/>
      <c r="G266" s="269" t="n"/>
      <c r="H266" s="270" t="n">
        <v>26000</v>
      </c>
      <c r="I266" s="271" t="n">
        <v>26000</v>
      </c>
      <c r="J266" s="271" t="n"/>
      <c r="K266" s="272" t="n"/>
      <c r="L266" s="272" t="n">
        <v>10200</v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BRASERIA</t>
        </is>
      </c>
      <c r="C267" s="268" t="n"/>
      <c r="D267" s="268" t="n"/>
      <c r="E267" s="268" t="n">
        <v>1</v>
      </c>
      <c r="F267" s="269" t="n"/>
      <c r="G267" s="269" t="n"/>
      <c r="H267" s="270" t="n">
        <v>86000</v>
      </c>
      <c r="I267" s="271" t="n"/>
      <c r="J267" s="271" t="n">
        <v>86000</v>
      </c>
      <c r="K267" s="272" t="n"/>
      <c r="L267" s="272" t="n">
        <v>24000</v>
      </c>
      <c r="M267" s="156" t="n"/>
      <c r="N267" s="156" t="n"/>
      <c r="O267" s="156" t="n"/>
    </row>
    <row r="268" ht="18.75" customHeight="1" s="153">
      <c r="A268" s="279" t="n">
        <v>46157</v>
      </c>
      <c r="B268" s="267" t="inlineStr">
        <is>
          <t>FABIO PARISI</t>
        </is>
      </c>
      <c r="C268" s="268" t="n"/>
      <c r="D268" s="268" t="n"/>
      <c r="E268" s="268" t="n"/>
      <c r="F268" s="269" t="n">
        <v>20</v>
      </c>
      <c r="G268" s="269" t="n"/>
      <c r="H268" s="270" t="n">
        <v>68500</v>
      </c>
      <c r="I268" s="271" t="n">
        <v>68500</v>
      </c>
      <c r="J268" s="271" t="n"/>
      <c r="K268" s="272" t="n"/>
      <c r="L268" s="272" t="n">
        <v>22500</v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NICO PIRIZ SIR LAKI</t>
        </is>
      </c>
      <c r="C269" s="268" t="n"/>
      <c r="D269" s="268" t="n"/>
      <c r="E269" s="268" t="n">
        <v>1</v>
      </c>
      <c r="F269" s="269" t="n"/>
      <c r="G269" s="269" t="n"/>
      <c r="H269" s="270" t="n">
        <v>88000</v>
      </c>
      <c r="I269" s="271" t="n">
        <v>88000</v>
      </c>
      <c r="J269" s="271" t="n"/>
      <c r="K269" s="272" t="n"/>
      <c r="L269" s="272" t="n">
        <v>26000</v>
      </c>
      <c r="M269" s="156" t="n"/>
      <c r="N269" s="156" t="n"/>
      <c r="O269" s="156" t="n"/>
    </row>
    <row r="270" ht="18.75" customHeight="1" s="153">
      <c r="A270" s="279" t="n"/>
      <c r="B270" s="267" t="inlineStr">
        <is>
          <t>SAVEDRA 10125</t>
        </is>
      </c>
      <c r="C270" s="268" t="n"/>
      <c r="D270" s="268" t="n">
        <v>1</v>
      </c>
      <c r="E270" s="268" t="n">
        <v>1</v>
      </c>
      <c r="F270" s="269" t="n"/>
      <c r="G270" s="269" t="n"/>
      <c r="H270" s="270" t="n">
        <v>135000</v>
      </c>
      <c r="I270" s="271" t="n"/>
      <c r="J270" s="271" t="n">
        <v>135000</v>
      </c>
      <c r="K270" s="272" t="n"/>
      <c r="L270" s="272" t="n">
        <v>49300</v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VIANDAS JORGE</t>
        </is>
      </c>
      <c r="C271" s="268" t="n">
        <v>1</v>
      </c>
      <c r="D271" s="268" t="n"/>
      <c r="E271" s="268" t="n"/>
      <c r="F271" s="269" t="n"/>
      <c r="G271" s="269" t="n"/>
      <c r="H271" s="270" t="n">
        <v>23000</v>
      </c>
      <c r="I271" s="271" t="n">
        <v>23000</v>
      </c>
      <c r="J271" s="271" t="n"/>
      <c r="K271" s="272" t="n"/>
      <c r="L271" s="272" t="n">
        <v>7200</v>
      </c>
      <c r="M271" s="156" t="n"/>
      <c r="N271" s="156" t="n"/>
      <c r="O271" s="156" t="n"/>
    </row>
    <row r="272" ht="18.75" customHeight="1" s="153">
      <c r="A272" s="279" t="n"/>
      <c r="B272" s="267" t="inlineStr">
        <is>
          <t>ARENALES 10625</t>
        </is>
      </c>
      <c r="C272" s="268" t="n">
        <v>1</v>
      </c>
      <c r="D272" s="268" t="n"/>
      <c r="E272" s="268" t="n"/>
      <c r="F272" s="269" t="n"/>
      <c r="G272" s="269" t="n"/>
      <c r="H272" s="270" t="n">
        <v>20000</v>
      </c>
      <c r="I272" s="271" t="n"/>
      <c r="J272" s="271" t="n">
        <v>20000</v>
      </c>
      <c r="K272" s="272" t="n"/>
      <c r="L272" s="272" t="n">
        <v>4200</v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FACUNDO ZUVIRIA 7757</t>
        </is>
      </c>
      <c r="C273" s="268" t="n"/>
      <c r="D273" s="268" t="n">
        <v>1</v>
      </c>
      <c r="E273" s="268" t="n"/>
      <c r="F273" s="269" t="n"/>
      <c r="G273" s="269" t="n"/>
      <c r="H273" s="270" t="n">
        <v>39500</v>
      </c>
      <c r="I273" s="271" t="n"/>
      <c r="J273" s="271" t="n">
        <v>39500</v>
      </c>
      <c r="K273" s="272" t="n"/>
      <c r="L273" s="272" t="n">
        <v>15800</v>
      </c>
      <c r="M273" s="156" t="n"/>
      <c r="N273" s="156" t="n"/>
      <c r="O273" s="156" t="n"/>
    </row>
    <row r="274" ht="18.75" customHeight="1" s="153">
      <c r="A274" s="279" t="n"/>
      <c r="B274" s="267" t="inlineStr">
        <is>
          <t>FRENCH 1912</t>
        </is>
      </c>
      <c r="C274" s="268" t="n"/>
      <c r="D274" s="268" t="n"/>
      <c r="E274" s="268" t="n">
        <v>1</v>
      </c>
      <c r="F274" s="269" t="n"/>
      <c r="G274" s="269" t="n"/>
      <c r="H274" s="270" t="n">
        <v>91000</v>
      </c>
      <c r="I274" s="271" t="n">
        <v>91000</v>
      </c>
      <c r="J274" s="271" t="n"/>
      <c r="K274" s="272" t="n"/>
      <c r="L274" s="272" t="n">
        <v>29000</v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MARIO</t>
        </is>
      </c>
      <c r="C275" s="268" t="n">
        <v>2</v>
      </c>
      <c r="D275" s="268" t="n">
        <v>1</v>
      </c>
      <c r="E275" s="268" t="n"/>
      <c r="F275" s="269" t="n"/>
      <c r="G275" s="269" t="n"/>
      <c r="H275" s="270" t="n">
        <v>67500</v>
      </c>
      <c r="I275" s="271" t="n">
        <v>67500</v>
      </c>
      <c r="J275" s="271" t="n"/>
      <c r="K275" s="272" t="n"/>
      <c r="L275" s="272" t="n">
        <v>12200</v>
      </c>
      <c r="M275" s="156" t="n"/>
      <c r="N275" s="156" t="n"/>
      <c r="O275" s="156" t="n"/>
    </row>
    <row r="276" ht="18.75" customHeight="1" s="153">
      <c r="A276" s="279" t="n"/>
      <c r="B276" s="267" t="inlineStr">
        <is>
          <t>GOROSTIAGA 4659</t>
        </is>
      </c>
      <c r="C276" s="268" t="n"/>
      <c r="D276" s="268" t="n"/>
      <c r="E276" s="268" t="n">
        <v>1</v>
      </c>
      <c r="F276" s="269" t="n"/>
      <c r="G276" s="269" t="n"/>
      <c r="H276" s="270" t="n">
        <v>92000</v>
      </c>
      <c r="I276" s="271" t="n"/>
      <c r="J276" s="271" t="n">
        <v>92000</v>
      </c>
      <c r="K276" s="272" t="n"/>
      <c r="L276" s="272" t="n">
        <v>30000</v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SALTEÑA</t>
        </is>
      </c>
      <c r="C277" s="268" t="n">
        <v>1</v>
      </c>
      <c r="D277" s="268" t="n"/>
      <c r="E277" s="268" t="n"/>
      <c r="F277" s="269" t="n"/>
      <c r="G277" s="269" t="n"/>
      <c r="H277" s="270" t="n">
        <v>25000</v>
      </c>
      <c r="I277" s="271" t="n">
        <v>25000</v>
      </c>
      <c r="J277" s="271" t="n"/>
      <c r="K277" s="272" t="n"/>
      <c r="L277" s="272" t="n">
        <v>9200</v>
      </c>
      <c r="M277" s="156" t="n"/>
      <c r="N277" s="156" t="n"/>
      <c r="O277" s="156" t="n"/>
    </row>
    <row r="278" ht="18.75" customHeight="1" s="153">
      <c r="A278" s="279" t="n"/>
      <c r="B278" s="267" t="inlineStr">
        <is>
          <t>FILOMENA</t>
        </is>
      </c>
      <c r="C278" s="268" t="n">
        <v>2</v>
      </c>
      <c r="D278" s="268" t="n"/>
      <c r="E278" s="268" t="n"/>
      <c r="F278" s="269" t="n"/>
      <c r="G278" s="269" t="n"/>
      <c r="H278" s="270" t="n">
        <v>49000</v>
      </c>
      <c r="I278" s="271" t="n"/>
      <c r="J278" s="271" t="n">
        <v>49000</v>
      </c>
      <c r="K278" s="272" t="n"/>
      <c r="L278" s="272" t="n">
        <v>17400</v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LUCHO</t>
        </is>
      </c>
      <c r="C279" s="268" t="n"/>
      <c r="D279" s="268" t="n">
        <v>1</v>
      </c>
      <c r="E279" s="268" t="n"/>
      <c r="F279" s="269" t="n"/>
      <c r="G279" s="269" t="n"/>
      <c r="H279" s="270" t="n">
        <v>31500</v>
      </c>
      <c r="I279" s="271" t="n"/>
      <c r="J279" s="271" t="n">
        <v>31500</v>
      </c>
      <c r="K279" s="272" t="n"/>
      <c r="L279" s="272" t="n">
        <v>7800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SAN JUAN 5682</t>
        </is>
      </c>
      <c r="C280" s="268" t="n">
        <v>1</v>
      </c>
      <c r="D280" s="268" t="n"/>
      <c r="E280" s="268" t="n"/>
      <c r="F280" s="269" t="n"/>
      <c r="G280" s="269" t="n"/>
      <c r="H280" s="270" t="n">
        <v>26000</v>
      </c>
      <c r="I280" s="271" t="n"/>
      <c r="J280" s="271" t="n">
        <v>26000</v>
      </c>
      <c r="K280" s="272" t="n"/>
      <c r="L280" s="272" t="n">
        <v>10200</v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BONEO 5315</t>
        </is>
      </c>
      <c r="C281" s="268" t="n">
        <v>1</v>
      </c>
      <c r="D281" s="268" t="n"/>
      <c r="E281" s="268" t="n"/>
      <c r="F281" s="269" t="n"/>
      <c r="G281" s="269" t="n"/>
      <c r="H281" s="270" t="n">
        <v>25000</v>
      </c>
      <c r="I281" s="271" t="n">
        <v>25000</v>
      </c>
      <c r="J281" s="271" t="n"/>
      <c r="K281" s="272" t="n"/>
      <c r="L281" s="272" t="n">
        <v>9200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PAULO</t>
        </is>
      </c>
      <c r="C282" s="268" t="n">
        <v>2</v>
      </c>
      <c r="D282" s="268" t="n"/>
      <c r="E282" s="268" t="n"/>
      <c r="F282" s="269" t="n"/>
      <c r="G282" s="269" t="n"/>
      <c r="H282" s="270" t="n">
        <v>40000</v>
      </c>
      <c r="I282" s="271" t="n">
        <v>40000</v>
      </c>
      <c r="J282" s="271" t="n"/>
      <c r="K282" s="272" t="n"/>
      <c r="L282" s="272" t="n">
        <v>8400</v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70" t="n">
        <v>85000</v>
      </c>
      <c r="I283" s="271" t="n"/>
      <c r="J283" s="271" t="n">
        <v>85000</v>
      </c>
      <c r="K283" s="272" t="n"/>
      <c r="L283" s="272" t="n">
        <v>23000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AZOPARDO 8350</t>
        </is>
      </c>
      <c r="C284" s="268" t="n"/>
      <c r="D284" s="268" t="n"/>
      <c r="E284" s="268" t="n">
        <v>1</v>
      </c>
      <c r="F284" s="269" t="n"/>
      <c r="G284" s="269" t="n"/>
      <c r="H284" s="270" t="n">
        <v>91000</v>
      </c>
      <c r="I284" s="271" t="n"/>
      <c r="J284" s="271" t="n">
        <v>91000</v>
      </c>
      <c r="K284" s="272" t="n"/>
      <c r="L284" s="272" t="n">
        <v>29000</v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ESTADO ISRAEL 4990</t>
        </is>
      </c>
      <c r="C285" s="268" t="n">
        <v>1</v>
      </c>
      <c r="D285" s="268" t="n"/>
      <c r="E285" s="268" t="n"/>
      <c r="F285" s="269" t="n"/>
      <c r="G285" s="269" t="n"/>
      <c r="H285" s="270" t="n">
        <v>27000</v>
      </c>
      <c r="I285" s="271" t="n">
        <v>27000</v>
      </c>
      <c r="J285" s="271" t="n"/>
      <c r="K285" s="272" t="n"/>
      <c r="L285" s="272" t="n">
        <v>11200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PANA GORRITI 6500</t>
        </is>
      </c>
      <c r="C286" s="268" t="n"/>
      <c r="D286" s="268" t="n"/>
      <c r="E286" s="268" t="n">
        <v>1</v>
      </c>
      <c r="F286" s="269" t="n"/>
      <c r="G286" s="269" t="n"/>
      <c r="H286" s="270" t="n">
        <v>88000</v>
      </c>
      <c r="I286" s="271" t="n"/>
      <c r="J286" s="271" t="n">
        <v>88000</v>
      </c>
      <c r="K286" s="272" t="n"/>
      <c r="L286" s="272" t="n">
        <v>26000</v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PANA BERUTI 6700</t>
        </is>
      </c>
      <c r="C287" s="268" t="n">
        <v>1</v>
      </c>
      <c r="D287" s="268" t="n"/>
      <c r="E287" s="268" t="n">
        <v>1</v>
      </c>
      <c r="F287" s="269" t="n"/>
      <c r="G287" s="269" t="n"/>
      <c r="H287" s="270" t="n">
        <v>107000</v>
      </c>
      <c r="I287" s="271" t="n"/>
      <c r="J287" s="271" t="n">
        <v>107000</v>
      </c>
      <c r="K287" s="272" t="n"/>
      <c r="L287" s="272" t="n">
        <v>29200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MARIANA PERFUMERIA</t>
        </is>
      </c>
      <c r="C288" s="268" t="n">
        <v>1</v>
      </c>
      <c r="D288" s="268" t="n"/>
      <c r="E288" s="268" t="n"/>
      <c r="F288" s="269" t="n"/>
      <c r="G288" s="269" t="n"/>
      <c r="H288" s="270" t="n">
        <v>26000</v>
      </c>
      <c r="I288" s="271" t="n"/>
      <c r="J288" s="271" t="n">
        <v>26000</v>
      </c>
      <c r="K288" s="272" t="n"/>
      <c r="L288" s="272" t="n">
        <v>10200</v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OSCAR FLORES 1 BLASPA</t>
        </is>
      </c>
      <c r="C289" s="268" t="n">
        <v>1</v>
      </c>
      <c r="D289" s="268" t="n"/>
      <c r="E289" s="268" t="n"/>
      <c r="F289" s="269" t="n"/>
      <c r="G289" s="269" t="n"/>
      <c r="H289" s="270" t="n">
        <v>133000</v>
      </c>
      <c r="I289" s="271" t="n">
        <v>133000</v>
      </c>
      <c r="J289" s="271" t="n"/>
      <c r="K289" s="272" t="n">
        <v>42000</v>
      </c>
      <c r="L289" s="272" t="n">
        <v>52200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TROPPO</t>
        </is>
      </c>
      <c r="C290" s="268" t="n">
        <v>3</v>
      </c>
      <c r="D290" s="268" t="n"/>
      <c r="E290" s="268" t="n"/>
      <c r="F290" s="269" t="n"/>
      <c r="G290" s="269" t="n"/>
      <c r="H290" s="270" t="n">
        <v>81000</v>
      </c>
      <c r="I290" s="271" t="n">
        <v>81000</v>
      </c>
      <c r="J290" s="271" t="n"/>
      <c r="K290" s="272" t="n"/>
      <c r="L290" s="272" t="n">
        <v>33600</v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SABOREAR</t>
        </is>
      </c>
      <c r="C291" s="268" t="n">
        <v>1</v>
      </c>
      <c r="D291" s="268" t="n"/>
      <c r="E291" s="268" t="n"/>
      <c r="F291" s="269" t="n"/>
      <c r="G291" s="269" t="n"/>
      <c r="H291" s="270" t="n">
        <v>23500</v>
      </c>
      <c r="I291" s="271" t="n"/>
      <c r="J291" s="271" t="n">
        <v>23500</v>
      </c>
      <c r="K291" s="272" t="n"/>
      <c r="L291" s="272" t="n">
        <v>7700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JUAN AZUAGA</t>
        </is>
      </c>
      <c r="C292" s="268" t="n">
        <v>1</v>
      </c>
      <c r="D292" s="268" t="n"/>
      <c r="E292" s="268" t="n"/>
      <c r="F292" s="269" t="n"/>
      <c r="G292" s="269" t="n"/>
      <c r="H292" s="270" t="n">
        <v>22000</v>
      </c>
      <c r="I292" s="271" t="n">
        <v>22000</v>
      </c>
      <c r="J292" s="271" t="n"/>
      <c r="K292" s="272" t="n"/>
      <c r="L292" s="272" t="n">
        <v>6200</v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ALBERDI 8230</t>
        </is>
      </c>
      <c r="C293" s="268" t="n"/>
      <c r="D293" s="268" t="n">
        <v>1</v>
      </c>
      <c r="E293" s="268" t="n"/>
      <c r="F293" s="269" t="n"/>
      <c r="G293" s="269" t="n"/>
      <c r="H293" s="270" t="n">
        <v>41000</v>
      </c>
      <c r="I293" s="271" t="n"/>
      <c r="J293" s="271" t="n">
        <v>41000</v>
      </c>
      <c r="K293" s="272" t="n"/>
      <c r="L293" s="272" t="n">
        <v>17300</v>
      </c>
      <c r="M293" s="156" t="n"/>
      <c r="N293" s="156" t="n"/>
      <c r="O293" s="156" t="n"/>
    </row>
    <row r="294" ht="18.75" customHeight="1" s="153">
      <c r="A294" s="279" t="n">
        <v>46158</v>
      </c>
      <c r="B294" s="267" t="inlineStr">
        <is>
          <t>LUCHO</t>
        </is>
      </c>
      <c r="C294" s="268" t="n"/>
      <c r="D294" s="268" t="n">
        <v>1</v>
      </c>
      <c r="E294" s="268" t="n"/>
      <c r="F294" s="269" t="n"/>
      <c r="G294" s="269" t="n"/>
      <c r="H294" s="270" t="n">
        <v>31500</v>
      </c>
      <c r="I294" s="271" t="n">
        <v>31500</v>
      </c>
      <c r="J294" s="271" t="n"/>
      <c r="K294" s="272" t="n"/>
      <c r="L294" s="272" t="n">
        <v>7800</v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ROTI VIEYTES</t>
        </is>
      </c>
      <c r="C295" s="268" t="n"/>
      <c r="D295" s="268" t="n">
        <v>2</v>
      </c>
      <c r="E295" s="268" t="n"/>
      <c r="F295" s="269" t="n"/>
      <c r="G295" s="269" t="n"/>
      <c r="H295" s="270" t="n">
        <v>64000</v>
      </c>
      <c r="I295" s="271" t="n"/>
      <c r="J295" s="271" t="n">
        <v>64000</v>
      </c>
      <c r="K295" s="272" t="n"/>
      <c r="L295" s="272" t="n">
        <v>16600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AZCUENAGA 4800</t>
        </is>
      </c>
      <c r="C296" s="268" t="n"/>
      <c r="D296" s="268" t="n"/>
      <c r="E296" s="268" t="n">
        <v>1</v>
      </c>
      <c r="F296" s="269" t="n"/>
      <c r="G296" s="269" t="n"/>
      <c r="H296" s="270" t="n">
        <v>87000</v>
      </c>
      <c r="I296" s="271" t="n">
        <v>87000</v>
      </c>
      <c r="J296" s="271" t="n"/>
      <c r="K296" s="272" t="n"/>
      <c r="L296" s="272" t="n">
        <v>25000</v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LOS PRIMOS</t>
        </is>
      </c>
      <c r="C297" s="268" t="n">
        <v>1</v>
      </c>
      <c r="D297" s="268" t="n">
        <v>1</v>
      </c>
      <c r="E297" s="268" t="n"/>
      <c r="F297" s="269" t="n"/>
      <c r="G297" s="269" t="n"/>
      <c r="H297" s="270" t="n">
        <v>66000</v>
      </c>
      <c r="I297" s="271" t="n">
        <v>66000</v>
      </c>
      <c r="J297" s="271" t="n"/>
      <c r="K297" s="272" t="n"/>
      <c r="L297" s="272" t="n">
        <v>26500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JAVIER DE LA ROSA 456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/>
      <c r="J298" s="271" t="n">
        <v>27000</v>
      </c>
      <c r="K298" s="272" t="n"/>
      <c r="L298" s="272" t="n">
        <v>11200</v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PASAJE CONTRERAS 8257</t>
        </is>
      </c>
      <c r="C299" s="268" t="n"/>
      <c r="D299" s="268" t="n">
        <v>1</v>
      </c>
      <c r="E299" s="268" t="n"/>
      <c r="F299" s="269" t="n"/>
      <c r="G299" s="269" t="n"/>
      <c r="H299" s="270" t="n">
        <v>40500</v>
      </c>
      <c r="I299" s="271" t="n"/>
      <c r="J299" s="271" t="n">
        <v>40500</v>
      </c>
      <c r="K299" s="272" t="n"/>
      <c r="L299" s="272" t="n">
        <v>16800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AIMARA</t>
        </is>
      </c>
      <c r="C300" s="268" t="n">
        <v>1</v>
      </c>
      <c r="D300" s="268" t="n"/>
      <c r="E300" s="268" t="n"/>
      <c r="F300" s="269" t="n"/>
      <c r="G300" s="269" t="n"/>
      <c r="H300" s="270" t="n">
        <v>26000</v>
      </c>
      <c r="I300" s="271" t="n">
        <v>26000</v>
      </c>
      <c r="J300" s="271" t="n"/>
      <c r="K300" s="272" t="n"/>
      <c r="L300" s="272" t="n">
        <v>10200</v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RIVADAVIA 9741</t>
        </is>
      </c>
      <c r="C301" s="268" t="n">
        <v>1</v>
      </c>
      <c r="D301" s="268" t="n"/>
      <c r="E301" s="268" t="n"/>
      <c r="F301" s="269" t="n"/>
      <c r="G301" s="269" t="n"/>
      <c r="H301" s="270" t="n">
        <v>25500</v>
      </c>
      <c r="I301" s="271" t="n"/>
      <c r="J301" s="271" t="n">
        <v>25500</v>
      </c>
      <c r="K301" s="272" t="n"/>
      <c r="L301" s="272" t="n">
        <v>9700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LARGUIA 7186</t>
        </is>
      </c>
      <c r="C302" s="268" t="n"/>
      <c r="D302" s="268" t="n"/>
      <c r="E302" s="268" t="n">
        <v>1</v>
      </c>
      <c r="F302" s="269" t="n"/>
      <c r="G302" s="269" t="n"/>
      <c r="H302" s="270" t="n">
        <v>91000</v>
      </c>
      <c r="I302" s="271" t="n"/>
      <c r="J302" s="271" t="n">
        <v>91000</v>
      </c>
      <c r="K302" s="272" t="n"/>
      <c r="L302" s="272" t="n">
        <v>29000</v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1 DE MAYO 8369</t>
        </is>
      </c>
      <c r="C303" s="268" t="n">
        <v>1</v>
      </c>
      <c r="D303" s="268" t="n"/>
      <c r="E303" s="268" t="n"/>
      <c r="F303" s="269" t="n"/>
      <c r="G303" s="269" t="n"/>
      <c r="H303" s="270" t="n">
        <v>26000</v>
      </c>
      <c r="I303" s="271" t="n"/>
      <c r="J303" s="271" t="n">
        <v>26000</v>
      </c>
      <c r="K303" s="272" t="n"/>
      <c r="L303" s="272" t="n">
        <v>10200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CALLEJON FUNES 4659</t>
        </is>
      </c>
      <c r="C304" s="268" t="n">
        <v>1</v>
      </c>
      <c r="D304" s="268" t="n"/>
      <c r="E304" s="268" t="n"/>
      <c r="F304" s="269" t="n"/>
      <c r="G304" s="269" t="n"/>
      <c r="H304" s="270" t="n">
        <v>128000</v>
      </c>
      <c r="I304" s="271" t="n">
        <v>128000</v>
      </c>
      <c r="J304" s="271" t="n"/>
      <c r="K304" s="272" t="n">
        <v>37000</v>
      </c>
      <c r="L304" s="272" t="n">
        <v>47200</v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SAN MARTÍN 1925</t>
        </is>
      </c>
      <c r="C305" s="268" t="n">
        <v>1</v>
      </c>
      <c r="D305" s="268" t="n"/>
      <c r="E305" s="268" t="n"/>
      <c r="F305" s="269" t="n"/>
      <c r="G305" s="269" t="n"/>
      <c r="H305" s="270" t="n">
        <v>27500</v>
      </c>
      <c r="I305" s="271" t="n">
        <v>27500</v>
      </c>
      <c r="J305" s="271" t="n"/>
      <c r="K305" s="272" t="n"/>
      <c r="L305" s="272" t="n">
        <v>11700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MARCELO FLORES 2 TORRE 8</t>
        </is>
      </c>
      <c r="C306" s="268" t="n">
        <v>1</v>
      </c>
      <c r="D306" s="268" t="n"/>
      <c r="E306" s="268" t="n"/>
      <c r="F306" s="269" t="n"/>
      <c r="G306" s="269" t="n"/>
      <c r="H306" s="270" t="n">
        <v>26000</v>
      </c>
      <c r="I306" s="271" t="n">
        <v>26000</v>
      </c>
      <c r="J306" s="271" t="n"/>
      <c r="K306" s="272" t="n"/>
      <c r="L306" s="272" t="n">
        <v>10200</v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FRAY M PEREZ 648</t>
        </is>
      </c>
      <c r="C307" s="268" t="n">
        <v>2</v>
      </c>
      <c r="D307" s="268" t="n"/>
      <c r="E307" s="268" t="n"/>
      <c r="F307" s="269" t="n"/>
      <c r="G307" s="269" t="n"/>
      <c r="H307" s="270" t="n">
        <v>54000</v>
      </c>
      <c r="I307" s="271" t="n">
        <v>54000</v>
      </c>
      <c r="J307" s="271" t="n"/>
      <c r="K307" s="272" t="n"/>
      <c r="L307" s="272" t="n">
        <v>22400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BARRETO 9161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>
        <v>91000</v>
      </c>
      <c r="J308" s="271" t="n"/>
      <c r="K308" s="272" t="n"/>
      <c r="L308" s="272" t="n">
        <v>29000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FILOMENA</t>
        </is>
      </c>
      <c r="C309" s="268" t="n">
        <v>2</v>
      </c>
      <c r="D309" s="268" t="n"/>
      <c r="E309" s="268" t="n"/>
      <c r="F309" s="269" t="n"/>
      <c r="G309" s="269" t="n"/>
      <c r="H309" s="270" t="n">
        <v>49000</v>
      </c>
      <c r="I309" s="271" t="n"/>
      <c r="J309" s="271" t="n">
        <v>49000</v>
      </c>
      <c r="K309" s="272" t="n"/>
      <c r="L309" s="272" t="n">
        <v>17400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TROPPO</t>
        </is>
      </c>
      <c r="C310" s="268" t="n">
        <v>4</v>
      </c>
      <c r="D310" s="268" t="n"/>
      <c r="E310" s="268" t="n"/>
      <c r="F310" s="269" t="n"/>
      <c r="G310" s="269" t="n"/>
      <c r="H310" s="270" t="n">
        <v>206000</v>
      </c>
      <c r="I310" s="271" t="n">
        <v>206000</v>
      </c>
      <c r="J310" s="271" t="n"/>
      <c r="K310" s="272" t="n">
        <v>33000</v>
      </c>
      <c r="L310" s="272" t="n">
        <v>77800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SANTA BAR 1 MAYO 1959</t>
        </is>
      </c>
      <c r="C311" s="268" t="n"/>
      <c r="D311" s="268" t="n"/>
      <c r="E311" s="268" t="n">
        <v>1</v>
      </c>
      <c r="F311" s="269" t="n"/>
      <c r="G311" s="269" t="n"/>
      <c r="H311" s="270" t="n">
        <v>88000</v>
      </c>
      <c r="I311" s="271" t="n">
        <v>88000</v>
      </c>
      <c r="J311" s="271" t="n"/>
      <c r="K311" s="272" t="n"/>
      <c r="L311" s="272" t="n">
        <v>26000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CAREN</t>
        </is>
      </c>
      <c r="C312" s="268" t="n"/>
      <c r="D312" s="268" t="n"/>
      <c r="E312" s="268" t="n">
        <v>1</v>
      </c>
      <c r="F312" s="269" t="n"/>
      <c r="G312" s="269" t="n"/>
      <c r="H312" s="270" t="n">
        <v>85000</v>
      </c>
      <c r="I312" s="271" t="n"/>
      <c r="J312" s="271" t="n">
        <v>85000</v>
      </c>
      <c r="K312" s="272" t="n"/>
      <c r="L312" s="272" t="n">
        <v>23000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SALLE 3706</t>
        </is>
      </c>
      <c r="C313" s="268" t="n"/>
      <c r="D313" s="268" t="n"/>
      <c r="E313" s="268" t="n">
        <v>1</v>
      </c>
      <c r="F313" s="269" t="n"/>
      <c r="G313" s="269" t="n"/>
      <c r="H313" s="270" t="n">
        <v>91000</v>
      </c>
      <c r="I313" s="271" t="n"/>
      <c r="J313" s="271" t="n">
        <v>91000</v>
      </c>
      <c r="K313" s="272" t="n"/>
      <c r="L313" s="272" t="n">
        <v>29000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JP LOPES 2322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10200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CANCHA RIVADAVIA 7200</t>
        </is>
      </c>
      <c r="C315" s="268" t="n">
        <v>1</v>
      </c>
      <c r="D315" s="268" t="n"/>
      <c r="E315" s="268" t="n"/>
      <c r="F315" s="269" t="n"/>
      <c r="G315" s="269" t="n"/>
      <c r="H315" s="270" t="n">
        <v>24500</v>
      </c>
      <c r="I315" s="271" t="n"/>
      <c r="J315" s="271" t="n">
        <v>24500</v>
      </c>
      <c r="K315" s="272" t="n"/>
      <c r="L315" s="272" t="n">
        <v>8700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PAVON 2946</t>
        </is>
      </c>
      <c r="C316" s="268" t="n">
        <v>1</v>
      </c>
      <c r="D316" s="268" t="n"/>
      <c r="E316" s="268" t="n"/>
      <c r="F316" s="269" t="n"/>
      <c r="G316" s="269" t="n"/>
      <c r="H316" s="270" t="n">
        <v>26000</v>
      </c>
      <c r="I316" s="271" t="n">
        <v>26000</v>
      </c>
      <c r="J316" s="271" t="n"/>
      <c r="K316" s="272" t="n"/>
      <c r="L316" s="272" t="n">
        <v>10200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OBISPO GELABERT 3622</t>
        </is>
      </c>
      <c r="C317" s="268" t="n">
        <v>1</v>
      </c>
      <c r="D317" s="268" t="n"/>
      <c r="E317" s="268" t="n"/>
      <c r="F317" s="269" t="n"/>
      <c r="G317" s="269" t="n"/>
      <c r="H317" s="270" t="n">
        <v>27000</v>
      </c>
      <c r="I317" s="271" t="n"/>
      <c r="J317" s="271" t="n">
        <v>27000</v>
      </c>
      <c r="K317" s="272" t="n"/>
      <c r="L317" s="272" t="n">
        <v>11200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VICTOR CAPE</t>
        </is>
      </c>
      <c r="C318" s="268" t="n">
        <v>1</v>
      </c>
      <c r="D318" s="268" t="n"/>
      <c r="E318" s="268" t="n"/>
      <c r="F318" s="269" t="n"/>
      <c r="G318" s="269" t="n"/>
      <c r="H318" s="270" t="n">
        <v>27000</v>
      </c>
      <c r="I318" s="271" t="n"/>
      <c r="J318" s="271" t="n">
        <v>27000</v>
      </c>
      <c r="K318" s="272" t="n"/>
      <c r="L318" s="272" t="n">
        <v>11200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GABOTO 7320</t>
        </is>
      </c>
      <c r="C319" s="268" t="n"/>
      <c r="D319" s="268" t="n"/>
      <c r="E319" s="268" t="n">
        <v>1</v>
      </c>
      <c r="F319" s="269" t="n"/>
      <c r="G319" s="269" t="n"/>
      <c r="H319" s="270" t="n">
        <v>91000</v>
      </c>
      <c r="I319" s="271" t="n"/>
      <c r="J319" s="271" t="n">
        <v>91000</v>
      </c>
      <c r="K319" s="272" t="n"/>
      <c r="L319" s="272" t="n">
        <v>29000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TACUARI 5717</t>
        </is>
      </c>
      <c r="C320" s="268" t="n">
        <v>1</v>
      </c>
      <c r="D320" s="268" t="n"/>
      <c r="E320" s="268" t="n"/>
      <c r="F320" s="269" t="n"/>
      <c r="G320" s="269" t="n"/>
      <c r="H320" s="270" t="n">
        <v>27000</v>
      </c>
      <c r="I320" s="271" t="n"/>
      <c r="J320" s="271" t="n">
        <v>27000</v>
      </c>
      <c r="K320" s="272" t="n"/>
      <c r="L320" s="272" t="n">
        <v>11200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I CRESPO 7370</t>
        </is>
      </c>
      <c r="C321" s="268" t="n">
        <v>1</v>
      </c>
      <c r="D321" s="268" t="n"/>
      <c r="E321" s="268" t="n"/>
      <c r="F321" s="269" t="n"/>
      <c r="G321" s="269" t="n"/>
      <c r="H321" s="270" t="n">
        <v>24000</v>
      </c>
      <c r="I321" s="271" t="n">
        <v>24000</v>
      </c>
      <c r="J321" s="271" t="n"/>
      <c r="K321" s="272" t="n"/>
      <c r="L321" s="272" t="n">
        <v>8200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ROMERO 9331</t>
        </is>
      </c>
      <c r="C322" s="268" t="n"/>
      <c r="D322" s="268" t="n"/>
      <c r="E322" s="268" t="n">
        <v>1</v>
      </c>
      <c r="F322" s="269" t="n"/>
      <c r="G322" s="269" t="n"/>
      <c r="H322" s="270" t="n">
        <v>91000</v>
      </c>
      <c r="I322" s="271" t="n"/>
      <c r="J322" s="271" t="n">
        <v>91000</v>
      </c>
      <c r="K322" s="272" t="n"/>
      <c r="L322" s="272" t="n">
        <v>29000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DANA</t>
        </is>
      </c>
      <c r="C323" s="268" t="n">
        <v>3</v>
      </c>
      <c r="D323" s="268" t="n"/>
      <c r="E323" s="268" t="n"/>
      <c r="F323" s="269" t="n"/>
      <c r="G323" s="269" t="n"/>
      <c r="H323" s="270" t="n">
        <v>60000</v>
      </c>
      <c r="I323" s="271" t="n">
        <v>60000</v>
      </c>
      <c r="J323" s="271" t="n"/>
      <c r="K323" s="272" t="n"/>
      <c r="L323" s="272" t="n">
        <v>12600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MARIA AMIGA NONA</t>
        </is>
      </c>
      <c r="C324" s="268" t="n"/>
      <c r="D324" s="268" t="n">
        <v>1</v>
      </c>
      <c r="E324" s="268" t="n"/>
      <c r="F324" s="269" t="n"/>
      <c r="G324" s="269" t="n"/>
      <c r="H324" s="270" t="n">
        <v>39000</v>
      </c>
      <c r="I324" s="271" t="n">
        <v>39000</v>
      </c>
      <c r="J324" s="271" t="n"/>
      <c r="K324" s="272" t="n"/>
      <c r="L324" s="272" t="n">
        <v>15300</v>
      </c>
      <c r="M324" s="156" t="n"/>
      <c r="N324" s="156" t="n"/>
      <c r="O324" s="156" t="n"/>
    </row>
    <row r="325" ht="18.75" customHeight="1" s="153">
      <c r="A325" s="279" t="n">
        <v>46159</v>
      </c>
      <c r="B325" s="267" t="inlineStr">
        <is>
          <t>PUBLICO 2152</t>
        </is>
      </c>
      <c r="C325" s="268" t="n"/>
      <c r="D325" s="268" t="n"/>
      <c r="E325" s="268" t="n">
        <v>1</v>
      </c>
      <c r="F325" s="269" t="n"/>
      <c r="G325" s="269" t="n"/>
      <c r="H325" s="270" t="n">
        <v>91000</v>
      </c>
      <c r="I325" s="271" t="n"/>
      <c r="J325" s="271" t="n">
        <v>91000</v>
      </c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9 DE JULIO 2105</t>
        </is>
      </c>
      <c r="C326" s="268" t="n">
        <v>1</v>
      </c>
      <c r="D326" s="268" t="n"/>
      <c r="E326" s="268" t="n"/>
      <c r="F326" s="269" t="n"/>
      <c r="G326" s="269" t="n"/>
      <c r="H326" s="270" t="n">
        <v>27000</v>
      </c>
      <c r="I326" s="271" t="n"/>
      <c r="J326" s="271" t="n">
        <v>27000</v>
      </c>
      <c r="K326" s="272" t="n"/>
      <c r="L326" s="272" t="n">
        <v>11200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TROPPO</t>
        </is>
      </c>
      <c r="C327" s="268" t="n">
        <v>3</v>
      </c>
      <c r="D327" s="268" t="n"/>
      <c r="E327" s="268" t="n"/>
      <c r="F327" s="269" t="n"/>
      <c r="G327" s="269" t="n"/>
      <c r="H327" s="270" t="n">
        <v>81000</v>
      </c>
      <c r="I327" s="271" t="n">
        <v>81000</v>
      </c>
      <c r="J327" s="271" t="n"/>
      <c r="K327" s="272" t="n"/>
      <c r="L327" s="272" t="n">
        <v>33600</v>
      </c>
      <c r="M327" s="156" t="n"/>
      <c r="N327" s="156" t="n"/>
      <c r="O327" s="156" t="n"/>
    </row>
    <row r="328" ht="18.75" customHeight="1" s="153">
      <c r="A328" s="279" t="n"/>
      <c r="B328" s="267" t="inlineStr">
        <is>
          <t>LAVALLE 7100</t>
        </is>
      </c>
      <c r="C328" s="268" t="n">
        <v>1</v>
      </c>
      <c r="D328" s="268" t="n"/>
      <c r="E328" s="268" t="n"/>
      <c r="F328" s="269" t="n"/>
      <c r="G328" s="269" t="n"/>
      <c r="H328" s="270" t="n">
        <v>25000</v>
      </c>
      <c r="I328" s="271" t="n">
        <v>25000</v>
      </c>
      <c r="J328" s="271" t="n"/>
      <c r="K328" s="272" t="n"/>
      <c r="L328" s="272" t="n">
        <v>9200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GORRITI 6742</t>
        </is>
      </c>
      <c r="C329" s="268" t="n">
        <v>1</v>
      </c>
      <c r="D329" s="268" t="n"/>
      <c r="E329" s="268" t="n"/>
      <c r="F329" s="269" t="n"/>
      <c r="G329" s="269" t="n"/>
      <c r="H329" s="270" t="n">
        <v>26500</v>
      </c>
      <c r="I329" s="271" t="n"/>
      <c r="J329" s="271" t="n">
        <v>26500</v>
      </c>
      <c r="K329" s="272" t="n"/>
      <c r="L329" s="272" t="n">
        <v>10700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DAVID LEIVA Y ALBERTO</t>
        </is>
      </c>
      <c r="C330" s="268" t="n">
        <v>1</v>
      </c>
      <c r="D330" s="268" t="n"/>
      <c r="E330" s="268" t="n"/>
      <c r="F330" s="269" t="n"/>
      <c r="G330" s="269" t="n"/>
      <c r="H330" s="270" t="n">
        <v>25000</v>
      </c>
      <c r="I330" s="271" t="n">
        <v>25000</v>
      </c>
      <c r="J330" s="271" t="n"/>
      <c r="K330" s="272" t="n"/>
      <c r="L330" s="272" t="n">
        <v>9200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SANDRA</t>
        </is>
      </c>
      <c r="C331" s="268" t="n">
        <v>2</v>
      </c>
      <c r="D331" s="268" t="n"/>
      <c r="E331" s="268" t="n"/>
      <c r="F331" s="269" t="n"/>
      <c r="G331" s="269" t="n"/>
      <c r="H331" s="270" t="n">
        <v>39000</v>
      </c>
      <c r="I331" s="271" t="n"/>
      <c r="J331" s="271" t="n">
        <v>39000</v>
      </c>
      <c r="K331" s="272" t="n"/>
      <c r="L331" s="272" t="n">
        <v>7400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AZOPARDO 8395</t>
        </is>
      </c>
      <c r="C332" s="268" t="n"/>
      <c r="D332" s="268" t="n">
        <v>1</v>
      </c>
      <c r="E332" s="268" t="n"/>
      <c r="F332" s="269" t="n"/>
      <c r="G332" s="269" t="n"/>
      <c r="H332" s="270" t="n">
        <v>39500</v>
      </c>
      <c r="I332" s="271" t="n"/>
      <c r="J332" s="271" t="n">
        <v>39500</v>
      </c>
      <c r="K332" s="272" t="n"/>
      <c r="L332" s="272" t="n">
        <v>15800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VENTA EN PUERTA</t>
        </is>
      </c>
      <c r="C333" s="268" t="n">
        <v>1</v>
      </c>
      <c r="D333" s="268" t="n"/>
      <c r="E333" s="268" t="n"/>
      <c r="F333" s="269" t="n"/>
      <c r="G333" s="269" t="n"/>
      <c r="H333" s="270" t="n">
        <v>22000</v>
      </c>
      <c r="I333" s="271" t="n"/>
      <c r="J333" s="271" t="n">
        <v>22000</v>
      </c>
      <c r="K333" s="272" t="n"/>
      <c r="L333" s="272" t="n">
        <v>6200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BAR DEL SUR</t>
        </is>
      </c>
      <c r="C334" s="268" t="n">
        <v>1</v>
      </c>
      <c r="D334" s="268" t="n"/>
      <c r="E334" s="268" t="n"/>
      <c r="F334" s="269" t="n"/>
      <c r="G334" s="269" t="n"/>
      <c r="H334" s="270" t="n">
        <v>26000</v>
      </c>
      <c r="I334" s="271" t="n">
        <v>26000</v>
      </c>
      <c r="J334" s="271" t="n"/>
      <c r="K334" s="272" t="n"/>
      <c r="L334" s="272" t="n">
        <v>10200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DOMINGO SILVA 4217</t>
        </is>
      </c>
      <c r="C335" s="268" t="n">
        <v>2</v>
      </c>
      <c r="D335" s="268" t="n"/>
      <c r="E335" s="268" t="n"/>
      <c r="F335" s="269" t="n"/>
      <c r="G335" s="269" t="n"/>
      <c r="H335" s="270" t="n">
        <v>40000</v>
      </c>
      <c r="I335" s="271" t="n"/>
      <c r="J335" s="271" t="n">
        <v>40000</v>
      </c>
      <c r="K335" s="272" t="n"/>
      <c r="L335" s="272" t="n">
        <v>8400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GOLD BURGER</t>
        </is>
      </c>
      <c r="C336" s="268" t="n">
        <v>4</v>
      </c>
      <c r="D336" s="268" t="n"/>
      <c r="E336" s="268" t="n"/>
      <c r="F336" s="269" t="n"/>
      <c r="G336" s="269" t="n"/>
      <c r="H336" s="270" t="n">
        <v>108000</v>
      </c>
      <c r="I336" s="271" t="n">
        <v>108000</v>
      </c>
      <c r="J336" s="271" t="n"/>
      <c r="K336" s="272" t="n"/>
      <c r="L336" s="272" t="n">
        <v>44800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3782</t>
        </is>
      </c>
      <c r="C337" s="268" t="n">
        <v>1</v>
      </c>
      <c r="D337" s="268" t="n"/>
      <c r="E337" s="268" t="n"/>
      <c r="F337" s="269" t="n"/>
      <c r="G337" s="269" t="n"/>
      <c r="H337" s="270" t="n">
        <v>27000</v>
      </c>
      <c r="I337" s="271" t="n">
        <v>27000</v>
      </c>
      <c r="J337" s="271" t="n"/>
      <c r="K337" s="272" t="n"/>
      <c r="L337" s="272" t="n">
        <v>11200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BELGRANO 7944</t>
        </is>
      </c>
      <c r="C338" s="268" t="n">
        <v>1</v>
      </c>
      <c r="D338" s="268" t="n"/>
      <c r="E338" s="268" t="n"/>
      <c r="F338" s="269" t="n"/>
      <c r="G338" s="269" t="n"/>
      <c r="H338" s="270" t="n">
        <v>125000</v>
      </c>
      <c r="I338" s="271" t="n">
        <v>125000</v>
      </c>
      <c r="J338" s="271" t="n"/>
      <c r="K338" s="272" t="n">
        <v>34000</v>
      </c>
      <c r="L338" s="272" t="n">
        <v>44200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GRIERSON 8369</t>
        </is>
      </c>
      <c r="C339" s="268" t="n"/>
      <c r="D339" s="268" t="n"/>
      <c r="E339" s="268" t="n">
        <v>1</v>
      </c>
      <c r="F339" s="269" t="n"/>
      <c r="G339" s="269" t="n"/>
      <c r="H339" s="270" t="n">
        <v>94000</v>
      </c>
      <c r="I339" s="271" t="n"/>
      <c r="J339" s="271" t="n">
        <v>94000</v>
      </c>
      <c r="K339" s="272" t="n"/>
      <c r="L339" s="272" t="n">
        <v>32000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MONTIEL 9165</t>
        </is>
      </c>
      <c r="C340" s="268" t="n"/>
      <c r="D340" s="268" t="n"/>
      <c r="E340" s="268" t="n">
        <v>1</v>
      </c>
      <c r="F340" s="269" t="n"/>
      <c r="G340" s="269" t="n"/>
      <c r="H340" s="270" t="n">
        <v>91000</v>
      </c>
      <c r="I340" s="271" t="n">
        <v>91000</v>
      </c>
      <c r="J340" s="271" t="n"/>
      <c r="K340" s="272" t="n"/>
      <c r="L340" s="272" t="n">
        <v>29000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PEDRO FERRE 3472</t>
        </is>
      </c>
      <c r="C341" s="268" t="n">
        <v>1</v>
      </c>
      <c r="D341" s="268" t="n"/>
      <c r="E341" s="268" t="n"/>
      <c r="F341" s="269" t="n"/>
      <c r="G341" s="269" t="n"/>
      <c r="H341" s="231" t="n">
        <v>26000</v>
      </c>
      <c r="I341" s="232" t="n">
        <v>26000</v>
      </c>
      <c r="J341" s="232" t="n"/>
      <c r="K341" s="272" t="n"/>
      <c r="L341" s="272" t="n">
        <v>10200</v>
      </c>
      <c r="M341" s="156" t="n"/>
      <c r="N341" s="156" t="n"/>
      <c r="O341" s="156" t="n"/>
    </row>
    <row r="342" ht="18.75" customHeight="1" s="153">
      <c r="A342" s="279" t="n">
        <v>46160</v>
      </c>
      <c r="B342" s="267" t="inlineStr">
        <is>
          <t>25 DE MAYO 2617</t>
        </is>
      </c>
      <c r="C342" s="268" t="n"/>
      <c r="D342" s="268" t="n">
        <v>1</v>
      </c>
      <c r="E342" s="268" t="n"/>
      <c r="F342" s="269" t="n"/>
      <c r="G342" s="269" t="n"/>
      <c r="H342" s="270" t="n">
        <v>41000</v>
      </c>
      <c r="I342" s="271" t="n"/>
      <c r="J342" s="271" t="n">
        <v>41000</v>
      </c>
      <c r="K342" s="272" t="n"/>
      <c r="L342" s="272" t="n">
        <v>17300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TENIENTE LOZA 6053</t>
        </is>
      </c>
      <c r="C343" s="268" t="n"/>
      <c r="D343" s="268" t="n"/>
      <c r="E343" s="268" t="n">
        <v>1</v>
      </c>
      <c r="F343" s="269" t="n"/>
      <c r="G343" s="269" t="n"/>
      <c r="H343" s="270" t="n">
        <v>92000</v>
      </c>
      <c r="I343" s="271" t="n"/>
      <c r="J343" s="271" t="n">
        <v>92000</v>
      </c>
      <c r="K343" s="272" t="n"/>
      <c r="L343" s="272" t="n">
        <v>30000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OTNIEL</t>
        </is>
      </c>
      <c r="C344" s="268" t="n"/>
      <c r="D344" s="268" t="n">
        <v>2</v>
      </c>
      <c r="E344" s="268" t="n"/>
      <c r="F344" s="269" t="n"/>
      <c r="G344" s="269" t="n"/>
      <c r="H344" s="270" t="n">
        <v>70000</v>
      </c>
      <c r="I344" s="271" t="n"/>
      <c r="J344" s="271" t="n">
        <v>70000</v>
      </c>
      <c r="K344" s="272" t="n"/>
      <c r="L344" s="272" t="n">
        <v>22600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RÍO NEGRO 6570</t>
        </is>
      </c>
      <c r="C345" s="268" t="n"/>
      <c r="D345" s="268" t="n"/>
      <c r="E345" s="268" t="n">
        <v>1</v>
      </c>
      <c r="F345" s="269" t="n"/>
      <c r="G345" s="269" t="n"/>
      <c r="H345" s="270" t="n">
        <v>92000</v>
      </c>
      <c r="I345" s="271" t="n"/>
      <c r="J345" s="271" t="n">
        <v>92000</v>
      </c>
      <c r="K345" s="272" t="n"/>
      <c r="L345" s="272" t="n">
        <v>30000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URQUIZA 9396</t>
        </is>
      </c>
      <c r="C346" s="268" t="n">
        <v>1</v>
      </c>
      <c r="D346" s="268" t="n"/>
      <c r="E346" s="268" t="n"/>
      <c r="F346" s="269" t="n"/>
      <c r="G346" s="269" t="n"/>
      <c r="H346" s="270" t="n">
        <v>128000</v>
      </c>
      <c r="I346" s="271" t="n">
        <v>128000</v>
      </c>
      <c r="J346" s="271" t="n"/>
      <c r="K346" s="272" t="n">
        <v>37000</v>
      </c>
      <c r="L346" s="272" t="n">
        <v>47200</v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PEDRO CEBALLOS 8134</t>
        </is>
      </c>
      <c r="C347" s="268" t="n">
        <v>4</v>
      </c>
      <c r="D347" s="268" t="n"/>
      <c r="E347" s="268" t="n"/>
      <c r="F347" s="269" t="n"/>
      <c r="G347" s="269" t="n"/>
      <c r="H347" s="270" t="n">
        <v>76000</v>
      </c>
      <c r="I347" s="271" t="n"/>
      <c r="J347" s="271" t="n">
        <v>76000</v>
      </c>
      <c r="K347" s="272" t="n"/>
      <c r="L347" s="272" t="n">
        <v>12800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IRMA</t>
        </is>
      </c>
      <c r="C348" s="268" t="n">
        <v>1</v>
      </c>
      <c r="D348" s="268" t="n"/>
      <c r="E348" s="268" t="n"/>
      <c r="F348" s="269" t="n"/>
      <c r="G348" s="269" t="n"/>
      <c r="H348" s="270" t="n">
        <v>27000</v>
      </c>
      <c r="I348" s="271" t="n">
        <v>27000</v>
      </c>
      <c r="J348" s="271" t="n"/>
      <c r="K348" s="272" t="n"/>
      <c r="L348" s="272" t="n">
        <v>11200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AZCUENAGA 6100</t>
        </is>
      </c>
      <c r="C349" s="268" t="n">
        <v>1</v>
      </c>
      <c r="D349" s="268" t="n"/>
      <c r="E349" s="268" t="n"/>
      <c r="F349" s="269" t="n"/>
      <c r="G349" s="269" t="n"/>
      <c r="H349" s="270" t="n">
        <v>27000</v>
      </c>
      <c r="I349" s="271" t="n"/>
      <c r="J349" s="271" t="n">
        <v>27000</v>
      </c>
      <c r="K349" s="272" t="n"/>
      <c r="L349" s="272" t="n">
        <v>11200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AZOPARDO ALICIA</t>
        </is>
      </c>
      <c r="C350" s="268" t="n">
        <v>1</v>
      </c>
      <c r="D350" s="268" t="n"/>
      <c r="E350" s="268" t="n"/>
      <c r="F350" s="269" t="n"/>
      <c r="G350" s="269" t="n"/>
      <c r="H350" s="270" t="n">
        <v>27500</v>
      </c>
      <c r="I350" s="271" t="n"/>
      <c r="J350" s="271" t="n">
        <v>27500</v>
      </c>
      <c r="K350" s="272" t="n"/>
      <c r="L350" s="272" t="n">
        <v>11700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EUROPA 8762</t>
        </is>
      </c>
      <c r="C351" s="268" t="n">
        <v>1</v>
      </c>
      <c r="D351" s="268" t="n"/>
      <c r="E351" s="268" t="n"/>
      <c r="F351" s="269" t="n"/>
      <c r="G351" s="269" t="n"/>
      <c r="H351" s="270" t="n">
        <v>26000</v>
      </c>
      <c r="I351" s="271" t="n">
        <v>26000</v>
      </c>
      <c r="J351" s="271" t="n"/>
      <c r="K351" s="272" t="n"/>
      <c r="L351" s="272" t="n">
        <v>10200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VIANDAS JORGE</t>
        </is>
      </c>
      <c r="C352" s="268" t="n">
        <v>1</v>
      </c>
      <c r="D352" s="268" t="n"/>
      <c r="E352" s="268" t="n"/>
      <c r="F352" s="269" t="n"/>
      <c r="G352" s="269" t="n"/>
      <c r="H352" s="270" t="n">
        <v>23000</v>
      </c>
      <c r="I352" s="271" t="n">
        <v>23000</v>
      </c>
      <c r="J352" s="271" t="n"/>
      <c r="K352" s="272" t="n"/>
      <c r="L352" s="272" t="n">
        <v>7200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PORKIS</t>
        </is>
      </c>
      <c r="C353" s="268" t="n">
        <v>2</v>
      </c>
      <c r="D353" s="268" t="n"/>
      <c r="E353" s="268" t="n"/>
      <c r="F353" s="269" t="n"/>
      <c r="G353" s="269" t="n"/>
      <c r="H353" s="270" t="n">
        <v>48000</v>
      </c>
      <c r="I353" s="271" t="n">
        <v>48000</v>
      </c>
      <c r="J353" s="271" t="n"/>
      <c r="K353" s="272" t="n"/>
      <c r="L353" s="272" t="n">
        <v>16400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SAN JOSÉ 1279</t>
        </is>
      </c>
      <c r="C354" s="268" t="n">
        <v>1</v>
      </c>
      <c r="D354" s="268" t="n"/>
      <c r="E354" s="268" t="n"/>
      <c r="F354" s="269" t="n"/>
      <c r="G354" s="269" t="n"/>
      <c r="H354" s="270" t="n">
        <v>26000</v>
      </c>
      <c r="I354" s="271" t="n">
        <v>26000</v>
      </c>
      <c r="J354" s="271" t="n"/>
      <c r="K354" s="272" t="n"/>
      <c r="L354" s="272" t="n">
        <v>10200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AZOPARDO 10560</t>
        </is>
      </c>
      <c r="C355" s="268" t="n">
        <v>1</v>
      </c>
      <c r="D355" s="268" t="n"/>
      <c r="E355" s="268" t="n"/>
      <c r="F355" s="269" t="n"/>
      <c r="G355" s="269" t="n"/>
      <c r="H355" s="270" t="n">
        <v>26000</v>
      </c>
      <c r="I355" s="271" t="n">
        <v>26000</v>
      </c>
      <c r="J355" s="271" t="n"/>
      <c r="K355" s="272" t="n"/>
      <c r="L355" s="272" t="n">
        <v>10200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SIR LAKI</t>
        </is>
      </c>
      <c r="C356" s="268" t="n">
        <v>1</v>
      </c>
      <c r="D356" s="268" t="n"/>
      <c r="E356" s="268" t="n"/>
      <c r="F356" s="269" t="n"/>
      <c r="G356" s="269" t="n"/>
      <c r="H356" s="270" t="n">
        <v>25000</v>
      </c>
      <c r="I356" s="271" t="n">
        <v>25000</v>
      </c>
      <c r="J356" s="271" t="n"/>
      <c r="K356" s="272" t="n"/>
      <c r="L356" s="272" t="n">
        <v>9200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FILOMENA</t>
        </is>
      </c>
      <c r="C357" s="268" t="n">
        <v>1</v>
      </c>
      <c r="D357" s="268" t="n"/>
      <c r="E357" s="268" t="n"/>
      <c r="F357" s="269" t="n"/>
      <c r="G357" s="269" t="n"/>
      <c r="H357" s="270" t="n">
        <v>24500</v>
      </c>
      <c r="I357" s="271" t="n">
        <v>24500</v>
      </c>
      <c r="J357" s="271" t="n"/>
      <c r="K357" s="272" t="n"/>
      <c r="L357" s="272" t="n">
        <v>8700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EL GATO NEGRO</t>
        </is>
      </c>
      <c r="C358" s="268" t="n">
        <v>1</v>
      </c>
      <c r="D358" s="268" t="n"/>
      <c r="E358" s="268" t="n"/>
      <c r="F358" s="269" t="n"/>
      <c r="G358" s="269" t="n"/>
      <c r="H358" s="270" t="n">
        <v>27000</v>
      </c>
      <c r="I358" s="271" t="n"/>
      <c r="J358" s="271" t="n">
        <v>27000</v>
      </c>
      <c r="K358" s="272" t="n"/>
      <c r="L358" s="272" t="n">
        <v>11200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PANA ALBERTI</t>
        </is>
      </c>
      <c r="C359" s="268" t="n"/>
      <c r="D359" s="268" t="n"/>
      <c r="E359" s="268" t="n">
        <v>1</v>
      </c>
      <c r="F359" s="269" t="n"/>
      <c r="G359" s="269" t="n"/>
      <c r="H359" s="270" t="n">
        <v>84000</v>
      </c>
      <c r="I359" s="271" t="n">
        <v>84000</v>
      </c>
      <c r="J359" s="271" t="n"/>
      <c r="K359" s="272" t="n"/>
      <c r="L359" s="272" t="n">
        <v>22000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SAN LORENZO 3626</t>
        </is>
      </c>
      <c r="C360" s="268" t="n">
        <v>1</v>
      </c>
      <c r="D360" s="268" t="n"/>
      <c r="E360" s="268" t="n"/>
      <c r="F360" s="269" t="n"/>
      <c r="G360" s="269" t="n"/>
      <c r="H360" s="270" t="n">
        <v>26000</v>
      </c>
      <c r="I360" s="271" t="n"/>
      <c r="J360" s="271" t="n">
        <v>26000</v>
      </c>
      <c r="K360" s="272" t="n"/>
      <c r="L360" s="272" t="n">
        <v>10200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ZAVALA 1231</t>
        </is>
      </c>
      <c r="C361" s="268" t="n">
        <v>1</v>
      </c>
      <c r="D361" s="268" t="n"/>
      <c r="E361" s="268" t="n"/>
      <c r="F361" s="269" t="n"/>
      <c r="G361" s="269" t="n"/>
      <c r="H361" s="270" t="n">
        <v>27000</v>
      </c>
      <c r="I361" s="271" t="n"/>
      <c r="J361" s="271" t="n">
        <v>27000</v>
      </c>
      <c r="K361" s="272" t="n"/>
      <c r="L361" s="272" t="n">
        <v>11200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ALMONACID 4248</t>
        </is>
      </c>
      <c r="C362" s="268" t="n">
        <v>1</v>
      </c>
      <c r="D362" s="268" t="n"/>
      <c r="E362" s="268" t="n"/>
      <c r="F362" s="269" t="n"/>
      <c r="G362" s="269" t="n"/>
      <c r="H362" s="270" t="n">
        <v>27000</v>
      </c>
      <c r="I362" s="271" t="n"/>
      <c r="J362" s="271" t="n">
        <v>27000</v>
      </c>
      <c r="K362" s="272" t="n"/>
      <c r="L362" s="272" t="n">
        <v>11200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CHICLANA 8727</t>
        </is>
      </c>
      <c r="C363" s="268" t="n"/>
      <c r="D363" s="268" t="n"/>
      <c r="E363" s="268" t="n">
        <v>1</v>
      </c>
      <c r="F363" s="269" t="n"/>
      <c r="G363" s="269" t="n"/>
      <c r="H363" s="270" t="n">
        <v>94000</v>
      </c>
      <c r="I363" s="271" t="n"/>
      <c r="J363" s="271" t="n">
        <v>94000</v>
      </c>
      <c r="K363" s="272" t="n"/>
      <c r="L363" s="272" t="n">
        <v>32000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ESMERALDA 2376</t>
        </is>
      </c>
      <c r="C364" s="268" t="n"/>
      <c r="D364" s="268" t="n"/>
      <c r="E364" s="268" t="n">
        <v>1</v>
      </c>
      <c r="F364" s="269" t="n"/>
      <c r="G364" s="269" t="n"/>
      <c r="H364" s="270" t="n">
        <v>91000</v>
      </c>
      <c r="I364" s="271" t="n"/>
      <c r="J364" s="271" t="n">
        <v>91000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>
        <v>46161</v>
      </c>
      <c r="B365" s="267" t="inlineStr">
        <is>
          <t>PAVÓN 6035</t>
        </is>
      </c>
      <c r="C365" s="268" t="n">
        <v>1</v>
      </c>
      <c r="D365" s="268" t="n"/>
      <c r="E365" s="268" t="n"/>
      <c r="F365" s="269" t="n"/>
      <c r="G365" s="269" t="n"/>
      <c r="H365" s="270" t="n">
        <v>125000</v>
      </c>
      <c r="I365" s="271" t="n">
        <v>125000</v>
      </c>
      <c r="J365" s="271" t="n"/>
      <c r="K365" s="272" t="n">
        <v>34000</v>
      </c>
      <c r="L365" s="272" t="n">
        <v>44200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ECHEVERRÍA 6363</t>
        </is>
      </c>
      <c r="C366" s="268" t="n">
        <v>1</v>
      </c>
      <c r="D366" s="268" t="n"/>
      <c r="E366" s="268" t="n"/>
      <c r="F366" s="269" t="n"/>
      <c r="G366" s="269" t="n"/>
      <c r="H366" s="270" t="n">
        <v>26000</v>
      </c>
      <c r="I366" s="271" t="n"/>
      <c r="J366" s="271" t="n">
        <v>26000</v>
      </c>
      <c r="K366" s="272" t="n"/>
      <c r="L366" s="272" t="n">
        <v>10200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MADAME CHEESE</t>
        </is>
      </c>
      <c r="C367" s="268" t="n"/>
      <c r="D367" s="268" t="n">
        <v>1</v>
      </c>
      <c r="E367" s="268" t="n"/>
      <c r="F367" s="269" t="n"/>
      <c r="G367" s="269" t="n"/>
      <c r="H367" s="270" t="n">
        <v>36000</v>
      </c>
      <c r="I367" s="271" t="n"/>
      <c r="J367" s="271" t="n">
        <v>36000</v>
      </c>
      <c r="K367" s="272" t="n"/>
      <c r="L367" s="272" t="n">
        <v>12300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LOS PRIMOS</t>
        </is>
      </c>
      <c r="C368" s="268" t="n">
        <v>3</v>
      </c>
      <c r="D368" s="268" t="n"/>
      <c r="E368" s="268" t="n"/>
      <c r="F368" s="269" t="n"/>
      <c r="G368" s="269" t="n"/>
      <c r="H368" s="270" t="n">
        <v>81000</v>
      </c>
      <c r="I368" s="271" t="n">
        <v>81000</v>
      </c>
      <c r="J368" s="271" t="n"/>
      <c r="K368" s="272" t="n"/>
      <c r="L368" s="272" t="n">
        <v>33600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IGNACIO CRESPO 7380</t>
        </is>
      </c>
      <c r="C369" s="268" t="n"/>
      <c r="D369" s="268" t="n">
        <v>1</v>
      </c>
      <c r="E369" s="268" t="n"/>
      <c r="F369" s="269" t="n"/>
      <c r="G369" s="269" t="n"/>
      <c r="H369" s="270" t="n">
        <v>39500</v>
      </c>
      <c r="I369" s="271" t="n"/>
      <c r="J369" s="271" t="n">
        <v>39500</v>
      </c>
      <c r="K369" s="272" t="n"/>
      <c r="L369" s="272" t="n">
        <v>15800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DANA</t>
        </is>
      </c>
      <c r="C370" s="268" t="n">
        <v>3</v>
      </c>
      <c r="D370" s="268" t="n"/>
      <c r="E370" s="268" t="n"/>
      <c r="F370" s="269" t="n"/>
      <c r="G370" s="269" t="n"/>
      <c r="H370" s="270" t="n">
        <v>60000</v>
      </c>
      <c r="I370" s="271" t="n"/>
      <c r="J370" s="271" t="n">
        <v>60000</v>
      </c>
      <c r="K370" s="272" t="n"/>
      <c r="L370" s="272" t="n">
        <v>12600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PANA VIEYTES GISELA</t>
        </is>
      </c>
      <c r="C371" s="268" t="n">
        <v>1</v>
      </c>
      <c r="D371" s="268" t="n"/>
      <c r="E371" s="268" t="n"/>
      <c r="F371" s="269" t="n"/>
      <c r="G371" s="269" t="n"/>
      <c r="H371" s="270" t="n">
        <v>24000</v>
      </c>
      <c r="I371" s="271" t="n"/>
      <c r="J371" s="271" t="n">
        <v>24000</v>
      </c>
      <c r="K371" s="272" t="n"/>
      <c r="L371" s="272" t="n">
        <v>8200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PANA BERUTI 6400</t>
        </is>
      </c>
      <c r="C372" s="268" t="n"/>
      <c r="D372" s="268" t="n"/>
      <c r="E372" s="268" t="n">
        <v>1</v>
      </c>
      <c r="F372" s="269" t="n"/>
      <c r="G372" s="269" t="n"/>
      <c r="H372" s="270" t="n">
        <v>79000</v>
      </c>
      <c r="I372" s="271" t="n"/>
      <c r="J372" s="271" t="n">
        <v>79000</v>
      </c>
      <c r="K372" s="272" t="n"/>
      <c r="L372" s="272" t="n">
        <v>17000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CASTELLI 5406</t>
        </is>
      </c>
      <c r="C373" s="268" t="n"/>
      <c r="D373" s="268" t="n">
        <v>1</v>
      </c>
      <c r="E373" s="268" t="n"/>
      <c r="F373" s="269" t="n"/>
      <c r="G373" s="269" t="n"/>
      <c r="H373" s="270" t="n">
        <v>40000</v>
      </c>
      <c r="I373" s="271" t="n">
        <v>40000</v>
      </c>
      <c r="J373" s="271" t="n"/>
      <c r="K373" s="272" t="n"/>
      <c r="L373" s="272" t="n">
        <v>16300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LO DE NICO</t>
        </is>
      </c>
      <c r="C374" s="268" t="n">
        <v>2</v>
      </c>
      <c r="D374" s="268" t="n"/>
      <c r="E374" s="268" t="n"/>
      <c r="F374" s="269" t="n"/>
      <c r="G374" s="269" t="n"/>
      <c r="H374" s="270" t="n">
        <v>41000</v>
      </c>
      <c r="I374" s="271" t="n"/>
      <c r="J374" s="271" t="n">
        <v>41000</v>
      </c>
      <c r="K374" s="272" t="n"/>
      <c r="L374" s="272" t="n">
        <v>9400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LARGUIA 7247</t>
        </is>
      </c>
      <c r="C375" s="268" t="n">
        <v>1</v>
      </c>
      <c r="D375" s="268" t="n"/>
      <c r="E375" s="268" t="n"/>
      <c r="F375" s="269" t="n"/>
      <c r="G375" s="269" t="n"/>
      <c r="H375" s="270" t="n">
        <v>27000</v>
      </c>
      <c r="I375" s="271" t="n"/>
      <c r="J375" s="271" t="n">
        <v>27000</v>
      </c>
      <c r="K375" s="272" t="n"/>
      <c r="L375" s="272" t="n">
        <v>11200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SAN LORENZO 8166</t>
        </is>
      </c>
      <c r="C376" s="268" t="n">
        <v>1</v>
      </c>
      <c r="D376" s="268" t="n"/>
      <c r="E376" s="268" t="n"/>
      <c r="F376" s="269" t="n"/>
      <c r="G376" s="269" t="n"/>
      <c r="H376" s="270" t="n">
        <v>26000</v>
      </c>
      <c r="I376" s="271" t="n"/>
      <c r="J376" s="271" t="n">
        <v>26000</v>
      </c>
      <c r="K376" s="272" t="n"/>
      <c r="L376" s="272" t="n">
        <v>10200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CHICLANA 6330</t>
        </is>
      </c>
      <c r="C377" s="268" t="n">
        <v>1</v>
      </c>
      <c r="D377" s="268" t="n"/>
      <c r="E377" s="268" t="n"/>
      <c r="F377" s="269" t="n"/>
      <c r="G377" s="269" t="n"/>
      <c r="H377" s="270" t="n">
        <v>26000</v>
      </c>
      <c r="I377" s="271" t="n"/>
      <c r="J377" s="271" t="n">
        <v>26000</v>
      </c>
      <c r="K377" s="272" t="n"/>
      <c r="L377" s="272" t="n">
        <v>10200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12 DE INFANTERÍA 5210</t>
        </is>
      </c>
      <c r="C378" s="268" t="n">
        <v>1</v>
      </c>
      <c r="D378" s="268" t="n"/>
      <c r="E378" s="268" t="n"/>
      <c r="F378" s="269" t="n"/>
      <c r="G378" s="269" t="n"/>
      <c r="H378" s="270" t="n">
        <v>27000</v>
      </c>
      <c r="I378" s="271" t="n">
        <v>27000</v>
      </c>
      <c r="J378" s="271" t="n"/>
      <c r="K378" s="272" t="n"/>
      <c r="L378" s="272" t="n">
        <v>11200</v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LOLI</t>
        </is>
      </c>
      <c r="C379" s="268" t="n"/>
      <c r="D379" s="268" t="n"/>
      <c r="E379" s="268" t="n">
        <v>1</v>
      </c>
      <c r="F379" s="269" t="n"/>
      <c r="G379" s="269" t="n"/>
      <c r="H379" s="270" t="n">
        <v>92000</v>
      </c>
      <c r="I379" s="271" t="n">
        <v>92000</v>
      </c>
      <c r="J379" s="271" t="n"/>
      <c r="K379" s="272" t="n"/>
      <c r="L379" s="272" t="n">
        <v>30000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MONI ALBERTI</t>
        </is>
      </c>
      <c r="C380" s="268" t="n"/>
      <c r="D380" s="268" t="n"/>
      <c r="E380" s="268" t="n">
        <v>1</v>
      </c>
      <c r="F380" s="269" t="n"/>
      <c r="G380" s="269" t="n"/>
      <c r="H380" s="270" t="n">
        <v>88000</v>
      </c>
      <c r="I380" s="271" t="n"/>
      <c r="J380" s="271" t="n">
        <v>88000</v>
      </c>
      <c r="K380" s="272" t="n"/>
      <c r="L380" s="272" t="n">
        <v>26000</v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FLORENCIO FERNÁNDEZ 6195</t>
        </is>
      </c>
      <c r="C381" s="268" t="n">
        <v>5</v>
      </c>
      <c r="D381" s="268" t="n">
        <v>1</v>
      </c>
      <c r="E381" s="268" t="n"/>
      <c r="F381" s="269" t="n"/>
      <c r="G381" s="269" t="n"/>
      <c r="H381" s="270" t="n">
        <v>126000</v>
      </c>
      <c r="I381" s="271" t="n"/>
      <c r="J381" s="271" t="n">
        <v>126000</v>
      </c>
      <c r="K381" s="272" t="n"/>
      <c r="L381" s="272" t="n">
        <v>23300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PANA GENESIO</t>
        </is>
      </c>
      <c r="C382" s="268" t="n"/>
      <c r="D382" s="268" t="n"/>
      <c r="E382" s="268" t="n">
        <v>1</v>
      </c>
      <c r="F382" s="269" t="n"/>
      <c r="G382" s="269" t="n"/>
      <c r="H382" s="270" t="n">
        <v>79000</v>
      </c>
      <c r="I382" s="271" t="n">
        <v>79000</v>
      </c>
      <c r="J382" s="271" t="n"/>
      <c r="K382" s="272" t="n"/>
      <c r="L382" s="272" t="n">
        <v>17000</v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PANA VIEYTES 4500</t>
        </is>
      </c>
      <c r="C383" s="268" t="n"/>
      <c r="D383" s="268" t="n"/>
      <c r="E383" s="268" t="n">
        <v>1</v>
      </c>
      <c r="F383" s="269" t="n"/>
      <c r="G383" s="269" t="n"/>
      <c r="H383" s="270" t="n">
        <v>81000</v>
      </c>
      <c r="I383" s="271" t="n"/>
      <c r="J383" s="271" t="n">
        <v>81000</v>
      </c>
      <c r="K383" s="272" t="n"/>
      <c r="L383" s="272" t="n">
        <v>19000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LUCHO</t>
        </is>
      </c>
      <c r="C384" s="268" t="n">
        <v>1</v>
      </c>
      <c r="D384" s="268" t="n"/>
      <c r="E384" s="268" t="n"/>
      <c r="F384" s="269" t="n"/>
      <c r="G384" s="269" t="n"/>
      <c r="H384" s="270" t="n">
        <v>20000</v>
      </c>
      <c r="I384" s="271" t="n">
        <v>20000</v>
      </c>
      <c r="J384" s="271" t="n"/>
      <c r="K384" s="272" t="n"/>
      <c r="L384" s="272" t="n">
        <v>4200</v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IL GATO</t>
        </is>
      </c>
      <c r="C385" s="268" t="n"/>
      <c r="D385" s="268" t="n"/>
      <c r="E385" s="268" t="n">
        <v>1</v>
      </c>
      <c r="F385" s="269" t="n"/>
      <c r="G385" s="269" t="n"/>
      <c r="H385" s="270" t="n">
        <v>92000</v>
      </c>
      <c r="I385" s="271" t="n"/>
      <c r="J385" s="271" t="n">
        <v>92000</v>
      </c>
      <c r="K385" s="272" t="n"/>
      <c r="L385" s="272" t="n">
        <v>30000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9 DE JULIO 1356</t>
        </is>
      </c>
      <c r="C386" s="268" t="n"/>
      <c r="D386" s="268" t="n">
        <v>1</v>
      </c>
      <c r="E386" s="268" t="n"/>
      <c r="F386" s="269" t="n"/>
      <c r="G386" s="269" t="n"/>
      <c r="H386" s="270" t="n">
        <v>39500</v>
      </c>
      <c r="I386" s="271" t="n"/>
      <c r="J386" s="271" t="n">
        <v>39500</v>
      </c>
      <c r="K386" s="272" t="n"/>
      <c r="L386" s="272" t="n">
        <v>15800</v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ROTI ISTANBUL</t>
        </is>
      </c>
      <c r="C387" s="268" t="n"/>
      <c r="D387" s="268" t="n">
        <v>1</v>
      </c>
      <c r="E387" s="268" t="n"/>
      <c r="F387" s="269" t="n"/>
      <c r="G387" s="269" t="n"/>
      <c r="H387" s="270" t="n">
        <v>36000</v>
      </c>
      <c r="I387" s="271" t="n"/>
      <c r="J387" s="271" t="n">
        <v>36000</v>
      </c>
      <c r="K387" s="272" t="n"/>
      <c r="L387" s="272" t="n">
        <v>12300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FUNES Y SARMIENTO</t>
        </is>
      </c>
      <c r="C388" s="268" t="n">
        <v>1</v>
      </c>
      <c r="D388" s="268" t="n"/>
      <c r="E388" s="268" t="n"/>
      <c r="F388" s="269" t="n"/>
      <c r="G388" s="269" t="n"/>
      <c r="H388" s="270" t="n">
        <v>26500</v>
      </c>
      <c r="I388" s="271" t="n">
        <v>26500</v>
      </c>
      <c r="J388" s="271" t="n"/>
      <c r="K388" s="272" t="n"/>
      <c r="L388" s="272" t="n">
        <v>10700</v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ASCUÉNAGA 5023</t>
        </is>
      </c>
      <c r="C389" s="268" t="n">
        <v>5</v>
      </c>
      <c r="D389" s="268" t="n"/>
      <c r="E389" s="268" t="n"/>
      <c r="F389" s="269" t="n"/>
      <c r="G389" s="269" t="n"/>
      <c r="H389" s="270" t="n">
        <v>100000</v>
      </c>
      <c r="I389" s="271" t="n">
        <v>100000</v>
      </c>
      <c r="J389" s="271" t="n"/>
      <c r="K389" s="272" t="n"/>
      <c r="L389" s="272" t="n">
        <v>21000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ENTRE RÍOS 3350</t>
        </is>
      </c>
      <c r="C390" s="268" t="n">
        <v>1</v>
      </c>
      <c r="D390" s="268" t="n"/>
      <c r="E390" s="268" t="n"/>
      <c r="F390" s="269" t="n"/>
      <c r="G390" s="269" t="n"/>
      <c r="H390" s="270" t="n">
        <v>26000</v>
      </c>
      <c r="I390" s="271" t="n">
        <v>26000</v>
      </c>
      <c r="J390" s="271" t="n"/>
      <c r="K390" s="272" t="n"/>
      <c r="L390" s="272" t="n">
        <v>10200</v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FACUNDO ZUVIRIA 10235</t>
        </is>
      </c>
      <c r="C391" s="268" t="n">
        <v>1</v>
      </c>
      <c r="D391" s="268" t="n"/>
      <c r="E391" s="268" t="n"/>
      <c r="F391" s="269" t="n"/>
      <c r="G391" s="269" t="n"/>
      <c r="H391" s="270" t="n">
        <v>27000</v>
      </c>
      <c r="I391" s="271" t="n"/>
      <c r="J391" s="271" t="n">
        <v>27000</v>
      </c>
      <c r="K391" s="272" t="n"/>
      <c r="L391" s="272" t="n">
        <v>11200</v>
      </c>
      <c r="M391" s="156" t="n"/>
      <c r="N391" s="156" t="n"/>
      <c r="O391" s="156" t="n"/>
    </row>
    <row r="392" ht="15.75" customHeight="1" s="153">
      <c r="A392" s="279" t="n">
        <v>46162</v>
      </c>
      <c r="B392" s="267" t="inlineStr">
        <is>
          <t>TROPPO</t>
        </is>
      </c>
      <c r="C392" s="268" t="n">
        <v>8</v>
      </c>
      <c r="D392" s="268" t="n"/>
      <c r="E392" s="268" t="n"/>
      <c r="F392" s="269" t="n"/>
      <c r="G392" s="269" t="n"/>
      <c r="H392" s="270" t="n">
        <v>522000</v>
      </c>
      <c r="I392" s="271" t="n"/>
      <c r="J392" s="271" t="n">
        <v>522000</v>
      </c>
      <c r="K392" s="272" t="n">
        <v>111000</v>
      </c>
      <c r="L392" s="272" t="n">
        <v>200600</v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FILOMENA</t>
        </is>
      </c>
      <c r="C393" s="268" t="n">
        <v>2</v>
      </c>
      <c r="D393" s="268" t="n"/>
      <c r="E393" s="268" t="n"/>
      <c r="F393" s="269" t="n"/>
      <c r="G393" s="269" t="n"/>
      <c r="H393" s="270" t="n">
        <v>49000</v>
      </c>
      <c r="I393" s="271" t="n"/>
      <c r="J393" s="271" t="n">
        <v>49000</v>
      </c>
      <c r="K393" s="272" t="n"/>
      <c r="L393" s="272" t="n">
        <v>17400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MARTÍN TATU</t>
        </is>
      </c>
      <c r="C394" s="268" t="n"/>
      <c r="D394" s="268" t="n"/>
      <c r="E394" s="268" t="n">
        <v>1</v>
      </c>
      <c r="F394" s="269" t="n"/>
      <c r="G394" s="269" t="n"/>
      <c r="H394" s="270" t="n">
        <v>95000</v>
      </c>
      <c r="I394" s="271" t="n"/>
      <c r="J394" s="271" t="n">
        <v>95000</v>
      </c>
      <c r="K394" s="272" t="n"/>
      <c r="L394" s="272" t="n">
        <v>33000</v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PAVON 3941</t>
        </is>
      </c>
      <c r="C395" s="268" t="n">
        <v>1</v>
      </c>
      <c r="D395" s="268" t="n"/>
      <c r="E395" s="268" t="n"/>
      <c r="F395" s="269" t="n"/>
      <c r="G395" s="269" t="n"/>
      <c r="H395" s="270" t="n">
        <v>26000</v>
      </c>
      <c r="I395" s="271" t="n">
        <v>26000</v>
      </c>
      <c r="J395" s="271" t="n"/>
      <c r="K395" s="272" t="n"/>
      <c r="L395" s="272" t="n">
        <v>10200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LUCHO</t>
        </is>
      </c>
      <c r="C396" s="268" t="n">
        <v>2</v>
      </c>
      <c r="D396" s="268" t="n"/>
      <c r="E396" s="268" t="n"/>
      <c r="F396" s="269" t="n"/>
      <c r="G396" s="269" t="n">
        <v>1</v>
      </c>
      <c r="H396" s="270" t="n">
        <v>46000</v>
      </c>
      <c r="I396" s="271" t="n">
        <v>46000</v>
      </c>
      <c r="J396" s="271" t="n"/>
      <c r="K396" s="272" t="n"/>
      <c r="L396" s="272" t="n">
        <v>13480</v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PAVON 3320</t>
        </is>
      </c>
      <c r="C397" s="268" t="n">
        <v>1</v>
      </c>
      <c r="D397" s="268" t="n"/>
      <c r="E397" s="268" t="n"/>
      <c r="F397" s="269" t="n"/>
      <c r="G397" s="269" t="n"/>
      <c r="H397" s="270" t="n">
        <v>128000</v>
      </c>
      <c r="I397" s="271" t="n"/>
      <c r="J397" s="271" t="n">
        <v>128000</v>
      </c>
      <c r="K397" s="272" t="n">
        <v>37000</v>
      </c>
      <c r="L397" s="272" t="n">
        <v>47200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SANDRA</t>
        </is>
      </c>
      <c r="C398" s="268" t="n">
        <v>1</v>
      </c>
      <c r="D398" s="268" t="n"/>
      <c r="E398" s="268" t="n"/>
      <c r="F398" s="269" t="n"/>
      <c r="G398" s="269" t="n"/>
      <c r="H398" s="270" t="n">
        <v>19500</v>
      </c>
      <c r="I398" s="271" t="n"/>
      <c r="J398" s="271" t="n">
        <v>19500</v>
      </c>
      <c r="K398" s="272" t="n"/>
      <c r="L398" s="272" t="n">
        <v>3700</v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PARAGUAY 5234</t>
        </is>
      </c>
      <c r="C399" s="268" t="n"/>
      <c r="D399" s="268" t="n"/>
      <c r="E399" s="268" t="n">
        <v>1</v>
      </c>
      <c r="F399" s="269" t="n"/>
      <c r="G399" s="269" t="n"/>
      <c r="H399" s="270" t="n">
        <v>90000</v>
      </c>
      <c r="I399" s="271" t="n"/>
      <c r="J399" s="271" t="n">
        <v>90000</v>
      </c>
      <c r="K399" s="272" t="n"/>
      <c r="L399" s="272" t="n">
        <v>28000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CHICLANA 7325</t>
        </is>
      </c>
      <c r="C400" s="268" t="n">
        <v>1</v>
      </c>
      <c r="D400" s="268" t="n"/>
      <c r="E400" s="268" t="n"/>
      <c r="F400" s="269" t="n"/>
      <c r="G400" s="269" t="n"/>
      <c r="H400" s="270" t="n">
        <v>20000</v>
      </c>
      <c r="I400" s="271" t="n"/>
      <c r="J400" s="271" t="n">
        <v>20000</v>
      </c>
      <c r="K400" s="272" t="n"/>
      <c r="L400" s="272" t="n">
        <v>4200</v>
      </c>
      <c r="M400" s="156" t="n"/>
    </row>
    <row r="401" ht="15.75" customHeight="1" s="153">
      <c r="A401" s="279" t="n"/>
      <c r="B401" s="267" t="inlineStr">
        <is>
          <t>LAVADERO</t>
        </is>
      </c>
      <c r="C401" s="268" t="n"/>
      <c r="D401" s="268" t="n">
        <v>1</v>
      </c>
      <c r="E401" s="268" t="n"/>
      <c r="F401" s="269" t="n"/>
      <c r="G401" s="269" t="n"/>
      <c r="H401" s="270" t="n">
        <v>28500</v>
      </c>
      <c r="I401" s="271" t="n"/>
      <c r="J401" s="271" t="n">
        <v>28500</v>
      </c>
      <c r="K401" s="272" t="n"/>
      <c r="L401" s="272" t="n">
        <v>4800</v>
      </c>
      <c r="M401" s="156" t="n"/>
    </row>
    <row r="402" ht="15.75" customHeight="1" s="153">
      <c r="A402" s="279" t="n"/>
      <c r="B402" s="267" t="inlineStr">
        <is>
          <t>GÜEMES 4421</t>
        </is>
      </c>
      <c r="C402" s="268" t="n">
        <v>1</v>
      </c>
      <c r="D402" s="268" t="n"/>
      <c r="E402" s="268" t="n"/>
      <c r="F402" s="269" t="n"/>
      <c r="G402" s="269" t="n"/>
      <c r="H402" s="270" t="n">
        <v>28500</v>
      </c>
      <c r="I402" s="271" t="n"/>
      <c r="J402" s="271" t="n">
        <v>28500</v>
      </c>
      <c r="K402" s="272" t="n"/>
      <c r="L402" s="272" t="n">
        <v>12700</v>
      </c>
      <c r="M402" s="156" t="n"/>
    </row>
    <row r="403" ht="15.75" customHeight="1" s="153">
      <c r="A403" s="279" t="n"/>
      <c r="B403" s="267" t="inlineStr">
        <is>
          <t>NOGALES 3419</t>
        </is>
      </c>
      <c r="C403" s="268" t="n">
        <v>1</v>
      </c>
      <c r="D403" s="268" t="n"/>
      <c r="E403" s="268" t="n"/>
      <c r="F403" s="269" t="n"/>
      <c r="G403" s="269" t="n"/>
      <c r="H403" s="270" t="n">
        <v>26000</v>
      </c>
      <c r="I403" s="271" t="n"/>
      <c r="J403" s="271" t="n">
        <v>26000</v>
      </c>
      <c r="K403" s="272" t="n"/>
      <c r="L403" s="272" t="n">
        <v>10200</v>
      </c>
      <c r="M403" s="156" t="n"/>
    </row>
    <row r="404" ht="15.75" customHeight="1" s="153">
      <c r="A404" s="279" t="n"/>
      <c r="B404" s="267" t="inlineStr">
        <is>
          <t>ITURRASPE 962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 t="n">
        <v>10200</v>
      </c>
      <c r="M404" s="156" t="n"/>
    </row>
    <row r="405" ht="15.75" customHeight="1" s="153">
      <c r="A405" s="279" t="n"/>
      <c r="B405" s="267" t="inlineStr">
        <is>
          <t>CASTAÑADUY 7019</t>
        </is>
      </c>
      <c r="C405" s="268" t="n"/>
      <c r="D405" s="268" t="n"/>
      <c r="E405" s="268" t="n">
        <v>1</v>
      </c>
      <c r="F405" s="269" t="n"/>
      <c r="G405" s="269" t="n"/>
      <c r="H405" s="270" t="n">
        <v>95000</v>
      </c>
      <c r="I405" s="271" t="n">
        <v>95000</v>
      </c>
      <c r="J405" s="271" t="n"/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SABOREAR</t>
        </is>
      </c>
      <c r="C406" s="268" t="n"/>
      <c r="D406" s="268" t="n"/>
      <c r="E406" s="268" t="n">
        <v>1</v>
      </c>
      <c r="F406" s="269" t="n"/>
      <c r="G406" s="269" t="n"/>
      <c r="H406" s="270" t="n">
        <v>84000</v>
      </c>
      <c r="I406" s="271" t="n"/>
      <c r="J406" s="271" t="n">
        <v>84000</v>
      </c>
      <c r="K406" s="272" t="n"/>
      <c r="L406" s="272" t="n">
        <v>22000</v>
      </c>
      <c r="M406" s="156" t="n"/>
    </row>
    <row r="407" ht="15.75" customHeight="1" s="153">
      <c r="A407" s="279" t="n"/>
      <c r="B407" s="267" t="inlineStr">
        <is>
          <t>BRASERIA</t>
        </is>
      </c>
      <c r="C407" s="268" t="n">
        <v>1</v>
      </c>
      <c r="D407" s="268" t="n"/>
      <c r="E407" s="268" t="n">
        <v>1</v>
      </c>
      <c r="F407" s="269" t="n"/>
      <c r="G407" s="269" t="n"/>
      <c r="H407" s="270" t="n">
        <v>109000</v>
      </c>
      <c r="I407" s="271" t="n"/>
      <c r="J407" s="271" t="n">
        <v>109000</v>
      </c>
      <c r="K407" s="272" t="n"/>
      <c r="L407" s="272" t="n">
        <v>31200</v>
      </c>
      <c r="M407" s="156" t="n"/>
    </row>
    <row r="408" ht="15.75" customHeight="1" s="153">
      <c r="A408" s="279" t="n">
        <v>46163</v>
      </c>
      <c r="B408" s="267" t="inlineStr">
        <is>
          <t>CARO FACELLO</t>
        </is>
      </c>
      <c r="C408" s="268" t="n"/>
      <c r="D408" s="268" t="n">
        <v>1</v>
      </c>
      <c r="E408" s="268" t="n"/>
      <c r="F408" s="269" t="n"/>
      <c r="G408" s="269" t="n"/>
      <c r="H408" s="270" t="n">
        <v>39500</v>
      </c>
      <c r="I408" s="271" t="n">
        <v>39500</v>
      </c>
      <c r="J408" s="271" t="n"/>
      <c r="K408" s="272" t="n"/>
      <c r="L408" s="272" t="n">
        <v>15800</v>
      </c>
      <c r="M408" s="156" t="n"/>
    </row>
    <row r="409" ht="15.75" customHeight="1" s="153">
      <c r="A409" s="279" t="n"/>
      <c r="B409" s="267" t="inlineStr">
        <is>
          <t>PANA GORRITI 4600</t>
        </is>
      </c>
      <c r="C409" s="268" t="n"/>
      <c r="D409" s="268" t="n"/>
      <c r="E409" s="268" t="n">
        <v>1</v>
      </c>
      <c r="F409" s="269" t="n"/>
      <c r="G409" s="269" t="n"/>
      <c r="H409" s="270" t="n">
        <v>84000</v>
      </c>
      <c r="I409" s="271" t="n"/>
      <c r="J409" s="271" t="n">
        <v>84000</v>
      </c>
      <c r="K409" s="272" t="n"/>
      <c r="L409" s="272" t="n">
        <v>22000</v>
      </c>
      <c r="M409" s="156" t="n"/>
    </row>
    <row r="410" ht="15.75" customHeight="1" s="153">
      <c r="A410" s="279" t="n"/>
      <c r="B410" s="267" t="inlineStr">
        <is>
          <t>EXE</t>
        </is>
      </c>
      <c r="C410" s="268" t="n"/>
      <c r="D410" s="268" t="n"/>
      <c r="E410" s="268" t="n">
        <v>1</v>
      </c>
      <c r="F410" s="269" t="n"/>
      <c r="G410" s="269" t="n"/>
      <c r="H410" s="270" t="n">
        <v>85000</v>
      </c>
      <c r="I410" s="271" t="n"/>
      <c r="J410" s="271" t="n">
        <v>85000</v>
      </c>
      <c r="K410" s="272" t="n"/>
      <c r="L410" s="272" t="n">
        <v>23000</v>
      </c>
      <c r="M410" s="156" t="n"/>
    </row>
    <row r="411" ht="15.75" customHeight="1" s="153">
      <c r="A411" s="279" t="n"/>
      <c r="B411" s="267" t="inlineStr">
        <is>
          <t>CHICLANA 7325</t>
        </is>
      </c>
      <c r="C411" s="268" t="n">
        <v>3</v>
      </c>
      <c r="D411" s="268" t="n"/>
      <c r="E411" s="268" t="n"/>
      <c r="F411" s="269" t="n"/>
      <c r="G411" s="269" t="n"/>
      <c r="H411" s="270" t="n">
        <v>60000</v>
      </c>
      <c r="I411" s="271" t="n"/>
      <c r="J411" s="271" t="n">
        <v>60000</v>
      </c>
      <c r="K411" s="272" t="n"/>
      <c r="L411" s="272" t="n">
        <v>12600</v>
      </c>
      <c r="M411" s="156" t="n"/>
    </row>
    <row r="412" ht="15.75" customHeight="1" s="153">
      <c r="A412" s="279" t="n"/>
      <c r="B412" s="267" t="inlineStr">
        <is>
          <t>VIEYTES 4333</t>
        </is>
      </c>
      <c r="C412" s="268" t="n">
        <v>1</v>
      </c>
      <c r="D412" s="268" t="n"/>
      <c r="E412" s="268" t="n"/>
      <c r="F412" s="269" t="n"/>
      <c r="G412" s="269" t="n"/>
      <c r="H412" s="270" t="n">
        <v>23500</v>
      </c>
      <c r="I412" s="271" t="n">
        <v>23500</v>
      </c>
      <c r="J412" s="271" t="n"/>
      <c r="K412" s="272" t="n"/>
      <c r="L412" s="272" t="n">
        <v>7700</v>
      </c>
      <c r="M412" s="156" t="n"/>
    </row>
    <row r="413" ht="15.75" customHeight="1" s="153">
      <c r="A413" s="279" t="n"/>
      <c r="B413" s="267" t="inlineStr">
        <is>
          <t>VIANDAS JORGE</t>
        </is>
      </c>
      <c r="C413" s="268" t="n">
        <v>1</v>
      </c>
      <c r="D413" s="268" t="n"/>
      <c r="E413" s="268" t="n"/>
      <c r="F413" s="269" t="n"/>
      <c r="G413" s="269" t="n"/>
      <c r="H413" s="270" t="n">
        <v>23000</v>
      </c>
      <c r="I413" s="271" t="n">
        <v>23000</v>
      </c>
      <c r="J413" s="271" t="n"/>
      <c r="K413" s="272" t="n"/>
      <c r="L413" s="272" t="n">
        <v>7200</v>
      </c>
      <c r="M413" s="156" t="n"/>
    </row>
    <row r="414" ht="15.75" customHeight="1" s="153">
      <c r="A414" s="279" t="n"/>
      <c r="B414" s="267" t="inlineStr">
        <is>
          <t>CAFERATA 9653</t>
        </is>
      </c>
      <c r="C414" s="268" t="n">
        <v>1</v>
      </c>
      <c r="D414" s="268" t="n"/>
      <c r="E414" s="268" t="n"/>
      <c r="F414" s="269" t="n"/>
      <c r="G414" s="269" t="n"/>
      <c r="H414" s="270" t="n">
        <v>26000</v>
      </c>
      <c r="I414" s="271" t="n">
        <v>26000</v>
      </c>
      <c r="J414" s="271" t="n"/>
      <c r="K414" s="272" t="n"/>
      <c r="L414" s="272" t="n">
        <v>10200</v>
      </c>
      <c r="M414" s="156" t="n"/>
    </row>
    <row r="415" ht="15.75" customHeight="1" s="153">
      <c r="A415" s="279" t="n"/>
      <c r="B415" s="267" t="inlineStr">
        <is>
          <t>JUNÍN 2282</t>
        </is>
      </c>
      <c r="C415" s="268" t="n">
        <v>1</v>
      </c>
      <c r="D415" s="268" t="n"/>
      <c r="E415" s="268" t="n"/>
      <c r="F415" s="269" t="n"/>
      <c r="G415" s="269" t="n"/>
      <c r="H415" s="270" t="n">
        <v>26000</v>
      </c>
      <c r="I415" s="271" t="n"/>
      <c r="J415" s="271" t="n">
        <v>26000</v>
      </c>
      <c r="K415" s="272" t="n"/>
      <c r="L415" s="272" t="n">
        <v>10200</v>
      </c>
      <c r="M415" s="156" t="n"/>
    </row>
    <row r="416" ht="15.75" customHeight="1" s="153">
      <c r="A416" s="279" t="n"/>
      <c r="B416" s="267" t="inlineStr">
        <is>
          <t>QUINTANA 3340</t>
        </is>
      </c>
      <c r="C416" s="268" t="n">
        <v>1</v>
      </c>
      <c r="D416" s="268" t="n"/>
      <c r="E416" s="268" t="n"/>
      <c r="F416" s="269" t="n"/>
      <c r="G416" s="269" t="n"/>
      <c r="H416" s="270" t="n">
        <v>26000</v>
      </c>
      <c r="I416" s="271" t="n">
        <v>26000</v>
      </c>
      <c r="J416" s="271" t="n"/>
      <c r="K416" s="272" t="n"/>
      <c r="L416" s="272" t="n">
        <v>10200</v>
      </c>
      <c r="M416" s="156" t="n"/>
    </row>
    <row r="417" ht="15.75" customHeight="1" s="153">
      <c r="A417" s="279" t="n"/>
      <c r="B417" s="267" t="inlineStr">
        <is>
          <t>JP LOPEZ 3249</t>
        </is>
      </c>
      <c r="C417" s="268" t="n">
        <v>1</v>
      </c>
      <c r="D417" s="268" t="n"/>
      <c r="E417" s="268" t="n"/>
      <c r="F417" s="269" t="n"/>
      <c r="G417" s="269" t="n"/>
      <c r="H417" s="270" t="n">
        <v>26000</v>
      </c>
      <c r="I417" s="271" t="n"/>
      <c r="J417" s="271" t="n">
        <v>26000</v>
      </c>
      <c r="K417" s="272" t="n"/>
      <c r="L417" s="272" t="n">
        <v>10200</v>
      </c>
      <c r="M417" s="156" t="n"/>
    </row>
    <row r="418" ht="15.75" customHeight="1" s="153">
      <c r="A418" s="279" t="n"/>
      <c r="B418" s="267" t="inlineStr">
        <is>
          <t>LUCHO</t>
        </is>
      </c>
      <c r="C418" s="268" t="n">
        <v>2</v>
      </c>
      <c r="D418" s="268" t="n">
        <v>1</v>
      </c>
      <c r="E418" s="268" t="n"/>
      <c r="F418" s="269" t="n"/>
      <c r="G418" s="269" t="n"/>
      <c r="H418" s="270" t="n">
        <v>71500</v>
      </c>
      <c r="I418" s="271" t="n">
        <v>71500</v>
      </c>
      <c r="J418" s="271" t="n"/>
      <c r="K418" s="272" t="n"/>
      <c r="L418" s="272" t="n">
        <v>16200</v>
      </c>
      <c r="M418" s="156" t="n"/>
    </row>
    <row r="419" ht="15.75" customHeight="1" s="153">
      <c r="A419" s="279" t="n"/>
      <c r="B419" s="267" t="inlineStr">
        <is>
          <t>VENIALBO 5829</t>
        </is>
      </c>
      <c r="C419" s="268" t="n">
        <v>1</v>
      </c>
      <c r="D419" s="268" t="n"/>
      <c r="E419" s="268" t="n"/>
      <c r="F419" s="269" t="n"/>
      <c r="G419" s="269" t="n"/>
      <c r="H419" s="270" t="n">
        <v>26000</v>
      </c>
      <c r="I419" s="271" t="n">
        <v>26000</v>
      </c>
      <c r="J419" s="271" t="n"/>
      <c r="K419" s="272" t="n"/>
      <c r="L419" s="272" t="n">
        <v>10200</v>
      </c>
      <c r="M419" s="156" t="n"/>
    </row>
    <row r="420" ht="15.75" customHeight="1" s="153">
      <c r="A420" s="279" t="n"/>
      <c r="B420" s="267" t="inlineStr">
        <is>
          <t>P GENESIO 5995</t>
        </is>
      </c>
      <c r="C420" s="268" t="n"/>
      <c r="D420" s="268" t="n">
        <v>1</v>
      </c>
      <c r="E420" s="268" t="n"/>
      <c r="F420" s="269" t="n"/>
      <c r="G420" s="269" t="n"/>
      <c r="H420" s="270" t="n">
        <v>40000</v>
      </c>
      <c r="I420" s="271" t="n">
        <v>40000</v>
      </c>
      <c r="J420" s="271" t="n"/>
      <c r="K420" s="272" t="n"/>
      <c r="L420" s="272" t="n">
        <v>16300</v>
      </c>
      <c r="M420" s="156" t="n"/>
    </row>
    <row r="421" ht="15.75" customHeight="1" s="153">
      <c r="A421" s="279" t="n"/>
      <c r="B421" s="267" t="inlineStr">
        <is>
          <t>ROTI SAN LORENZO</t>
        </is>
      </c>
      <c r="C421" s="268" t="n">
        <v>1</v>
      </c>
      <c r="D421" s="268" t="n">
        <v>1</v>
      </c>
      <c r="E421" s="268" t="n">
        <v>1</v>
      </c>
      <c r="F421" s="269" t="n"/>
      <c r="G421" s="269" t="n"/>
      <c r="H421" s="270" t="n">
        <v>147500</v>
      </c>
      <c r="I421" s="271" t="n">
        <v>100000</v>
      </c>
      <c r="J421" s="271" t="n">
        <v>47500</v>
      </c>
      <c r="K421" s="272" t="n"/>
      <c r="L421" s="272" t="n">
        <v>46000</v>
      </c>
      <c r="M421" s="156" t="n"/>
    </row>
    <row r="422" ht="15.75" customHeight="1" s="153">
      <c r="A422" s="279" t="n"/>
      <c r="B422" s="267" t="inlineStr">
        <is>
          <t>VERBENA</t>
        </is>
      </c>
      <c r="C422" s="268" t="n">
        <v>4</v>
      </c>
      <c r="D422" s="268" t="n"/>
      <c r="E422" s="268" t="n"/>
      <c r="F422" s="269" t="n"/>
      <c r="G422" s="269" t="n"/>
      <c r="H422" s="270" t="n">
        <v>108000</v>
      </c>
      <c r="I422" s="271" t="n"/>
      <c r="J422" s="271" t="n">
        <v>108000</v>
      </c>
      <c r="K422" s="272" t="n"/>
      <c r="L422" s="272" t="n">
        <v>44800</v>
      </c>
      <c r="M422" s="156" t="n"/>
    </row>
    <row r="423" ht="15.75" customHeight="1" s="153">
      <c r="A423" s="279" t="n"/>
      <c r="B423" s="267" t="inlineStr">
        <is>
          <t>FACU MANTARAS</t>
        </is>
      </c>
      <c r="C423" s="268" t="n">
        <v>2</v>
      </c>
      <c r="D423" s="268" t="n"/>
      <c r="E423" s="268" t="n"/>
      <c r="F423" s="269" t="n"/>
      <c r="G423" s="269" t="n"/>
      <c r="H423" s="270" t="n">
        <v>54000</v>
      </c>
      <c r="I423" s="271" t="n"/>
      <c r="J423" s="271" t="n">
        <v>54000</v>
      </c>
      <c r="K423" s="272" t="n"/>
      <c r="L423" s="272" t="n">
        <v>22400</v>
      </c>
      <c r="M423" s="156" t="n"/>
    </row>
    <row r="424" ht="15.75" customHeight="1" s="153">
      <c r="A424" s="279" t="n"/>
      <c r="B424" s="267" t="inlineStr">
        <is>
          <t>PAULO</t>
        </is>
      </c>
      <c r="C424" s="268" t="n">
        <v>3</v>
      </c>
      <c r="D424" s="268" t="n"/>
      <c r="E424" s="268" t="n"/>
      <c r="F424" s="269" t="n"/>
      <c r="G424" s="269" t="n"/>
      <c r="H424" s="270" t="n">
        <v>60000</v>
      </c>
      <c r="I424" s="271" t="n"/>
      <c r="J424" s="271" t="n">
        <v>60000</v>
      </c>
      <c r="K424" s="272" t="n"/>
      <c r="L424" s="272" t="n">
        <v>12600</v>
      </c>
      <c r="M424" s="156" t="n"/>
    </row>
    <row r="425" ht="15.75" customHeight="1" s="153">
      <c r="A425" s="279" t="n"/>
      <c r="B425" s="267" t="inlineStr">
        <is>
          <t>AGUADO 9067</t>
        </is>
      </c>
      <c r="C425" s="268" t="n"/>
      <c r="D425" s="268" t="n">
        <v>1</v>
      </c>
      <c r="E425" s="268" t="n"/>
      <c r="F425" s="269" t="n"/>
      <c r="G425" s="269" t="n"/>
      <c r="H425" s="270" t="n">
        <v>39500</v>
      </c>
      <c r="I425" s="271" t="n"/>
      <c r="J425" s="271" t="n">
        <v>39500</v>
      </c>
      <c r="K425" s="272" t="n"/>
      <c r="L425" s="272" t="n">
        <v>15800</v>
      </c>
      <c r="M425" s="156" t="n"/>
    </row>
    <row r="426" ht="15.75" customHeight="1" s="153">
      <c r="A426" s="279" t="n">
        <v>46164</v>
      </c>
      <c r="B426" s="267" t="inlineStr">
        <is>
          <t>ESPORA 4846</t>
        </is>
      </c>
      <c r="C426" s="268" t="n">
        <v>1</v>
      </c>
      <c r="D426" s="268" t="n">
        <v>1</v>
      </c>
      <c r="E426" s="268" t="n"/>
      <c r="F426" s="269" t="n"/>
      <c r="G426" s="269" t="n"/>
      <c r="H426" s="270" t="n">
        <v>68000</v>
      </c>
      <c r="I426" s="271" t="n">
        <v>68000</v>
      </c>
      <c r="J426" s="271" t="n"/>
      <c r="K426" s="272" t="n"/>
      <c r="L426" s="272" t="n">
        <v>28500</v>
      </c>
      <c r="M426" s="156" t="n"/>
    </row>
    <row r="427" ht="15.75" customHeight="1" s="153">
      <c r="A427" s="279" t="n"/>
      <c r="B427" s="267" t="inlineStr">
        <is>
          <t>MARIO</t>
        </is>
      </c>
      <c r="C427" s="268" t="n">
        <v>2</v>
      </c>
      <c r="D427" s="268" t="n"/>
      <c r="E427" s="268" t="n"/>
      <c r="F427" s="269" t="n"/>
      <c r="G427" s="269" t="n"/>
      <c r="H427" s="270" t="n">
        <v>38000</v>
      </c>
      <c r="I427" s="271" t="n">
        <v>38000</v>
      </c>
      <c r="J427" s="271" t="n"/>
      <c r="K427" s="272" t="n"/>
      <c r="L427" s="272" t="n">
        <v>6400</v>
      </c>
      <c r="M427" s="156" t="n"/>
    </row>
    <row r="428" ht="15.75" customHeight="1" s="153">
      <c r="A428" s="279" t="n"/>
      <c r="B428" s="267" t="inlineStr">
        <is>
          <t>PAVÓN 3435</t>
        </is>
      </c>
      <c r="C428" s="268" t="n"/>
      <c r="D428" s="268" t="n">
        <v>1</v>
      </c>
      <c r="E428" s="268" t="n">
        <v>1</v>
      </c>
      <c r="F428" s="269" t="n"/>
      <c r="G428" s="269" t="n"/>
      <c r="H428" s="270" t="n">
        <v>120000</v>
      </c>
      <c r="I428" s="271" t="n"/>
      <c r="J428" s="271" t="n">
        <v>120000</v>
      </c>
      <c r="K428" s="272" t="n"/>
      <c r="L428" s="272" t="n">
        <v>34300</v>
      </c>
      <c r="M428" s="156" t="n"/>
    </row>
    <row r="429" ht="15.75" customHeight="1" s="153">
      <c r="A429" s="279" t="n"/>
      <c r="B429" s="267" t="inlineStr">
        <is>
          <t>BOULEVARD GÁLVEZ 2333</t>
        </is>
      </c>
      <c r="C429" s="268" t="n">
        <v>1</v>
      </c>
      <c r="D429" s="268" t="n"/>
      <c r="E429" s="268" t="n"/>
      <c r="F429" s="269" t="n"/>
      <c r="G429" s="269" t="n"/>
      <c r="H429" s="270" t="n">
        <v>26000</v>
      </c>
      <c r="I429" s="271" t="n">
        <v>26000</v>
      </c>
      <c r="J429" s="271" t="n"/>
      <c r="K429" s="272" t="n"/>
      <c r="L429" s="272" t="n">
        <v>10200</v>
      </c>
      <c r="M429" s="156" t="n"/>
    </row>
    <row r="430" ht="15.75" customHeight="1" s="153">
      <c r="A430" s="279" t="n"/>
      <c r="B430" s="267" t="inlineStr">
        <is>
          <t>PANA ALBERTI</t>
        </is>
      </c>
      <c r="C430" s="268" t="n">
        <v>1</v>
      </c>
      <c r="D430" s="268" t="n">
        <v>1</v>
      </c>
      <c r="E430" s="268" t="n"/>
      <c r="F430" s="269" t="n"/>
      <c r="G430" s="269" t="n"/>
      <c r="H430" s="270" t="n">
        <v>60500</v>
      </c>
      <c r="I430" s="271" t="n">
        <v>60500</v>
      </c>
      <c r="J430" s="271" t="n"/>
      <c r="K430" s="272" t="n"/>
      <c r="L430" s="272" t="n">
        <v>21000</v>
      </c>
      <c r="M430" s="156" t="n"/>
    </row>
    <row r="431" ht="15.75" customHeight="1" s="153">
      <c r="A431" s="279" t="n"/>
      <c r="B431" s="267" t="inlineStr">
        <is>
          <t>ROTI AGUADO</t>
        </is>
      </c>
      <c r="C431" s="268" t="n"/>
      <c r="D431" s="268" t="n"/>
      <c r="E431" s="268" t="n">
        <v>1</v>
      </c>
      <c r="F431" s="269" t="n"/>
      <c r="G431" s="269" t="n"/>
      <c r="H431" s="270" t="n">
        <v>83000</v>
      </c>
      <c r="I431" s="271" t="n"/>
      <c r="J431" s="271" t="n">
        <v>83000</v>
      </c>
      <c r="K431" s="272" t="n"/>
      <c r="L431" s="272" t="n">
        <v>21000</v>
      </c>
      <c r="M431" s="156" t="n"/>
    </row>
    <row r="432" ht="15.75" customHeight="1" s="153">
      <c r="A432" s="279" t="n"/>
      <c r="B432" s="267" t="inlineStr">
        <is>
          <t>PANA GENESIO</t>
        </is>
      </c>
      <c r="C432" s="268" t="n"/>
      <c r="D432" s="268" t="n"/>
      <c r="E432" s="268" t="n">
        <v>1</v>
      </c>
      <c r="F432" s="269" t="n"/>
      <c r="G432" s="269" t="n"/>
      <c r="H432" s="270" t="n">
        <v>79000</v>
      </c>
      <c r="I432" s="271" t="n">
        <v>79000</v>
      </c>
      <c r="J432" s="271" t="n"/>
      <c r="K432" s="272" t="n"/>
      <c r="L432" s="272" t="n">
        <v>17000</v>
      </c>
      <c r="M432" s="156" t="n"/>
    </row>
    <row r="433" ht="15.75" customHeight="1" s="153">
      <c r="A433" s="279" t="n"/>
      <c r="B433" s="267" t="inlineStr">
        <is>
          <t>FILOMENA</t>
        </is>
      </c>
      <c r="C433" s="268" t="n">
        <v>2</v>
      </c>
      <c r="D433" s="268" t="n"/>
      <c r="E433" s="268" t="n"/>
      <c r="F433" s="269" t="n"/>
      <c r="G433" s="269" t="n"/>
      <c r="H433" s="270" t="n">
        <v>49000</v>
      </c>
      <c r="I433" s="271" t="n"/>
      <c r="J433" s="271" t="n">
        <v>49000</v>
      </c>
      <c r="K433" s="272" t="n"/>
      <c r="L433" s="272" t="n">
        <v>17400</v>
      </c>
      <c r="M433" s="156" t="n"/>
    </row>
    <row r="434" ht="15.75" customHeight="1" s="153">
      <c r="A434" s="279" t="n"/>
      <c r="B434" s="267" t="inlineStr">
        <is>
          <t>CASANELLO 2128</t>
        </is>
      </c>
      <c r="C434" s="268" t="n">
        <v>1</v>
      </c>
      <c r="D434" s="268" t="n"/>
      <c r="E434" s="268" t="n"/>
      <c r="F434" s="269" t="n"/>
      <c r="G434" s="269" t="n"/>
      <c r="H434" s="270" t="n">
        <v>27500</v>
      </c>
      <c r="I434" s="271" t="n"/>
      <c r="J434" s="271" t="n">
        <v>27500</v>
      </c>
      <c r="K434" s="272" t="n"/>
      <c r="L434" s="272" t="n">
        <v>11700</v>
      </c>
      <c r="M434" s="156" t="n"/>
    </row>
    <row r="435" ht="15.75" customHeight="1" s="153">
      <c r="A435" s="279" t="n"/>
      <c r="B435" s="267" t="inlineStr">
        <is>
          <t>GENERAL PAZ 7989</t>
        </is>
      </c>
      <c r="C435" s="268" t="n">
        <v>1</v>
      </c>
      <c r="D435" s="268" t="n"/>
      <c r="E435" s="268" t="n"/>
      <c r="F435" s="269" t="n"/>
      <c r="G435" s="269" t="n"/>
      <c r="H435" s="270" t="n">
        <v>26000</v>
      </c>
      <c r="I435" s="271" t="n"/>
      <c r="J435" s="271" t="n">
        <v>26000</v>
      </c>
      <c r="K435" s="272" t="n"/>
      <c r="L435" s="272" t="n">
        <v>10200</v>
      </c>
      <c r="M435" s="156" t="n"/>
    </row>
    <row r="436" ht="15.75" customHeight="1" s="153">
      <c r="A436" s="279" t="n"/>
      <c r="B436" s="267" t="inlineStr">
        <is>
          <t>CACIQUE ANDRESITO 9133</t>
        </is>
      </c>
      <c r="C436" s="268" t="n"/>
      <c r="D436" s="268" t="n"/>
      <c r="E436" s="268" t="n">
        <v>1</v>
      </c>
      <c r="F436" s="269" t="n"/>
      <c r="G436" s="269" t="n"/>
      <c r="H436" s="270" t="n">
        <v>91000</v>
      </c>
      <c r="I436" s="271" t="n">
        <v>91000</v>
      </c>
      <c r="J436" s="271" t="n"/>
      <c r="K436" s="272" t="n"/>
      <c r="L436" s="272" t="n">
        <v>29000</v>
      </c>
      <c r="M436" s="156" t="n"/>
    </row>
    <row r="437" ht="15.75" customHeight="1" s="153">
      <c r="A437" s="279" t="n"/>
      <c r="B437" s="267" t="inlineStr">
        <is>
          <t>PANA VIEYTES 3800</t>
        </is>
      </c>
      <c r="C437" s="268" t="n"/>
      <c r="D437" s="268" t="n"/>
      <c r="E437" s="268" t="n">
        <v>1</v>
      </c>
      <c r="F437" s="269" t="n"/>
      <c r="G437" s="269" t="n"/>
      <c r="H437" s="270" t="n">
        <v>85000</v>
      </c>
      <c r="I437" s="271" t="n">
        <v>85000</v>
      </c>
      <c r="J437" s="271" t="n"/>
      <c r="K437" s="272" t="n"/>
      <c r="L437" s="272" t="n">
        <v>23000</v>
      </c>
      <c r="M437" s="156" t="n"/>
    </row>
    <row r="438" ht="15.75" customHeight="1" s="153">
      <c r="A438" s="279" t="n"/>
      <c r="B438" s="267" t="inlineStr">
        <is>
          <t>GENERAL PAZ 7869</t>
        </is>
      </c>
      <c r="C438" s="268" t="n"/>
      <c r="D438" s="268" t="n"/>
      <c r="E438" s="268" t="n">
        <v>1</v>
      </c>
      <c r="F438" s="269" t="n"/>
      <c r="G438" s="269" t="n"/>
      <c r="H438" s="270" t="n">
        <v>88000</v>
      </c>
      <c r="I438" s="271" t="n">
        <v>88000</v>
      </c>
      <c r="J438" s="271" t="n"/>
      <c r="K438" s="272" t="n"/>
      <c r="L438" s="272" t="n">
        <v>26000</v>
      </c>
      <c r="M438" s="156" t="n"/>
    </row>
    <row r="439" ht="15.75" customHeight="1" s="153">
      <c r="A439" s="279" t="n"/>
      <c r="B439" s="267" t="inlineStr">
        <is>
          <t>PAVÓN 3941</t>
        </is>
      </c>
      <c r="C439" s="268" t="n">
        <v>1</v>
      </c>
      <c r="D439" s="268" t="n"/>
      <c r="E439" s="268" t="n"/>
      <c r="F439" s="269" t="n"/>
      <c r="G439" s="269" t="n"/>
      <c r="H439" s="270" t="n">
        <v>26000</v>
      </c>
      <c r="I439" s="271" t="n">
        <v>26000</v>
      </c>
      <c r="J439" s="271" t="n"/>
      <c r="K439" s="272" t="n"/>
      <c r="L439" s="272" t="n">
        <v>10200</v>
      </c>
      <c r="M439" s="156" t="n"/>
    </row>
    <row r="440" ht="15.75" customHeight="1" s="153">
      <c r="A440" s="279" t="n"/>
      <c r="B440" s="267" t="inlineStr">
        <is>
          <t>ASCUÉNAGA 5023</t>
        </is>
      </c>
      <c r="C440" s="268" t="n">
        <v>4</v>
      </c>
      <c r="D440" s="268" t="n"/>
      <c r="E440" s="268" t="n"/>
      <c r="F440" s="269" t="n"/>
      <c r="G440" s="269" t="n"/>
      <c r="H440" s="270" t="n">
        <v>80000</v>
      </c>
      <c r="I440" s="271" t="n"/>
      <c r="J440" s="271" t="n">
        <v>80000</v>
      </c>
      <c r="K440" s="272" t="n"/>
      <c r="L440" s="272" t="n">
        <v>16800</v>
      </c>
      <c r="M440" s="156" t="n"/>
    </row>
    <row r="441" ht="15.75" customHeight="1" s="153">
      <c r="A441" s="279" t="n"/>
      <c r="B441" s="267" t="inlineStr">
        <is>
          <t>HERMANO MAXI OTNIEL</t>
        </is>
      </c>
      <c r="C441" s="268" t="n"/>
      <c r="D441" s="268" t="n"/>
      <c r="E441" s="268" t="n"/>
      <c r="F441" s="269" t="n"/>
      <c r="G441" s="269" t="n">
        <v>1</v>
      </c>
      <c r="H441" s="270" t="n">
        <v>6500</v>
      </c>
      <c r="I441" s="271" t="n"/>
      <c r="J441" s="271" t="n">
        <v>6500</v>
      </c>
      <c r="K441" s="272" t="n"/>
      <c r="L441" s="272" t="n">
        <v>5580</v>
      </c>
      <c r="M441" s="156" t="n"/>
    </row>
    <row r="442" ht="15.75" customHeight="1" s="153">
      <c r="A442" s="279" t="n"/>
      <c r="B442" s="267" t="inlineStr">
        <is>
          <t>COGORNO 5520</t>
        </is>
      </c>
      <c r="C442" s="268" t="n">
        <v>6</v>
      </c>
      <c r="D442" s="268" t="n"/>
      <c r="E442" s="268" t="n"/>
      <c r="F442" s="269" t="n"/>
      <c r="G442" s="269" t="n"/>
      <c r="H442" s="270" t="n">
        <v>123000</v>
      </c>
      <c r="I442" s="271" t="n"/>
      <c r="J442" s="271" t="n">
        <v>123000</v>
      </c>
      <c r="K442" s="272" t="n"/>
      <c r="L442" s="272" t="n">
        <v>28200</v>
      </c>
      <c r="M442" s="156" t="n"/>
    </row>
    <row r="443" ht="15.75" customHeight="1" s="153">
      <c r="A443" s="279" t="n"/>
      <c r="B443" s="267" t="inlineStr">
        <is>
          <t>VIEYTES 4361</t>
        </is>
      </c>
      <c r="C443" s="268" t="n">
        <v>2</v>
      </c>
      <c r="D443" s="268" t="n"/>
      <c r="E443" s="268" t="n"/>
      <c r="F443" s="269" t="n"/>
      <c r="G443" s="269" t="n"/>
      <c r="H443" s="270" t="n">
        <v>52000</v>
      </c>
      <c r="I443" s="271" t="n"/>
      <c r="J443" s="271" t="n">
        <v>52000</v>
      </c>
      <c r="K443" s="272" t="n"/>
      <c r="L443" s="272" t="n">
        <v>20400</v>
      </c>
      <c r="M443" s="156" t="n"/>
    </row>
    <row r="444" ht="15.75" customHeight="1" s="153">
      <c r="A444" s="279" t="n"/>
      <c r="B444" s="267" t="inlineStr">
        <is>
          <t>ALBERTI 4637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/>
      <c r="J444" s="271" t="n">
        <v>26000</v>
      </c>
      <c r="K444" s="272" t="n"/>
      <c r="L444" s="272" t="n">
        <v>10200</v>
      </c>
      <c r="M444" s="156" t="n"/>
    </row>
    <row r="445" ht="15.75" customHeight="1" s="153">
      <c r="A445" s="279" t="n"/>
      <c r="B445" s="267" t="inlineStr">
        <is>
          <t>MARTÍN ZAPATA 2101</t>
        </is>
      </c>
      <c r="C445" s="268" t="n">
        <v>2</v>
      </c>
      <c r="D445" s="268" t="n"/>
      <c r="E445" s="268" t="n"/>
      <c r="F445" s="269" t="n"/>
      <c r="G445" s="269" t="n"/>
      <c r="H445" s="270" t="n">
        <v>42000</v>
      </c>
      <c r="I445" s="271" t="n">
        <v>42000</v>
      </c>
      <c r="J445" s="271" t="n"/>
      <c r="K445" s="272" t="n"/>
      <c r="L445" s="272" t="n">
        <v>10400</v>
      </c>
      <c r="M445" s="156" t="n"/>
    </row>
    <row r="446" ht="15.75" customHeight="1" s="153">
      <c r="A446" s="279" t="n"/>
      <c r="B446" s="267" t="inlineStr">
        <is>
          <t>M POLONIA 2809</t>
        </is>
      </c>
      <c r="C446" s="268" t="n">
        <v>1</v>
      </c>
      <c r="D446" s="268" t="n"/>
      <c r="E446" s="268" t="n"/>
      <c r="F446" s="269" t="n"/>
      <c r="G446" s="269" t="n"/>
      <c r="H446" s="270" t="n">
        <v>27000</v>
      </c>
      <c r="I446" s="271" t="n"/>
      <c r="J446" s="271" t="n">
        <v>27000</v>
      </c>
      <c r="K446" s="272" t="n"/>
      <c r="L446" s="272" t="n">
        <v>11200</v>
      </c>
      <c r="M446" s="156" t="n"/>
    </row>
    <row r="447" ht="15.75" customHeight="1" s="153">
      <c r="A447" s="279" t="n"/>
      <c r="B447" s="267" t="inlineStr">
        <is>
          <t>PANDOLFO 9078</t>
        </is>
      </c>
      <c r="C447" s="268" t="n"/>
      <c r="D447" s="268" t="n"/>
      <c r="E447" s="268" t="n">
        <v>1</v>
      </c>
      <c r="F447" s="269" t="n"/>
      <c r="G447" s="269" t="n"/>
      <c r="H447" s="270" t="n">
        <v>91000</v>
      </c>
      <c r="I447" s="271" t="n"/>
      <c r="J447" s="271" t="n">
        <v>91000</v>
      </c>
      <c r="K447" s="272" t="n"/>
      <c r="L447" s="272" t="n">
        <v>29000</v>
      </c>
      <c r="M447" s="156" t="n"/>
    </row>
    <row r="448" ht="15.75" customHeight="1" s="153">
      <c r="A448" s="279" t="n"/>
      <c r="B448" s="267" t="inlineStr">
        <is>
          <t>VALDIVIESO 2475</t>
        </is>
      </c>
      <c r="C448" s="268" t="n">
        <v>1</v>
      </c>
      <c r="D448" s="268" t="n"/>
      <c r="E448" s="268" t="n">
        <v>1</v>
      </c>
      <c r="F448" s="269" t="n"/>
      <c r="G448" s="269" t="n"/>
      <c r="H448" s="270" t="n">
        <v>108000</v>
      </c>
      <c r="I448" s="271" t="n"/>
      <c r="J448" s="271" t="n">
        <v>108000</v>
      </c>
      <c r="K448" s="272" t="n"/>
      <c r="L448" s="272" t="n">
        <v>30200</v>
      </c>
      <c r="M448" s="156" t="n"/>
    </row>
    <row r="449" ht="15.75" customHeight="1" s="153">
      <c r="A449" s="279" t="n"/>
      <c r="B449" s="267" t="inlineStr">
        <is>
          <t>SABOREAR</t>
        </is>
      </c>
      <c r="C449" s="268" t="n">
        <v>1</v>
      </c>
      <c r="D449" s="268" t="n">
        <v>1</v>
      </c>
      <c r="E449" s="268" t="n"/>
      <c r="F449" s="269" t="n"/>
      <c r="G449" s="269" t="n"/>
      <c r="H449" s="270" t="n">
        <v>57500</v>
      </c>
      <c r="I449" s="271" t="n">
        <v>57500</v>
      </c>
      <c r="J449" s="271" t="n"/>
      <c r="K449" s="272" t="n"/>
      <c r="L449" s="272" t="n">
        <v>18000</v>
      </c>
      <c r="M449" s="156" t="n"/>
    </row>
    <row r="450" ht="15.75" customHeight="1" s="153">
      <c r="A450" s="279" t="n"/>
      <c r="B450" s="267" t="inlineStr">
        <is>
          <t>FRANCIA 2047</t>
        </is>
      </c>
      <c r="C450" s="268" t="n">
        <v>1</v>
      </c>
      <c r="D450" s="268" t="n"/>
      <c r="E450" s="268" t="n"/>
      <c r="F450" s="269" t="n"/>
      <c r="G450" s="269" t="n"/>
      <c r="H450" s="270" t="n">
        <v>26000</v>
      </c>
      <c r="I450" s="271" t="n"/>
      <c r="J450" s="271" t="n">
        <v>26000</v>
      </c>
      <c r="K450" s="272" t="n"/>
      <c r="L450" s="272" t="n">
        <v>10200</v>
      </c>
      <c r="M450" s="156" t="n"/>
    </row>
    <row r="451" ht="15.75" customHeight="1" s="153">
      <c r="A451" s="279" t="n"/>
      <c r="B451" s="267" t="inlineStr">
        <is>
          <t>RIVADAVIA 7288</t>
        </is>
      </c>
      <c r="C451" s="268" t="n">
        <v>1</v>
      </c>
      <c r="D451" s="268" t="n"/>
      <c r="E451" s="268" t="n"/>
      <c r="F451" s="269" t="n"/>
      <c r="G451" s="269" t="n"/>
      <c r="H451" s="270" t="n">
        <v>24500</v>
      </c>
      <c r="I451" s="271" t="n"/>
      <c r="J451" s="271" t="n">
        <v>24500</v>
      </c>
      <c r="K451" s="272" t="n"/>
      <c r="L451" s="272" t="n">
        <v>8700</v>
      </c>
      <c r="M451" s="156" t="n"/>
    </row>
    <row r="452" ht="15.75" customHeight="1" s="153">
      <c r="A452" s="279" t="n"/>
      <c r="B452" s="267" t="inlineStr">
        <is>
          <t>HUERGO 3961</t>
        </is>
      </c>
      <c r="C452" s="268" t="n"/>
      <c r="D452" s="268" t="n"/>
      <c r="E452" s="268" t="n">
        <v>2</v>
      </c>
      <c r="F452" s="269" t="n"/>
      <c r="G452" s="269" t="n"/>
      <c r="H452" s="270" t="n">
        <v>170000</v>
      </c>
      <c r="I452" s="271" t="n">
        <v>170000</v>
      </c>
      <c r="J452" s="271" t="n"/>
      <c r="K452" s="272" t="n"/>
      <c r="L452" s="272" t="n">
        <v>46000</v>
      </c>
      <c r="M452" s="156" t="n"/>
    </row>
    <row r="453" ht="15.75" customHeight="1" s="153">
      <c r="A453" s="279" t="n"/>
      <c r="B453" s="267" t="inlineStr">
        <is>
          <t>MARCE DUSO</t>
        </is>
      </c>
      <c r="C453" s="268" t="n"/>
      <c r="D453" s="268" t="n">
        <v>1</v>
      </c>
      <c r="E453" s="268" t="n">
        <v>1</v>
      </c>
      <c r="F453" s="269" t="n"/>
      <c r="G453" s="269" t="n"/>
      <c r="H453" s="270" t="n">
        <v>117000</v>
      </c>
      <c r="I453" s="271" t="n"/>
      <c r="J453" s="271" t="n">
        <v>117000</v>
      </c>
      <c r="K453" s="272" t="n"/>
      <c r="L453" s="272" t="n">
        <v>31300</v>
      </c>
      <c r="M453" s="156" t="n"/>
    </row>
    <row r="454" ht="15.75" customHeight="1" s="153">
      <c r="A454" s="279" t="n"/>
      <c r="B454" s="267" t="inlineStr">
        <is>
          <t>SALTA 3047</t>
        </is>
      </c>
      <c r="C454" s="268" t="n">
        <v>1</v>
      </c>
      <c r="D454" s="268" t="n"/>
      <c r="E454" s="268" t="n"/>
      <c r="F454" s="269" t="n"/>
      <c r="G454" s="269" t="n"/>
      <c r="H454" s="270" t="n">
        <v>26000</v>
      </c>
      <c r="I454" s="271" t="n">
        <v>26000</v>
      </c>
      <c r="J454" s="271" t="n"/>
      <c r="K454" s="272" t="n"/>
      <c r="L454" s="272" t="n">
        <v>10200</v>
      </c>
      <c r="M454" s="156" t="n"/>
    </row>
    <row r="455" ht="15.75" customHeight="1" s="153">
      <c r="A455" s="279" t="n"/>
      <c r="B455" s="267" t="inlineStr">
        <is>
          <t>SALTA 2865</t>
        </is>
      </c>
      <c r="C455" s="268" t="n">
        <v>1</v>
      </c>
      <c r="D455" s="268" t="n"/>
      <c r="E455" s="268" t="n"/>
      <c r="F455" s="269" t="n"/>
      <c r="G455" s="269" t="n"/>
      <c r="H455" s="270" t="n">
        <v>26000</v>
      </c>
      <c r="I455" s="271" t="n">
        <v>26000</v>
      </c>
      <c r="J455" s="271" t="n"/>
      <c r="K455" s="272" t="n"/>
      <c r="L455" s="272" t="n">
        <v>10200</v>
      </c>
      <c r="M455" s="156" t="n"/>
    </row>
    <row r="456" ht="15.75" customHeight="1" s="153">
      <c r="A456" s="279" t="n"/>
      <c r="B456" s="267" t="inlineStr">
        <is>
          <t>LUCHO</t>
        </is>
      </c>
      <c r="C456" s="268" t="n"/>
      <c r="D456" s="268" t="n">
        <v>1</v>
      </c>
      <c r="E456" s="268" t="n"/>
      <c r="F456" s="269" t="n"/>
      <c r="G456" s="269" t="n"/>
      <c r="H456" s="270" t="n">
        <v>31500</v>
      </c>
      <c r="I456" s="271" t="n">
        <v>31500</v>
      </c>
      <c r="J456" s="271" t="n"/>
      <c r="K456" s="272" t="n"/>
      <c r="L456" s="272" t="n">
        <v>7800</v>
      </c>
      <c r="M456" s="156" t="n"/>
    </row>
    <row r="457" ht="15.75" customHeight="1" s="153">
      <c r="A457" s="279" t="n">
        <v>46165</v>
      </c>
      <c r="B457" s="267" t="inlineStr">
        <is>
          <t>COSTA ESTE 1980</t>
        </is>
      </c>
      <c r="C457" s="268" t="n">
        <v>3</v>
      </c>
      <c r="D457" s="268" t="n"/>
      <c r="E457" s="268" t="n"/>
      <c r="F457" s="269" t="n"/>
      <c r="G457" s="269" t="n"/>
      <c r="H457" s="270" t="n">
        <v>84000</v>
      </c>
      <c r="I457" s="271" t="n">
        <v>84000</v>
      </c>
      <c r="J457" s="271" t="n"/>
      <c r="K457" s="272" t="n"/>
      <c r="L457" s="272" t="n">
        <v>36600</v>
      </c>
      <c r="M457" s="156" t="n"/>
    </row>
    <row r="458" ht="15.75" customHeight="1" s="153">
      <c r="A458" s="279" t="n"/>
      <c r="B458" s="267" t="inlineStr">
        <is>
          <t>ROTI ARISTÓBULO</t>
        </is>
      </c>
      <c r="C458" s="268" t="n">
        <v>1</v>
      </c>
      <c r="D458" s="268" t="n">
        <v>1</v>
      </c>
      <c r="E458" s="268" t="n"/>
      <c r="F458" s="269" t="n"/>
      <c r="G458" s="269" t="n"/>
      <c r="H458" s="270" t="n">
        <v>61000</v>
      </c>
      <c r="I458" s="271" t="n"/>
      <c r="J458" s="271" t="n">
        <v>61000</v>
      </c>
      <c r="K458" s="272" t="n"/>
      <c r="L458" s="272" t="n">
        <v>21500</v>
      </c>
      <c r="M458" s="156" t="n"/>
    </row>
    <row r="459" ht="15.75" customHeight="1" s="153">
      <c r="A459" s="279" t="n"/>
      <c r="B459" s="267" t="inlineStr">
        <is>
          <t>EUROPA 9369</t>
        </is>
      </c>
      <c r="C459" s="268" t="n"/>
      <c r="D459" s="268" t="n"/>
      <c r="E459" s="268" t="n">
        <v>1</v>
      </c>
      <c r="F459" s="269" t="n"/>
      <c r="G459" s="269" t="n"/>
      <c r="H459" s="270" t="n">
        <v>93000</v>
      </c>
      <c r="I459" s="271" t="n"/>
      <c r="J459" s="271" t="n">
        <v>93000</v>
      </c>
      <c r="K459" s="272" t="n"/>
      <c r="L459" s="272" t="n">
        <v>31000</v>
      </c>
      <c r="M459" s="156" t="n"/>
    </row>
    <row r="460" ht="15.75" customHeight="1" s="153">
      <c r="A460" s="279" t="n"/>
      <c r="B460" s="267" t="inlineStr">
        <is>
          <t>QUINTANA 2815</t>
        </is>
      </c>
      <c r="C460" s="268" t="n">
        <v>1</v>
      </c>
      <c r="D460" s="268" t="n"/>
      <c r="E460" s="268" t="n"/>
      <c r="F460" s="269" t="n"/>
      <c r="G460" s="269" t="n"/>
      <c r="H460" s="270" t="n">
        <v>26000</v>
      </c>
      <c r="I460" s="271" t="n">
        <v>26000</v>
      </c>
      <c r="J460" s="271" t="n"/>
      <c r="K460" s="272" t="n"/>
      <c r="L460" s="272" t="n">
        <v>10200</v>
      </c>
      <c r="M460" s="156" t="n"/>
    </row>
    <row r="461" ht="15.75" customHeight="1" s="153">
      <c r="A461" s="279" t="n"/>
      <c r="B461" s="267" t="inlineStr">
        <is>
          <t>PAVÓN 3435</t>
        </is>
      </c>
      <c r="C461" s="268" t="n"/>
      <c r="D461" s="268" t="n">
        <v>1</v>
      </c>
      <c r="E461" s="268" t="n"/>
      <c r="F461" s="269" t="n"/>
      <c r="G461" s="269" t="n"/>
      <c r="H461" s="270" t="n">
        <v>36000</v>
      </c>
      <c r="I461" s="271" t="n">
        <v>36000</v>
      </c>
      <c r="J461" s="271" t="n"/>
      <c r="K461" s="272" t="n"/>
      <c r="L461" s="272" t="n">
        <v>12300</v>
      </c>
      <c r="M461" s="156" t="n"/>
    </row>
    <row r="462" ht="15.75" customHeight="1" s="153">
      <c r="A462" s="279" t="n"/>
      <c r="B462" s="267" t="inlineStr">
        <is>
          <t>ARENALES 10625</t>
        </is>
      </c>
      <c r="C462" s="268" t="n">
        <v>2</v>
      </c>
      <c r="D462" s="268" t="n"/>
      <c r="E462" s="268" t="n"/>
      <c r="F462" s="269" t="n"/>
      <c r="G462" s="269" t="n"/>
      <c r="H462" s="270" t="n">
        <v>40000</v>
      </c>
      <c r="I462" s="271" t="n"/>
      <c r="J462" s="271" t="n">
        <v>40000</v>
      </c>
      <c r="K462" s="272" t="n"/>
      <c r="L462" s="272" t="n">
        <v>8400</v>
      </c>
      <c r="M462" s="156" t="n"/>
    </row>
    <row r="463" ht="15.75" customHeight="1" s="153">
      <c r="A463" s="279" t="n"/>
      <c r="B463" s="267" t="inlineStr">
        <is>
          <t>URQUIZA 5887</t>
        </is>
      </c>
      <c r="C463" s="268" t="n">
        <v>1</v>
      </c>
      <c r="D463" s="268" t="n"/>
      <c r="E463" s="268" t="n"/>
      <c r="F463" s="269" t="n"/>
      <c r="G463" s="269" t="n"/>
      <c r="H463" s="270" t="n">
        <v>26000</v>
      </c>
      <c r="I463" s="271" t="n">
        <v>26000</v>
      </c>
      <c r="J463" s="271" t="n"/>
      <c r="K463" s="272" t="n"/>
      <c r="L463" s="272" t="n">
        <v>10200</v>
      </c>
      <c r="M463" s="156" t="n"/>
    </row>
    <row r="464" ht="15.75" customHeight="1" s="153">
      <c r="A464" s="279" t="n"/>
      <c r="B464" s="267" t="inlineStr">
        <is>
          <t>AGUADO 6970</t>
        </is>
      </c>
      <c r="C464" s="268" t="n">
        <v>1</v>
      </c>
      <c r="D464" s="268" t="n"/>
      <c r="E464" s="268" t="n"/>
      <c r="F464" s="269" t="n"/>
      <c r="G464" s="269" t="n"/>
      <c r="H464" s="270" t="n">
        <v>26000</v>
      </c>
      <c r="I464" s="271" t="n">
        <v>26000</v>
      </c>
      <c r="J464" s="271" t="n"/>
      <c r="K464" s="272" t="n"/>
      <c r="L464" s="272" t="n">
        <v>10200</v>
      </c>
      <c r="M464" s="156" t="n"/>
    </row>
    <row r="465" ht="15.75" customHeight="1" s="153">
      <c r="A465" s="279" t="n"/>
      <c r="B465" s="267" t="inlineStr">
        <is>
          <t>PEDRONI 6521</t>
        </is>
      </c>
      <c r="C465" s="268" t="n">
        <v>2</v>
      </c>
      <c r="D465" s="268" t="n"/>
      <c r="E465" s="268" t="n"/>
      <c r="F465" s="269" t="n"/>
      <c r="G465" s="269" t="n"/>
      <c r="H465" s="270" t="n">
        <v>40000</v>
      </c>
      <c r="I465" s="271" t="n">
        <v>40000</v>
      </c>
      <c r="J465" s="271" t="n"/>
      <c r="K465" s="272" t="n"/>
      <c r="L465" s="272" t="n">
        <v>8400</v>
      </c>
      <c r="M465" s="156" t="n"/>
    </row>
    <row r="466" ht="15.75" customHeight="1" s="153">
      <c r="A466" s="279" t="n"/>
      <c r="B466" s="267" t="inlineStr">
        <is>
          <t>AZCUENAGA 6551</t>
        </is>
      </c>
      <c r="C466" s="268" t="n">
        <v>2</v>
      </c>
      <c r="D466" s="268" t="n"/>
      <c r="E466" s="268" t="n"/>
      <c r="F466" s="269" t="n"/>
      <c r="G466" s="269" t="n"/>
      <c r="H466" s="270" t="n">
        <v>40000</v>
      </c>
      <c r="I466" s="271" t="n">
        <v>40000</v>
      </c>
      <c r="J466" s="271" t="n"/>
      <c r="K466" s="272" t="n"/>
      <c r="L466" s="272" t="n">
        <v>8400</v>
      </c>
      <c r="M466" s="156" t="n"/>
    </row>
    <row r="467" ht="15.75" customHeight="1" s="153">
      <c r="A467" s="279" t="n"/>
      <c r="B467" s="267" t="inlineStr">
        <is>
          <t>LUCHO</t>
        </is>
      </c>
      <c r="C467" s="268" t="n">
        <v>5</v>
      </c>
      <c r="D467" s="268" t="n"/>
      <c r="E467" s="268" t="n"/>
      <c r="F467" s="269" t="n"/>
      <c r="G467" s="269" t="n"/>
      <c r="H467" s="270" t="n">
        <v>100000</v>
      </c>
      <c r="I467" s="271" t="n">
        <v>100000</v>
      </c>
      <c r="J467" s="271" t="n"/>
      <c r="K467" s="272" t="n"/>
      <c r="L467" s="272" t="n">
        <v>21000</v>
      </c>
      <c r="M467" s="156" t="n"/>
    </row>
    <row r="468" ht="15.75" customHeight="1" s="153">
      <c r="A468" s="279" t="n"/>
      <c r="B468" s="267" t="inlineStr">
        <is>
          <t>LOS PRIMOS</t>
        </is>
      </c>
      <c r="C468" s="268" t="n">
        <v>2</v>
      </c>
      <c r="D468" s="268" t="n"/>
      <c r="E468" s="268" t="n"/>
      <c r="F468" s="269" t="n"/>
      <c r="G468" s="269" t="n"/>
      <c r="H468" s="270" t="n">
        <v>54000</v>
      </c>
      <c r="I468" s="271" t="n">
        <v>54000</v>
      </c>
      <c r="J468" s="271" t="n"/>
      <c r="K468" s="272" t="n"/>
      <c r="L468" s="272" t="n">
        <v>22400</v>
      </c>
      <c r="M468" s="156" t="n"/>
    </row>
    <row r="469" ht="15.75" customHeight="1" s="153">
      <c r="A469" s="279" t="n"/>
      <c r="B469" s="267" t="inlineStr">
        <is>
          <t>PEÑALOZA 9757</t>
        </is>
      </c>
      <c r="C469" s="268" t="n">
        <v>1</v>
      </c>
      <c r="D469" s="268" t="n"/>
      <c r="E469" s="268" t="n"/>
      <c r="F469" s="269" t="n"/>
      <c r="G469" s="269" t="n"/>
      <c r="H469" s="270" t="n">
        <v>26000</v>
      </c>
      <c r="I469" s="271" t="n">
        <v>26000</v>
      </c>
      <c r="J469" s="271" t="n"/>
      <c r="K469" s="272" t="n"/>
      <c r="L469" s="272" t="n">
        <v>10200</v>
      </c>
      <c r="M469" s="156" t="n"/>
    </row>
    <row r="470" ht="15.75" customHeight="1" s="153">
      <c r="A470" s="279" t="n"/>
      <c r="B470" s="267" t="inlineStr">
        <is>
          <t>ZAPATA GOLLAN 8107</t>
        </is>
      </c>
      <c r="C470" s="268" t="n">
        <v>1</v>
      </c>
      <c r="D470" s="268" t="n"/>
      <c r="E470" s="268" t="n"/>
      <c r="F470" s="269" t="n"/>
      <c r="G470" s="269" t="n"/>
      <c r="H470" s="270" t="n">
        <v>26000</v>
      </c>
      <c r="I470" s="271" t="n"/>
      <c r="J470" s="271" t="n">
        <v>26000</v>
      </c>
      <c r="K470" s="272" t="n"/>
      <c r="L470" s="272" t="n">
        <v>10200</v>
      </c>
      <c r="M470" s="156" t="n"/>
    </row>
    <row r="471" ht="15.75" customHeight="1" s="153">
      <c r="A471" s="279" t="n"/>
      <c r="B471" s="267" t="inlineStr">
        <is>
          <t>PORTON</t>
        </is>
      </c>
      <c r="C471" s="268" t="n">
        <v>1</v>
      </c>
      <c r="D471" s="268" t="n"/>
      <c r="E471" s="268" t="n"/>
      <c r="F471" s="269" t="n"/>
      <c r="G471" s="269" t="n"/>
      <c r="H471" s="270" t="n">
        <v>23000</v>
      </c>
      <c r="I471" s="271" t="n">
        <v>23000</v>
      </c>
      <c r="J471" s="271" t="n"/>
      <c r="K471" s="272" t="n"/>
      <c r="L471" s="272" t="n">
        <v>7200</v>
      </c>
      <c r="M471" s="156" t="n"/>
    </row>
    <row r="472" ht="15.75" customHeight="1" s="153">
      <c r="A472" s="279" t="n"/>
      <c r="B472" s="267" t="inlineStr">
        <is>
          <t>DOMINGO SILVA 4217</t>
        </is>
      </c>
      <c r="C472" s="268" t="n">
        <v>2</v>
      </c>
      <c r="D472" s="268" t="n"/>
      <c r="E472" s="268" t="n"/>
      <c r="F472" s="269" t="n"/>
      <c r="G472" s="269" t="n"/>
      <c r="H472" s="270" t="n">
        <v>40000</v>
      </c>
      <c r="I472" s="271" t="n">
        <v>40000</v>
      </c>
      <c r="J472" s="271" t="n"/>
      <c r="K472" s="272" t="n"/>
      <c r="L472" s="272" t="n">
        <v>8400</v>
      </c>
      <c r="M472" s="156" t="n"/>
    </row>
    <row r="473" ht="15.75" customHeight="1" s="153">
      <c r="A473" s="279" t="n"/>
      <c r="B473" s="267" t="inlineStr">
        <is>
          <t>EUROPA 10419</t>
        </is>
      </c>
      <c r="C473" s="268" t="n">
        <v>2</v>
      </c>
      <c r="D473" s="268" t="n"/>
      <c r="E473" s="268" t="n"/>
      <c r="F473" s="269" t="n"/>
      <c r="G473" s="269" t="n"/>
      <c r="H473" s="270" t="n">
        <v>52000</v>
      </c>
      <c r="I473" s="271" t="n"/>
      <c r="J473" s="271" t="n">
        <v>52000</v>
      </c>
      <c r="K473" s="272" t="n"/>
      <c r="L473" s="272" t="n">
        <v>20400</v>
      </c>
      <c r="M473" s="156" t="n"/>
    </row>
    <row r="474" ht="15.75" customHeight="1" s="153">
      <c r="A474" s="279" t="n"/>
      <c r="B474" s="267" t="inlineStr">
        <is>
          <t>TROPPO</t>
        </is>
      </c>
      <c r="C474" s="268" t="n">
        <v>5</v>
      </c>
      <c r="D474" s="268" t="n"/>
      <c r="E474" s="268" t="n"/>
      <c r="F474" s="269" t="n"/>
      <c r="G474" s="269" t="n"/>
      <c r="H474" s="270" t="n">
        <v>135000</v>
      </c>
      <c r="I474" s="271" t="n">
        <v>135000</v>
      </c>
      <c r="J474" s="271" t="n"/>
      <c r="K474" s="272" t="n"/>
      <c r="L474" s="272" t="n">
        <v>56000</v>
      </c>
      <c r="M474" s="156" t="n"/>
    </row>
    <row r="475" ht="15.75" customHeight="1" s="153">
      <c r="A475" s="279" t="n"/>
      <c r="B475" s="267" t="inlineStr">
        <is>
          <t>SANTA BAR 1 MAYO 1959</t>
        </is>
      </c>
      <c r="C475" s="268" t="n"/>
      <c r="D475" s="268" t="n"/>
      <c r="E475" s="268" t="n">
        <v>1</v>
      </c>
      <c r="F475" s="269" t="n"/>
      <c r="G475" s="269" t="n"/>
      <c r="H475" s="270" t="n">
        <v>88000</v>
      </c>
      <c r="I475" s="271" t="n"/>
      <c r="J475" s="271" t="n">
        <v>88000</v>
      </c>
      <c r="K475" s="272" t="n"/>
      <c r="L475" s="272" t="n">
        <v>26000</v>
      </c>
      <c r="M475" s="156" t="n"/>
    </row>
    <row r="476" ht="15.75" customHeight="1" s="153">
      <c r="A476" s="279" t="n"/>
      <c r="B476" s="267" t="inlineStr">
        <is>
          <t>GOLD BURGER</t>
        </is>
      </c>
      <c r="C476" s="268" t="n">
        <v>5</v>
      </c>
      <c r="D476" s="268" t="n"/>
      <c r="E476" s="268" t="n"/>
      <c r="F476" s="269" t="n"/>
      <c r="G476" s="269" t="n"/>
      <c r="H476" s="270" t="n">
        <v>135000</v>
      </c>
      <c r="I476" s="271" t="n">
        <v>135000</v>
      </c>
      <c r="J476" s="271" t="n"/>
      <c r="K476" s="272" t="n"/>
      <c r="L476" s="272" t="n">
        <v>56000</v>
      </c>
      <c r="M476" s="156" t="n"/>
    </row>
    <row r="477" ht="15.75" customHeight="1" s="153">
      <c r="A477" s="279" t="n"/>
      <c r="B477" s="267" t="inlineStr">
        <is>
          <t>IRALA 2865</t>
        </is>
      </c>
      <c r="C477" s="268" t="n">
        <v>1</v>
      </c>
      <c r="D477" s="268" t="n"/>
      <c r="E477" s="268" t="n"/>
      <c r="F477" s="269" t="n"/>
      <c r="G477" s="269" t="n"/>
      <c r="H477" s="270" t="n">
        <v>26000</v>
      </c>
      <c r="I477" s="271" t="n"/>
      <c r="J477" s="271" t="n">
        <v>26000</v>
      </c>
      <c r="K477" s="272" t="n"/>
      <c r="L477" s="272" t="n">
        <v>10200</v>
      </c>
      <c r="M477" s="156" t="n"/>
    </row>
    <row r="478" ht="15.75" customHeight="1" s="153">
      <c r="A478" s="279" t="n"/>
      <c r="B478" s="267" t="inlineStr">
        <is>
          <t>PANADERO DAVID</t>
        </is>
      </c>
      <c r="C478" s="268" t="n">
        <v>1</v>
      </c>
      <c r="D478" s="268" t="n"/>
      <c r="E478" s="268" t="n"/>
      <c r="F478" s="269" t="n"/>
      <c r="G478" s="269" t="n"/>
      <c r="H478" s="270" t="n">
        <v>23000</v>
      </c>
      <c r="I478" s="271" t="n">
        <v>23000</v>
      </c>
      <c r="J478" s="271" t="n"/>
      <c r="K478" s="272" t="n"/>
      <c r="L478" s="272" t="n">
        <v>7200</v>
      </c>
      <c r="M478" s="156" t="n"/>
    </row>
    <row r="479" ht="15.75" customHeight="1" s="153">
      <c r="A479" s="279" t="n"/>
      <c r="B479" s="267" t="inlineStr">
        <is>
          <t>BELGRANO 6248</t>
        </is>
      </c>
      <c r="C479" s="268" t="n">
        <v>1</v>
      </c>
      <c r="D479" s="268" t="n"/>
      <c r="E479" s="268" t="n"/>
      <c r="F479" s="269" t="n"/>
      <c r="G479" s="269" t="n"/>
      <c r="H479" s="270" t="n">
        <v>26000</v>
      </c>
      <c r="I479" s="271" t="n"/>
      <c r="J479" s="271" t="n">
        <v>26000</v>
      </c>
      <c r="K479" s="272" t="n"/>
      <c r="L479" s="272" t="n">
        <v>10200</v>
      </c>
      <c r="M479" s="156" t="n"/>
    </row>
    <row r="480" ht="15.75" customHeight="1" s="153">
      <c r="A480" s="279" t="n"/>
      <c r="B480" s="267" t="inlineStr">
        <is>
          <t>SAVEDRA 2799</t>
        </is>
      </c>
      <c r="C480" s="268" t="n">
        <v>1</v>
      </c>
      <c r="D480" s="268" t="n"/>
      <c r="E480" s="268" t="n"/>
      <c r="F480" s="269" t="n"/>
      <c r="G480" s="269" t="n"/>
      <c r="H480" s="270" t="n">
        <v>27500</v>
      </c>
      <c r="I480" s="271" t="n">
        <v>27500</v>
      </c>
      <c r="J480" s="271" t="n"/>
      <c r="K480" s="272" t="n"/>
      <c r="L480" s="272" t="n">
        <v>11700</v>
      </c>
      <c r="M480" s="156" t="n"/>
    </row>
    <row r="481" ht="15.75" customHeight="1" s="153">
      <c r="A481" s="279" t="n"/>
      <c r="B481" s="267" t="inlineStr">
        <is>
          <t>BERNARDO IRIGOYEN 6534</t>
        </is>
      </c>
      <c r="C481" s="268" t="n">
        <v>1</v>
      </c>
      <c r="D481" s="268" t="n"/>
      <c r="E481" s="268" t="n"/>
      <c r="F481" s="269" t="n"/>
      <c r="G481" s="269" t="n"/>
      <c r="H481" s="270" t="n">
        <v>26000</v>
      </c>
      <c r="I481" s="271" t="n">
        <v>26000</v>
      </c>
      <c r="J481" s="271" t="n"/>
      <c r="K481" s="272" t="n"/>
      <c r="L481" s="272" t="n">
        <v>10200</v>
      </c>
      <c r="M481" s="156" t="n"/>
    </row>
    <row r="482" ht="15.75" customHeight="1" s="153">
      <c r="A482" s="279" t="n"/>
      <c r="B482" s="267" t="inlineStr">
        <is>
          <t>SANDRA</t>
        </is>
      </c>
      <c r="C482" s="268" t="n">
        <v>1</v>
      </c>
      <c r="D482" s="268" t="n"/>
      <c r="E482" s="268" t="n"/>
      <c r="F482" s="269" t="n"/>
      <c r="G482" s="269" t="n"/>
      <c r="H482" s="270" t="n">
        <v>19500</v>
      </c>
      <c r="I482" s="271" t="n">
        <v>19500</v>
      </c>
      <c r="J482" s="271" t="n"/>
      <c r="K482" s="272" t="n"/>
      <c r="L482" s="272" t="n">
        <v>3700</v>
      </c>
      <c r="M482" s="156" t="n"/>
    </row>
    <row r="483" ht="15.75" customHeight="1" s="153">
      <c r="A483" s="279" t="n"/>
      <c r="B483" s="267" t="inlineStr">
        <is>
          <t>PANA VIEYTES 4500</t>
        </is>
      </c>
      <c r="C483" s="268" t="n"/>
      <c r="D483" s="268" t="n"/>
      <c r="E483" s="268" t="n">
        <v>1</v>
      </c>
      <c r="F483" s="269" t="n"/>
      <c r="G483" s="269" t="n"/>
      <c r="H483" s="270" t="n">
        <v>81000</v>
      </c>
      <c r="I483" s="271" t="n"/>
      <c r="J483" s="271" t="n">
        <v>81000</v>
      </c>
      <c r="K483" s="272" t="n"/>
      <c r="L483" s="272" t="n">
        <v>19000</v>
      </c>
      <c r="M483" s="156" t="n"/>
    </row>
    <row r="484" ht="15.75" customHeight="1" s="153">
      <c r="A484" s="279" t="n"/>
      <c r="B484" s="267" t="inlineStr">
        <is>
          <t>ARGENTA</t>
        </is>
      </c>
      <c r="C484" s="268" t="n">
        <v>1</v>
      </c>
      <c r="D484" s="268" t="n"/>
      <c r="E484" s="268" t="n"/>
      <c r="F484" s="269" t="n"/>
      <c r="G484" s="269" t="n"/>
      <c r="H484" s="270" t="n">
        <v>27000</v>
      </c>
      <c r="I484" s="271" t="n"/>
      <c r="J484" s="271" t="n">
        <v>27000</v>
      </c>
      <c r="K484" s="272" t="n"/>
      <c r="L484" s="272" t="n">
        <v>11200</v>
      </c>
      <c r="M484" s="156" t="n"/>
    </row>
    <row r="485" ht="15.75" customHeight="1" s="153">
      <c r="A485" s="279" t="n"/>
      <c r="B485" s="267" t="inlineStr">
        <is>
          <t>LA MADRID 7500</t>
        </is>
      </c>
      <c r="C485" s="268" t="n">
        <v>1</v>
      </c>
      <c r="D485" s="268" t="n"/>
      <c r="E485" s="268" t="n"/>
      <c r="F485" s="269" t="n"/>
      <c r="G485" s="269" t="n"/>
      <c r="H485" s="270" t="n">
        <v>26000</v>
      </c>
      <c r="I485" s="271" t="n"/>
      <c r="J485" s="271" t="n">
        <v>26000</v>
      </c>
      <c r="K485" s="272" t="n"/>
      <c r="L485" s="272" t="n">
        <v>10200</v>
      </c>
      <c r="M485" s="156" t="n"/>
    </row>
    <row r="486" ht="15.75" customHeight="1" s="153">
      <c r="A486" s="279" t="n"/>
      <c r="B486" s="267" t="inlineStr">
        <is>
          <t>LA CUEVA</t>
        </is>
      </c>
      <c r="C486" s="268" t="n"/>
      <c r="D486" s="268" t="n">
        <v>1</v>
      </c>
      <c r="E486" s="268" t="n"/>
      <c r="F486" s="269" t="n"/>
      <c r="G486" s="269" t="n"/>
      <c r="H486" s="270" t="n">
        <v>34000</v>
      </c>
      <c r="I486" s="271" t="n"/>
      <c r="J486" s="271" t="n">
        <v>34000</v>
      </c>
      <c r="K486" s="272" t="n"/>
      <c r="L486" s="272" t="n">
        <v>10300</v>
      </c>
      <c r="M486" s="156" t="n"/>
    </row>
    <row r="487" ht="15.75" customHeight="1" s="153">
      <c r="A487" s="279" t="n"/>
      <c r="B487" s="267" t="inlineStr">
        <is>
          <t>CASANELLO 3463</t>
        </is>
      </c>
      <c r="C487" s="268" t="n">
        <v>1</v>
      </c>
      <c r="D487" s="268" t="n"/>
      <c r="E487" s="268" t="n"/>
      <c r="F487" s="269" t="n"/>
      <c r="G487" s="269" t="n"/>
      <c r="H487" s="270" t="n">
        <v>26000</v>
      </c>
      <c r="I487" s="271" t="n"/>
      <c r="J487" s="271" t="n">
        <v>26000</v>
      </c>
      <c r="K487" s="272" t="n"/>
      <c r="L487" s="272" t="n">
        <v>10200</v>
      </c>
      <c r="M487" s="156" t="n"/>
    </row>
    <row r="488" ht="15.75" customHeight="1" s="153">
      <c r="A488" s="279" t="n"/>
      <c r="B488" s="267" t="inlineStr">
        <is>
          <t>PARAISOS 3491</t>
        </is>
      </c>
      <c r="C488" s="268" t="n"/>
      <c r="D488" s="268" t="n"/>
      <c r="E488" s="268" t="n">
        <v>1</v>
      </c>
      <c r="F488" s="269" t="n"/>
      <c r="G488" s="269" t="n"/>
      <c r="H488" s="270" t="n">
        <v>91000</v>
      </c>
      <c r="I488" s="271" t="n"/>
      <c r="J488" s="271" t="n">
        <v>91000</v>
      </c>
      <c r="K488" s="272" t="n"/>
      <c r="L488" s="272" t="n">
        <v>29000</v>
      </c>
      <c r="M488" s="156" t="n"/>
    </row>
    <row r="489" ht="15.75" customHeight="1" s="153">
      <c r="A489" s="279" t="n"/>
      <c r="B489" s="267" t="inlineStr">
        <is>
          <t>EUROPA 6856</t>
        </is>
      </c>
      <c r="C489" s="268" t="n">
        <v>1</v>
      </c>
      <c r="D489" s="268" t="n"/>
      <c r="E489" s="268" t="n"/>
      <c r="F489" s="269" t="n"/>
      <c r="G489" s="269" t="n"/>
      <c r="H489" s="270" t="n">
        <v>26000</v>
      </c>
      <c r="I489" s="271" t="n">
        <v>26000</v>
      </c>
      <c r="J489" s="271" t="n"/>
      <c r="K489" s="272" t="n"/>
      <c r="L489" s="272" t="n">
        <v>10200</v>
      </c>
      <c r="M489" s="156" t="n"/>
    </row>
    <row r="490" ht="15.75" customHeight="1" s="153">
      <c r="A490" s="279" t="n"/>
      <c r="B490" s="267" t="inlineStr">
        <is>
          <t>ROTI VIEYTES</t>
        </is>
      </c>
      <c r="C490" s="268" t="n"/>
      <c r="D490" s="268" t="n">
        <v>1</v>
      </c>
      <c r="E490" s="268" t="n"/>
      <c r="F490" s="269" t="n"/>
      <c r="G490" s="269" t="n"/>
      <c r="H490" s="270" t="n">
        <v>32000</v>
      </c>
      <c r="I490" s="271" t="n"/>
      <c r="J490" s="271" t="n">
        <v>32000</v>
      </c>
      <c r="K490" s="272" t="n"/>
      <c r="L490" s="272" t="n">
        <v>8300</v>
      </c>
      <c r="M490" s="156" t="n"/>
    </row>
    <row r="491" ht="15.75" customHeight="1" s="153">
      <c r="A491" s="279" t="n"/>
      <c r="B491" s="267" t="inlineStr">
        <is>
          <t>DANA</t>
        </is>
      </c>
      <c r="C491" s="268" t="n">
        <v>4</v>
      </c>
      <c r="D491" s="268" t="n">
        <v>1</v>
      </c>
      <c r="E491" s="268" t="n"/>
      <c r="F491" s="269" t="n"/>
      <c r="G491" s="269" t="n"/>
      <c r="H491" s="270" t="n">
        <v>111000</v>
      </c>
      <c r="I491" s="271" t="n"/>
      <c r="J491" s="271" t="n">
        <v>111000</v>
      </c>
      <c r="K491" s="272" t="n"/>
      <c r="L491" s="272" t="n">
        <v>24100</v>
      </c>
      <c r="M491" s="156" t="n"/>
    </row>
    <row r="492" ht="15.75" customHeight="1" s="153">
      <c r="A492" s="279" t="n">
        <v>46166</v>
      </c>
      <c r="B492" s="267" t="inlineStr">
        <is>
          <t>FILOMENA</t>
        </is>
      </c>
      <c r="C492" s="268" t="n">
        <v>2</v>
      </c>
      <c r="D492" s="268" t="n"/>
      <c r="E492" s="268" t="n"/>
      <c r="F492" s="269" t="n"/>
      <c r="G492" s="269" t="n"/>
      <c r="H492" s="270" t="n">
        <v>49000</v>
      </c>
      <c r="I492" s="271" t="n"/>
      <c r="J492" s="271" t="n">
        <v>49000</v>
      </c>
      <c r="K492" s="272" t="n"/>
      <c r="L492" s="272" t="n">
        <v>17400</v>
      </c>
      <c r="M492" s="156" t="n"/>
    </row>
    <row r="493" ht="15.75" customHeight="1" s="153">
      <c r="A493" s="279" t="n"/>
      <c r="B493" s="267" t="inlineStr">
        <is>
          <t>ROTI SAN JUAN 6363</t>
        </is>
      </c>
      <c r="C493" s="268" t="n"/>
      <c r="D493" s="268" t="n">
        <v>1</v>
      </c>
      <c r="E493" s="268" t="n"/>
      <c r="F493" s="269" t="n"/>
      <c r="G493" s="269" t="n"/>
      <c r="H493" s="270" t="n">
        <v>34000</v>
      </c>
      <c r="I493" s="271" t="n"/>
      <c r="J493" s="271" t="n">
        <v>34000</v>
      </c>
      <c r="K493" s="272" t="n"/>
      <c r="L493" s="272" t="n">
        <v>10300</v>
      </c>
      <c r="M493" s="156" t="n"/>
    </row>
    <row r="494" ht="15.75" customHeight="1" s="153">
      <c r="A494" s="279" t="n"/>
      <c r="B494" s="267" t="inlineStr">
        <is>
          <t>ALBERDI 4262</t>
        </is>
      </c>
      <c r="C494" s="268" t="n">
        <v>1</v>
      </c>
      <c r="D494" s="268" t="n"/>
      <c r="E494" s="268" t="n"/>
      <c r="F494" s="269" t="n"/>
      <c r="G494" s="269" t="n"/>
      <c r="H494" s="270" t="n">
        <v>27000</v>
      </c>
      <c r="I494" s="271" t="n">
        <v>27000</v>
      </c>
      <c r="J494" s="271" t="n"/>
      <c r="K494" s="272" t="n"/>
      <c r="L494" s="272" t="n">
        <v>11200</v>
      </c>
      <c r="M494" s="156" t="n"/>
    </row>
    <row r="495" ht="15.75" customHeight="1" s="153">
      <c r="A495" s="279" t="n"/>
      <c r="B495" s="267" t="inlineStr">
        <is>
          <t>PORKIS</t>
        </is>
      </c>
      <c r="C495" s="268" t="n">
        <v>1</v>
      </c>
      <c r="D495" s="268" t="n"/>
      <c r="E495" s="268" t="n"/>
      <c r="F495" s="269" t="n"/>
      <c r="G495" s="269" t="n"/>
      <c r="H495" s="270" t="n">
        <v>24000</v>
      </c>
      <c r="I495" s="271" t="n"/>
      <c r="J495" s="271" t="n">
        <v>24000</v>
      </c>
      <c r="K495" s="272" t="n"/>
      <c r="L495" s="272" t="n">
        <v>8200</v>
      </c>
      <c r="M495" s="156" t="n"/>
    </row>
    <row r="496" ht="15.75" customHeight="1" s="153">
      <c r="A496" s="279" t="n"/>
      <c r="B496" s="267" t="inlineStr">
        <is>
          <t>MISIONES 2146</t>
        </is>
      </c>
      <c r="C496" s="268" t="n"/>
      <c r="D496" s="268" t="n"/>
      <c r="E496" s="268" t="n">
        <v>1</v>
      </c>
      <c r="F496" s="269" t="n"/>
      <c r="G496" s="269" t="n"/>
      <c r="H496" s="270" t="n">
        <v>91000</v>
      </c>
      <c r="I496" s="271" t="n">
        <v>91000</v>
      </c>
      <c r="J496" s="271" t="n"/>
      <c r="K496" s="272" t="n"/>
      <c r="L496" s="272" t="n">
        <v>29000</v>
      </c>
      <c r="M496" s="156" t="n"/>
    </row>
    <row r="497" ht="15.75" customHeight="1" s="153">
      <c r="A497" s="279" t="n"/>
      <c r="B497" s="267" t="inlineStr">
        <is>
          <t>CALLEJON AGUIRRE 1974</t>
        </is>
      </c>
      <c r="C497" s="268" t="n"/>
      <c r="D497" s="268" t="n"/>
      <c r="E497" s="268" t="n">
        <v>1</v>
      </c>
      <c r="F497" s="269" t="n"/>
      <c r="G497" s="269" t="n"/>
      <c r="H497" s="270" t="n">
        <v>91000</v>
      </c>
      <c r="I497" s="271" t="n"/>
      <c r="J497" s="271" t="n">
        <v>91000</v>
      </c>
      <c r="K497" s="272" t="n"/>
      <c r="L497" s="272" t="n">
        <v>29000</v>
      </c>
      <c r="M497" s="156" t="n"/>
    </row>
    <row r="498" ht="15.75" customHeight="1" s="153">
      <c r="A498" s="279" t="n"/>
      <c r="B498" s="267" t="inlineStr">
        <is>
          <t>GISE PANA</t>
        </is>
      </c>
      <c r="C498" s="268" t="n">
        <v>1</v>
      </c>
      <c r="D498" s="268" t="n"/>
      <c r="E498" s="268" t="n"/>
      <c r="F498" s="269" t="n">
        <v>2</v>
      </c>
      <c r="G498" s="269" t="n"/>
      <c r="H498" s="270" t="n">
        <v>31500</v>
      </c>
      <c r="I498" s="271" t="n"/>
      <c r="J498" s="271" t="n">
        <v>31500</v>
      </c>
      <c r="K498" s="272" t="n"/>
      <c r="L498" s="272" t="n">
        <v>11100</v>
      </c>
      <c r="M498" s="156" t="n"/>
    </row>
    <row r="499" ht="15.75" customHeight="1" s="153">
      <c r="A499" s="279" t="n"/>
      <c r="B499" s="267" t="inlineStr">
        <is>
          <t>PANA GENESIO</t>
        </is>
      </c>
      <c r="C499" s="268" t="n"/>
      <c r="D499" s="268" t="n"/>
      <c r="E499" s="268" t="n">
        <v>1</v>
      </c>
      <c r="F499" s="269" t="n"/>
      <c r="G499" s="269" t="n"/>
      <c r="H499" s="270" t="n">
        <v>79000</v>
      </c>
      <c r="I499" s="271" t="n">
        <v>79000</v>
      </c>
      <c r="J499" s="271" t="n"/>
      <c r="K499" s="272" t="n"/>
      <c r="L499" s="272" t="n">
        <v>17000</v>
      </c>
      <c r="M499" s="156" t="n"/>
    </row>
    <row r="500" ht="15.75" customHeight="1" s="153">
      <c r="A500" s="279" t="n"/>
      <c r="B500" s="267" t="inlineStr">
        <is>
          <t>PAVON 2946</t>
        </is>
      </c>
      <c r="C500" s="268" t="n">
        <v>1</v>
      </c>
      <c r="D500" s="268" t="n"/>
      <c r="E500" s="268" t="n"/>
      <c r="F500" s="269" t="n"/>
      <c r="G500" s="269" t="n"/>
      <c r="H500" s="270" t="n">
        <v>26000</v>
      </c>
      <c r="I500" s="271" t="n"/>
      <c r="J500" s="271" t="n">
        <v>26000</v>
      </c>
      <c r="K500" s="272" t="n"/>
      <c r="L500" s="272" t="n">
        <v>10200</v>
      </c>
      <c r="M500" s="156" t="n"/>
    </row>
    <row r="501" ht="21.75" customHeight="1" s="153">
      <c r="A501" s="279" t="n"/>
      <c r="B501" s="267" t="inlineStr">
        <is>
          <t>TROPPO</t>
        </is>
      </c>
      <c r="C501" s="268" t="n">
        <v>5</v>
      </c>
      <c r="D501" s="268" t="n"/>
      <c r="E501" s="268" t="n"/>
      <c r="F501" s="269" t="n"/>
      <c r="G501" s="269" t="n"/>
      <c r="H501" s="270" t="n">
        <v>135000</v>
      </c>
      <c r="I501" s="271" t="n">
        <v>135000</v>
      </c>
      <c r="J501" s="271" t="n"/>
      <c r="K501" s="272" t="n"/>
      <c r="L501" s="272" t="n">
        <v>56000</v>
      </c>
      <c r="M501" s="156" t="n"/>
    </row>
    <row r="502" ht="15" customHeight="1" s="153">
      <c r="A502" s="279" t="n"/>
      <c r="B502" s="267" t="inlineStr">
        <is>
          <t>ENTRE RÍOS 3350</t>
        </is>
      </c>
      <c r="C502" s="268" t="n">
        <v>1</v>
      </c>
      <c r="D502" s="268" t="n"/>
      <c r="E502" s="268" t="n"/>
      <c r="F502" s="269" t="n"/>
      <c r="G502" s="269" t="n"/>
      <c r="H502" s="270" t="n">
        <v>26000</v>
      </c>
      <c r="I502" s="271" t="n">
        <v>26000</v>
      </c>
      <c r="J502" s="271" t="n"/>
      <c r="K502" s="272" t="n"/>
      <c r="L502" s="272" t="n">
        <v>10200</v>
      </c>
      <c r="M502" s="156" t="n"/>
    </row>
    <row r="503" ht="15" customHeight="1" s="153">
      <c r="A503" s="279" t="n"/>
      <c r="B503" s="267" t="inlineStr">
        <is>
          <t>TUYA ABUELA</t>
        </is>
      </c>
      <c r="C503" s="268" t="n">
        <v>1</v>
      </c>
      <c r="D503" s="268" t="n">
        <v>1</v>
      </c>
      <c r="E503" s="268" t="n"/>
      <c r="F503" s="269" t="n"/>
      <c r="G503" s="269" t="n"/>
      <c r="H503" s="270" t="n">
        <v>69000</v>
      </c>
      <c r="I503" s="271" t="n">
        <v>69000</v>
      </c>
      <c r="J503" s="271" t="n"/>
      <c r="K503" s="272" t="n"/>
      <c r="L503" s="272" t="n">
        <v>29500</v>
      </c>
      <c r="M503" s="156" t="n"/>
    </row>
    <row r="504" ht="15" customHeight="1" s="153">
      <c r="A504" s="279" t="n"/>
      <c r="B504" s="267" t="inlineStr">
        <is>
          <t>PARAGUAY 10318</t>
        </is>
      </c>
      <c r="C504" s="268" t="n">
        <v>1</v>
      </c>
      <c r="D504" s="268" t="n"/>
      <c r="E504" s="268" t="n"/>
      <c r="F504" s="269" t="n"/>
      <c r="G504" s="269" t="n"/>
      <c r="H504" s="270" t="n">
        <v>26000</v>
      </c>
      <c r="I504" s="271" t="n"/>
      <c r="J504" s="271" t="n">
        <v>26000</v>
      </c>
      <c r="K504" s="272" t="n"/>
      <c r="L504" s="272" t="n">
        <v>10200</v>
      </c>
      <c r="M504" s="156" t="n"/>
    </row>
    <row r="505" ht="15" customHeight="1" s="153">
      <c r="A505" s="279" t="n"/>
      <c r="B505" s="267" t="inlineStr">
        <is>
          <t>LUCHO</t>
        </is>
      </c>
      <c r="C505" s="268" t="n">
        <v>1</v>
      </c>
      <c r="D505" s="268" t="n">
        <v>1</v>
      </c>
      <c r="E505" s="268" t="n"/>
      <c r="F505" s="269" t="n"/>
      <c r="G505" s="269" t="n"/>
      <c r="H505" s="270" t="n">
        <v>51500</v>
      </c>
      <c r="I505" s="271" t="n">
        <v>51500</v>
      </c>
      <c r="J505" s="271" t="n"/>
      <c r="K505" s="272" t="n"/>
      <c r="L505" s="272" t="n">
        <v>12000</v>
      </c>
      <c r="M505" s="156" t="n"/>
    </row>
    <row r="506" ht="15" customHeight="1" s="153">
      <c r="A506" s="279" t="n"/>
      <c r="B506" s="267" t="inlineStr">
        <is>
          <t>BERNARDO IRIGOYEN 8381</t>
        </is>
      </c>
      <c r="C506" s="268" t="n"/>
      <c r="D506" s="268" t="n"/>
      <c r="E506" s="268" t="n">
        <v>1</v>
      </c>
      <c r="F506" s="269" t="n"/>
      <c r="G506" s="269" t="n"/>
      <c r="H506" s="270" t="n">
        <v>91000</v>
      </c>
      <c r="I506" s="271" t="n">
        <v>91000</v>
      </c>
      <c r="J506" s="271" t="n"/>
      <c r="K506" s="272" t="n"/>
      <c r="L506" s="272" t="n">
        <v>29000</v>
      </c>
      <c r="M506" s="156" t="n"/>
    </row>
    <row r="507" ht="15" customHeight="1" s="153">
      <c r="A507" s="279" t="n"/>
      <c r="B507" s="267" t="inlineStr">
        <is>
          <t>BAR DEL SUR</t>
        </is>
      </c>
      <c r="C507" s="268" t="n">
        <v>1</v>
      </c>
      <c r="D507" s="268" t="n"/>
      <c r="E507" s="268" t="n"/>
      <c r="F507" s="269" t="n"/>
      <c r="G507" s="269" t="n"/>
      <c r="H507" s="270" t="n">
        <v>27000</v>
      </c>
      <c r="I507" s="271" t="n">
        <v>27000</v>
      </c>
      <c r="J507" s="271" t="n"/>
      <c r="K507" s="272" t="n"/>
      <c r="L507" s="272" t="n">
        <v>11200</v>
      </c>
      <c r="M507" s="156" t="n"/>
    </row>
    <row r="508" ht="15" customHeight="1" s="153">
      <c r="A508" s="279" t="n"/>
      <c r="B508" s="267" t="inlineStr">
        <is>
          <t>BRASERIA</t>
        </is>
      </c>
      <c r="C508" s="268" t="n"/>
      <c r="D508" s="268" t="n"/>
      <c r="E508" s="268" t="n">
        <v>1</v>
      </c>
      <c r="F508" s="269" t="n"/>
      <c r="G508" s="269" t="n"/>
      <c r="H508" s="270" t="n">
        <v>86000</v>
      </c>
      <c r="I508" s="271" t="n"/>
      <c r="J508" s="271" t="n">
        <v>86000</v>
      </c>
      <c r="K508" s="272" t="n"/>
      <c r="L508" s="272" t="n">
        <v>24000</v>
      </c>
      <c r="M508" s="156" t="n"/>
    </row>
    <row r="509" ht="15" customHeight="1" s="153">
      <c r="A509" s="279" t="n"/>
      <c r="B509" s="267" t="inlineStr">
        <is>
          <t>PADILLA 1747</t>
        </is>
      </c>
      <c r="C509" s="268" t="n">
        <v>1</v>
      </c>
      <c r="D509" s="268" t="n"/>
      <c r="E509" s="268" t="n"/>
      <c r="F509" s="269" t="n"/>
      <c r="G509" s="269" t="n"/>
      <c r="H509" s="270" t="n">
        <v>26500</v>
      </c>
      <c r="I509" s="271" t="n"/>
      <c r="J509" s="271" t="n">
        <v>26500</v>
      </c>
      <c r="K509" s="272" t="n"/>
      <c r="L509" s="272" t="n">
        <v>10700</v>
      </c>
      <c r="M509" s="156" t="n"/>
    </row>
    <row r="510" ht="15" customHeight="1" s="153">
      <c r="A510" s="279" t="n"/>
      <c r="B510" s="267" t="inlineStr">
        <is>
          <t>LA MADRID 4736</t>
        </is>
      </c>
      <c r="C510" s="268" t="n">
        <v>1</v>
      </c>
      <c r="D510" s="268" t="n"/>
      <c r="E510" s="268" t="n"/>
      <c r="F510" s="269" t="n"/>
      <c r="G510" s="269" t="n"/>
      <c r="H510" s="270" t="n">
        <v>26000</v>
      </c>
      <c r="I510" s="271" t="n">
        <v>26000</v>
      </c>
      <c r="J510" s="271" t="n"/>
      <c r="K510" s="272" t="n"/>
      <c r="L510" s="272" t="n">
        <v>10200</v>
      </c>
      <c r="M510" s="156" t="n"/>
    </row>
    <row r="511" ht="15" customHeight="1" s="153">
      <c r="A511" s="279" t="n"/>
      <c r="B511" s="267" t="inlineStr">
        <is>
          <t>1980 LEMON</t>
        </is>
      </c>
      <c r="C511" s="268" t="n">
        <v>4</v>
      </c>
      <c r="D511" s="268" t="n"/>
      <c r="E511" s="268" t="n"/>
      <c r="F511" s="269" t="n"/>
      <c r="G511" s="269" t="n"/>
      <c r="H511" s="270" t="n">
        <v>112000</v>
      </c>
      <c r="I511" s="271" t="n"/>
      <c r="J511" s="271" t="n">
        <v>112000</v>
      </c>
      <c r="K511" s="272" t="n"/>
      <c r="L511" s="272" t="n">
        <v>48800</v>
      </c>
      <c r="M511" s="156" t="n"/>
    </row>
    <row r="512" ht="15" customHeight="1" s="153">
      <c r="A512" s="279" t="n"/>
      <c r="B512" s="267" t="inlineStr">
        <is>
          <t>SANDRA</t>
        </is>
      </c>
      <c r="C512" s="268" t="n">
        <v>2</v>
      </c>
      <c r="D512" s="268" t="n"/>
      <c r="E512" s="268" t="n"/>
      <c r="F512" s="269" t="n"/>
      <c r="G512" s="269" t="n"/>
      <c r="H512" s="270" t="n">
        <v>39000</v>
      </c>
      <c r="I512" s="271" t="n">
        <v>39000</v>
      </c>
      <c r="J512" s="271" t="n"/>
      <c r="K512" s="272" t="n"/>
      <c r="L512" s="272" t="n">
        <v>7400</v>
      </c>
      <c r="M512" s="156" t="n"/>
    </row>
    <row r="513" ht="15" customHeight="1" s="153">
      <c r="A513" s="279" t="n"/>
      <c r="B513" s="267" t="inlineStr">
        <is>
          <t>ALBERTI 5298</t>
        </is>
      </c>
      <c r="C513" s="268" t="n">
        <v>2</v>
      </c>
      <c r="D513" s="268" t="n"/>
      <c r="E513" s="268" t="n"/>
      <c r="F513" s="269" t="n"/>
      <c r="G513" s="269" t="n"/>
      <c r="H513" s="270" t="n">
        <v>46000</v>
      </c>
      <c r="I513" s="271" t="n"/>
      <c r="J513" s="271" t="n">
        <v>46000</v>
      </c>
      <c r="K513" s="272" t="n"/>
      <c r="L513" s="272" t="n">
        <v>14400</v>
      </c>
      <c r="M513" s="156" t="n"/>
    </row>
    <row r="514" ht="15" customHeight="1" s="153">
      <c r="A514" s="279" t="n"/>
      <c r="B514" s="267" t="inlineStr">
        <is>
          <t>LA CUEVA</t>
        </is>
      </c>
      <c r="C514" s="268" t="n">
        <v>1</v>
      </c>
      <c r="D514" s="268" t="n"/>
      <c r="E514" s="268" t="n"/>
      <c r="F514" s="269" t="n"/>
      <c r="G514" s="269" t="n"/>
      <c r="H514" s="270" t="n">
        <v>23500</v>
      </c>
      <c r="I514" s="271" t="n">
        <v>23500</v>
      </c>
      <c r="J514" s="271" t="n"/>
      <c r="K514" s="272" t="n"/>
      <c r="L514" s="272" t="n">
        <v>7700</v>
      </c>
      <c r="M514" s="156" t="n"/>
    </row>
    <row r="515" ht="15" customHeight="1" s="153">
      <c r="A515" s="279" t="n">
        <v>46167</v>
      </c>
      <c r="B515" s="267" t="inlineStr">
        <is>
          <t>DOMINGO SILVA 4217</t>
        </is>
      </c>
      <c r="C515" s="268" t="n">
        <v>2</v>
      </c>
      <c r="D515" s="268" t="n">
        <v>1</v>
      </c>
      <c r="E515" s="268" t="n"/>
      <c r="F515" s="269" t="n"/>
      <c r="G515" s="269" t="n"/>
      <c r="H515" s="270" t="n">
        <v>71000</v>
      </c>
      <c r="I515" s="271" t="n">
        <v>71000</v>
      </c>
      <c r="J515" s="271" t="n"/>
      <c r="K515" s="272" t="n"/>
      <c r="L515" s="272" t="n">
        <v>15700</v>
      </c>
      <c r="M515" s="156" t="n"/>
    </row>
    <row r="516" ht="15" customHeight="1" s="153">
      <c r="A516" s="279" t="n"/>
      <c r="B516" s="267" t="inlineStr">
        <is>
          <t>9 DE JULIO 1144</t>
        </is>
      </c>
      <c r="C516" s="268" t="n"/>
      <c r="D516" s="268" t="n"/>
      <c r="E516" s="268" t="n">
        <v>2</v>
      </c>
      <c r="F516" s="269" t="n"/>
      <c r="G516" s="269" t="n"/>
      <c r="H516" s="270" t="n">
        <v>178000</v>
      </c>
      <c r="I516" s="271" t="n"/>
      <c r="J516" s="271" t="n">
        <v>178000</v>
      </c>
      <c r="K516" s="272" t="n"/>
      <c r="L516" s="272" t="n">
        <v>54000</v>
      </c>
      <c r="M516" s="156" t="n"/>
    </row>
    <row r="517" ht="15" customHeight="1" s="153">
      <c r="A517" s="279" t="n"/>
      <c r="B517" s="267" t="inlineStr">
        <is>
          <t>GENEIRO 8249</t>
        </is>
      </c>
      <c r="C517" s="268" t="n">
        <v>1</v>
      </c>
      <c r="D517" s="268" t="n"/>
      <c r="E517" s="268" t="n"/>
      <c r="F517" s="269" t="n"/>
      <c r="G517" s="269" t="n"/>
      <c r="H517" s="270" t="n">
        <v>26000</v>
      </c>
      <c r="I517" s="271" t="n"/>
      <c r="J517" s="271" t="n">
        <v>26000</v>
      </c>
      <c r="K517" s="272" t="n"/>
      <c r="L517" s="272" t="n">
        <v>10200</v>
      </c>
      <c r="M517" s="156" t="n"/>
    </row>
    <row r="518" ht="15" customHeight="1" s="153">
      <c r="A518" s="279" t="n"/>
      <c r="B518" s="267" t="inlineStr">
        <is>
          <t>CARRASCO 9330</t>
        </is>
      </c>
      <c r="C518" s="268" t="n">
        <v>1</v>
      </c>
      <c r="D518" s="268" t="n"/>
      <c r="E518" s="268" t="n"/>
      <c r="F518" s="269" t="n"/>
      <c r="G518" s="269" t="n"/>
      <c r="H518" s="270" t="n">
        <v>26000</v>
      </c>
      <c r="I518" s="271" t="n"/>
      <c r="J518" s="271" t="n">
        <v>26000</v>
      </c>
      <c r="K518" s="272" t="n"/>
      <c r="L518" s="272" t="n">
        <v>10200</v>
      </c>
      <c r="M518" s="156" t="n"/>
    </row>
    <row r="519" ht="15" customHeight="1" s="153">
      <c r="A519" s="279" t="n"/>
      <c r="B519" s="267" t="inlineStr">
        <is>
          <t>OTNIEL</t>
        </is>
      </c>
      <c r="C519" s="268" t="n"/>
      <c r="D519" s="268" t="n">
        <v>2</v>
      </c>
      <c r="E519" s="268" t="n"/>
      <c r="F519" s="269" t="n"/>
      <c r="G519" s="269" t="n"/>
      <c r="H519" s="270" t="n">
        <v>70000</v>
      </c>
      <c r="I519" s="271" t="n"/>
      <c r="J519" s="271" t="n">
        <v>70000</v>
      </c>
      <c r="K519" s="272" t="n"/>
      <c r="L519" s="272" t="n">
        <v>22600</v>
      </c>
      <c r="M519" s="156" t="n"/>
    </row>
    <row r="520" ht="15" customHeight="1" s="153">
      <c r="A520" s="279" t="n"/>
      <c r="B520" s="267" t="inlineStr">
        <is>
          <t>ROTI VIEYTES</t>
        </is>
      </c>
      <c r="C520" s="268" t="n"/>
      <c r="D520" s="268" t="n">
        <v>2</v>
      </c>
      <c r="E520" s="268" t="n"/>
      <c r="F520" s="269" t="n"/>
      <c r="G520" s="269" t="n"/>
      <c r="H520" s="270" t="n">
        <v>64000</v>
      </c>
      <c r="I520" s="271" t="n"/>
      <c r="J520" s="271" t="n">
        <v>64000</v>
      </c>
      <c r="K520" s="272" t="n"/>
      <c r="L520" s="272" t="n">
        <v>16600</v>
      </c>
      <c r="M520" s="156" t="n"/>
    </row>
    <row r="521" ht="15" customHeight="1" s="153">
      <c r="A521" s="279" t="n"/>
      <c r="B521" s="267" t="inlineStr">
        <is>
          <t>LEUMAN 5045</t>
        </is>
      </c>
      <c r="C521" s="268" t="n"/>
      <c r="D521" s="268" t="n">
        <v>1</v>
      </c>
      <c r="E521" s="268" t="n"/>
      <c r="F521" s="269" t="n"/>
      <c r="G521" s="269" t="n"/>
      <c r="H521" s="270" t="n">
        <v>41000</v>
      </c>
      <c r="I521" s="271" t="n"/>
      <c r="J521" s="271" t="n">
        <v>41000</v>
      </c>
      <c r="K521" s="272" t="n"/>
      <c r="L521" s="272" t="n">
        <v>17300</v>
      </c>
      <c r="M521" s="156" t="n"/>
    </row>
    <row r="522" ht="15" customHeight="1" s="153">
      <c r="A522" s="279" t="n"/>
      <c r="B522" s="267" t="inlineStr">
        <is>
          <t>LA PAMPA 5745</t>
        </is>
      </c>
      <c r="C522" s="268" t="n"/>
      <c r="D522" s="268" t="n">
        <v>1</v>
      </c>
      <c r="E522" s="268" t="n"/>
      <c r="F522" s="269" t="n"/>
      <c r="G522" s="269" t="n"/>
      <c r="H522" s="270" t="n">
        <v>41000</v>
      </c>
      <c r="I522" s="271" t="n">
        <v>41000</v>
      </c>
      <c r="J522" s="271" t="n"/>
      <c r="K522" s="272" t="n"/>
      <c r="L522" s="272" t="n">
        <v>17300</v>
      </c>
      <c r="M522" s="156" t="n"/>
    </row>
    <row r="523" ht="15" customHeight="1" s="153">
      <c r="A523" s="279" t="n"/>
      <c r="B523" s="267" t="inlineStr">
        <is>
          <t>PANA GORRITI 4600</t>
        </is>
      </c>
      <c r="C523" s="268" t="n"/>
      <c r="D523" s="268" t="n"/>
      <c r="E523" s="268" t="n">
        <v>1</v>
      </c>
      <c r="F523" s="269" t="n"/>
      <c r="G523" s="269" t="n"/>
      <c r="H523" s="270" t="n">
        <v>84000</v>
      </c>
      <c r="I523" s="271" t="n">
        <v>84000</v>
      </c>
      <c r="J523" s="271" t="n"/>
      <c r="K523" s="272" t="n"/>
      <c r="L523" s="272" t="n">
        <v>22000</v>
      </c>
      <c r="M523" s="156" t="n"/>
    </row>
    <row r="524" ht="15" customHeight="1" s="153">
      <c r="A524" s="279" t="n"/>
      <c r="B524" s="267" t="inlineStr">
        <is>
          <t>LOS PRIMOS</t>
        </is>
      </c>
      <c r="C524" s="268" t="n">
        <v>3</v>
      </c>
      <c r="D524" s="268" t="n"/>
      <c r="E524" s="268" t="n"/>
      <c r="F524" s="269" t="n"/>
      <c r="G524" s="269" t="n"/>
      <c r="H524" s="270" t="n">
        <v>81000</v>
      </c>
      <c r="I524" s="271" t="n">
        <v>81000</v>
      </c>
      <c r="J524" s="271" t="n"/>
      <c r="K524" s="272" t="n"/>
      <c r="L524" s="272" t="n">
        <v>33600</v>
      </c>
      <c r="M524" s="156" t="n"/>
    </row>
    <row r="525" ht="15" customHeight="1" s="153">
      <c r="A525" s="279" t="n"/>
      <c r="B525" s="267" t="inlineStr">
        <is>
          <t>RICARDO ALDAO 3459</t>
        </is>
      </c>
      <c r="C525" s="268" t="n">
        <v>1</v>
      </c>
      <c r="D525" s="268" t="n"/>
      <c r="E525" s="268" t="n"/>
      <c r="F525" s="269" t="n"/>
      <c r="G525" s="269" t="n"/>
      <c r="H525" s="270" t="n">
        <v>26000</v>
      </c>
      <c r="I525" s="271" t="n">
        <v>26000</v>
      </c>
      <c r="J525" s="271" t="n"/>
      <c r="K525" s="272" t="n"/>
      <c r="L525" s="272" t="n">
        <v>10200</v>
      </c>
      <c r="M525" s="156" t="n"/>
    </row>
    <row r="526" ht="15" customHeight="1" s="153">
      <c r="A526" s="279" t="n"/>
      <c r="B526" s="267" t="inlineStr">
        <is>
          <t>FLORENCIO FERNÁNDEZ 6196</t>
        </is>
      </c>
      <c r="C526" s="268" t="n">
        <v>6</v>
      </c>
      <c r="D526" s="268" t="n"/>
      <c r="E526" s="268" t="n"/>
      <c r="F526" s="269" t="n"/>
      <c r="G526" s="269" t="n"/>
      <c r="H526" s="270" t="n">
        <v>120000</v>
      </c>
      <c r="I526" s="271" t="n">
        <v>120000</v>
      </c>
      <c r="J526" s="271" t="n"/>
      <c r="K526" s="272" t="n"/>
      <c r="L526" s="272" t="n">
        <v>25200</v>
      </c>
      <c r="M526" s="156" t="n"/>
    </row>
    <row r="527" ht="15" customHeight="1" s="153">
      <c r="A527" s="279" t="n"/>
      <c r="B527" s="267" t="inlineStr">
        <is>
          <t>LUCHO</t>
        </is>
      </c>
      <c r="C527" s="268" t="n">
        <v>1</v>
      </c>
      <c r="D527" s="268" t="n"/>
      <c r="E527" s="268" t="n"/>
      <c r="F527" s="269" t="n"/>
      <c r="G527" s="269" t="n"/>
      <c r="H527" s="270" t="n">
        <v>20000</v>
      </c>
      <c r="I527" s="271" t="n"/>
      <c r="J527" s="271" t="n">
        <v>20000</v>
      </c>
      <c r="K527" s="272" t="n"/>
      <c r="L527" s="272" t="n">
        <v>4200</v>
      </c>
      <c r="M527" s="156" t="n"/>
    </row>
    <row r="528" ht="15" customHeight="1" s="153">
      <c r="A528" s="279" t="n"/>
      <c r="B528" s="267" t="inlineStr">
        <is>
          <t>LARREA 3164</t>
        </is>
      </c>
      <c r="C528" s="268" t="n">
        <v>1</v>
      </c>
      <c r="D528" s="268" t="n"/>
      <c r="E528" s="268" t="n"/>
      <c r="F528" s="269" t="n"/>
      <c r="G528" s="269" t="n"/>
      <c r="H528" s="270" t="n">
        <v>26000</v>
      </c>
      <c r="I528" s="271" t="n">
        <v>26000</v>
      </c>
      <c r="J528" s="271" t="n"/>
      <c r="K528" s="272" t="n"/>
      <c r="L528" s="272" t="n">
        <v>10200</v>
      </c>
      <c r="M528" s="156" t="n"/>
    </row>
    <row r="529" ht="15" customHeight="1" s="153">
      <c r="A529" s="279" t="n"/>
      <c r="B529" s="267" t="inlineStr">
        <is>
          <t>MADAME CHEESE</t>
        </is>
      </c>
      <c r="C529" s="268" t="n">
        <v>1</v>
      </c>
      <c r="D529" s="268" t="n"/>
      <c r="E529" s="268" t="n"/>
      <c r="F529" s="269" t="n"/>
      <c r="G529" s="269" t="n"/>
      <c r="H529" s="270" t="n">
        <v>25000</v>
      </c>
      <c r="I529" s="271" t="n"/>
      <c r="J529" s="271" t="n">
        <v>25000</v>
      </c>
      <c r="K529" s="272" t="n"/>
      <c r="L529" s="272" t="n">
        <v>9200</v>
      </c>
      <c r="M529" s="156" t="n"/>
    </row>
    <row r="530" ht="15" customHeight="1" s="153">
      <c r="A530" s="261" t="n"/>
      <c r="B530" s="267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72" t="n">
        <v>3700</v>
      </c>
      <c r="M530" s="156" t="n"/>
    </row>
    <row r="531" ht="15" customHeight="1" s="153">
      <c r="A531" s="279" t="n">
        <v>46168</v>
      </c>
      <c r="B531" s="267" t="inlineStr">
        <is>
          <t>SAN LORENZO 2846</t>
        </is>
      </c>
      <c r="C531" s="268" t="n">
        <v>1</v>
      </c>
      <c r="D531" s="268" t="n"/>
      <c r="E531" s="268" t="n"/>
      <c r="F531" s="269" t="n"/>
      <c r="G531" s="269" t="n"/>
      <c r="H531" s="270" t="n">
        <v>26000</v>
      </c>
      <c r="I531" s="271" t="n"/>
      <c r="J531" s="271" t="n">
        <v>26000</v>
      </c>
      <c r="K531" s="272" t="n"/>
      <c r="L531" s="272" t="n">
        <v>10200</v>
      </c>
      <c r="M531" s="156" t="n"/>
    </row>
    <row r="532" ht="15" customHeight="1" s="153">
      <c r="A532" s="279" t="n"/>
      <c r="B532" s="267" t="inlineStr">
        <is>
          <t>HERNANDARIAS 3445</t>
        </is>
      </c>
      <c r="C532" s="268" t="n">
        <v>1</v>
      </c>
      <c r="D532" s="268" t="n"/>
      <c r="E532" s="268" t="n"/>
      <c r="F532" s="269" t="n"/>
      <c r="G532" s="269" t="n"/>
      <c r="H532" s="270" t="n">
        <v>26000</v>
      </c>
      <c r="I532" s="271" t="n">
        <v>26000</v>
      </c>
      <c r="J532" s="271" t="n"/>
      <c r="K532" s="272" t="n"/>
      <c r="L532" s="272" t="n">
        <v>10200</v>
      </c>
      <c r="M532" s="156" t="n"/>
    </row>
    <row r="533" ht="15" customHeight="1" s="153">
      <c r="A533" s="279" t="n"/>
      <c r="B533" s="267" t="inlineStr">
        <is>
          <t>VIANDAS JORGE</t>
        </is>
      </c>
      <c r="C533" s="268" t="n">
        <v>1</v>
      </c>
      <c r="D533" s="268" t="n"/>
      <c r="E533" s="268" t="n"/>
      <c r="F533" s="269" t="n"/>
      <c r="G533" s="269" t="n"/>
      <c r="H533" s="270" t="n">
        <v>23000</v>
      </c>
      <c r="I533" s="271" t="n">
        <v>23000</v>
      </c>
      <c r="J533" s="271" t="n"/>
      <c r="K533" s="272" t="n"/>
      <c r="L533" s="272" t="n">
        <v>7200</v>
      </c>
      <c r="M533" s="156" t="n"/>
    </row>
    <row r="534" ht="15" customHeight="1" s="153">
      <c r="A534" s="279" t="n"/>
      <c r="B534" s="267" t="inlineStr">
        <is>
          <t>AZCUENAGA 2180</t>
        </is>
      </c>
      <c r="C534" s="268" t="n">
        <v>1</v>
      </c>
      <c r="D534" s="268" t="n"/>
      <c r="E534" s="268" t="n"/>
      <c r="F534" s="269" t="n"/>
      <c r="G534" s="269" t="n"/>
      <c r="H534" s="270" t="n">
        <v>27000</v>
      </c>
      <c r="I534" s="271" t="n">
        <v>27000</v>
      </c>
      <c r="J534" s="271" t="n"/>
      <c r="K534" s="272" t="n"/>
      <c r="L534" s="272" t="n">
        <v>11200</v>
      </c>
      <c r="M534" s="156" t="n"/>
    </row>
    <row r="535" ht="15" customHeight="1" s="153">
      <c r="A535" s="279" t="n"/>
      <c r="B535" s="267" t="inlineStr">
        <is>
          <t>PAVON 3941</t>
        </is>
      </c>
      <c r="C535" s="268" t="n">
        <v>1</v>
      </c>
      <c r="D535" s="268" t="n"/>
      <c r="E535" s="268" t="n"/>
      <c r="F535" s="269" t="n"/>
      <c r="G535" s="269" t="n"/>
      <c r="H535" s="270" t="n">
        <v>26000</v>
      </c>
      <c r="I535" s="271" t="n">
        <v>26000</v>
      </c>
      <c r="J535" s="271" t="n"/>
      <c r="K535" s="272" t="n"/>
      <c r="L535" s="272" t="n">
        <v>10200</v>
      </c>
      <c r="M535" s="156" t="n"/>
    </row>
    <row r="536" ht="15" customHeight="1" s="153">
      <c r="A536" s="279" t="n"/>
      <c r="B536" s="267" t="inlineStr">
        <is>
          <t>LA RIOJA 3730</t>
        </is>
      </c>
      <c r="C536" s="268" t="n">
        <v>1</v>
      </c>
      <c r="D536" s="268" t="n"/>
      <c r="E536" s="268" t="n"/>
      <c r="F536" s="269" t="n"/>
      <c r="G536" s="269" t="n"/>
      <c r="H536" s="270" t="n">
        <v>27000</v>
      </c>
      <c r="I536" s="271" t="n">
        <v>27000</v>
      </c>
      <c r="J536" s="271" t="n"/>
      <c r="K536" s="272" t="n"/>
      <c r="L536" s="272" t="n">
        <v>11200</v>
      </c>
      <c r="M536" s="156" t="n"/>
    </row>
    <row r="537" ht="15" customHeight="1" s="153">
      <c r="A537" s="279" t="n"/>
      <c r="B537" s="267" t="inlineStr">
        <is>
          <t>FACUNDO ZUVIRIA 4176</t>
        </is>
      </c>
      <c r="C537" s="268" t="n"/>
      <c r="D537" s="268" t="n"/>
      <c r="E537" s="268" t="n">
        <v>1</v>
      </c>
      <c r="F537" s="269" t="n"/>
      <c r="G537" s="269" t="n"/>
      <c r="H537" s="270" t="n">
        <v>87000</v>
      </c>
      <c r="I537" s="271" t="n"/>
      <c r="J537" s="271" t="n">
        <v>87000</v>
      </c>
      <c r="K537" s="272" t="n"/>
      <c r="L537" s="272" t="n">
        <v>25000</v>
      </c>
      <c r="M537" s="156" t="n"/>
    </row>
    <row r="538" ht="15" customHeight="1" s="153">
      <c r="A538" s="279" t="n"/>
      <c r="B538" s="267" t="inlineStr">
        <is>
          <t>12 DE INFANTERÍA 4278</t>
        </is>
      </c>
      <c r="C538" s="268" t="n">
        <v>1</v>
      </c>
      <c r="D538" s="268" t="n"/>
      <c r="E538" s="268" t="n"/>
      <c r="F538" s="269" t="n"/>
      <c r="G538" s="269" t="n"/>
      <c r="H538" s="270" t="n">
        <v>26000</v>
      </c>
      <c r="I538" s="271" t="n">
        <v>26000</v>
      </c>
      <c r="J538" s="271" t="n"/>
      <c r="K538" s="272" t="n"/>
      <c r="L538" s="272" t="n">
        <v>10200</v>
      </c>
      <c r="M538" s="156" t="n"/>
    </row>
    <row r="539" ht="15" customHeight="1" s="153">
      <c r="A539" s="279" t="n"/>
      <c r="B539" s="267" t="inlineStr">
        <is>
          <t>PEÑALOZA 5565</t>
        </is>
      </c>
      <c r="C539" s="268" t="n">
        <v>1</v>
      </c>
      <c r="D539" s="268" t="n"/>
      <c r="E539" s="268" t="n"/>
      <c r="F539" s="269" t="n"/>
      <c r="G539" s="269" t="n"/>
      <c r="H539" s="270" t="n">
        <v>26000</v>
      </c>
      <c r="I539" s="271" t="n">
        <v>26000</v>
      </c>
      <c r="J539" s="271" t="n"/>
      <c r="K539" s="272" t="n"/>
      <c r="L539" s="272" t="n">
        <v>10200</v>
      </c>
      <c r="M539" s="156" t="n"/>
    </row>
    <row r="540" ht="15" customHeight="1" s="153">
      <c r="A540" s="279" t="n"/>
      <c r="B540" s="267" t="inlineStr">
        <is>
          <t>ALBERTO PARROQUIA SAN ROQUE</t>
        </is>
      </c>
      <c r="C540" s="268" t="n">
        <v>1</v>
      </c>
      <c r="D540" s="268" t="n"/>
      <c r="E540" s="268" t="n"/>
      <c r="F540" s="269" t="n"/>
      <c r="G540" s="269" t="n"/>
      <c r="H540" s="270" t="n">
        <v>27000</v>
      </c>
      <c r="I540" s="271" t="n">
        <v>27000</v>
      </c>
      <c r="J540" s="271" t="n"/>
      <c r="K540" s="272" t="n"/>
      <c r="L540" s="272" t="n">
        <v>11200</v>
      </c>
      <c r="M540" s="156" t="n"/>
    </row>
    <row r="541" ht="15" customHeight="1" s="153">
      <c r="A541" s="279" t="n"/>
      <c r="B541" s="267" t="inlineStr">
        <is>
          <t>REPÚBLICA DE SIRIA 3961</t>
        </is>
      </c>
      <c r="C541" s="268" t="n">
        <v>1</v>
      </c>
      <c r="D541" s="268" t="n"/>
      <c r="E541" s="268" t="n"/>
      <c r="F541" s="269" t="n"/>
      <c r="G541" s="269" t="n"/>
      <c r="H541" s="270" t="n">
        <v>26000</v>
      </c>
      <c r="I541" s="271" t="n"/>
      <c r="J541" s="271" t="n">
        <v>26000</v>
      </c>
      <c r="K541" s="272" t="n"/>
      <c r="L541" s="272" t="n">
        <v>10200</v>
      </c>
      <c r="M541" s="156" t="n"/>
    </row>
    <row r="542" ht="15" customHeight="1" s="153">
      <c r="A542" s="279" t="n"/>
      <c r="B542" s="267" t="inlineStr">
        <is>
          <t>GABOTO 7227</t>
        </is>
      </c>
      <c r="C542" s="268" t="n"/>
      <c r="D542" s="268" t="n">
        <v>1</v>
      </c>
      <c r="E542" s="268" t="n"/>
      <c r="F542" s="269" t="n"/>
      <c r="G542" s="269" t="n"/>
      <c r="H542" s="270" t="n">
        <v>39500</v>
      </c>
      <c r="I542" s="271" t="n"/>
      <c r="J542" s="271" t="n">
        <v>39500</v>
      </c>
      <c r="K542" s="272" t="n"/>
      <c r="L542" s="272" t="n">
        <v>15800</v>
      </c>
      <c r="M542" s="156" t="n"/>
    </row>
    <row r="543" ht="15" customHeight="1" s="153">
      <c r="A543" s="279" t="n"/>
      <c r="B543" s="267" t="inlineStr">
        <is>
          <t>FILOMENA</t>
        </is>
      </c>
      <c r="C543" s="268" t="n">
        <v>2</v>
      </c>
      <c r="D543" s="268" t="n"/>
      <c r="E543" s="268" t="n"/>
      <c r="F543" s="269" t="n"/>
      <c r="G543" s="269" t="n"/>
      <c r="H543" s="270" t="n">
        <v>49000</v>
      </c>
      <c r="I543" s="271" t="n"/>
      <c r="J543" s="271" t="n">
        <v>49000</v>
      </c>
      <c r="K543" s="272" t="n"/>
      <c r="L543" s="272" t="n">
        <v>17400</v>
      </c>
      <c r="M543" s="156" t="n"/>
    </row>
    <row r="544" ht="15" customHeight="1" s="153">
      <c r="A544" s="279" t="n"/>
      <c r="B544" s="267" t="inlineStr">
        <is>
          <t>M ZAPATA 2101</t>
        </is>
      </c>
      <c r="C544" s="268" t="n">
        <v>2</v>
      </c>
      <c r="D544" s="268" t="n"/>
      <c r="E544" s="268" t="n"/>
      <c r="F544" s="269" t="n"/>
      <c r="G544" s="269" t="n"/>
      <c r="H544" s="270" t="n">
        <v>42000</v>
      </c>
      <c r="I544" s="271" t="n"/>
      <c r="J544" s="271" t="n">
        <v>42000</v>
      </c>
      <c r="K544" s="272" t="n"/>
      <c r="L544" s="272" t="n">
        <v>10400</v>
      </c>
      <c r="M544" s="156" t="n"/>
    </row>
    <row r="545" ht="15" customHeight="1" s="153">
      <c r="A545" s="279" t="n"/>
      <c r="B545" s="267" t="inlineStr">
        <is>
          <t>PEDRO DE VEGA 1428</t>
        </is>
      </c>
      <c r="C545" s="268" t="n">
        <v>1</v>
      </c>
      <c r="D545" s="268" t="n"/>
      <c r="E545" s="268" t="n"/>
      <c r="F545" s="269" t="n"/>
      <c r="G545" s="269" t="n"/>
      <c r="H545" s="270" t="n">
        <v>26500</v>
      </c>
      <c r="I545" s="271" t="n"/>
      <c r="J545" s="271" t="n">
        <v>26500</v>
      </c>
      <c r="K545" s="272" t="n"/>
      <c r="L545" s="272" t="n">
        <v>10700</v>
      </c>
      <c r="M545" s="156" t="n"/>
    </row>
    <row r="546" ht="15" customHeight="1" s="153">
      <c r="A546" s="279" t="n"/>
      <c r="B546" s="267" t="inlineStr">
        <is>
          <t>GRANDOLI 7655</t>
        </is>
      </c>
      <c r="C546" s="268" t="n"/>
      <c r="D546" s="268" t="n">
        <v>3</v>
      </c>
      <c r="E546" s="268" t="n"/>
      <c r="F546" s="269" t="n"/>
      <c r="G546" s="269" t="n"/>
      <c r="H546" s="270" t="n">
        <v>120000</v>
      </c>
      <c r="I546" s="271" t="n"/>
      <c r="J546" s="271" t="n">
        <v>120000</v>
      </c>
      <c r="K546" s="272" t="n"/>
      <c r="L546" s="272" t="n">
        <v>48900</v>
      </c>
      <c r="M546" s="156" t="n"/>
    </row>
    <row r="547" ht="15" customHeight="1" s="153">
      <c r="A547" s="279" t="n"/>
      <c r="B547" s="267" t="inlineStr">
        <is>
          <t>TROPPO</t>
        </is>
      </c>
      <c r="C547" s="268" t="n">
        <v>2</v>
      </c>
      <c r="D547" s="268" t="n"/>
      <c r="E547" s="268" t="n"/>
      <c r="F547" s="269" t="n"/>
      <c r="G547" s="269" t="n"/>
      <c r="H547" s="270" t="n">
        <v>56000</v>
      </c>
      <c r="I547" s="271" t="n">
        <v>56000</v>
      </c>
      <c r="J547" s="271" t="n"/>
      <c r="K547" s="272" t="n"/>
      <c r="L547" s="272" t="n">
        <v>24400</v>
      </c>
      <c r="M547" s="156" t="n"/>
    </row>
    <row r="548" ht="15" customHeight="1" s="153">
      <c r="A548" s="279" t="n"/>
      <c r="B548" s="267" t="inlineStr">
        <is>
          <t>RICARDO ALDAO 3750</t>
        </is>
      </c>
      <c r="C548" s="268" t="n"/>
      <c r="D548" s="268" t="n"/>
      <c r="E548" s="268" t="n">
        <v>1</v>
      </c>
      <c r="F548" s="269" t="n"/>
      <c r="G548" s="269" t="n"/>
      <c r="H548" s="270" t="n">
        <v>91000</v>
      </c>
      <c r="I548" s="271" t="n">
        <v>91000</v>
      </c>
      <c r="J548" s="271" t="n"/>
      <c r="K548" s="272" t="n"/>
      <c r="L548" s="272" t="n">
        <v>29000</v>
      </c>
      <c r="M548" s="156" t="n"/>
    </row>
    <row r="549" ht="15" customHeight="1" s="153">
      <c r="A549" s="279" t="n"/>
      <c r="B549" s="267" t="inlineStr">
        <is>
          <t>ARENALES 7850</t>
        </is>
      </c>
      <c r="C549" s="268" t="n">
        <v>2</v>
      </c>
      <c r="D549" s="268" t="n"/>
      <c r="E549" s="268" t="n"/>
      <c r="F549" s="269" t="n"/>
      <c r="G549" s="269" t="n"/>
      <c r="H549" s="270" t="n">
        <v>52000</v>
      </c>
      <c r="I549" s="271" t="n">
        <v>52000</v>
      </c>
      <c r="J549" s="271" t="n"/>
      <c r="K549" s="272" t="n"/>
      <c r="L549" s="272" t="n">
        <v>20400</v>
      </c>
      <c r="M549" s="156" t="n"/>
    </row>
    <row r="550" ht="15" customHeight="1" s="153">
      <c r="A550" s="279" t="n">
        <v>46169</v>
      </c>
      <c r="B550" s="267" t="inlineStr">
        <is>
          <t>GRACIELA DALBUSO</t>
        </is>
      </c>
      <c r="C550" s="268" t="n"/>
      <c r="D550" s="268" t="n"/>
      <c r="E550" s="268" t="n">
        <v>1</v>
      </c>
      <c r="F550" s="269" t="n"/>
      <c r="G550" s="269" t="n"/>
      <c r="H550" s="270" t="n">
        <v>88000</v>
      </c>
      <c r="I550" s="271" t="n"/>
      <c r="J550" s="271" t="n">
        <v>88000</v>
      </c>
      <c r="K550" s="272" t="n"/>
      <c r="L550" s="272" t="n">
        <v>26000</v>
      </c>
      <c r="M550" s="156" t="n"/>
    </row>
    <row r="551" ht="15" customHeight="1" s="153">
      <c r="A551" s="279" t="n"/>
      <c r="B551" s="267" t="inlineStr">
        <is>
          <t>EX COMBATIENTES 5583</t>
        </is>
      </c>
      <c r="C551" s="268" t="n">
        <v>1</v>
      </c>
      <c r="D551" s="268" t="n"/>
      <c r="E551" s="268" t="n"/>
      <c r="F551" s="269" t="n"/>
      <c r="G551" s="269" t="n"/>
      <c r="H551" s="270" t="n">
        <v>26500</v>
      </c>
      <c r="I551" s="271" t="n">
        <v>26500</v>
      </c>
      <c r="J551" s="271" t="n"/>
      <c r="K551" s="272" t="n"/>
      <c r="L551" s="272" t="n">
        <v>10700</v>
      </c>
      <c r="M551" s="156" t="n"/>
    </row>
    <row r="552" ht="15" customHeight="1" s="153">
      <c r="A552" s="279" t="n"/>
      <c r="B552" s="267" t="inlineStr">
        <is>
          <t>MARTINEZ 3221</t>
        </is>
      </c>
      <c r="C552" s="268" t="n"/>
      <c r="D552" s="268" t="n"/>
      <c r="E552" s="268" t="n">
        <v>1</v>
      </c>
      <c r="F552" s="269" t="n"/>
      <c r="G552" s="269" t="n"/>
      <c r="H552" s="270" t="n">
        <v>95000</v>
      </c>
      <c r="I552" s="271" t="n"/>
      <c r="J552" s="271" t="n">
        <v>95000</v>
      </c>
      <c r="K552" s="272" t="n"/>
      <c r="L552" s="272" t="n">
        <v>33000</v>
      </c>
      <c r="M552" s="156" t="n"/>
    </row>
    <row r="553" ht="15" customHeight="1" s="153">
      <c r="A553" s="279" t="n"/>
      <c r="B553" s="267" t="inlineStr">
        <is>
          <t>F1 M5 DTO 34</t>
        </is>
      </c>
      <c r="C553" s="268" t="n">
        <v>1</v>
      </c>
      <c r="D553" s="268" t="n"/>
      <c r="E553" s="268" t="n"/>
      <c r="F553" s="269" t="n"/>
      <c r="G553" s="269" t="n"/>
      <c r="H553" s="270" t="n">
        <v>26000</v>
      </c>
      <c r="I553" s="271" t="n">
        <v>26000</v>
      </c>
      <c r="J553" s="271" t="n"/>
      <c r="K553" s="272" t="n"/>
      <c r="L553" s="272" t="n">
        <v>10200</v>
      </c>
      <c r="M553" s="156" t="n"/>
    </row>
    <row r="554" ht="15" customHeight="1" s="153">
      <c r="A554" s="279" t="n"/>
      <c r="B554" s="267" t="inlineStr">
        <is>
          <t>MADAME CHEESE</t>
        </is>
      </c>
      <c r="C554" s="268" t="n"/>
      <c r="D554" s="268" t="n">
        <v>1</v>
      </c>
      <c r="E554" s="268" t="n"/>
      <c r="F554" s="269" t="n"/>
      <c r="G554" s="269" t="n"/>
      <c r="H554" s="270" t="n">
        <v>36000</v>
      </c>
      <c r="I554" s="271" t="n"/>
      <c r="J554" s="271" t="n">
        <v>36000</v>
      </c>
      <c r="K554" s="272" t="n"/>
      <c r="L554" s="272" t="n">
        <v>12300</v>
      </c>
      <c r="M554" s="156" t="n"/>
    </row>
    <row r="555" ht="15" customHeight="1" s="153">
      <c r="A555" s="279" t="n"/>
      <c r="B555" s="267" t="inlineStr">
        <is>
          <t>OTNIEL</t>
        </is>
      </c>
      <c r="C555" s="268" t="n"/>
      <c r="D555" s="268" t="n"/>
      <c r="E555" s="268" t="n"/>
      <c r="F555" s="269" t="n"/>
      <c r="G555" s="269" t="n">
        <v>2</v>
      </c>
      <c r="H555" s="270" t="n">
        <v>13000</v>
      </c>
      <c r="I555" s="271" t="n"/>
      <c r="J555" s="271" t="n">
        <v>13000</v>
      </c>
      <c r="K555" s="272" t="n"/>
      <c r="L555" s="272" t="n">
        <v>11160</v>
      </c>
      <c r="M555" s="156" t="n"/>
    </row>
    <row r="556" ht="15" customHeight="1" s="153">
      <c r="A556" s="279" t="n"/>
      <c r="B556" s="267" t="inlineStr">
        <is>
          <t>LASAGA 7051</t>
        </is>
      </c>
      <c r="C556" s="268" t="n">
        <v>1</v>
      </c>
      <c r="D556" s="268" t="n"/>
      <c r="E556" s="268" t="n"/>
      <c r="F556" s="269" t="n"/>
      <c r="G556" s="269" t="n"/>
      <c r="H556" s="270" t="n">
        <v>26500</v>
      </c>
      <c r="I556" s="271" t="n">
        <v>26500</v>
      </c>
      <c r="J556" s="271" t="n"/>
      <c r="K556" s="272" t="n"/>
      <c r="L556" s="272" t="n">
        <v>10700</v>
      </c>
      <c r="M556" s="156" t="n"/>
    </row>
    <row r="557" ht="15" customHeight="1" s="153">
      <c r="A557" s="279" t="n"/>
      <c r="B557" s="267" t="inlineStr">
        <is>
          <t>SANDRA</t>
        </is>
      </c>
      <c r="C557" s="268" t="n">
        <v>3</v>
      </c>
      <c r="D557" s="268" t="n"/>
      <c r="E557" s="268" t="n"/>
      <c r="F557" s="269" t="n"/>
      <c r="G557" s="269" t="n"/>
      <c r="H557" s="270" t="n">
        <v>58500</v>
      </c>
      <c r="I557" s="271" t="n">
        <v>58500</v>
      </c>
      <c r="J557" s="271" t="n"/>
      <c r="K557" s="272" t="n"/>
      <c r="L557" s="272" t="n">
        <v>11100</v>
      </c>
      <c r="M557" s="156" t="n"/>
    </row>
    <row r="558" ht="15" customHeight="1" s="153">
      <c r="A558" s="279" t="n"/>
      <c r="B558" s="267" t="inlineStr">
        <is>
          <t>BLAS PARERA 5655</t>
        </is>
      </c>
      <c r="C558" s="268" t="n">
        <v>1</v>
      </c>
      <c r="D558" s="268" t="n"/>
      <c r="E558" s="268" t="n"/>
      <c r="F558" s="269" t="n"/>
      <c r="G558" s="269" t="n"/>
      <c r="H558" s="270" t="n">
        <v>26000</v>
      </c>
      <c r="I558" s="271" t="n">
        <v>26000</v>
      </c>
      <c r="J558" s="271" t="n"/>
      <c r="K558" s="272" t="n"/>
      <c r="L558" s="272" t="n">
        <v>10200</v>
      </c>
      <c r="M558" s="156" t="n"/>
    </row>
    <row r="559" ht="15" customHeight="1" s="153">
      <c r="A559" s="279" t="n"/>
      <c r="B559" s="267" t="inlineStr">
        <is>
          <t>TROPPO (2 reguladores)</t>
        </is>
      </c>
      <c r="C559" s="268" t="n"/>
      <c r="D559" s="268" t="n"/>
      <c r="E559" s="268" t="n"/>
      <c r="F559" s="269" t="n"/>
      <c r="G559" s="269" t="n"/>
      <c r="H559" s="270" t="n">
        <v>50000</v>
      </c>
      <c r="I559" s="271" t="n"/>
      <c r="J559" s="271" t="n">
        <v>50000</v>
      </c>
      <c r="K559" s="272" t="n">
        <v>26000</v>
      </c>
      <c r="L559" s="272" t="n">
        <v>26000</v>
      </c>
      <c r="M559" s="156" t="n"/>
    </row>
    <row r="560" ht="15" customHeight="1" s="153">
      <c r="A560" s="279" t="n"/>
      <c r="B560" s="267" t="inlineStr">
        <is>
          <t>PUBLICO 3893</t>
        </is>
      </c>
      <c r="C560" s="268" t="n"/>
      <c r="D560" s="268" t="n">
        <v>1</v>
      </c>
      <c r="E560" s="268" t="n"/>
      <c r="F560" s="269" t="n"/>
      <c r="G560" s="269" t="n"/>
      <c r="H560" s="270" t="n">
        <v>38500</v>
      </c>
      <c r="I560" s="271" t="n"/>
      <c r="J560" s="271" t="n">
        <v>38500</v>
      </c>
      <c r="K560" s="272" t="n"/>
      <c r="L560" s="272" t="n">
        <v>14800</v>
      </c>
      <c r="M560" s="156" t="n"/>
    </row>
    <row r="561" ht="15" customHeight="1" s="153">
      <c r="A561" s="279" t="n"/>
      <c r="B561" s="267" t="inlineStr">
        <is>
          <t>PANA GENESIO</t>
        </is>
      </c>
      <c r="C561" s="268" t="n"/>
      <c r="D561" s="268" t="n"/>
      <c r="E561" s="268" t="n">
        <v>1</v>
      </c>
      <c r="F561" s="269" t="n"/>
      <c r="G561" s="269" t="n"/>
      <c r="H561" s="270" t="n">
        <v>79000</v>
      </c>
      <c r="I561" s="271" t="n">
        <v>79000</v>
      </c>
      <c r="J561" s="271" t="n"/>
      <c r="K561" s="272" t="n"/>
      <c r="L561" s="272" t="n">
        <v>17000</v>
      </c>
      <c r="M561" s="156" t="n"/>
    </row>
    <row r="562" ht="15" customHeight="1" s="153">
      <c r="A562" s="279" t="n"/>
      <c r="B562" s="267" t="inlineStr">
        <is>
          <t>BLAS PARERA 9129</t>
        </is>
      </c>
      <c r="C562" s="268" t="n">
        <v>1</v>
      </c>
      <c r="D562" s="268" t="n"/>
      <c r="E562" s="268" t="n"/>
      <c r="F562" s="269" t="n"/>
      <c r="G562" s="269" t="n"/>
      <c r="H562" s="270" t="n">
        <v>26000</v>
      </c>
      <c r="I562" s="271" t="n">
        <v>26000</v>
      </c>
      <c r="J562" s="271" t="n"/>
      <c r="K562" s="272" t="n"/>
      <c r="L562" s="272" t="n">
        <v>10200</v>
      </c>
      <c r="M562" s="156" t="n"/>
    </row>
    <row r="563" ht="15" customHeight="1" s="153">
      <c r="A563" s="279" t="n"/>
      <c r="B563" s="267" t="inlineStr">
        <is>
          <t>ARISTÓBULO 5137</t>
        </is>
      </c>
      <c r="C563" s="268" t="n">
        <v>1</v>
      </c>
      <c r="D563" s="268" t="n"/>
      <c r="E563" s="268" t="n"/>
      <c r="F563" s="269" t="n"/>
      <c r="G563" s="269" t="n"/>
      <c r="H563" s="270" t="n">
        <v>26500</v>
      </c>
      <c r="I563" s="271" t="n"/>
      <c r="J563" s="271" t="n">
        <v>26500</v>
      </c>
      <c r="K563" s="272" t="n"/>
      <c r="L563" s="272" t="n">
        <v>10700</v>
      </c>
      <c r="M563" s="156" t="n"/>
    </row>
    <row r="564" ht="15" customHeight="1" s="153">
      <c r="A564" s="279" t="n"/>
      <c r="B564" s="267" t="inlineStr">
        <is>
          <t>LARGUIA 6924</t>
        </is>
      </c>
      <c r="C564" s="268" t="n">
        <v>1</v>
      </c>
      <c r="D564" s="268" t="n"/>
      <c r="E564" s="268" t="n"/>
      <c r="F564" s="269" t="n"/>
      <c r="G564" s="269" t="n"/>
      <c r="H564" s="270" t="n">
        <v>26000</v>
      </c>
      <c r="I564" s="271" t="n">
        <v>26000</v>
      </c>
      <c r="J564" s="271" t="n"/>
      <c r="K564" s="272" t="n"/>
      <c r="L564" s="272" t="n">
        <v>10200</v>
      </c>
      <c r="M564" s="156" t="n"/>
    </row>
    <row r="565" ht="15" customHeight="1" s="153">
      <c r="A565" s="279" t="n"/>
      <c r="B565" s="267" t="inlineStr">
        <is>
          <t>LOPES Y PLANES 4585</t>
        </is>
      </c>
      <c r="C565" s="268" t="n">
        <v>1</v>
      </c>
      <c r="D565" s="268" t="n"/>
      <c r="E565" s="268" t="n"/>
      <c r="F565" s="269" t="n"/>
      <c r="G565" s="269" t="n"/>
      <c r="H565" s="270" t="n">
        <v>26000</v>
      </c>
      <c r="I565" s="271" t="n"/>
      <c r="J565" s="271" t="n">
        <v>26000</v>
      </c>
      <c r="K565" s="272" t="n"/>
      <c r="L565" s="272" t="n">
        <v>10200</v>
      </c>
      <c r="M565" s="156" t="n"/>
    </row>
    <row r="566" ht="15" customHeight="1" s="153">
      <c r="A566" s="279" t="n"/>
      <c r="B566" s="267" t="inlineStr">
        <is>
          <t>PANA BERUTI</t>
        </is>
      </c>
      <c r="C566" s="268" t="n"/>
      <c r="D566" s="268" t="n"/>
      <c r="E566" s="268" t="n">
        <v>1</v>
      </c>
      <c r="F566" s="269" t="n"/>
      <c r="G566" s="269" t="n"/>
      <c r="H566" s="270" t="n">
        <v>79000</v>
      </c>
      <c r="I566" s="271" t="n"/>
      <c r="J566" s="271" t="n">
        <v>79000</v>
      </c>
      <c r="K566" s="272" t="n"/>
      <c r="L566" s="272" t="n">
        <v>17000</v>
      </c>
      <c r="M566" s="156" t="n"/>
    </row>
    <row r="567" ht="15" customHeight="1" s="153">
      <c r="A567" s="279" t="n"/>
      <c r="B567" s="267" t="inlineStr">
        <is>
          <t>CAREN</t>
        </is>
      </c>
      <c r="C567" s="268" t="n"/>
      <c r="D567" s="268" t="n"/>
      <c r="E567" s="268" t="n">
        <v>1</v>
      </c>
      <c r="F567" s="269" t="n"/>
      <c r="G567" s="269" t="n"/>
      <c r="H567" s="270" t="n">
        <v>85000</v>
      </c>
      <c r="I567" s="271" t="n"/>
      <c r="J567" s="271" t="n">
        <v>85000</v>
      </c>
      <c r="K567" s="272" t="n"/>
      <c r="L567" s="272" t="n">
        <v>23000</v>
      </c>
      <c r="M567" s="156" t="n"/>
    </row>
    <row r="568" ht="15" customHeight="1" s="153">
      <c r="A568" s="279" t="n"/>
      <c r="B568" s="267" t="inlineStr">
        <is>
          <t>EXE</t>
        </is>
      </c>
      <c r="C568" s="268" t="n"/>
      <c r="D568" s="268" t="n"/>
      <c r="E568" s="268" t="n">
        <v>2</v>
      </c>
      <c r="F568" s="269" t="n"/>
      <c r="G568" s="269" t="n"/>
      <c r="H568" s="270" t="n">
        <v>170000</v>
      </c>
      <c r="I568" s="271" t="n"/>
      <c r="J568" s="271" t="n">
        <v>170000</v>
      </c>
      <c r="K568" s="272" t="n"/>
      <c r="L568" s="272" t="n">
        <v>46000</v>
      </c>
      <c r="M568" s="156" t="n"/>
    </row>
    <row r="569" ht="15" customHeight="1" s="153">
      <c r="A569" s="279" t="n"/>
      <c r="B569" s="267" t="inlineStr">
        <is>
          <t>SABOREAR</t>
        </is>
      </c>
      <c r="C569" s="268" t="n">
        <v>1</v>
      </c>
      <c r="D569" s="268" t="n"/>
      <c r="E569" s="268" t="n"/>
      <c r="F569" s="269" t="n"/>
      <c r="G569" s="269" t="n"/>
      <c r="H569" s="270" t="n">
        <v>23500</v>
      </c>
      <c r="I569" s="271" t="n"/>
      <c r="J569" s="271" t="n">
        <v>23500</v>
      </c>
      <c r="K569" s="272" t="n"/>
      <c r="L569" s="272" t="n">
        <v>7700</v>
      </c>
      <c r="M569" s="156" t="n"/>
    </row>
    <row r="570" ht="15" customHeight="1" s="153">
      <c r="A570" s="279" t="n"/>
      <c r="B570" s="267" t="inlineStr">
        <is>
          <t>LOLI</t>
        </is>
      </c>
      <c r="C570" s="268" t="n">
        <v>1</v>
      </c>
      <c r="D570" s="268" t="n"/>
      <c r="E570" s="268" t="n"/>
      <c r="F570" s="269" t="n">
        <v>6</v>
      </c>
      <c r="G570" s="269" t="n"/>
      <c r="H570" s="270" t="n">
        <v>47000</v>
      </c>
      <c r="I570" s="271" t="n">
        <v>47000</v>
      </c>
      <c r="J570" s="271" t="n"/>
      <c r="K570" s="272" t="n"/>
      <c r="L570" s="272" t="n">
        <v>17400</v>
      </c>
      <c r="M570" s="156" t="n"/>
    </row>
    <row r="571" ht="15" customHeight="1" s="153">
      <c r="A571" s="279" t="n"/>
      <c r="B571" s="267" t="inlineStr">
        <is>
          <t>LAVAISE 3786</t>
        </is>
      </c>
      <c r="C571" s="268" t="n">
        <v>1</v>
      </c>
      <c r="D571" s="268" t="n"/>
      <c r="E571" s="268" t="n"/>
      <c r="F571" s="269" t="n"/>
      <c r="G571" s="269" t="n"/>
      <c r="H571" s="270" t="n">
        <v>26000</v>
      </c>
      <c r="I571" s="271" t="n"/>
      <c r="J571" s="271" t="n">
        <v>26000</v>
      </c>
      <c r="K571" s="272" t="n"/>
      <c r="L571" s="272" t="n">
        <v>10200</v>
      </c>
      <c r="M571" s="156" t="n"/>
    </row>
    <row r="572" ht="15" customHeight="1" s="153">
      <c r="A572" s="279" t="n"/>
      <c r="B572" s="267" t="inlineStr">
        <is>
          <t>1 DE MAYO 8361</t>
        </is>
      </c>
      <c r="C572" s="268" t="n">
        <v>1</v>
      </c>
      <c r="D572" s="268" t="n"/>
      <c r="E572" s="268" t="n"/>
      <c r="F572" s="269" t="n"/>
      <c r="G572" s="269" t="n"/>
      <c r="H572" s="270" t="n">
        <v>26000</v>
      </c>
      <c r="I572" s="271" t="n">
        <v>26000</v>
      </c>
      <c r="J572" s="271" t="n"/>
      <c r="K572" s="272" t="n"/>
      <c r="L572" s="272" t="n">
        <v>10200</v>
      </c>
      <c r="M572" s="156" t="n"/>
    </row>
    <row r="573" ht="15" customHeight="1" s="153">
      <c r="A573" s="279" t="n">
        <v>46170</v>
      </c>
      <c r="B573" s="267" t="inlineStr">
        <is>
          <t>9 DE JULIO 3666</t>
        </is>
      </c>
      <c r="C573" s="268" t="n">
        <v>1</v>
      </c>
      <c r="D573" s="268" t="n"/>
      <c r="E573" s="268" t="n"/>
      <c r="F573" s="269" t="n"/>
      <c r="G573" s="269" t="n"/>
      <c r="H573" s="270" t="n">
        <v>26000</v>
      </c>
      <c r="I573" s="271" t="n">
        <v>26000</v>
      </c>
      <c r="J573" s="271" t="n"/>
      <c r="K573" s="272" t="n"/>
      <c r="L573" s="272" t="n">
        <v>10200</v>
      </c>
      <c r="M573" s="156" t="n"/>
    </row>
    <row r="574" ht="15" customHeight="1" s="153">
      <c r="A574" s="279" t="n"/>
      <c r="B574" s="267" t="inlineStr">
        <is>
          <t>OTNIEL</t>
        </is>
      </c>
      <c r="C574" s="268" t="n"/>
      <c r="D574" s="268" t="n"/>
      <c r="E574" s="268" t="n">
        <v>2</v>
      </c>
      <c r="F574" s="269" t="n"/>
      <c r="G574" s="269" t="n"/>
      <c r="H574" s="270" t="n">
        <v>168000</v>
      </c>
      <c r="I574" s="271" t="n">
        <v>168000</v>
      </c>
      <c r="J574" s="271" t="n"/>
      <c r="K574" s="272" t="n"/>
      <c r="L574" s="272" t="n">
        <v>44000</v>
      </c>
      <c r="M574" s="156" t="n"/>
    </row>
    <row r="575" ht="15" customHeight="1" s="153">
      <c r="A575" s="279" t="n"/>
      <c r="B575" s="267" t="inlineStr">
        <is>
          <t>PANA VIEYTES GISELA</t>
        </is>
      </c>
      <c r="C575" s="268" t="n">
        <v>1</v>
      </c>
      <c r="D575" s="268" t="n"/>
      <c r="E575" s="268" t="n"/>
      <c r="F575" s="269" t="n"/>
      <c r="G575" s="269" t="n"/>
      <c r="H575" s="270" t="n">
        <v>24000</v>
      </c>
      <c r="I575" s="271" t="n"/>
      <c r="J575" s="271" t="n">
        <v>24000</v>
      </c>
      <c r="K575" s="272" t="n"/>
      <c r="L575" s="272" t="n">
        <v>8200</v>
      </c>
      <c r="M575" s="156" t="n"/>
    </row>
    <row r="576" ht="15" customHeight="1" s="153">
      <c r="A576" s="279" t="n"/>
      <c r="B576" s="267" t="inlineStr">
        <is>
          <t>LUCHO</t>
        </is>
      </c>
      <c r="C576" s="268" t="n">
        <v>3</v>
      </c>
      <c r="D576" s="268" t="n"/>
      <c r="E576" s="268" t="n"/>
      <c r="F576" s="269" t="n"/>
      <c r="G576" s="269" t="n"/>
      <c r="H576" s="270" t="n">
        <v>60000</v>
      </c>
      <c r="I576" s="271" t="n">
        <v>60000</v>
      </c>
      <c r="J576" s="271" t="n"/>
      <c r="K576" s="272" t="n"/>
      <c r="L576" s="272" t="n">
        <v>12600</v>
      </c>
      <c r="M576" s="156" t="n"/>
    </row>
    <row r="577" ht="15" customHeight="1" s="153">
      <c r="A577" s="279" t="n"/>
      <c r="B577" s="267" t="inlineStr">
        <is>
          <t>IRMA</t>
        </is>
      </c>
      <c r="C577" s="268" t="n">
        <v>1</v>
      </c>
      <c r="D577" s="268" t="n"/>
      <c r="E577" s="268" t="n"/>
      <c r="F577" s="269" t="n"/>
      <c r="G577" s="269" t="n"/>
      <c r="H577" s="270" t="n">
        <v>27000</v>
      </c>
      <c r="I577" s="271" t="n">
        <v>27000</v>
      </c>
      <c r="J577" s="271" t="n"/>
      <c r="K577" s="272" t="n"/>
      <c r="L577" s="272" t="n">
        <v>11200</v>
      </c>
      <c r="M577" s="156" t="n"/>
    </row>
    <row r="578" ht="15" customHeight="1" s="153">
      <c r="A578" s="279" t="n"/>
      <c r="B578" s="267" t="inlineStr">
        <is>
          <t>VIANDAS JORGE</t>
        </is>
      </c>
      <c r="C578" s="268" t="n">
        <v>1</v>
      </c>
      <c r="D578" s="268" t="n"/>
      <c r="E578" s="268" t="n"/>
      <c r="F578" s="269" t="n"/>
      <c r="G578" s="269" t="n"/>
      <c r="H578" s="270" t="n">
        <v>23000</v>
      </c>
      <c r="I578" s="271" t="n">
        <v>23000</v>
      </c>
      <c r="J578" s="271" t="n"/>
      <c r="K578" s="272" t="n"/>
      <c r="L578" s="272" t="n">
        <v>7200</v>
      </c>
      <c r="M578" s="156" t="n"/>
    </row>
    <row r="579" ht="15" customHeight="1" s="153">
      <c r="A579" s="279" t="n"/>
      <c r="B579" s="267" t="inlineStr">
        <is>
          <t>PANA ALBERTI</t>
        </is>
      </c>
      <c r="C579" s="268" t="n"/>
      <c r="D579" s="268" t="n"/>
      <c r="E579" s="268" t="n">
        <v>1</v>
      </c>
      <c r="F579" s="269" t="n"/>
      <c r="G579" s="269" t="n"/>
      <c r="H579" s="270" t="n">
        <v>85000</v>
      </c>
      <c r="I579" s="271" t="n">
        <v>85000</v>
      </c>
      <c r="J579" s="271" t="n"/>
      <c r="K579" s="272" t="n"/>
      <c r="L579" s="272" t="n">
        <v>23000</v>
      </c>
      <c r="M579" s="156" t="n"/>
    </row>
    <row r="580" ht="15" customHeight="1" s="153">
      <c r="A580" s="279" t="n"/>
      <c r="B580" s="267" t="inlineStr">
        <is>
          <t>CHICLANA 7325</t>
        </is>
      </c>
      <c r="C580" s="268" t="n">
        <v>1</v>
      </c>
      <c r="D580" s="268" t="n"/>
      <c r="E580" s="268" t="n"/>
      <c r="F580" s="269" t="n"/>
      <c r="G580" s="269" t="n"/>
      <c r="H580" s="270" t="n">
        <v>20000</v>
      </c>
      <c r="I580" s="271" t="n"/>
      <c r="J580" s="271" t="n">
        <v>20000</v>
      </c>
      <c r="K580" s="272" t="n"/>
      <c r="L580" s="272" t="n">
        <v>4200</v>
      </c>
      <c r="M580" s="156" t="n"/>
    </row>
    <row r="581" ht="15" customHeight="1" s="153">
      <c r="A581" s="279" t="n"/>
      <c r="B581" s="267" t="inlineStr">
        <is>
          <t>PABLO FIGUEROA</t>
        </is>
      </c>
      <c r="C581" s="268" t="n">
        <v>1</v>
      </c>
      <c r="D581" s="268" t="n"/>
      <c r="E581" s="268" t="n"/>
      <c r="F581" s="269" t="n"/>
      <c r="G581" s="269" t="n"/>
      <c r="H581" s="270" t="n">
        <v>27000</v>
      </c>
      <c r="I581" s="271" t="n"/>
      <c r="J581" s="271" t="n">
        <v>27000</v>
      </c>
      <c r="K581" s="272" t="n"/>
      <c r="L581" s="272" t="n">
        <v>11200</v>
      </c>
      <c r="M581" s="156" t="n"/>
    </row>
    <row r="582" ht="15" customHeight="1" s="153">
      <c r="A582" s="279" t="n"/>
      <c r="B582" s="267" t="inlineStr">
        <is>
          <t>VIEYTES 4361</t>
        </is>
      </c>
      <c r="C582" s="268" t="n">
        <v>1</v>
      </c>
      <c r="D582" s="268" t="n"/>
      <c r="E582" s="268" t="n"/>
      <c r="F582" s="269" t="n"/>
      <c r="G582" s="269" t="n"/>
      <c r="H582" s="270" t="n">
        <v>26000</v>
      </c>
      <c r="I582" s="271" t="n">
        <v>26000</v>
      </c>
      <c r="J582" s="271" t="n"/>
      <c r="K582" s="272" t="n"/>
      <c r="L582" s="272" t="n">
        <v>10200</v>
      </c>
      <c r="M582" s="156" t="n"/>
    </row>
    <row r="583" ht="15" customHeight="1" s="153">
      <c r="A583" s="279" t="n"/>
      <c r="B583" s="267" t="inlineStr">
        <is>
          <t>LO DE NICO</t>
        </is>
      </c>
      <c r="C583" s="268" t="n">
        <v>4</v>
      </c>
      <c r="D583" s="268" t="n"/>
      <c r="E583" s="268" t="n"/>
      <c r="F583" s="269" t="n"/>
      <c r="G583" s="269" t="n"/>
      <c r="H583" s="270" t="n">
        <v>82000</v>
      </c>
      <c r="I583" s="271" t="n"/>
      <c r="J583" s="271" t="n">
        <v>82000</v>
      </c>
      <c r="K583" s="272" t="n"/>
      <c r="L583" s="272" t="n">
        <v>18800</v>
      </c>
      <c r="M583" s="156" t="n"/>
    </row>
    <row r="584" ht="15" customHeight="1" s="153">
      <c r="A584" s="279" t="n"/>
      <c r="B584" s="267" t="inlineStr">
        <is>
          <t>SERBANDO BAYO 6782</t>
        </is>
      </c>
      <c r="C584" s="268" t="n"/>
      <c r="D584" s="268" t="n"/>
      <c r="E584" s="268" t="n">
        <v>1</v>
      </c>
      <c r="F584" s="269" t="n"/>
      <c r="G584" s="269" t="n"/>
      <c r="H584" s="270" t="n">
        <v>91000</v>
      </c>
      <c r="I584" s="271" t="n">
        <v>91000</v>
      </c>
      <c r="J584" s="271" t="n"/>
      <c r="K584" s="272" t="n"/>
      <c r="L584" s="272" t="n">
        <v>29000</v>
      </c>
      <c r="M584" s="156" t="n"/>
    </row>
    <row r="585" ht="15" customHeight="1" s="153">
      <c r="A585" s="279" t="n"/>
      <c r="B585" s="267" t="inlineStr">
        <is>
          <t>DANA</t>
        </is>
      </c>
      <c r="C585" s="268" t="n">
        <v>2</v>
      </c>
      <c r="D585" s="268" t="n"/>
      <c r="E585" s="268" t="n"/>
      <c r="F585" s="269" t="n"/>
      <c r="G585" s="269" t="n"/>
      <c r="H585" s="270" t="n">
        <v>40000</v>
      </c>
      <c r="I585" s="271" t="n"/>
      <c r="J585" s="271" t="n">
        <v>40000</v>
      </c>
      <c r="K585" s="272" t="n"/>
      <c r="L585" s="272" t="n">
        <v>8400</v>
      </c>
      <c r="M585" s="156" t="n"/>
    </row>
    <row r="586" ht="15" customHeight="1" s="153">
      <c r="A586" s="279" t="n"/>
      <c r="B586" s="267" t="inlineStr">
        <is>
          <t>ITURRASPE 962</t>
        </is>
      </c>
      <c r="C586" s="268" t="n">
        <v>1</v>
      </c>
      <c r="D586" s="268" t="n"/>
      <c r="E586" s="268" t="n"/>
      <c r="F586" s="269" t="n"/>
      <c r="G586" s="269" t="n"/>
      <c r="H586" s="270" t="n">
        <v>26000</v>
      </c>
      <c r="I586" s="271" t="n">
        <v>26000</v>
      </c>
      <c r="J586" s="271" t="n"/>
      <c r="K586" s="272" t="n"/>
      <c r="L586" s="272" t="n">
        <v>10200</v>
      </c>
      <c r="M586" s="156" t="n"/>
    </row>
    <row r="587" ht="15" customHeight="1" s="153">
      <c r="A587" s="279" t="n"/>
      <c r="B587" s="267" t="inlineStr">
        <is>
          <t>JJ VALLE 5521</t>
        </is>
      </c>
      <c r="C587" s="268" t="n"/>
      <c r="D587" s="268" t="n">
        <v>1</v>
      </c>
      <c r="E587" s="268" t="n"/>
      <c r="F587" s="269" t="n"/>
      <c r="G587" s="269" t="n"/>
      <c r="H587" s="270" t="n">
        <v>34500</v>
      </c>
      <c r="I587" s="271" t="n"/>
      <c r="J587" s="271" t="n">
        <v>34500</v>
      </c>
      <c r="K587" s="272" t="n"/>
      <c r="L587" s="272" t="n">
        <v>10800</v>
      </c>
      <c r="M587" s="156" t="n"/>
    </row>
    <row r="588" ht="15" customHeight="1" s="153">
      <c r="A588" s="279" t="n"/>
      <c r="B588" s="267" t="inlineStr">
        <is>
          <t>CASTELLI 2312</t>
        </is>
      </c>
      <c r="C588" s="268" t="n"/>
      <c r="D588" s="268" t="n">
        <v>1</v>
      </c>
      <c r="E588" s="268" t="n"/>
      <c r="F588" s="269" t="n"/>
      <c r="G588" s="269" t="n"/>
      <c r="H588" s="270" t="n">
        <v>38500</v>
      </c>
      <c r="I588" s="271" t="n">
        <v>38500</v>
      </c>
      <c r="J588" s="271" t="n"/>
      <c r="K588" s="272" t="n"/>
      <c r="L588" s="272" t="n">
        <v>14800</v>
      </c>
      <c r="M588" s="156" t="n"/>
    </row>
    <row r="589" ht="15" customHeight="1" s="153">
      <c r="A589" s="279" t="n"/>
      <c r="B589" s="267" t="inlineStr">
        <is>
          <t>ALBERTI 5251</t>
        </is>
      </c>
      <c r="C589" s="268" t="n">
        <v>2</v>
      </c>
      <c r="D589" s="268" t="n"/>
      <c r="E589" s="268" t="n"/>
      <c r="F589" s="269" t="n"/>
      <c r="G589" s="269" t="n"/>
      <c r="H589" s="270" t="n">
        <v>50000</v>
      </c>
      <c r="I589" s="271" t="n">
        <v>50000</v>
      </c>
      <c r="J589" s="271" t="n"/>
      <c r="K589" s="272" t="n"/>
      <c r="L589" s="272" t="n">
        <v>18400</v>
      </c>
      <c r="M589" s="156" t="n"/>
    </row>
    <row r="590" ht="15" customHeight="1" s="153">
      <c r="A590" s="279" t="n"/>
      <c r="B590" s="267" t="inlineStr">
        <is>
          <t>FILOMENA</t>
        </is>
      </c>
      <c r="C590" s="268" t="n">
        <v>2</v>
      </c>
      <c r="D590" s="268" t="n"/>
      <c r="E590" s="268" t="n"/>
      <c r="F590" s="269" t="n"/>
      <c r="G590" s="269" t="n"/>
      <c r="H590" s="270" t="n">
        <v>49000</v>
      </c>
      <c r="I590" s="271" t="n"/>
      <c r="J590" s="271" t="n">
        <v>49000</v>
      </c>
      <c r="K590" s="272" t="n"/>
      <c r="L590" s="272" t="n">
        <v>17400</v>
      </c>
      <c r="M590" s="156" t="n"/>
    </row>
    <row r="591" ht="15" customHeight="1" s="153">
      <c r="A591" s="279" t="n"/>
      <c r="B591" s="267" t="inlineStr">
        <is>
          <t>PANA VIEYTES 4500</t>
        </is>
      </c>
      <c r="C591" s="268" t="n"/>
      <c r="D591" s="268" t="n"/>
      <c r="E591" s="268" t="n">
        <v>1</v>
      </c>
      <c r="F591" s="269" t="n"/>
      <c r="G591" s="269" t="n"/>
      <c r="H591" s="270" t="n">
        <v>81000</v>
      </c>
      <c r="I591" s="271" t="n"/>
      <c r="J591" s="271" t="n">
        <v>81000</v>
      </c>
      <c r="K591" s="272" t="n"/>
      <c r="L591" s="272" t="n">
        <v>19000</v>
      </c>
      <c r="M591" s="156" t="n"/>
    </row>
    <row r="592" ht="15" customHeight="1" s="153">
      <c r="A592" s="279" t="n"/>
      <c r="B592" s="267" t="inlineStr">
        <is>
          <t>PUBLICO 2527</t>
        </is>
      </c>
      <c r="C592" s="268" t="n">
        <v>1</v>
      </c>
      <c r="D592" s="268" t="n">
        <v>1</v>
      </c>
      <c r="E592" s="268" t="n"/>
      <c r="F592" s="269" t="n"/>
      <c r="G592" s="269" t="n"/>
      <c r="H592" s="270" t="n">
        <v>68000</v>
      </c>
      <c r="I592" s="271" t="n"/>
      <c r="J592" s="271" t="n">
        <v>68000</v>
      </c>
      <c r="K592" s="272" t="n"/>
      <c r="L592" s="272" t="n">
        <v>28500</v>
      </c>
      <c r="M592" s="156" t="n"/>
    </row>
    <row r="593" ht="15" customHeight="1" s="153">
      <c r="A593" s="279" t="n"/>
      <c r="B593" s="267" t="inlineStr">
        <is>
          <t>GABOTO 8168</t>
        </is>
      </c>
      <c r="C593" s="268" t="n"/>
      <c r="D593" s="268" t="n"/>
      <c r="E593" s="268" t="n">
        <v>1</v>
      </c>
      <c r="F593" s="269" t="n"/>
      <c r="G593" s="269" t="n"/>
      <c r="H593" s="270" t="n">
        <v>92000</v>
      </c>
      <c r="I593" s="271" t="n"/>
      <c r="J593" s="271" t="n">
        <v>92000</v>
      </c>
      <c r="K593" s="272" t="n"/>
      <c r="L593" s="272" t="n">
        <v>30000</v>
      </c>
      <c r="M593" s="156" t="n"/>
    </row>
    <row r="594" ht="15" customHeight="1" s="153">
      <c r="A594" s="279" t="n"/>
      <c r="B594" s="267" t="inlineStr">
        <is>
          <t>ROTI AGUADO</t>
        </is>
      </c>
      <c r="C594" s="268" t="n">
        <v>1</v>
      </c>
      <c r="D594" s="268" t="n">
        <v>1</v>
      </c>
      <c r="E594" s="268" t="n"/>
      <c r="F594" s="269" t="n"/>
      <c r="G594" s="269" t="n"/>
      <c r="H594" s="270" t="n">
        <v>61000</v>
      </c>
      <c r="I594" s="271" t="n"/>
      <c r="J594" s="271" t="n">
        <v>61000</v>
      </c>
      <c r="K594" s="272" t="n"/>
      <c r="L594" s="272" t="n">
        <v>21500</v>
      </c>
      <c r="M594" s="156" t="n"/>
    </row>
    <row r="595" ht="15" customHeight="1" s="153">
      <c r="A595" s="279" t="n">
        <v>46171</v>
      </c>
      <c r="B595" s="267" t="inlineStr">
        <is>
          <t>LUCHO</t>
        </is>
      </c>
      <c r="C595" s="268" t="n">
        <v>2</v>
      </c>
      <c r="D595" s="268" t="n"/>
      <c r="E595" s="268" t="n"/>
      <c r="F595" s="269" t="n"/>
      <c r="G595" s="269" t="n"/>
      <c r="H595" s="270" t="n">
        <v>40000</v>
      </c>
      <c r="I595" s="271" t="n">
        <v>40000</v>
      </c>
      <c r="J595" s="271" t="n"/>
      <c r="K595" s="272" t="n"/>
      <c r="L595" s="272" t="n">
        <v>8400</v>
      </c>
      <c r="M595" s="156" t="n"/>
    </row>
    <row r="596" ht="15" customHeight="1" s="153">
      <c r="A596" s="279" t="n"/>
      <c r="B596" s="267" t="inlineStr">
        <is>
          <t>ASCUÉNAGA 5023</t>
        </is>
      </c>
      <c r="C596" s="268" t="n">
        <v>4</v>
      </c>
      <c r="D596" s="268" t="n">
        <v>2</v>
      </c>
      <c r="E596" s="268" t="n"/>
      <c r="F596" s="269" t="n"/>
      <c r="G596" s="269" t="n"/>
      <c r="H596" s="270" t="n">
        <v>143000</v>
      </c>
      <c r="I596" s="271" t="n"/>
      <c r="J596" s="271" t="n">
        <v>143000</v>
      </c>
      <c r="K596" s="272" t="n"/>
      <c r="L596" s="272" t="n">
        <v>32400</v>
      </c>
      <c r="M596" s="156" t="n"/>
    </row>
    <row r="597" ht="15" customHeight="1" s="153">
      <c r="A597" s="279" t="n"/>
      <c r="B597" s="267" t="inlineStr">
        <is>
          <t>LOBOS</t>
        </is>
      </c>
      <c r="C597" s="268" t="n">
        <v>4</v>
      </c>
      <c r="D597" s="268" t="n">
        <v>2</v>
      </c>
      <c r="E597" s="268" t="n"/>
      <c r="F597" s="269" t="n"/>
      <c r="G597" s="269" t="n"/>
      <c r="H597" s="270" t="n">
        <v>173000</v>
      </c>
      <c r="I597" s="271" t="n">
        <v>173000</v>
      </c>
      <c r="J597" s="271" t="n"/>
      <c r="K597" s="272" t="n"/>
      <c r="L597" s="272" t="n">
        <v>62400</v>
      </c>
      <c r="M597" s="156" t="n"/>
    </row>
    <row r="598" ht="15" customHeight="1" s="153">
      <c r="A598" s="279" t="n"/>
      <c r="B598" s="267" t="inlineStr">
        <is>
          <t>DANI PAPÁ DE BRUNO</t>
        </is>
      </c>
      <c r="C598" s="268" t="n"/>
      <c r="D598" s="268" t="n">
        <v>1</v>
      </c>
      <c r="E598" s="268" t="n"/>
      <c r="F598" s="269" t="n"/>
      <c r="G598" s="269" t="n"/>
      <c r="H598" s="270" t="n">
        <v>37500</v>
      </c>
      <c r="I598" s="271" t="n"/>
      <c r="J598" s="271" t="n">
        <v>37500</v>
      </c>
      <c r="K598" s="272" t="n"/>
      <c r="L598" s="272" t="n">
        <v>13800</v>
      </c>
      <c r="M598" s="156" t="n"/>
    </row>
    <row r="599" ht="15" customHeight="1" s="153">
      <c r="A599" s="279" t="n"/>
      <c r="B599" s="267" t="inlineStr">
        <is>
          <t>9 DE JULIO 6933</t>
        </is>
      </c>
      <c r="C599" s="268" t="n">
        <v>1</v>
      </c>
      <c r="D599" s="268" t="n"/>
      <c r="E599" s="268" t="n"/>
      <c r="F599" s="269" t="n"/>
      <c r="G599" s="269" t="n"/>
      <c r="H599" s="270" t="n">
        <v>26500</v>
      </c>
      <c r="I599" s="271" t="n"/>
      <c r="J599" s="271" t="n">
        <v>26500</v>
      </c>
      <c r="K599" s="272" t="n"/>
      <c r="L599" s="272" t="n">
        <v>10700</v>
      </c>
      <c r="M599" s="156" t="n"/>
    </row>
    <row r="600" ht="15" customHeight="1" s="153">
      <c r="A600" s="279" t="n"/>
      <c r="B600" s="267" t="inlineStr">
        <is>
          <t>M POLONIA 2819</t>
        </is>
      </c>
      <c r="C600" s="268" t="n">
        <v>1</v>
      </c>
      <c r="D600" s="268" t="n"/>
      <c r="E600" s="268" t="n"/>
      <c r="F600" s="269" t="n"/>
      <c r="G600" s="269" t="n"/>
      <c r="H600" s="270" t="n">
        <v>27000</v>
      </c>
      <c r="I600" s="271" t="n"/>
      <c r="J600" s="271" t="n">
        <v>27000</v>
      </c>
      <c r="K600" s="272" t="n"/>
      <c r="L600" s="272" t="n">
        <v>11200</v>
      </c>
      <c r="M600" s="156" t="n"/>
    </row>
    <row r="601" ht="15" customHeight="1" s="153">
      <c r="A601" s="279" t="n"/>
      <c r="B601" s="267" t="inlineStr">
        <is>
          <t>9 DE JULIO 2833</t>
        </is>
      </c>
      <c r="C601" s="268" t="n">
        <v>1</v>
      </c>
      <c r="D601" s="268" t="n"/>
      <c r="E601" s="268" t="n"/>
      <c r="F601" s="269" t="n"/>
      <c r="G601" s="269" t="n"/>
      <c r="H601" s="270" t="n">
        <v>125000</v>
      </c>
      <c r="I601" s="271" t="n"/>
      <c r="J601" s="271" t="n">
        <v>125000</v>
      </c>
      <c r="K601" s="272" t="n">
        <v>34000</v>
      </c>
      <c r="L601" s="272" t="n">
        <v>44200</v>
      </c>
      <c r="M601" s="156" t="n"/>
    </row>
    <row r="602" ht="15" customHeight="1" s="153">
      <c r="A602" s="279" t="n"/>
      <c r="B602" s="267" t="inlineStr">
        <is>
          <t>EMIR SIMÓN</t>
        </is>
      </c>
      <c r="C602" s="268" t="n"/>
      <c r="D602" s="268" t="n"/>
      <c r="E602" s="268" t="n">
        <v>1</v>
      </c>
      <c r="F602" s="269" t="n"/>
      <c r="G602" s="269" t="n"/>
      <c r="H602" s="270" t="n">
        <v>96000</v>
      </c>
      <c r="I602" s="271" t="n"/>
      <c r="J602" s="271" t="n">
        <v>96000</v>
      </c>
      <c r="K602" s="272" t="n"/>
      <c r="L602" s="272" t="n">
        <v>34000</v>
      </c>
      <c r="M602" s="156" t="n"/>
    </row>
    <row r="603" ht="15" customHeight="1" s="153">
      <c r="A603" s="279" t="n"/>
      <c r="B603" s="267" t="inlineStr">
        <is>
          <t>LARGUIA 7142</t>
        </is>
      </c>
      <c r="C603" s="268" t="n">
        <v>1</v>
      </c>
      <c r="D603" s="268" t="n"/>
      <c r="E603" s="268" t="n"/>
      <c r="F603" s="269" t="n"/>
      <c r="G603" s="269" t="n"/>
      <c r="H603" s="270" t="n">
        <v>27000</v>
      </c>
      <c r="I603" s="271" t="n"/>
      <c r="J603" s="271" t="n">
        <v>27000</v>
      </c>
      <c r="K603" s="272" t="n"/>
      <c r="L603" s="272" t="n">
        <v>11200</v>
      </c>
      <c r="M603" s="156" t="n"/>
    </row>
    <row r="604" ht="15" customHeight="1" s="153">
      <c r="A604" s="279" t="n"/>
      <c r="B604" s="267" t="inlineStr">
        <is>
          <t>PICHY</t>
        </is>
      </c>
      <c r="C604" s="268" t="n">
        <v>1</v>
      </c>
      <c r="D604" s="268" t="n"/>
      <c r="E604" s="268" t="n"/>
      <c r="F604" s="269" t="n"/>
      <c r="G604" s="269" t="n"/>
      <c r="H604" s="270" t="n">
        <v>25000</v>
      </c>
      <c r="I604" s="271" t="n"/>
      <c r="J604" s="271" t="n">
        <v>25000</v>
      </c>
      <c r="K604" s="272" t="n"/>
      <c r="L604" s="272" t="n">
        <v>9200</v>
      </c>
      <c r="M604" s="156" t="n"/>
    </row>
    <row r="605" ht="15" customHeight="1" s="153">
      <c r="A605" s="279" t="n"/>
      <c r="B605" s="267" t="inlineStr">
        <is>
          <t>PUBLICO 8150</t>
        </is>
      </c>
      <c r="C605" s="268" t="n"/>
      <c r="D605" s="268" t="n">
        <v>1</v>
      </c>
      <c r="E605" s="268" t="n"/>
      <c r="F605" s="269" t="n"/>
      <c r="G605" s="269" t="n"/>
      <c r="H605" s="270" t="n">
        <v>42500</v>
      </c>
      <c r="I605" s="271" t="n"/>
      <c r="J605" s="271" t="n">
        <v>42500</v>
      </c>
      <c r="K605" s="272" t="n"/>
      <c r="L605" s="272" t="n">
        <v>18800</v>
      </c>
      <c r="M605" s="156" t="n"/>
    </row>
    <row r="606" ht="15" customHeight="1" s="153">
      <c r="A606" s="279" t="n"/>
      <c r="B606" s="267" t="inlineStr">
        <is>
          <t>LA CUEVA</t>
        </is>
      </c>
      <c r="C606" s="268" t="n">
        <v>1</v>
      </c>
      <c r="D606" s="268" t="n"/>
      <c r="E606" s="268" t="n"/>
      <c r="F606" s="269" t="n"/>
      <c r="G606" s="269" t="n"/>
      <c r="H606" s="270" t="n">
        <v>23500</v>
      </c>
      <c r="I606" s="271" t="n">
        <v>23500</v>
      </c>
      <c r="J606" s="271" t="n"/>
      <c r="K606" s="272" t="n"/>
      <c r="L606" s="272" t="n">
        <v>7700</v>
      </c>
      <c r="M606" s="156" t="n"/>
    </row>
    <row r="607" ht="15" customHeight="1" s="153">
      <c r="A607" s="279" t="n"/>
      <c r="B607" s="267" t="inlineStr">
        <is>
          <t>SABOREAR</t>
        </is>
      </c>
      <c r="C607" s="268" t="n">
        <v>1</v>
      </c>
      <c r="D607" s="268" t="n"/>
      <c r="E607" s="268" t="n"/>
      <c r="F607" s="269" t="n"/>
      <c r="G607" s="269" t="n"/>
      <c r="H607" s="270" t="n">
        <v>23500</v>
      </c>
      <c r="I607" s="271" t="n"/>
      <c r="J607" s="271" t="n">
        <v>23500</v>
      </c>
      <c r="K607" s="272" t="n"/>
      <c r="L607" s="272" t="n">
        <v>7700</v>
      </c>
      <c r="M607" s="156" t="n"/>
    </row>
    <row r="608" ht="15" customHeight="1" s="153">
      <c r="A608" s="279" t="n"/>
      <c r="B608" s="267" t="inlineStr">
        <is>
          <t>BRASERIA</t>
        </is>
      </c>
      <c r="C608" s="268" t="n"/>
      <c r="D608" s="268" t="n"/>
      <c r="E608" s="268" t="n">
        <v>1</v>
      </c>
      <c r="F608" s="269" t="n"/>
      <c r="G608" s="269" t="n"/>
      <c r="H608" s="270" t="n">
        <v>94000</v>
      </c>
      <c r="I608" s="271" t="n"/>
      <c r="J608" s="271" t="n">
        <v>94000</v>
      </c>
      <c r="K608" s="272" t="n"/>
      <c r="L608" s="272" t="n">
        <v>32000</v>
      </c>
      <c r="M608" s="156" t="n"/>
    </row>
    <row r="609" ht="15" customHeight="1" s="153">
      <c r="A609" s="279" t="n"/>
      <c r="B609" s="267" t="inlineStr">
        <is>
          <t>BRANDON IRIGOYEN 6854</t>
        </is>
      </c>
      <c r="C609" s="268" t="n">
        <v>1</v>
      </c>
      <c r="D609" s="268" t="n"/>
      <c r="E609" s="268" t="n"/>
      <c r="F609" s="269" t="n"/>
      <c r="G609" s="269" t="n"/>
      <c r="H609" s="270" t="n">
        <v>26000</v>
      </c>
      <c r="I609" s="271" t="n">
        <v>26000</v>
      </c>
      <c r="J609" s="271" t="n"/>
      <c r="K609" s="272" t="n"/>
      <c r="L609" s="272" t="n">
        <v>10200</v>
      </c>
      <c r="M609" s="156" t="n"/>
    </row>
    <row r="610" ht="15" customHeight="1" s="153">
      <c r="A610" s="279" t="n">
        <v>46172</v>
      </c>
      <c r="B610" s="267" t="inlineStr">
        <is>
          <t>VIANDAS JORGE</t>
        </is>
      </c>
      <c r="C610" s="268" t="n">
        <v>1</v>
      </c>
      <c r="D610" s="268" t="n"/>
      <c r="E610" s="268" t="n"/>
      <c r="F610" s="269" t="n"/>
      <c r="G610" s="269" t="n"/>
      <c r="H610" s="270" t="n">
        <v>25000</v>
      </c>
      <c r="I610" s="271" t="n">
        <v>25000</v>
      </c>
      <c r="J610" s="271" t="n"/>
      <c r="K610" s="272" t="n"/>
      <c r="L610" s="272" t="n">
        <v>9200</v>
      </c>
      <c r="M610" s="156" t="n"/>
    </row>
    <row r="611" ht="15" customHeight="1" s="153">
      <c r="A611" s="279" t="n"/>
      <c r="B611" s="267" t="inlineStr">
        <is>
          <t>PEDRO DE VEGA 3755</t>
        </is>
      </c>
      <c r="C611" s="268" t="n">
        <v>1</v>
      </c>
      <c r="D611" s="268" t="n"/>
      <c r="E611" s="268" t="n"/>
      <c r="F611" s="269" t="n"/>
      <c r="G611" s="269" t="n"/>
      <c r="H611" s="270" t="n">
        <v>25000</v>
      </c>
      <c r="I611" s="271" t="n"/>
      <c r="J611" s="271" t="n">
        <v>25000</v>
      </c>
      <c r="K611" s="272" t="n"/>
      <c r="L611" s="272" t="n">
        <v>9200</v>
      </c>
      <c r="M611" s="156" t="n"/>
    </row>
    <row r="612" ht="15" customHeight="1" s="153">
      <c r="A612" s="279" t="n"/>
      <c r="B612" s="267" t="inlineStr">
        <is>
          <t>PEDRONI 6521</t>
        </is>
      </c>
      <c r="C612" s="268" t="n">
        <v>2</v>
      </c>
      <c r="D612" s="268" t="n"/>
      <c r="E612" s="268" t="n"/>
      <c r="F612" s="269" t="n"/>
      <c r="G612" s="269" t="n"/>
      <c r="H612" s="270" t="n">
        <v>40000</v>
      </c>
      <c r="I612" s="271" t="n">
        <v>40000</v>
      </c>
      <c r="J612" s="271" t="n"/>
      <c r="K612" s="272" t="n"/>
      <c r="L612" s="272" t="n">
        <v>8400</v>
      </c>
      <c r="M612" s="156" t="n"/>
    </row>
    <row r="613" ht="15" customHeight="1" s="153">
      <c r="A613" s="279" t="n"/>
      <c r="B613" s="267" t="inlineStr">
        <is>
          <t>PAULO</t>
        </is>
      </c>
      <c r="C613" s="268" t="n">
        <v>2</v>
      </c>
      <c r="D613" s="268" t="n"/>
      <c r="E613" s="268" t="n"/>
      <c r="F613" s="269" t="n"/>
      <c r="G613" s="269" t="n"/>
      <c r="H613" s="270" t="n">
        <v>40000</v>
      </c>
      <c r="I613" s="271" t="n">
        <v>40000</v>
      </c>
      <c r="J613" s="271" t="n"/>
      <c r="K613" s="272" t="n"/>
      <c r="L613" s="272" t="n">
        <v>8400</v>
      </c>
      <c r="M613" s="156" t="n"/>
    </row>
    <row r="614" ht="15" customHeight="1" s="153">
      <c r="A614" s="279" t="n"/>
      <c r="B614" s="267" t="inlineStr">
        <is>
          <t>VIEYTES 4333</t>
        </is>
      </c>
      <c r="C614" s="268" t="n">
        <v>2</v>
      </c>
      <c r="D614" s="268" t="n"/>
      <c r="E614" s="268" t="n"/>
      <c r="F614" s="269" t="n"/>
      <c r="G614" s="269" t="n"/>
      <c r="H614" s="270" t="n">
        <v>51000</v>
      </c>
      <c r="I614" s="271" t="n">
        <v>51000</v>
      </c>
      <c r="J614" s="271" t="n"/>
      <c r="K614" s="272" t="n"/>
      <c r="L614" s="272" t="n">
        <v>19400</v>
      </c>
      <c r="M614" s="156" t="n"/>
    </row>
    <row r="615" ht="15" customHeight="1" s="153">
      <c r="A615" s="279" t="n"/>
      <c r="B615" s="267" t="inlineStr">
        <is>
          <t>AZOPARDO Y PRIMER PASAJE</t>
        </is>
      </c>
      <c r="C615" s="268" t="n"/>
      <c r="D615" s="268" t="n">
        <v>1</v>
      </c>
      <c r="E615" s="268" t="n"/>
      <c r="F615" s="269" t="n"/>
      <c r="G615" s="269" t="n"/>
      <c r="H615" s="270" t="n">
        <v>41500</v>
      </c>
      <c r="I615" s="271" t="n"/>
      <c r="J615" s="271" t="n">
        <v>41500</v>
      </c>
      <c r="K615" s="272" t="n"/>
      <c r="L615" s="272" t="n">
        <v>17800</v>
      </c>
      <c r="M615" s="156" t="n"/>
    </row>
    <row r="616" ht="15" customHeight="1" s="153">
      <c r="A616" s="279" t="n"/>
      <c r="B616" s="267" t="inlineStr">
        <is>
          <t>SAN JOSÉ 8494</t>
        </is>
      </c>
      <c r="C616" s="268" t="n">
        <v>1</v>
      </c>
      <c r="D616" s="268" t="n"/>
      <c r="E616" s="268" t="n">
        <v>1</v>
      </c>
      <c r="F616" s="269" t="n"/>
      <c r="G616" s="269" t="n"/>
      <c r="H616" s="270" t="n">
        <v>126000</v>
      </c>
      <c r="I616" s="271" t="n">
        <v>126000</v>
      </c>
      <c r="J616" s="271" t="n"/>
      <c r="K616" s="272" t="n"/>
      <c r="L616" s="272" t="n">
        <v>48200</v>
      </c>
      <c r="M616" s="156" t="n"/>
    </row>
    <row r="617" ht="15" customHeight="1" s="153">
      <c r="A617" s="279" t="n"/>
      <c r="B617" s="267" t="inlineStr">
        <is>
          <t>ALSINA 9251</t>
        </is>
      </c>
      <c r="C617" s="268" t="n"/>
      <c r="D617" s="268" t="n"/>
      <c r="E617" s="268" t="n">
        <v>1</v>
      </c>
      <c r="F617" s="269" t="n"/>
      <c r="G617" s="269" t="n"/>
      <c r="H617" s="270" t="n">
        <v>98000</v>
      </c>
      <c r="I617" s="271" t="n">
        <v>98000</v>
      </c>
      <c r="J617" s="271" t="n"/>
      <c r="K617" s="272" t="n"/>
      <c r="L617" s="272" t="n">
        <v>36000</v>
      </c>
      <c r="M617" s="156" t="n"/>
    </row>
    <row r="618" ht="15" customHeight="1" s="153">
      <c r="A618" s="279" t="n"/>
      <c r="B618" s="267" t="inlineStr">
        <is>
          <t>SANDRA</t>
        </is>
      </c>
      <c r="C618" s="268" t="n"/>
      <c r="D618" s="268" t="n">
        <v>1</v>
      </c>
      <c r="E618" s="268" t="n"/>
      <c r="F618" s="269" t="n"/>
      <c r="G618" s="269" t="n"/>
      <c r="H618" s="270" t="n">
        <v>33000</v>
      </c>
      <c r="I618" s="271" t="n">
        <v>33000</v>
      </c>
      <c r="J618" s="271" t="n"/>
      <c r="K618" s="272" t="n"/>
      <c r="L618" s="272" t="n">
        <v>9300</v>
      </c>
      <c r="M618" s="156" t="n"/>
    </row>
    <row r="619" ht="15" customHeight="1" s="153">
      <c r="A619" s="279" t="n"/>
      <c r="B619" s="267" t="inlineStr">
        <is>
          <t>NAMUNCURA 4439</t>
        </is>
      </c>
      <c r="C619" s="268" t="n"/>
      <c r="D619" s="268" t="n">
        <v>2</v>
      </c>
      <c r="E619" s="268" t="n"/>
      <c r="F619" s="269" t="n"/>
      <c r="G619" s="269" t="n"/>
      <c r="H619" s="270" t="n">
        <v>85000</v>
      </c>
      <c r="I619" s="271" t="n"/>
      <c r="J619" s="271" t="n">
        <v>85000</v>
      </c>
      <c r="K619" s="272" t="n"/>
      <c r="L619" s="272" t="n">
        <v>37600</v>
      </c>
      <c r="M619" s="156" t="n"/>
    </row>
    <row r="620" ht="15" customHeight="1" s="153">
      <c r="A620" s="279" t="n"/>
      <c r="B620" s="267" t="inlineStr">
        <is>
          <t>FILOMENA</t>
        </is>
      </c>
      <c r="C620" s="268" t="n">
        <v>2</v>
      </c>
      <c r="D620" s="268" t="n"/>
      <c r="E620" s="268" t="n"/>
      <c r="F620" s="269" t="n"/>
      <c r="G620" s="269" t="n"/>
      <c r="H620" s="270" t="n">
        <v>53000</v>
      </c>
      <c r="I620" s="271" t="n"/>
      <c r="J620" s="271" t="n">
        <v>53000</v>
      </c>
      <c r="K620" s="272" t="n"/>
      <c r="L620" s="272" t="n">
        <v>21400</v>
      </c>
      <c r="M620" s="156" t="n"/>
    </row>
    <row r="621" ht="15" customHeight="1" s="153">
      <c r="A621" s="279" t="n"/>
      <c r="B621" s="267" t="inlineStr">
        <is>
          <t>CASTELLI 5249</t>
        </is>
      </c>
      <c r="C621" s="268" t="n">
        <v>1</v>
      </c>
      <c r="D621" s="268" t="n"/>
      <c r="E621" s="268" t="n"/>
      <c r="F621" s="269" t="n"/>
      <c r="G621" s="269" t="n"/>
      <c r="H621" s="270" t="n">
        <v>27500</v>
      </c>
      <c r="I621" s="271" t="n"/>
      <c r="J621" s="271" t="n">
        <v>27500</v>
      </c>
      <c r="K621" s="272" t="n"/>
      <c r="L621" s="272" t="n">
        <v>11700</v>
      </c>
      <c r="M621" s="156" t="n"/>
    </row>
    <row r="622" ht="15" customHeight="1" s="153">
      <c r="A622" s="279" t="n"/>
      <c r="B622" s="267" t="inlineStr">
        <is>
          <t>GORRITI 5378</t>
        </is>
      </c>
      <c r="C622" s="268" t="n">
        <v>1</v>
      </c>
      <c r="D622" s="268" t="n"/>
      <c r="E622" s="268" t="n"/>
      <c r="F622" s="269" t="n"/>
      <c r="G622" s="269" t="n"/>
      <c r="H622" s="270" t="n">
        <v>28000</v>
      </c>
      <c r="I622" s="271" t="n"/>
      <c r="J622" s="271" t="n">
        <v>28000</v>
      </c>
      <c r="K622" s="272" t="n"/>
      <c r="L622" s="272" t="n">
        <v>12200</v>
      </c>
      <c r="M622" s="156" t="n"/>
    </row>
    <row r="623" ht="15" customHeight="1" s="153">
      <c r="A623" s="279" t="n"/>
      <c r="B623" s="267" t="inlineStr">
        <is>
          <t>TROPPO</t>
        </is>
      </c>
      <c r="C623" s="268" t="n">
        <v>7</v>
      </c>
      <c r="D623" s="268" t="n"/>
      <c r="E623" s="268" t="n"/>
      <c r="F623" s="269" t="n"/>
      <c r="G623" s="269" t="n"/>
      <c r="H623" s="270" t="n">
        <v>196000</v>
      </c>
      <c r="I623" s="271" t="n"/>
      <c r="J623" s="271" t="n">
        <v>196000</v>
      </c>
      <c r="K623" s="272" t="n"/>
      <c r="L623" s="272" t="n">
        <v>85400</v>
      </c>
      <c r="M623" s="156" t="n"/>
    </row>
    <row r="624" ht="15" customHeight="1" s="153">
      <c r="A624" s="279" t="n"/>
      <c r="B624" s="267" t="inlineStr">
        <is>
          <t>SABOREAR</t>
        </is>
      </c>
      <c r="C624" s="268" t="n"/>
      <c r="D624" s="268" t="n"/>
      <c r="E624" s="268" t="n">
        <v>1</v>
      </c>
      <c r="F624" s="269" t="n"/>
      <c r="G624" s="269" t="n"/>
      <c r="H624" s="270" t="n">
        <v>89000</v>
      </c>
      <c r="I624" s="271" t="n"/>
      <c r="J624" s="271" t="n">
        <v>89000</v>
      </c>
      <c r="K624" s="272" t="n"/>
      <c r="L624" s="272" t="n">
        <v>27000</v>
      </c>
      <c r="M624" s="156" t="n"/>
    </row>
    <row r="625" ht="15" customHeight="1" s="153">
      <c r="A625" s="279" t="n"/>
      <c r="B625" s="267" t="inlineStr">
        <is>
          <t>MARIO</t>
        </is>
      </c>
      <c r="C625" s="268" t="n">
        <v>2</v>
      </c>
      <c r="D625" s="268" t="n">
        <v>1</v>
      </c>
      <c r="E625" s="268" t="n"/>
      <c r="F625" s="269" t="n"/>
      <c r="G625" s="269" t="n"/>
      <c r="H625" s="270" t="n">
        <v>77000</v>
      </c>
      <c r="I625" s="271" t="n"/>
      <c r="J625" s="271" t="n">
        <v>77000</v>
      </c>
      <c r="K625" s="272" t="n"/>
      <c r="L625" s="272" t="n">
        <v>21700</v>
      </c>
      <c r="M625" s="156" t="n"/>
    </row>
    <row r="626" ht="15" customHeight="1" s="153">
      <c r="A626" s="279" t="n"/>
      <c r="B626" s="267" t="inlineStr">
        <is>
          <t>CAREN</t>
        </is>
      </c>
      <c r="C626" s="268" t="n"/>
      <c r="D626" s="268" t="n"/>
      <c r="E626" s="268" t="n">
        <v>1</v>
      </c>
      <c r="F626" s="269" t="n"/>
      <c r="G626" s="269" t="n"/>
      <c r="H626" s="270" t="n">
        <v>93000</v>
      </c>
      <c r="I626" s="271" t="n"/>
      <c r="J626" s="271" t="n">
        <v>93000</v>
      </c>
      <c r="K626" s="272" t="n"/>
      <c r="L626" s="272" t="n">
        <v>31000</v>
      </c>
      <c r="M626" s="156" t="n"/>
    </row>
    <row r="627" ht="15" customHeight="1" s="153">
      <c r="A627" s="279" t="n"/>
      <c r="B627" s="267" t="inlineStr">
        <is>
          <t>ROTI VIEYTES</t>
        </is>
      </c>
      <c r="C627" s="268" t="n"/>
      <c r="D627" s="268" t="n">
        <v>2</v>
      </c>
      <c r="E627" s="268" t="n"/>
      <c r="F627" s="269" t="n"/>
      <c r="G627" s="269" t="n"/>
      <c r="H627" s="270" t="n">
        <v>69000</v>
      </c>
      <c r="I627" s="271" t="n"/>
      <c r="J627" s="271" t="n">
        <v>69000</v>
      </c>
      <c r="K627" s="272" t="n"/>
      <c r="L627" s="272" t="n">
        <v>21600</v>
      </c>
      <c r="M627" s="156" t="n"/>
    </row>
    <row r="628" ht="15" customHeight="1" s="153">
      <c r="A628" s="279" t="n">
        <v>46173</v>
      </c>
      <c r="B628" s="267" t="inlineStr">
        <is>
          <t>NOE SAROMÉ</t>
        </is>
      </c>
      <c r="C628" s="268" t="n"/>
      <c r="D628" s="268" t="n"/>
      <c r="E628" s="268" t="n">
        <v>1</v>
      </c>
      <c r="F628" s="269" t="n"/>
      <c r="G628" s="269" t="n"/>
      <c r="H628" s="270" t="n">
        <v>98000</v>
      </c>
      <c r="I628" s="271" t="n"/>
      <c r="J628" s="271" t="n">
        <v>98000</v>
      </c>
      <c r="K628" s="272" t="n"/>
      <c r="L628" s="272" t="n">
        <v>36000</v>
      </c>
      <c r="M628" s="156" t="n"/>
    </row>
    <row r="629" ht="15" customHeight="1" s="153">
      <c r="A629" s="279" t="n"/>
      <c r="B629" s="267" t="inlineStr">
        <is>
          <t>CAFERATA 8877</t>
        </is>
      </c>
      <c r="C629" s="268" t="n"/>
      <c r="D629" s="268" t="n"/>
      <c r="E629" s="268" t="n">
        <v>1</v>
      </c>
      <c r="F629" s="269" t="n"/>
      <c r="G629" s="269" t="n"/>
      <c r="H629" s="270" t="n">
        <v>89000</v>
      </c>
      <c r="I629" s="271" t="n"/>
      <c r="J629" s="271" t="n">
        <v>89000</v>
      </c>
      <c r="K629" s="272" t="n"/>
      <c r="L629" s="272" t="n">
        <v>27000</v>
      </c>
      <c r="M629" s="156" t="n"/>
    </row>
    <row r="630" ht="15" customHeight="1" s="153">
      <c r="A630" s="279" t="n"/>
      <c r="B630" s="267" t="inlineStr">
        <is>
          <t>PUBLICO 8252</t>
        </is>
      </c>
      <c r="C630" s="268" t="n"/>
      <c r="D630" s="268" t="n"/>
      <c r="E630" s="268" t="n">
        <v>1</v>
      </c>
      <c r="F630" s="269" t="n"/>
      <c r="G630" s="269" t="n"/>
      <c r="H630" s="270" t="n">
        <v>96000</v>
      </c>
      <c r="I630" s="271" t="n"/>
      <c r="J630" s="271" t="n">
        <v>96000</v>
      </c>
      <c r="K630" s="272" t="n"/>
      <c r="L630" s="272" t="n">
        <v>34000</v>
      </c>
      <c r="M630" s="156" t="n"/>
    </row>
    <row r="631" ht="15" customHeight="1" s="153">
      <c r="A631" s="279" t="n"/>
      <c r="B631" s="267" t="inlineStr">
        <is>
          <t>FELIX BARRETO 9127</t>
        </is>
      </c>
      <c r="C631" s="268" t="n"/>
      <c r="D631" s="268" t="n"/>
      <c r="E631" s="268" t="n">
        <v>1</v>
      </c>
      <c r="F631" s="269" t="n"/>
      <c r="G631" s="269" t="n"/>
      <c r="H631" s="270" t="n">
        <v>96000</v>
      </c>
      <c r="I631" s="271" t="n"/>
      <c r="J631" s="271" t="n">
        <v>96000</v>
      </c>
      <c r="K631" s="272" t="n"/>
      <c r="L631" s="272" t="n">
        <v>34000</v>
      </c>
      <c r="M631" s="156" t="n"/>
    </row>
    <row r="632" ht="15" customHeight="1" s="153">
      <c r="A632" s="279" t="n"/>
      <c r="B632" s="267" t="inlineStr">
        <is>
          <t>OTNIEL</t>
        </is>
      </c>
      <c r="C632" s="268" t="n"/>
      <c r="D632" s="268" t="n">
        <v>2</v>
      </c>
      <c r="E632" s="268" t="n"/>
      <c r="F632" s="269" t="n"/>
      <c r="G632" s="269" t="n"/>
      <c r="H632" s="270" t="n">
        <v>75000</v>
      </c>
      <c r="I632" s="271" t="n"/>
      <c r="J632" s="271" t="n">
        <v>75000</v>
      </c>
      <c r="K632" s="272" t="n"/>
      <c r="L632" s="272" t="n">
        <v>27600</v>
      </c>
      <c r="M632" s="156" t="n"/>
    </row>
    <row r="633" ht="15" customHeight="1" s="153">
      <c r="A633" s="279" t="n"/>
      <c r="B633" s="267" t="inlineStr">
        <is>
          <t>LOS PRIMOS</t>
        </is>
      </c>
      <c r="C633" s="268" t="n">
        <v>2</v>
      </c>
      <c r="D633" s="268" t="n"/>
      <c r="E633" s="268" t="n"/>
      <c r="F633" s="269" t="n"/>
      <c r="G633" s="269" t="n"/>
      <c r="H633" s="270" t="n">
        <v>58000</v>
      </c>
      <c r="I633" s="271" t="n">
        <v>58000</v>
      </c>
      <c r="J633" s="271" t="n"/>
      <c r="K633" s="272" t="n"/>
      <c r="L633" s="272" t="n">
        <v>26400</v>
      </c>
      <c r="M633" s="156" t="n"/>
    </row>
    <row r="634" ht="15" customHeight="1" s="153">
      <c r="A634" s="279" t="n"/>
      <c r="B634" s="267" t="inlineStr">
        <is>
          <t>PAVÓN 3435</t>
        </is>
      </c>
      <c r="C634" s="268" t="n"/>
      <c r="D634" s="268" t="n">
        <v>1</v>
      </c>
      <c r="E634" s="268" t="n"/>
      <c r="F634" s="269" t="n"/>
      <c r="G634" s="269" t="n"/>
      <c r="H634" s="270" t="n">
        <v>38500</v>
      </c>
      <c r="I634" s="271" t="n"/>
      <c r="J634" s="271" t="n">
        <v>38500</v>
      </c>
      <c r="K634" s="272" t="n"/>
      <c r="L634" s="272" t="n">
        <v>14800</v>
      </c>
      <c r="M634" s="156" t="n"/>
    </row>
    <row r="635" ht="15" customHeight="1" s="153">
      <c r="A635" s="279" t="n"/>
      <c r="B635" s="267" t="inlineStr">
        <is>
          <t>JP LOPEZ 2322</t>
        </is>
      </c>
      <c r="C635" s="268" t="n">
        <v>1</v>
      </c>
      <c r="D635" s="268" t="n"/>
      <c r="E635" s="268" t="n"/>
      <c r="F635" s="269" t="n"/>
      <c r="G635" s="269" t="n"/>
      <c r="H635" s="270" t="n">
        <v>28000</v>
      </c>
      <c r="I635" s="271" t="n">
        <v>28000</v>
      </c>
      <c r="J635" s="271" t="n"/>
      <c r="K635" s="272" t="n"/>
      <c r="L635" s="272" t="n">
        <v>12200</v>
      </c>
      <c r="M635" s="156" t="n"/>
    </row>
    <row r="636" ht="15" customHeight="1" s="153">
      <c r="A636" s="279" t="n"/>
      <c r="B636" s="267" t="inlineStr">
        <is>
          <t>ARISTÓBULO 5137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/>
      <c r="J636" s="271" t="n">
        <v>41500</v>
      </c>
      <c r="K636" s="272" t="n"/>
      <c r="L636" s="272" t="n">
        <v>17800</v>
      </c>
      <c r="M636" s="156" t="n"/>
    </row>
    <row r="637" ht="15" customHeight="1" s="153">
      <c r="A637" s="279" t="n"/>
      <c r="B637" s="267" t="inlineStr">
        <is>
          <t>SAN LORENZO 7481</t>
        </is>
      </c>
      <c r="C637" s="268" t="n"/>
      <c r="D637" s="268" t="n">
        <v>1</v>
      </c>
      <c r="E637" s="268" t="n"/>
      <c r="F637" s="269" t="n"/>
      <c r="G637" s="269" t="n"/>
      <c r="H637" s="270" t="n">
        <v>42500</v>
      </c>
      <c r="I637" s="271" t="n"/>
      <c r="J637" s="271" t="n">
        <v>42500</v>
      </c>
      <c r="K637" s="272" t="n"/>
      <c r="L637" s="272" t="n">
        <v>18800</v>
      </c>
      <c r="M637" s="156" t="n"/>
    </row>
    <row r="638" ht="15" customHeight="1" s="153">
      <c r="A638" s="279" t="n"/>
      <c r="B638" s="267" t="inlineStr">
        <is>
          <t>SAVEDRA 4064</t>
        </is>
      </c>
      <c r="C638" s="268" t="n"/>
      <c r="D638" s="268" t="n">
        <v>1</v>
      </c>
      <c r="E638" s="268" t="n"/>
      <c r="F638" s="269" t="n"/>
      <c r="G638" s="269" t="n"/>
      <c r="H638" s="270" t="n">
        <v>36000</v>
      </c>
      <c r="I638" s="271" t="n">
        <v>36000</v>
      </c>
      <c r="J638" s="271" t="n"/>
      <c r="K638" s="272" t="n"/>
      <c r="L638" s="272" t="n">
        <v>12300</v>
      </c>
      <c r="M638" s="156" t="n"/>
    </row>
    <row r="639" ht="15" customHeight="1" s="153">
      <c r="A639" s="279" t="n"/>
      <c r="B639" s="267" t="inlineStr">
        <is>
          <t>AGUADO 9067</t>
        </is>
      </c>
      <c r="C639" s="268" t="n">
        <v>1</v>
      </c>
      <c r="D639" s="268" t="n">
        <v>1</v>
      </c>
      <c r="E639" s="268" t="n"/>
      <c r="F639" s="269" t="n"/>
      <c r="G639" s="269" t="n"/>
      <c r="H639" s="270" t="n">
        <v>68000</v>
      </c>
      <c r="I639" s="271" t="n"/>
      <c r="J639" s="271" t="n">
        <v>68000</v>
      </c>
      <c r="K639" s="272" t="n"/>
      <c r="L639" s="272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72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VIEYTES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66" t="n">
        <v>46183</v>
      </c>
      <c r="B186" s="267" t="inlineStr">
        <is>
          <t>HUERGO 1733</t>
        </is>
      </c>
      <c r="C186" s="268" t="n">
        <v>1</v>
      </c>
      <c r="D186" s="268" t="n"/>
      <c r="E186" s="268" t="n"/>
      <c r="F186" s="269" t="n"/>
      <c r="G186" s="269" t="n"/>
      <c r="H186" s="270" t="n">
        <v>29000</v>
      </c>
      <c r="I186" s="271" t="n">
        <v>29000</v>
      </c>
      <c r="J186" s="271" t="n"/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FABRICA DE PASTAS</t>
        </is>
      </c>
      <c r="C187" s="275" t="n"/>
      <c r="D187" s="275" t="n"/>
      <c r="E187" s="275" t="n">
        <v>1</v>
      </c>
      <c r="F187" s="276" t="n"/>
      <c r="G187" s="276" t="n"/>
      <c r="H187" s="277" t="n">
        <v>89000</v>
      </c>
      <c r="I187" s="278" t="n">
        <v>89000</v>
      </c>
      <c r="J187" s="278" t="n"/>
      <c r="K187" s="272" t="n"/>
      <c r="L187" s="272" t="n">
        <v>20000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PANA GORRITI 4600</t>
        </is>
      </c>
      <c r="C188" s="268" t="n"/>
      <c r="D188" s="268" t="n"/>
      <c r="E188" s="268" t="n">
        <v>1</v>
      </c>
      <c r="F188" s="269" t="n"/>
      <c r="G188" s="269" t="n"/>
      <c r="H188" s="270" t="n">
        <v>92000</v>
      </c>
      <c r="I188" s="271" t="n">
        <v>92000</v>
      </c>
      <c r="J188" s="271" t="n"/>
      <c r="K188" s="272" t="n"/>
      <c r="L188" s="272" t="n">
        <v>23000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AZCUENAGA 5023</t>
        </is>
      </c>
      <c r="C189" s="275" t="n">
        <v>5</v>
      </c>
      <c r="D189" s="275" t="n">
        <v>2</v>
      </c>
      <c r="E189" s="275" t="n"/>
      <c r="F189" s="276" t="n"/>
      <c r="G189" s="276" t="n"/>
      <c r="H189" s="277" t="n">
        <v>180000</v>
      </c>
      <c r="I189" s="278" t="n"/>
      <c r="J189" s="278" t="n">
        <v>180000</v>
      </c>
      <c r="K189" s="272" t="n"/>
      <c r="L189" s="272" t="n">
        <v>44000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IGNACIO CRESPO 7318</t>
        </is>
      </c>
      <c r="C190" s="268" t="n">
        <v>2</v>
      </c>
      <c r="D190" s="268" t="n"/>
      <c r="E190" s="268" t="n"/>
      <c r="F190" s="269" t="n"/>
      <c r="G190" s="269" t="n"/>
      <c r="H190" s="270" t="n">
        <v>54000</v>
      </c>
      <c r="I190" s="271" t="n">
        <v>54000</v>
      </c>
      <c r="J190" s="271" t="n"/>
      <c r="K190" s="272" t="n"/>
      <c r="L190" s="272" t="n">
        <v>20000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HUERGO 3251</t>
        </is>
      </c>
      <c r="C191" s="275" t="n">
        <v>1</v>
      </c>
      <c r="D191" s="275" t="n"/>
      <c r="E191" s="275" t="n"/>
      <c r="F191" s="276" t="n"/>
      <c r="G191" s="276" t="n"/>
      <c r="H191" s="277" t="n">
        <v>27000</v>
      </c>
      <c r="I191" s="278" t="n">
        <v>27000</v>
      </c>
      <c r="J191" s="278" t="n"/>
      <c r="K191" s="272" t="n"/>
      <c r="L191" s="272" t="n">
        <v>10000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PAVON 3941</t>
        </is>
      </c>
      <c r="C192" s="268" t="n">
        <v>1</v>
      </c>
      <c r="D192" s="268" t="n"/>
      <c r="E192" s="268" t="n"/>
      <c r="F192" s="269" t="n"/>
      <c r="G192" s="269" t="n"/>
      <c r="H192" s="270" t="n">
        <v>28500</v>
      </c>
      <c r="I192" s="271" t="n">
        <v>28500</v>
      </c>
      <c r="J192" s="271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LAVAISE 1303</t>
        </is>
      </c>
      <c r="C193" s="275" t="n">
        <v>1</v>
      </c>
      <c r="D193" s="275" t="n"/>
      <c r="E193" s="275" t="n"/>
      <c r="F193" s="276" t="n"/>
      <c r="G193" s="276" t="n"/>
      <c r="H193" s="277" t="n">
        <v>118000</v>
      </c>
      <c r="I193" s="278" t="n">
        <v>118000</v>
      </c>
      <c r="J193" s="278" t="n"/>
      <c r="K193" s="272" t="n">
        <v>82000</v>
      </c>
      <c r="L193" s="272" t="n">
        <v>19000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CERVERA 6721</t>
        </is>
      </c>
      <c r="C194" s="268" t="n">
        <v>1</v>
      </c>
      <c r="D194" s="268" t="n"/>
      <c r="E194" s="268" t="n"/>
      <c r="F194" s="269" t="n"/>
      <c r="G194" s="269" t="n"/>
      <c r="H194" s="270" t="n">
        <v>27000</v>
      </c>
      <c r="I194" s="271" t="n"/>
      <c r="J194" s="271" t="n">
        <v>27000</v>
      </c>
      <c r="K194" s="272" t="n"/>
      <c r="L194" s="272" t="n">
        <v>10000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PEÑALOZA 9757</t>
        </is>
      </c>
      <c r="C195" s="275" t="n">
        <v>1</v>
      </c>
      <c r="D195" s="275" t="n"/>
      <c r="E195" s="275" t="n"/>
      <c r="F195" s="276" t="n"/>
      <c r="G195" s="276" t="n"/>
      <c r="H195" s="277" t="n">
        <v>28500</v>
      </c>
      <c r="I195" s="278" t="n">
        <v>28500</v>
      </c>
      <c r="J195" s="278" t="n"/>
      <c r="K195" s="272" t="n"/>
      <c r="L195" s="272" t="n">
        <v>11500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ILGATO</t>
        </is>
      </c>
      <c r="C196" s="268" t="n"/>
      <c r="D196" s="268" t="n">
        <v>1</v>
      </c>
      <c r="E196" s="268" t="n"/>
      <c r="F196" s="269" t="n"/>
      <c r="G196" s="269" t="n"/>
      <c r="H196" s="270" t="n">
        <v>42000</v>
      </c>
      <c r="I196" s="271" t="n"/>
      <c r="J196" s="271" t="n">
        <v>42000</v>
      </c>
      <c r="K196" s="272" t="n"/>
      <c r="L196" s="272" t="n">
        <v>16500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MARCE FLORES 2</t>
        </is>
      </c>
      <c r="C197" s="275" t="n">
        <v>1</v>
      </c>
      <c r="D197" s="275" t="n"/>
      <c r="E197" s="275" t="n"/>
      <c r="F197" s="276" t="n"/>
      <c r="G197" s="276" t="n"/>
      <c r="H197" s="277" t="n">
        <v>28500</v>
      </c>
      <c r="I197" s="278" t="n">
        <v>28500</v>
      </c>
      <c r="J197" s="278" t="n"/>
      <c r="K197" s="272" t="n"/>
      <c r="L197" s="272" t="n">
        <v>11500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FURLONG 8468</t>
        </is>
      </c>
      <c r="C198" s="268" t="n">
        <v>1</v>
      </c>
      <c r="D198" s="268" t="n"/>
      <c r="E198" s="268" t="n"/>
      <c r="F198" s="269" t="n"/>
      <c r="G198" s="269" t="n"/>
      <c r="H198" s="270" t="n">
        <v>125000</v>
      </c>
      <c r="I198" s="271" t="n"/>
      <c r="J198" s="271" t="n">
        <v>125000</v>
      </c>
      <c r="K198" s="272" t="n">
        <v>82000</v>
      </c>
      <c r="L198" s="272" t="n">
        <v>26000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JUNIN 2740</t>
        </is>
      </c>
      <c r="C199" s="275" t="n">
        <v>1</v>
      </c>
      <c r="D199" s="275" t="n"/>
      <c r="E199" s="275" t="n"/>
      <c r="F199" s="276" t="n"/>
      <c r="G199" s="276" t="n"/>
      <c r="H199" s="277" t="n">
        <v>28500</v>
      </c>
      <c r="I199" s="278" t="n">
        <v>28500</v>
      </c>
      <c r="J199" s="278" t="n"/>
      <c r="K199" s="272" t="n"/>
      <c r="L199" s="272" t="n">
        <v>11500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HERMANO MADERO 10047</t>
        </is>
      </c>
      <c r="C200" s="268" t="n">
        <v>1</v>
      </c>
      <c r="D200" s="268" t="n"/>
      <c r="E200" s="268" t="n"/>
      <c r="F200" s="269" t="n"/>
      <c r="G200" s="269" t="n"/>
      <c r="H200" s="270" t="n">
        <v>28500</v>
      </c>
      <c r="I200" s="271" t="n">
        <v>28500</v>
      </c>
      <c r="J200" s="271" t="n"/>
      <c r="K200" s="272" t="n"/>
      <c r="L200" s="272" t="n">
        <v>11500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PUBLICO 4764</t>
        </is>
      </c>
      <c r="C201" s="275" t="n">
        <v>1</v>
      </c>
      <c r="D201" s="275" t="n"/>
      <c r="E201" s="275" t="n"/>
      <c r="F201" s="276" t="n"/>
      <c r="G201" s="276" t="n"/>
      <c r="H201" s="277" t="n">
        <v>28500</v>
      </c>
      <c r="I201" s="278" t="n">
        <v>28500</v>
      </c>
      <c r="J201" s="278" t="n"/>
      <c r="K201" s="272" t="n"/>
      <c r="L201" s="272" t="n">
        <v>11500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SABOREAR</t>
        </is>
      </c>
      <c r="C202" s="268" t="n"/>
      <c r="D202" s="268" t="n"/>
      <c r="E202" s="268" t="n">
        <v>1</v>
      </c>
      <c r="F202" s="269" t="n"/>
      <c r="G202" s="269" t="n"/>
      <c r="H202" s="270" t="n">
        <v>92000</v>
      </c>
      <c r="I202" s="271" t="n"/>
      <c r="J202" s="271" t="n">
        <v>92000</v>
      </c>
      <c r="K202" s="272" t="n"/>
      <c r="L202" s="272" t="n">
        <v>23000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CAREN</t>
        </is>
      </c>
      <c r="C203" s="275" t="n"/>
      <c r="D203" s="275" t="n"/>
      <c r="E203" s="275" t="n">
        <v>1</v>
      </c>
      <c r="F203" s="276" t="n"/>
      <c r="G203" s="276" t="n"/>
      <c r="H203" s="277" t="n">
        <v>93000</v>
      </c>
      <c r="I203" s="278" t="n"/>
      <c r="J203" s="278" t="n">
        <v>93000</v>
      </c>
      <c r="K203" s="272" t="n"/>
      <c r="L203" s="272" t="n">
        <v>24000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9 DE JULIO 1144</t>
        </is>
      </c>
      <c r="C204" s="268" t="n"/>
      <c r="D204" s="268" t="n"/>
      <c r="E204" s="268" t="n">
        <v>2</v>
      </c>
      <c r="F204" s="269" t="n"/>
      <c r="G204" s="269" t="n"/>
      <c r="H204" s="270" t="n">
        <v>202000</v>
      </c>
      <c r="I204" s="271" t="n"/>
      <c r="J204" s="271" t="n">
        <v>202000</v>
      </c>
      <c r="K204" s="272" t="n"/>
      <c r="L204" s="272" t="n">
        <v>64000</v>
      </c>
      <c r="M204" s="156" t="n"/>
      <c r="N204" s="156" t="n"/>
      <c r="O204" s="156" t="n"/>
    </row>
    <row r="205" ht="18.75" customHeight="1" s="153">
      <c r="A205" s="280" t="n">
        <v>46184</v>
      </c>
      <c r="B205" s="274" t="inlineStr">
        <is>
          <t>NICO BUSTOS</t>
        </is>
      </c>
      <c r="C205" s="275" t="n"/>
      <c r="D205" s="275" t="n"/>
      <c r="E205" s="275" t="n"/>
      <c r="F205" s="276" t="n">
        <v>5</v>
      </c>
      <c r="G205" s="276" t="n"/>
      <c r="H205" s="277" t="n">
        <v>35500</v>
      </c>
      <c r="I205" s="278" t="n"/>
      <c r="J205" s="278" t="n">
        <v>35500</v>
      </c>
      <c r="K205" s="272" t="n"/>
      <c r="L205" s="272" t="n">
        <v>35500</v>
      </c>
      <c r="M205" s="156" t="n"/>
      <c r="N205" s="156" t="n"/>
      <c r="O205" s="156" t="n"/>
    </row>
    <row r="206" ht="18.75" customHeight="1" s="153">
      <c r="A206" s="279" t="n"/>
      <c r="B206" s="267" t="n"/>
      <c r="C206" s="268" t="n"/>
      <c r="D206" s="268" t="n"/>
      <c r="E206" s="268" t="n"/>
      <c r="F206" s="269" t="n"/>
      <c r="G206" s="269" t="n"/>
      <c r="H206" s="270" t="n"/>
      <c r="I206" s="271" t="n"/>
      <c r="J206" s="271" t="n"/>
      <c r="K206" s="272" t="n"/>
      <c r="L206" s="272" t="n"/>
      <c r="M206" s="156" t="n"/>
      <c r="N206" s="156" t="n"/>
      <c r="O206" s="156" t="n"/>
    </row>
    <row r="207" ht="18.75" customHeight="1" s="153">
      <c r="A207" s="273" t="n"/>
      <c r="B207" s="274" t="inlineStr">
        <is>
          <t>GORRITI 1418</t>
        </is>
      </c>
      <c r="C207" s="275" t="n"/>
      <c r="D207" s="275" t="n"/>
      <c r="E207" s="275" t="n">
        <v>1</v>
      </c>
      <c r="F207" s="276" t="n"/>
      <c r="G207" s="276" t="n"/>
      <c r="H207" s="277" t="n">
        <v>99500</v>
      </c>
      <c r="I207" s="278" t="n"/>
      <c r="J207" s="278" t="n">
        <v>99500</v>
      </c>
      <c r="K207" s="272" t="n"/>
      <c r="L207" s="272" t="n">
        <v>30500</v>
      </c>
      <c r="M207" s="156" t="n"/>
      <c r="N207" s="156" t="n"/>
      <c r="O207" s="156" t="n"/>
    </row>
    <row r="208" ht="18.75" customHeight="1" s="153">
      <c r="A208" s="279" t="n"/>
      <c r="B208" s="267" t="n"/>
      <c r="C208" s="268" t="n"/>
      <c r="D208" s="268" t="n"/>
      <c r="E208" s="268" t="n"/>
      <c r="F208" s="269" t="n"/>
      <c r="G208" s="269" t="n"/>
      <c r="H208" s="270" t="n"/>
      <c r="I208" s="271" t="n"/>
      <c r="J208" s="271" t="n"/>
      <c r="K208" s="272" t="n"/>
      <c r="L208" s="272" t="n"/>
      <c r="M208" s="156" t="n"/>
      <c r="N208" s="156" t="n"/>
      <c r="O208" s="156" t="n"/>
    </row>
    <row r="209" ht="18.75" customHeight="1" s="153">
      <c r="A209" s="273" t="n"/>
      <c r="B209" s="274" t="inlineStr">
        <is>
          <t>PANA GISELA</t>
        </is>
      </c>
      <c r="C209" s="275" t="n">
        <v>1</v>
      </c>
      <c r="D209" s="275" t="n"/>
      <c r="E209" s="275" t="n"/>
      <c r="F209" s="276" t="n"/>
      <c r="G209" s="276" t="n"/>
      <c r="H209" s="277" t="n">
        <v>25500</v>
      </c>
      <c r="I209" s="278" t="n"/>
      <c r="J209" s="278" t="n">
        <v>25500</v>
      </c>
      <c r="K209" s="272" t="n"/>
      <c r="L209" s="272" t="n">
        <v>8500</v>
      </c>
      <c r="M209" s="156" t="n"/>
      <c r="N209" s="156" t="n"/>
      <c r="O209" s="156" t="n"/>
    </row>
    <row r="210" ht="18.75" customHeight="1" s="153">
      <c r="A210" s="279" t="n"/>
      <c r="B210" s="267" t="n"/>
      <c r="C210" s="268" t="n"/>
      <c r="D210" s="268" t="n"/>
      <c r="E210" s="268" t="n"/>
      <c r="F210" s="269" t="n"/>
      <c r="G210" s="269" t="n"/>
      <c r="H210" s="270" t="n"/>
      <c r="I210" s="271" t="n"/>
      <c r="J210" s="271" t="n"/>
      <c r="K210" s="272" t="n"/>
      <c r="L210" s="272" t="n"/>
      <c r="M210" s="156" t="n"/>
      <c r="N210" s="156" t="n"/>
      <c r="O210" s="156" t="n"/>
    </row>
    <row r="211" ht="18.75" customHeight="1" s="153">
      <c r="A211" s="273" t="n"/>
      <c r="B211" s="274" t="inlineStr">
        <is>
          <t>CORRIENTES 3782</t>
        </is>
      </c>
      <c r="C211" s="275" t="n">
        <v>1</v>
      </c>
      <c r="D211" s="275" t="n"/>
      <c r="E211" s="275" t="n"/>
      <c r="F211" s="276" t="n"/>
      <c r="G211" s="276" t="n"/>
      <c r="H211" s="277" t="n">
        <v>28500</v>
      </c>
      <c r="I211" s="278" t="n">
        <v>28500</v>
      </c>
      <c r="J211" s="278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n"/>
      <c r="C212" s="268" t="n"/>
      <c r="D212" s="268" t="n"/>
      <c r="E212" s="268" t="n"/>
      <c r="F212" s="269" t="n"/>
      <c r="G212" s="269" t="n"/>
      <c r="H212" s="270" t="n"/>
      <c r="I212" s="271" t="n"/>
      <c r="J212" s="271" t="n"/>
      <c r="K212" s="272" t="n"/>
      <c r="L212" s="272" t="n"/>
      <c r="M212" s="156" t="n"/>
      <c r="N212" s="156" t="n"/>
      <c r="O212" s="156" t="n"/>
    </row>
    <row r="213" ht="18.75" customHeight="1" s="153">
      <c r="A213" s="273" t="n"/>
      <c r="B213" s="274" t="inlineStr">
        <is>
          <t>PAVON 3941</t>
        </is>
      </c>
      <c r="C213" s="275" t="n">
        <v>1</v>
      </c>
      <c r="D213" s="275" t="n"/>
      <c r="E213" s="275" t="n"/>
      <c r="F213" s="276" t="n"/>
      <c r="G213" s="276" t="n"/>
      <c r="H213" s="277" t="n">
        <v>28500</v>
      </c>
      <c r="I213" s="278" t="n">
        <v>28500</v>
      </c>
      <c r="J213" s="278" t="n"/>
      <c r="K213" s="272" t="n"/>
      <c r="L213" s="272" t="n">
        <v>11500</v>
      </c>
      <c r="M213" s="156" t="n"/>
      <c r="N213" s="156" t="n"/>
      <c r="O213" s="156" t="n"/>
    </row>
    <row r="214" ht="18.75" customHeight="1" s="153">
      <c r="A214" s="279" t="n"/>
      <c r="B214" s="267" t="n"/>
      <c r="C214" s="268" t="n"/>
      <c r="D214" s="268" t="n"/>
      <c r="E214" s="268" t="n"/>
      <c r="F214" s="269" t="n"/>
      <c r="G214" s="269" t="n"/>
      <c r="H214" s="270" t="n"/>
      <c r="I214" s="271" t="n"/>
      <c r="J214" s="271" t="n"/>
      <c r="K214" s="272" t="n"/>
      <c r="L214" s="272" t="n"/>
      <c r="M214" s="156" t="n"/>
      <c r="N214" s="156" t="n"/>
      <c r="O214" s="156" t="n"/>
    </row>
    <row r="215" ht="18.75" customHeight="1" s="153">
      <c r="A215" s="273" t="n"/>
      <c r="B215" s="274" t="inlineStr">
        <is>
          <t>LUCAS GALARZA</t>
        </is>
      </c>
      <c r="C215" s="275" t="n">
        <v>1</v>
      </c>
      <c r="D215" s="275" t="n"/>
      <c r="E215" s="275" t="n"/>
      <c r="F215" s="276" t="n"/>
      <c r="G215" s="276" t="n"/>
      <c r="H215" s="277" t="n">
        <v>27000</v>
      </c>
      <c r="I215" s="278" t="n"/>
      <c r="J215" s="278" t="n">
        <v>27000</v>
      </c>
      <c r="K215" s="272" t="n"/>
      <c r="L215" s="272" t="n">
        <v>10000</v>
      </c>
      <c r="M215" s="156" t="n"/>
      <c r="N215" s="156" t="n"/>
      <c r="O215" s="156" t="n"/>
    </row>
    <row r="216" ht="18.75" customHeight="1" s="153">
      <c r="A216" s="279" t="n"/>
      <c r="B216" s="267" t="n"/>
      <c r="C216" s="268" t="n"/>
      <c r="D216" s="268" t="n"/>
      <c r="E216" s="268" t="n"/>
      <c r="F216" s="269" t="n"/>
      <c r="G216" s="269" t="n"/>
      <c r="H216" s="270" t="n"/>
      <c r="I216" s="271" t="n"/>
      <c r="J216" s="271" t="n"/>
      <c r="K216" s="272" t="n"/>
      <c r="L216" s="272" t="n"/>
      <c r="M216" s="156" t="n"/>
      <c r="N216" s="156" t="n"/>
      <c r="O216" s="156" t="n"/>
    </row>
    <row r="217" ht="18.75" customHeight="1" s="153">
      <c r="A217" s="273" t="n"/>
      <c r="B217" s="274" t="inlineStr">
        <is>
          <t>VIANDAS JORGE</t>
        </is>
      </c>
      <c r="C217" s="275" t="n">
        <v>2</v>
      </c>
      <c r="D217" s="275" t="n"/>
      <c r="E217" s="275" t="n"/>
      <c r="F217" s="276" t="n"/>
      <c r="G217" s="276" t="n"/>
      <c r="H217" s="277" t="n">
        <v>50000</v>
      </c>
      <c r="I217" s="278" t="n">
        <v>50000</v>
      </c>
      <c r="J217" s="278" t="n"/>
      <c r="K217" s="272" t="n"/>
      <c r="L217" s="272" t="n">
        <v>16000</v>
      </c>
      <c r="M217" s="156" t="n"/>
      <c r="N217" s="156" t="n"/>
      <c r="O217" s="156" t="n"/>
    </row>
    <row r="218" ht="18.75" customHeight="1" s="153">
      <c r="A218" s="279" t="n"/>
      <c r="B218" s="267" t="n"/>
      <c r="C218" s="268" t="n"/>
      <c r="D218" s="268" t="n"/>
      <c r="E218" s="268" t="n"/>
      <c r="F218" s="269" t="n"/>
      <c r="G218" s="269" t="n"/>
      <c r="H218" s="270" t="n"/>
      <c r="I218" s="271" t="n"/>
      <c r="J218" s="271" t="n"/>
      <c r="K218" s="272" t="n"/>
      <c r="L218" s="272" t="n"/>
      <c r="M218" s="156" t="n"/>
      <c r="N218" s="156" t="n"/>
      <c r="O218" s="156" t="n"/>
    </row>
    <row r="219" ht="18.75" customHeight="1" s="153">
      <c r="A219" s="273" t="n"/>
      <c r="B219" s="274" t="inlineStr">
        <is>
          <t>DAMIANOVICH 3190</t>
        </is>
      </c>
      <c r="C219" s="275" t="n"/>
      <c r="D219" s="275" t="n">
        <v>2</v>
      </c>
      <c r="E219" s="275" t="n"/>
      <c r="F219" s="276" t="n"/>
      <c r="G219" s="276" t="n"/>
      <c r="H219" s="277" t="n">
        <v>42500</v>
      </c>
      <c r="I219" s="278" t="n">
        <v>42500</v>
      </c>
      <c r="J219" s="278" t="n"/>
      <c r="K219" s="272" t="n"/>
      <c r="L219" s="272" t="n">
        <v>-8500</v>
      </c>
      <c r="M219" s="156" t="n"/>
      <c r="N219" s="156" t="n"/>
      <c r="O219" s="156" t="n"/>
    </row>
    <row r="220" ht="18.75" customHeight="1" s="153">
      <c r="A220" s="279" t="n"/>
      <c r="B220" s="267" t="n"/>
      <c r="C220" s="268" t="n"/>
      <c r="D220" s="268" t="n"/>
      <c r="E220" s="268" t="n"/>
      <c r="F220" s="269" t="n"/>
      <c r="G220" s="269" t="n"/>
      <c r="H220" s="270" t="n"/>
      <c r="I220" s="271" t="n"/>
      <c r="J220" s="271" t="n"/>
      <c r="K220" s="272" t="n"/>
      <c r="L220" s="272" t="n"/>
      <c r="M220" s="156" t="n"/>
      <c r="N220" s="156" t="n"/>
      <c r="O220" s="156" t="n"/>
    </row>
    <row r="221" ht="18.75" customHeight="1" s="153">
      <c r="A221" s="273" t="n"/>
      <c r="B221" s="274" t="inlineStr">
        <is>
          <t>GENERAL PAZ 7826</t>
        </is>
      </c>
      <c r="C221" s="275" t="n"/>
      <c r="D221" s="275" t="n"/>
      <c r="E221" s="275" t="n">
        <v>1</v>
      </c>
      <c r="F221" s="276" t="n"/>
      <c r="G221" s="276" t="n"/>
      <c r="H221" s="277" t="n">
        <v>95000</v>
      </c>
      <c r="I221" s="278" t="n"/>
      <c r="J221" s="278" t="n">
        <v>95000</v>
      </c>
      <c r="K221" s="272" t="n"/>
      <c r="L221" s="272" t="n">
        <v>26000</v>
      </c>
      <c r="M221" s="156" t="n"/>
      <c r="N221" s="156" t="n"/>
      <c r="O221" s="156" t="n"/>
    </row>
    <row r="222" ht="18.75" customHeight="1" s="153">
      <c r="A222" s="279" t="n"/>
      <c r="B222" s="267" t="n"/>
      <c r="C222" s="268" t="n"/>
      <c r="D222" s="268" t="n"/>
      <c r="E222" s="268" t="n"/>
      <c r="F222" s="269" t="n"/>
      <c r="G222" s="269" t="n"/>
      <c r="H222" s="270" t="n"/>
      <c r="I222" s="271" t="n"/>
      <c r="J222" s="271" t="n"/>
      <c r="K222" s="272" t="n"/>
      <c r="L222" s="272" t="n"/>
      <c r="M222" s="156" t="n"/>
      <c r="N222" s="156" t="n"/>
      <c r="O222" s="156" t="n"/>
    </row>
    <row r="223" ht="18.75" customHeight="1" s="153">
      <c r="A223" s="273" t="n"/>
      <c r="B223" s="274" t="inlineStr">
        <is>
          <t>FLORENCIO FERNANDEZ 6129</t>
        </is>
      </c>
      <c r="C223" s="275" t="n">
        <v>6</v>
      </c>
      <c r="D223" s="275" t="n"/>
      <c r="E223" s="275" t="n"/>
      <c r="F223" s="276" t="n"/>
      <c r="G223" s="276" t="n"/>
      <c r="H223" s="277" t="n">
        <v>132000</v>
      </c>
      <c r="I223" s="278" t="n"/>
      <c r="J223" s="278" t="n">
        <v>132000</v>
      </c>
      <c r="K223" s="272" t="n"/>
      <c r="L223" s="272" t="n">
        <v>30000</v>
      </c>
      <c r="M223" s="156" t="n"/>
      <c r="N223" s="156" t="n"/>
      <c r="O223" s="156" t="n"/>
    </row>
    <row r="224" ht="18.75" customHeight="1" s="153">
      <c r="A224" s="279" t="n"/>
      <c r="B224" s="267" t="n"/>
      <c r="C224" s="268" t="n"/>
      <c r="D224" s="268" t="n"/>
      <c r="E224" s="268" t="n"/>
      <c r="F224" s="269" t="n"/>
      <c r="G224" s="269" t="n"/>
      <c r="H224" s="270" t="n"/>
      <c r="I224" s="271" t="n"/>
      <c r="J224" s="271" t="n"/>
      <c r="K224" s="272" t="n"/>
      <c r="L224" s="272" t="n"/>
      <c r="M224" s="156" t="n"/>
      <c r="N224" s="156" t="n"/>
      <c r="O224" s="156" t="n"/>
    </row>
    <row r="225" ht="18.75" customHeight="1" s="153">
      <c r="A225" s="273" t="n"/>
      <c r="B225" s="274" t="inlineStr">
        <is>
          <t>CASTELLI 2219</t>
        </is>
      </c>
      <c r="C225" s="275" t="n">
        <v>1</v>
      </c>
      <c r="D225" s="275" t="n"/>
      <c r="E225" s="275" t="n"/>
      <c r="F225" s="276" t="n"/>
      <c r="G225" s="276" t="n"/>
      <c r="H225" s="277" t="n">
        <v>28500</v>
      </c>
      <c r="I225" s="278" t="n"/>
      <c r="J225" s="278" t="n">
        <v>28500</v>
      </c>
      <c r="K225" s="272" t="n"/>
      <c r="L225" s="272" t="n">
        <v>11500</v>
      </c>
      <c r="M225" s="156" t="n"/>
      <c r="N225" s="156" t="n"/>
      <c r="O225" s="156" t="n"/>
    </row>
    <row r="226" ht="18.75" customHeight="1" s="153">
      <c r="A226" s="279" t="n"/>
      <c r="B226" s="267" t="n"/>
      <c r="C226" s="268" t="n"/>
      <c r="D226" s="268" t="n"/>
      <c r="E226" s="268" t="n"/>
      <c r="F226" s="269" t="n"/>
      <c r="G226" s="269" t="n"/>
      <c r="H226" s="270" t="n"/>
      <c r="I226" s="271" t="n"/>
      <c r="J226" s="271" t="n"/>
      <c r="K226" s="272" t="n"/>
      <c r="L226" s="272" t="n"/>
      <c r="M226" s="156" t="n"/>
      <c r="N226" s="156" t="n"/>
      <c r="O226" s="156" t="n"/>
    </row>
    <row r="227" ht="18.75" customHeight="1" s="153">
      <c r="A227" s="273" t="n"/>
      <c r="B227" s="274" t="inlineStr">
        <is>
          <t>FILOMENA</t>
        </is>
      </c>
      <c r="C227" s="275" t="n">
        <v>2</v>
      </c>
      <c r="D227" s="275" t="n"/>
      <c r="E227" s="275" t="n"/>
      <c r="F227" s="276" t="n"/>
      <c r="G227" s="276" t="n"/>
      <c r="H227" s="277" t="n">
        <v>53000</v>
      </c>
      <c r="I227" s="278" t="n"/>
      <c r="J227" s="278" t="n">
        <v>53000</v>
      </c>
      <c r="K227" s="272" t="n"/>
      <c r="L227" s="272" t="n">
        <v>19000</v>
      </c>
      <c r="M227" s="156" t="n"/>
      <c r="N227" s="156" t="n"/>
      <c r="O227" s="156" t="n"/>
    </row>
    <row r="228" ht="18.75" customHeight="1" s="153">
      <c r="A228" s="279" t="n"/>
      <c r="B228" s="267" t="n"/>
      <c r="C228" s="268" t="n"/>
      <c r="D228" s="268" t="n"/>
      <c r="E228" s="268" t="n"/>
      <c r="F228" s="269" t="n"/>
      <c r="G228" s="269" t="n"/>
      <c r="H228" s="270" t="n"/>
      <c r="I228" s="271" t="n"/>
      <c r="J228" s="271" t="n"/>
      <c r="K228" s="272" t="n"/>
      <c r="L228" s="272" t="n"/>
      <c r="M228" s="156" t="n"/>
      <c r="N228" s="156" t="n"/>
      <c r="O228" s="156" t="n"/>
    </row>
    <row r="229" ht="18.75" customHeight="1" s="153">
      <c r="A229" s="273" t="n"/>
      <c r="B229" s="274" t="inlineStr">
        <is>
          <t>BERNARDO IRIGOYEN 6881</t>
        </is>
      </c>
      <c r="C229" s="275" t="n">
        <v>1</v>
      </c>
      <c r="D229" s="275" t="n"/>
      <c r="E229" s="275" t="n"/>
      <c r="F229" s="276" t="n"/>
      <c r="G229" s="276" t="n"/>
      <c r="H229" s="277" t="n">
        <v>21500</v>
      </c>
      <c r="I229" s="278" t="n">
        <v>21500</v>
      </c>
      <c r="J229" s="278" t="n"/>
      <c r="K229" s="272" t="n"/>
      <c r="L229" s="272" t="n">
        <v>4500</v>
      </c>
      <c r="M229" s="156" t="n"/>
      <c r="N229" s="156" t="n"/>
      <c r="O229" s="156" t="n"/>
    </row>
    <row r="230" ht="18.75" customHeight="1" s="153">
      <c r="A230" s="279" t="n"/>
      <c r="B230" s="267" t="n"/>
      <c r="C230" s="268" t="n"/>
      <c r="D230" s="268" t="n"/>
      <c r="E230" s="268" t="n"/>
      <c r="F230" s="269" t="n"/>
      <c r="G230" s="269" t="n"/>
      <c r="H230" s="270" t="n"/>
      <c r="I230" s="271" t="n"/>
      <c r="J230" s="271" t="n"/>
      <c r="K230" s="272" t="n"/>
      <c r="L230" s="272" t="n"/>
      <c r="M230" s="156" t="n"/>
      <c r="N230" s="156" t="n"/>
      <c r="O230" s="156" t="n"/>
    </row>
    <row r="231" ht="18.75" customHeight="1" s="153">
      <c r="A231" s="273" t="n"/>
      <c r="B231" s="274" t="inlineStr">
        <is>
          <t>IGUALDAD</t>
        </is>
      </c>
      <c r="C231" s="275" t="n">
        <v>1</v>
      </c>
      <c r="D231" s="275" t="n"/>
      <c r="E231" s="275" t="n"/>
      <c r="F231" s="276" t="n"/>
      <c r="G231" s="276" t="n"/>
      <c r="H231" s="277" t="n">
        <v>27000</v>
      </c>
      <c r="I231" s="278" t="n"/>
      <c r="J231" s="278" t="n">
        <v>27000</v>
      </c>
      <c r="K231" s="272" t="n"/>
      <c r="L231" s="272" t="n">
        <v>10000</v>
      </c>
      <c r="M231" s="156" t="n"/>
      <c r="N231" s="156" t="n"/>
      <c r="O231" s="156" t="n"/>
    </row>
    <row r="232" ht="18.75" customHeight="1" s="153">
      <c r="A232" s="279" t="n"/>
      <c r="B232" s="267" t="n"/>
      <c r="C232" s="268" t="n"/>
      <c r="D232" s="268" t="n"/>
      <c r="E232" s="268" t="n"/>
      <c r="F232" s="269" t="n"/>
      <c r="G232" s="269" t="n"/>
      <c r="H232" s="270" t="n"/>
      <c r="I232" s="271" t="n"/>
      <c r="J232" s="271" t="n"/>
      <c r="K232" s="272" t="n"/>
      <c r="L232" s="272" t="n"/>
      <c r="M232" s="156" t="n"/>
      <c r="N232" s="156" t="n"/>
      <c r="O232" s="156" t="n"/>
    </row>
    <row r="233" ht="18.75" customHeight="1" s="153">
      <c r="A233" s="273" t="n"/>
      <c r="B233" s="274" t="inlineStr">
        <is>
          <t>FLORENCIO SANCHEZ Y NTRA SRA DE TRANSITO</t>
        </is>
      </c>
      <c r="C233" s="275" t="n">
        <v>1</v>
      </c>
      <c r="D233" s="275" t="n"/>
      <c r="E233" s="275" t="n"/>
      <c r="F233" s="276" t="n"/>
      <c r="G233" s="276" t="n"/>
      <c r="H233" s="277" t="n">
        <v>28500</v>
      </c>
      <c r="I233" s="278" t="n"/>
      <c r="J233" s="278" t="n">
        <v>28500</v>
      </c>
      <c r="K233" s="272" t="n"/>
      <c r="L233" s="272" t="n">
        <v>11500</v>
      </c>
      <c r="M233" s="156" t="n"/>
      <c r="N233" s="156" t="n"/>
      <c r="O233" s="156" t="n"/>
    </row>
    <row r="234" ht="18.75" customHeight="1" s="153">
      <c r="A234" s="279" t="n"/>
      <c r="B234" s="267" t="n"/>
      <c r="C234" s="268" t="n"/>
      <c r="D234" s="268" t="n"/>
      <c r="E234" s="268" t="n"/>
      <c r="F234" s="269" t="n"/>
      <c r="G234" s="269" t="n"/>
      <c r="H234" s="270" t="n"/>
      <c r="I234" s="271" t="n"/>
      <c r="J234" s="271" t="n"/>
      <c r="K234" s="272" t="n"/>
      <c r="L234" s="272" t="n"/>
      <c r="M234" s="156" t="n"/>
      <c r="N234" s="156" t="n"/>
      <c r="O234" s="156" t="n"/>
    </row>
    <row r="235" ht="18.75" customHeight="1" s="153">
      <c r="A235" s="273" t="n"/>
      <c r="B235" s="274" t="inlineStr">
        <is>
          <t>REGIS MARTINEZ 3368</t>
        </is>
      </c>
      <c r="C235" s="275" t="n">
        <v>1</v>
      </c>
      <c r="D235" s="275" t="n"/>
      <c r="E235" s="275" t="n"/>
      <c r="F235" s="276" t="n"/>
      <c r="G235" s="276" t="n"/>
      <c r="H235" s="277" t="n">
        <v>28500</v>
      </c>
      <c r="I235" s="278" t="n"/>
      <c r="J235" s="278" t="n">
        <v>28500</v>
      </c>
      <c r="K235" s="272" t="n"/>
      <c r="L235" s="272" t="n">
        <v>11500</v>
      </c>
      <c r="M235" s="156" t="n"/>
      <c r="N235" s="156" t="n"/>
      <c r="O235" s="156" t="n"/>
    </row>
    <row r="236" ht="18.75" customHeight="1" s="153">
      <c r="A236" s="279" t="n"/>
      <c r="B236" s="267" t="n"/>
      <c r="C236" s="268" t="n"/>
      <c r="D236" s="268" t="n"/>
      <c r="E236" s="268" t="n"/>
      <c r="F236" s="269" t="n"/>
      <c r="G236" s="269" t="n"/>
      <c r="H236" s="270" t="n"/>
      <c r="I236" s="271" t="n"/>
      <c r="J236" s="271" t="n"/>
      <c r="K236" s="272" t="n"/>
      <c r="L236" s="272" t="n"/>
      <c r="M236" s="156" t="n"/>
      <c r="N236" s="156" t="n"/>
      <c r="O236" s="156" t="n"/>
    </row>
    <row r="237" ht="18.75" customHeight="1" s="153">
      <c r="A237" s="273" t="n"/>
      <c r="B237" s="274" t="inlineStr">
        <is>
          <t>BRASERIA</t>
        </is>
      </c>
      <c r="C237" s="275" t="n"/>
      <c r="D237" s="275" t="n"/>
      <c r="E237" s="275" t="n">
        <v>1</v>
      </c>
      <c r="F237" s="276" t="n"/>
      <c r="G237" s="276" t="n"/>
      <c r="H237" s="277" t="n">
        <v>94000</v>
      </c>
      <c r="I237" s="278" t="n"/>
      <c r="J237" s="278" t="n">
        <v>94000</v>
      </c>
      <c r="K237" s="272" t="n"/>
      <c r="L237" s="272" t="n">
        <v>25000</v>
      </c>
      <c r="M237" s="156" t="n"/>
      <c r="N237" s="156" t="n"/>
      <c r="O237" s="156" t="n"/>
    </row>
    <row r="238" ht="18.75" customHeight="1" s="153">
      <c r="A238" s="279" t="n"/>
      <c r="B238" s="267" t="n"/>
      <c r="C238" s="268" t="n"/>
      <c r="D238" s="268" t="n"/>
      <c r="E238" s="268" t="n"/>
      <c r="F238" s="269" t="n"/>
      <c r="G238" s="269" t="n"/>
      <c r="H238" s="270" t="n"/>
      <c r="I238" s="271" t="n"/>
      <c r="J238" s="271" t="n"/>
      <c r="K238" s="272" t="n"/>
      <c r="L238" s="272" t="n"/>
      <c r="M238" s="156" t="n"/>
      <c r="N238" s="156" t="n"/>
      <c r="O238" s="156" t="n"/>
    </row>
    <row r="239" ht="18.75" customHeight="1" s="153">
      <c r="A239" s="273" t="n"/>
      <c r="B239" s="274" t="inlineStr">
        <is>
          <t>PRIMERO DE MAYO 1959</t>
        </is>
      </c>
      <c r="C239" s="275" t="n"/>
      <c r="D239" s="275" t="n"/>
      <c r="E239" s="275" t="n">
        <v>1</v>
      </c>
      <c r="F239" s="276" t="n"/>
      <c r="G239" s="276" t="n"/>
      <c r="H239" s="277" t="n">
        <v>95000</v>
      </c>
      <c r="I239" s="278" t="n">
        <v>95000</v>
      </c>
      <c r="J239" s="278" t="n"/>
      <c r="K239" s="272" t="n"/>
      <c r="L239" s="272" t="n">
        <v>26000</v>
      </c>
      <c r="M239" s="156" t="n"/>
      <c r="N239" s="156" t="n"/>
      <c r="O239" s="156" t="n"/>
    </row>
    <row r="240" ht="18.75" customHeight="1" s="153">
      <c r="A240" s="279" t="n"/>
      <c r="B240" s="267" t="n"/>
      <c r="C240" s="268" t="n"/>
      <c r="D240" s="268" t="n"/>
      <c r="E240" s="268" t="n"/>
      <c r="F240" s="269" t="n"/>
      <c r="G240" s="269" t="n"/>
      <c r="H240" s="270" t="n"/>
      <c r="I240" s="271" t="n"/>
      <c r="J240" s="271" t="n"/>
      <c r="K240" s="272" t="n"/>
      <c r="L240" s="272" t="n"/>
      <c r="M240" s="156" t="n"/>
      <c r="N240" s="156" t="n"/>
      <c r="O240" s="156" t="n"/>
    </row>
    <row r="241" ht="18.75" customHeight="1" s="153">
      <c r="A241" s="273" t="n"/>
      <c r="B241" s="274" t="inlineStr">
        <is>
          <t>TACUARI 5717</t>
        </is>
      </c>
      <c r="C241" s="275" t="n">
        <v>1</v>
      </c>
      <c r="D241" s="275" t="n"/>
      <c r="E241" s="275" t="n"/>
      <c r="F241" s="276" t="n"/>
      <c r="G241" s="276" t="n"/>
      <c r="H241" s="277" t="n">
        <v>28500</v>
      </c>
      <c r="I241" s="278" t="n"/>
      <c r="J241" s="278" t="n">
        <v>28500</v>
      </c>
      <c r="K241" s="272" t="n"/>
      <c r="L241" s="272" t="n">
        <v>11500</v>
      </c>
      <c r="M241" s="156" t="n"/>
      <c r="N241" s="156" t="n"/>
      <c r="O241" s="156" t="n"/>
    </row>
    <row r="242" ht="18.75" customHeight="1" s="153">
      <c r="A242" s="279" t="n"/>
      <c r="B242" s="267" t="n"/>
      <c r="C242" s="268" t="n"/>
      <c r="D242" s="268" t="n"/>
      <c r="E242" s="268" t="n"/>
      <c r="F242" s="269" t="n"/>
      <c r="G242" s="269" t="n"/>
      <c r="H242" s="270" t="n"/>
      <c r="I242" s="271" t="n"/>
      <c r="J242" s="271" t="n"/>
      <c r="K242" s="272" t="n"/>
      <c r="L242" s="272" t="n"/>
      <c r="M242" s="156" t="n"/>
      <c r="N242" s="156" t="n"/>
      <c r="O242" s="156" t="n"/>
    </row>
    <row r="243" ht="18.75" customHeight="1" s="153">
      <c r="A243" s="280" t="n">
        <v>46185</v>
      </c>
      <c r="B243" s="274" t="inlineStr">
        <is>
          <t>SAN MARTIN 8051</t>
        </is>
      </c>
      <c r="C243" s="275" t="n"/>
      <c r="D243" s="275" t="n"/>
      <c r="E243" s="275" t="n">
        <v>1</v>
      </c>
      <c r="F243" s="276" t="n"/>
      <c r="G243" s="276" t="n"/>
      <c r="H243" s="277" t="n">
        <v>98500</v>
      </c>
      <c r="I243" s="278" t="n"/>
      <c r="J243" s="278" t="n">
        <v>98500</v>
      </c>
      <c r="K243" s="272" t="n"/>
      <c r="L243" s="272" t="n">
        <v>29500</v>
      </c>
      <c r="M243" s="156" t="n"/>
      <c r="N243" s="156" t="n"/>
      <c r="O243" s="156" t="n"/>
    </row>
    <row r="244" ht="18.75" customHeight="1" s="153">
      <c r="A244" s="279" t="n"/>
      <c r="B244" s="267" t="n"/>
      <c r="C244" s="268" t="n"/>
      <c r="D244" s="268" t="n"/>
      <c r="E244" s="268" t="n"/>
      <c r="F244" s="269" t="n"/>
      <c r="G244" s="269" t="n"/>
      <c r="H244" s="270" t="n"/>
      <c r="I244" s="271" t="n"/>
      <c r="J244" s="271" t="n"/>
      <c r="K244" s="272" t="n"/>
      <c r="L244" s="272" t="n"/>
      <c r="M244" s="156" t="n"/>
      <c r="N244" s="156" t="n"/>
      <c r="O244" s="156" t="n"/>
    </row>
    <row r="245" ht="18.75" customHeight="1" s="153">
      <c r="A245" s="273" t="n"/>
      <c r="B245" s="274" t="inlineStr">
        <is>
          <t>CAFERATA 8877</t>
        </is>
      </c>
      <c r="C245" s="275" t="n"/>
      <c r="D245" s="275" t="n"/>
      <c r="E245" s="275" t="n">
        <v>1</v>
      </c>
      <c r="F245" s="276" t="n"/>
      <c r="G245" s="276" t="n"/>
      <c r="H245" s="277" t="n">
        <v>89000</v>
      </c>
      <c r="I245" s="278" t="n"/>
      <c r="J245" s="278" t="n">
        <v>89000</v>
      </c>
      <c r="K245" s="272" t="n"/>
      <c r="L245" s="272" t="n">
        <v>20000</v>
      </c>
      <c r="M245" s="156" t="n"/>
      <c r="N245" s="156" t="n"/>
      <c r="O245" s="156" t="n"/>
    </row>
    <row r="246" ht="18.75" customHeight="1" s="153">
      <c r="A246" s="279" t="n"/>
      <c r="B246" s="267" t="n"/>
      <c r="C246" s="268" t="n"/>
      <c r="D246" s="268" t="n"/>
      <c r="E246" s="268" t="n"/>
      <c r="F246" s="269" t="n"/>
      <c r="G246" s="269" t="n"/>
      <c r="H246" s="270" t="n"/>
      <c r="I246" s="271" t="n"/>
      <c r="J246" s="271" t="n"/>
      <c r="K246" s="272" t="n"/>
      <c r="L246" s="272" t="n"/>
      <c r="M246" s="156" t="n"/>
      <c r="N246" s="156" t="n"/>
      <c r="O246" s="156" t="n"/>
    </row>
    <row r="247" ht="18.75" customHeight="1" s="153">
      <c r="A247" s="273" t="n"/>
      <c r="B247" s="274" t="inlineStr">
        <is>
          <t>TACUARI 5717</t>
        </is>
      </c>
      <c r="C247" s="275" t="n">
        <v>1</v>
      </c>
      <c r="D247" s="275" t="n"/>
      <c r="E247" s="275" t="n"/>
      <c r="F247" s="276" t="n"/>
      <c r="G247" s="276" t="n"/>
      <c r="H247" s="277" t="n">
        <v>28500</v>
      </c>
      <c r="I247" s="278" t="n"/>
      <c r="J247" s="278" t="n">
        <v>28500</v>
      </c>
      <c r="K247" s="272" t="n"/>
      <c r="L247" s="272" t="n">
        <v>11500</v>
      </c>
      <c r="M247" s="156" t="n"/>
      <c r="N247" s="156" t="n"/>
      <c r="O247" s="156" t="n"/>
    </row>
    <row r="248" ht="18.75" customHeight="1" s="153">
      <c r="A248" s="279" t="n"/>
      <c r="B248" s="267" t="n"/>
      <c r="C248" s="268" t="n"/>
      <c r="D248" s="268" t="n"/>
      <c r="E248" s="268" t="n"/>
      <c r="F248" s="269" t="n"/>
      <c r="G248" s="269" t="n"/>
      <c r="H248" s="270" t="n"/>
      <c r="I248" s="271" t="n"/>
      <c r="J248" s="271" t="n"/>
      <c r="K248" s="272" t="n"/>
      <c r="L248" s="272" t="n"/>
      <c r="M248" s="156" t="n"/>
      <c r="N248" s="156" t="n"/>
      <c r="O248" s="156" t="n"/>
    </row>
    <row r="249" ht="18.75" customHeight="1" s="153">
      <c r="A249" s="273" t="n"/>
      <c r="B249" s="274" t="inlineStr">
        <is>
          <t>LUCHO</t>
        </is>
      </c>
      <c r="C249" s="275" t="n">
        <v>3</v>
      </c>
      <c r="D249" s="275" t="n"/>
      <c r="E249" s="275" t="n"/>
      <c r="F249" s="276" t="n"/>
      <c r="G249" s="276" t="n"/>
      <c r="H249" s="277" t="n">
        <v>66000</v>
      </c>
      <c r="I249" s="278" t="n">
        <v>66000</v>
      </c>
      <c r="J249" s="278" t="n"/>
      <c r="K249" s="272" t="n"/>
      <c r="L249" s="272" t="n">
        <v>15000</v>
      </c>
      <c r="M249" s="156" t="n"/>
      <c r="N249" s="156" t="n"/>
      <c r="O249" s="156" t="n"/>
    </row>
    <row r="250" ht="18.75" customHeight="1" s="153">
      <c r="A250" s="279" t="n"/>
      <c r="B250" s="267" t="n"/>
      <c r="C250" s="268" t="n"/>
      <c r="D250" s="268" t="n"/>
      <c r="E250" s="268" t="n"/>
      <c r="F250" s="269" t="n"/>
      <c r="G250" s="269" t="n"/>
      <c r="H250" s="270" t="n"/>
      <c r="I250" s="271" t="n"/>
      <c r="J250" s="271" t="n"/>
      <c r="K250" s="272" t="n"/>
      <c r="L250" s="272" t="n"/>
      <c r="M250" s="156" t="n"/>
      <c r="N250" s="156" t="n"/>
      <c r="O250" s="156" t="n"/>
    </row>
    <row r="251" ht="18.75" customHeight="1" s="153">
      <c r="A251" s="273" t="n"/>
      <c r="B251" s="274" t="inlineStr">
        <is>
          <t>FILOMENA</t>
        </is>
      </c>
      <c r="C251" s="275" t="n">
        <v>2</v>
      </c>
      <c r="D251" s="275" t="n"/>
      <c r="E251" s="275" t="n"/>
      <c r="F251" s="276" t="n"/>
      <c r="G251" s="276" t="n"/>
      <c r="H251" s="277" t="n">
        <v>53000</v>
      </c>
      <c r="I251" s="278" t="n"/>
      <c r="J251" s="278" t="n">
        <v>53000</v>
      </c>
      <c r="K251" s="272" t="n"/>
      <c r="L251" s="272" t="n">
        <v>19000</v>
      </c>
      <c r="M251" s="156" t="n"/>
      <c r="N251" s="156" t="n"/>
      <c r="O251" s="156" t="n"/>
    </row>
    <row r="252" ht="18.75" customHeight="1" s="153">
      <c r="A252" s="279" t="n"/>
      <c r="B252" s="267" t="n"/>
      <c r="C252" s="268" t="n"/>
      <c r="D252" s="268" t="n"/>
      <c r="E252" s="268" t="n"/>
      <c r="F252" s="269" t="n"/>
      <c r="G252" s="269" t="n"/>
      <c r="H252" s="270" t="n"/>
      <c r="I252" s="271" t="n"/>
      <c r="J252" s="271" t="n"/>
      <c r="K252" s="272" t="n"/>
      <c r="L252" s="272" t="n"/>
      <c r="M252" s="156" t="n"/>
      <c r="N252" s="156" t="n"/>
      <c r="O252" s="156" t="n"/>
    </row>
    <row r="253" ht="18.75" customHeight="1" s="153">
      <c r="A253" s="273" t="n"/>
      <c r="B253" s="274" t="inlineStr">
        <is>
          <t>PEDRO CEBALLOS 8134</t>
        </is>
      </c>
      <c r="C253" s="275" t="n">
        <v>3</v>
      </c>
      <c r="D253" s="275" t="n"/>
      <c r="E253" s="275" t="n"/>
      <c r="F253" s="276" t="n"/>
      <c r="G253" s="276" t="n"/>
      <c r="H253" s="277" t="n">
        <v>66000</v>
      </c>
      <c r="I253" s="278" t="n">
        <v>66000</v>
      </c>
      <c r="J253" s="278" t="n"/>
      <c r="K253" s="272" t="n"/>
      <c r="L253" s="272" t="n">
        <v>15000</v>
      </c>
      <c r="M253" s="156" t="n"/>
      <c r="N253" s="156" t="n"/>
      <c r="O253" s="156" t="n"/>
    </row>
    <row r="254" ht="18.75" customHeight="1" s="153">
      <c r="A254" s="279" t="n"/>
      <c r="B254" s="267" t="n"/>
      <c r="C254" s="268" t="n"/>
      <c r="D254" s="268" t="n"/>
      <c r="E254" s="268" t="n"/>
      <c r="F254" s="269" t="n"/>
      <c r="G254" s="269" t="n"/>
      <c r="H254" s="270" t="n"/>
      <c r="I254" s="271" t="n"/>
      <c r="J254" s="271" t="n"/>
      <c r="K254" s="272" t="n"/>
      <c r="L254" s="272" t="n"/>
      <c r="M254" s="156" t="n"/>
      <c r="N254" s="156" t="n"/>
      <c r="O254" s="156" t="n"/>
    </row>
    <row r="255" ht="18.75" customHeight="1" s="153">
      <c r="A255" s="273" t="n"/>
      <c r="B255" s="274" t="inlineStr">
        <is>
          <t>PAULO</t>
        </is>
      </c>
      <c r="C255" s="275" t="n">
        <v>2</v>
      </c>
      <c r="D255" s="275" t="n"/>
      <c r="E255" s="275" t="n"/>
      <c r="F255" s="276" t="n"/>
      <c r="G255" s="276" t="n"/>
      <c r="H255" s="277" t="n">
        <v>44000</v>
      </c>
      <c r="I255" s="278" t="n">
        <v>44000</v>
      </c>
      <c r="J255" s="278" t="n"/>
      <c r="K255" s="272" t="n"/>
      <c r="L255" s="272" t="n">
        <v>10000</v>
      </c>
      <c r="M255" s="156" t="n"/>
      <c r="N255" s="156" t="n"/>
      <c r="O255" s="156" t="n"/>
    </row>
    <row r="256" ht="18.75" customHeight="1" s="153">
      <c r="A256" s="279" t="n"/>
      <c r="B256" s="267" t="n"/>
      <c r="C256" s="268" t="n"/>
      <c r="D256" s="268" t="n"/>
      <c r="E256" s="268" t="n"/>
      <c r="F256" s="269" t="n"/>
      <c r="G256" s="269" t="n"/>
      <c r="H256" s="270" t="n"/>
      <c r="I256" s="271" t="n"/>
      <c r="J256" s="271" t="n"/>
      <c r="K256" s="272" t="n"/>
      <c r="L256" s="272" t="n"/>
      <c r="M256" s="156" t="n"/>
      <c r="N256" s="156" t="n"/>
      <c r="O256" s="156" t="n"/>
    </row>
    <row r="257" ht="18.75" customHeight="1" s="153">
      <c r="A257" s="273" t="n"/>
      <c r="B257" s="274" t="inlineStr">
        <is>
          <t>LEUMANN 6450</t>
        </is>
      </c>
      <c r="C257" s="275" t="n"/>
      <c r="D257" s="275" t="n"/>
      <c r="E257" s="275" t="n">
        <v>1</v>
      </c>
      <c r="F257" s="276" t="n"/>
      <c r="G257" s="276" t="n"/>
      <c r="H257" s="277" t="n">
        <v>98500</v>
      </c>
      <c r="I257" s="278" t="n"/>
      <c r="J257" s="278" t="n">
        <v>98500</v>
      </c>
      <c r="K257" s="272" t="n"/>
      <c r="L257" s="272" t="n">
        <v>29500</v>
      </c>
      <c r="M257" s="156" t="n"/>
      <c r="N257" s="156" t="n"/>
      <c r="O257" s="156" t="n"/>
    </row>
    <row r="258" ht="18.75" customHeight="1" s="153">
      <c r="A258" s="279" t="n"/>
      <c r="B258" s="267" t="n"/>
      <c r="C258" s="268" t="n"/>
      <c r="D258" s="268" t="n"/>
      <c r="E258" s="268" t="n"/>
      <c r="F258" s="269" t="n"/>
      <c r="G258" s="269" t="n"/>
      <c r="H258" s="270" t="n"/>
      <c r="I258" s="271" t="n"/>
      <c r="J258" s="271" t="n"/>
      <c r="K258" s="272" t="n"/>
      <c r="L258" s="272" t="n"/>
      <c r="M258" s="156" t="n"/>
      <c r="N258" s="156" t="n"/>
      <c r="O258" s="156" t="n"/>
    </row>
    <row r="259" ht="18.75" customHeight="1" s="153">
      <c r="A259" s="273" t="n"/>
      <c r="B259" s="274" t="inlineStr">
        <is>
          <t>JP LOPEZ 1849</t>
        </is>
      </c>
      <c r="C259" s="275" t="n">
        <v>1</v>
      </c>
      <c r="D259" s="275" t="n"/>
      <c r="E259" s="275" t="n"/>
      <c r="F259" s="276" t="n"/>
      <c r="G259" s="276" t="n"/>
      <c r="H259" s="277" t="n">
        <v>28500</v>
      </c>
      <c r="I259" s="278" t="n"/>
      <c r="J259" s="278" t="n">
        <v>28500</v>
      </c>
      <c r="K259" s="272" t="n"/>
      <c r="L259" s="272" t="n">
        <v>11500</v>
      </c>
      <c r="M259" s="156" t="n"/>
      <c r="N259" s="156" t="n"/>
      <c r="O259" s="156" t="n"/>
    </row>
    <row r="260" ht="18.75" customHeight="1" s="153">
      <c r="A260" s="279" t="n"/>
      <c r="B260" s="267" t="n"/>
      <c r="C260" s="268" t="n"/>
      <c r="D260" s="268" t="n"/>
      <c r="E260" s="268" t="n"/>
      <c r="F260" s="269" t="n"/>
      <c r="G260" s="269" t="n"/>
      <c r="H260" s="270" t="n"/>
      <c r="I260" s="271" t="n"/>
      <c r="J260" s="271" t="n"/>
      <c r="K260" s="272" t="n"/>
      <c r="L260" s="272" t="n"/>
      <c r="M260" s="156" t="n"/>
      <c r="N260" s="156" t="n"/>
      <c r="O260" s="156" t="n"/>
    </row>
    <row r="261" ht="18.75" customHeight="1" s="153">
      <c r="A261" s="273" t="n"/>
      <c r="B261" s="274" t="inlineStr">
        <is>
          <t>ALVEAR 5259</t>
        </is>
      </c>
      <c r="C261" s="275" t="n">
        <v>1</v>
      </c>
      <c r="D261" s="275" t="n"/>
      <c r="E261" s="275" t="n"/>
      <c r="F261" s="276" t="n"/>
      <c r="G261" s="276" t="n"/>
      <c r="H261" s="277" t="n">
        <v>28500</v>
      </c>
      <c r="I261" s="278" t="n">
        <v>28500</v>
      </c>
      <c r="J261" s="278" t="n"/>
      <c r="K261" s="272" t="n"/>
      <c r="L261" s="272" t="n">
        <v>11500</v>
      </c>
      <c r="M261" s="156" t="n"/>
      <c r="N261" s="156" t="n"/>
      <c r="O261" s="156" t="n"/>
    </row>
    <row r="262" ht="18.75" customHeight="1" s="153">
      <c r="A262" s="279" t="n"/>
      <c r="B262" s="267" t="n"/>
      <c r="C262" s="268" t="n"/>
      <c r="D262" s="268" t="n"/>
      <c r="E262" s="268" t="n"/>
      <c r="F262" s="269" t="n"/>
      <c r="G262" s="269" t="n"/>
      <c r="H262" s="270" t="n"/>
      <c r="I262" s="271" t="n"/>
      <c r="J262" s="271" t="n"/>
      <c r="K262" s="272" t="n"/>
      <c r="L262" s="272" t="n"/>
      <c r="M262" s="156" t="n"/>
      <c r="N262" s="156" t="n"/>
      <c r="O262" s="156" t="n"/>
    </row>
    <row r="263" ht="18.75" customHeight="1" s="153">
      <c r="A263" s="273" t="n"/>
      <c r="B263" s="274" t="inlineStr">
        <is>
          <t>POLITERI OCEAN 2690</t>
        </is>
      </c>
      <c r="C263" s="275" t="n">
        <v>1</v>
      </c>
      <c r="D263" s="275" t="n"/>
      <c r="E263" s="275" t="n"/>
      <c r="F263" s="276" t="n"/>
      <c r="G263" s="276" t="n"/>
      <c r="H263" s="277" t="n">
        <v>28500</v>
      </c>
      <c r="I263" s="278" t="n">
        <v>28500</v>
      </c>
      <c r="J263" s="278" t="n"/>
      <c r="K263" s="272" t="n"/>
      <c r="L263" s="272" t="n">
        <v>11500</v>
      </c>
      <c r="M263" s="156" t="n"/>
      <c r="N263" s="156" t="n"/>
      <c r="O263" s="156" t="n"/>
    </row>
    <row r="264" ht="18.75" customHeight="1" s="153">
      <c r="A264" s="279" t="n"/>
      <c r="B264" s="267" t="n"/>
      <c r="C264" s="268" t="n"/>
      <c r="D264" s="268" t="n"/>
      <c r="E264" s="268" t="n"/>
      <c r="F264" s="269" t="n"/>
      <c r="G264" s="269" t="n"/>
      <c r="H264" s="270" t="n"/>
      <c r="I264" s="271" t="n"/>
      <c r="J264" s="271" t="n"/>
      <c r="K264" s="272" t="n"/>
      <c r="L264" s="272" t="n"/>
      <c r="M264" s="156" t="n"/>
      <c r="N264" s="156" t="n"/>
      <c r="O264" s="156" t="n"/>
    </row>
    <row r="265" ht="18.75" customHeight="1" s="153">
      <c r="A265" s="273" t="n"/>
      <c r="B265" s="274" t="inlineStr">
        <is>
          <t>NOGALES 3419</t>
        </is>
      </c>
      <c r="C265" s="275" t="n">
        <v>1</v>
      </c>
      <c r="D265" s="275" t="n"/>
      <c r="E265" s="275" t="n"/>
      <c r="F265" s="276" t="n"/>
      <c r="G265" s="276" t="n"/>
      <c r="H265" s="277" t="n">
        <v>28500</v>
      </c>
      <c r="I265" s="278" t="n"/>
      <c r="J265" s="278" t="n">
        <v>28500</v>
      </c>
      <c r="K265" s="272" t="n"/>
      <c r="L265" s="272" t="n">
        <v>11500</v>
      </c>
      <c r="M265" s="156" t="n"/>
      <c r="N265" s="156" t="n"/>
      <c r="O265" s="156" t="n"/>
    </row>
    <row r="266" ht="18.75" customHeight="1" s="153">
      <c r="A266" s="279" t="n"/>
      <c r="B266" s="267" t="n"/>
      <c r="C266" s="268" t="n"/>
      <c r="D266" s="268" t="n"/>
      <c r="E266" s="268" t="n"/>
      <c r="F266" s="269" t="n"/>
      <c r="G266" s="269" t="n"/>
      <c r="H266" s="270" t="n"/>
      <c r="I266" s="271" t="n"/>
      <c r="J266" s="271" t="n"/>
      <c r="K266" s="272" t="n"/>
      <c r="L266" s="272" t="n"/>
      <c r="M266" s="156" t="n"/>
      <c r="N266" s="156" t="n"/>
      <c r="O266" s="156" t="n"/>
    </row>
    <row r="267" ht="18.75" customHeight="1" s="153">
      <c r="A267" s="273" t="n"/>
      <c r="B267" s="274" t="inlineStr">
        <is>
          <t>GOLD BURGER</t>
        </is>
      </c>
      <c r="C267" s="275" t="n">
        <v>6</v>
      </c>
      <c r="D267" s="275" t="n"/>
      <c r="E267" s="275" t="n"/>
      <c r="F267" s="276" t="n"/>
      <c r="G267" s="276" t="n"/>
      <c r="H267" s="277" t="n">
        <v>177000</v>
      </c>
      <c r="I267" s="278" t="n">
        <v>177000</v>
      </c>
      <c r="J267" s="278" t="n"/>
      <c r="K267" s="272" t="n"/>
      <c r="L267" s="272" t="n">
        <v>75000</v>
      </c>
      <c r="M267" s="156" t="n"/>
      <c r="N267" s="156" t="n"/>
      <c r="O267" s="156" t="n"/>
    </row>
    <row r="268" ht="18.75" customHeight="1" s="153">
      <c r="A268" s="279" t="n"/>
      <c r="B268" s="267" t="n"/>
      <c r="C268" s="268" t="n"/>
      <c r="D268" s="268" t="n"/>
      <c r="E268" s="268" t="n"/>
      <c r="F268" s="269" t="n"/>
      <c r="G268" s="269" t="n"/>
      <c r="H268" s="270" t="n"/>
      <c r="I268" s="271" t="n"/>
      <c r="J268" s="271" t="n"/>
      <c r="K268" s="272" t="n"/>
      <c r="L268" s="272" t="n"/>
      <c r="M268" s="156" t="n"/>
      <c r="N268" s="156" t="n"/>
      <c r="O268" s="156" t="n"/>
    </row>
    <row r="269" ht="18.75" customHeight="1" s="153">
      <c r="A269" s="273" t="n"/>
      <c r="B269" s="274" t="inlineStr">
        <is>
          <t>NACHO CUEVA</t>
        </is>
      </c>
      <c r="C269" s="275" t="n">
        <v>2</v>
      </c>
      <c r="D269" s="275" t="n"/>
      <c r="E269" s="275" t="n"/>
      <c r="F269" s="276" t="n"/>
      <c r="G269" s="276" t="n"/>
      <c r="H269" s="277" t="n">
        <v>51000</v>
      </c>
      <c r="I269" s="278" t="n">
        <v>51000</v>
      </c>
      <c r="J269" s="278" t="n"/>
      <c r="K269" s="272" t="n"/>
      <c r="L269" s="272" t="n">
        <v>17000</v>
      </c>
      <c r="M269" s="156" t="n"/>
      <c r="N269" s="156" t="n"/>
      <c r="O269" s="156" t="n"/>
    </row>
    <row r="270" ht="18.75" customHeight="1" s="153">
      <c r="A270" s="279" t="n"/>
      <c r="B270" s="267" t="n"/>
      <c r="C270" s="268" t="n"/>
      <c r="D270" s="268" t="n"/>
      <c r="E270" s="268" t="n"/>
      <c r="F270" s="269" t="n"/>
      <c r="G270" s="269" t="n"/>
      <c r="H270" s="270" t="n"/>
      <c r="I270" s="271" t="n"/>
      <c r="J270" s="271" t="n"/>
      <c r="K270" s="272" t="n"/>
      <c r="L270" s="272" t="n"/>
      <c r="M270" s="156" t="n"/>
      <c r="N270" s="156" t="n"/>
      <c r="O270" s="156" t="n"/>
    </row>
    <row r="271" ht="18.75" customHeight="1" s="153">
      <c r="A271" s="273" t="n"/>
      <c r="B271" s="274" t="inlineStr">
        <is>
          <t>VERBENA</t>
        </is>
      </c>
      <c r="C271" s="275" t="n">
        <v>2</v>
      </c>
      <c r="D271" s="275" t="n"/>
      <c r="E271" s="275" t="n"/>
      <c r="F271" s="276" t="n"/>
      <c r="G271" s="276" t="n"/>
      <c r="H271" s="277" t="n">
        <v>57000</v>
      </c>
      <c r="I271" s="278" t="n">
        <v>57000</v>
      </c>
      <c r="J271" s="278" t="n"/>
      <c r="K271" s="272" t="n"/>
      <c r="L271" s="272" t="n">
        <v>23000</v>
      </c>
      <c r="M271" s="156" t="n"/>
      <c r="N271" s="156" t="n"/>
      <c r="O271" s="156" t="n"/>
    </row>
    <row r="272" ht="18.75" customHeight="1" s="153">
      <c r="A272" s="279" t="n"/>
      <c r="B272" s="267" t="n"/>
      <c r="C272" s="268" t="n"/>
      <c r="D272" s="268" t="n"/>
      <c r="E272" s="268" t="n"/>
      <c r="F272" s="269" t="n"/>
      <c r="G272" s="269" t="n"/>
      <c r="H272" s="270" t="n"/>
      <c r="I272" s="271" t="n"/>
      <c r="J272" s="271" t="n"/>
      <c r="K272" s="272" t="n"/>
      <c r="L272" s="272" t="n"/>
      <c r="M272" s="156" t="n"/>
      <c r="N272" s="156" t="n"/>
      <c r="O272" s="156" t="n"/>
    </row>
    <row r="273" ht="18.75" customHeight="1" s="153">
      <c r="A273" s="273" t="n"/>
      <c r="B273" s="274" t="inlineStr">
        <is>
          <t>ROTI AGUADO</t>
        </is>
      </c>
      <c r="C273" s="275" t="n"/>
      <c r="D273" s="275" t="n">
        <v>2</v>
      </c>
      <c r="E273" s="275" t="n"/>
      <c r="F273" s="276" t="n"/>
      <c r="G273" s="276" t="n"/>
      <c r="H273" s="277" t="n">
        <v>73000</v>
      </c>
      <c r="I273" s="278" t="n"/>
      <c r="J273" s="278" t="n">
        <v>73000</v>
      </c>
      <c r="K273" s="272" t="n"/>
      <c r="L273" s="272" t="n">
        <v>22000</v>
      </c>
      <c r="M273" s="156" t="n"/>
      <c r="N273" s="156" t="n"/>
      <c r="O273" s="156" t="n"/>
    </row>
    <row r="274" ht="18.75" customHeight="1" s="153">
      <c r="A274" s="279" t="n"/>
      <c r="B274" s="267" t="n"/>
      <c r="C274" s="268" t="n"/>
      <c r="D274" s="268" t="n"/>
      <c r="E274" s="268" t="n"/>
      <c r="F274" s="269" t="n"/>
      <c r="G274" s="269" t="n"/>
      <c r="H274" s="270" t="n"/>
      <c r="I274" s="271" t="n"/>
      <c r="J274" s="271" t="n"/>
      <c r="K274" s="272" t="n"/>
      <c r="L274" s="272" t="n"/>
      <c r="M274" s="156" t="n"/>
      <c r="N274" s="156" t="n"/>
      <c r="O274" s="156" t="n"/>
    </row>
    <row r="275" ht="18.75" customHeight="1" s="153">
      <c r="A275" s="273" t="n"/>
      <c r="B275" s="274" t="inlineStr">
        <is>
          <t>ZEBALLOS 5430</t>
        </is>
      </c>
      <c r="C275" s="275" t="n">
        <v>1</v>
      </c>
      <c r="D275" s="275" t="n"/>
      <c r="E275" s="275" t="n"/>
      <c r="F275" s="276" t="n"/>
      <c r="G275" s="276" t="n"/>
      <c r="H275" s="277" t="n">
        <v>125000</v>
      </c>
      <c r="I275" s="278" t="n">
        <v>125000</v>
      </c>
      <c r="J275" s="278" t="n"/>
      <c r="K275" s="272" t="n">
        <v>65000</v>
      </c>
      <c r="L275" s="272" t="n">
        <v>43000</v>
      </c>
      <c r="M275" s="156" t="n"/>
      <c r="N275" s="156" t="n"/>
      <c r="O275" s="156" t="n"/>
    </row>
    <row r="276" ht="18.75" customHeight="1" s="153">
      <c r="A276" s="279" t="n"/>
      <c r="B276" s="267" t="n"/>
      <c r="C276" s="268" t="n"/>
      <c r="D276" s="268" t="n"/>
      <c r="E276" s="268" t="n"/>
      <c r="F276" s="269" t="n"/>
      <c r="G276" s="269" t="n"/>
      <c r="H276" s="270" t="n"/>
      <c r="I276" s="271" t="n"/>
      <c r="J276" s="271" t="n"/>
      <c r="K276" s="272" t="n"/>
      <c r="L276" s="272" t="n"/>
      <c r="M276" s="156" t="n"/>
      <c r="N276" s="156" t="n"/>
      <c r="O276" s="156" t="n"/>
    </row>
    <row r="277" ht="18.75" customHeight="1" s="153">
      <c r="A277" s="273" t="n"/>
      <c r="B277" s="274" t="inlineStr">
        <is>
          <t>SABOREAR</t>
        </is>
      </c>
      <c r="C277" s="275" t="n">
        <v>1</v>
      </c>
      <c r="D277" s="275" t="n"/>
      <c r="E277" s="275" t="n"/>
      <c r="F277" s="276" t="n"/>
      <c r="G277" s="276" t="n"/>
      <c r="H277" s="277" t="n">
        <v>25500</v>
      </c>
      <c r="I277" s="278" t="n"/>
      <c r="J277" s="278" t="n">
        <v>25500</v>
      </c>
      <c r="K277" s="272" t="n"/>
      <c r="L277" s="272" t="n">
        <v>8500</v>
      </c>
      <c r="M277" s="156" t="n"/>
      <c r="N277" s="156" t="n"/>
      <c r="O277" s="156" t="n"/>
    </row>
    <row r="278" ht="18.75" customHeight="1" s="153">
      <c r="A278" s="266" t="n">
        <v>46186</v>
      </c>
      <c r="B278" s="267" t="inlineStr">
        <is>
          <t>AZCUENAGA 6551</t>
        </is>
      </c>
      <c r="C278" s="268" t="n">
        <v>4</v>
      </c>
      <c r="D278" s="268" t="n"/>
      <c r="E278" s="268" t="n"/>
      <c r="F278" s="269" t="n"/>
      <c r="G278" s="269" t="n"/>
      <c r="H278" s="270" t="n">
        <v>88000</v>
      </c>
      <c r="I278" s="271" t="n">
        <v>88000</v>
      </c>
      <c r="J278" s="271" t="n"/>
      <c r="K278" s="272" t="n"/>
      <c r="L278" s="272" t="n">
        <v>20000</v>
      </c>
      <c r="M278" s="156" t="n"/>
      <c r="N278" s="156" t="n"/>
      <c r="O278" s="156" t="n"/>
    </row>
    <row r="279" ht="18.75" customHeight="1" s="153">
      <c r="A279" s="273" t="n"/>
      <c r="B279" s="274" t="inlineStr">
        <is>
          <t>COGORNO 5520</t>
        </is>
      </c>
      <c r="C279" s="275" t="n">
        <v>5</v>
      </c>
      <c r="D279" s="275" t="n"/>
      <c r="E279" s="275" t="n"/>
      <c r="F279" s="276" t="n"/>
      <c r="G279" s="276" t="n"/>
      <c r="H279" s="277" t="n">
        <v>112500</v>
      </c>
      <c r="I279" s="278" t="n">
        <v>112500</v>
      </c>
      <c r="J279" s="278" t="n"/>
      <c r="K279" s="272" t="n"/>
      <c r="L279" s="272" t="n">
        <v>27500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DOMINGO SILVA 4217</t>
        </is>
      </c>
      <c r="C280" s="268" t="n">
        <v>2</v>
      </c>
      <c r="D280" s="268" t="n"/>
      <c r="E280" s="268" t="n"/>
      <c r="F280" s="269" t="n"/>
      <c r="G280" s="269" t="n"/>
      <c r="H280" s="270" t="n">
        <v>45000</v>
      </c>
      <c r="I280" s="271" t="n">
        <v>45000</v>
      </c>
      <c r="J280" s="271" t="n"/>
      <c r="K280" s="272" t="n"/>
      <c r="L280" s="272" t="n">
        <v>11000</v>
      </c>
      <c r="M280" s="156" t="n"/>
      <c r="N280" s="156" t="n"/>
      <c r="O280" s="156" t="n"/>
    </row>
    <row r="281" ht="18.75" customHeight="1" s="153">
      <c r="A281" s="273" t="n"/>
      <c r="B281" s="274" t="inlineStr">
        <is>
          <t>TROPPO</t>
        </is>
      </c>
      <c r="C281" s="275" t="n">
        <v>8</v>
      </c>
      <c r="D281" s="275" t="n"/>
      <c r="E281" s="275" t="n"/>
      <c r="F281" s="276" t="n"/>
      <c r="G281" s="276" t="n"/>
      <c r="H281" s="277" t="n">
        <v>232000</v>
      </c>
      <c r="I281" s="278" t="n"/>
      <c r="J281" s="278" t="n">
        <v>232000</v>
      </c>
      <c r="K281" s="272" t="n"/>
      <c r="L281" s="272" t="n">
        <v>96000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SANDRA</t>
        </is>
      </c>
      <c r="C282" s="268" t="n">
        <v>2</v>
      </c>
      <c r="D282" s="268" t="n"/>
      <c r="E282" s="268" t="n"/>
      <c r="F282" s="269" t="n"/>
      <c r="G282" s="269" t="n"/>
      <c r="H282" s="270" t="n">
        <v>44000</v>
      </c>
      <c r="I282" s="271" t="n">
        <v>44000</v>
      </c>
      <c r="J282" s="271" t="n"/>
      <c r="K282" s="272" t="n"/>
      <c r="L282" s="272" t="n">
        <v>10000</v>
      </c>
      <c r="M282" s="156" t="n"/>
      <c r="N282" s="156" t="n"/>
      <c r="O282" s="156" t="n"/>
    </row>
    <row r="283" ht="18.75" customHeight="1" s="153">
      <c r="A283" s="273" t="n"/>
      <c r="B283" s="274" t="inlineStr">
        <is>
          <t>OTNIEL</t>
        </is>
      </c>
      <c r="C283" s="275" t="n">
        <v>1</v>
      </c>
      <c r="D283" s="275" t="n">
        <v>1</v>
      </c>
      <c r="E283" s="275" t="n"/>
      <c r="F283" s="276" t="n"/>
      <c r="G283" s="276" t="n"/>
      <c r="H283" s="277" t="n">
        <v>63000</v>
      </c>
      <c r="I283" s="278" t="n"/>
      <c r="J283" s="278" t="n">
        <v>63000</v>
      </c>
      <c r="K283" s="272" t="n"/>
      <c r="L283" s="272" t="n">
        <v>20500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PAVON 3941</t>
        </is>
      </c>
      <c r="C284" s="268" t="n">
        <v>1</v>
      </c>
      <c r="D284" s="268" t="n"/>
      <c r="E284" s="268" t="n"/>
      <c r="F284" s="269" t="n"/>
      <c r="G284" s="269" t="n"/>
      <c r="H284" s="270" t="n">
        <v>28500</v>
      </c>
      <c r="I284" s="271" t="n">
        <v>28500</v>
      </c>
      <c r="J284" s="271" t="n"/>
      <c r="K284" s="272" t="n"/>
      <c r="L284" s="272" t="n">
        <v>11500</v>
      </c>
      <c r="M284" s="156" t="n"/>
      <c r="N284" s="156" t="n"/>
      <c r="O284" s="156" t="n"/>
    </row>
    <row r="285" ht="18.75" customHeight="1" s="153">
      <c r="A285" s="273" t="n"/>
      <c r="B285" s="274" t="inlineStr">
        <is>
          <t>AZOPARDO 8443</t>
        </is>
      </c>
      <c r="C285" s="275" t="n">
        <v>1</v>
      </c>
      <c r="D285" s="275" t="n"/>
      <c r="E285" s="275" t="n"/>
      <c r="F285" s="276" t="n"/>
      <c r="G285" s="276" t="n"/>
      <c r="H285" s="277" t="n">
        <v>27000</v>
      </c>
      <c r="I285" s="278" t="n"/>
      <c r="J285" s="278" t="n">
        <v>27000</v>
      </c>
      <c r="K285" s="272" t="n"/>
      <c r="L285" s="272" t="n">
        <v>10000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PAVON 4712</t>
        </is>
      </c>
      <c r="C286" s="268" t="n"/>
      <c r="D286" s="268" t="n">
        <v>1</v>
      </c>
      <c r="E286" s="268" t="n"/>
      <c r="F286" s="269" t="n"/>
      <c r="G286" s="269" t="n"/>
      <c r="H286" s="270" t="n">
        <v>39500</v>
      </c>
      <c r="I286" s="271" t="n">
        <v>39500</v>
      </c>
      <c r="J286" s="271" t="n"/>
      <c r="K286" s="272" t="n"/>
      <c r="L286" s="272" t="n">
        <v>14000</v>
      </c>
      <c r="M286" s="156" t="n"/>
      <c r="N286" s="156" t="n"/>
      <c r="O286" s="156" t="n"/>
    </row>
    <row r="287" ht="18.75" customHeight="1" s="153">
      <c r="A287" s="273" t="n"/>
      <c r="B287" s="274" t="inlineStr">
        <is>
          <t>EXE</t>
        </is>
      </c>
      <c r="C287" s="275" t="n">
        <v>1</v>
      </c>
      <c r="D287" s="275" t="n"/>
      <c r="E287" s="275" t="n"/>
      <c r="F287" s="276" t="n"/>
      <c r="G287" s="276" t="n"/>
      <c r="H287" s="277" t="n">
        <v>28500</v>
      </c>
      <c r="I287" s="278" t="n"/>
      <c r="J287" s="278" t="n">
        <v>28500</v>
      </c>
      <c r="K287" s="272" t="n"/>
      <c r="L287" s="272" t="n">
        <v>11500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GABRIELA FLORES 1</t>
        </is>
      </c>
      <c r="C288" s="268" t="n">
        <v>2</v>
      </c>
      <c r="D288" s="268" t="n"/>
      <c r="E288" s="268" t="n"/>
      <c r="F288" s="269" t="n"/>
      <c r="G288" s="269" t="n"/>
      <c r="H288" s="270" t="n">
        <v>54000</v>
      </c>
      <c r="I288" s="271" t="n"/>
      <c r="J288" s="271" t="n">
        <v>54000</v>
      </c>
      <c r="K288" s="272" t="n"/>
      <c r="L288" s="272" t="n">
        <v>20000</v>
      </c>
      <c r="M288" s="156" t="n"/>
      <c r="N288" s="156" t="n"/>
      <c r="O288" s="156" t="n"/>
    </row>
    <row r="289" ht="18.75" customHeight="1" s="153">
      <c r="A289" s="273" t="n"/>
      <c r="B289" s="274" t="inlineStr">
        <is>
          <t>FLORENCIO FERNANDEZ 5519</t>
        </is>
      </c>
      <c r="C289" s="275" t="n">
        <v>1</v>
      </c>
      <c r="D289" s="275" t="n"/>
      <c r="E289" s="275" t="n">
        <v>1</v>
      </c>
      <c r="F289" s="276" t="n"/>
      <c r="G289" s="276" t="n"/>
      <c r="H289" s="277" t="n">
        <v>128000</v>
      </c>
      <c r="I289" s="278" t="n"/>
      <c r="J289" s="278" t="n">
        <v>128000</v>
      </c>
      <c r="K289" s="272" t="n"/>
      <c r="L289" s="272" t="n">
        <v>42000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LOS PRIMOS</t>
        </is>
      </c>
      <c r="C290" s="268" t="n">
        <v>3</v>
      </c>
      <c r="D290" s="268" t="n"/>
      <c r="E290" s="268" t="n"/>
      <c r="F290" s="269" t="n"/>
      <c r="G290" s="269" t="n"/>
      <c r="H290" s="270" t="n">
        <v>87000</v>
      </c>
      <c r="I290" s="271" t="n">
        <v>87000</v>
      </c>
      <c r="J290" s="271" t="n"/>
      <c r="K290" s="272" t="n"/>
      <c r="L290" s="272" t="n">
        <v>36000</v>
      </c>
      <c r="M290" s="156" t="n"/>
      <c r="N290" s="156" t="n"/>
      <c r="O290" s="156" t="n"/>
    </row>
    <row r="291" ht="18.75" customHeight="1" s="153">
      <c r="A291" s="273" t="n"/>
      <c r="B291" s="274" t="inlineStr">
        <is>
          <t>CACIQUE ANDRESITO 9133</t>
        </is>
      </c>
      <c r="C291" s="275" t="n"/>
      <c r="D291" s="275" t="n"/>
      <c r="E291" s="275" t="n">
        <v>1</v>
      </c>
      <c r="F291" s="276" t="n"/>
      <c r="G291" s="276" t="n"/>
      <c r="H291" s="277" t="n">
        <v>98500</v>
      </c>
      <c r="I291" s="278" t="n">
        <v>98500</v>
      </c>
      <c r="J291" s="278" t="n"/>
      <c r="K291" s="272" t="n"/>
      <c r="L291" s="272" t="n">
        <v>29500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PANA VIEYTES 4500</t>
        </is>
      </c>
      <c r="C292" s="268" t="n"/>
      <c r="D292" s="268" t="n"/>
      <c r="E292" s="268" t="n">
        <v>1</v>
      </c>
      <c r="F292" s="269" t="n"/>
      <c r="G292" s="269" t="n"/>
      <c r="H292" s="270" t="n">
        <v>88000</v>
      </c>
      <c r="I292" s="271" t="n"/>
      <c r="J292" s="271" t="n">
        <v>88000</v>
      </c>
      <c r="K292" s="272" t="n"/>
      <c r="L292" s="272" t="n">
        <v>19000</v>
      </c>
      <c r="M292" s="156" t="n"/>
      <c r="N292" s="156" t="n"/>
      <c r="O292" s="156" t="n"/>
    </row>
    <row r="293" ht="18.75" customHeight="1" s="153">
      <c r="A293" s="273" t="n"/>
      <c r="B293" s="274" t="inlineStr">
        <is>
          <t>FACUNDO ZUVIRIA 7757</t>
        </is>
      </c>
      <c r="C293" s="275" t="n"/>
      <c r="D293" s="275" t="n">
        <v>1</v>
      </c>
      <c r="E293" s="275" t="n"/>
      <c r="F293" s="276" t="n"/>
      <c r="G293" s="276" t="n"/>
      <c r="H293" s="277" t="n">
        <v>41500</v>
      </c>
      <c r="I293" s="278" t="n"/>
      <c r="J293" s="278" t="n">
        <v>41500</v>
      </c>
      <c r="K293" s="272" t="n"/>
      <c r="L293" s="272" t="n">
        <v>16000</v>
      </c>
      <c r="M293" s="156" t="n"/>
      <c r="N293" s="156" t="n"/>
      <c r="O293" s="156" t="n"/>
    </row>
    <row r="294" ht="18.75" customHeight="1" s="153">
      <c r="A294" s="279" t="n"/>
      <c r="B294" s="267" t="inlineStr">
        <is>
          <t>PUBLICO 2371</t>
        </is>
      </c>
      <c r="C294" s="268" t="n"/>
      <c r="D294" s="268" t="n"/>
      <c r="E294" s="268" t="n">
        <v>1</v>
      </c>
      <c r="F294" s="269" t="n"/>
      <c r="G294" s="269" t="n"/>
      <c r="H294" s="270" t="n">
        <v>98500</v>
      </c>
      <c r="I294" s="271" t="n"/>
      <c r="J294" s="271" t="n">
        <v>98500</v>
      </c>
      <c r="K294" s="272" t="n"/>
      <c r="L294" s="272" t="n">
        <v>29500</v>
      </c>
      <c r="M294" s="156" t="n"/>
      <c r="N294" s="156" t="n"/>
      <c r="O294" s="156" t="n"/>
    </row>
    <row r="295" ht="18.75" customHeight="1" s="153">
      <c r="A295" s="273" t="n"/>
      <c r="B295" s="274" t="inlineStr">
        <is>
          <t>CASANELLO 4231</t>
        </is>
      </c>
      <c r="C295" s="275" t="n"/>
      <c r="D295" s="275" t="n">
        <v>1</v>
      </c>
      <c r="E295" s="275" t="n"/>
      <c r="F295" s="276" t="n"/>
      <c r="G295" s="276" t="n"/>
      <c r="H295" s="277" t="n">
        <v>39500</v>
      </c>
      <c r="I295" s="278" t="n">
        <v>39500</v>
      </c>
      <c r="J295" s="278" t="n"/>
      <c r="K295" s="272" t="n"/>
      <c r="L295" s="272" t="n">
        <v>14000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EXE</t>
        </is>
      </c>
      <c r="C296" s="268" t="n"/>
      <c r="D296" s="268" t="n"/>
      <c r="E296" s="268" t="n">
        <v>1</v>
      </c>
      <c r="F296" s="269" t="n"/>
      <c r="G296" s="269" t="n"/>
      <c r="H296" s="270" t="n">
        <v>95000</v>
      </c>
      <c r="I296" s="271" t="n"/>
      <c r="J296" s="271" t="n">
        <v>95000</v>
      </c>
      <c r="K296" s="272" t="n"/>
      <c r="L296" s="272" t="n">
        <v>26000</v>
      </c>
      <c r="M296" s="156" t="n"/>
      <c r="N296" s="156" t="n"/>
      <c r="O296" s="156" t="n"/>
    </row>
    <row r="297" ht="18.75" customHeight="1" s="153">
      <c r="A297" s="273" t="n"/>
      <c r="B297" s="274" t="inlineStr">
        <is>
          <t>LUCHO</t>
        </is>
      </c>
      <c r="C297" s="275" t="n">
        <v>3</v>
      </c>
      <c r="D297" s="275" t="n">
        <v>1</v>
      </c>
      <c r="E297" s="275" t="n"/>
      <c r="F297" s="276" t="n"/>
      <c r="G297" s="276" t="n"/>
      <c r="H297" s="277" t="n">
        <v>101000</v>
      </c>
      <c r="I297" s="278" t="n">
        <v>101000</v>
      </c>
      <c r="J297" s="278" t="n"/>
      <c r="K297" s="272" t="n"/>
      <c r="L297" s="272" t="n">
        <v>24500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ALBERTI 5177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>
        <v>27000</v>
      </c>
      <c r="J298" s="271" t="n"/>
      <c r="K298" s="272" t="n"/>
      <c r="L298" s="272" t="n">
        <v>10000</v>
      </c>
      <c r="M298" s="156" t="n"/>
      <c r="N298" s="156" t="n"/>
      <c r="O298" s="156" t="n"/>
    </row>
    <row r="299" ht="18.75" customHeight="1" s="153">
      <c r="A299" s="273" t="n"/>
      <c r="B299" s="274" t="inlineStr">
        <is>
          <t>CHACO 4434</t>
        </is>
      </c>
      <c r="C299" s="275" t="n"/>
      <c r="D299" s="275" t="n"/>
      <c r="E299" s="275" t="n">
        <v>1</v>
      </c>
      <c r="F299" s="276" t="n"/>
      <c r="G299" s="276" t="n"/>
      <c r="H299" s="277" t="n">
        <v>98500</v>
      </c>
      <c r="I299" s="278" t="n">
        <v>98500</v>
      </c>
      <c r="J299" s="278" t="n"/>
      <c r="K299" s="272" t="n"/>
      <c r="L299" s="272" t="n">
        <v>29500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ROTI ARISTOBULO</t>
        </is>
      </c>
      <c r="C300" s="268" t="n">
        <v>1</v>
      </c>
      <c r="D300" s="268" t="n">
        <v>1</v>
      </c>
      <c r="E300" s="268" t="n"/>
      <c r="F300" s="269" t="n"/>
      <c r="G300" s="269" t="n"/>
      <c r="H300" s="270" t="n">
        <v>65000</v>
      </c>
      <c r="I300" s="271" t="n"/>
      <c r="J300" s="271" t="n">
        <v>65000</v>
      </c>
      <c r="K300" s="272" t="n"/>
      <c r="L300" s="272" t="n">
        <v>22500</v>
      </c>
      <c r="M300" s="156" t="n"/>
      <c r="N300" s="156" t="n"/>
      <c r="O300" s="156" t="n"/>
    </row>
    <row r="301" ht="18.75" customHeight="1" s="153">
      <c r="A301" s="273" t="n"/>
      <c r="B301" s="274" t="inlineStr">
        <is>
          <t>JP LOPEZ 2322</t>
        </is>
      </c>
      <c r="C301" s="275" t="n">
        <v>1</v>
      </c>
      <c r="D301" s="275" t="n"/>
      <c r="E301" s="275" t="n"/>
      <c r="F301" s="276" t="n"/>
      <c r="G301" s="276" t="n"/>
      <c r="H301" s="277" t="n">
        <v>27500</v>
      </c>
      <c r="I301" s="278" t="n">
        <v>27500</v>
      </c>
      <c r="J301" s="278" t="n"/>
      <c r="K301" s="272" t="n"/>
      <c r="L301" s="272" t="n">
        <v>10500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CHICLANA 7325</t>
        </is>
      </c>
      <c r="C302" s="268" t="n">
        <v>1</v>
      </c>
      <c r="D302" s="268" t="n"/>
      <c r="E302" s="268" t="n"/>
      <c r="F302" s="269" t="n"/>
      <c r="G302" s="269" t="n"/>
      <c r="H302" s="270" t="n">
        <v>22500</v>
      </c>
      <c r="I302" s="271" t="n"/>
      <c r="J302" s="271" t="n">
        <v>22500</v>
      </c>
      <c r="K302" s="272" t="n"/>
      <c r="L302" s="272" t="n">
        <v>5500</v>
      </c>
      <c r="M302" s="156" t="n"/>
      <c r="N302" s="156" t="n"/>
      <c r="O302" s="156" t="n"/>
    </row>
    <row r="303" ht="18.75" customHeight="1" s="153">
      <c r="A303" s="273" t="n"/>
      <c r="B303" s="274" t="inlineStr">
        <is>
          <t>PIEDRABUENA 6523</t>
        </is>
      </c>
      <c r="C303" s="275" t="n"/>
      <c r="D303" s="275" t="n"/>
      <c r="E303" s="275" t="n">
        <v>1</v>
      </c>
      <c r="F303" s="276" t="n"/>
      <c r="G303" s="276" t="n"/>
      <c r="H303" s="277" t="n">
        <v>98500</v>
      </c>
      <c r="I303" s="278" t="n"/>
      <c r="J303" s="278" t="n">
        <v>98500</v>
      </c>
      <c r="K303" s="272" t="n"/>
      <c r="L303" s="272" t="n">
        <v>29500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GOBERNADOR FREIRE 10491</t>
        </is>
      </c>
      <c r="C304" s="268" t="n"/>
      <c r="D304" s="268" t="n"/>
      <c r="E304" s="268" t="n">
        <v>1</v>
      </c>
      <c r="F304" s="269" t="n"/>
      <c r="G304" s="269" t="n"/>
      <c r="H304" s="270" t="n">
        <v>98500</v>
      </c>
      <c r="I304" s="271" t="n"/>
      <c r="J304" s="271" t="n">
        <v>98500</v>
      </c>
      <c r="K304" s="272" t="n"/>
      <c r="L304" s="272" t="n">
        <v>29500</v>
      </c>
      <c r="M304" s="156" t="n"/>
      <c r="N304" s="156" t="n"/>
      <c r="O304" s="156" t="n"/>
    </row>
    <row r="305" ht="18.75" customHeight="1" s="153">
      <c r="A305" s="273" t="n"/>
      <c r="B305" s="274" t="inlineStr">
        <is>
          <t>PASAJE SUAREZ 3752</t>
        </is>
      </c>
      <c r="C305" s="275" t="n">
        <v>2</v>
      </c>
      <c r="D305" s="275" t="n"/>
      <c r="E305" s="275" t="n"/>
      <c r="F305" s="276" t="n"/>
      <c r="G305" s="276" t="n"/>
      <c r="H305" s="277" t="n">
        <v>58000</v>
      </c>
      <c r="I305" s="278" t="n">
        <v>58000</v>
      </c>
      <c r="J305" s="278" t="n"/>
      <c r="K305" s="272" t="n"/>
      <c r="L305" s="272" t="n">
        <v>24000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ROTI VIEYTES</t>
        </is>
      </c>
      <c r="C306" s="268" t="n"/>
      <c r="D306" s="268" t="n">
        <v>2</v>
      </c>
      <c r="E306" s="268" t="n"/>
      <c r="F306" s="269" t="n"/>
      <c r="G306" s="269" t="n"/>
      <c r="H306" s="270" t="n">
        <v>69000</v>
      </c>
      <c r="I306" s="271" t="n"/>
      <c r="J306" s="271" t="n">
        <v>69000</v>
      </c>
      <c r="K306" s="272" t="n"/>
      <c r="L306" s="272" t="n">
        <v>18000</v>
      </c>
      <c r="M306" s="156" t="n"/>
      <c r="N306" s="156" t="n"/>
      <c r="O306" s="156" t="n"/>
    </row>
    <row r="307" ht="18.75" customHeight="1" s="153">
      <c r="A307" s="279" t="n">
        <v>46187</v>
      </c>
      <c r="B307" s="267" t="inlineStr">
        <is>
          <t>FILOMENA</t>
        </is>
      </c>
      <c r="C307" s="268" t="n">
        <v>1</v>
      </c>
      <c r="D307" s="268" t="n"/>
      <c r="E307" s="268" t="n"/>
      <c r="F307" s="269" t="n"/>
      <c r="G307" s="269" t="n"/>
      <c r="H307" s="270" t="n">
        <v>26500</v>
      </c>
      <c r="I307" s="271" t="n"/>
      <c r="J307" s="271" t="n">
        <v>26500</v>
      </c>
      <c r="K307" s="272" t="n"/>
      <c r="L307" s="272" t="n">
        <v>9500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ROTI AGUADO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/>
      <c r="J308" s="271" t="n">
        <v>91000</v>
      </c>
      <c r="K308" s="272" t="n"/>
      <c r="L308" s="272" t="n">
        <v>22000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PEDRO TRAPPA 9731</t>
        </is>
      </c>
      <c r="C309" s="268" t="n">
        <v>1</v>
      </c>
      <c r="D309" s="268" t="n"/>
      <c r="E309" s="268" t="n"/>
      <c r="F309" s="269" t="n"/>
      <c r="G309" s="269" t="n"/>
      <c r="H309" s="270" t="n">
        <v>28500</v>
      </c>
      <c r="I309" s="271" t="n">
        <v>28500</v>
      </c>
      <c r="J309" s="271" t="n"/>
      <c r="K309" s="272" t="n"/>
      <c r="L309" s="272" t="n">
        <v>11500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DANI PAPA BRUNO</t>
        </is>
      </c>
      <c r="C310" s="268" t="n"/>
      <c r="D310" s="268" t="n">
        <v>2</v>
      </c>
      <c r="E310" s="268" t="n"/>
      <c r="F310" s="269" t="n"/>
      <c r="G310" s="269" t="n"/>
      <c r="H310" s="270" t="n">
        <v>77000</v>
      </c>
      <c r="I310" s="271" t="n"/>
      <c r="J310" s="271" t="n">
        <v>77000</v>
      </c>
      <c r="K310" s="272" t="n"/>
      <c r="L310" s="272" t="n">
        <v>26000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SALTA 3554</t>
        </is>
      </c>
      <c r="C311" s="268" t="n">
        <v>1</v>
      </c>
      <c r="D311" s="268" t="n"/>
      <c r="E311" s="268" t="n"/>
      <c r="F311" s="269" t="n"/>
      <c r="G311" s="269" t="n"/>
      <c r="H311" s="270" t="n">
        <v>28500</v>
      </c>
      <c r="I311" s="271" t="n"/>
      <c r="J311" s="271" t="n">
        <v>28500</v>
      </c>
      <c r="K311" s="272" t="n"/>
      <c r="L311" s="272" t="n">
        <v>11500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AZOPARDO 10560</t>
        </is>
      </c>
      <c r="C312" s="268" t="n">
        <v>1</v>
      </c>
      <c r="D312" s="268" t="n"/>
      <c r="E312" s="268" t="n"/>
      <c r="F312" s="269" t="n"/>
      <c r="G312" s="269" t="n"/>
      <c r="H312" s="270" t="n">
        <v>29000</v>
      </c>
      <c r="I312" s="271" t="n">
        <v>29000</v>
      </c>
      <c r="J312" s="271" t="n"/>
      <c r="K312" s="272" t="n"/>
      <c r="L312" s="272" t="n">
        <v>12000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PICHI</t>
        </is>
      </c>
      <c r="C313" s="268" t="n">
        <v>1</v>
      </c>
      <c r="D313" s="268" t="n"/>
      <c r="E313" s="268" t="n"/>
      <c r="F313" s="269" t="n"/>
      <c r="G313" s="269" t="n"/>
      <c r="H313" s="270" t="n">
        <v>26000</v>
      </c>
      <c r="I313" s="271" t="n"/>
      <c r="J313" s="271" t="n">
        <v>26000</v>
      </c>
      <c r="K313" s="272" t="n"/>
      <c r="L313" s="272" t="n">
        <v>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PORKI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9000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PUBLICO 10644</t>
        </is>
      </c>
      <c r="C315" s="268" t="n"/>
      <c r="D315" s="268" t="n"/>
      <c r="E315" s="268" t="n">
        <v>1</v>
      </c>
      <c r="F315" s="269" t="n"/>
      <c r="G315" s="269" t="n"/>
      <c r="H315" s="270" t="n">
        <v>99500</v>
      </c>
      <c r="I315" s="271" t="n"/>
      <c r="J315" s="271" t="n">
        <v>99500</v>
      </c>
      <c r="K315" s="272" t="n"/>
      <c r="L315" s="272" t="n">
        <v>30500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LUCHO</t>
        </is>
      </c>
      <c r="C316" s="268" t="n">
        <v>1</v>
      </c>
      <c r="D316" s="268" t="n"/>
      <c r="E316" s="268" t="n"/>
      <c r="F316" s="269" t="n"/>
      <c r="G316" s="269" t="n"/>
      <c r="H316" s="270" t="n">
        <v>22000</v>
      </c>
      <c r="I316" s="271" t="n">
        <v>22000</v>
      </c>
      <c r="J316" s="271" t="n"/>
      <c r="K316" s="272" t="n"/>
      <c r="L316" s="272" t="n">
        <v>5000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FRESNO DE LOPEZ 8120</t>
        </is>
      </c>
      <c r="C317" s="268" t="n">
        <v>1</v>
      </c>
      <c r="D317" s="268" t="n"/>
      <c r="E317" s="268" t="n"/>
      <c r="F317" s="269" t="n"/>
      <c r="G317" s="269" t="n"/>
      <c r="H317" s="270" t="n">
        <v>28500</v>
      </c>
      <c r="I317" s="271" t="n"/>
      <c r="J317" s="271" t="n">
        <v>28500</v>
      </c>
      <c r="K317" s="272" t="n"/>
      <c r="L317" s="272" t="n">
        <v>11500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PANA ALBERTI</t>
        </is>
      </c>
      <c r="C318" s="268" t="n">
        <v>1</v>
      </c>
      <c r="D318" s="268" t="n"/>
      <c r="E318" s="268" t="n"/>
      <c r="F318" s="269" t="n"/>
      <c r="G318" s="269" t="n"/>
      <c r="H318" s="270" t="n">
        <v>26000</v>
      </c>
      <c r="I318" s="271" t="n">
        <v>26000</v>
      </c>
      <c r="J318" s="271" t="n"/>
      <c r="K318" s="272" t="n"/>
      <c r="L318" s="272" t="n">
        <v>9000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ALBERDI 8230</t>
        </is>
      </c>
      <c r="C319" s="268" t="n"/>
      <c r="D319" s="268" t="n">
        <v>1</v>
      </c>
      <c r="E319" s="268" t="n"/>
      <c r="F319" s="269" t="n"/>
      <c r="G319" s="269" t="n"/>
      <c r="H319" s="270" t="n">
        <v>41500</v>
      </c>
      <c r="I319" s="271" t="n"/>
      <c r="J319" s="271" t="n">
        <v>41500</v>
      </c>
      <c r="K319" s="272" t="n"/>
      <c r="L319" s="272" t="n">
        <v>16000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PEDRO DE VEGA 3726</t>
        </is>
      </c>
      <c r="C320" s="268" t="n">
        <v>2</v>
      </c>
      <c r="D320" s="268" t="n"/>
      <c r="E320" s="268" t="n"/>
      <c r="F320" s="269" t="n"/>
      <c r="G320" s="269" t="n"/>
      <c r="H320" s="270" t="n">
        <v>44000</v>
      </c>
      <c r="I320" s="271" t="n">
        <v>44000</v>
      </c>
      <c r="J320" s="271" t="n"/>
      <c r="K320" s="272" t="n"/>
      <c r="L320" s="272" t="n">
        <v>10000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LA MADRID 7500</t>
        </is>
      </c>
      <c r="C321" s="268" t="n">
        <v>1</v>
      </c>
      <c r="D321" s="268" t="n"/>
      <c r="E321" s="268" t="n"/>
      <c r="F321" s="269" t="n"/>
      <c r="G321" s="269" t="n"/>
      <c r="H321" s="270" t="n">
        <v>28500</v>
      </c>
      <c r="I321" s="271" t="n">
        <v>28500</v>
      </c>
      <c r="J321" s="271" t="n"/>
      <c r="K321" s="272" t="n"/>
      <c r="L321" s="272" t="n">
        <v>11500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LOS CEDROS 2588</t>
        </is>
      </c>
      <c r="C322" s="268" t="n">
        <v>1</v>
      </c>
      <c r="D322" s="268" t="n"/>
      <c r="E322" s="268" t="n"/>
      <c r="F322" s="269" t="n"/>
      <c r="G322" s="269" t="n"/>
      <c r="H322" s="270" t="n">
        <v>28500</v>
      </c>
      <c r="I322" s="271" t="n">
        <v>28500</v>
      </c>
      <c r="J322" s="271" t="n"/>
      <c r="K322" s="272" t="n"/>
      <c r="L322" s="272" t="n">
        <v>11500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DOMINGO SILVA 4217</t>
        </is>
      </c>
      <c r="C323" s="268" t="n">
        <v>1</v>
      </c>
      <c r="D323" s="268" t="n">
        <v>1</v>
      </c>
      <c r="E323" s="268" t="n"/>
      <c r="F323" s="269" t="n"/>
      <c r="G323" s="269" t="n"/>
      <c r="H323" s="270" t="n">
        <v>56500</v>
      </c>
      <c r="I323" s="271" t="n"/>
      <c r="J323" s="271" t="n">
        <v>56500</v>
      </c>
      <c r="K323" s="272" t="n"/>
      <c r="L323" s="272" t="n">
        <v>14000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ANYI ALBERTI</t>
        </is>
      </c>
      <c r="C324" s="268" t="n"/>
      <c r="D324" s="268" t="n">
        <v>1</v>
      </c>
      <c r="E324" s="268" t="n"/>
      <c r="F324" s="269" t="n"/>
      <c r="G324" s="269" t="n"/>
      <c r="H324" s="270" t="n">
        <v>38500</v>
      </c>
      <c r="I324" s="271" t="n"/>
      <c r="J324" s="271" t="n">
        <v>38500</v>
      </c>
      <c r="K324" s="272" t="n"/>
      <c r="L324" s="272" t="n">
        <v>13000</v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PANA BONEO</t>
        </is>
      </c>
      <c r="C325" s="268" t="n"/>
      <c r="D325" s="268" t="n"/>
      <c r="E325" s="268" t="n">
        <v>1</v>
      </c>
      <c r="F325" s="269" t="n"/>
      <c r="G325" s="269" t="n"/>
      <c r="H325" s="270" t="n">
        <v>89000</v>
      </c>
      <c r="I325" s="271" t="n">
        <v>89000</v>
      </c>
      <c r="J325" s="271" t="n"/>
      <c r="K325" s="272" t="n"/>
      <c r="L325" s="272" t="n">
        <v>20000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CAREN</t>
        </is>
      </c>
      <c r="C326" s="268" t="n"/>
      <c r="D326" s="268" t="n"/>
      <c r="E326" s="268" t="n">
        <v>1</v>
      </c>
      <c r="F326" s="269" t="n"/>
      <c r="G326" s="269" t="n"/>
      <c r="H326" s="270" t="n">
        <v>95000</v>
      </c>
      <c r="I326" s="271" t="n"/>
      <c r="J326" s="271" t="n">
        <v>95000</v>
      </c>
      <c r="K326" s="272" t="n"/>
      <c r="L326" s="272" t="n">
        <v>26000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CHICLANA 7325</t>
        </is>
      </c>
      <c r="C327" s="268" t="n">
        <v>1</v>
      </c>
      <c r="D327" s="268" t="n"/>
      <c r="E327" s="268" t="n"/>
      <c r="F327" s="269" t="n"/>
      <c r="G327" s="269" t="n"/>
      <c r="H327" s="270" t="n">
        <v>22500</v>
      </c>
      <c r="I327" s="271" t="n"/>
      <c r="J327" s="271" t="n">
        <v>22500</v>
      </c>
      <c r="K327" s="272" t="n"/>
      <c r="L327" s="272" t="n">
        <v>5500</v>
      </c>
      <c r="M327" s="156" t="n"/>
      <c r="N327" s="156" t="n"/>
      <c r="O327" s="156" t="n"/>
    </row>
    <row r="328" ht="18.75" customHeight="1" s="153">
      <c r="A328" s="279" t="n">
        <v>46188</v>
      </c>
      <c r="B328" s="267" t="inlineStr">
        <is>
          <t>ARENALES 2625</t>
        </is>
      </c>
      <c r="C328" s="268" t="n">
        <v>2</v>
      </c>
      <c r="D328" s="268" t="n"/>
      <c r="E328" s="268" t="n"/>
      <c r="F328" s="269" t="n"/>
      <c r="G328" s="269" t="n"/>
      <c r="H328" s="270" t="n">
        <v>45000</v>
      </c>
      <c r="I328" s="271" t="n"/>
      <c r="J328" s="271" t="n">
        <v>45000</v>
      </c>
      <c r="K328" s="272" t="n"/>
      <c r="L328" s="272" t="n">
        <v>11000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PABLO</t>
        </is>
      </c>
      <c r="C329" s="268" t="n">
        <v>2</v>
      </c>
      <c r="D329" s="268" t="n"/>
      <c r="E329" s="268" t="n"/>
      <c r="F329" s="269" t="n"/>
      <c r="G329" s="269" t="n"/>
      <c r="H329" s="270" t="n">
        <v>44000</v>
      </c>
      <c r="I329" s="271" t="n">
        <v>44000</v>
      </c>
      <c r="J329" s="271" t="n"/>
      <c r="K329" s="272" t="n"/>
      <c r="L329" s="272" t="n">
        <v>10000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MAXI OTNIEL</t>
        </is>
      </c>
      <c r="C330" s="268" t="n"/>
      <c r="D330" s="268" t="n"/>
      <c r="E330" s="268" t="n"/>
      <c r="F330" s="269" t="n"/>
      <c r="G330" s="269" t="n">
        <v>1</v>
      </c>
      <c r="H330" s="270" t="n">
        <v>6900</v>
      </c>
      <c r="I330" s="271" t="n"/>
      <c r="J330" s="271" t="n">
        <v>6900</v>
      </c>
      <c r="K330" s="272" t="n"/>
      <c r="L330" s="272" t="n">
        <v>5980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MILENIO DE POLONIA 2819</t>
        </is>
      </c>
      <c r="C331" s="268" t="n">
        <v>1</v>
      </c>
      <c r="D331" s="268" t="n"/>
      <c r="E331" s="268" t="n"/>
      <c r="F331" s="269" t="n"/>
      <c r="G331" s="269" t="n"/>
      <c r="H331" s="270" t="n">
        <v>28500</v>
      </c>
      <c r="I331" s="271" t="n"/>
      <c r="J331" s="271" t="n">
        <v>28500</v>
      </c>
      <c r="K331" s="272" t="n"/>
      <c r="L331" s="272" t="n">
        <v>11500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DOMINGO SILVA 4217</t>
        </is>
      </c>
      <c r="C332" s="268" t="n">
        <v>1</v>
      </c>
      <c r="D332" s="268" t="n">
        <v>1</v>
      </c>
      <c r="E332" s="268" t="n"/>
      <c r="F332" s="269" t="n"/>
      <c r="G332" s="269" t="n"/>
      <c r="H332" s="270" t="n">
        <v>56500</v>
      </c>
      <c r="I332" s="271" t="n">
        <v>56500</v>
      </c>
      <c r="J332" s="271" t="n"/>
      <c r="K332" s="272" t="n"/>
      <c r="L332" s="272" t="n">
        <v>14000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ASCUENAGA 5023</t>
        </is>
      </c>
      <c r="C333" s="268" t="n">
        <v>6</v>
      </c>
      <c r="D333" s="268" t="n">
        <v>1</v>
      </c>
      <c r="E333" s="268" t="n"/>
      <c r="F333" s="269" t="n"/>
      <c r="G333" s="269" t="n"/>
      <c r="H333" s="270" t="n">
        <v>167000</v>
      </c>
      <c r="I333" s="271" t="n">
        <v>167000</v>
      </c>
      <c r="J333" s="271" t="n"/>
      <c r="K333" s="272" t="n"/>
      <c r="L333" s="272" t="n">
        <v>39500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JR MENDEZ 6507</t>
        </is>
      </c>
      <c r="C334" s="268" t="n">
        <v>1</v>
      </c>
      <c r="D334" s="268" t="n"/>
      <c r="E334" s="268" t="n"/>
      <c r="F334" s="269" t="n"/>
      <c r="G334" s="269" t="n"/>
      <c r="H334" s="270" t="n">
        <v>28500</v>
      </c>
      <c r="I334" s="271" t="n">
        <v>28500</v>
      </c>
      <c r="J334" s="271" t="n"/>
      <c r="K334" s="272" t="n"/>
      <c r="L334" s="272" t="n">
        <v>11500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HUERGO 4365</t>
        </is>
      </c>
      <c r="C335" s="268" t="n">
        <v>1</v>
      </c>
      <c r="D335" s="268" t="n"/>
      <c r="E335" s="268" t="n"/>
      <c r="F335" s="269" t="n"/>
      <c r="G335" s="269" t="n"/>
      <c r="H335" s="270" t="n">
        <v>28500</v>
      </c>
      <c r="I335" s="271" t="n"/>
      <c r="J335" s="271" t="n">
        <v>28500</v>
      </c>
      <c r="K335" s="272" t="n"/>
      <c r="L335" s="272" t="n">
        <v>11500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DANA</t>
        </is>
      </c>
      <c r="C336" s="268" t="n">
        <v>3</v>
      </c>
      <c r="D336" s="268" t="n"/>
      <c r="E336" s="268" t="n"/>
      <c r="F336" s="269" t="n"/>
      <c r="G336" s="269" t="n"/>
      <c r="H336" s="270" t="n">
        <v>66000</v>
      </c>
      <c r="I336" s="271" t="n">
        <v>66000</v>
      </c>
      <c r="J336" s="271" t="n"/>
      <c r="K336" s="272" t="n"/>
      <c r="L336" s="272" t="n">
        <v>15000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3233</t>
        </is>
      </c>
      <c r="C337" s="268" t="n">
        <v>1</v>
      </c>
      <c r="D337" s="268" t="n"/>
      <c r="E337" s="268" t="n"/>
      <c r="F337" s="269" t="n"/>
      <c r="G337" s="269" t="n"/>
      <c r="H337" s="270" t="n">
        <v>28500</v>
      </c>
      <c r="I337" s="271" t="n">
        <v>28500</v>
      </c>
      <c r="J337" s="271" t="n"/>
      <c r="K337" s="272" t="n"/>
      <c r="L337" s="272" t="n">
        <v>11500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CAMELI 4860</t>
        </is>
      </c>
      <c r="C338" s="268" t="n">
        <v>4</v>
      </c>
      <c r="D338" s="268" t="n">
        <v>1</v>
      </c>
      <c r="E338" s="268" t="n"/>
      <c r="F338" s="269" t="n"/>
      <c r="G338" s="269" t="n"/>
      <c r="H338" s="270" t="n">
        <v>161000</v>
      </c>
      <c r="I338" s="271" t="n"/>
      <c r="J338" s="271" t="n">
        <v>161000</v>
      </c>
      <c r="K338" s="272" t="n"/>
      <c r="L338" s="272" t="n">
        <v>67500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ASCUENAGA 6551</t>
        </is>
      </c>
      <c r="C339" s="268" t="n">
        <v>1</v>
      </c>
      <c r="D339" s="268" t="n">
        <v>1</v>
      </c>
      <c r="E339" s="268" t="n"/>
      <c r="F339" s="269" t="n"/>
      <c r="G339" s="269" t="n"/>
      <c r="H339" s="270" t="n">
        <v>56500</v>
      </c>
      <c r="I339" s="271" t="n">
        <v>56500</v>
      </c>
      <c r="J339" s="271" t="n"/>
      <c r="K339" s="272" t="n"/>
      <c r="L339" s="272" t="n">
        <v>14000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PANA VIEYTES 4500</t>
        </is>
      </c>
      <c r="C340" s="268" t="n"/>
      <c r="D340" s="268" t="n"/>
      <c r="E340" s="268" t="n">
        <v>1</v>
      </c>
      <c r="F340" s="269" t="n"/>
      <c r="G340" s="269" t="n"/>
      <c r="H340" s="270" t="n">
        <v>88000</v>
      </c>
      <c r="I340" s="271" t="n"/>
      <c r="J340" s="271" t="n">
        <v>88000</v>
      </c>
      <c r="K340" s="272" t="n"/>
      <c r="L340" s="272" t="n">
        <v>19000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SIETE JEFES 4525</t>
        </is>
      </c>
      <c r="C341" s="268" t="n"/>
      <c r="D341" s="268" t="n"/>
      <c r="E341" s="268" t="n">
        <v>1</v>
      </c>
      <c r="F341" s="269" t="n"/>
      <c r="G341" s="269" t="n"/>
      <c r="H341" s="231" t="n">
        <v>98500</v>
      </c>
      <c r="I341" s="232" t="n">
        <v>98500</v>
      </c>
      <c r="J341" s="232" t="n"/>
      <c r="K341" s="272" t="n"/>
      <c r="L341" s="272" t="n">
        <v>29500</v>
      </c>
      <c r="M341" s="156" t="n"/>
      <c r="N341" s="156" t="n"/>
      <c r="O341" s="156" t="n"/>
    </row>
    <row r="342" ht="18.75" customHeight="1" s="153">
      <c r="A342" s="279" t="n"/>
      <c r="B342" s="267" t="inlineStr">
        <is>
          <t>ARISTOBULO 5137</t>
        </is>
      </c>
      <c r="C342" s="268" t="n">
        <v>1</v>
      </c>
      <c r="D342" s="268" t="n"/>
      <c r="E342" s="268" t="n"/>
      <c r="F342" s="269" t="n"/>
      <c r="G342" s="269" t="n"/>
      <c r="H342" s="270" t="n">
        <v>29000</v>
      </c>
      <c r="I342" s="271" t="n">
        <v>29000</v>
      </c>
      <c r="J342" s="271" t="n"/>
      <c r="K342" s="272" t="n"/>
      <c r="L342" s="272" t="n">
        <v>12000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BONEO 4568</t>
        </is>
      </c>
      <c r="C343" s="268" t="n">
        <v>1</v>
      </c>
      <c r="D343" s="268" t="n"/>
      <c r="E343" s="268" t="n"/>
      <c r="F343" s="269" t="n"/>
      <c r="G343" s="269" t="n"/>
      <c r="H343" s="270" t="n">
        <v>28500</v>
      </c>
      <c r="I343" s="271" t="n">
        <v>28500</v>
      </c>
      <c r="J343" s="271" t="n"/>
      <c r="K343" s="272" t="n"/>
      <c r="L343" s="272" t="n">
        <v>11500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AVELLANEDA 4125</t>
        </is>
      </c>
      <c r="C344" s="268" t="n">
        <v>1</v>
      </c>
      <c r="D344" s="268" t="n"/>
      <c r="E344" s="268" t="n"/>
      <c r="F344" s="269" t="n"/>
      <c r="G344" s="269" t="n"/>
      <c r="H344" s="270" t="n">
        <v>28500</v>
      </c>
      <c r="I344" s="271" t="n">
        <v>28500</v>
      </c>
      <c r="J344" s="271" t="n"/>
      <c r="K344" s="272" t="n"/>
      <c r="L344" s="272" t="n">
        <v>11500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BLAS PARERA 9777</t>
        </is>
      </c>
      <c r="C345" s="268" t="n"/>
      <c r="D345" s="268" t="n"/>
      <c r="E345" s="268" t="n">
        <v>1</v>
      </c>
      <c r="F345" s="269" t="n"/>
      <c r="G345" s="269" t="n"/>
      <c r="H345" s="270" t="n">
        <v>98500</v>
      </c>
      <c r="I345" s="271" t="n"/>
      <c r="J345" s="271" t="n">
        <v>98500</v>
      </c>
      <c r="K345" s="272" t="n"/>
      <c r="L345" s="272" t="n">
        <v>29500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AYACUCHO 5884</t>
        </is>
      </c>
      <c r="C346" s="268" t="n">
        <v>1</v>
      </c>
      <c r="D346" s="268" t="n"/>
      <c r="E346" s="268" t="n"/>
      <c r="F346" s="269" t="n"/>
      <c r="G346" s="269" t="n"/>
      <c r="H346" s="270" t="n">
        <v>28500</v>
      </c>
      <c r="I346" s="271" t="n">
        <v>28500</v>
      </c>
      <c r="J346" s="271" t="n"/>
      <c r="K346" s="272" t="n"/>
      <c r="L346" s="272" t="n">
        <v>11500</v>
      </c>
      <c r="M346" s="156" t="n"/>
      <c r="N346" s="156" t="n"/>
      <c r="O346" s="156" t="n"/>
    </row>
    <row r="347" ht="18.75" customHeight="1" s="153">
      <c r="A347" s="279" t="n">
        <v>46189</v>
      </c>
      <c r="B347" s="267" t="inlineStr">
        <is>
          <t>BRASILIA 2966</t>
        </is>
      </c>
      <c r="C347" s="268" t="n"/>
      <c r="D347" s="268" t="n"/>
      <c r="E347" s="268" t="n">
        <v>1</v>
      </c>
      <c r="F347" s="269" t="n"/>
      <c r="G347" s="269" t="n"/>
      <c r="H347" s="270" t="n">
        <v>98500</v>
      </c>
      <c r="I347" s="271" t="n"/>
      <c r="J347" s="271" t="n">
        <v>98500</v>
      </c>
      <c r="K347" s="272" t="n"/>
      <c r="L347" s="272" t="n">
        <v>29500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LUCHO</t>
        </is>
      </c>
      <c r="C348" s="268" t="n">
        <v>2</v>
      </c>
      <c r="D348" s="268" t="n"/>
      <c r="E348" s="268" t="n"/>
      <c r="F348" s="269" t="n"/>
      <c r="G348" s="269" t="n"/>
      <c r="H348" s="270" t="n">
        <v>44000</v>
      </c>
      <c r="I348" s="271" t="n"/>
      <c r="J348" s="271" t="n">
        <v>44000</v>
      </c>
      <c r="K348" s="272" t="n"/>
      <c r="L348" s="272" t="n">
        <v>10000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PANA GISELA</t>
        </is>
      </c>
      <c r="C349" s="268" t="n">
        <v>1</v>
      </c>
      <c r="D349" s="268" t="n"/>
      <c r="E349" s="268" t="n"/>
      <c r="F349" s="269" t="n"/>
      <c r="G349" s="269" t="n"/>
      <c r="H349" s="270" t="n">
        <v>25500</v>
      </c>
      <c r="I349" s="271" t="n"/>
      <c r="J349" s="271" t="n">
        <v>25500</v>
      </c>
      <c r="K349" s="272" t="n"/>
      <c r="L349" s="272" t="n">
        <v>8500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SAN LORENZO 2846</t>
        </is>
      </c>
      <c r="C350" s="268" t="n">
        <v>1</v>
      </c>
      <c r="D350" s="268" t="n"/>
      <c r="E350" s="268" t="n"/>
      <c r="F350" s="269" t="n"/>
      <c r="G350" s="269" t="n"/>
      <c r="H350" s="270" t="n">
        <v>28500</v>
      </c>
      <c r="I350" s="271" t="n"/>
      <c r="J350" s="271" t="n">
        <v>28500</v>
      </c>
      <c r="K350" s="272" t="n"/>
      <c r="L350" s="272" t="n">
        <v>11500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IRMA</t>
        </is>
      </c>
      <c r="C351" s="268" t="n">
        <v>2</v>
      </c>
      <c r="D351" s="268" t="n"/>
      <c r="E351" s="268" t="n"/>
      <c r="F351" s="269" t="n"/>
      <c r="G351" s="269" t="n"/>
      <c r="H351" s="270" t="n">
        <v>58000</v>
      </c>
      <c r="I351" s="271" t="n"/>
      <c r="J351" s="271" t="n">
        <v>58000</v>
      </c>
      <c r="K351" s="272" t="n"/>
      <c r="L351" s="272" t="n">
        <v>24000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CHICLANA 7325</t>
        </is>
      </c>
      <c r="C352" s="268" t="n">
        <v>1</v>
      </c>
      <c r="D352" s="268" t="n"/>
      <c r="E352" s="268" t="n"/>
      <c r="F352" s="269" t="n"/>
      <c r="G352" s="269" t="n"/>
      <c r="H352" s="270" t="n">
        <v>22500</v>
      </c>
      <c r="I352" s="271" t="n"/>
      <c r="J352" s="271" t="n">
        <v>22500</v>
      </c>
      <c r="K352" s="272" t="n"/>
      <c r="L352" s="272" t="n">
        <v>5500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CALLEJON FUNES 2965</t>
        </is>
      </c>
      <c r="C353" s="268" t="n">
        <v>1</v>
      </c>
      <c r="D353" s="268" t="n"/>
      <c r="E353" s="268" t="n"/>
      <c r="F353" s="269" t="n"/>
      <c r="G353" s="269" t="n"/>
      <c r="H353" s="270" t="n">
        <v>28500</v>
      </c>
      <c r="I353" s="271" t="n"/>
      <c r="J353" s="271" t="n">
        <v>28500</v>
      </c>
      <c r="K353" s="272" t="n"/>
      <c r="L353" s="272" t="n">
        <v>11500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LOPEZ Y PLANES 4585</t>
        </is>
      </c>
      <c r="C354" s="268" t="n">
        <v>1</v>
      </c>
      <c r="D354" s="268" t="n"/>
      <c r="E354" s="268" t="n"/>
      <c r="F354" s="269" t="n"/>
      <c r="G354" s="269" t="n"/>
      <c r="H354" s="270" t="n">
        <v>28500</v>
      </c>
      <c r="I354" s="271" t="n"/>
      <c r="J354" s="271" t="n">
        <v>28500</v>
      </c>
      <c r="K354" s="272" t="n"/>
      <c r="L354" s="272" t="n">
        <v>11500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CORRIENTES 2869</t>
        </is>
      </c>
      <c r="C355" s="268" t="n"/>
      <c r="D355" s="268" t="n">
        <v>2</v>
      </c>
      <c r="E355" s="268" t="n"/>
      <c r="F355" s="269" t="n"/>
      <c r="G355" s="269" t="n"/>
      <c r="H355" s="270" t="n">
        <v>90000</v>
      </c>
      <c r="I355" s="271" t="n">
        <v>90000</v>
      </c>
      <c r="J355" s="271" t="n"/>
      <c r="K355" s="272" t="n"/>
      <c r="L355" s="272" t="n">
        <v>39000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CHICLANA 8290</t>
        </is>
      </c>
      <c r="C356" s="268" t="n"/>
      <c r="D356" s="268" t="n">
        <v>1</v>
      </c>
      <c r="E356" s="268" t="n"/>
      <c r="F356" s="269" t="n"/>
      <c r="G356" s="269" t="n"/>
      <c r="H356" s="270" t="n">
        <v>39500</v>
      </c>
      <c r="I356" s="271" t="n"/>
      <c r="J356" s="271" t="n">
        <v>39500</v>
      </c>
      <c r="K356" s="272" t="n"/>
      <c r="L356" s="272" t="n">
        <v>14000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SAAVEDRA 1448</t>
        </is>
      </c>
      <c r="C357" s="268" t="n">
        <v>1</v>
      </c>
      <c r="D357" s="268" t="n"/>
      <c r="E357" s="268" t="n"/>
      <c r="F357" s="269" t="n"/>
      <c r="G357" s="269" t="n"/>
      <c r="H357" s="270" t="n">
        <v>125000</v>
      </c>
      <c r="I357" s="271" t="n">
        <v>125000</v>
      </c>
      <c r="J357" s="271" t="n"/>
      <c r="K357" s="272" t="n">
        <v>65000</v>
      </c>
      <c r="L357" s="272" t="n">
        <v>43000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VIESTE 5168</t>
        </is>
      </c>
      <c r="C358" s="268" t="n"/>
      <c r="D358" s="268" t="n"/>
      <c r="E358" s="268" t="n">
        <v>1</v>
      </c>
      <c r="F358" s="269" t="n"/>
      <c r="G358" s="269" t="n"/>
      <c r="H358" s="270" t="n">
        <v>98500</v>
      </c>
      <c r="I358" s="271" t="n"/>
      <c r="J358" s="271" t="n">
        <v>98500</v>
      </c>
      <c r="K358" s="272" t="n"/>
      <c r="L358" s="272" t="n">
        <v>29500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PRIMERO DE MAYO 1959</t>
        </is>
      </c>
      <c r="C359" s="268" t="n"/>
      <c r="D359" s="268" t="n"/>
      <c r="E359" s="268" t="n">
        <v>1</v>
      </c>
      <c r="F359" s="269" t="n"/>
      <c r="G359" s="269" t="n"/>
      <c r="H359" s="270" t="n">
        <v>95000</v>
      </c>
      <c r="I359" s="271" t="n"/>
      <c r="J359" s="271" t="n">
        <v>95000</v>
      </c>
      <c r="K359" s="272" t="n"/>
      <c r="L359" s="272" t="n">
        <v>26000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ALBERDI 6766</t>
        </is>
      </c>
      <c r="C360" s="268" t="n">
        <v>1</v>
      </c>
      <c r="D360" s="268" t="n"/>
      <c r="E360" s="268" t="n"/>
      <c r="F360" s="269" t="n"/>
      <c r="G360" s="269" t="n"/>
      <c r="H360" s="270" t="n">
        <v>125000</v>
      </c>
      <c r="I360" s="271" t="n">
        <v>125000</v>
      </c>
      <c r="J360" s="271" t="n"/>
      <c r="K360" s="272" t="n">
        <v>65000</v>
      </c>
      <c r="L360" s="272" t="n">
        <v>43000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PIETRANERA 3172</t>
        </is>
      </c>
      <c r="C361" s="268" t="n">
        <v>1</v>
      </c>
      <c r="D361" s="268" t="n"/>
      <c r="E361" s="268" t="n"/>
      <c r="F361" s="269" t="n"/>
      <c r="G361" s="269" t="n"/>
      <c r="H361" s="270" t="n">
        <v>28500</v>
      </c>
      <c r="I361" s="271" t="n">
        <v>28500</v>
      </c>
      <c r="J361" s="271" t="n"/>
      <c r="K361" s="272" t="n"/>
      <c r="L361" s="272" t="n">
        <v>11500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SAN MARTIN 1925</t>
        </is>
      </c>
      <c r="C362" s="268" t="n">
        <v>1</v>
      </c>
      <c r="D362" s="268" t="n"/>
      <c r="E362" s="268" t="n"/>
      <c r="F362" s="269" t="n"/>
      <c r="G362" s="269" t="n"/>
      <c r="H362" s="270" t="n">
        <v>28500</v>
      </c>
      <c r="I362" s="271" t="n">
        <v>28500</v>
      </c>
      <c r="J362" s="271" t="n"/>
      <c r="K362" s="272" t="n"/>
      <c r="L362" s="272" t="n">
        <v>11500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FLORENCIO FERNANDEZ 6196</t>
        </is>
      </c>
      <c r="C363" s="268" t="n">
        <v>6</v>
      </c>
      <c r="D363" s="268" t="n"/>
      <c r="E363" s="268" t="n"/>
      <c r="F363" s="269" t="n"/>
      <c r="G363" s="269" t="n"/>
      <c r="H363" s="270" t="n">
        <v>132000</v>
      </c>
      <c r="I363" s="271" t="n"/>
      <c r="J363" s="271" t="n">
        <v>132000</v>
      </c>
      <c r="K363" s="272" t="n"/>
      <c r="L363" s="272" t="n">
        <v>30000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MUNDO GOL</t>
        </is>
      </c>
      <c r="C364" s="268" t="n"/>
      <c r="D364" s="268" t="n"/>
      <c r="E364" s="268" t="n">
        <v>1</v>
      </c>
      <c r="F364" s="269" t="n"/>
      <c r="G364" s="269" t="n"/>
      <c r="H364" s="270" t="n">
        <v>89000</v>
      </c>
      <c r="I364" s="271" t="n"/>
      <c r="J364" s="271" t="n">
        <v>89000</v>
      </c>
      <c r="K364" s="272" t="n"/>
      <c r="L364" s="272" t="n">
        <v>20000</v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GASTON AMARAL</t>
        </is>
      </c>
      <c r="C365" s="268" t="n"/>
      <c r="D365" s="268" t="n"/>
      <c r="E365" s="268" t="n">
        <v>1</v>
      </c>
      <c r="F365" s="269" t="n"/>
      <c r="G365" s="269" t="n"/>
      <c r="H365" s="270" t="n">
        <v>98500</v>
      </c>
      <c r="I365" s="271" t="n"/>
      <c r="J365" s="271" t="n">
        <v>98500</v>
      </c>
      <c r="K365" s="272" t="n"/>
      <c r="L365" s="272" t="n">
        <v>29500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JUAN DE GARAY 2947</t>
        </is>
      </c>
      <c r="C366" s="268" t="n">
        <v>1</v>
      </c>
      <c r="D366" s="268" t="n"/>
      <c r="E366" s="268" t="n"/>
      <c r="F366" s="269" t="n"/>
      <c r="G366" s="269" t="n"/>
      <c r="H366" s="270" t="n">
        <v>28500</v>
      </c>
      <c r="I366" s="271" t="n">
        <v>28500</v>
      </c>
      <c r="J366" s="271" t="n"/>
      <c r="K366" s="272" t="n"/>
      <c r="L366" s="272" t="n">
        <v>11500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LAS PAREDES 5224</t>
        </is>
      </c>
      <c r="C367" s="268" t="n"/>
      <c r="D367" s="268" t="n"/>
      <c r="E367" s="268" t="n">
        <v>1</v>
      </c>
      <c r="F367" s="269" t="n"/>
      <c r="G367" s="269" t="n"/>
      <c r="H367" s="270" t="n">
        <v>98500</v>
      </c>
      <c r="I367" s="271" t="n"/>
      <c r="J367" s="271" t="n">
        <v>98500</v>
      </c>
      <c r="K367" s="272" t="n"/>
      <c r="L367" s="272" t="n">
        <v>29500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MARIO</t>
        </is>
      </c>
      <c r="C368" s="268" t="n">
        <v>2</v>
      </c>
      <c r="D368" s="268" t="n"/>
      <c r="E368" s="268" t="n"/>
      <c r="F368" s="269" t="n"/>
      <c r="G368" s="269" t="n"/>
      <c r="H368" s="270" t="n">
        <v>44000</v>
      </c>
      <c r="I368" s="271" t="n">
        <v>44000</v>
      </c>
      <c r="J368" s="271" t="n"/>
      <c r="K368" s="272" t="n"/>
      <c r="L368" s="272" t="n">
        <v>10000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BERUTI 4158</t>
        </is>
      </c>
      <c r="C369" s="268" t="n"/>
      <c r="D369" s="268" t="n"/>
      <c r="E369" s="268" t="n">
        <v>1</v>
      </c>
      <c r="F369" s="269" t="n"/>
      <c r="G369" s="269" t="n"/>
      <c r="H369" s="270" t="n">
        <v>96000</v>
      </c>
      <c r="I369" s="271" t="n">
        <v>96000</v>
      </c>
      <c r="J369" s="271" t="n"/>
      <c r="K369" s="272" t="n"/>
      <c r="L369" s="272" t="n">
        <v>27000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JP LOPEZ 3249</t>
        </is>
      </c>
      <c r="C370" s="268" t="n">
        <v>1</v>
      </c>
      <c r="D370" s="268" t="n"/>
      <c r="E370" s="268" t="n"/>
      <c r="F370" s="269" t="n"/>
      <c r="G370" s="269" t="n"/>
      <c r="H370" s="270" t="n">
        <v>28500</v>
      </c>
      <c r="I370" s="271" t="n"/>
      <c r="J370" s="271" t="n">
        <v>28500</v>
      </c>
      <c r="K370" s="272" t="n"/>
      <c r="L370" s="272" t="n">
        <v>11500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SAAVEDRA 4064</t>
        </is>
      </c>
      <c r="C371" s="268" t="n">
        <v>1</v>
      </c>
      <c r="D371" s="268" t="n"/>
      <c r="E371" s="268" t="n"/>
      <c r="F371" s="269" t="n"/>
      <c r="G371" s="269" t="n"/>
      <c r="H371" s="270" t="n">
        <v>28500</v>
      </c>
      <c r="I371" s="271" t="n">
        <v>28500</v>
      </c>
      <c r="J371" s="271" t="n"/>
      <c r="K371" s="272" t="n"/>
      <c r="L371" s="272" t="n">
        <v>11500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LASAGA 4569</t>
        </is>
      </c>
      <c r="C372" s="268" t="n">
        <v>1</v>
      </c>
      <c r="D372" s="268" t="n"/>
      <c r="E372" s="268" t="n"/>
      <c r="F372" s="269" t="n"/>
      <c r="G372" s="269" t="n"/>
      <c r="H372" s="270" t="n">
        <v>28500</v>
      </c>
      <c r="I372" s="271" t="n">
        <v>28500</v>
      </c>
      <c r="J372" s="271" t="n"/>
      <c r="K372" s="272" t="n"/>
      <c r="L372" s="272" t="n">
        <v>11500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>
        <v>1</v>
      </c>
      <c r="D373" s="268" t="n"/>
      <c r="E373" s="268" t="n"/>
      <c r="F373" s="269" t="n"/>
      <c r="G373" s="269" t="n"/>
      <c r="H373" s="270" t="n">
        <v>25500</v>
      </c>
      <c r="I373" s="271" t="n"/>
      <c r="J373" s="271" t="n">
        <v>25500</v>
      </c>
      <c r="K373" s="272" t="n"/>
      <c r="L373" s="272" t="n">
        <v>8500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BRASERIA</t>
        </is>
      </c>
      <c r="C374" s="268" t="n"/>
      <c r="D374" s="268" t="n"/>
      <c r="E374" s="268" t="n">
        <v>1</v>
      </c>
      <c r="F374" s="269" t="n"/>
      <c r="G374" s="269" t="n"/>
      <c r="H374" s="270" t="n">
        <v>94000</v>
      </c>
      <c r="I374" s="271" t="n"/>
      <c r="J374" s="271" t="n">
        <v>94000</v>
      </c>
      <c r="K374" s="272" t="n"/>
      <c r="L374" s="272" t="n">
        <v>25000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PANA ALBERTI</t>
        </is>
      </c>
      <c r="C375" s="268" t="n"/>
      <c r="D375" s="268" t="n"/>
      <c r="E375" s="268" t="n">
        <v>1</v>
      </c>
      <c r="F375" s="269" t="n"/>
      <c r="G375" s="269" t="n"/>
      <c r="H375" s="270" t="n">
        <v>91000</v>
      </c>
      <c r="I375" s="271" t="n">
        <v>91000</v>
      </c>
      <c r="J375" s="271" t="n"/>
      <c r="K375" s="272" t="n"/>
      <c r="L375" s="272" t="n">
        <v>22000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BONEO 4054</t>
        </is>
      </c>
      <c r="C376" s="268" t="n"/>
      <c r="D376" s="268" t="n">
        <v>1</v>
      </c>
      <c r="E376" s="268" t="n"/>
      <c r="F376" s="269" t="n"/>
      <c r="G376" s="269" t="n"/>
      <c r="H376" s="270" t="n">
        <v>42500</v>
      </c>
      <c r="I376" s="271" t="n">
        <v>42500</v>
      </c>
      <c r="J376" s="271" t="n"/>
      <c r="K376" s="272" t="n"/>
      <c r="L376" s="272" t="n">
        <v>17000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RIVADAVIA 6221</t>
        </is>
      </c>
      <c r="C377" s="268" t="n">
        <v>1</v>
      </c>
      <c r="D377" s="268" t="n"/>
      <c r="E377" s="268" t="n"/>
      <c r="F377" s="269" t="n"/>
      <c r="G377" s="269" t="n"/>
      <c r="H377" s="270" t="n">
        <v>28500</v>
      </c>
      <c r="I377" s="271" t="n">
        <v>28500</v>
      </c>
      <c r="J377" s="271" t="n"/>
      <c r="K377" s="272" t="n"/>
      <c r="L377" s="272" t="n">
        <v>11500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BERNARDO IRIGOYEN 6881</t>
        </is>
      </c>
      <c r="C378" s="268" t="n">
        <v>1</v>
      </c>
      <c r="D378" s="268" t="n"/>
      <c r="E378" s="268" t="n"/>
      <c r="F378" s="269" t="n"/>
      <c r="G378" s="269" t="n"/>
      <c r="H378" s="270" t="n">
        <v>21500</v>
      </c>
      <c r="I378" s="271" t="n">
        <v>21500</v>
      </c>
      <c r="J378" s="271" t="n"/>
      <c r="K378" s="272" t="n"/>
      <c r="L378" s="272" t="n">
        <v>4500</v>
      </c>
      <c r="M378" s="156" t="n"/>
      <c r="N378" s="156" t="n"/>
      <c r="O378" s="156" t="n"/>
    </row>
    <row r="379" ht="15.75" customHeight="1" s="153">
      <c r="A379" s="280" t="n">
        <v>46190</v>
      </c>
      <c r="B379" s="274" t="inlineStr">
        <is>
          <t>DOMINGO SILVA 4217</t>
        </is>
      </c>
      <c r="C379" s="275" t="n">
        <v>2</v>
      </c>
      <c r="D379" s="275" t="n"/>
      <c r="E379" s="275" t="n"/>
      <c r="F379" s="276" t="n"/>
      <c r="G379" s="276" t="n"/>
      <c r="H379" s="277" t="n">
        <v>45000</v>
      </c>
      <c r="I379" s="278" t="n">
        <v>45000</v>
      </c>
      <c r="J379" s="278" t="n"/>
      <c r="K379" s="272" t="n"/>
      <c r="L379" s="272" t="n">
        <v>11000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PABLO</t>
        </is>
      </c>
      <c r="C380" s="268" t="n">
        <v>2</v>
      </c>
      <c r="D380" s="268" t="n"/>
      <c r="E380" s="268" t="n"/>
      <c r="F380" s="269" t="n"/>
      <c r="G380" s="269" t="n"/>
      <c r="H380" s="270" t="n">
        <v>44000</v>
      </c>
      <c r="I380" s="271" t="n">
        <v>44000</v>
      </c>
      <c r="J380" s="271" t="n"/>
      <c r="K380" s="272" t="n"/>
      <c r="L380" s="272" t="n">
        <v>10000</v>
      </c>
      <c r="M380" s="156" t="n"/>
      <c r="N380" s="156" t="n"/>
      <c r="O380" s="156" t="n"/>
    </row>
    <row r="381" ht="15.75" customHeight="1" s="153">
      <c r="A381" s="273" t="n"/>
      <c r="B381" s="274" t="inlineStr">
        <is>
          <t>SANDRA</t>
        </is>
      </c>
      <c r="C381" s="275" t="n">
        <v>3</v>
      </c>
      <c r="D381" s="275" t="n"/>
      <c r="E381" s="275" t="n"/>
      <c r="F381" s="276" t="n"/>
      <c r="G381" s="276" t="n"/>
      <c r="H381" s="277" t="n">
        <v>66000</v>
      </c>
      <c r="I381" s="278" t="n">
        <v>66000</v>
      </c>
      <c r="J381" s="278" t="n"/>
      <c r="K381" s="272" t="n"/>
      <c r="L381" s="272" t="n">
        <v>15000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AYACUCHO 5370</t>
        </is>
      </c>
      <c r="C382" s="268" t="n"/>
      <c r="D382" s="268" t="n"/>
      <c r="E382" s="268" t="n">
        <v>1</v>
      </c>
      <c r="F382" s="269" t="n"/>
      <c r="G382" s="269" t="n">
        <v>2</v>
      </c>
      <c r="H382" s="270" t="n">
        <v>105000</v>
      </c>
      <c r="I382" s="271" t="n">
        <v>105000</v>
      </c>
      <c r="J382" s="271" t="n"/>
      <c r="K382" s="272" t="n"/>
      <c r="L382" s="272" t="n">
        <v>34160</v>
      </c>
      <c r="M382" s="156" t="n"/>
      <c r="N382" s="156" t="n"/>
      <c r="O382" s="156" t="n"/>
    </row>
    <row r="383" ht="15.75" customHeight="1" s="153">
      <c r="A383" s="273" t="n"/>
      <c r="B383" s="274" t="inlineStr">
        <is>
          <t>PAVON 3941</t>
        </is>
      </c>
      <c r="C383" s="275" t="n">
        <v>1</v>
      </c>
      <c r="D383" s="275" t="n"/>
      <c r="E383" s="275" t="n"/>
      <c r="F383" s="276" t="n"/>
      <c r="G383" s="276" t="n"/>
      <c r="H383" s="277" t="n">
        <v>28500</v>
      </c>
      <c r="I383" s="278" t="n">
        <v>28500</v>
      </c>
      <c r="J383" s="278" t="n"/>
      <c r="K383" s="272" t="n"/>
      <c r="L383" s="272" t="n">
        <v>11500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CRESPO 7214</t>
        </is>
      </c>
      <c r="C384" s="268" t="n">
        <v>1</v>
      </c>
      <c r="D384" s="268" t="n"/>
      <c r="E384" s="268" t="n"/>
      <c r="F384" s="269" t="n"/>
      <c r="G384" s="269" t="n"/>
      <c r="H384" s="270" t="n">
        <v>26000</v>
      </c>
      <c r="I384" s="271" t="n"/>
      <c r="J384" s="271" t="n">
        <v>26000</v>
      </c>
      <c r="K384" s="272" t="n"/>
      <c r="L384" s="272" t="n">
        <v>9000</v>
      </c>
      <c r="M384" s="156" t="n"/>
      <c r="N384" s="156" t="n"/>
      <c r="O384" s="156" t="n"/>
    </row>
    <row r="385" ht="15.75" customHeight="1" s="153">
      <c r="A385" s="273" t="n"/>
      <c r="B385" s="274" t="inlineStr">
        <is>
          <t>CORDOBA 2630</t>
        </is>
      </c>
      <c r="C385" s="275" t="n">
        <v>1</v>
      </c>
      <c r="D385" s="275" t="n"/>
      <c r="E385" s="275" t="n"/>
      <c r="F385" s="276" t="n"/>
      <c r="G385" s="276" t="n"/>
      <c r="H385" s="277" t="n">
        <v>28500</v>
      </c>
      <c r="I385" s="278" t="n">
        <v>28500</v>
      </c>
      <c r="J385" s="278" t="n"/>
      <c r="K385" s="272" t="n"/>
      <c r="L385" s="272" t="n">
        <v>11500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PEDRO DE VEGA 4343</t>
        </is>
      </c>
      <c r="C386" s="268" t="n"/>
      <c r="D386" s="268" t="n"/>
      <c r="E386" s="268" t="n">
        <v>1</v>
      </c>
      <c r="F386" s="269" t="n"/>
      <c r="G386" s="269" t="n"/>
      <c r="H386" s="270" t="n">
        <v>98000</v>
      </c>
      <c r="I386" s="271" t="n">
        <v>98000</v>
      </c>
      <c r="J386" s="271" t="n"/>
      <c r="K386" s="272" t="n"/>
      <c r="L386" s="272" t="n">
        <v>29000</v>
      </c>
      <c r="M386" s="156" t="n"/>
      <c r="N386" s="156" t="n"/>
      <c r="O386" s="156" t="n"/>
    </row>
    <row r="387" ht="15.75" customHeight="1" s="153">
      <c r="A387" s="273" t="n"/>
      <c r="B387" s="274" t="inlineStr">
        <is>
          <t>PAVON 2946</t>
        </is>
      </c>
      <c r="C387" s="275" t="n">
        <v>1</v>
      </c>
      <c r="D387" s="275" t="n"/>
      <c r="E387" s="275" t="n"/>
      <c r="F387" s="276" t="n"/>
      <c r="G387" s="276" t="n"/>
      <c r="H387" s="277" t="n">
        <v>29500</v>
      </c>
      <c r="I387" s="278" t="n"/>
      <c r="J387" s="278" t="n">
        <v>29500</v>
      </c>
      <c r="K387" s="272" t="n"/>
      <c r="L387" s="272" t="n">
        <v>12500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CARO FACELLO</t>
        </is>
      </c>
      <c r="C388" s="268" t="n"/>
      <c r="D388" s="268" t="n">
        <v>1</v>
      </c>
      <c r="E388" s="268" t="n"/>
      <c r="F388" s="269" t="n"/>
      <c r="G388" s="269" t="n"/>
      <c r="H388" s="270" t="n">
        <v>42500</v>
      </c>
      <c r="I388" s="271" t="n">
        <v>42500</v>
      </c>
      <c r="J388" s="271" t="n"/>
      <c r="K388" s="272" t="n"/>
      <c r="L388" s="272" t="n">
        <v>17000</v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VANE GORDILLO</t>
        </is>
      </c>
      <c r="C389" s="275" t="n">
        <v>2</v>
      </c>
      <c r="D389" s="275" t="n"/>
      <c r="E389" s="275" t="n"/>
      <c r="F389" s="276" t="n"/>
      <c r="G389" s="276" t="n"/>
      <c r="H389" s="277" t="n">
        <v>52000</v>
      </c>
      <c r="I389" s="278" t="n">
        <v>52000</v>
      </c>
      <c r="J389" s="278" t="n"/>
      <c r="K389" s="272" t="n"/>
      <c r="L389" s="272" t="n">
        <v>18000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PEÑALOZA 9757</t>
        </is>
      </c>
      <c r="C390" s="268" t="n">
        <v>1</v>
      </c>
      <c r="D390" s="268" t="n"/>
      <c r="E390" s="268" t="n"/>
      <c r="F390" s="269" t="n"/>
      <c r="G390" s="269" t="n"/>
      <c r="H390" s="270" t="n">
        <v>28500</v>
      </c>
      <c r="I390" s="271" t="n"/>
      <c r="J390" s="271" t="n">
        <v>28500</v>
      </c>
      <c r="K390" s="272" t="n"/>
      <c r="L390" s="272" t="n">
        <v>11500</v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ARISTOBULO 5137</t>
        </is>
      </c>
      <c r="C391" s="275" t="n"/>
      <c r="D391" s="275" t="n">
        <v>1</v>
      </c>
      <c r="E391" s="275" t="n"/>
      <c r="F391" s="276" t="n"/>
      <c r="G391" s="276" t="n"/>
      <c r="H391" s="277" t="n">
        <v>41500</v>
      </c>
      <c r="I391" s="278" t="n"/>
      <c r="J391" s="278" t="n">
        <v>41500</v>
      </c>
      <c r="K391" s="272" t="n"/>
      <c r="L391" s="272" t="n">
        <v>16000</v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RIVADAVIA 8280</t>
        </is>
      </c>
      <c r="C392" s="268" t="n"/>
      <c r="D392" s="268" t="n"/>
      <c r="E392" s="268" t="n">
        <v>1</v>
      </c>
      <c r="F392" s="269" t="n"/>
      <c r="G392" s="269" t="n"/>
      <c r="H392" s="270" t="n">
        <v>99500</v>
      </c>
      <c r="I392" s="271" t="n"/>
      <c r="J392" s="271" t="n">
        <v>99500</v>
      </c>
      <c r="K392" s="272" t="n"/>
      <c r="L392" s="272" t="n">
        <v>30500</v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12 DE INFANTERIA 3989</t>
        </is>
      </c>
      <c r="C393" s="275" t="n"/>
      <c r="D393" s="275" t="n"/>
      <c r="E393" s="275" t="n">
        <v>1</v>
      </c>
      <c r="F393" s="276" t="n"/>
      <c r="G393" s="276" t="n"/>
      <c r="H393" s="277" t="n">
        <v>98000</v>
      </c>
      <c r="I393" s="278" t="n"/>
      <c r="J393" s="278" t="n">
        <v>98000</v>
      </c>
      <c r="K393" s="272" t="n"/>
      <c r="L393" s="272" t="n">
        <v>29000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RIO NEGRO 6558</t>
        </is>
      </c>
      <c r="C394" s="268" t="n"/>
      <c r="D394" s="268" t="n"/>
      <c r="E394" s="268" t="n">
        <v>1</v>
      </c>
      <c r="F394" s="269" t="n"/>
      <c r="G394" s="269" t="n"/>
      <c r="H394" s="270" t="n">
        <v>98000</v>
      </c>
      <c r="I394" s="271" t="n">
        <v>98000</v>
      </c>
      <c r="J394" s="271" t="n"/>
      <c r="K394" s="272" t="n"/>
      <c r="L394" s="272" t="n">
        <v>29000</v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PUBLICO 8947</t>
        </is>
      </c>
      <c r="C395" s="275" t="n"/>
      <c r="D395" s="275" t="n"/>
      <c r="E395" s="275" t="n">
        <v>1</v>
      </c>
      <c r="F395" s="276" t="n"/>
      <c r="G395" s="276" t="n"/>
      <c r="H395" s="277" t="n">
        <v>98500</v>
      </c>
      <c r="I395" s="278" t="n">
        <v>98500</v>
      </c>
      <c r="J395" s="278" t="n"/>
      <c r="K395" s="272" t="n"/>
      <c r="L395" s="272" t="n">
        <v>29500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AZCUENAGA 5023</t>
        </is>
      </c>
      <c r="C396" s="268" t="n">
        <v>7</v>
      </c>
      <c r="D396" s="268" t="n"/>
      <c r="E396" s="268" t="n"/>
      <c r="F396" s="269" t="n"/>
      <c r="G396" s="269" t="n"/>
      <c r="H396" s="270" t="n">
        <v>154000</v>
      </c>
      <c r="I396" s="271" t="n"/>
      <c r="J396" s="271" t="n">
        <v>154000</v>
      </c>
      <c r="K396" s="272" t="n"/>
      <c r="L396" s="272" t="n">
        <v>35000</v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LALO</t>
        </is>
      </c>
      <c r="C397" s="275" t="n"/>
      <c r="D397" s="275" t="n"/>
      <c r="E397" s="275" t="n">
        <v>1</v>
      </c>
      <c r="F397" s="276" t="n"/>
      <c r="G397" s="276" t="n"/>
      <c r="H397" s="277" t="n">
        <v>98000</v>
      </c>
      <c r="I397" s="278" t="n">
        <v>98000</v>
      </c>
      <c r="J397" s="278" t="n"/>
      <c r="K397" s="272" t="n"/>
      <c r="L397" s="272" t="n">
        <v>29000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VERA MUJICA 420</t>
        </is>
      </c>
      <c r="C398" s="268" t="n"/>
      <c r="D398" s="268" t="n">
        <v>1</v>
      </c>
      <c r="E398" s="268" t="n"/>
      <c r="F398" s="269" t="n"/>
      <c r="G398" s="269" t="n"/>
      <c r="H398" s="270" t="n">
        <v>42000</v>
      </c>
      <c r="I398" s="271" t="n">
        <v>42000</v>
      </c>
      <c r="J398" s="271" t="n"/>
      <c r="K398" s="272" t="n"/>
      <c r="L398" s="272" t="n">
        <v>16500</v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NACHO CUEVA</t>
        </is>
      </c>
      <c r="C399" s="275" t="n">
        <v>1</v>
      </c>
      <c r="D399" s="275" t="n"/>
      <c r="E399" s="275" t="n"/>
      <c r="F399" s="276" t="n"/>
      <c r="G399" s="276" t="n"/>
      <c r="H399" s="277" t="n">
        <v>25500</v>
      </c>
      <c r="I399" s="278" t="n"/>
      <c r="J399" s="278" t="n">
        <v>25500</v>
      </c>
      <c r="K399" s="272" t="n"/>
      <c r="L399" s="272" t="n">
        <v>8500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TRES DE FEBRERO 3684</t>
        </is>
      </c>
      <c r="C400" s="268" t="n">
        <v>1</v>
      </c>
      <c r="D400" s="268" t="n"/>
      <c r="E400" s="268" t="n"/>
      <c r="F400" s="269" t="n"/>
      <c r="G400" s="269" t="n"/>
      <c r="H400" s="270" t="n">
        <v>28500</v>
      </c>
      <c r="I400" s="271" t="n"/>
      <c r="J400" s="271" t="n">
        <v>28500</v>
      </c>
      <c r="K400" s="272" t="n"/>
      <c r="L400" s="272" t="n">
        <v>11500</v>
      </c>
      <c r="M400" s="156" t="n"/>
    </row>
    <row r="401" ht="15.75" customHeight="1" s="153">
      <c r="A401" s="273" t="n"/>
      <c r="B401" s="274" t="inlineStr">
        <is>
          <t>GOROSTIAGA 4619</t>
        </is>
      </c>
      <c r="C401" s="275" t="n"/>
      <c r="D401" s="275" t="n"/>
      <c r="E401" s="275" t="n">
        <v>1</v>
      </c>
      <c r="F401" s="276" t="n"/>
      <c r="G401" s="276" t="n"/>
      <c r="H401" s="277" t="n">
        <v>99500</v>
      </c>
      <c r="I401" s="278" t="n"/>
      <c r="J401" s="278" t="n">
        <v>99500</v>
      </c>
      <c r="K401" s="272" t="n"/>
      <c r="L401" s="272" t="n">
        <v>30500</v>
      </c>
      <c r="M401" s="156" t="n"/>
    </row>
    <row r="402" ht="15.75" customHeight="1" s="153">
      <c r="A402" s="266" t="n">
        <v>46191</v>
      </c>
      <c r="B402" s="267" t="inlineStr">
        <is>
          <t>URQUIZA 9396</t>
        </is>
      </c>
      <c r="C402" s="268" t="n"/>
      <c r="D402" s="268" t="n"/>
      <c r="E402" s="268" t="n">
        <v>1</v>
      </c>
      <c r="F402" s="269" t="n"/>
      <c r="G402" s="269" t="n"/>
      <c r="H402" s="270" t="n">
        <v>98000</v>
      </c>
      <c r="I402" s="271" t="n"/>
      <c r="J402" s="271" t="n">
        <v>98000</v>
      </c>
      <c r="K402" s="272" t="n"/>
      <c r="L402" s="272" t="n">
        <v>29000</v>
      </c>
      <c r="M402" s="156" t="n"/>
    </row>
    <row r="403" ht="15.75" customHeight="1" s="153">
      <c r="A403" s="273" t="n"/>
      <c r="B403" s="274" t="inlineStr">
        <is>
          <t>LUCHO</t>
        </is>
      </c>
      <c r="C403" s="275" t="n">
        <v>3</v>
      </c>
      <c r="D403" s="275" t="n"/>
      <c r="E403" s="275" t="n"/>
      <c r="F403" s="276" t="n"/>
      <c r="G403" s="276" t="n"/>
      <c r="H403" s="277" t="n">
        <v>66000</v>
      </c>
      <c r="I403" s="278" t="n">
        <v>66000</v>
      </c>
      <c r="J403" s="278" t="n"/>
      <c r="K403" s="272" t="n"/>
      <c r="L403" s="272" t="n">
        <v>15000</v>
      </c>
      <c r="M403" s="156" t="n"/>
    </row>
    <row r="404" ht="15.75" customHeight="1" s="153">
      <c r="A404" s="279" t="n"/>
      <c r="B404" s="267" t="inlineStr">
        <is>
          <t>AYACUCHO 5360</t>
        </is>
      </c>
      <c r="C404" s="268" t="n">
        <v>2</v>
      </c>
      <c r="D404" s="268" t="n"/>
      <c r="E404" s="268" t="n"/>
      <c r="F404" s="269" t="n"/>
      <c r="G404" s="269" t="n"/>
      <c r="H404" s="270" t="n">
        <v>13000</v>
      </c>
      <c r="I404" s="271" t="n"/>
      <c r="J404" s="271" t="n">
        <v>13000</v>
      </c>
      <c r="K404" s="272" t="n"/>
      <c r="L404" s="272" t="n">
        <v>-21000</v>
      </c>
      <c r="M404" s="156" t="n"/>
    </row>
    <row r="405" ht="15.75" customHeight="1" s="153">
      <c r="A405" s="273" t="n"/>
      <c r="B405" s="274" t="inlineStr">
        <is>
          <t>SAAVEDRA 10125</t>
        </is>
      </c>
      <c r="C405" s="275" t="n"/>
      <c r="D405" s="275" t="n"/>
      <c r="E405" s="275" t="n">
        <v>1</v>
      </c>
      <c r="F405" s="276" t="n"/>
      <c r="G405" s="276" t="n"/>
      <c r="H405" s="277" t="n">
        <v>102000</v>
      </c>
      <c r="I405" s="278" t="n"/>
      <c r="J405" s="278" t="n">
        <v>102000</v>
      </c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SAAVEDRA 4064</t>
        </is>
      </c>
      <c r="C406" s="268" t="n"/>
      <c r="D406" s="268" t="n"/>
      <c r="E406" s="268" t="n">
        <v>1</v>
      </c>
      <c r="F406" s="269" t="n"/>
      <c r="G406" s="269" t="n"/>
      <c r="H406" s="270" t="n">
        <v>94000</v>
      </c>
      <c r="I406" s="271" t="n"/>
      <c r="J406" s="271" t="n">
        <v>94000</v>
      </c>
      <c r="K406" s="272" t="n"/>
      <c r="L406" s="272" t="n">
        <v>25000</v>
      </c>
      <c r="M406" s="156" t="n"/>
    </row>
    <row r="407" ht="15.75" customHeight="1" s="153">
      <c r="A407" s="273" t="n"/>
      <c r="B407" s="274" t="inlineStr">
        <is>
          <t>DOMINGO SILVA 4217</t>
        </is>
      </c>
      <c r="C407" s="275" t="n">
        <v>2</v>
      </c>
      <c r="D407" s="275" t="n"/>
      <c r="E407" s="275" t="n"/>
      <c r="F407" s="276" t="n"/>
      <c r="G407" s="276" t="n"/>
      <c r="H407" s="277" t="n">
        <v>45000</v>
      </c>
      <c r="I407" s="278" t="n">
        <v>45000</v>
      </c>
      <c r="J407" s="278" t="n"/>
      <c r="K407" s="272" t="n"/>
      <c r="L407" s="272" t="n">
        <v>11000</v>
      </c>
      <c r="M407" s="156" t="n"/>
    </row>
    <row r="408" ht="15.75" customHeight="1" s="153">
      <c r="A408" s="279" t="n"/>
      <c r="B408" s="267" t="inlineStr">
        <is>
          <t>VIANDAS JORGE</t>
        </is>
      </c>
      <c r="C408" s="268" t="n">
        <v>1</v>
      </c>
      <c r="D408" s="268" t="n"/>
      <c r="E408" s="268" t="n"/>
      <c r="F408" s="269" t="n"/>
      <c r="G408" s="269" t="n"/>
      <c r="H408" s="270" t="n">
        <v>25000</v>
      </c>
      <c r="I408" s="271" t="n">
        <v>25000</v>
      </c>
      <c r="J408" s="271" t="n"/>
      <c r="K408" s="272" t="n"/>
      <c r="L408" s="272" t="n">
        <v>8000</v>
      </c>
      <c r="M408" s="156" t="n"/>
    </row>
    <row r="409" ht="15.75" customHeight="1" s="153">
      <c r="A409" s="273" t="n"/>
      <c r="B409" s="274" t="inlineStr">
        <is>
          <t>CHICLANA 7325</t>
        </is>
      </c>
      <c r="C409" s="275" t="n">
        <v>1</v>
      </c>
      <c r="D409" s="275" t="n"/>
      <c r="E409" s="275" t="n"/>
      <c r="F409" s="276" t="n"/>
      <c r="G409" s="276" t="n"/>
      <c r="H409" s="277" t="n">
        <v>22500</v>
      </c>
      <c r="I409" s="278" t="n">
        <v>22500</v>
      </c>
      <c r="J409" s="278" t="n"/>
      <c r="K409" s="272" t="n"/>
      <c r="L409" s="272" t="n">
        <v>5500</v>
      </c>
      <c r="M409" s="156" t="n"/>
    </row>
    <row r="410" ht="15.75" customHeight="1" s="153">
      <c r="A410" s="279" t="n"/>
      <c r="B410" s="267" t="inlineStr">
        <is>
          <t>MADAME CHEESE</t>
        </is>
      </c>
      <c r="C410" s="268" t="n"/>
      <c r="D410" s="268" t="n">
        <v>1</v>
      </c>
      <c r="E410" s="268" t="n"/>
      <c r="F410" s="269" t="n"/>
      <c r="G410" s="269" t="n"/>
      <c r="H410" s="270" t="n">
        <v>38500</v>
      </c>
      <c r="I410" s="271" t="n"/>
      <c r="J410" s="271" t="n">
        <v>38500</v>
      </c>
      <c r="K410" s="272" t="n"/>
      <c r="L410" s="272" t="n">
        <v>13000</v>
      </c>
      <c r="M410" s="156" t="n"/>
    </row>
    <row r="411" ht="15.75" customHeight="1" s="153">
      <c r="A411" s="273" t="n"/>
      <c r="B411" s="274" t="inlineStr">
        <is>
          <t>ACACIAS 10301</t>
        </is>
      </c>
      <c r="C411" s="275" t="n">
        <v>1</v>
      </c>
      <c r="D411" s="275" t="n"/>
      <c r="E411" s="275" t="n"/>
      <c r="F411" s="276" t="n"/>
      <c r="G411" s="276" t="n"/>
      <c r="H411" s="277" t="n">
        <v>29000</v>
      </c>
      <c r="I411" s="278" t="n"/>
      <c r="J411" s="278" t="n">
        <v>29000</v>
      </c>
      <c r="K411" s="272" t="n"/>
      <c r="L411" s="272" t="n">
        <v>12000</v>
      </c>
      <c r="M411" s="156" t="n"/>
    </row>
    <row r="412" ht="15.75" customHeight="1" s="153">
      <c r="A412" s="279" t="n"/>
      <c r="B412" s="267" t="inlineStr">
        <is>
          <t>NECOCHEA 5587</t>
        </is>
      </c>
      <c r="C412" s="268" t="n">
        <v>2</v>
      </c>
      <c r="D412" s="268" t="n"/>
      <c r="E412" s="268" t="n"/>
      <c r="F412" s="269" t="n"/>
      <c r="G412" s="269" t="n"/>
      <c r="H412" s="270" t="n">
        <v>58000</v>
      </c>
      <c r="I412" s="271" t="n"/>
      <c r="J412" s="271" t="n">
        <v>58000</v>
      </c>
      <c r="K412" s="272" t="n"/>
      <c r="L412" s="272" t="n">
        <v>24000</v>
      </c>
      <c r="M412" s="156" t="n"/>
    </row>
    <row r="413" ht="15.75" customHeight="1" s="153">
      <c r="A413" s="273" t="n"/>
      <c r="B413" s="274" t="inlineStr">
        <is>
          <t>PANA VIEYTES 3800</t>
        </is>
      </c>
      <c r="C413" s="275" t="n"/>
      <c r="D413" s="275" t="n"/>
      <c r="E413" s="275" t="n">
        <v>1</v>
      </c>
      <c r="F413" s="276" t="n"/>
      <c r="G413" s="276" t="n"/>
      <c r="H413" s="277" t="n">
        <v>93000</v>
      </c>
      <c r="I413" s="278" t="n">
        <v>93000</v>
      </c>
      <c r="J413" s="278" t="n"/>
      <c r="K413" s="272" t="n"/>
      <c r="L413" s="272" t="n">
        <v>24000</v>
      </c>
      <c r="M413" s="156" t="n"/>
    </row>
    <row r="414" ht="15.75" customHeight="1" s="153">
      <c r="A414" s="279" t="n"/>
      <c r="B414" s="267" t="inlineStr">
        <is>
          <t>FILOMENA</t>
        </is>
      </c>
      <c r="C414" s="268" t="n">
        <v>3</v>
      </c>
      <c r="D414" s="268" t="n"/>
      <c r="E414" s="268" t="n"/>
      <c r="F414" s="269" t="n"/>
      <c r="G414" s="269" t="n"/>
      <c r="H414" s="270" t="n">
        <v>79500</v>
      </c>
      <c r="I414" s="271" t="n"/>
      <c r="J414" s="271" t="n">
        <v>79500</v>
      </c>
      <c r="K414" s="272" t="n"/>
      <c r="L414" s="272" t="n">
        <v>28500</v>
      </c>
      <c r="M414" s="156" t="n"/>
    </row>
    <row r="415" ht="15.75" customHeight="1" s="153">
      <c r="A415" s="273" t="n"/>
      <c r="B415" s="274" t="inlineStr">
        <is>
          <t>MAMA MAXITUYA</t>
        </is>
      </c>
      <c r="C415" s="275" t="n">
        <v>1</v>
      </c>
      <c r="D415" s="275" t="n"/>
      <c r="E415" s="275" t="n"/>
      <c r="F415" s="276" t="n"/>
      <c r="G415" s="276" t="n"/>
      <c r="H415" s="277" t="n">
        <v>28500</v>
      </c>
      <c r="I415" s="278" t="n"/>
      <c r="J415" s="278" t="n">
        <v>28500</v>
      </c>
      <c r="K415" s="272" t="n"/>
      <c r="L415" s="272" t="n">
        <v>11500</v>
      </c>
      <c r="M415" s="156" t="n"/>
    </row>
    <row r="416" ht="15.75" customHeight="1" s="153">
      <c r="A416" s="279" t="n"/>
      <c r="B416" s="267" t="inlineStr">
        <is>
          <t>CASTAÑADUY 6981</t>
        </is>
      </c>
      <c r="C416" s="268" t="n"/>
      <c r="D416" s="268" t="n">
        <v>1</v>
      </c>
      <c r="E416" s="268" t="n"/>
      <c r="F416" s="269" t="n"/>
      <c r="G416" s="269" t="n"/>
      <c r="H416" s="270" t="n">
        <v>37500</v>
      </c>
      <c r="I416" s="271" t="n"/>
      <c r="J416" s="271" t="n">
        <v>37500</v>
      </c>
      <c r="K416" s="272" t="n"/>
      <c r="L416" s="272" t="n">
        <v>12000</v>
      </c>
      <c r="M416" s="156" t="n"/>
    </row>
    <row r="417" ht="15.75" customHeight="1" s="153">
      <c r="A417" s="273" t="n"/>
      <c r="B417" s="274" t="inlineStr">
        <is>
          <t>NOGALES 2412</t>
        </is>
      </c>
      <c r="C417" s="275" t="n"/>
      <c r="D417" s="275" t="n"/>
      <c r="E417" s="275" t="n">
        <v>1</v>
      </c>
      <c r="F417" s="276" t="n"/>
      <c r="G417" s="276" t="n"/>
      <c r="H417" s="277" t="n">
        <v>98500</v>
      </c>
      <c r="I417" s="278" t="n"/>
      <c r="J417" s="278" t="n">
        <v>98500</v>
      </c>
      <c r="K417" s="272" t="n"/>
      <c r="L417" s="272" t="n">
        <v>29500</v>
      </c>
      <c r="M417" s="156" t="n"/>
    </row>
    <row r="418" ht="15.75" customHeight="1" s="153">
      <c r="A418" s="279" t="n"/>
      <c r="B418" s="267" t="inlineStr">
        <is>
          <t>PANA BERUTI 6400</t>
        </is>
      </c>
      <c r="C418" s="268" t="n"/>
      <c r="D418" s="268" t="n"/>
      <c r="E418" s="268" t="n">
        <v>1</v>
      </c>
      <c r="F418" s="269" t="n"/>
      <c r="G418" s="269" t="n"/>
      <c r="H418" s="270" t="n">
        <v>87000</v>
      </c>
      <c r="I418" s="271" t="n"/>
      <c r="J418" s="271" t="n">
        <v>87000</v>
      </c>
      <c r="K418" s="272" t="n"/>
      <c r="L418" s="272" t="n">
        <v>18000</v>
      </c>
      <c r="M418" s="156" t="n"/>
    </row>
    <row r="419" ht="15.75" customHeight="1" s="153">
      <c r="A419" s="273" t="n"/>
      <c r="B419" s="274" t="inlineStr">
        <is>
          <t>TROPPO</t>
        </is>
      </c>
      <c r="C419" s="275" t="n">
        <v>6</v>
      </c>
      <c r="D419" s="275" t="n"/>
      <c r="E419" s="275" t="n"/>
      <c r="F419" s="276" t="n"/>
      <c r="G419" s="276" t="n"/>
      <c r="H419" s="277" t="n">
        <v>177000</v>
      </c>
      <c r="I419" s="278" t="n"/>
      <c r="J419" s="278" t="n">
        <v>177000</v>
      </c>
      <c r="K419" s="272" t="n"/>
      <c r="L419" s="272" t="n">
        <v>75000</v>
      </c>
      <c r="M419" s="156" t="n"/>
    </row>
    <row r="420" ht="15.75" customHeight="1" s="153">
      <c r="A420" s="279" t="n"/>
      <c r="B420" s="267" t="inlineStr">
        <is>
          <t>HERMANO FIGUEROA 8900</t>
        </is>
      </c>
      <c r="C420" s="268" t="n"/>
      <c r="D420" s="268" t="n"/>
      <c r="E420" s="268" t="n">
        <v>1</v>
      </c>
      <c r="F420" s="269" t="n"/>
      <c r="G420" s="269" t="n"/>
      <c r="H420" s="270" t="n">
        <v>98500</v>
      </c>
      <c r="I420" s="271" t="n">
        <v>98500</v>
      </c>
      <c r="J420" s="271" t="n"/>
      <c r="K420" s="272" t="n"/>
      <c r="L420" s="272" t="n">
        <v>29500</v>
      </c>
      <c r="M420" s="156" t="n"/>
    </row>
    <row r="421" ht="15.75" customHeight="1" s="153">
      <c r="A421" s="273" t="n"/>
      <c r="B421" s="274" t="inlineStr">
        <is>
          <t>MATEU 2950</t>
        </is>
      </c>
      <c r="C421" s="275" t="n">
        <v>1</v>
      </c>
      <c r="D421" s="275" t="n"/>
      <c r="E421" s="275" t="n"/>
      <c r="F421" s="276" t="n"/>
      <c r="G421" s="276" t="n"/>
      <c r="H421" s="277" t="n">
        <v>28500</v>
      </c>
      <c r="I421" s="278" t="n">
        <v>28500</v>
      </c>
      <c r="J421" s="278" t="n"/>
      <c r="K421" s="272" t="n"/>
      <c r="L421" s="272" t="n">
        <v>11500</v>
      </c>
      <c r="M421" s="156" t="n"/>
    </row>
    <row r="422" ht="15.75" customHeight="1" s="153">
      <c r="A422" s="279" t="n"/>
      <c r="B422" s="267" t="inlineStr">
        <is>
          <t>CASANELLO 3463</t>
        </is>
      </c>
      <c r="C422" s="268" t="n">
        <v>1</v>
      </c>
      <c r="D422" s="268" t="n"/>
      <c r="E422" s="268" t="n"/>
      <c r="F422" s="269" t="n"/>
      <c r="G422" s="269" t="n"/>
      <c r="H422" s="270" t="n">
        <v>28500</v>
      </c>
      <c r="I422" s="271" t="n"/>
      <c r="J422" s="271" t="n">
        <v>28500</v>
      </c>
      <c r="K422" s="272" t="n"/>
      <c r="L422" s="272" t="n">
        <v>11500</v>
      </c>
      <c r="M422" s="156" t="n"/>
    </row>
    <row r="423" ht="15.75" customHeight="1" s="153">
      <c r="A423" s="273" t="n"/>
      <c r="B423" s="274" t="inlineStr">
        <is>
          <t>AZCUENAGA 2180</t>
        </is>
      </c>
      <c r="C423" s="275" t="n">
        <v>1</v>
      </c>
      <c r="D423" s="275" t="n"/>
      <c r="E423" s="275" t="n"/>
      <c r="F423" s="276" t="n"/>
      <c r="G423" s="276" t="n"/>
      <c r="H423" s="277" t="n">
        <v>28500</v>
      </c>
      <c r="I423" s="278" t="n"/>
      <c r="J423" s="278" t="n">
        <v>28500</v>
      </c>
      <c r="K423" s="272" t="n"/>
      <c r="L423" s="272" t="n">
        <v>11500</v>
      </c>
      <c r="M423" s="156" t="n"/>
    </row>
    <row r="424" ht="15.75" customHeight="1" s="153">
      <c r="A424" s="266" t="n">
        <v>46192</v>
      </c>
      <c r="B424" s="267" t="inlineStr">
        <is>
          <t>DOMINGO SILVA 4217</t>
        </is>
      </c>
      <c r="C424" s="268" t="n">
        <v>2</v>
      </c>
      <c r="D424" s="268" t="n"/>
      <c r="E424" s="268" t="n"/>
      <c r="F424" s="269" t="n"/>
      <c r="G424" s="269" t="n"/>
      <c r="H424" s="270" t="n">
        <v>45000</v>
      </c>
      <c r="I424" s="271" t="n">
        <v>45000</v>
      </c>
      <c r="J424" s="271" t="n"/>
      <c r="K424" s="272" t="n"/>
      <c r="L424" s="272" t="n">
        <v>11000</v>
      </c>
      <c r="M424" s="156" t="n"/>
    </row>
    <row r="425" ht="15.75" customHeight="1" s="153">
      <c r="A425" s="273" t="n"/>
      <c r="B425" s="274" t="inlineStr">
        <is>
          <t>GARMENDIA 9252</t>
        </is>
      </c>
      <c r="C425" s="275" t="n"/>
      <c r="D425" s="275" t="n"/>
      <c r="E425" s="275" t="n">
        <v>2</v>
      </c>
      <c r="F425" s="276" t="n"/>
      <c r="G425" s="276" t="n"/>
      <c r="H425" s="277" t="n">
        <v>197000</v>
      </c>
      <c r="I425" s="278" t="n"/>
      <c r="J425" s="278" t="n">
        <v>197000</v>
      </c>
      <c r="K425" s="272" t="n"/>
      <c r="L425" s="272" t="n">
        <v>59000</v>
      </c>
      <c r="M425" s="156" t="n"/>
    </row>
    <row r="426" ht="15.75" customHeight="1" s="153">
      <c r="A426" s="279" t="n"/>
      <c r="B426" s="267" t="inlineStr">
        <is>
          <t>HERRANDARIAS 3445</t>
        </is>
      </c>
      <c r="C426" s="268" t="n">
        <v>1</v>
      </c>
      <c r="D426" s="268" t="n"/>
      <c r="E426" s="268" t="n">
        <v>1</v>
      </c>
      <c r="F426" s="269" t="n"/>
      <c r="G426" s="269" t="n"/>
      <c r="H426" s="270" t="n">
        <v>115000</v>
      </c>
      <c r="I426" s="271" t="n">
        <v>115000</v>
      </c>
      <c r="J426" s="271" t="n"/>
      <c r="K426" s="272" t="n"/>
      <c r="L426" s="272" t="n">
        <v>29000</v>
      </c>
      <c r="M426" s="156" t="n"/>
    </row>
    <row r="427" ht="15.75" customHeight="1" s="153">
      <c r="A427" s="273" t="n"/>
      <c r="B427" s="274" t="inlineStr">
        <is>
          <t>QUINTANA 2396</t>
        </is>
      </c>
      <c r="C427" s="275" t="n"/>
      <c r="D427" s="275" t="n"/>
      <c r="E427" s="275" t="n">
        <v>1</v>
      </c>
      <c r="F427" s="276" t="n"/>
      <c r="G427" s="276" t="n"/>
      <c r="H427" s="277" t="n">
        <v>308000</v>
      </c>
      <c r="I427" s="278" t="n"/>
      <c r="J427" s="278" t="n">
        <v>308000</v>
      </c>
      <c r="K427" s="272" t="n">
        <v>60000</v>
      </c>
      <c r="L427" s="272" t="n">
        <v>179000</v>
      </c>
      <c r="M427" s="156" t="n"/>
    </row>
    <row r="428" ht="15.75" customHeight="1" s="153">
      <c r="A428" s="279" t="n"/>
      <c r="B428" s="267" t="inlineStr">
        <is>
          <t>LA RIOJA 2824</t>
        </is>
      </c>
      <c r="C428" s="268" t="n">
        <v>1</v>
      </c>
      <c r="D428" s="268" t="n"/>
      <c r="E428" s="268" t="n"/>
      <c r="F428" s="269" t="n"/>
      <c r="G428" s="269" t="n"/>
      <c r="H428" s="270" t="n">
        <v>125000</v>
      </c>
      <c r="I428" s="271" t="n">
        <v>125000</v>
      </c>
      <c r="J428" s="271" t="n"/>
      <c r="K428" s="272" t="n">
        <v>65000</v>
      </c>
      <c r="L428" s="272" t="n">
        <v>43000</v>
      </c>
      <c r="M428" s="156" t="n"/>
    </row>
    <row r="429" ht="15.75" customHeight="1" s="153">
      <c r="A429" s="273" t="n"/>
      <c r="B429" s="274" t="inlineStr">
        <is>
          <t>LA RIOJA 3730</t>
        </is>
      </c>
      <c r="C429" s="275" t="n">
        <v>1</v>
      </c>
      <c r="D429" s="275" t="n"/>
      <c r="E429" s="275" t="n"/>
      <c r="F429" s="276" t="n"/>
      <c r="G429" s="276" t="n"/>
      <c r="H429" s="277" t="n">
        <v>28500</v>
      </c>
      <c r="I429" s="278" t="n">
        <v>28500</v>
      </c>
      <c r="J429" s="278" t="n"/>
      <c r="K429" s="272" t="n"/>
      <c r="L429" s="272" t="n">
        <v>11500</v>
      </c>
      <c r="M429" s="156" t="n"/>
    </row>
    <row r="430" ht="15.75" customHeight="1" s="153">
      <c r="A430" s="279" t="n"/>
      <c r="B430" s="267" t="inlineStr">
        <is>
          <t>LARGUIA 6924</t>
        </is>
      </c>
      <c r="C430" s="268" t="n">
        <v>1</v>
      </c>
      <c r="D430" s="268" t="n"/>
      <c r="E430" s="268" t="n"/>
      <c r="F430" s="269" t="n"/>
      <c r="G430" s="269" t="n"/>
      <c r="H430" s="270" t="n">
        <v>27000</v>
      </c>
      <c r="I430" s="271" t="n">
        <v>27000</v>
      </c>
      <c r="J430" s="271" t="n"/>
      <c r="K430" s="272" t="n"/>
      <c r="L430" s="272" t="n">
        <v>10000</v>
      </c>
      <c r="M430" s="156" t="n"/>
    </row>
    <row r="431" ht="15.75" customHeight="1" s="153">
      <c r="A431" s="273" t="n"/>
      <c r="B431" s="274" t="inlineStr">
        <is>
          <t>BLAS PARERA 6054</t>
        </is>
      </c>
      <c r="C431" s="275" t="n"/>
      <c r="D431" s="275" t="n"/>
      <c r="E431" s="275" t="n">
        <v>1</v>
      </c>
      <c r="F431" s="276" t="n"/>
      <c r="G431" s="276" t="n"/>
      <c r="H431" s="277" t="n">
        <v>98000</v>
      </c>
      <c r="I431" s="278" t="n">
        <v>98000</v>
      </c>
      <c r="J431" s="278" t="n"/>
      <c r="K431" s="272" t="n"/>
      <c r="L431" s="272" t="n">
        <v>29000</v>
      </c>
      <c r="M431" s="156" t="n"/>
    </row>
    <row r="432" ht="15.75" customHeight="1" s="153">
      <c r="A432" s="279" t="n"/>
      <c r="B432" s="267" t="inlineStr">
        <is>
          <t>PEDRO MENDOZA 6223</t>
        </is>
      </c>
      <c r="C432" s="268" t="n">
        <v>1</v>
      </c>
      <c r="D432" s="268" t="n"/>
      <c r="E432" s="268" t="n"/>
      <c r="F432" s="269" t="n"/>
      <c r="G432" s="269" t="n"/>
      <c r="H432" s="270" t="n">
        <v>125000</v>
      </c>
      <c r="I432" s="271" t="n">
        <v>125000</v>
      </c>
      <c r="J432" s="271" t="n"/>
      <c r="K432" s="272" t="n">
        <v>65000</v>
      </c>
      <c r="L432" s="272" t="n">
        <v>43000</v>
      </c>
      <c r="M432" s="156" t="n"/>
    </row>
    <row r="433" ht="15.75" customHeight="1" s="153">
      <c r="A433" s="273" t="n"/>
      <c r="B433" s="274" t="inlineStr">
        <is>
          <t>OTNIEL</t>
        </is>
      </c>
      <c r="C433" s="275" t="n"/>
      <c r="D433" s="275" t="n"/>
      <c r="E433" s="275" t="n"/>
      <c r="F433" s="276" t="n"/>
      <c r="G433" s="276" t="n">
        <v>2</v>
      </c>
      <c r="H433" s="277" t="n">
        <v>13800</v>
      </c>
      <c r="I433" s="278" t="n"/>
      <c r="J433" s="278" t="n">
        <v>13800</v>
      </c>
      <c r="K433" s="272" t="n"/>
      <c r="L433" s="272" t="n">
        <v>11960</v>
      </c>
      <c r="M433" s="156" t="n"/>
    </row>
    <row r="434" ht="15.75" customHeight="1" s="153">
      <c r="A434" s="279" t="n"/>
      <c r="B434" s="267" t="inlineStr">
        <is>
          <t>ELENA</t>
        </is>
      </c>
      <c r="C434" s="268" t="n">
        <v>1</v>
      </c>
      <c r="D434" s="268" t="n"/>
      <c r="E434" s="268" t="n"/>
      <c r="F434" s="269" t="n"/>
      <c r="G434" s="269" t="n"/>
      <c r="H434" s="270" t="n">
        <v>27000</v>
      </c>
      <c r="I434" s="271" t="n">
        <v>27000</v>
      </c>
      <c r="J434" s="271" t="n"/>
      <c r="K434" s="272" t="n"/>
      <c r="L434" s="272" t="n">
        <v>10000</v>
      </c>
      <c r="M434" s="156" t="n"/>
    </row>
    <row r="435" ht="15.75" customHeight="1" s="153">
      <c r="A435" s="273" t="n"/>
      <c r="B435" s="274" t="inlineStr">
        <is>
          <t>MARTIN ZAPATA 2101</t>
        </is>
      </c>
      <c r="C435" s="275" t="n">
        <v>2</v>
      </c>
      <c r="D435" s="275" t="n"/>
      <c r="E435" s="275" t="n"/>
      <c r="F435" s="276" t="n"/>
      <c r="G435" s="276" t="n"/>
      <c r="H435" s="277" t="n">
        <v>47000</v>
      </c>
      <c r="I435" s="278" t="n"/>
      <c r="J435" s="278" t="n">
        <v>47000</v>
      </c>
      <c r="K435" s="272" t="n"/>
      <c r="L435" s="272" t="n">
        <v>13000</v>
      </c>
      <c r="M435" s="156" t="n"/>
    </row>
    <row r="436" ht="15.75" customHeight="1" s="153">
      <c r="A436" s="279" t="n"/>
      <c r="B436" s="267" t="inlineStr">
        <is>
          <t>SAN MARTIN 1925</t>
        </is>
      </c>
      <c r="C436" s="268" t="n">
        <v>1</v>
      </c>
      <c r="D436" s="268" t="n"/>
      <c r="E436" s="268" t="n"/>
      <c r="F436" s="269" t="n"/>
      <c r="G436" s="269" t="n"/>
      <c r="H436" s="270" t="n">
        <v>28500</v>
      </c>
      <c r="I436" s="271" t="n">
        <v>28500</v>
      </c>
      <c r="J436" s="271" t="n"/>
      <c r="K436" s="272" t="n"/>
      <c r="L436" s="272" t="n">
        <v>11500</v>
      </c>
      <c r="M436" s="156" t="n"/>
    </row>
    <row r="437" ht="15.75" customHeight="1" s="153">
      <c r="A437" s="273" t="n"/>
      <c r="B437" s="274" t="inlineStr">
        <is>
          <t>LUCHO</t>
        </is>
      </c>
      <c r="C437" s="275" t="n">
        <v>2</v>
      </c>
      <c r="D437" s="275" t="n">
        <v>1</v>
      </c>
      <c r="E437" s="275" t="n"/>
      <c r="F437" s="276" t="n"/>
      <c r="G437" s="276" t="n"/>
      <c r="H437" s="277" t="n">
        <v>79000</v>
      </c>
      <c r="I437" s="278" t="n"/>
      <c r="J437" s="278" t="n">
        <v>79000</v>
      </c>
      <c r="K437" s="272" t="n"/>
      <c r="L437" s="272" t="n">
        <v>19500</v>
      </c>
      <c r="M437" s="156" t="n"/>
    </row>
    <row r="438" ht="15.75" customHeight="1" s="153">
      <c r="A438" s="279" t="n"/>
      <c r="B438" s="267" t="inlineStr">
        <is>
          <t>CERVERA 6649</t>
        </is>
      </c>
      <c r="C438" s="268" t="n">
        <v>1</v>
      </c>
      <c r="D438" s="268" t="n"/>
      <c r="E438" s="268" t="n"/>
      <c r="F438" s="269" t="n"/>
      <c r="G438" s="269" t="n"/>
      <c r="H438" s="270" t="n">
        <v>28000</v>
      </c>
      <c r="I438" s="271" t="n">
        <v>28000</v>
      </c>
      <c r="J438" s="271" t="n"/>
      <c r="K438" s="272" t="n"/>
      <c r="L438" s="272" t="n">
        <v>11000</v>
      </c>
      <c r="M438" s="156" t="n"/>
    </row>
    <row r="439" ht="15.75" customHeight="1" s="153">
      <c r="A439" s="273" t="n"/>
      <c r="B439" s="274" t="inlineStr">
        <is>
          <t>CAREN</t>
        </is>
      </c>
      <c r="C439" s="275" t="n"/>
      <c r="D439" s="275" t="n"/>
      <c r="E439" s="275" t="n">
        <v>1</v>
      </c>
      <c r="F439" s="276" t="n"/>
      <c r="G439" s="276" t="n"/>
      <c r="H439" s="277" t="n">
        <v>95000</v>
      </c>
      <c r="I439" s="278" t="n"/>
      <c r="J439" s="278" t="n">
        <v>95000</v>
      </c>
      <c r="K439" s="272" t="n"/>
      <c r="L439" s="272" t="n">
        <v>26000</v>
      </c>
      <c r="M439" s="156" t="n"/>
    </row>
    <row r="440" ht="15.75" customHeight="1" s="153">
      <c r="A440" s="279" t="n"/>
      <c r="B440" s="267" t="inlineStr">
        <is>
          <t>MISIONES 4829</t>
        </is>
      </c>
      <c r="C440" s="268" t="n">
        <v>1</v>
      </c>
      <c r="D440" s="268" t="n"/>
      <c r="E440" s="268" t="n"/>
      <c r="F440" s="269" t="n"/>
      <c r="G440" s="269" t="n"/>
      <c r="H440" s="270" t="n">
        <v>28500</v>
      </c>
      <c r="I440" s="271" t="n">
        <v>28500</v>
      </c>
      <c r="J440" s="271" t="n"/>
      <c r="K440" s="272" t="n"/>
      <c r="L440" s="272" t="n">
        <v>11500</v>
      </c>
      <c r="M440" s="156" t="n"/>
    </row>
    <row r="441" ht="15.75" customHeight="1" s="153">
      <c r="A441" s="273" t="n"/>
      <c r="B441" s="274" t="inlineStr">
        <is>
          <t>PASAJE ROMERO 9331</t>
        </is>
      </c>
      <c r="C441" s="275" t="n"/>
      <c r="D441" s="275" t="n"/>
      <c r="E441" s="275" t="n">
        <v>1</v>
      </c>
      <c r="F441" s="276" t="n"/>
      <c r="G441" s="276" t="n"/>
      <c r="H441" s="277" t="n">
        <v>98500</v>
      </c>
      <c r="I441" s="278" t="n">
        <v>98500</v>
      </c>
      <c r="J441" s="278" t="n"/>
      <c r="K441" s="272" t="n"/>
      <c r="L441" s="272" t="n">
        <v>29500</v>
      </c>
      <c r="M441" s="156" t="n"/>
    </row>
    <row r="442" ht="15.75" customHeight="1" s="153">
      <c r="A442" s="279" t="n"/>
      <c r="B442" s="267" t="inlineStr">
        <is>
          <t>SARMIENTO 2911</t>
        </is>
      </c>
      <c r="C442" s="268" t="n">
        <v>1</v>
      </c>
      <c r="D442" s="268" t="n"/>
      <c r="E442" s="268" t="n"/>
      <c r="F442" s="269" t="n"/>
      <c r="G442" s="269" t="n"/>
      <c r="H442" s="270" t="n">
        <v>29000</v>
      </c>
      <c r="I442" s="271" t="n">
        <v>29000</v>
      </c>
      <c r="J442" s="271" t="n"/>
      <c r="K442" s="272" t="n"/>
      <c r="L442" s="272" t="n">
        <v>12000</v>
      </c>
      <c r="M442" s="156" t="n"/>
    </row>
    <row r="443" ht="15.75" customHeight="1" s="153">
      <c r="A443" s="273" t="n"/>
      <c r="B443" s="274" t="inlineStr">
        <is>
          <t>MISIONES 4678</t>
        </is>
      </c>
      <c r="C443" s="275" t="n">
        <v>1</v>
      </c>
      <c r="D443" s="275" t="n">
        <v>1</v>
      </c>
      <c r="E443" s="275" t="n"/>
      <c r="F443" s="276" t="n"/>
      <c r="G443" s="276" t="n"/>
      <c r="H443" s="277" t="n">
        <v>70000</v>
      </c>
      <c r="I443" s="278" t="n">
        <v>70000</v>
      </c>
      <c r="J443" s="278" t="n"/>
      <c r="K443" s="272" t="n"/>
      <c r="L443" s="272" t="n">
        <v>27500</v>
      </c>
      <c r="M443" s="156" t="n"/>
    </row>
    <row r="444" ht="15.75" customHeight="1" s="153">
      <c r="A444" s="279" t="n"/>
      <c r="B444" s="267" t="inlineStr">
        <is>
          <t>KARINA PEDIATRA</t>
        </is>
      </c>
      <c r="C444" s="268" t="n"/>
      <c r="D444" s="268" t="n">
        <v>2</v>
      </c>
      <c r="E444" s="268" t="n"/>
      <c r="F444" s="269" t="n"/>
      <c r="G444" s="269" t="n"/>
      <c r="H444" s="270" t="n">
        <v>84000</v>
      </c>
      <c r="I444" s="271" t="n">
        <v>84000</v>
      </c>
      <c r="J444" s="271" t="n"/>
      <c r="K444" s="272" t="n"/>
      <c r="L444" s="272" t="n">
        <v>33000</v>
      </c>
      <c r="M444" s="156" t="n"/>
    </row>
    <row r="445" ht="15.75" customHeight="1" s="153">
      <c r="A445" s="273" t="n"/>
      <c r="B445" s="274" t="inlineStr">
        <is>
          <t>GENERAL PAZ 5179</t>
        </is>
      </c>
      <c r="C445" s="275" t="n"/>
      <c r="D445" s="275" t="n">
        <v>1</v>
      </c>
      <c r="E445" s="275" t="n"/>
      <c r="F445" s="276" t="n"/>
      <c r="G445" s="276" t="n"/>
      <c r="H445" s="277" t="n">
        <v>41500</v>
      </c>
      <c r="I445" s="278" t="n">
        <v>41500</v>
      </c>
      <c r="J445" s="278" t="n"/>
      <c r="K445" s="272" t="n"/>
      <c r="L445" s="272" t="n">
        <v>16000</v>
      </c>
      <c r="M445" s="156" t="n"/>
    </row>
    <row r="446" ht="15.75" customHeight="1" s="153">
      <c r="A446" s="279" t="n"/>
      <c r="B446" s="267" t="inlineStr">
        <is>
          <t>GORRITI 5376</t>
        </is>
      </c>
      <c r="C446" s="268" t="n">
        <v>1</v>
      </c>
      <c r="D446" s="268" t="n"/>
      <c r="E446" s="268" t="n"/>
      <c r="F446" s="269" t="n"/>
      <c r="G446" s="269" t="n"/>
      <c r="H446" s="270" t="n">
        <v>28500</v>
      </c>
      <c r="I446" s="271" t="n"/>
      <c r="J446" s="271" t="n">
        <v>28500</v>
      </c>
      <c r="K446" s="272" t="n"/>
      <c r="L446" s="272" t="n">
        <v>11500</v>
      </c>
      <c r="M446" s="156" t="n"/>
    </row>
    <row r="447" ht="15.75" customHeight="1" s="153">
      <c r="A447" s="273" t="n"/>
      <c r="B447" s="274" t="inlineStr">
        <is>
          <t>PUBLICO 2550</t>
        </is>
      </c>
      <c r="C447" s="275" t="n">
        <v>1</v>
      </c>
      <c r="D447" s="275" t="n"/>
      <c r="E447" s="275" t="n"/>
      <c r="F447" s="276" t="n"/>
      <c r="G447" s="276" t="n"/>
      <c r="H447" s="277" t="n">
        <v>26000</v>
      </c>
      <c r="I447" s="278" t="n"/>
      <c r="J447" s="278" t="n">
        <v>26000</v>
      </c>
      <c r="K447" s="272" t="n"/>
      <c r="L447" s="272" t="n">
        <v>9000</v>
      </c>
      <c r="M447" s="156" t="n"/>
    </row>
    <row r="448" ht="15.75" customHeight="1" s="153">
      <c r="A448" s="279" t="n"/>
      <c r="B448" s="267" t="inlineStr">
        <is>
          <t>ROBERTO GODOY 1614</t>
        </is>
      </c>
      <c r="C448" s="268" t="n">
        <v>1</v>
      </c>
      <c r="D448" s="268" t="n"/>
      <c r="E448" s="268" t="n"/>
      <c r="F448" s="269" t="n"/>
      <c r="G448" s="269" t="n"/>
      <c r="H448" s="270" t="n">
        <v>28500</v>
      </c>
      <c r="I448" s="271" t="n"/>
      <c r="J448" s="271" t="n">
        <v>28500</v>
      </c>
      <c r="K448" s="272" t="n"/>
      <c r="L448" s="272" t="n">
        <v>11500</v>
      </c>
      <c r="M448" s="156" t="n"/>
    </row>
    <row r="449" ht="15.75" customHeight="1" s="153">
      <c r="A449" s="273" t="n"/>
      <c r="B449" s="274" t="inlineStr">
        <is>
          <t>EX COMBATIENTES 5520</t>
        </is>
      </c>
      <c r="C449" s="275" t="n">
        <v>2</v>
      </c>
      <c r="D449" s="275" t="n"/>
      <c r="E449" s="275" t="n"/>
      <c r="F449" s="276" t="n"/>
      <c r="G449" s="276" t="n"/>
      <c r="H449" s="277" t="n">
        <v>57000</v>
      </c>
      <c r="I449" s="278" t="n"/>
      <c r="J449" s="278" t="n">
        <v>57000</v>
      </c>
      <c r="K449" s="272" t="n"/>
      <c r="L449" s="272" t="n">
        <v>23000</v>
      </c>
      <c r="M449" s="156" t="n"/>
    </row>
    <row r="450" ht="15.75" customHeight="1" s="153">
      <c r="A450" s="279" t="n"/>
      <c r="B450" s="267" t="inlineStr">
        <is>
          <t>BERNARDO IRIGOYEN 6881</t>
        </is>
      </c>
      <c r="C450" s="268" t="n">
        <v>1</v>
      </c>
      <c r="D450" s="268" t="n"/>
      <c r="E450" s="268" t="n"/>
      <c r="F450" s="269" t="n"/>
      <c r="G450" s="269" t="n"/>
      <c r="H450" s="270" t="n">
        <v>23000</v>
      </c>
      <c r="I450" s="271" t="n">
        <v>23000</v>
      </c>
      <c r="J450" s="271" t="n"/>
      <c r="K450" s="272" t="n"/>
      <c r="L450" s="272" t="n">
        <v>6000</v>
      </c>
      <c r="M450" s="156" t="n"/>
    </row>
    <row r="451" ht="15.75" customHeight="1" s="153">
      <c r="A451" s="273" t="n"/>
      <c r="B451" s="274" t="inlineStr">
        <is>
          <t>PASAJE PARAGUAY 10318</t>
        </is>
      </c>
      <c r="C451" s="275" t="n">
        <v>1</v>
      </c>
      <c r="D451" s="275" t="n"/>
      <c r="E451" s="275" t="n"/>
      <c r="F451" s="276" t="n"/>
      <c r="G451" s="276" t="n"/>
      <c r="H451" s="277" t="n">
        <v>28500</v>
      </c>
      <c r="I451" s="278" t="n"/>
      <c r="J451" s="278" t="n">
        <v>28500</v>
      </c>
      <c r="K451" s="272" t="n"/>
      <c r="L451" s="272" t="n">
        <v>11500</v>
      </c>
      <c r="M451" s="156" t="n"/>
    </row>
    <row r="452" ht="15.75" customHeight="1" s="153">
      <c r="A452" s="279" t="n"/>
      <c r="B452" s="267" t="inlineStr">
        <is>
          <t>SABOREAR</t>
        </is>
      </c>
      <c r="C452" s="268" t="n">
        <v>1</v>
      </c>
      <c r="D452" s="268" t="n"/>
      <c r="E452" s="268" t="n"/>
      <c r="F452" s="269" t="n"/>
      <c r="G452" s="269" t="n"/>
      <c r="H452" s="270" t="n">
        <v>25500</v>
      </c>
      <c r="I452" s="271" t="n">
        <v>25500</v>
      </c>
      <c r="J452" s="271" t="n"/>
      <c r="K452" s="272" t="n"/>
      <c r="L452" s="272" t="n">
        <v>8500</v>
      </c>
      <c r="M452" s="156" t="n"/>
    </row>
    <row r="453" ht="15.75" customHeight="1" s="153">
      <c r="A453" s="280" t="n">
        <v>46193</v>
      </c>
      <c r="B453" s="274" t="inlineStr">
        <is>
          <t>BERUTI 3585</t>
        </is>
      </c>
      <c r="C453" s="275" t="n"/>
      <c r="D453" s="275" t="n"/>
      <c r="E453" s="275" t="n">
        <v>1</v>
      </c>
      <c r="F453" s="276" t="n"/>
      <c r="G453" s="276" t="n"/>
      <c r="H453" s="277" t="n">
        <v>98500</v>
      </c>
      <c r="I453" s="278" t="n"/>
      <c r="J453" s="278" t="n">
        <v>98500</v>
      </c>
      <c r="K453" s="272" t="n"/>
      <c r="L453" s="272" t="n">
        <v>29500</v>
      </c>
      <c r="M453" s="156" t="n"/>
    </row>
    <row r="454" ht="15.75" customHeight="1" s="153">
      <c r="A454" s="279" t="n"/>
      <c r="B454" s="267" t="inlineStr">
        <is>
          <t>PANA GORRITI 4600</t>
        </is>
      </c>
      <c r="C454" s="268" t="n"/>
      <c r="D454" s="268" t="n"/>
      <c r="E454" s="268" t="n">
        <v>1</v>
      </c>
      <c r="F454" s="269" t="n"/>
      <c r="G454" s="269" t="n"/>
      <c r="H454" s="270" t="n">
        <v>92000</v>
      </c>
      <c r="I454" s="271" t="n"/>
      <c r="J454" s="271" t="n">
        <v>92000</v>
      </c>
      <c r="K454" s="272" t="n"/>
      <c r="L454" s="272" t="n">
        <v>23000</v>
      </c>
      <c r="M454" s="156" t="n"/>
    </row>
    <row r="455" ht="15.75" customHeight="1" s="153">
      <c r="A455" s="273" t="n"/>
      <c r="B455" s="274" t="inlineStr">
        <is>
          <t>LUCHO</t>
        </is>
      </c>
      <c r="C455" s="275" t="n">
        <v>3</v>
      </c>
      <c r="D455" s="275" t="n"/>
      <c r="E455" s="275" t="n"/>
      <c r="F455" s="276" t="n"/>
      <c r="G455" s="276" t="n">
        <v>1</v>
      </c>
      <c r="H455" s="277" t="n">
        <v>72000</v>
      </c>
      <c r="I455" s="278" t="n"/>
      <c r="J455" s="278" t="n">
        <v>72000</v>
      </c>
      <c r="K455" s="272" t="n"/>
      <c r="L455" s="272" t="n">
        <v>20080</v>
      </c>
      <c r="M455" s="156" t="n"/>
    </row>
    <row r="456" ht="15.75" customHeight="1" s="153">
      <c r="A456" s="279" t="n"/>
      <c r="B456" s="267" t="inlineStr">
        <is>
          <t>FRANCIA 3285</t>
        </is>
      </c>
      <c r="C456" s="268" t="n">
        <v>2</v>
      </c>
      <c r="D456" s="268" t="n"/>
      <c r="E456" s="268" t="n"/>
      <c r="F456" s="269" t="n"/>
      <c r="G456" s="269" t="n"/>
      <c r="H456" s="270" t="n">
        <v>159000</v>
      </c>
      <c r="I456" s="271" t="n">
        <v>159000</v>
      </c>
      <c r="J456" s="271" t="n"/>
      <c r="K456" s="272" t="n">
        <v>65000</v>
      </c>
      <c r="L456" s="272" t="n">
        <v>60000</v>
      </c>
      <c r="M456" s="156" t="n"/>
    </row>
    <row r="457" ht="15.75" customHeight="1" s="153">
      <c r="A457" s="273" t="n"/>
      <c r="B457" s="274" t="inlineStr">
        <is>
          <t>LOBATO BARBARA</t>
        </is>
      </c>
      <c r="C457" s="275" t="n"/>
      <c r="D457" s="275" t="n"/>
      <c r="E457" s="275" t="n">
        <v>1</v>
      </c>
      <c r="F457" s="276" t="n"/>
      <c r="G457" s="276" t="n"/>
      <c r="H457" s="277" t="n">
        <v>98000</v>
      </c>
      <c r="I457" s="278" t="n">
        <v>98000</v>
      </c>
      <c r="J457" s="278" t="n"/>
      <c r="K457" s="272" t="n"/>
      <c r="L457" s="272" t="n">
        <v>29000</v>
      </c>
      <c r="M457" s="156" t="n"/>
    </row>
    <row r="458" ht="15.75" customHeight="1" s="153">
      <c r="A458" s="279" t="n"/>
      <c r="B458" s="267" t="inlineStr">
        <is>
          <t>OTNIEL</t>
        </is>
      </c>
      <c r="C458" s="268" t="n"/>
      <c r="D458" s="268" t="n">
        <v>2</v>
      </c>
      <c r="E458" s="268" t="n"/>
      <c r="F458" s="269" t="n"/>
      <c r="G458" s="269" t="n"/>
      <c r="H458" s="270" t="n">
        <v>75000</v>
      </c>
      <c r="I458" s="271" t="n"/>
      <c r="J458" s="271" t="n">
        <v>75000</v>
      </c>
      <c r="K458" s="272" t="n"/>
      <c r="L458" s="272" t="n">
        <v>24000</v>
      </c>
      <c r="M458" s="156" t="n"/>
    </row>
    <row r="459" ht="15.75" customHeight="1" s="153">
      <c r="A459" s="273" t="n"/>
      <c r="B459" s="274" t="inlineStr">
        <is>
          <t>ESTANISLAO DEL CAMPO 1613</t>
        </is>
      </c>
      <c r="C459" s="275" t="n">
        <v>1</v>
      </c>
      <c r="D459" s="275" t="n"/>
      <c r="E459" s="275" t="n"/>
      <c r="F459" s="276" t="n"/>
      <c r="G459" s="276" t="n"/>
      <c r="H459" s="277" t="n">
        <v>29000</v>
      </c>
      <c r="I459" s="278" t="n"/>
      <c r="J459" s="278" t="n">
        <v>29000</v>
      </c>
      <c r="K459" s="272" t="n"/>
      <c r="L459" s="272" t="n">
        <v>12000</v>
      </c>
      <c r="M459" s="156" t="n"/>
    </row>
    <row r="460" ht="15.75" customHeight="1" s="153">
      <c r="A460" s="279" t="n"/>
      <c r="B460" s="267" t="inlineStr">
        <is>
          <t>LUCIANO TORRE 3110</t>
        </is>
      </c>
      <c r="C460" s="268" t="n">
        <v>1</v>
      </c>
      <c r="D460" s="268" t="n"/>
      <c r="E460" s="268" t="n"/>
      <c r="F460" s="269" t="n"/>
      <c r="G460" s="269" t="n"/>
      <c r="H460" s="270" t="n">
        <v>28500</v>
      </c>
      <c r="I460" s="271" t="n">
        <v>28500</v>
      </c>
      <c r="J460" s="271" t="n"/>
      <c r="K460" s="272" t="n"/>
      <c r="L460" s="272" t="n">
        <v>11500</v>
      </c>
      <c r="M460" s="156" t="n"/>
    </row>
    <row r="461" ht="15.75" customHeight="1" s="153">
      <c r="A461" s="273" t="n"/>
      <c r="B461" s="274" t="inlineStr">
        <is>
          <t>LOS PRIMOS</t>
        </is>
      </c>
      <c r="C461" s="275" t="n">
        <v>3</v>
      </c>
      <c r="D461" s="275" t="n"/>
      <c r="E461" s="275" t="n"/>
      <c r="F461" s="276" t="n"/>
      <c r="G461" s="276" t="n"/>
      <c r="H461" s="277" t="n">
        <v>87000</v>
      </c>
      <c r="I461" s="278" t="n">
        <v>87000</v>
      </c>
      <c r="J461" s="278" t="n"/>
      <c r="K461" s="272" t="n"/>
      <c r="L461" s="272" t="n">
        <v>36000</v>
      </c>
      <c r="M461" s="156" t="n"/>
    </row>
    <row r="462" ht="15.75" customHeight="1" s="153">
      <c r="A462" s="279" t="n"/>
      <c r="B462" s="267" t="inlineStr">
        <is>
          <t>COGORNO 5520</t>
        </is>
      </c>
      <c r="C462" s="268" t="n">
        <v>5</v>
      </c>
      <c r="D462" s="268" t="n"/>
      <c r="E462" s="268" t="n"/>
      <c r="F462" s="269" t="n"/>
      <c r="G462" s="269" t="n"/>
      <c r="H462" s="270" t="n">
        <v>112500</v>
      </c>
      <c r="I462" s="271" t="n"/>
      <c r="J462" s="271" t="n">
        <v>112500</v>
      </c>
      <c r="K462" s="272" t="n"/>
      <c r="L462" s="272" t="n">
        <v>27500</v>
      </c>
      <c r="M462" s="156" t="n"/>
    </row>
    <row r="463" ht="15.75" customHeight="1" s="153">
      <c r="A463" s="273" t="n"/>
      <c r="B463" s="274" t="inlineStr">
        <is>
          <t>AZCUENAGA 5023</t>
        </is>
      </c>
      <c r="C463" s="275" t="n">
        <v>6</v>
      </c>
      <c r="D463" s="275" t="n"/>
      <c r="E463" s="275" t="n"/>
      <c r="F463" s="276" t="n"/>
      <c r="G463" s="276" t="n"/>
      <c r="H463" s="277" t="n">
        <v>132000</v>
      </c>
      <c r="I463" s="278" t="n"/>
      <c r="J463" s="278" t="n">
        <v>132000</v>
      </c>
      <c r="K463" s="272" t="n"/>
      <c r="L463" s="272" t="n">
        <v>30000</v>
      </c>
      <c r="M463" s="156" t="n"/>
    </row>
    <row r="464" ht="15.75" customHeight="1" s="153">
      <c r="A464" s="279" t="n"/>
      <c r="B464" s="267" t="inlineStr">
        <is>
          <t>ALMONACID 4387</t>
        </is>
      </c>
      <c r="C464" s="268" t="n">
        <v>1</v>
      </c>
      <c r="D464" s="268" t="n"/>
      <c r="E464" s="268" t="n"/>
      <c r="F464" s="269" t="n"/>
      <c r="G464" s="269" t="n"/>
      <c r="H464" s="270" t="n">
        <v>28500</v>
      </c>
      <c r="I464" s="271" t="n"/>
      <c r="J464" s="271" t="n">
        <v>28500</v>
      </c>
      <c r="K464" s="272" t="n"/>
      <c r="L464" s="272" t="n">
        <v>11500</v>
      </c>
      <c r="M464" s="156" t="n"/>
    </row>
    <row r="465" ht="15.75" customHeight="1" s="153">
      <c r="A465" s="273" t="n"/>
      <c r="B465" s="274" t="inlineStr">
        <is>
          <t>VIANDAS JORGE</t>
        </is>
      </c>
      <c r="C465" s="275" t="n">
        <v>1</v>
      </c>
      <c r="D465" s="275" t="n"/>
      <c r="E465" s="275" t="n"/>
      <c r="F465" s="276" t="n"/>
      <c r="G465" s="276" t="n"/>
      <c r="H465" s="277" t="n">
        <v>25000</v>
      </c>
      <c r="I465" s="278" t="n">
        <v>25000</v>
      </c>
      <c r="J465" s="278" t="n"/>
      <c r="K465" s="272" t="n"/>
      <c r="L465" s="272" t="n">
        <v>8000</v>
      </c>
      <c r="M465" s="156" t="n"/>
    </row>
    <row r="466" ht="15.75" customHeight="1" s="153">
      <c r="A466" s="279" t="n"/>
      <c r="B466" s="267" t="inlineStr">
        <is>
          <t>BERNARDO IRIGOYEN 7940</t>
        </is>
      </c>
      <c r="C466" s="268" t="n">
        <v>1</v>
      </c>
      <c r="D466" s="268" t="n"/>
      <c r="E466" s="268" t="n"/>
      <c r="F466" s="269" t="n"/>
      <c r="G466" s="269" t="n"/>
      <c r="H466" s="270" t="n">
        <v>28000</v>
      </c>
      <c r="I466" s="271" t="n">
        <v>28000</v>
      </c>
      <c r="J466" s="271" t="n"/>
      <c r="K466" s="272" t="n"/>
      <c r="L466" s="272" t="n">
        <v>11000</v>
      </c>
      <c r="M466" s="156" t="n"/>
    </row>
    <row r="467" ht="15.75" customHeight="1" s="153">
      <c r="A467" s="273" t="n"/>
      <c r="B467" s="274" t="inlineStr">
        <is>
          <t>CHICLANA 6630</t>
        </is>
      </c>
      <c r="C467" s="275" t="n">
        <v>1</v>
      </c>
      <c r="D467" s="275" t="n"/>
      <c r="E467" s="275" t="n"/>
      <c r="F467" s="276" t="n"/>
      <c r="G467" s="276" t="n"/>
      <c r="H467" s="277" t="n">
        <v>27000</v>
      </c>
      <c r="I467" s="278" t="n"/>
      <c r="J467" s="278" t="n">
        <v>27000</v>
      </c>
      <c r="K467" s="272" t="n"/>
      <c r="L467" s="272" t="n">
        <v>10000</v>
      </c>
      <c r="M467" s="156" t="n"/>
    </row>
    <row r="468" ht="15.75" customHeight="1" s="153">
      <c r="A468" s="279" t="n"/>
      <c r="B468" s="267" t="inlineStr">
        <is>
          <t>CORRIENTES 4142</t>
        </is>
      </c>
      <c r="C468" s="268" t="n">
        <v>1</v>
      </c>
      <c r="D468" s="268" t="n"/>
      <c r="E468" s="268" t="n"/>
      <c r="F468" s="269" t="n"/>
      <c r="G468" s="269" t="n"/>
      <c r="H468" s="270" t="n">
        <v>28500</v>
      </c>
      <c r="I468" s="271" t="n">
        <v>28500</v>
      </c>
      <c r="J468" s="271" t="n"/>
      <c r="K468" s="272" t="n"/>
      <c r="L468" s="272" t="n">
        <v>11500</v>
      </c>
      <c r="M468" s="156" t="n"/>
    </row>
    <row r="469" ht="15.75" customHeight="1" s="153">
      <c r="A469" s="273" t="n"/>
      <c r="B469" s="274" t="inlineStr">
        <is>
          <t>ZAVALLA 1642</t>
        </is>
      </c>
      <c r="C469" s="275" t="n">
        <v>1</v>
      </c>
      <c r="D469" s="275" t="n"/>
      <c r="E469" s="275" t="n"/>
      <c r="F469" s="276" t="n"/>
      <c r="G469" s="276" t="n"/>
      <c r="H469" s="277" t="n">
        <v>27500</v>
      </c>
      <c r="I469" s="278" t="n"/>
      <c r="J469" s="278" t="n">
        <v>27500</v>
      </c>
      <c r="K469" s="272" t="n"/>
      <c r="L469" s="272" t="n">
        <v>10500</v>
      </c>
      <c r="M469" s="156" t="n"/>
    </row>
    <row r="470" ht="15.75" customHeight="1" s="153">
      <c r="A470" s="279" t="n"/>
      <c r="B470" s="267" t="inlineStr">
        <is>
          <t>HIPOLITO IRIGOYEN 4264</t>
        </is>
      </c>
      <c r="C470" s="268" t="n"/>
      <c r="D470" s="268" t="n">
        <v>1</v>
      </c>
      <c r="E470" s="268" t="n"/>
      <c r="F470" s="269" t="n"/>
      <c r="G470" s="269" t="n"/>
      <c r="H470" s="270" t="n">
        <v>41500</v>
      </c>
      <c r="I470" s="271" t="n"/>
      <c r="J470" s="271" t="n">
        <v>41500</v>
      </c>
      <c r="K470" s="272" t="n"/>
      <c r="L470" s="272" t="n">
        <v>16000</v>
      </c>
      <c r="M470" s="156" t="n"/>
    </row>
    <row r="471" ht="15.75" customHeight="1" s="153">
      <c r="A471" s="273" t="n"/>
      <c r="B471" s="274" t="inlineStr">
        <is>
          <t>VERBENA</t>
        </is>
      </c>
      <c r="C471" s="275" t="n">
        <v>4</v>
      </c>
      <c r="D471" s="275" t="n"/>
      <c r="E471" s="275" t="n"/>
      <c r="F471" s="276" t="n"/>
      <c r="G471" s="276" t="n"/>
      <c r="H471" s="277" t="n">
        <v>118000</v>
      </c>
      <c r="I471" s="278" t="n">
        <v>118000</v>
      </c>
      <c r="J471" s="278" t="n"/>
      <c r="K471" s="272" t="n"/>
      <c r="L471" s="272" t="n">
        <v>50000</v>
      </c>
      <c r="M471" s="156" t="n"/>
    </row>
    <row r="472" ht="15.75" customHeight="1" s="153">
      <c r="A472" s="279" t="n"/>
      <c r="B472" s="267" t="inlineStr">
        <is>
          <t>MAIPU 1964</t>
        </is>
      </c>
      <c r="C472" s="268" t="n">
        <v>1</v>
      </c>
      <c r="D472" s="268" t="n"/>
      <c r="E472" s="268" t="n"/>
      <c r="F472" s="269" t="n"/>
      <c r="G472" s="269" t="n"/>
      <c r="H472" s="270" t="n">
        <v>28500</v>
      </c>
      <c r="I472" s="271" t="n"/>
      <c r="J472" s="271" t="n">
        <v>28500</v>
      </c>
      <c r="K472" s="272" t="n"/>
      <c r="L472" s="272" t="n">
        <v>11500</v>
      </c>
      <c r="M472" s="156" t="n"/>
    </row>
    <row r="473" ht="15.75" customHeight="1" s="153">
      <c r="A473" s="273" t="n"/>
      <c r="B473" s="274" t="inlineStr">
        <is>
          <t>GOLD BURGER</t>
        </is>
      </c>
      <c r="C473" s="275" t="n">
        <v>4</v>
      </c>
      <c r="D473" s="275" t="n"/>
      <c r="E473" s="275" t="n"/>
      <c r="F473" s="276" t="n"/>
      <c r="G473" s="276" t="n"/>
      <c r="H473" s="277" t="n">
        <v>120000</v>
      </c>
      <c r="I473" s="278" t="n">
        <v>120000</v>
      </c>
      <c r="J473" s="278" t="n"/>
      <c r="K473" s="272" t="n"/>
      <c r="L473" s="272" t="n">
        <v>52000</v>
      </c>
      <c r="M473" s="156" t="n"/>
    </row>
    <row r="474" ht="15.75" customHeight="1" s="153">
      <c r="A474" s="279" t="n"/>
      <c r="B474" s="267" t="inlineStr">
        <is>
          <t>ARENALES 7450</t>
        </is>
      </c>
      <c r="C474" s="268" t="n">
        <v>2</v>
      </c>
      <c r="D474" s="268" t="n"/>
      <c r="E474" s="268" t="n"/>
      <c r="F474" s="269" t="n"/>
      <c r="G474" s="269" t="n"/>
      <c r="H474" s="270" t="n">
        <v>53000</v>
      </c>
      <c r="I474" s="271" t="n">
        <v>53000</v>
      </c>
      <c r="J474" s="271" t="n"/>
      <c r="K474" s="272" t="n"/>
      <c r="L474" s="272" t="n">
        <v>19000</v>
      </c>
      <c r="M474" s="156" t="n"/>
    </row>
    <row r="475" ht="15.75" customHeight="1" s="153">
      <c r="A475" s="273" t="n"/>
      <c r="B475" s="274" t="inlineStr">
        <is>
          <t>CRESPO 2232</t>
        </is>
      </c>
      <c r="C475" s="275" t="n"/>
      <c r="D475" s="275" t="n"/>
      <c r="E475" s="275" t="n">
        <v>1</v>
      </c>
      <c r="F475" s="276" t="n"/>
      <c r="G475" s="276" t="n"/>
      <c r="H475" s="277" t="n">
        <v>98000</v>
      </c>
      <c r="I475" s="278" t="n">
        <v>98000</v>
      </c>
      <c r="J475" s="278" t="n"/>
      <c r="K475" s="272" t="n"/>
      <c r="L475" s="272" t="n">
        <v>29000</v>
      </c>
      <c r="M475" s="156" t="n"/>
    </row>
    <row r="476" ht="15.75" customHeight="1" s="153">
      <c r="A476" s="279" t="n"/>
      <c r="B476" s="267" t="inlineStr">
        <is>
          <t>4 DE ENERO 3526</t>
        </is>
      </c>
      <c r="C476" s="268" t="n">
        <v>1</v>
      </c>
      <c r="D476" s="268" t="n"/>
      <c r="E476" s="268" t="n"/>
      <c r="F476" s="269" t="n"/>
      <c r="G476" s="269" t="n"/>
      <c r="H476" s="270" t="n">
        <v>27500</v>
      </c>
      <c r="I476" s="271" t="n"/>
      <c r="J476" s="271" t="n">
        <v>27500</v>
      </c>
      <c r="K476" s="272" t="n"/>
      <c r="L476" s="272" t="n">
        <v>10500</v>
      </c>
      <c r="M476" s="156" t="n"/>
    </row>
    <row r="477" ht="15.75" customHeight="1" s="153">
      <c r="A477" s="273" t="n"/>
      <c r="B477" s="274" t="inlineStr">
        <is>
          <t>ITUZAINGO 1869</t>
        </is>
      </c>
      <c r="C477" s="275" t="n">
        <v>1</v>
      </c>
      <c r="D477" s="275" t="n"/>
      <c r="E477" s="275" t="n"/>
      <c r="F477" s="276" t="n"/>
      <c r="G477" s="276" t="n"/>
      <c r="H477" s="277" t="n">
        <v>28500</v>
      </c>
      <c r="I477" s="278" t="n"/>
      <c r="J477" s="278" t="n">
        <v>28500</v>
      </c>
      <c r="K477" s="272" t="n"/>
      <c r="L477" s="272" t="n">
        <v>11500</v>
      </c>
      <c r="M477" s="156" t="n"/>
    </row>
    <row r="478" ht="15.75" customHeight="1" s="153">
      <c r="A478" s="279" t="n"/>
      <c r="B478" s="267" t="inlineStr">
        <is>
          <t>GOROSTIAGA 4619</t>
        </is>
      </c>
      <c r="C478" s="268" t="n">
        <v>1</v>
      </c>
      <c r="D478" s="268" t="n"/>
      <c r="E478" s="268" t="n"/>
      <c r="F478" s="269" t="n"/>
      <c r="G478" s="269" t="n"/>
      <c r="H478" s="270" t="n">
        <v>29000</v>
      </c>
      <c r="I478" s="271" t="n"/>
      <c r="J478" s="271" t="n">
        <v>29000</v>
      </c>
      <c r="K478" s="272" t="n"/>
      <c r="L478" s="272" t="n">
        <v>12000</v>
      </c>
      <c r="M478" s="156" t="n"/>
    </row>
    <row r="479" ht="15.75" customHeight="1" s="153">
      <c r="A479" s="273" t="n"/>
      <c r="B479" s="274" t="inlineStr">
        <is>
          <t>ALFONSINA STORNI 6858</t>
        </is>
      </c>
      <c r="C479" s="275" t="n"/>
      <c r="D479" s="275" t="n"/>
      <c r="E479" s="275" t="n">
        <v>1</v>
      </c>
      <c r="F479" s="276" t="n"/>
      <c r="G479" s="276" t="n"/>
      <c r="H479" s="277" t="n">
        <v>98500</v>
      </c>
      <c r="I479" s="278" t="n"/>
      <c r="J479" s="278" t="n">
        <v>98500</v>
      </c>
      <c r="K479" s="272" t="n"/>
      <c r="L479" s="272" t="n">
        <v>29500</v>
      </c>
      <c r="M479" s="156" t="n"/>
    </row>
    <row r="480" ht="15.75" customHeight="1" s="153">
      <c r="A480" s="279" t="n"/>
      <c r="B480" s="267" t="inlineStr">
        <is>
          <t>PRESIDENTE PERON 4234</t>
        </is>
      </c>
      <c r="C480" s="268" t="n"/>
      <c r="D480" s="268" t="n"/>
      <c r="E480" s="268" t="n">
        <v>1</v>
      </c>
      <c r="F480" s="269" t="n"/>
      <c r="G480" s="269" t="n"/>
      <c r="H480" s="270" t="n">
        <v>99500</v>
      </c>
      <c r="I480" s="271" t="n">
        <v>99500</v>
      </c>
      <c r="J480" s="271" t="n"/>
      <c r="K480" s="272" t="n"/>
      <c r="L480" s="272" t="n">
        <v>30500</v>
      </c>
      <c r="M480" s="156" t="n"/>
    </row>
    <row r="481" ht="15.75" customHeight="1" s="153">
      <c r="A481" s="273" t="n"/>
      <c r="B481" s="274" t="inlineStr">
        <is>
          <t>MARIO</t>
        </is>
      </c>
      <c r="C481" s="275" t="n">
        <v>1</v>
      </c>
      <c r="D481" s="275" t="n">
        <v>1</v>
      </c>
      <c r="E481" s="275" t="n"/>
      <c r="F481" s="276" t="n"/>
      <c r="G481" s="276" t="n"/>
      <c r="H481" s="277" t="n">
        <v>55000</v>
      </c>
      <c r="I481" s="278" t="n">
        <v>55000</v>
      </c>
      <c r="J481" s="278" t="n"/>
      <c r="K481" s="272" t="n"/>
      <c r="L481" s="272" t="n">
        <v>12500</v>
      </c>
      <c r="M481" s="156" t="n"/>
    </row>
    <row r="482" ht="15.75" customHeight="1" s="153">
      <c r="A482" s="279" t="n"/>
      <c r="B482" s="267" t="inlineStr">
        <is>
          <t>CHUBUT 2361</t>
        </is>
      </c>
      <c r="C482" s="268" t="n">
        <v>2</v>
      </c>
      <c r="D482" s="268" t="n"/>
      <c r="E482" s="268" t="n"/>
      <c r="F482" s="269" t="n"/>
      <c r="G482" s="269" t="n"/>
      <c r="H482" s="270" t="n">
        <v>56000</v>
      </c>
      <c r="I482" s="271" t="n">
        <v>56000</v>
      </c>
      <c r="J482" s="271" t="n"/>
      <c r="K482" s="272" t="n"/>
      <c r="L482" s="272" t="n">
        <v>22000</v>
      </c>
      <c r="M482" s="156" t="n"/>
    </row>
    <row r="483" ht="15.75" customHeight="1" s="153">
      <c r="A483" s="273" t="n"/>
      <c r="B483" s="274" t="inlineStr">
        <is>
          <t>ILGATO NEGRO</t>
        </is>
      </c>
      <c r="C483" s="275" t="n">
        <v>1</v>
      </c>
      <c r="D483" s="275" t="n"/>
      <c r="E483" s="275" t="n"/>
      <c r="F483" s="276" t="n"/>
      <c r="G483" s="276" t="n"/>
      <c r="H483" s="277" t="n">
        <v>29000</v>
      </c>
      <c r="I483" s="278" t="n"/>
      <c r="J483" s="278" t="n">
        <v>29000</v>
      </c>
      <c r="K483" s="272" t="n"/>
      <c r="L483" s="272" t="n">
        <v>12000</v>
      </c>
      <c r="M483" s="156" t="n"/>
    </row>
    <row r="484" ht="15.75" customHeight="1" s="153">
      <c r="A484" s="279" t="n"/>
      <c r="B484" s="267" t="inlineStr">
        <is>
          <t>EX COMBATIENTES 5336</t>
        </is>
      </c>
      <c r="C484" s="268" t="n">
        <v>2</v>
      </c>
      <c r="D484" s="268" t="n"/>
      <c r="E484" s="268" t="n"/>
      <c r="F484" s="269" t="n"/>
      <c r="G484" s="269" t="n"/>
      <c r="H484" s="270" t="n">
        <v>57000</v>
      </c>
      <c r="I484" s="271" t="n"/>
      <c r="J484" s="271" t="n">
        <v>57000</v>
      </c>
      <c r="K484" s="272" t="n"/>
      <c r="L484" s="272" t="n">
        <v>23000</v>
      </c>
      <c r="M484" s="156" t="n"/>
    </row>
    <row r="485" ht="15.75" customHeight="1" s="153">
      <c r="A485" s="273" t="n"/>
      <c r="B485" s="274" t="inlineStr">
        <is>
          <t>SANDRA</t>
        </is>
      </c>
      <c r="C485" s="275" t="n">
        <v>1</v>
      </c>
      <c r="D485" s="275" t="n"/>
      <c r="E485" s="275" t="n"/>
      <c r="F485" s="276" t="n"/>
      <c r="G485" s="276" t="n"/>
      <c r="H485" s="277" t="n">
        <v>22000</v>
      </c>
      <c r="I485" s="278" t="n"/>
      <c r="J485" s="278" t="n">
        <v>22000</v>
      </c>
      <c r="K485" s="272" t="n"/>
      <c r="L485" s="272" t="n">
        <v>5000</v>
      </c>
      <c r="M485" s="156" t="n"/>
    </row>
    <row r="486" ht="15.75" customHeight="1" s="153">
      <c r="A486" s="279" t="n"/>
      <c r="B486" s="267" t="inlineStr">
        <is>
          <t>SABOREAR</t>
        </is>
      </c>
      <c r="C486" s="268" t="n"/>
      <c r="D486" s="268" t="n"/>
      <c r="E486" s="268" t="n">
        <v>1</v>
      </c>
      <c r="F486" s="269" t="n"/>
      <c r="G486" s="269" t="n"/>
      <c r="H486" s="270" t="n">
        <v>91000</v>
      </c>
      <c r="I486" s="271" t="n"/>
      <c r="J486" s="271" t="n">
        <v>91000</v>
      </c>
      <c r="K486" s="272" t="n"/>
      <c r="L486" s="272" t="n">
        <v>22000</v>
      </c>
      <c r="M486" s="156" t="n"/>
    </row>
    <row r="487" ht="15.75" customHeight="1" s="153">
      <c r="A487" s="273" t="n"/>
      <c r="B487" s="274" t="inlineStr">
        <is>
          <t>PANA VIEYTES 4500</t>
        </is>
      </c>
      <c r="C487" s="275" t="n"/>
      <c r="D487" s="275" t="n"/>
      <c r="E487" s="275" t="n">
        <v>1</v>
      </c>
      <c r="F487" s="276" t="n"/>
      <c r="G487" s="276" t="n"/>
      <c r="H487" s="277" t="n">
        <v>88000</v>
      </c>
      <c r="I487" s="278" t="n"/>
      <c r="J487" s="278" t="n">
        <v>88000</v>
      </c>
      <c r="K487" s="272" t="n"/>
      <c r="L487" s="272" t="n">
        <v>19000</v>
      </c>
      <c r="M487" s="156" t="n"/>
    </row>
    <row r="488" ht="15.75" customHeight="1" s="153">
      <c r="A488" s="279" t="n"/>
      <c r="B488" s="267" t="inlineStr">
        <is>
          <t>NACHO CUEVA</t>
        </is>
      </c>
      <c r="C488" s="268" t="n"/>
      <c r="D488" s="268" t="n">
        <v>1</v>
      </c>
      <c r="E488" s="268" t="n"/>
      <c r="F488" s="269" t="n"/>
      <c r="G488" s="269" t="n"/>
      <c r="H488" s="270" t="n">
        <v>34000</v>
      </c>
      <c r="I488" s="271" t="n">
        <v>34000</v>
      </c>
      <c r="J488" s="271" t="n"/>
      <c r="K488" s="272" t="n"/>
      <c r="L488" s="272" t="n">
        <v>8500</v>
      </c>
      <c r="M488" s="156" t="n"/>
    </row>
    <row r="489" ht="15.75" customHeight="1" s="153">
      <c r="A489" s="273" t="n"/>
      <c r="B489" s="274" t="inlineStr">
        <is>
          <t>ALMONACID 5022</t>
        </is>
      </c>
      <c r="C489" s="275" t="n">
        <v>1</v>
      </c>
      <c r="D489" s="275" t="n"/>
      <c r="E489" s="275" t="n"/>
      <c r="F489" s="276" t="n"/>
      <c r="G489" s="276" t="n"/>
      <c r="H489" s="277" t="n">
        <v>28500</v>
      </c>
      <c r="I489" s="278" t="n"/>
      <c r="J489" s="278" t="n">
        <v>28500</v>
      </c>
      <c r="K489" s="272" t="n"/>
      <c r="L489" s="272" t="n">
        <v>11500</v>
      </c>
      <c r="M489" s="156" t="n"/>
    </row>
    <row r="490" ht="15.75" customHeight="1" s="153">
      <c r="A490" s="266" t="n">
        <v>46194</v>
      </c>
      <c r="B490" s="267" t="inlineStr">
        <is>
          <t>TROPPO</t>
        </is>
      </c>
      <c r="C490" s="268" t="n">
        <v>8</v>
      </c>
      <c r="D490" s="268" t="n"/>
      <c r="E490" s="268" t="n"/>
      <c r="F490" s="269" t="n"/>
      <c r="G490" s="269" t="n"/>
      <c r="H490" s="270" t="n">
        <v>240000</v>
      </c>
      <c r="I490" s="271" t="n">
        <v>240000</v>
      </c>
      <c r="J490" s="271" t="n"/>
      <c r="K490" s="272" t="n"/>
      <c r="L490" s="272" t="n">
        <v>104000</v>
      </c>
      <c r="M490" s="156" t="n"/>
    </row>
    <row r="491" ht="15.75" customHeight="1" s="153">
      <c r="A491" s="273" t="n"/>
      <c r="B491" s="274" t="inlineStr">
        <is>
          <t>4 DE ENERO 2646</t>
        </is>
      </c>
      <c r="C491" s="275" t="n">
        <v>1</v>
      </c>
      <c r="D491" s="275" t="n"/>
      <c r="E491" s="275" t="n"/>
      <c r="F491" s="276" t="n"/>
      <c r="G491" s="276" t="n"/>
      <c r="H491" s="277" t="n">
        <v>28500</v>
      </c>
      <c r="I491" s="278" t="n">
        <v>28500</v>
      </c>
      <c r="J491" s="278" t="n"/>
      <c r="K491" s="272" t="n"/>
      <c r="L491" s="272" t="n">
        <v>11500</v>
      </c>
      <c r="M491" s="156" t="n"/>
    </row>
    <row r="492" ht="15.75" customHeight="1" s="153">
      <c r="A492" s="279" t="n"/>
      <c r="B492" s="267" t="inlineStr">
        <is>
          <t>SALTA 2875</t>
        </is>
      </c>
      <c r="C492" s="268" t="n">
        <v>1</v>
      </c>
      <c r="D492" s="268" t="n"/>
      <c r="E492" s="268" t="n"/>
      <c r="F492" s="269" t="n"/>
      <c r="G492" s="269" t="n"/>
      <c r="H492" s="270" t="n">
        <v>29000</v>
      </c>
      <c r="I492" s="271" t="n"/>
      <c r="J492" s="271" t="n">
        <v>29000</v>
      </c>
      <c r="K492" s="272" t="n"/>
      <c r="L492" s="272" t="n">
        <v>12000</v>
      </c>
      <c r="M492" s="156" t="n"/>
    </row>
    <row r="493" ht="15.75" customHeight="1" s="153">
      <c r="A493" s="273" t="n"/>
      <c r="B493" s="274" t="inlineStr">
        <is>
          <t>PANA GISELA</t>
        </is>
      </c>
      <c r="C493" s="275" t="n">
        <v>1</v>
      </c>
      <c r="D493" s="275" t="n"/>
      <c r="E493" s="275" t="n"/>
      <c r="F493" s="276" t="n"/>
      <c r="G493" s="276" t="n"/>
      <c r="H493" s="277" t="n">
        <v>25500</v>
      </c>
      <c r="I493" s="278" t="n"/>
      <c r="J493" s="278" t="n">
        <v>25500</v>
      </c>
      <c r="K493" s="272" t="n"/>
      <c r="L493" s="272" t="n">
        <v>8500</v>
      </c>
      <c r="M493" s="156" t="n"/>
    </row>
    <row r="494" ht="15.75" customHeight="1" s="153">
      <c r="A494" s="279" t="n"/>
      <c r="B494" s="267" t="inlineStr">
        <is>
          <t>BRASERIA</t>
        </is>
      </c>
      <c r="C494" s="268" t="n"/>
      <c r="D494" s="268" t="n"/>
      <c r="E494" s="268" t="n">
        <v>1</v>
      </c>
      <c r="F494" s="269" t="n"/>
      <c r="G494" s="269" t="n"/>
      <c r="H494" s="270" t="n">
        <v>94000</v>
      </c>
      <c r="I494" s="271" t="n"/>
      <c r="J494" s="271" t="n">
        <v>94000</v>
      </c>
      <c r="K494" s="272" t="n"/>
      <c r="L494" s="272" t="n">
        <v>25000</v>
      </c>
      <c r="M494" s="156" t="n"/>
    </row>
    <row r="495" ht="15.75" customHeight="1" s="153">
      <c r="A495" s="273" t="n"/>
      <c r="B495" s="274" t="inlineStr">
        <is>
          <t>PAVON 3941</t>
        </is>
      </c>
      <c r="C495" s="275" t="n">
        <v>1</v>
      </c>
      <c r="D495" s="275" t="n"/>
      <c r="E495" s="275" t="n"/>
      <c r="F495" s="276" t="n"/>
      <c r="G495" s="276" t="n"/>
      <c r="H495" s="277" t="n">
        <v>28500</v>
      </c>
      <c r="I495" s="278" t="n">
        <v>28500</v>
      </c>
      <c r="J495" s="278" t="n"/>
      <c r="K495" s="272" t="n"/>
      <c r="L495" s="272" t="n">
        <v>11500</v>
      </c>
      <c r="M495" s="156" t="n"/>
    </row>
    <row r="496" ht="15.75" customHeight="1" s="153">
      <c r="A496" s="279" t="n"/>
      <c r="B496" s="267" t="inlineStr">
        <is>
          <t>FRATERNIDAD GUANELIANA</t>
        </is>
      </c>
      <c r="C496" s="268" t="n">
        <v>1</v>
      </c>
      <c r="D496" s="268" t="n"/>
      <c r="E496" s="268" t="n"/>
      <c r="F496" s="269" t="n"/>
      <c r="G496" s="269" t="n"/>
      <c r="H496" s="270" t="n">
        <v>26000</v>
      </c>
      <c r="I496" s="271" t="n"/>
      <c r="J496" s="271" t="n">
        <v>26000</v>
      </c>
      <c r="K496" s="272" t="n"/>
      <c r="L496" s="272" t="n">
        <v>9000</v>
      </c>
      <c r="M496" s="156" t="n"/>
    </row>
    <row r="497" ht="15.75" customHeight="1" s="153">
      <c r="A497" s="273" t="n"/>
      <c r="B497" s="274" t="inlineStr">
        <is>
          <t>SAN JUAN 5672</t>
        </is>
      </c>
      <c r="C497" s="275" t="n">
        <v>2</v>
      </c>
      <c r="D497" s="275" t="n"/>
      <c r="E497" s="275" t="n"/>
      <c r="F497" s="276" t="n"/>
      <c r="G497" s="276" t="n"/>
      <c r="H497" s="277" t="n">
        <v>44000</v>
      </c>
      <c r="I497" s="278" t="n">
        <v>44000</v>
      </c>
      <c r="J497" s="278" t="n"/>
      <c r="K497" s="272" t="n"/>
      <c r="L497" s="272" t="n">
        <v>10000</v>
      </c>
      <c r="M497" s="156" t="n"/>
    </row>
    <row r="498" ht="15.75" customHeight="1" s="153">
      <c r="A498" s="279" t="n"/>
      <c r="B498" s="267" t="inlineStr">
        <is>
          <t>ARISTOBULO 3684</t>
        </is>
      </c>
      <c r="C498" s="268" t="n"/>
      <c r="D498" s="268" t="n">
        <v>1</v>
      </c>
      <c r="E498" s="268" t="n"/>
      <c r="F498" s="269" t="n"/>
      <c r="G498" s="269" t="n"/>
      <c r="H498" s="270" t="n">
        <v>49500</v>
      </c>
      <c r="I498" s="271" t="n">
        <v>49500</v>
      </c>
      <c r="J498" s="271" t="n"/>
      <c r="K498" s="272" t="n"/>
      <c r="L498" s="272" t="n">
        <v>24000</v>
      </c>
      <c r="M498" s="156" t="n"/>
    </row>
    <row r="499" ht="15.75" customHeight="1" s="153">
      <c r="A499" s="273" t="n"/>
      <c r="B499" s="274" t="inlineStr">
        <is>
          <t>ALSINA 6550</t>
        </is>
      </c>
      <c r="C499" s="275" t="n">
        <v>1</v>
      </c>
      <c r="D499" s="275" t="n">
        <v>1</v>
      </c>
      <c r="E499" s="275" t="n"/>
      <c r="F499" s="276" t="n"/>
      <c r="G499" s="276" t="n"/>
      <c r="H499" s="277" t="n">
        <v>68000</v>
      </c>
      <c r="I499" s="278" t="n">
        <v>68000</v>
      </c>
      <c r="J499" s="278" t="n"/>
      <c r="K499" s="272" t="n"/>
      <c r="L499" s="272" t="n">
        <v>25500</v>
      </c>
      <c r="M499" s="156" t="n"/>
    </row>
    <row r="500" ht="15.75" customHeight="1" s="153">
      <c r="A500" s="279" t="n"/>
      <c r="B500" s="267" t="inlineStr">
        <is>
          <t>PRIMERO DE MAYO 1959</t>
        </is>
      </c>
      <c r="C500" s="268" t="n"/>
      <c r="D500" s="268" t="n"/>
      <c r="E500" s="268" t="n">
        <v>1</v>
      </c>
      <c r="F500" s="269" t="n"/>
      <c r="G500" s="269" t="n"/>
      <c r="H500" s="270" t="n">
        <v>95000</v>
      </c>
      <c r="I500" s="271" t="n">
        <v>95000</v>
      </c>
      <c r="J500" s="271" t="n"/>
      <c r="K500" s="272" t="n"/>
      <c r="L500" s="272" t="n">
        <v>26000</v>
      </c>
      <c r="M500" s="156" t="n"/>
    </row>
    <row r="501" ht="21.75" customHeight="1" s="153">
      <c r="A501" s="273" t="n"/>
      <c r="B501" s="274" t="inlineStr">
        <is>
          <t>ESTRADA 5635</t>
        </is>
      </c>
      <c r="C501" s="275" t="n">
        <v>1</v>
      </c>
      <c r="D501" s="275" t="n"/>
      <c r="E501" s="275" t="n"/>
      <c r="F501" s="276" t="n"/>
      <c r="G501" s="276" t="n"/>
      <c r="H501" s="277" t="n">
        <v>28000</v>
      </c>
      <c r="I501" s="278" t="n">
        <v>28000</v>
      </c>
      <c r="J501" s="278" t="n"/>
      <c r="K501" s="272" t="n"/>
      <c r="L501" s="272" t="n">
        <v>11000</v>
      </c>
      <c r="M501" s="156" t="n"/>
    </row>
    <row r="502" ht="15" customHeight="1" s="153">
      <c r="A502" s="279" t="n"/>
      <c r="B502" s="267" t="inlineStr">
        <is>
          <t>LUCAS MANSILLA</t>
        </is>
      </c>
      <c r="C502" s="268" t="n">
        <v>1</v>
      </c>
      <c r="D502" s="268" t="n"/>
      <c r="E502" s="268" t="n"/>
      <c r="F502" s="269" t="n"/>
      <c r="G502" s="269" t="n"/>
      <c r="H502" s="270" t="n">
        <v>29000</v>
      </c>
      <c r="I502" s="271" t="n"/>
      <c r="J502" s="271" t="n">
        <v>29000</v>
      </c>
      <c r="K502" s="272" t="n"/>
      <c r="L502" s="272" t="n">
        <v>12000</v>
      </c>
      <c r="M502" s="156" t="n"/>
    </row>
    <row r="503" ht="15" customHeight="1" s="153">
      <c r="A503" s="273" t="n"/>
      <c r="B503" s="274" t="inlineStr">
        <is>
          <t>FLORES 1 MON5</t>
        </is>
      </c>
      <c r="C503" s="275" t="n">
        <v>1</v>
      </c>
      <c r="D503" s="275" t="n"/>
      <c r="E503" s="275" t="n"/>
      <c r="F503" s="276" t="n"/>
      <c r="G503" s="276" t="n"/>
      <c r="H503" s="277" t="n">
        <v>28500</v>
      </c>
      <c r="I503" s="278" t="n">
        <v>28500</v>
      </c>
      <c r="J503" s="278" t="n"/>
      <c r="K503" s="272" t="n"/>
      <c r="L503" s="272" t="n">
        <v>11500</v>
      </c>
      <c r="M503" s="156" t="n"/>
    </row>
    <row r="504" ht="15" customHeight="1" s="153">
      <c r="A504" s="279" t="n"/>
      <c r="B504" s="267" t="inlineStr">
        <is>
          <t>MARCIAL CANDIOTI 6281</t>
        </is>
      </c>
      <c r="C504" s="268" t="n">
        <v>1</v>
      </c>
      <c r="D504" s="268" t="n">
        <v>1</v>
      </c>
      <c r="E504" s="268" t="n"/>
      <c r="F504" s="269" t="n"/>
      <c r="G504" s="269" t="n"/>
      <c r="H504" s="270" t="n">
        <v>71000</v>
      </c>
      <c r="I504" s="271" t="n"/>
      <c r="J504" s="271" t="n">
        <v>71000</v>
      </c>
      <c r="K504" s="272" t="n"/>
      <c r="L504" s="272" t="n">
        <v>28500</v>
      </c>
      <c r="M504" s="156" t="n"/>
    </row>
    <row r="505" ht="15" customHeight="1" s="153">
      <c r="A505" s="273" t="n"/>
      <c r="B505" s="274" t="inlineStr">
        <is>
          <t>ROTI VIEYTES</t>
        </is>
      </c>
      <c r="C505" s="275" t="n"/>
      <c r="D505" s="275" t="n">
        <v>2</v>
      </c>
      <c r="E505" s="275" t="n"/>
      <c r="F505" s="276" t="n"/>
      <c r="G505" s="276" t="n"/>
      <c r="H505" s="277" t="n">
        <v>69000</v>
      </c>
      <c r="I505" s="278" t="n"/>
      <c r="J505" s="278" t="n">
        <v>69000</v>
      </c>
      <c r="K505" s="272" t="n"/>
      <c r="L505" s="272" t="n">
        <v>18000</v>
      </c>
      <c r="M505" s="156" t="n"/>
    </row>
    <row r="506" ht="15" customHeight="1" s="153">
      <c r="A506" s="279" t="n"/>
      <c r="B506" s="267" t="inlineStr">
        <is>
          <t>EXE</t>
        </is>
      </c>
      <c r="C506" s="268" t="n"/>
      <c r="D506" s="268" t="n"/>
      <c r="E506" s="268" t="n">
        <v>1</v>
      </c>
      <c r="F506" s="269" t="n"/>
      <c r="G506" s="269" t="n"/>
      <c r="H506" s="270" t="n">
        <v>95000</v>
      </c>
      <c r="I506" s="271" t="n"/>
      <c r="J506" s="271" t="n">
        <v>95000</v>
      </c>
      <c r="K506" s="272" t="n"/>
      <c r="L506" s="272" t="n">
        <v>26000</v>
      </c>
      <c r="M506" s="156" t="n"/>
    </row>
    <row r="507" ht="15" customHeight="1" s="153">
      <c r="A507" s="280" t="n">
        <v>46195</v>
      </c>
      <c r="B507" s="274" t="inlineStr">
        <is>
          <t>MATEU 4059</t>
        </is>
      </c>
      <c r="C507" s="275" t="n"/>
      <c r="D507" s="275" t="n"/>
      <c r="E507" s="275" t="n">
        <v>1</v>
      </c>
      <c r="F507" s="276" t="n"/>
      <c r="G507" s="276" t="n"/>
      <c r="H507" s="277" t="n">
        <v>88000</v>
      </c>
      <c r="I507" s="278" t="n"/>
      <c r="J507" s="278" t="n">
        <v>88000</v>
      </c>
      <c r="K507" s="272" t="n"/>
      <c r="L507" s="272" t="n">
        <v>19000</v>
      </c>
      <c r="M507" s="156" t="n"/>
    </row>
    <row r="508" ht="15" customHeight="1" s="153">
      <c r="A508" s="279" t="n"/>
      <c r="B508" s="267" t="inlineStr">
        <is>
          <t>ACACIAS 10301</t>
        </is>
      </c>
      <c r="C508" s="268" t="n">
        <v>2</v>
      </c>
      <c r="D508" s="268" t="n"/>
      <c r="E508" s="268" t="n">
        <v>1</v>
      </c>
      <c r="F508" s="269" t="n"/>
      <c r="G508" s="269" t="n"/>
      <c r="H508" s="270" t="n">
        <v>185000</v>
      </c>
      <c r="I508" s="271" t="n">
        <v>185000</v>
      </c>
      <c r="J508" s="271" t="n"/>
      <c r="K508" s="272" t="n">
        <v>18000</v>
      </c>
      <c r="L508" s="272" t="n">
        <v>64000</v>
      </c>
      <c r="M508" s="156" t="n"/>
    </row>
    <row r="509" ht="15" customHeight="1" s="153">
      <c r="A509" s="273" t="n"/>
      <c r="B509" s="274" t="inlineStr">
        <is>
          <t>GÜEMES 4421</t>
        </is>
      </c>
      <c r="C509" s="275" t="n">
        <v>1</v>
      </c>
      <c r="D509" s="275" t="n"/>
      <c r="E509" s="275" t="n"/>
      <c r="F509" s="276" t="n"/>
      <c r="G509" s="276" t="n"/>
      <c r="H509" s="277" t="n">
        <v>29000</v>
      </c>
      <c r="I509" s="278" t="n"/>
      <c r="J509" s="278" t="n">
        <v>29000</v>
      </c>
      <c r="K509" s="272" t="n"/>
      <c r="L509" s="272" t="n">
        <v>12000</v>
      </c>
      <c r="M509" s="156" t="n"/>
    </row>
    <row r="510" ht="15" customHeight="1" s="153">
      <c r="A510" s="279" t="n"/>
      <c r="B510" s="267" t="inlineStr">
        <is>
          <t>SANDRA</t>
        </is>
      </c>
      <c r="C510" s="268" t="n">
        <v>1</v>
      </c>
      <c r="D510" s="268" t="n"/>
      <c r="E510" s="268" t="n"/>
      <c r="F510" s="269" t="n"/>
      <c r="G510" s="269" t="n"/>
      <c r="H510" s="270" t="n">
        <v>22000</v>
      </c>
      <c r="I510" s="271" t="n">
        <v>22000</v>
      </c>
      <c r="J510" s="271" t="n"/>
      <c r="K510" s="272" t="n"/>
      <c r="L510" s="272" t="n">
        <v>5000</v>
      </c>
      <c r="M510" s="156" t="n"/>
    </row>
    <row r="511" ht="15" customHeight="1" s="153">
      <c r="A511" s="273" t="n"/>
      <c r="B511" s="274" t="inlineStr">
        <is>
          <t>LUCIANO MOLINA 962</t>
        </is>
      </c>
      <c r="C511" s="275" t="n">
        <v>2</v>
      </c>
      <c r="D511" s="275" t="n"/>
      <c r="E511" s="275" t="n"/>
      <c r="F511" s="276" t="n"/>
      <c r="G511" s="276" t="n"/>
      <c r="H511" s="277" t="n">
        <v>58000</v>
      </c>
      <c r="I511" s="278" t="n"/>
      <c r="J511" s="278" t="n">
        <v>58000</v>
      </c>
      <c r="K511" s="272" t="n"/>
      <c r="L511" s="272" t="n">
        <v>24000</v>
      </c>
      <c r="M511" s="156" t="n"/>
    </row>
    <row r="512" ht="15" customHeight="1" s="153">
      <c r="A512" s="279" t="n"/>
      <c r="B512" s="267" t="inlineStr">
        <is>
          <t>FILOMENA</t>
        </is>
      </c>
      <c r="C512" s="268" t="n">
        <v>3</v>
      </c>
      <c r="D512" s="268" t="n"/>
      <c r="E512" s="268" t="n"/>
      <c r="F512" s="269" t="n"/>
      <c r="G512" s="269" t="n"/>
      <c r="H512" s="270" t="n">
        <v>79500</v>
      </c>
      <c r="I512" s="271" t="n"/>
      <c r="J512" s="271" t="n">
        <v>79500</v>
      </c>
      <c r="K512" s="272" t="n"/>
      <c r="L512" s="272" t="n">
        <v>28500</v>
      </c>
      <c r="M512" s="156" t="n"/>
    </row>
    <row r="513" ht="15" customHeight="1" s="153">
      <c r="A513" s="273" t="n"/>
      <c r="B513" s="274" t="inlineStr">
        <is>
          <t>AZCUENAGA 6551</t>
        </is>
      </c>
      <c r="C513" s="275" t="n">
        <v>3</v>
      </c>
      <c r="D513" s="275" t="n"/>
      <c r="E513" s="275" t="n"/>
      <c r="F513" s="276" t="n"/>
      <c r="G513" s="276" t="n"/>
      <c r="H513" s="277" t="n">
        <v>66000</v>
      </c>
      <c r="I513" s="278" t="n"/>
      <c r="J513" s="278" t="n">
        <v>66000</v>
      </c>
      <c r="K513" s="272" t="n"/>
      <c r="L513" s="272" t="n">
        <v>15000</v>
      </c>
      <c r="M513" s="156" t="n"/>
    </row>
    <row r="514" ht="15" customHeight="1" s="153">
      <c r="A514" s="279" t="n"/>
      <c r="B514" s="267" t="inlineStr">
        <is>
          <t>LO DE NICO</t>
        </is>
      </c>
      <c r="C514" s="268" t="n">
        <v>3</v>
      </c>
      <c r="D514" s="268" t="n"/>
      <c r="E514" s="268" t="n"/>
      <c r="F514" s="269" t="n"/>
      <c r="G514" s="269" t="n"/>
      <c r="H514" s="270" t="n">
        <v>67500</v>
      </c>
      <c r="I514" s="271" t="n"/>
      <c r="J514" s="271" t="n">
        <v>67500</v>
      </c>
      <c r="K514" s="272" t="n"/>
      <c r="L514" s="272" t="n">
        <v>16500</v>
      </c>
      <c r="M514" s="156" t="n"/>
    </row>
    <row r="515" ht="15" customHeight="1" s="153">
      <c r="A515" s="273" t="n"/>
      <c r="B515" s="274" t="inlineStr">
        <is>
          <t>SIRLAKI</t>
        </is>
      </c>
      <c r="C515" s="275" t="n">
        <v>1</v>
      </c>
      <c r="D515" s="275" t="n"/>
      <c r="E515" s="275" t="n"/>
      <c r="F515" s="276" t="n"/>
      <c r="G515" s="276" t="n"/>
      <c r="H515" s="277" t="n">
        <v>27000</v>
      </c>
      <c r="I515" s="278" t="n"/>
      <c r="J515" s="278" t="n">
        <v>27000</v>
      </c>
      <c r="K515" s="272" t="n"/>
      <c r="L515" s="272" t="n">
        <v>10000</v>
      </c>
      <c r="M515" s="156" t="n"/>
    </row>
    <row r="516" ht="15" customHeight="1" s="153">
      <c r="A516" s="279" t="n"/>
      <c r="B516" s="267" t="inlineStr">
        <is>
          <t>JM ZUVIRIA 3439</t>
        </is>
      </c>
      <c r="C516" s="268" t="n"/>
      <c r="D516" s="268" t="n">
        <v>1</v>
      </c>
      <c r="E516" s="268" t="n"/>
      <c r="F516" s="269" t="n"/>
      <c r="G516" s="269" t="n"/>
      <c r="H516" s="270" t="n">
        <v>39500</v>
      </c>
      <c r="I516" s="271" t="n"/>
      <c r="J516" s="271" t="n">
        <v>39500</v>
      </c>
      <c r="K516" s="272" t="n"/>
      <c r="L516" s="272" t="n">
        <v>14000</v>
      </c>
      <c r="M516" s="156" t="n"/>
    </row>
    <row r="517" ht="15" customHeight="1" s="153">
      <c r="A517" s="273" t="n"/>
      <c r="B517" s="274" t="inlineStr">
        <is>
          <t>DAVID LEIVA</t>
        </is>
      </c>
      <c r="C517" s="275" t="n">
        <v>1</v>
      </c>
      <c r="D517" s="275" t="n"/>
      <c r="E517" s="275" t="n"/>
      <c r="F517" s="276" t="n"/>
      <c r="G517" s="276" t="n"/>
      <c r="H517" s="277" t="n">
        <v>27000</v>
      </c>
      <c r="I517" s="278" t="n">
        <v>27000</v>
      </c>
      <c r="J517" s="278" t="n"/>
      <c r="K517" s="272" t="n"/>
      <c r="L517" s="272" t="n">
        <v>10000</v>
      </c>
      <c r="M517" s="156" t="n"/>
    </row>
    <row r="518" ht="15" customHeight="1" s="153">
      <c r="A518" s="279" t="n"/>
      <c r="B518" s="267" t="inlineStr">
        <is>
          <t>PEDRO DE VEGA 3168</t>
        </is>
      </c>
      <c r="C518" s="268" t="n">
        <v>1</v>
      </c>
      <c r="D518" s="268" t="n"/>
      <c r="E518" s="268" t="n"/>
      <c r="F518" s="269" t="n"/>
      <c r="G518" s="269" t="n"/>
      <c r="H518" s="270" t="n">
        <v>28500</v>
      </c>
      <c r="I518" s="271" t="n">
        <v>28500</v>
      </c>
      <c r="J518" s="271" t="n"/>
      <c r="K518" s="272" t="n"/>
      <c r="L518" s="272" t="n">
        <v>11500</v>
      </c>
      <c r="M518" s="156" t="n"/>
    </row>
    <row r="519" ht="15" customHeight="1" s="153">
      <c r="A519" s="273" t="n"/>
      <c r="B519" s="274" t="inlineStr">
        <is>
          <t>LAVAISE 4366</t>
        </is>
      </c>
      <c r="C519" s="275" t="n"/>
      <c r="D519" s="275" t="n">
        <v>1</v>
      </c>
      <c r="E519" s="275" t="n"/>
      <c r="F519" s="276" t="n"/>
      <c r="G519" s="276" t="n"/>
      <c r="H519" s="277" t="n">
        <v>39500</v>
      </c>
      <c r="I519" s="278" t="n">
        <v>39500</v>
      </c>
      <c r="J519" s="278" t="n"/>
      <c r="K519" s="272" t="n"/>
      <c r="L519" s="272" t="n">
        <v>14000</v>
      </c>
      <c r="M519" s="156" t="n"/>
    </row>
    <row r="520" ht="15" customHeight="1" s="153">
      <c r="A520" s="279" t="n"/>
      <c r="B520" s="267" t="inlineStr">
        <is>
          <t>ALBERTI 4637</t>
        </is>
      </c>
      <c r="C520" s="268" t="n">
        <v>1</v>
      </c>
      <c r="D520" s="268" t="n"/>
      <c r="E520" s="268" t="n"/>
      <c r="F520" s="269" t="n"/>
      <c r="G520" s="269" t="n"/>
      <c r="H520" s="270" t="n">
        <v>27000</v>
      </c>
      <c r="I520" s="271" t="n">
        <v>27000</v>
      </c>
      <c r="J520" s="271" t="n"/>
      <c r="K520" s="272" t="n"/>
      <c r="L520" s="272" t="n">
        <v>10000</v>
      </c>
      <c r="M520" s="156" t="n"/>
    </row>
    <row r="521" ht="15" customHeight="1" s="153">
      <c r="A521" s="273" t="n"/>
      <c r="B521" s="274" t="inlineStr">
        <is>
          <t>12 DE INFANTERIA 4278</t>
        </is>
      </c>
      <c r="C521" s="275" t="n">
        <v>1</v>
      </c>
      <c r="D521" s="275" t="n"/>
      <c r="E521" s="275" t="n"/>
      <c r="F521" s="276" t="n"/>
      <c r="G521" s="276" t="n"/>
      <c r="H521" s="277" t="n">
        <v>27000</v>
      </c>
      <c r="I521" s="278" t="n">
        <v>27000</v>
      </c>
      <c r="J521" s="278" t="n"/>
      <c r="K521" s="272" t="n"/>
      <c r="L521" s="272" t="n">
        <v>10000</v>
      </c>
      <c r="M521" s="156" t="n"/>
    </row>
    <row r="522" ht="15" customHeight="1" s="153">
      <c r="A522" s="279" t="n"/>
      <c r="B522" s="267" t="inlineStr">
        <is>
          <t>PORTON CASA</t>
        </is>
      </c>
      <c r="C522" s="268" t="n"/>
      <c r="D522" s="268" t="n">
        <v>1</v>
      </c>
      <c r="E522" s="268" t="n"/>
      <c r="F522" s="269" t="n"/>
      <c r="G522" s="269" t="n"/>
      <c r="H522" s="270" t="n">
        <v>35000</v>
      </c>
      <c r="I522" s="271" t="n">
        <v>35000</v>
      </c>
      <c r="J522" s="271" t="n"/>
      <c r="K522" s="272" t="n"/>
      <c r="L522" s="272" t="n">
        <v>9500</v>
      </c>
      <c r="M522" s="156" t="n"/>
    </row>
    <row r="523" ht="15" customHeight="1" s="153">
      <c r="A523" s="273" t="n"/>
      <c r="B523" s="274" t="inlineStr">
        <is>
          <t>VIÑAS 9396</t>
        </is>
      </c>
      <c r="C523" s="275" t="n">
        <v>1</v>
      </c>
      <c r="D523" s="275" t="n"/>
      <c r="E523" s="275" t="n"/>
      <c r="F523" s="276" t="n"/>
      <c r="G523" s="276" t="n"/>
      <c r="H523" s="277" t="n">
        <v>28500</v>
      </c>
      <c r="I523" s="278" t="n">
        <v>28500</v>
      </c>
      <c r="J523" s="278" t="n"/>
      <c r="K523" s="272" t="n"/>
      <c r="L523" s="272" t="n">
        <v>11500</v>
      </c>
      <c r="M523" s="156" t="n"/>
    </row>
    <row r="524" ht="15" customHeight="1" s="153">
      <c r="A524" s="279" t="n"/>
      <c r="B524" s="267" t="inlineStr">
        <is>
          <t>VIEYTES 4361</t>
        </is>
      </c>
      <c r="C524" s="268" t="n">
        <v>1</v>
      </c>
      <c r="D524" s="268" t="n"/>
      <c r="E524" s="268" t="n"/>
      <c r="F524" s="269" t="n"/>
      <c r="G524" s="269" t="n"/>
      <c r="H524" s="270" t="n">
        <v>28500</v>
      </c>
      <c r="I524" s="271" t="n"/>
      <c r="J524" s="271" t="n">
        <v>28500</v>
      </c>
      <c r="K524" s="272" t="n"/>
      <c r="L524" s="272" t="n">
        <v>11500</v>
      </c>
      <c r="M524" s="156" t="n"/>
    </row>
    <row r="525" ht="15" customHeight="1" s="153">
      <c r="A525" s="273" t="n"/>
      <c r="B525" s="274" t="inlineStr">
        <is>
          <t>CHICLANA 7325</t>
        </is>
      </c>
      <c r="C525" s="275" t="n">
        <v>1</v>
      </c>
      <c r="D525" s="275" t="n"/>
      <c r="E525" s="275" t="n"/>
      <c r="F525" s="276" t="n"/>
      <c r="G525" s="276" t="n"/>
      <c r="H525" s="277" t="n">
        <v>22500</v>
      </c>
      <c r="I525" s="278" t="n"/>
      <c r="J525" s="278" t="n">
        <v>22500</v>
      </c>
      <c r="K525" s="272" t="n"/>
      <c r="L525" s="272" t="n">
        <v>5500</v>
      </c>
      <c r="M525" s="156" t="n"/>
    </row>
    <row r="526" ht="15" customHeight="1" s="153">
      <c r="A526" s="279" t="n"/>
      <c r="B526" s="267" t="inlineStr">
        <is>
          <t>EXE</t>
        </is>
      </c>
      <c r="C526" s="268" t="n"/>
      <c r="D526" s="268" t="n"/>
      <c r="E526" s="268" t="n">
        <v>1</v>
      </c>
      <c r="F526" s="269" t="n"/>
      <c r="G526" s="269" t="n"/>
      <c r="H526" s="270" t="n">
        <v>95000</v>
      </c>
      <c r="I526" s="271" t="n"/>
      <c r="J526" s="271" t="n">
        <v>95000</v>
      </c>
      <c r="K526" s="272" t="n"/>
      <c r="L526" s="272" t="n">
        <v>26000</v>
      </c>
      <c r="M526" s="156" t="n"/>
    </row>
    <row r="527" ht="15" customHeight="1" s="153">
      <c r="A527" s="273" t="n"/>
      <c r="B527" s="274" t="inlineStr">
        <is>
          <t>CAREN</t>
        </is>
      </c>
      <c r="C527" s="275" t="n"/>
      <c r="D527" s="275" t="n"/>
      <c r="E527" s="275" t="n">
        <v>1</v>
      </c>
      <c r="F527" s="276" t="n"/>
      <c r="G527" s="276" t="n"/>
      <c r="H527" s="277" t="n">
        <v>95000</v>
      </c>
      <c r="I527" s="278" t="n"/>
      <c r="J527" s="278" t="n">
        <v>95000</v>
      </c>
      <c r="K527" s="272" t="n"/>
      <c r="L527" s="272" t="n">
        <v>26000</v>
      </c>
      <c r="M527" s="156" t="n"/>
    </row>
    <row r="528" ht="15" customHeight="1" s="153">
      <c r="A528" s="279" t="n"/>
      <c r="B528" s="267" t="inlineStr">
        <is>
          <t>JUNIN 2296</t>
        </is>
      </c>
      <c r="C528" s="268" t="n">
        <v>2</v>
      </c>
      <c r="D528" s="268" t="n"/>
      <c r="E528" s="268" t="n"/>
      <c r="F528" s="269" t="n"/>
      <c r="G528" s="269" t="n"/>
      <c r="H528" s="270" t="n">
        <v>57000</v>
      </c>
      <c r="I528" s="271" t="n">
        <v>57000</v>
      </c>
      <c r="J528" s="271" t="n"/>
      <c r="K528" s="272" t="n"/>
      <c r="L528" s="272" t="n">
        <v>23000</v>
      </c>
      <c r="M528" s="156" t="n"/>
    </row>
    <row r="529" ht="15" customHeight="1" s="153">
      <c r="A529" s="273" t="n"/>
      <c r="B529" s="274" t="inlineStr">
        <is>
          <t>BONITO 5315</t>
        </is>
      </c>
      <c r="C529" s="275" t="n">
        <v>2</v>
      </c>
      <c r="D529" s="275" t="n"/>
      <c r="E529" s="275" t="n"/>
      <c r="F529" s="276" t="n"/>
      <c r="G529" s="276" t="n"/>
      <c r="H529" s="277" t="n">
        <v>54000</v>
      </c>
      <c r="I529" s="278" t="n">
        <v>54000</v>
      </c>
      <c r="J529" s="278" t="n"/>
      <c r="K529" s="272" t="n"/>
      <c r="L529" s="272" t="n">
        <v>20000</v>
      </c>
      <c r="M529" s="156" t="n"/>
    </row>
    <row r="530" ht="15" customHeight="1" s="153">
      <c r="A530" s="261" t="n"/>
      <c r="B530" s="267" t="inlineStr">
        <is>
          <t>SAAVEDRA 7701</t>
        </is>
      </c>
      <c r="C530" s="262" t="n"/>
      <c r="D530" s="262" t="n"/>
      <c r="E530" s="262" t="n">
        <v>1</v>
      </c>
      <c r="F530" s="263" t="n"/>
      <c r="G530" s="263" t="n"/>
      <c r="H530" s="264" t="n">
        <v>98500</v>
      </c>
      <c r="I530" s="265" t="n">
        <v>98500</v>
      </c>
      <c r="J530" s="265" t="n"/>
      <c r="K530" s="264" t="n"/>
      <c r="L530" s="272" t="n">
        <v>29500</v>
      </c>
      <c r="M530" s="156" t="n"/>
    </row>
    <row r="531" ht="15" customHeight="1" s="153">
      <c r="A531" s="273" t="n"/>
      <c r="B531" s="274" t="inlineStr">
        <is>
          <t>PRIMERO DE MAYO 7886</t>
        </is>
      </c>
      <c r="C531" s="275" t="n">
        <v>1</v>
      </c>
      <c r="D531" s="275" t="n"/>
      <c r="E531" s="275" t="n"/>
      <c r="F531" s="276" t="n"/>
      <c r="G531" s="276" t="n"/>
      <c r="H531" s="277" t="n">
        <v>28500</v>
      </c>
      <c r="I531" s="278" t="n">
        <v>28500</v>
      </c>
      <c r="J531" s="278" t="n"/>
      <c r="K531" s="272" t="n"/>
      <c r="L531" s="272" t="n">
        <v>11500</v>
      </c>
      <c r="M531" s="156" t="n"/>
    </row>
    <row r="532" ht="15" customHeight="1" s="153">
      <c r="A532" s="279" t="n"/>
      <c r="B532" s="267" t="inlineStr">
        <is>
          <t>PAULO</t>
        </is>
      </c>
      <c r="C532" s="268" t="n">
        <v>2</v>
      </c>
      <c r="D532" s="268" t="n"/>
      <c r="E532" s="268" t="n"/>
      <c r="F532" s="269" t="n"/>
      <c r="G532" s="269" t="n"/>
      <c r="H532" s="270" t="n">
        <v>44000</v>
      </c>
      <c r="I532" s="271" t="n"/>
      <c r="J532" s="271" t="n">
        <v>44000</v>
      </c>
      <c r="K532" s="272" t="n"/>
      <c r="L532" s="272" t="n">
        <v>10000</v>
      </c>
      <c r="M532" s="156" t="n"/>
    </row>
    <row r="533" ht="15" customHeight="1" s="153">
      <c r="A533" s="273" t="n"/>
      <c r="B533" s="274" t="inlineStr">
        <is>
          <t>PRIMERO DE MAYO 3198</t>
        </is>
      </c>
      <c r="C533" s="275" t="n">
        <v>1</v>
      </c>
      <c r="D533" s="275" t="n"/>
      <c r="E533" s="275" t="n"/>
      <c r="F533" s="276" t="n"/>
      <c r="G533" s="276" t="n"/>
      <c r="H533" s="277" t="n">
        <v>28500</v>
      </c>
      <c r="I533" s="278" t="n">
        <v>28500</v>
      </c>
      <c r="J533" s="278" t="n"/>
      <c r="K533" s="272" t="n"/>
      <c r="L533" s="272" t="n">
        <v>11500</v>
      </c>
      <c r="M533" s="156" t="n"/>
    </row>
    <row r="534" ht="15" customHeight="1" s="153">
      <c r="A534" s="279" t="n"/>
      <c r="B534" s="267" t="inlineStr">
        <is>
          <t>LUCHO</t>
        </is>
      </c>
      <c r="C534" s="268" t="n">
        <v>2</v>
      </c>
      <c r="D534" s="268" t="n"/>
      <c r="E534" s="268" t="n"/>
      <c r="F534" s="269" t="n"/>
      <c r="G534" s="269" t="n"/>
      <c r="H534" s="270" t="n">
        <v>44000</v>
      </c>
      <c r="I534" s="271" t="n"/>
      <c r="J534" s="271" t="n">
        <v>44000</v>
      </c>
      <c r="K534" s="272" t="n"/>
      <c r="L534" s="272" t="n">
        <v>10000</v>
      </c>
      <c r="M534" s="156" t="n"/>
    </row>
    <row r="535" ht="15" customHeight="1" s="153">
      <c r="A535" s="273" t="n"/>
      <c r="B535" s="274" t="inlineStr">
        <is>
          <t>SANDRA</t>
        </is>
      </c>
      <c r="C535" s="275" t="n">
        <v>1</v>
      </c>
      <c r="D535" s="275" t="n"/>
      <c r="E535" s="275" t="n"/>
      <c r="F535" s="276" t="n"/>
      <c r="G535" s="276" t="n"/>
      <c r="H535" s="277" t="n">
        <v>22000</v>
      </c>
      <c r="I535" s="278" t="n"/>
      <c r="J535" s="278" t="n">
        <v>22000</v>
      </c>
      <c r="K535" s="272" t="n"/>
      <c r="L535" s="272" t="n">
        <v>5000</v>
      </c>
      <c r="M535" s="156" t="n"/>
    </row>
    <row r="536" ht="15" customHeight="1" s="153">
      <c r="A536" s="279" t="n"/>
      <c r="B536" s="267" t="inlineStr">
        <is>
          <t>LAMADRID 7500</t>
        </is>
      </c>
      <c r="C536" s="268" t="n">
        <v>1</v>
      </c>
      <c r="D536" s="268" t="n"/>
      <c r="E536" s="268" t="n"/>
      <c r="F536" s="269" t="n"/>
      <c r="G536" s="269" t="n"/>
      <c r="H536" s="270" t="n">
        <v>28500</v>
      </c>
      <c r="I536" s="271" t="n">
        <v>28500</v>
      </c>
      <c r="J536" s="271" t="n"/>
      <c r="K536" s="272" t="n"/>
      <c r="L536" s="272" t="n">
        <v>11500</v>
      </c>
      <c r="M536" s="156" t="n"/>
    </row>
    <row r="537" ht="15" customHeight="1" s="153">
      <c r="A537" s="280" t="n">
        <v>46196</v>
      </c>
      <c r="B537" s="274" t="inlineStr">
        <is>
          <t>MADAME CHEESE</t>
        </is>
      </c>
      <c r="C537" s="275" t="n"/>
      <c r="D537" s="275" t="n">
        <v>1</v>
      </c>
      <c r="E537" s="275" t="n"/>
      <c r="F537" s="276" t="n"/>
      <c r="G537" s="276" t="n"/>
      <c r="H537" s="277" t="n">
        <v>38500</v>
      </c>
      <c r="I537" s="278" t="n"/>
      <c r="J537" s="278" t="n">
        <v>38500</v>
      </c>
      <c r="K537" s="272" t="n"/>
      <c r="L537" s="272" t="n">
        <v>13000</v>
      </c>
      <c r="M537" s="156" t="n"/>
    </row>
    <row r="538" ht="15" customHeight="1" s="153">
      <c r="A538" s="279" t="n"/>
      <c r="B538" s="267" t="inlineStr">
        <is>
          <t>LAVAISE 3786</t>
        </is>
      </c>
      <c r="C538" s="268" t="n">
        <v>2</v>
      </c>
      <c r="D538" s="268" t="n"/>
      <c r="E538" s="268" t="n"/>
      <c r="F538" s="269" t="n"/>
      <c r="G538" s="269" t="n"/>
      <c r="H538" s="270" t="n">
        <v>57000</v>
      </c>
      <c r="I538" s="271" t="n"/>
      <c r="J538" s="271" t="n">
        <v>57000</v>
      </c>
      <c r="K538" s="272" t="n"/>
      <c r="L538" s="272" t="n">
        <v>23000</v>
      </c>
      <c r="M538" s="156" t="n"/>
    </row>
    <row r="539" ht="15" customHeight="1" s="153">
      <c r="A539" s="273" t="n"/>
      <c r="B539" s="274" t="inlineStr">
        <is>
          <t>LOBOS</t>
        </is>
      </c>
      <c r="C539" s="275" t="n">
        <v>4</v>
      </c>
      <c r="D539" s="275" t="n"/>
      <c r="E539" s="275" t="n">
        <v>1</v>
      </c>
      <c r="F539" s="276" t="n"/>
      <c r="G539" s="276" t="n"/>
      <c r="H539" s="277" t="n">
        <v>206000</v>
      </c>
      <c r="I539" s="278" t="n">
        <v>206000</v>
      </c>
      <c r="J539" s="278" t="n"/>
      <c r="K539" s="272" t="n"/>
      <c r="L539" s="272" t="n">
        <v>69000</v>
      </c>
      <c r="M539" s="156" t="n"/>
    </row>
    <row r="540" ht="15" customHeight="1" s="153">
      <c r="A540" s="279" t="n"/>
      <c r="B540" s="267" t="inlineStr">
        <is>
          <t>PAVON 3941</t>
        </is>
      </c>
      <c r="C540" s="268" t="n">
        <v>2</v>
      </c>
      <c r="D540" s="268" t="n"/>
      <c r="E540" s="268" t="n"/>
      <c r="F540" s="269" t="n"/>
      <c r="G540" s="269" t="n"/>
      <c r="H540" s="270" t="n">
        <v>57000</v>
      </c>
      <c r="I540" s="271" t="n">
        <v>57000</v>
      </c>
      <c r="J540" s="271" t="n"/>
      <c r="K540" s="272" t="n"/>
      <c r="L540" s="272" t="n">
        <v>23000</v>
      </c>
      <c r="M540" s="156" t="n"/>
    </row>
    <row r="541" ht="15" customHeight="1" s="153">
      <c r="A541" s="273" t="n"/>
      <c r="B541" s="274" t="inlineStr">
        <is>
          <t>PUBLICO 2353</t>
        </is>
      </c>
      <c r="C541" s="275" t="n"/>
      <c r="D541" s="275" t="n"/>
      <c r="E541" s="275" t="n">
        <v>1</v>
      </c>
      <c r="F541" s="276" t="n"/>
      <c r="G541" s="276" t="n"/>
      <c r="H541" s="277" t="n">
        <v>102000</v>
      </c>
      <c r="I541" s="278" t="n">
        <v>102000</v>
      </c>
      <c r="J541" s="278" t="n"/>
      <c r="K541" s="272" t="n"/>
      <c r="L541" s="272" t="n">
        <v>33000</v>
      </c>
      <c r="M541" s="156" t="n"/>
    </row>
    <row r="542" ht="15" customHeight="1" s="153">
      <c r="A542" s="279" t="n"/>
      <c r="B542" s="267" t="inlineStr">
        <is>
          <t>VIANDAS JORGE</t>
        </is>
      </c>
      <c r="C542" s="268" t="n">
        <v>1</v>
      </c>
      <c r="D542" s="268" t="n"/>
      <c r="E542" s="268" t="n"/>
      <c r="F542" s="269" t="n"/>
      <c r="G542" s="269" t="n"/>
      <c r="H542" s="270" t="n">
        <v>25000</v>
      </c>
      <c r="I542" s="271" t="n">
        <v>25000</v>
      </c>
      <c r="J542" s="271" t="n"/>
      <c r="K542" s="272" t="n"/>
      <c r="L542" s="272" t="n">
        <v>8000</v>
      </c>
      <c r="M542" s="156" t="n"/>
    </row>
    <row r="543" ht="15" customHeight="1" s="153">
      <c r="A543" s="273" t="n"/>
      <c r="B543" s="274" t="inlineStr">
        <is>
          <t>LARGUIA 6535</t>
        </is>
      </c>
      <c r="C543" s="275" t="n">
        <v>1</v>
      </c>
      <c r="D543" s="275" t="n"/>
      <c r="E543" s="275" t="n"/>
      <c r="F543" s="276" t="n"/>
      <c r="G543" s="276" t="n"/>
      <c r="H543" s="277" t="n">
        <v>28000</v>
      </c>
      <c r="I543" s="278" t="n"/>
      <c r="J543" s="278" t="n">
        <v>28000</v>
      </c>
      <c r="K543" s="272" t="n"/>
      <c r="L543" s="272" t="n">
        <v>11000</v>
      </c>
      <c r="M543" s="156" t="n"/>
    </row>
    <row r="544" ht="15" customHeight="1" s="153">
      <c r="A544" s="279" t="n"/>
      <c r="B544" s="267" t="inlineStr">
        <is>
          <t>LAVAISE 3928</t>
        </is>
      </c>
      <c r="C544" s="268" t="n">
        <v>1</v>
      </c>
      <c r="D544" s="268" t="n"/>
      <c r="E544" s="268" t="n"/>
      <c r="F544" s="269" t="n"/>
      <c r="G544" s="269" t="n"/>
      <c r="H544" s="270" t="n">
        <v>27000</v>
      </c>
      <c r="I544" s="271" t="n">
        <v>27000</v>
      </c>
      <c r="J544" s="271" t="n"/>
      <c r="K544" s="272" t="n"/>
      <c r="L544" s="272" t="n">
        <v>10000</v>
      </c>
      <c r="M544" s="156" t="n"/>
    </row>
    <row r="545" ht="15" customHeight="1" s="153">
      <c r="A545" s="273" t="n"/>
      <c r="B545" s="274" t="inlineStr">
        <is>
          <t>LAVADERO</t>
        </is>
      </c>
      <c r="C545" s="275" t="n">
        <v>1</v>
      </c>
      <c r="D545" s="275" t="n"/>
      <c r="E545" s="275" t="n"/>
      <c r="F545" s="276" t="n"/>
      <c r="G545" s="276" t="n"/>
      <c r="H545" s="277" t="n">
        <v>22000</v>
      </c>
      <c r="I545" s="278" t="n">
        <v>22000</v>
      </c>
      <c r="J545" s="278" t="n"/>
      <c r="K545" s="272" t="n"/>
      <c r="L545" s="272" t="n">
        <v>5000</v>
      </c>
      <c r="M545" s="156" t="n"/>
    </row>
    <row r="546" ht="15" customHeight="1" s="153">
      <c r="A546" s="279" t="n"/>
      <c r="B546" s="267" t="inlineStr">
        <is>
          <t>PEÑALOZA 9757</t>
        </is>
      </c>
      <c r="C546" s="268" t="n">
        <v>1</v>
      </c>
      <c r="D546" s="268" t="n"/>
      <c r="E546" s="268" t="n"/>
      <c r="F546" s="269" t="n"/>
      <c r="G546" s="269" t="n"/>
      <c r="H546" s="270" t="n">
        <v>28500</v>
      </c>
      <c r="I546" s="271" t="n"/>
      <c r="J546" s="271" t="n">
        <v>28500</v>
      </c>
      <c r="K546" s="272" t="n"/>
      <c r="L546" s="272" t="n">
        <v>11500</v>
      </c>
      <c r="M546" s="156" t="n"/>
    </row>
    <row r="547" ht="15" customHeight="1" s="153">
      <c r="A547" s="273" t="n"/>
      <c r="B547" s="274" t="inlineStr">
        <is>
          <t>ROTI ARISTOBULO</t>
        </is>
      </c>
      <c r="C547" s="275" t="n">
        <v>1</v>
      </c>
      <c r="D547" s="275" t="n">
        <v>1</v>
      </c>
      <c r="E547" s="275" t="n"/>
      <c r="F547" s="276" t="n"/>
      <c r="G547" s="276" t="n"/>
      <c r="H547" s="277" t="n">
        <v>75000</v>
      </c>
      <c r="I547" s="278" t="n"/>
      <c r="J547" s="278" t="n">
        <v>75000</v>
      </c>
      <c r="K547" s="272" t="n"/>
      <c r="L547" s="272" t="n">
        <v>32500</v>
      </c>
      <c r="M547" s="156" t="n"/>
    </row>
    <row r="548" ht="15" customHeight="1" s="153">
      <c r="A548" s="279" t="n"/>
      <c r="B548" s="267" t="inlineStr">
        <is>
          <t>IRALA 2865</t>
        </is>
      </c>
      <c r="C548" s="268" t="n">
        <v>1</v>
      </c>
      <c r="D548" s="268" t="n"/>
      <c r="E548" s="268" t="n"/>
      <c r="F548" s="269" t="n"/>
      <c r="G548" s="269" t="n"/>
      <c r="H548" s="270" t="n">
        <v>29000</v>
      </c>
      <c r="I548" s="271" t="n"/>
      <c r="J548" s="271" t="n">
        <v>29000</v>
      </c>
      <c r="K548" s="272" t="n"/>
      <c r="L548" s="272" t="n">
        <v>12000</v>
      </c>
      <c r="M548" s="156" t="n"/>
    </row>
    <row r="549" ht="15" customHeight="1" s="153">
      <c r="A549" s="273" t="n"/>
      <c r="B549" s="274" t="inlineStr">
        <is>
          <t>COGORNO 5520</t>
        </is>
      </c>
      <c r="C549" s="275" t="n">
        <v>5</v>
      </c>
      <c r="D549" s="275" t="n"/>
      <c r="E549" s="275" t="n"/>
      <c r="F549" s="276" t="n"/>
      <c r="G549" s="276" t="n"/>
      <c r="H549" s="277" t="n">
        <v>112500</v>
      </c>
      <c r="I549" s="278" t="n"/>
      <c r="J549" s="278" t="n">
        <v>112500</v>
      </c>
      <c r="K549" s="272" t="n"/>
      <c r="L549" s="272" t="n">
        <v>27500</v>
      </c>
      <c r="M549" s="156" t="n"/>
    </row>
    <row r="550" ht="15" customHeight="1" s="153">
      <c r="A550" s="279" t="n"/>
      <c r="B550" s="267" t="inlineStr">
        <is>
          <t>ARISTOBULO 5865</t>
        </is>
      </c>
      <c r="C550" s="268" t="n">
        <v>1</v>
      </c>
      <c r="D550" s="268" t="n"/>
      <c r="E550" s="268" t="n"/>
      <c r="F550" s="269" t="n"/>
      <c r="G550" s="269" t="n"/>
      <c r="H550" s="270" t="n">
        <v>28500</v>
      </c>
      <c r="I550" s="271" t="n"/>
      <c r="J550" s="271" t="n">
        <v>28500</v>
      </c>
      <c r="K550" s="272" t="n"/>
      <c r="L550" s="272" t="n">
        <v>11500</v>
      </c>
      <c r="M550" s="156" t="n"/>
    </row>
    <row r="551" ht="15" customHeight="1" s="153">
      <c r="A551" s="273" t="n"/>
      <c r="B551" s="274" t="inlineStr">
        <is>
          <t>ARENALES 10625</t>
        </is>
      </c>
      <c r="C551" s="275" t="n">
        <v>2</v>
      </c>
      <c r="D551" s="275" t="n"/>
      <c r="E551" s="275" t="n"/>
      <c r="F551" s="276" t="n"/>
      <c r="G551" s="276" t="n"/>
      <c r="H551" s="277" t="n">
        <v>45000</v>
      </c>
      <c r="I551" s="278" t="n"/>
      <c r="J551" s="278" t="n">
        <v>45000</v>
      </c>
      <c r="K551" s="272" t="n"/>
      <c r="L551" s="272" t="n">
        <v>11000</v>
      </c>
      <c r="M551" s="156" t="n"/>
    </row>
    <row r="552" ht="15" customHeight="1" s="153">
      <c r="A552" s="279" t="n"/>
      <c r="B552" s="267" t="inlineStr">
        <is>
          <t>VANE GORDILLO</t>
        </is>
      </c>
      <c r="C552" s="268" t="n">
        <v>2</v>
      </c>
      <c r="D552" s="268" t="n"/>
      <c r="E552" s="268" t="n"/>
      <c r="F552" s="269" t="n"/>
      <c r="G552" s="269" t="n"/>
      <c r="H552" s="270" t="n">
        <v>52000</v>
      </c>
      <c r="I552" s="271" t="n"/>
      <c r="J552" s="271" t="n">
        <v>52000</v>
      </c>
      <c r="K552" s="272" t="n"/>
      <c r="L552" s="272" t="n">
        <v>18000</v>
      </c>
      <c r="M552" s="156" t="n"/>
    </row>
    <row r="553" ht="15" customHeight="1" s="153">
      <c r="A553" s="273" t="n"/>
      <c r="B553" s="274" t="inlineStr">
        <is>
          <t>MILENIO DE POLONIA 2819</t>
        </is>
      </c>
      <c r="C553" s="275" t="n">
        <v>1</v>
      </c>
      <c r="D553" s="275" t="n"/>
      <c r="E553" s="275" t="n"/>
      <c r="F553" s="276" t="n"/>
      <c r="G553" s="276" t="n"/>
      <c r="H553" s="277" t="n">
        <v>28500</v>
      </c>
      <c r="I553" s="278" t="n"/>
      <c r="J553" s="278" t="n">
        <v>28500</v>
      </c>
      <c r="K553" s="272" t="n"/>
      <c r="L553" s="272" t="n">
        <v>11500</v>
      </c>
      <c r="M553" s="156" t="n"/>
    </row>
    <row r="554" ht="15" customHeight="1" s="153">
      <c r="A554" s="279" t="n"/>
      <c r="B554" s="267" t="inlineStr">
        <is>
          <t>PANA ALBERTI</t>
        </is>
      </c>
      <c r="C554" s="268" t="n"/>
      <c r="D554" s="268" t="n"/>
      <c r="E554" s="268" t="n">
        <v>1</v>
      </c>
      <c r="F554" s="269" t="n"/>
      <c r="G554" s="269" t="n"/>
      <c r="H554" s="270" t="n">
        <v>91000</v>
      </c>
      <c r="I554" s="271" t="n">
        <v>91000</v>
      </c>
      <c r="J554" s="271" t="n"/>
      <c r="K554" s="272" t="n"/>
      <c r="L554" s="272" t="n">
        <v>22000</v>
      </c>
      <c r="M554" s="156" t="n"/>
    </row>
    <row r="555" ht="15" customHeight="1" s="153">
      <c r="A555" s="273" t="n"/>
      <c r="B555" s="274" t="inlineStr">
        <is>
          <t>9 DE JULIO 9244</t>
        </is>
      </c>
      <c r="C555" s="275" t="n"/>
      <c r="D555" s="275" t="n"/>
      <c r="E555" s="275" t="n">
        <v>1</v>
      </c>
      <c r="F555" s="276" t="n"/>
      <c r="G555" s="276" t="n"/>
      <c r="H555" s="277" t="n">
        <v>98000</v>
      </c>
      <c r="I555" s="278" t="n"/>
      <c r="J555" s="278" t="n">
        <v>98000</v>
      </c>
      <c r="K555" s="272" t="n"/>
      <c r="L555" s="272" t="n">
        <v>29000</v>
      </c>
      <c r="M555" s="156" t="n"/>
    </row>
    <row r="556" ht="15" customHeight="1" s="153">
      <c r="A556" s="279" t="n"/>
      <c r="B556" s="267" t="inlineStr">
        <is>
          <t>PAVON 2949</t>
        </is>
      </c>
      <c r="C556" s="268" t="n"/>
      <c r="D556" s="268" t="n"/>
      <c r="E556" s="268" t="n">
        <v>1</v>
      </c>
      <c r="F556" s="269" t="n"/>
      <c r="G556" s="269" t="n"/>
      <c r="H556" s="270" t="n">
        <v>98000</v>
      </c>
      <c r="I556" s="271" t="n"/>
      <c r="J556" s="271" t="n">
        <v>98000</v>
      </c>
      <c r="K556" s="272" t="n"/>
      <c r="L556" s="272" t="n">
        <v>29000</v>
      </c>
      <c r="M556" s="156" t="n"/>
    </row>
    <row r="557" ht="15" customHeight="1" s="153">
      <c r="A557" s="273" t="n"/>
      <c r="B557" s="274" t="inlineStr">
        <is>
          <t>LA PAMPA 2936</t>
        </is>
      </c>
      <c r="C557" s="275" t="n">
        <v>1</v>
      </c>
      <c r="D557" s="275" t="n"/>
      <c r="E557" s="275" t="n"/>
      <c r="F557" s="276" t="n"/>
      <c r="G557" s="276" t="n"/>
      <c r="H557" s="277" t="n">
        <v>27500</v>
      </c>
      <c r="I557" s="278" t="n"/>
      <c r="J557" s="278" t="n">
        <v>27500</v>
      </c>
      <c r="K557" s="272" t="n"/>
      <c r="L557" s="272" t="n">
        <v>10500</v>
      </c>
      <c r="M557" s="156" t="n"/>
    </row>
    <row r="558" ht="15" customHeight="1" s="153">
      <c r="A558" s="279" t="n"/>
      <c r="B558" s="267" t="inlineStr">
        <is>
          <t>AGUSTIN DELGADO 1825</t>
        </is>
      </c>
      <c r="C558" s="268" t="n">
        <v>1</v>
      </c>
      <c r="D558" s="268" t="n"/>
      <c r="E558" s="268" t="n"/>
      <c r="F558" s="269" t="n"/>
      <c r="G558" s="269" t="n"/>
      <c r="H558" s="270" t="n">
        <v>28500</v>
      </c>
      <c r="I558" s="271" t="n">
        <v>28500</v>
      </c>
      <c r="J558" s="271" t="n"/>
      <c r="K558" s="272" t="n"/>
      <c r="L558" s="272" t="n">
        <v>11500</v>
      </c>
      <c r="M558" s="156" t="n"/>
    </row>
    <row r="559" ht="15" customHeight="1" s="153">
      <c r="A559" s="273" t="n"/>
      <c r="B559" s="274" t="inlineStr">
        <is>
          <t>RICARDO ALDAO 3459</t>
        </is>
      </c>
      <c r="C559" s="275" t="n">
        <v>2</v>
      </c>
      <c r="D559" s="275" t="n"/>
      <c r="E559" s="275" t="n"/>
      <c r="F559" s="276" t="n"/>
      <c r="G559" s="276" t="n"/>
      <c r="H559" s="277" t="n">
        <v>54000</v>
      </c>
      <c r="I559" s="278" t="n"/>
      <c r="J559" s="278" t="n">
        <v>54000</v>
      </c>
      <c r="K559" s="272" t="n"/>
      <c r="L559" s="272" t="n">
        <v>20000</v>
      </c>
      <c r="M559" s="156" t="n"/>
    </row>
    <row r="560" ht="15" customHeight="1" s="153">
      <c r="A560" s="279" t="n"/>
      <c r="B560" s="267" t="inlineStr">
        <is>
          <t>PERU 3630</t>
        </is>
      </c>
      <c r="C560" s="268" t="n">
        <v>2</v>
      </c>
      <c r="D560" s="268" t="n"/>
      <c r="E560" s="268" t="n"/>
      <c r="F560" s="269" t="n"/>
      <c r="G560" s="269" t="n"/>
      <c r="H560" s="270" t="n">
        <v>50200</v>
      </c>
      <c r="I560" s="271" t="n">
        <v>50200</v>
      </c>
      <c r="J560" s="271" t="n"/>
      <c r="K560" s="272" t="n"/>
      <c r="L560" s="272" t="n">
        <v>16200</v>
      </c>
      <c r="M560" s="156" t="n"/>
    </row>
    <row r="561" ht="15" customHeight="1" s="153">
      <c r="A561" s="273" t="n"/>
      <c r="B561" s="274" t="inlineStr">
        <is>
          <t>SANDRA</t>
        </is>
      </c>
      <c r="C561" s="275" t="n">
        <v>2</v>
      </c>
      <c r="D561" s="275" t="n"/>
      <c r="E561" s="275" t="n"/>
      <c r="F561" s="276" t="n"/>
      <c r="G561" s="276" t="n"/>
      <c r="H561" s="277" t="n">
        <v>44000</v>
      </c>
      <c r="I561" s="278" t="n">
        <v>44000</v>
      </c>
      <c r="J561" s="278" t="n"/>
      <c r="K561" s="272" t="n"/>
      <c r="L561" s="272" t="n">
        <v>10000</v>
      </c>
      <c r="M561" s="156" t="n"/>
    </row>
    <row r="562" ht="15" customHeight="1" s="153">
      <c r="A562" s="279" t="n"/>
      <c r="B562" s="267" t="inlineStr">
        <is>
          <t>BERNARDO IRIGOYEN 6800</t>
        </is>
      </c>
      <c r="C562" s="268" t="n"/>
      <c r="D562" s="268" t="n">
        <v>1</v>
      </c>
      <c r="E562" s="268" t="n"/>
      <c r="F562" s="269" t="n"/>
      <c r="G562" s="269" t="n"/>
      <c r="H562" s="270" t="n">
        <v>38500</v>
      </c>
      <c r="I562" s="271" t="n"/>
      <c r="J562" s="271" t="n">
        <v>38500</v>
      </c>
      <c r="K562" s="272" t="n"/>
      <c r="L562" s="272" t="n">
        <v>13000</v>
      </c>
      <c r="M562" s="156" t="n"/>
    </row>
    <row r="563" ht="15" customHeight="1" s="153">
      <c r="A563" s="280" t="n">
        <v>46197</v>
      </c>
      <c r="B563" s="274" t="inlineStr">
        <is>
          <t>PANA GISELA</t>
        </is>
      </c>
      <c r="C563" s="275" t="n">
        <v>1</v>
      </c>
      <c r="D563" s="275" t="n"/>
      <c r="E563" s="275" t="n"/>
      <c r="F563" s="276" t="n"/>
      <c r="G563" s="276" t="n"/>
      <c r="H563" s="277" t="n">
        <v>25500</v>
      </c>
      <c r="I563" s="278" t="n"/>
      <c r="J563" s="278" t="n">
        <v>25500</v>
      </c>
      <c r="K563" s="272" t="n"/>
      <c r="L563" s="272" t="n">
        <v>8500</v>
      </c>
      <c r="M563" s="156" t="n"/>
    </row>
    <row r="564" ht="15" customHeight="1" s="153">
      <c r="A564" s="279" t="n"/>
      <c r="B564" s="267" t="inlineStr">
        <is>
          <t>SALTA 3554</t>
        </is>
      </c>
      <c r="C564" s="268" t="n">
        <v>1</v>
      </c>
      <c r="D564" s="268" t="n"/>
      <c r="E564" s="268" t="n"/>
      <c r="F564" s="269" t="n"/>
      <c r="G564" s="269" t="n"/>
      <c r="H564" s="270" t="n">
        <v>29000</v>
      </c>
      <c r="I564" s="271" t="n"/>
      <c r="J564" s="271" t="n">
        <v>29000</v>
      </c>
      <c r="K564" s="272" t="n"/>
      <c r="L564" s="272" t="n">
        <v>12000</v>
      </c>
      <c r="M564" s="156" t="n"/>
    </row>
    <row r="565" ht="15" customHeight="1" s="153">
      <c r="A565" s="273" t="n"/>
      <c r="B565" s="274" t="inlineStr">
        <is>
          <t>HERRANDARIAS 4054</t>
        </is>
      </c>
      <c r="C565" s="275" t="n">
        <v>1</v>
      </c>
      <c r="D565" s="275" t="n"/>
      <c r="E565" s="275" t="n"/>
      <c r="F565" s="276" t="n"/>
      <c r="G565" s="276" t="n"/>
      <c r="H565" s="277" t="n">
        <v>29000</v>
      </c>
      <c r="I565" s="278" t="n"/>
      <c r="J565" s="278" t="n">
        <v>29000</v>
      </c>
      <c r="K565" s="272" t="n"/>
      <c r="L565" s="272" t="n">
        <v>12000</v>
      </c>
      <c r="M565" s="156" t="n"/>
    </row>
    <row r="566" ht="15" customHeight="1" s="153">
      <c r="A566" s="279" t="n"/>
      <c r="B566" s="267" t="inlineStr">
        <is>
          <t>BONEO 4588</t>
        </is>
      </c>
      <c r="C566" s="268" t="n">
        <v>1</v>
      </c>
      <c r="D566" s="268" t="n"/>
      <c r="E566" s="268" t="n"/>
      <c r="F566" s="269" t="n"/>
      <c r="G566" s="269" t="n"/>
      <c r="H566" s="270" t="n">
        <v>26000</v>
      </c>
      <c r="I566" s="271" t="n"/>
      <c r="J566" s="271" t="n">
        <v>26000</v>
      </c>
      <c r="K566" s="272" t="n"/>
      <c r="L566" s="272" t="n">
        <v>9000</v>
      </c>
      <c r="M566" s="156" t="n"/>
    </row>
    <row r="567" ht="15" customHeight="1" s="153">
      <c r="A567" s="273" t="n"/>
      <c r="B567" s="274" t="inlineStr">
        <is>
          <t>AGUSTIN DELGADO 3770</t>
        </is>
      </c>
      <c r="C567" s="275" t="n"/>
      <c r="D567" s="275" t="n"/>
      <c r="E567" s="275" t="n">
        <v>1</v>
      </c>
      <c r="F567" s="276" t="n"/>
      <c r="G567" s="276" t="n"/>
      <c r="H567" s="277" t="n">
        <v>102000</v>
      </c>
      <c r="I567" s="278" t="n">
        <v>102000</v>
      </c>
      <c r="J567" s="278" t="n"/>
      <c r="K567" s="272" t="n"/>
      <c r="L567" s="272" t="n">
        <v>33000</v>
      </c>
      <c r="M567" s="156" t="n"/>
    </row>
    <row r="568" ht="15" customHeight="1" s="153">
      <c r="A568" s="279" t="n"/>
      <c r="B568" s="267" t="inlineStr">
        <is>
          <t>BAR DEL SUR</t>
        </is>
      </c>
      <c r="C568" s="268" t="n">
        <v>1</v>
      </c>
      <c r="D568" s="268" t="n"/>
      <c r="E568" s="268" t="n"/>
      <c r="F568" s="269" t="n"/>
      <c r="G568" s="269" t="n"/>
      <c r="H568" s="270" t="n">
        <v>27000</v>
      </c>
      <c r="I568" s="271" t="n">
        <v>27000</v>
      </c>
      <c r="J568" s="271" t="n"/>
      <c r="K568" s="272" t="n"/>
      <c r="L568" s="272" t="n">
        <v>10000</v>
      </c>
      <c r="M568" s="156" t="n"/>
    </row>
    <row r="569" ht="15" customHeight="1" s="153">
      <c r="A569" s="273" t="n"/>
      <c r="B569" s="274" t="inlineStr">
        <is>
          <t>ROTI SAN LORENZO</t>
        </is>
      </c>
      <c r="C569" s="275" t="n">
        <v>1</v>
      </c>
      <c r="D569" s="275" t="n">
        <v>2</v>
      </c>
      <c r="E569" s="275" t="n"/>
      <c r="F569" s="276" t="n"/>
      <c r="G569" s="276" t="n"/>
      <c r="H569" s="277" t="n">
        <v>105000</v>
      </c>
      <c r="I569" s="278" t="n">
        <v>105000</v>
      </c>
      <c r="J569" s="278" t="n"/>
      <c r="K569" s="272" t="n"/>
      <c r="L569" s="272" t="n">
        <v>37000</v>
      </c>
      <c r="M569" s="156" t="n"/>
    </row>
    <row r="570" ht="15" customHeight="1" s="153">
      <c r="A570" s="279" t="n"/>
      <c r="B570" s="267" t="inlineStr">
        <is>
          <t>BERNARDO IRIGOYEN 6634</t>
        </is>
      </c>
      <c r="C570" s="268" t="n">
        <v>1</v>
      </c>
      <c r="D570" s="268" t="n"/>
      <c r="E570" s="268" t="n"/>
      <c r="F570" s="269" t="n"/>
      <c r="G570" s="269" t="n"/>
      <c r="H570" s="270" t="n">
        <v>27500</v>
      </c>
      <c r="I570" s="271" t="n"/>
      <c r="J570" s="271" t="n">
        <v>27500</v>
      </c>
      <c r="K570" s="272" t="n"/>
      <c r="L570" s="272" t="n">
        <v>10500</v>
      </c>
      <c r="M570" s="156" t="n"/>
    </row>
    <row r="571" ht="15" customHeight="1" s="153">
      <c r="A571" s="273" t="n"/>
      <c r="B571" s="274" t="inlineStr">
        <is>
          <t>LORE</t>
        </is>
      </c>
      <c r="C571" s="275" t="n">
        <v>2</v>
      </c>
      <c r="D571" s="275" t="n">
        <v>2</v>
      </c>
      <c r="E571" s="275" t="n"/>
      <c r="F571" s="276" t="n"/>
      <c r="G571" s="276" t="n"/>
      <c r="H571" s="277" t="n">
        <v>105000</v>
      </c>
      <c r="I571" s="278" t="n">
        <v>105000</v>
      </c>
      <c r="J571" s="278" t="n"/>
      <c r="K571" s="272" t="n"/>
      <c r="L571" s="272" t="n">
        <v>20000</v>
      </c>
      <c r="M571" s="156" t="n"/>
    </row>
    <row r="572" ht="15" customHeight="1" s="153">
      <c r="A572" s="279" t="n"/>
      <c r="B572" s="267" t="inlineStr">
        <is>
          <t>ARENALES 7250</t>
        </is>
      </c>
      <c r="C572" s="268" t="n">
        <v>2</v>
      </c>
      <c r="D572" s="268" t="n"/>
      <c r="E572" s="268" t="n"/>
      <c r="F572" s="269" t="n"/>
      <c r="G572" s="269" t="n"/>
      <c r="H572" s="270" t="n">
        <v>56000</v>
      </c>
      <c r="I572" s="271" t="n"/>
      <c r="J572" s="271" t="n">
        <v>56000</v>
      </c>
      <c r="K572" s="272" t="n"/>
      <c r="L572" s="272" t="n">
        <v>22000</v>
      </c>
      <c r="M572" s="156" t="n"/>
    </row>
    <row r="573" ht="15" customHeight="1" s="153">
      <c r="A573" s="273" t="n"/>
      <c r="B573" s="274" t="inlineStr">
        <is>
          <t>SARA FAISAL 1723</t>
        </is>
      </c>
      <c r="C573" s="275" t="n"/>
      <c r="D573" s="275" t="n"/>
      <c r="E573" s="275" t="n">
        <v>1</v>
      </c>
      <c r="F573" s="276" t="n"/>
      <c r="G573" s="276" t="n"/>
      <c r="H573" s="277" t="n">
        <v>102000</v>
      </c>
      <c r="I573" s="278" t="n">
        <v>102000</v>
      </c>
      <c r="J573" s="278" t="n"/>
      <c r="K573" s="272" t="n"/>
      <c r="L573" s="272" t="n">
        <v>33000</v>
      </c>
      <c r="M573" s="156" t="n"/>
    </row>
    <row r="574" ht="15" customHeight="1" s="153">
      <c r="A574" s="279" t="n"/>
      <c r="B574" s="267" t="inlineStr">
        <is>
          <t>EX COMBATIENTES 2385</t>
        </is>
      </c>
      <c r="C574" s="268" t="n">
        <v>1</v>
      </c>
      <c r="D574" s="268" t="n"/>
      <c r="E574" s="268" t="n"/>
      <c r="F574" s="269" t="n"/>
      <c r="G574" s="269" t="n"/>
      <c r="H574" s="270" t="n">
        <v>28500</v>
      </c>
      <c r="I574" s="271" t="n">
        <v>28500</v>
      </c>
      <c r="J574" s="271" t="n"/>
      <c r="K574" s="272" t="n"/>
      <c r="L574" s="272" t="n">
        <v>11500</v>
      </c>
      <c r="M574" s="156" t="n"/>
    </row>
    <row r="575" ht="15" customHeight="1" s="153">
      <c r="A575" s="273" t="n"/>
      <c r="B575" s="274" t="inlineStr">
        <is>
          <t>SAN LORENZO 3363</t>
        </is>
      </c>
      <c r="C575" s="275" t="n">
        <v>1</v>
      </c>
      <c r="D575" s="275" t="n"/>
      <c r="E575" s="275" t="n"/>
      <c r="F575" s="276" t="n"/>
      <c r="G575" s="276" t="n"/>
      <c r="H575" s="277" t="n">
        <v>117000</v>
      </c>
      <c r="I575" s="278" t="n">
        <v>117000</v>
      </c>
      <c r="J575" s="278" t="n"/>
      <c r="K575" s="272" t="n">
        <v>65000</v>
      </c>
      <c r="L575" s="272" t="n">
        <v>35000</v>
      </c>
      <c r="M575" s="156" t="n"/>
    </row>
    <row r="576" ht="15" customHeight="1" s="153">
      <c r="A576" s="279" t="n"/>
      <c r="B576" s="267" t="inlineStr">
        <is>
          <t>SAN LORENZO 8600</t>
        </is>
      </c>
      <c r="C576" s="268" t="n"/>
      <c r="D576" s="268" t="n">
        <v>1</v>
      </c>
      <c r="E576" s="268" t="n"/>
      <c r="F576" s="269" t="n"/>
      <c r="G576" s="269" t="n"/>
      <c r="H576" s="270" t="n">
        <v>42000</v>
      </c>
      <c r="I576" s="271" t="n"/>
      <c r="J576" s="271" t="n">
        <v>42000</v>
      </c>
      <c r="K576" s="272" t="n"/>
      <c r="L576" s="272" t="n">
        <v>16500</v>
      </c>
      <c r="M576" s="156" t="n"/>
    </row>
    <row r="577" ht="15" customHeight="1" s="153">
      <c r="A577" s="273" t="n"/>
      <c r="B577" s="274" t="inlineStr">
        <is>
          <t>TENIENTE LOZA 6053</t>
        </is>
      </c>
      <c r="C577" s="275" t="n"/>
      <c r="D577" s="275" t="n"/>
      <c r="E577" s="275" t="n">
        <v>1</v>
      </c>
      <c r="F577" s="276" t="n"/>
      <c r="G577" s="276" t="n"/>
      <c r="H577" s="277" t="n">
        <v>98500</v>
      </c>
      <c r="I577" s="278" t="n"/>
      <c r="J577" s="278" t="n">
        <v>98500</v>
      </c>
      <c r="K577" s="272" t="n"/>
      <c r="L577" s="272" t="n">
        <v>29500</v>
      </c>
      <c r="M577" s="156" t="n"/>
    </row>
    <row r="578" ht="15" customHeight="1" s="153">
      <c r="A578" s="279" t="n"/>
      <c r="B578" s="267" t="inlineStr">
        <is>
          <t>JJ VALLE 5521</t>
        </is>
      </c>
      <c r="C578" s="268" t="n">
        <v>1</v>
      </c>
      <c r="D578" s="268" t="n">
        <v>1</v>
      </c>
      <c r="E578" s="268" t="n"/>
      <c r="F578" s="269" t="n"/>
      <c r="G578" s="269" t="n"/>
      <c r="H578" s="270" t="n">
        <v>65000</v>
      </c>
      <c r="I578" s="271" t="n"/>
      <c r="J578" s="271" t="n">
        <v>65000</v>
      </c>
      <c r="K578" s="272" t="n"/>
      <c r="L578" s="272" t="n">
        <v>22500</v>
      </c>
      <c r="M578" s="156" t="n"/>
    </row>
    <row r="579" ht="15" customHeight="1" s="153">
      <c r="A579" s="273" t="n"/>
      <c r="B579" s="274" t="inlineStr">
        <is>
          <t>NACHO CUEVA</t>
        </is>
      </c>
      <c r="C579" s="275" t="n">
        <v>2</v>
      </c>
      <c r="D579" s="275" t="n"/>
      <c r="E579" s="275" t="n"/>
      <c r="F579" s="276" t="n"/>
      <c r="G579" s="276" t="n"/>
      <c r="H579" s="277" t="n">
        <v>51000</v>
      </c>
      <c r="I579" s="278" t="n"/>
      <c r="J579" s="278" t="n">
        <v>51000</v>
      </c>
      <c r="K579" s="272" t="n"/>
      <c r="L579" s="272" t="n">
        <v>17000</v>
      </c>
      <c r="M579" s="156" t="n"/>
    </row>
    <row r="580" ht="15" customHeight="1" s="153">
      <c r="A580" s="279" t="n"/>
      <c r="B580" s="267" t="inlineStr">
        <is>
          <t>SANTIAGO DE CHILE 5832</t>
        </is>
      </c>
      <c r="C580" s="268" t="n">
        <v>2</v>
      </c>
      <c r="D580" s="268" t="n"/>
      <c r="E580" s="268" t="n"/>
      <c r="F580" s="269" t="n"/>
      <c r="G580" s="269" t="n"/>
      <c r="H580" s="270" t="n">
        <v>56000</v>
      </c>
      <c r="I580" s="271" t="n">
        <v>56000</v>
      </c>
      <c r="J580" s="271" t="n"/>
      <c r="K580" s="272" t="n"/>
      <c r="L580" s="272" t="n">
        <v>22000</v>
      </c>
      <c r="M580" s="156" t="n"/>
    </row>
    <row r="581" ht="15" customHeight="1" s="153">
      <c r="A581" s="273" t="n"/>
      <c r="B581" s="274" t="inlineStr">
        <is>
          <t>RUPERTO GODOY 3636</t>
        </is>
      </c>
      <c r="C581" s="275" t="n">
        <v>1</v>
      </c>
      <c r="D581" s="275" t="n"/>
      <c r="E581" s="275" t="n"/>
      <c r="F581" s="276" t="n"/>
      <c r="G581" s="276" t="n"/>
      <c r="H581" s="277" t="n">
        <v>28000</v>
      </c>
      <c r="I581" s="278" t="n">
        <v>28000</v>
      </c>
      <c r="J581" s="278" t="n"/>
      <c r="K581" s="272" t="n"/>
      <c r="L581" s="272" t="n">
        <v>11000</v>
      </c>
      <c r="M581" s="156" t="n"/>
    </row>
    <row r="582" ht="15" customHeight="1" s="153">
      <c r="A582" s="279" t="n"/>
      <c r="B582" s="267" t="inlineStr">
        <is>
          <t>QUIROGA 4921</t>
        </is>
      </c>
      <c r="C582" s="268" t="n">
        <v>2</v>
      </c>
      <c r="D582" s="268" t="n"/>
      <c r="E582" s="268" t="n"/>
      <c r="F582" s="269" t="n"/>
      <c r="G582" s="269" t="n"/>
      <c r="H582" s="270" t="n">
        <v>56000</v>
      </c>
      <c r="I582" s="271" t="n">
        <v>56000</v>
      </c>
      <c r="J582" s="271" t="n"/>
      <c r="K582" s="272" t="n"/>
      <c r="L582" s="272" t="n">
        <v>22000</v>
      </c>
      <c r="M582" s="156" t="n"/>
    </row>
    <row r="583" ht="15" customHeight="1" s="153">
      <c r="A583" s="273" t="n"/>
      <c r="B583" s="274" t="inlineStr">
        <is>
          <t>CHICLANA 6630</t>
        </is>
      </c>
      <c r="C583" s="275" t="n">
        <v>1</v>
      </c>
      <c r="D583" s="275" t="n"/>
      <c r="E583" s="275" t="n"/>
      <c r="F583" s="276" t="n"/>
      <c r="G583" s="276" t="n"/>
      <c r="H583" s="277" t="n">
        <v>27000</v>
      </c>
      <c r="I583" s="278" t="n">
        <v>27000</v>
      </c>
      <c r="J583" s="278" t="n"/>
      <c r="K583" s="272" t="n"/>
      <c r="L583" s="272" t="n">
        <v>10000</v>
      </c>
      <c r="M583" s="156" t="n"/>
    </row>
    <row r="584" ht="15" customHeight="1" s="153">
      <c r="A584" s="279" t="n"/>
      <c r="B584" s="267" t="inlineStr">
        <is>
          <t>LUCHO</t>
        </is>
      </c>
      <c r="C584" s="268" t="n">
        <v>2</v>
      </c>
      <c r="D584" s="268" t="n"/>
      <c r="E584" s="268" t="n"/>
      <c r="F584" s="269" t="n"/>
      <c r="G584" s="269" t="n"/>
      <c r="H584" s="270" t="n">
        <v>44000</v>
      </c>
      <c r="I584" s="271" t="n"/>
      <c r="J584" s="271" t="n">
        <v>44000</v>
      </c>
      <c r="K584" s="272" t="n"/>
      <c r="L584" s="272" t="n">
        <v>10000</v>
      </c>
      <c r="M584" s="156" t="n"/>
    </row>
    <row r="585" ht="15" customHeight="1" s="153">
      <c r="A585" s="273" t="n"/>
      <c r="B585" s="274" t="inlineStr">
        <is>
          <t>MATEU 2551</t>
        </is>
      </c>
      <c r="C585" s="275" t="n"/>
      <c r="D585" s="275" t="n"/>
      <c r="E585" s="275" t="n">
        <v>1</v>
      </c>
      <c r="F585" s="276" t="n"/>
      <c r="G585" s="276" t="n"/>
      <c r="H585" s="277" t="n">
        <v>93000</v>
      </c>
      <c r="I585" s="278" t="n"/>
      <c r="J585" s="278" t="n">
        <v>93000</v>
      </c>
      <c r="K585" s="272" t="n"/>
      <c r="L585" s="272" t="n">
        <v>24000</v>
      </c>
      <c r="M585" s="156" t="n"/>
    </row>
    <row r="586" ht="15" customHeight="1" s="153">
      <c r="A586" s="279" t="n"/>
      <c r="B586" s="267" t="inlineStr">
        <is>
          <t>DANA</t>
        </is>
      </c>
      <c r="C586" s="268" t="n">
        <v>3</v>
      </c>
      <c r="D586" s="268" t="n"/>
      <c r="E586" s="268" t="n"/>
      <c r="F586" s="269" t="n"/>
      <c r="G586" s="269" t="n"/>
      <c r="H586" s="270" t="n">
        <v>66000</v>
      </c>
      <c r="I586" s="271" t="n"/>
      <c r="J586" s="271" t="n">
        <v>66000</v>
      </c>
      <c r="K586" s="272" t="n"/>
      <c r="L586" s="272" t="n">
        <v>15000</v>
      </c>
      <c r="M586" s="156" t="n"/>
    </row>
    <row r="587" ht="15" customHeight="1" s="153">
      <c r="A587" s="273" t="n"/>
      <c r="B587" s="274" t="inlineStr">
        <is>
          <t>HERMANO MADEO 10047</t>
        </is>
      </c>
      <c r="C587" s="275" t="n">
        <v>1</v>
      </c>
      <c r="D587" s="275" t="n"/>
      <c r="E587" s="275" t="n"/>
      <c r="F587" s="276" t="n"/>
      <c r="G587" s="276" t="n"/>
      <c r="H587" s="277" t="n">
        <v>28500</v>
      </c>
      <c r="I587" s="278" t="n"/>
      <c r="J587" s="278" t="n">
        <v>28500</v>
      </c>
      <c r="K587" s="272" t="n"/>
      <c r="L587" s="272" t="n">
        <v>11500</v>
      </c>
      <c r="M587" s="156" t="n"/>
    </row>
    <row r="588" ht="15" customHeight="1" s="153">
      <c r="A588" s="266" t="n">
        <v>46198</v>
      </c>
      <c r="B588" s="267" t="inlineStr">
        <is>
          <t>NICO BUSTOS</t>
        </is>
      </c>
      <c r="C588" s="268" t="n"/>
      <c r="D588" s="268" t="n"/>
      <c r="E588" s="268" t="n"/>
      <c r="F588" s="269" t="n">
        <v>5</v>
      </c>
      <c r="G588" s="269" t="n"/>
      <c r="H588" s="270" t="n">
        <v>36000</v>
      </c>
      <c r="I588" s="271" t="n"/>
      <c r="J588" s="271" t="n">
        <v>36000</v>
      </c>
      <c r="K588" s="272" t="n"/>
      <c r="L588" s="272" t="n">
        <v>36000</v>
      </c>
      <c r="M588" s="156" t="n"/>
    </row>
    <row r="589" ht="15" customHeight="1" s="153">
      <c r="A589" s="273" t="n"/>
      <c r="B589" s="274" t="inlineStr">
        <is>
          <t>PANA GORRITI 4600</t>
        </is>
      </c>
      <c r="C589" s="275" t="n">
        <v>1</v>
      </c>
      <c r="D589" s="275" t="n"/>
      <c r="E589" s="275" t="n">
        <v>1</v>
      </c>
      <c r="F589" s="276" t="n"/>
      <c r="G589" s="276" t="n"/>
      <c r="H589" s="277" t="n">
        <v>118000</v>
      </c>
      <c r="I589" s="278" t="n"/>
      <c r="J589" s="278" t="n">
        <v>118000</v>
      </c>
      <c r="K589" s="272" t="n"/>
      <c r="L589" s="272" t="n">
        <v>32000</v>
      </c>
      <c r="M589" s="156" t="n"/>
    </row>
    <row r="590" ht="15" customHeight="1" s="153">
      <c r="A590" s="279" t="n"/>
      <c r="B590" s="267" t="inlineStr">
        <is>
          <t>ILGATO</t>
        </is>
      </c>
      <c r="C590" s="268" t="n"/>
      <c r="D590" s="268" t="n">
        <v>1</v>
      </c>
      <c r="E590" s="268" t="n"/>
      <c r="F590" s="269" t="n"/>
      <c r="G590" s="269" t="n"/>
      <c r="H590" s="270" t="n">
        <v>42000</v>
      </c>
      <c r="I590" s="271" t="n"/>
      <c r="J590" s="271" t="n">
        <v>42000</v>
      </c>
      <c r="K590" s="272" t="n"/>
      <c r="L590" s="272" t="n">
        <v>16500</v>
      </c>
      <c r="M590" s="156" t="n"/>
    </row>
    <row r="591" ht="15" customHeight="1" s="153">
      <c r="A591" s="273" t="n"/>
      <c r="B591" s="274" t="inlineStr">
        <is>
          <t>OTNIEL</t>
        </is>
      </c>
      <c r="C591" s="275" t="n"/>
      <c r="D591" s="275" t="n"/>
      <c r="E591" s="275" t="n">
        <v>1</v>
      </c>
      <c r="F591" s="276" t="n"/>
      <c r="G591" s="276" t="n"/>
      <c r="H591" s="277" t="n">
        <v>91000</v>
      </c>
      <c r="I591" s="278" t="n"/>
      <c r="J591" s="278" t="n">
        <v>91000</v>
      </c>
      <c r="K591" s="272" t="n"/>
      <c r="L591" s="272" t="n">
        <v>22000</v>
      </c>
      <c r="M591" s="156" t="n"/>
    </row>
    <row r="592" ht="15" customHeight="1" s="153">
      <c r="A592" s="279" t="n"/>
      <c r="B592" s="267" t="inlineStr">
        <is>
          <t>ABUELA TUYA</t>
        </is>
      </c>
      <c r="C592" s="268" t="n">
        <v>1</v>
      </c>
      <c r="D592" s="268" t="n"/>
      <c r="E592" s="268" t="n"/>
      <c r="F592" s="269" t="n"/>
      <c r="G592" s="269" t="n"/>
      <c r="H592" s="270" t="n">
        <v>28000</v>
      </c>
      <c r="I592" s="271" t="n">
        <v>28000</v>
      </c>
      <c r="J592" s="271" t="n"/>
      <c r="K592" s="272" t="n"/>
      <c r="L592" s="272" t="n">
        <v>11000</v>
      </c>
      <c r="M592" s="156" t="n"/>
    </row>
    <row r="593" ht="15" customHeight="1" s="153">
      <c r="A593" s="273" t="n"/>
      <c r="B593" s="274" t="inlineStr">
        <is>
          <t>VIANDAS JORGE</t>
        </is>
      </c>
      <c r="C593" s="275" t="n">
        <v>1</v>
      </c>
      <c r="D593" s="275" t="n"/>
      <c r="E593" s="275" t="n"/>
      <c r="F593" s="276" t="n"/>
      <c r="G593" s="276" t="n"/>
      <c r="H593" s="277" t="n">
        <v>25000</v>
      </c>
      <c r="I593" s="278" t="n">
        <v>25000</v>
      </c>
      <c r="J593" s="278" t="n"/>
      <c r="K593" s="272" t="n"/>
      <c r="L593" s="272" t="n">
        <v>8000</v>
      </c>
      <c r="M593" s="156" t="n"/>
    </row>
    <row r="594" ht="15" customHeight="1" s="153">
      <c r="A594" s="279" t="n"/>
      <c r="B594" s="267" t="inlineStr">
        <is>
          <t>CHICLANA 7325</t>
        </is>
      </c>
      <c r="C594" s="268" t="n">
        <v>1</v>
      </c>
      <c r="D594" s="268" t="n"/>
      <c r="E594" s="268" t="n"/>
      <c r="F594" s="269" t="n"/>
      <c r="G594" s="269" t="n"/>
      <c r="H594" s="270" t="n">
        <v>22500</v>
      </c>
      <c r="I594" s="271" t="n">
        <v>22500</v>
      </c>
      <c r="J594" s="271" t="n"/>
      <c r="K594" s="272" t="n"/>
      <c r="L594" s="272" t="n">
        <v>5500</v>
      </c>
      <c r="M594" s="156" t="n"/>
    </row>
    <row r="595" ht="15" customHeight="1" s="153">
      <c r="A595" s="273" t="n"/>
      <c r="B595" s="274" t="inlineStr">
        <is>
          <t>ALBERDI 6766</t>
        </is>
      </c>
      <c r="C595" s="275" t="n">
        <v>1</v>
      </c>
      <c r="D595" s="275" t="n"/>
      <c r="E595" s="275" t="n"/>
      <c r="F595" s="276" t="n"/>
      <c r="G595" s="276" t="n"/>
      <c r="H595" s="277" t="n">
        <v>29000</v>
      </c>
      <c r="I595" s="278" t="n">
        <v>29000</v>
      </c>
      <c r="J595" s="278" t="n"/>
      <c r="K595" s="272" t="n"/>
      <c r="L595" s="272" t="n">
        <v>12000</v>
      </c>
      <c r="M595" s="156" t="n"/>
    </row>
    <row r="596" ht="15" customHeight="1" s="153">
      <c r="A596" s="279" t="n"/>
      <c r="B596" s="267" t="inlineStr">
        <is>
          <t>BONEO 5363</t>
        </is>
      </c>
      <c r="C596" s="268" t="n"/>
      <c r="D596" s="268" t="n"/>
      <c r="E596" s="268" t="n">
        <v>1</v>
      </c>
      <c r="F596" s="269" t="n"/>
      <c r="G596" s="269" t="n"/>
      <c r="H596" s="270" t="n">
        <v>98000</v>
      </c>
      <c r="I596" s="271" t="n"/>
      <c r="J596" s="271" t="n">
        <v>98000</v>
      </c>
      <c r="K596" s="272" t="n"/>
      <c r="L596" s="272" t="n">
        <v>29000</v>
      </c>
      <c r="M596" s="156" t="n"/>
    </row>
    <row r="597" ht="15" customHeight="1" s="153">
      <c r="A597" s="273" t="n"/>
      <c r="B597" s="274" t="inlineStr">
        <is>
          <t>PIEDRABUENA 4506</t>
        </is>
      </c>
      <c r="C597" s="275" t="n"/>
      <c r="D597" s="275" t="n"/>
      <c r="E597" s="275" t="n">
        <v>1</v>
      </c>
      <c r="F597" s="276" t="n"/>
      <c r="G597" s="276" t="n"/>
      <c r="H597" s="277" t="n">
        <v>98000</v>
      </c>
      <c r="I597" s="278" t="n"/>
      <c r="J597" s="278" t="n">
        <v>98000</v>
      </c>
      <c r="K597" s="272" t="n"/>
      <c r="L597" s="272" t="n">
        <v>29000</v>
      </c>
      <c r="M597" s="156" t="n"/>
    </row>
    <row r="598" ht="15" customHeight="1" s="153">
      <c r="A598" s="279" t="n"/>
      <c r="B598" s="267" t="inlineStr">
        <is>
          <t>FILOMENA</t>
        </is>
      </c>
      <c r="C598" s="268" t="n">
        <v>3</v>
      </c>
      <c r="D598" s="268" t="n"/>
      <c r="E598" s="268" t="n"/>
      <c r="F598" s="269" t="n"/>
      <c r="G598" s="269" t="n"/>
      <c r="H598" s="270" t="n">
        <v>79500</v>
      </c>
      <c r="I598" s="271" t="n"/>
      <c r="J598" s="271" t="n">
        <v>79500</v>
      </c>
      <c r="K598" s="272" t="n"/>
      <c r="L598" s="272" t="n">
        <v>28500</v>
      </c>
      <c r="M598" s="156" t="n"/>
    </row>
    <row r="599" ht="15" customHeight="1" s="153">
      <c r="A599" s="273" t="n"/>
      <c r="B599" s="274" t="inlineStr">
        <is>
          <t>ARISTOBULO 5137</t>
        </is>
      </c>
      <c r="C599" s="275" t="n">
        <v>1</v>
      </c>
      <c r="D599" s="275" t="n"/>
      <c r="E599" s="275" t="n"/>
      <c r="F599" s="276" t="n"/>
      <c r="G599" s="276" t="n"/>
      <c r="H599" s="277" t="n">
        <v>29000</v>
      </c>
      <c r="I599" s="278" t="n"/>
      <c r="J599" s="278" t="n">
        <v>29000</v>
      </c>
      <c r="K599" s="272" t="n"/>
      <c r="L599" s="272" t="n">
        <v>12000</v>
      </c>
      <c r="M599" s="156" t="n"/>
    </row>
    <row r="600" ht="15" customHeight="1" s="153">
      <c r="A600" s="279" t="n"/>
      <c r="B600" s="267" t="inlineStr">
        <is>
          <t>PUBLICO 8800</t>
        </is>
      </c>
      <c r="C600" s="268" t="n"/>
      <c r="D600" s="268" t="n"/>
      <c r="E600" s="268" t="n">
        <v>1</v>
      </c>
      <c r="F600" s="269" t="n"/>
      <c r="G600" s="269" t="n"/>
      <c r="H600" s="270" t="n">
        <v>102000</v>
      </c>
      <c r="I600" s="271" t="n"/>
      <c r="J600" s="271" t="n">
        <v>102000</v>
      </c>
      <c r="K600" s="272" t="n"/>
      <c r="L600" s="272" t="n">
        <v>33000</v>
      </c>
      <c r="M600" s="156" t="n"/>
    </row>
    <row r="601" ht="15" customHeight="1" s="153">
      <c r="A601" s="273" t="n"/>
      <c r="B601" s="274" t="inlineStr">
        <is>
          <t>PEÑALOZA 5953</t>
        </is>
      </c>
      <c r="C601" s="275" t="n">
        <v>1</v>
      </c>
      <c r="D601" s="275" t="n"/>
      <c r="E601" s="275" t="n"/>
      <c r="F601" s="276" t="n"/>
      <c r="G601" s="276" t="n"/>
      <c r="H601" s="277" t="n">
        <v>27500</v>
      </c>
      <c r="I601" s="278" t="n"/>
      <c r="J601" s="278" t="n">
        <v>27500</v>
      </c>
      <c r="K601" s="272" t="n"/>
      <c r="L601" s="272" t="n">
        <v>10500</v>
      </c>
      <c r="M601" s="156" t="n"/>
    </row>
    <row r="602" ht="15" customHeight="1" s="153">
      <c r="A602" s="279" t="n"/>
      <c r="B602" s="267" t="inlineStr">
        <is>
          <t>PUBLICO 8823</t>
        </is>
      </c>
      <c r="C602" s="268" t="n">
        <v>1</v>
      </c>
      <c r="D602" s="268" t="n"/>
      <c r="E602" s="268" t="n"/>
      <c r="F602" s="269" t="n"/>
      <c r="G602" s="269" t="n"/>
      <c r="H602" s="270" t="n">
        <v>128000</v>
      </c>
      <c r="I602" s="271" t="n"/>
      <c r="J602" s="271" t="n">
        <v>128000</v>
      </c>
      <c r="K602" s="272" t="n">
        <v>65000</v>
      </c>
      <c r="L602" s="272" t="n">
        <v>46000</v>
      </c>
      <c r="M602" s="156" t="n"/>
    </row>
    <row r="603" ht="15" customHeight="1" s="153">
      <c r="A603" s="273" t="n"/>
      <c r="B603" s="274" t="inlineStr">
        <is>
          <t>JANET</t>
        </is>
      </c>
      <c r="C603" s="275" t="n">
        <v>1</v>
      </c>
      <c r="D603" s="275" t="n"/>
      <c r="E603" s="275" t="n"/>
      <c r="F603" s="276" t="n"/>
      <c r="G603" s="276" t="n"/>
      <c r="H603" s="277" t="n">
        <v>28000</v>
      </c>
      <c r="I603" s="278" t="n"/>
      <c r="J603" s="278" t="n">
        <v>28000</v>
      </c>
      <c r="K603" s="272" t="n"/>
      <c r="L603" s="272" t="n">
        <v>11000</v>
      </c>
      <c r="M603" s="156" t="n"/>
    </row>
    <row r="604" ht="15" customHeight="1" s="153">
      <c r="A604" s="279" t="n"/>
      <c r="B604" s="267" t="inlineStr">
        <is>
          <t>PANA VIEYTES 4500</t>
        </is>
      </c>
      <c r="C604" s="268" t="n"/>
      <c r="D604" s="268" t="n"/>
      <c r="E604" s="268" t="n">
        <v>1</v>
      </c>
      <c r="F604" s="269" t="n"/>
      <c r="G604" s="269" t="n"/>
      <c r="H604" s="270" t="n">
        <v>88000</v>
      </c>
      <c r="I604" s="271" t="n"/>
      <c r="J604" s="271" t="n">
        <v>88000</v>
      </c>
      <c r="K604" s="272" t="n"/>
      <c r="L604" s="272" t="n">
        <v>19000</v>
      </c>
      <c r="M604" s="156" t="n"/>
    </row>
    <row r="605" ht="15" customHeight="1" s="153">
      <c r="A605" s="273" t="n"/>
      <c r="B605" s="274" t="inlineStr">
        <is>
          <t>GORRITI 5376</t>
        </is>
      </c>
      <c r="C605" s="275" t="n">
        <v>1</v>
      </c>
      <c r="D605" s="275" t="n"/>
      <c r="E605" s="275" t="n"/>
      <c r="F605" s="276" t="n"/>
      <c r="G605" s="276" t="n"/>
      <c r="H605" s="277" t="n">
        <v>28500</v>
      </c>
      <c r="I605" s="278" t="n"/>
      <c r="J605" s="278" t="n">
        <v>28500</v>
      </c>
      <c r="K605" s="272" t="n"/>
      <c r="L605" s="272" t="n">
        <v>11500</v>
      </c>
      <c r="M605" s="156" t="n"/>
    </row>
    <row r="606" ht="15" customHeight="1" s="153">
      <c r="A606" s="279" t="n"/>
      <c r="B606" s="267" t="inlineStr">
        <is>
          <t>CAREN</t>
        </is>
      </c>
      <c r="C606" s="268" t="n"/>
      <c r="D606" s="268" t="n"/>
      <c r="E606" s="268" t="n">
        <v>1</v>
      </c>
      <c r="F606" s="269" t="n"/>
      <c r="G606" s="269" t="n"/>
      <c r="H606" s="270" t="n">
        <v>95000</v>
      </c>
      <c r="I606" s="271" t="n"/>
      <c r="J606" s="271" t="n">
        <v>95000</v>
      </c>
      <c r="K606" s="272" t="n"/>
      <c r="L606" s="272" t="n">
        <v>26000</v>
      </c>
      <c r="M606" s="156" t="n"/>
    </row>
    <row r="607" ht="15" customHeight="1" s="153">
      <c r="A607" s="273" t="n"/>
      <c r="B607" s="274" t="inlineStr">
        <is>
          <t>LA PAMPA 5149</t>
        </is>
      </c>
      <c r="C607" s="275" t="n">
        <v>1</v>
      </c>
      <c r="D607" s="275" t="n"/>
      <c r="E607" s="275" t="n"/>
      <c r="F607" s="276" t="n"/>
      <c r="G607" s="276" t="n"/>
      <c r="H607" s="277" t="n">
        <v>28500</v>
      </c>
      <c r="I607" s="278" t="n"/>
      <c r="J607" s="278" t="n">
        <v>28500</v>
      </c>
      <c r="K607" s="272" t="n"/>
      <c r="L607" s="272" t="n">
        <v>11500</v>
      </c>
      <c r="M607" s="156" t="n"/>
    </row>
    <row r="608" ht="15" customHeight="1" s="153">
      <c r="A608" s="279" t="n"/>
      <c r="B608" s="267" t="inlineStr">
        <is>
          <t>TROPPO</t>
        </is>
      </c>
      <c r="C608" s="268" t="n">
        <v>8</v>
      </c>
      <c r="D608" s="268" t="n"/>
      <c r="E608" s="268" t="n"/>
      <c r="F608" s="269" t="n"/>
      <c r="G608" s="269" t="n"/>
      <c r="H608" s="270" t="n">
        <v>240000</v>
      </c>
      <c r="I608" s="271" t="n"/>
      <c r="J608" s="271" t="n">
        <v>240000</v>
      </c>
      <c r="K608" s="272" t="n"/>
      <c r="L608" s="272" t="n">
        <v>104000</v>
      </c>
      <c r="M608" s="156" t="n"/>
    </row>
    <row r="609" ht="15" customHeight="1" s="153">
      <c r="A609" s="273" t="n"/>
      <c r="B609" s="274" t="inlineStr">
        <is>
          <t>SABOREAR</t>
        </is>
      </c>
      <c r="C609" s="275" t="n">
        <v>1</v>
      </c>
      <c r="D609" s="275" t="n"/>
      <c r="E609" s="275" t="n"/>
      <c r="F609" s="276" t="n"/>
      <c r="G609" s="276" t="n"/>
      <c r="H609" s="277" t="n">
        <v>25500</v>
      </c>
      <c r="I609" s="278" t="n"/>
      <c r="J609" s="278" t="n">
        <v>25500</v>
      </c>
      <c r="K609" s="272" t="n"/>
      <c r="L609" s="272" t="n">
        <v>8500</v>
      </c>
      <c r="M609" s="156" t="n"/>
    </row>
    <row r="610" ht="15" customHeight="1" s="153">
      <c r="A610" s="279" t="n"/>
      <c r="B610" s="267" t="inlineStr">
        <is>
          <t>CASANELLO 3463</t>
        </is>
      </c>
      <c r="C610" s="268" t="n">
        <v>1</v>
      </c>
      <c r="D610" s="268" t="n"/>
      <c r="E610" s="268" t="n"/>
      <c r="F610" s="269" t="n"/>
      <c r="G610" s="269" t="n"/>
      <c r="H610" s="270" t="n">
        <v>28500</v>
      </c>
      <c r="I610" s="271" t="n"/>
      <c r="J610" s="271" t="n">
        <v>28500</v>
      </c>
      <c r="K610" s="272" t="n"/>
      <c r="L610" s="272" t="n">
        <v>11500</v>
      </c>
      <c r="M610" s="156" t="n"/>
    </row>
    <row r="611" ht="15" customHeight="1" s="153">
      <c r="A611" s="280" t="n">
        <v>46199</v>
      </c>
      <c r="B611" s="274" t="inlineStr">
        <is>
          <t>FORMOSA 6058</t>
        </is>
      </c>
      <c r="C611" s="275" t="n">
        <v>2</v>
      </c>
      <c r="D611" s="275" t="n"/>
      <c r="E611" s="275" t="n"/>
      <c r="F611" s="276" t="n"/>
      <c r="G611" s="276" t="n">
        <v>3</v>
      </c>
      <c r="H611" s="277" t="n">
        <v>77000</v>
      </c>
      <c r="I611" s="278" t="n">
        <v>77000</v>
      </c>
      <c r="J611" s="278" t="n"/>
      <c r="K611" s="272" t="n"/>
      <c r="L611" s="272" t="n">
        <v>40240</v>
      </c>
      <c r="M611" s="156" t="n"/>
    </row>
    <row r="612" ht="15" customHeight="1" s="153">
      <c r="A612" s="279" t="n"/>
      <c r="B612" s="267" t="inlineStr">
        <is>
          <t>PAULO</t>
        </is>
      </c>
      <c r="C612" s="268" t="n">
        <v>2</v>
      </c>
      <c r="D612" s="268" t="n"/>
      <c r="E612" s="268" t="n"/>
      <c r="F612" s="269" t="n"/>
      <c r="G612" s="269" t="n"/>
      <c r="H612" s="270" t="n">
        <v>44000</v>
      </c>
      <c r="I612" s="271" t="n">
        <v>44000</v>
      </c>
      <c r="J612" s="271" t="n"/>
      <c r="K612" s="272" t="n"/>
      <c r="L612" s="272" t="n">
        <v>10000</v>
      </c>
      <c r="M612" s="156" t="n"/>
    </row>
    <row r="613" ht="15" customHeight="1" s="153">
      <c r="A613" s="273" t="n"/>
      <c r="B613" s="274" t="inlineStr">
        <is>
          <t>OTNIEL</t>
        </is>
      </c>
      <c r="C613" s="275" t="n">
        <v>1</v>
      </c>
      <c r="D613" s="275" t="n">
        <v>1</v>
      </c>
      <c r="E613" s="275" t="n"/>
      <c r="F613" s="276" t="n"/>
      <c r="G613" s="276" t="n"/>
      <c r="H613" s="277" t="n">
        <v>63000</v>
      </c>
      <c r="I613" s="278" t="n">
        <v>63000</v>
      </c>
      <c r="J613" s="278" t="n"/>
      <c r="K613" s="272" t="n"/>
      <c r="L613" s="272" t="n">
        <v>20500</v>
      </c>
      <c r="M613" s="156" t="n"/>
    </row>
    <row r="614" ht="15" customHeight="1" s="153">
      <c r="A614" s="279" t="n"/>
      <c r="B614" s="267" t="inlineStr">
        <is>
          <t>TACUARI 5717</t>
        </is>
      </c>
      <c r="C614" s="268" t="n">
        <v>1</v>
      </c>
      <c r="D614" s="268" t="n"/>
      <c r="E614" s="268" t="n"/>
      <c r="F614" s="269" t="n"/>
      <c r="G614" s="269" t="n"/>
      <c r="H614" s="270" t="n">
        <v>29000</v>
      </c>
      <c r="I614" s="271" t="n"/>
      <c r="J614" s="271" t="n">
        <v>29000</v>
      </c>
      <c r="K614" s="272" t="n"/>
      <c r="L614" s="272" t="n">
        <v>12000</v>
      </c>
      <c r="M614" s="156" t="n"/>
    </row>
    <row r="615" ht="15" customHeight="1" s="153">
      <c r="A615" s="273" t="n"/>
      <c r="B615" s="274" t="inlineStr">
        <is>
          <t>GABOTO 7320</t>
        </is>
      </c>
      <c r="C615" s="275" t="n"/>
      <c r="D615" s="275" t="n"/>
      <c r="E615" s="275" t="n">
        <v>1</v>
      </c>
      <c r="F615" s="276" t="n"/>
      <c r="G615" s="276" t="n"/>
      <c r="H615" s="277" t="n">
        <v>103000</v>
      </c>
      <c r="I615" s="278" t="n"/>
      <c r="J615" s="278" t="n">
        <v>103000</v>
      </c>
      <c r="K615" s="272" t="n"/>
      <c r="L615" s="272" t="n">
        <v>34000</v>
      </c>
      <c r="M615" s="156" t="n"/>
    </row>
    <row r="616" ht="15" customHeight="1" s="153">
      <c r="A616" s="279" t="n"/>
      <c r="B616" s="267" t="inlineStr">
        <is>
          <t>ALBERTI 4598</t>
        </is>
      </c>
      <c r="C616" s="268" t="n">
        <v>1</v>
      </c>
      <c r="D616" s="268" t="n"/>
      <c r="E616" s="268" t="n"/>
      <c r="F616" s="269" t="n"/>
      <c r="G616" s="269" t="n"/>
      <c r="H616" s="270" t="n">
        <v>27000</v>
      </c>
      <c r="I616" s="271" t="n">
        <v>27000</v>
      </c>
      <c r="J616" s="271" t="n"/>
      <c r="K616" s="272" t="n"/>
      <c r="L616" s="272" t="n">
        <v>10000</v>
      </c>
      <c r="M616" s="156" t="n"/>
    </row>
    <row r="617" ht="15" customHeight="1" s="153">
      <c r="A617" s="273" t="n"/>
      <c r="B617" s="274" t="inlineStr">
        <is>
          <t>PANA VIEYTES 3800</t>
        </is>
      </c>
      <c r="C617" s="275" t="n"/>
      <c r="D617" s="275" t="n"/>
      <c r="E617" s="275" t="n">
        <v>1</v>
      </c>
      <c r="F617" s="276" t="n"/>
      <c r="G617" s="276" t="n"/>
      <c r="H617" s="277" t="n">
        <v>93000</v>
      </c>
      <c r="I617" s="278" t="n">
        <v>93000</v>
      </c>
      <c r="J617" s="278" t="n"/>
      <c r="K617" s="272" t="n"/>
      <c r="L617" s="272" t="n">
        <v>24000</v>
      </c>
      <c r="M617" s="156" t="n"/>
    </row>
    <row r="618" ht="15" customHeight="1" s="153">
      <c r="A618" s="279" t="n"/>
      <c r="B618" s="267" t="inlineStr">
        <is>
          <t>PAVON 3435</t>
        </is>
      </c>
      <c r="C618" s="268" t="n"/>
      <c r="D618" s="268" t="n"/>
      <c r="E618" s="268" t="n">
        <v>1</v>
      </c>
      <c r="F618" s="269" t="n"/>
      <c r="G618" s="269" t="n"/>
      <c r="H618" s="270" t="n">
        <v>94000</v>
      </c>
      <c r="I618" s="271" t="n">
        <v>94000</v>
      </c>
      <c r="J618" s="271" t="n"/>
      <c r="K618" s="272" t="n"/>
      <c r="L618" s="272" t="n">
        <v>25000</v>
      </c>
      <c r="M618" s="156" t="n"/>
    </row>
    <row r="619" ht="15" customHeight="1" s="153">
      <c r="A619" s="273" t="n"/>
      <c r="B619" s="274" t="inlineStr">
        <is>
          <t>CARRASCO 9330</t>
        </is>
      </c>
      <c r="C619" s="275" t="n">
        <v>1</v>
      </c>
      <c r="D619" s="275" t="n"/>
      <c r="E619" s="275" t="n"/>
      <c r="F619" s="276" t="n"/>
      <c r="G619" s="276" t="n"/>
      <c r="H619" s="277" t="n">
        <v>29000</v>
      </c>
      <c r="I619" s="278" t="n"/>
      <c r="J619" s="278" t="n">
        <v>29000</v>
      </c>
      <c r="K619" s="272" t="n"/>
      <c r="L619" s="272" t="n">
        <v>12000</v>
      </c>
      <c r="M619" s="156" t="n"/>
    </row>
    <row r="620" ht="15" customHeight="1" s="153">
      <c r="A620" s="279" t="n"/>
      <c r="B620" s="267" t="inlineStr">
        <is>
          <t>BRASERIA</t>
        </is>
      </c>
      <c r="C620" s="268" t="n"/>
      <c r="D620" s="268" t="n"/>
      <c r="E620" s="268" t="n">
        <v>1</v>
      </c>
      <c r="F620" s="269" t="n"/>
      <c r="G620" s="269" t="n"/>
      <c r="H620" s="270" t="n">
        <v>94000</v>
      </c>
      <c r="I620" s="271" t="n"/>
      <c r="J620" s="271" t="n">
        <v>94000</v>
      </c>
      <c r="K620" s="272" t="n"/>
      <c r="L620" s="272" t="n">
        <v>25000</v>
      </c>
      <c r="M620" s="156" t="n"/>
    </row>
    <row r="621" ht="15" customHeight="1" s="153">
      <c r="A621" s="273" t="n"/>
      <c r="B621" s="274" t="inlineStr">
        <is>
          <t>LAVADERO</t>
        </is>
      </c>
      <c r="C621" s="275" t="n">
        <v>1</v>
      </c>
      <c r="D621" s="275" t="n"/>
      <c r="E621" s="275" t="n"/>
      <c r="F621" s="276" t="n"/>
      <c r="G621" s="276" t="n"/>
      <c r="H621" s="277" t="n">
        <v>22000</v>
      </c>
      <c r="I621" s="278" t="n">
        <v>22000</v>
      </c>
      <c r="J621" s="278" t="n"/>
      <c r="K621" s="272" t="n"/>
      <c r="L621" s="272" t="n">
        <v>5000</v>
      </c>
      <c r="M621" s="156" t="n"/>
    </row>
    <row r="622" ht="15" customHeight="1" s="153">
      <c r="A622" s="279" t="n"/>
      <c r="B622" s="267" t="inlineStr">
        <is>
          <t>ABUELA TUYA</t>
        </is>
      </c>
      <c r="C622" s="268" t="n"/>
      <c r="D622" s="268" t="n">
        <v>1</v>
      </c>
      <c r="E622" s="268" t="n"/>
      <c r="F622" s="269" t="n"/>
      <c r="G622" s="269" t="n"/>
      <c r="H622" s="270" t="n">
        <v>42000</v>
      </c>
      <c r="I622" s="271" t="n">
        <v>42000</v>
      </c>
      <c r="J622" s="271" t="n"/>
      <c r="K622" s="272" t="n"/>
      <c r="L622" s="272" t="n">
        <v>16500</v>
      </c>
      <c r="M622" s="156" t="n"/>
    </row>
    <row r="623" ht="15" customHeight="1" s="153">
      <c r="A623" s="273" t="n"/>
      <c r="B623" s="274" t="inlineStr">
        <is>
          <t>PICHY</t>
        </is>
      </c>
      <c r="C623" s="275" t="n">
        <v>1</v>
      </c>
      <c r="D623" s="275" t="n"/>
      <c r="E623" s="275" t="n"/>
      <c r="F623" s="276" t="n"/>
      <c r="G623" s="276" t="n"/>
      <c r="H623" s="277" t="n">
        <v>26000</v>
      </c>
      <c r="I623" s="278" t="n">
        <v>26000</v>
      </c>
      <c r="J623" s="278" t="n"/>
      <c r="K623" s="272" t="n"/>
      <c r="L623" s="272" t="n">
        <v>9000</v>
      </c>
      <c r="M623" s="156" t="n"/>
    </row>
    <row r="624" ht="15" customHeight="1" s="153">
      <c r="A624" s="279" t="n"/>
      <c r="B624" s="267" t="inlineStr">
        <is>
          <t>AZCUENAGA 5023</t>
        </is>
      </c>
      <c r="C624" s="268" t="n">
        <v>3</v>
      </c>
      <c r="D624" s="268" t="n">
        <v>2</v>
      </c>
      <c r="E624" s="268" t="n"/>
      <c r="F624" s="269" t="n"/>
      <c r="G624" s="269" t="n"/>
      <c r="H624" s="270" t="n">
        <v>136000</v>
      </c>
      <c r="I624" s="271" t="n"/>
      <c r="J624" s="271" t="n">
        <v>136000</v>
      </c>
      <c r="K624" s="272" t="n"/>
      <c r="L624" s="272" t="n">
        <v>34000</v>
      </c>
      <c r="M624" s="156" t="n"/>
    </row>
    <row r="625" ht="15" customHeight="1" s="153">
      <c r="A625" s="273" t="n"/>
      <c r="B625" s="274" t="inlineStr">
        <is>
          <t>LOS PRIMOS</t>
        </is>
      </c>
      <c r="C625" s="275" t="n">
        <v>3</v>
      </c>
      <c r="D625" s="275" t="n"/>
      <c r="E625" s="275" t="n"/>
      <c r="F625" s="276" t="n"/>
      <c r="G625" s="276" t="n"/>
      <c r="H625" s="277" t="n">
        <v>90000</v>
      </c>
      <c r="I625" s="278" t="n">
        <v>90000</v>
      </c>
      <c r="J625" s="278" t="n"/>
      <c r="K625" s="272" t="n"/>
      <c r="L625" s="272" t="n">
        <v>39000</v>
      </c>
      <c r="M625" s="156" t="n"/>
    </row>
    <row r="626" ht="15" customHeight="1" s="153">
      <c r="A626" s="279" t="n"/>
      <c r="B626" s="267" t="inlineStr">
        <is>
          <t>ZEBALLOS 4012</t>
        </is>
      </c>
      <c r="C626" s="268" t="n">
        <v>1</v>
      </c>
      <c r="D626" s="268" t="n"/>
      <c r="E626" s="268" t="n"/>
      <c r="F626" s="269" t="n"/>
      <c r="G626" s="269" t="n"/>
      <c r="H626" s="270" t="n">
        <v>128000</v>
      </c>
      <c r="I626" s="271" t="n"/>
      <c r="J626" s="271" t="n">
        <v>128000</v>
      </c>
      <c r="K626" s="272" t="n">
        <v>65000</v>
      </c>
      <c r="L626" s="272" t="n">
        <v>46000</v>
      </c>
      <c r="M626" s="156" t="n"/>
    </row>
    <row r="627" ht="15" customHeight="1" s="153">
      <c r="A627" s="273" t="n"/>
      <c r="B627" s="274" t="inlineStr">
        <is>
          <t>BERUTI 4158</t>
        </is>
      </c>
      <c r="C627" s="275" t="n">
        <v>1</v>
      </c>
      <c r="D627" s="275" t="n"/>
      <c r="E627" s="275" t="n"/>
      <c r="F627" s="276" t="n"/>
      <c r="G627" s="276" t="n"/>
      <c r="H627" s="277" t="n">
        <v>28000</v>
      </c>
      <c r="I627" s="278" t="n">
        <v>28000</v>
      </c>
      <c r="J627" s="278" t="n"/>
      <c r="K627" s="272" t="n"/>
      <c r="L627" s="272" t="n">
        <v>11000</v>
      </c>
      <c r="M627" s="156" t="n"/>
    </row>
    <row r="628" ht="15" customHeight="1" s="153">
      <c r="A628" s="279" t="n"/>
      <c r="B628" s="267" t="inlineStr">
        <is>
          <t>ARGENTA</t>
        </is>
      </c>
      <c r="C628" s="268" t="n">
        <v>1</v>
      </c>
      <c r="D628" s="268" t="n"/>
      <c r="E628" s="268" t="n"/>
      <c r="F628" s="269" t="n"/>
      <c r="G628" s="269" t="n"/>
      <c r="H628" s="270" t="n">
        <v>29000</v>
      </c>
      <c r="I628" s="271" t="n"/>
      <c r="J628" s="271" t="n">
        <v>29000</v>
      </c>
      <c r="K628" s="272" t="n"/>
      <c r="L628" s="272" t="n">
        <v>12000</v>
      </c>
      <c r="M628" s="156" t="n"/>
    </row>
    <row r="629" ht="15" customHeight="1" s="153">
      <c r="A629" s="273" t="n"/>
      <c r="B629" s="274" t="inlineStr">
        <is>
          <t>ZEBALLOS 4881</t>
        </is>
      </c>
      <c r="C629" s="275" t="n">
        <v>1</v>
      </c>
      <c r="D629" s="275" t="n"/>
      <c r="E629" s="275" t="n"/>
      <c r="F629" s="276" t="n"/>
      <c r="G629" s="276" t="n"/>
      <c r="H629" s="277" t="n">
        <v>28500</v>
      </c>
      <c r="I629" s="278" t="n">
        <v>28500</v>
      </c>
      <c r="J629" s="278" t="n"/>
      <c r="K629" s="272" t="n"/>
      <c r="L629" s="272" t="n">
        <v>11500</v>
      </c>
      <c r="M629" s="156" t="n"/>
    </row>
    <row r="630" ht="15" customHeight="1" s="153">
      <c r="A630" s="279" t="n"/>
      <c r="B630" s="267" t="inlineStr">
        <is>
          <t>SAN MARTIN 8518</t>
        </is>
      </c>
      <c r="C630" s="268" t="n"/>
      <c r="D630" s="268" t="n"/>
      <c r="E630" s="268" t="n">
        <v>1</v>
      </c>
      <c r="F630" s="269" t="n"/>
      <c r="G630" s="269" t="n"/>
      <c r="H630" s="270" t="n">
        <v>101000</v>
      </c>
      <c r="I630" s="271" t="n"/>
      <c r="J630" s="271" t="n">
        <v>101000</v>
      </c>
      <c r="K630" s="272" t="n"/>
      <c r="L630" s="272" t="n">
        <v>32000</v>
      </c>
      <c r="M630" s="156" t="n"/>
    </row>
    <row r="631" ht="15" customHeight="1" s="153">
      <c r="A631" s="273" t="n"/>
      <c r="B631" s="274" t="inlineStr">
        <is>
          <t>AGUADO 9067</t>
        </is>
      </c>
      <c r="C631" s="275" t="n"/>
      <c r="D631" s="275" t="n">
        <v>1</v>
      </c>
      <c r="E631" s="275" t="n"/>
      <c r="F631" s="276" t="n"/>
      <c r="G631" s="276" t="n"/>
      <c r="H631" s="277" t="n">
        <v>41500</v>
      </c>
      <c r="I631" s="278" t="n"/>
      <c r="J631" s="278" t="n">
        <v>41500</v>
      </c>
      <c r="K631" s="272" t="n"/>
      <c r="L631" s="272" t="n">
        <v>16000</v>
      </c>
      <c r="M631" s="156" t="n"/>
    </row>
    <row r="632" ht="15" customHeight="1" s="153">
      <c r="A632" s="279" t="n"/>
      <c r="B632" s="267" t="inlineStr">
        <is>
          <t>NAMUNCURA 4436</t>
        </is>
      </c>
      <c r="C632" s="268" t="n"/>
      <c r="D632" s="268" t="n"/>
      <c r="E632" s="268" t="n">
        <v>1</v>
      </c>
      <c r="F632" s="269" t="n"/>
      <c r="G632" s="269" t="n"/>
      <c r="H632" s="270" t="n">
        <v>98000</v>
      </c>
      <c r="I632" s="271" t="n"/>
      <c r="J632" s="271" t="n">
        <v>98000</v>
      </c>
      <c r="K632" s="272" t="n"/>
      <c r="L632" s="272" t="n">
        <v>29000</v>
      </c>
      <c r="M632" s="156" t="n"/>
    </row>
    <row r="633" ht="15" customHeight="1" s="153">
      <c r="A633" s="273" t="n"/>
      <c r="B633" s="274" t="inlineStr">
        <is>
          <t>ROTI VIEYTES</t>
        </is>
      </c>
      <c r="C633" s="275" t="n"/>
      <c r="D633" s="275" t="n">
        <v>2</v>
      </c>
      <c r="E633" s="275" t="n"/>
      <c r="F633" s="276" t="n"/>
      <c r="G633" s="276" t="n"/>
      <c r="H633" s="277" t="n">
        <v>69000</v>
      </c>
      <c r="I633" s="278" t="n"/>
      <c r="J633" s="278" t="n">
        <v>69000</v>
      </c>
      <c r="K633" s="272" t="n"/>
      <c r="L633" s="272" t="n">
        <v>18000</v>
      </c>
      <c r="M633" s="156" t="n"/>
    </row>
    <row r="634" ht="15" customHeight="1" s="153">
      <c r="A634" s="266" t="n">
        <v>46200</v>
      </c>
      <c r="B634" s="267" t="inlineStr">
        <is>
          <t>PRIMERO DE MAYO 1959</t>
        </is>
      </c>
      <c r="C634" s="268" t="n"/>
      <c r="D634" s="268" t="n"/>
      <c r="E634" s="268" t="n">
        <v>1</v>
      </c>
      <c r="F634" s="269" t="n"/>
      <c r="G634" s="269" t="n"/>
      <c r="H634" s="270" t="n">
        <v>95000</v>
      </c>
      <c r="I634" s="271" t="n"/>
      <c r="J634" s="271" t="n">
        <v>95000</v>
      </c>
      <c r="K634" s="272" t="n"/>
      <c r="L634" s="272" t="n">
        <v>26000</v>
      </c>
      <c r="M634" s="156" t="n"/>
    </row>
    <row r="635" ht="15" customHeight="1" s="153">
      <c r="A635" s="273" t="n"/>
      <c r="B635" s="274" t="inlineStr">
        <is>
          <t>ALSINA 9251</t>
        </is>
      </c>
      <c r="C635" s="275" t="n"/>
      <c r="D635" s="275" t="n"/>
      <c r="E635" s="275" t="n">
        <v>1</v>
      </c>
      <c r="F635" s="276" t="n"/>
      <c r="G635" s="276" t="n"/>
      <c r="H635" s="277" t="n">
        <v>98000</v>
      </c>
      <c r="I635" s="278" t="n">
        <v>98000</v>
      </c>
      <c r="J635" s="278" t="n"/>
      <c r="K635" s="272" t="n"/>
      <c r="L635" s="272" t="n">
        <v>29000</v>
      </c>
      <c r="M635" s="156" t="n"/>
    </row>
    <row r="636" ht="15" customHeight="1" s="153">
      <c r="A636" s="279" t="n"/>
      <c r="B636" s="267" t="inlineStr">
        <is>
          <t>PUBLICO 8230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>
        <v>41500</v>
      </c>
      <c r="J636" s="271" t="n"/>
      <c r="K636" s="272" t="n"/>
      <c r="L636" s="272" t="n">
        <v>16000</v>
      </c>
      <c r="M636" s="156" t="n"/>
    </row>
    <row r="637" ht="15" customHeight="1" s="153">
      <c r="A637" s="273" t="n"/>
      <c r="B637" s="274" t="inlineStr">
        <is>
          <t>LUCHO</t>
        </is>
      </c>
      <c r="C637" s="275" t="n">
        <v>2</v>
      </c>
      <c r="D637" s="275" t="n"/>
      <c r="E637" s="275" t="n"/>
      <c r="F637" s="276" t="n"/>
      <c r="G637" s="276" t="n"/>
      <c r="H637" s="277" t="n">
        <v>44000</v>
      </c>
      <c r="I637" s="278" t="n"/>
      <c r="J637" s="278" t="n">
        <v>44000</v>
      </c>
      <c r="K637" s="272" t="n"/>
      <c r="L637" s="272" t="n">
        <v>10000</v>
      </c>
      <c r="M637" s="156" t="n"/>
    </row>
    <row r="638" ht="15" customHeight="1" s="153">
      <c r="A638" s="279" t="n"/>
      <c r="B638" s="267" t="inlineStr">
        <is>
          <t>AZCUENAGA 6551</t>
        </is>
      </c>
      <c r="C638" s="268" t="n">
        <v>3</v>
      </c>
      <c r="D638" s="268" t="n"/>
      <c r="E638" s="268" t="n"/>
      <c r="F638" s="269" t="n"/>
      <c r="G638" s="269" t="n"/>
      <c r="H638" s="270" t="n">
        <v>66000</v>
      </c>
      <c r="I638" s="271" t="n"/>
      <c r="J638" s="271" t="n">
        <v>66000</v>
      </c>
      <c r="K638" s="272" t="n"/>
      <c r="L638" s="272" t="n">
        <v>15000</v>
      </c>
      <c r="M638" s="156" t="n"/>
    </row>
    <row r="639" ht="15" customHeight="1" s="153">
      <c r="A639" s="273" t="n"/>
      <c r="B639" s="274" t="inlineStr">
        <is>
          <t>ARIEL IMPRENTA</t>
        </is>
      </c>
      <c r="C639" s="275" t="n"/>
      <c r="D639" s="275" t="n"/>
      <c r="E639" s="275" t="n">
        <v>1</v>
      </c>
      <c r="F639" s="276" t="n"/>
      <c r="G639" s="276" t="n"/>
      <c r="H639" s="277" t="n">
        <v>98000</v>
      </c>
      <c r="I639" s="278" t="n"/>
      <c r="J639" s="278" t="n">
        <v>98000</v>
      </c>
      <c r="K639" s="272" t="n"/>
      <c r="L639" s="272" t="n">
        <v>29000</v>
      </c>
      <c r="M639" s="156" t="n"/>
    </row>
    <row r="640">
      <c r="A640" s="261" t="n"/>
      <c r="B640" s="267" t="inlineStr">
        <is>
          <t>TROPPO</t>
        </is>
      </c>
      <c r="C640" s="262" t="n">
        <v>8</v>
      </c>
      <c r="D640" s="262" t="n"/>
      <c r="E640" s="262" t="n"/>
      <c r="F640" s="263" t="n"/>
      <c r="G640" s="263" t="n"/>
      <c r="H640" s="264" t="n">
        <v>240000</v>
      </c>
      <c r="I640" s="265" t="n"/>
      <c r="J640" s="265" t="n">
        <v>240000</v>
      </c>
      <c r="K640" s="264" t="n"/>
      <c r="L640" s="264" t="n">
        <v>104000</v>
      </c>
    </row>
    <row r="641">
      <c r="A641" s="324" t="n"/>
      <c r="B641" s="274" t="inlineStr">
        <is>
          <t>FLORENCIO FERNANDEZ 5519</t>
        </is>
      </c>
      <c r="C641" s="290" t="n">
        <v>1</v>
      </c>
      <c r="D641" s="290" t="n"/>
      <c r="E641" s="290" t="n"/>
      <c r="F641" s="325" t="n"/>
      <c r="G641" s="325" t="n"/>
      <c r="H641" s="326" t="n">
        <v>28500</v>
      </c>
      <c r="I641" s="327" t="n"/>
      <c r="J641" s="327" t="n">
        <v>28500</v>
      </c>
      <c r="K641" s="264" t="n"/>
      <c r="L641" s="264" t="n">
        <v>11500</v>
      </c>
    </row>
    <row r="642">
      <c r="A642" s="261" t="n"/>
      <c r="B642" s="267" t="inlineStr">
        <is>
          <t>CORRIENTES 4142</t>
        </is>
      </c>
      <c r="C642" s="262" t="n">
        <v>1</v>
      </c>
      <c r="D642" s="262" t="n"/>
      <c r="E642" s="262" t="n">
        <v>1</v>
      </c>
      <c r="F642" s="263" t="n"/>
      <c r="G642" s="263" t="n"/>
      <c r="H642" s="264" t="n">
        <v>130000</v>
      </c>
      <c r="I642" s="265" t="n"/>
      <c r="J642" s="265" t="n">
        <v>130000</v>
      </c>
      <c r="K642" s="264" t="n"/>
      <c r="L642" s="264" t="n">
        <v>44000</v>
      </c>
    </row>
    <row r="643">
      <c r="A643" s="324" t="n"/>
      <c r="B643" s="274" t="inlineStr">
        <is>
          <t>PADILLA 1453</t>
        </is>
      </c>
      <c r="C643" s="290" t="n"/>
      <c r="D643" s="290" t="n">
        <v>1</v>
      </c>
      <c r="E643" s="290" t="n"/>
      <c r="F643" s="325" t="n"/>
      <c r="G643" s="325" t="n"/>
      <c r="H643" s="326" t="n">
        <v>42500</v>
      </c>
      <c r="I643" s="327" t="n">
        <v>42500</v>
      </c>
      <c r="J643" s="327" t="n"/>
      <c r="K643" s="264" t="n"/>
      <c r="L643" s="264" t="n">
        <v>17000</v>
      </c>
    </row>
    <row r="644">
      <c r="A644" s="261" t="n"/>
      <c r="B644" s="267" t="inlineStr">
        <is>
          <t>EUROPA 9740</t>
        </is>
      </c>
      <c r="C644" s="262" t="n"/>
      <c r="D644" s="262" t="n"/>
      <c r="E644" s="262" t="n">
        <v>1</v>
      </c>
      <c r="F644" s="263" t="n"/>
      <c r="G644" s="263" t="n"/>
      <c r="H644" s="264" t="n">
        <v>98000</v>
      </c>
      <c r="I644" s="265" t="n">
        <v>98000</v>
      </c>
      <c r="J644" s="265" t="n"/>
      <c r="K644" s="264" t="n"/>
      <c r="L644" s="264" t="n">
        <v>29000</v>
      </c>
    </row>
    <row r="645">
      <c r="A645" s="324" t="n"/>
      <c r="B645" s="274" t="inlineStr">
        <is>
          <t>LO DE NICO</t>
        </is>
      </c>
      <c r="C645" s="290" t="n">
        <v>2</v>
      </c>
      <c r="D645" s="290" t="n"/>
      <c r="E645" s="290" t="n"/>
      <c r="F645" s="325" t="n"/>
      <c r="G645" s="325" t="n"/>
      <c r="H645" s="326" t="n">
        <v>45000</v>
      </c>
      <c r="I645" s="327" t="n"/>
      <c r="J645" s="327" t="n">
        <v>45000</v>
      </c>
      <c r="K645" s="264" t="n"/>
      <c r="L645" s="264" t="n">
        <v>11000</v>
      </c>
    </row>
    <row r="646">
      <c r="A646" s="261" t="n"/>
      <c r="B646" s="267" t="inlineStr">
        <is>
          <t>PASAJE BRAILE 9340</t>
        </is>
      </c>
      <c r="C646" s="262" t="n"/>
      <c r="D646" s="262" t="n"/>
      <c r="E646" s="262" t="n">
        <v>1</v>
      </c>
      <c r="F646" s="263" t="n"/>
      <c r="G646" s="263" t="n"/>
      <c r="H646" s="264" t="n">
        <v>98500</v>
      </c>
      <c r="I646" s="265" t="n">
        <v>98500</v>
      </c>
      <c r="J646" s="265" t="n"/>
      <c r="K646" s="264" t="n"/>
      <c r="L646" s="264" t="n">
        <v>29500</v>
      </c>
    </row>
    <row r="647">
      <c r="A647" s="324" t="n"/>
      <c r="B647" s="274" t="inlineStr">
        <is>
          <t>FILOMENA</t>
        </is>
      </c>
      <c r="C647" s="290" t="n">
        <v>2</v>
      </c>
      <c r="D647" s="290" t="n"/>
      <c r="E647" s="290" t="n"/>
      <c r="F647" s="325" t="n"/>
      <c r="G647" s="325" t="n"/>
      <c r="H647" s="326" t="n">
        <v>53000</v>
      </c>
      <c r="I647" s="327" t="n"/>
      <c r="J647" s="327" t="n">
        <v>53000</v>
      </c>
      <c r="K647" s="264" t="n"/>
      <c r="L647" s="264" t="n">
        <v>19000</v>
      </c>
    </row>
    <row r="648">
      <c r="A648" s="261" t="n"/>
      <c r="B648" s="267" t="inlineStr">
        <is>
          <t>ZAVALLA 7551</t>
        </is>
      </c>
      <c r="C648" s="262" t="n"/>
      <c r="D648" s="262" t="n"/>
      <c r="E648" s="262" t="n">
        <v>1</v>
      </c>
      <c r="F648" s="263" t="n"/>
      <c r="G648" s="263" t="n"/>
      <c r="H648" s="264" t="n">
        <v>98500</v>
      </c>
      <c r="I648" s="265" t="n"/>
      <c r="J648" s="265" t="n">
        <v>98500</v>
      </c>
      <c r="K648" s="264" t="n"/>
      <c r="L648" s="264" t="n">
        <v>29500</v>
      </c>
    </row>
    <row r="649">
      <c r="A649" s="324" t="n"/>
      <c r="B649" s="274" t="inlineStr">
        <is>
          <t>GENERAL PAZ 7189</t>
        </is>
      </c>
      <c r="C649" s="290" t="n">
        <v>1</v>
      </c>
      <c r="D649" s="290" t="n"/>
      <c r="E649" s="290" t="n"/>
      <c r="F649" s="325" t="n"/>
      <c r="G649" s="325" t="n"/>
      <c r="H649" s="326" t="n">
        <v>28500</v>
      </c>
      <c r="I649" s="327" t="n"/>
      <c r="J649" s="327" t="n">
        <v>28500</v>
      </c>
      <c r="K649" s="264" t="n"/>
      <c r="L649" s="264" t="n">
        <v>11500</v>
      </c>
    </row>
    <row r="650">
      <c r="A650" s="261" t="n"/>
      <c r="B650" s="267" t="inlineStr">
        <is>
          <t>PADRE GENESIO 4501</t>
        </is>
      </c>
      <c r="C650" s="262" t="n">
        <v>1</v>
      </c>
      <c r="D650" s="262" t="n"/>
      <c r="E650" s="262" t="n"/>
      <c r="F650" s="263" t="n"/>
      <c r="G650" s="263" t="n"/>
      <c r="H650" s="264" t="n">
        <v>29000</v>
      </c>
      <c r="I650" s="265" t="n"/>
      <c r="J650" s="265" t="n">
        <v>29000</v>
      </c>
      <c r="K650" s="264" t="n"/>
      <c r="L650" s="264" t="n">
        <v>12000</v>
      </c>
    </row>
    <row r="651">
      <c r="A651" s="324" t="n"/>
      <c r="B651" s="274" t="inlineStr">
        <is>
          <t>REPUBLICA DE SIRIA 8130</t>
        </is>
      </c>
      <c r="C651" s="290" t="n">
        <v>1</v>
      </c>
      <c r="D651" s="290" t="n"/>
      <c r="E651" s="290" t="n"/>
      <c r="F651" s="325" t="n"/>
      <c r="G651" s="325" t="n"/>
      <c r="H651" s="326" t="n">
        <v>28500</v>
      </c>
      <c r="I651" s="327" t="n"/>
      <c r="J651" s="327" t="n">
        <v>28500</v>
      </c>
      <c r="K651" s="264" t="n"/>
      <c r="L651" s="264" t="n">
        <v>11500</v>
      </c>
    </row>
    <row r="652">
      <c r="A652" s="261" t="n"/>
      <c r="B652" s="267" t="inlineStr">
        <is>
          <t>PANA GISELA</t>
        </is>
      </c>
      <c r="C652" s="262" t="n">
        <v>1</v>
      </c>
      <c r="D652" s="262" t="n"/>
      <c r="E652" s="262" t="n"/>
      <c r="F652" s="263" t="n"/>
      <c r="G652" s="263" t="n"/>
      <c r="H652" s="264" t="n">
        <v>25500</v>
      </c>
      <c r="I652" s="265" t="n"/>
      <c r="J652" s="265" t="n">
        <v>25500</v>
      </c>
      <c r="K652" s="264" t="n"/>
      <c r="L652" s="264" t="n">
        <v>8500</v>
      </c>
    </row>
    <row r="653">
      <c r="A653" s="324" t="n"/>
      <c r="B653" s="274" t="inlineStr">
        <is>
          <t>JP LOPEZ 2709</t>
        </is>
      </c>
      <c r="C653" s="290" t="n"/>
      <c r="D653" s="290" t="n">
        <v>1</v>
      </c>
      <c r="E653" s="290" t="n"/>
      <c r="F653" s="325" t="n"/>
      <c r="G653" s="325" t="n"/>
      <c r="H653" s="326" t="n">
        <v>42500</v>
      </c>
      <c r="I653" s="327" t="n">
        <v>42500</v>
      </c>
      <c r="J653" s="327" t="n"/>
      <c r="K653" s="264" t="n"/>
      <c r="L653" s="264" t="n">
        <v>17000</v>
      </c>
    </row>
    <row r="654">
      <c r="A654" s="261" t="n"/>
      <c r="B654" s="267" t="inlineStr">
        <is>
          <t>FLORES 1 MON5</t>
        </is>
      </c>
      <c r="C654" s="262" t="n">
        <v>1</v>
      </c>
      <c r="D654" s="262" t="n"/>
      <c r="E654" s="262" t="n"/>
      <c r="F654" s="263" t="n"/>
      <c r="G654" s="263" t="n"/>
      <c r="H654" s="264" t="n">
        <v>28500</v>
      </c>
      <c r="I654" s="265" t="n">
        <v>28500</v>
      </c>
      <c r="J654" s="265" t="n"/>
      <c r="K654" s="264" t="n"/>
      <c r="L654" s="264" t="n">
        <v>11500</v>
      </c>
    </row>
    <row r="655">
      <c r="A655" s="324" t="n"/>
      <c r="B655" s="274" t="inlineStr">
        <is>
          <t>ROTI AGUADO</t>
        </is>
      </c>
      <c r="C655" s="290" t="n">
        <v>1</v>
      </c>
      <c r="D655" s="290" t="n"/>
      <c r="E655" s="290" t="n"/>
      <c r="F655" s="325" t="n"/>
      <c r="G655" s="325" t="n"/>
      <c r="H655" s="326" t="n">
        <v>25500</v>
      </c>
      <c r="I655" s="327" t="n"/>
      <c r="J655" s="327" t="n">
        <v>25500</v>
      </c>
      <c r="K655" s="264" t="n"/>
      <c r="L655" s="264" t="n">
        <v>8500</v>
      </c>
    </row>
    <row r="656">
      <c r="A656" s="266" t="n">
        <v>46201</v>
      </c>
      <c r="B656" s="267" t="inlineStr">
        <is>
          <t>CORDOBA 3728</t>
        </is>
      </c>
      <c r="C656" s="262" t="n"/>
      <c r="D656" s="262" t="n"/>
      <c r="E656" s="262" t="n">
        <v>1</v>
      </c>
      <c r="F656" s="263" t="n"/>
      <c r="G656" s="263" t="n"/>
      <c r="H656" s="264" t="n">
        <v>98500</v>
      </c>
      <c r="I656" s="265" t="n"/>
      <c r="J656" s="265" t="n">
        <v>98500</v>
      </c>
      <c r="K656" s="264" t="n"/>
      <c r="L656" s="264" t="n">
        <v>29500</v>
      </c>
    </row>
    <row r="657">
      <c r="A657" s="324" t="n"/>
      <c r="B657" s="274" t="inlineStr">
        <is>
          <t>25 DE MAYO 2617</t>
        </is>
      </c>
      <c r="C657" s="290" t="n"/>
      <c r="D657" s="290" t="n">
        <v>1</v>
      </c>
      <c r="E657" s="290" t="n"/>
      <c r="F657" s="325" t="n"/>
      <c r="G657" s="325" t="n"/>
      <c r="H657" s="326" t="n">
        <v>44500</v>
      </c>
      <c r="I657" s="327" t="n"/>
      <c r="J657" s="327" t="n">
        <v>44500</v>
      </c>
      <c r="K657" s="264" t="n"/>
      <c r="L657" s="264" t="n">
        <v>19000</v>
      </c>
    </row>
    <row r="658">
      <c r="A658" s="261" t="n"/>
      <c r="B658" s="267" t="inlineStr">
        <is>
          <t>DOMINGO SILVA 4217</t>
        </is>
      </c>
      <c r="C658" s="262" t="n">
        <v>2</v>
      </c>
      <c r="D658" s="262" t="n"/>
      <c r="E658" s="262" t="n"/>
      <c r="F658" s="263" t="n"/>
      <c r="G658" s="263" t="n"/>
      <c r="H658" s="264" t="n">
        <v>45000</v>
      </c>
      <c r="I658" s="265" t="n"/>
      <c r="J658" s="265" t="n">
        <v>45000</v>
      </c>
      <c r="K658" s="264" t="n"/>
      <c r="L658" s="264" t="n">
        <v>11000</v>
      </c>
    </row>
    <row r="659">
      <c r="A659" s="324" t="n"/>
      <c r="B659" s="274" t="inlineStr">
        <is>
          <t>PAULO</t>
        </is>
      </c>
      <c r="C659" s="290" t="n">
        <v>2</v>
      </c>
      <c r="D659" s="290" t="n"/>
      <c r="E659" s="290" t="n"/>
      <c r="F659" s="325" t="n"/>
      <c r="G659" s="325" t="n"/>
      <c r="H659" s="326" t="n">
        <v>44000</v>
      </c>
      <c r="I659" s="327" t="n">
        <v>44000</v>
      </c>
      <c r="J659" s="327" t="n"/>
      <c r="K659" s="264" t="n"/>
      <c r="L659" s="264" t="n">
        <v>10000</v>
      </c>
    </row>
    <row r="660">
      <c r="A660" s="261" t="n"/>
      <c r="B660" s="267" t="inlineStr">
        <is>
          <t>PANA CAFERATA</t>
        </is>
      </c>
      <c r="C660" s="262" t="n"/>
      <c r="D660" s="262" t="n"/>
      <c r="E660" s="262" t="n">
        <v>1</v>
      </c>
      <c r="F660" s="263" t="n"/>
      <c r="G660" s="263" t="n"/>
      <c r="H660" s="264" t="n">
        <v>89000</v>
      </c>
      <c r="I660" s="265" t="n"/>
      <c r="J660" s="265" t="n">
        <v>89000</v>
      </c>
      <c r="K660" s="264" t="n"/>
      <c r="L660" s="264" t="n">
        <v>20000</v>
      </c>
    </row>
    <row r="661">
      <c r="A661" s="324" t="n"/>
      <c r="B661" s="274" t="inlineStr">
        <is>
          <t>AZCUENAGA 6551</t>
        </is>
      </c>
      <c r="C661" s="290" t="n">
        <v>1</v>
      </c>
      <c r="D661" s="290" t="n"/>
      <c r="E661" s="290" t="n"/>
      <c r="F661" s="325" t="n"/>
      <c r="G661" s="325" t="n"/>
      <c r="H661" s="326" t="n">
        <v>22000</v>
      </c>
      <c r="I661" s="327" t="n">
        <v>22000</v>
      </c>
      <c r="J661" s="327" t="n"/>
      <c r="K661" s="264" t="n"/>
      <c r="L661" s="264" t="n">
        <v>5000</v>
      </c>
    </row>
    <row r="662">
      <c r="A662" s="261" t="n"/>
      <c r="B662" s="267" t="inlineStr">
        <is>
          <t>9 DE JULIO 2105</t>
        </is>
      </c>
      <c r="C662" s="262" t="n">
        <v>1</v>
      </c>
      <c r="D662" s="262" t="n"/>
      <c r="E662" s="262" t="n"/>
      <c r="F662" s="263" t="n"/>
      <c r="G662" s="263" t="n"/>
      <c r="H662" s="264" t="n">
        <v>29000</v>
      </c>
      <c r="I662" s="265" t="n"/>
      <c r="J662" s="265" t="n">
        <v>29000</v>
      </c>
      <c r="K662" s="264" t="n"/>
      <c r="L662" s="264" t="n">
        <v>12000</v>
      </c>
    </row>
    <row r="663">
      <c r="A663" s="324" t="n"/>
      <c r="B663" s="274" t="inlineStr">
        <is>
          <t>DERQUI 2931</t>
        </is>
      </c>
      <c r="C663" s="290" t="n">
        <v>1</v>
      </c>
      <c r="D663" s="290" t="n"/>
      <c r="E663" s="290" t="n"/>
      <c r="F663" s="325" t="n"/>
      <c r="G663" s="325" t="n"/>
      <c r="H663" s="326" t="n">
        <v>29000</v>
      </c>
      <c r="I663" s="327" t="n"/>
      <c r="J663" s="327" t="n">
        <v>29000</v>
      </c>
      <c r="K663" s="264" t="n"/>
      <c r="L663" s="264" t="n">
        <v>12000</v>
      </c>
    </row>
    <row r="664">
      <c r="A664" s="261" t="n"/>
      <c r="B664" s="267" t="inlineStr">
        <is>
          <t>GENEIRO 8249</t>
        </is>
      </c>
      <c r="C664" s="262" t="n">
        <v>1</v>
      </c>
      <c r="D664" s="262" t="n"/>
      <c r="E664" s="262" t="n"/>
      <c r="F664" s="263" t="n"/>
      <c r="G664" s="263" t="n"/>
      <c r="H664" s="264" t="n">
        <v>28500</v>
      </c>
      <c r="I664" s="265" t="n"/>
      <c r="J664" s="265" t="n">
        <v>28500</v>
      </c>
      <c r="K664" s="264" t="n"/>
      <c r="L664" s="264" t="n">
        <v>11500</v>
      </c>
    </row>
    <row r="665">
      <c r="A665" s="324" t="n"/>
      <c r="B665" s="274" t="inlineStr">
        <is>
          <t>VANE GORDILLO</t>
        </is>
      </c>
      <c r="C665" s="290" t="n">
        <v>1</v>
      </c>
      <c r="D665" s="290" t="n"/>
      <c r="E665" s="290" t="n"/>
      <c r="F665" s="325" t="n"/>
      <c r="G665" s="325" t="n"/>
      <c r="H665" s="326" t="n">
        <v>26000</v>
      </c>
      <c r="I665" s="327" t="n"/>
      <c r="J665" s="327" t="n">
        <v>26000</v>
      </c>
      <c r="K665" s="264" t="n"/>
      <c r="L665" s="264" t="n">
        <v>9000</v>
      </c>
    </row>
    <row r="666">
      <c r="A666" s="261" t="n"/>
      <c r="B666" s="267" t="inlineStr">
        <is>
          <t>SABOREAR</t>
        </is>
      </c>
      <c r="C666" s="262" t="n">
        <v>1</v>
      </c>
      <c r="D666" s="262" t="n"/>
      <c r="E666" s="262" t="n"/>
      <c r="F666" s="263" t="n"/>
      <c r="G666" s="263" t="n"/>
      <c r="H666" s="264" t="n">
        <v>25500</v>
      </c>
      <c r="I666" s="265" t="n"/>
      <c r="J666" s="265" t="n">
        <v>25500</v>
      </c>
      <c r="K666" s="264" t="n"/>
      <c r="L666" s="264" t="n">
        <v>8500</v>
      </c>
    </row>
    <row r="667">
      <c r="A667" s="324" t="n"/>
      <c r="B667" s="274" t="inlineStr">
        <is>
          <t>MALAVER 3793</t>
        </is>
      </c>
      <c r="C667" s="290" t="n"/>
      <c r="D667" s="290" t="n"/>
      <c r="E667" s="290" t="n">
        <v>1</v>
      </c>
      <c r="F667" s="325" t="n"/>
      <c r="G667" s="325" t="n"/>
      <c r="H667" s="326" t="n">
        <v>102000</v>
      </c>
      <c r="I667" s="327" t="n"/>
      <c r="J667" s="327" t="n">
        <v>102000</v>
      </c>
      <c r="K667" s="264" t="n"/>
      <c r="L667" s="264" t="n">
        <v>33000</v>
      </c>
    </row>
    <row r="668">
      <c r="A668" s="261" t="n"/>
      <c r="B668" s="267" t="inlineStr">
        <is>
          <t>CAREN</t>
        </is>
      </c>
      <c r="C668" s="262" t="n"/>
      <c r="D668" s="262" t="n"/>
      <c r="E668" s="262" t="n">
        <v>1</v>
      </c>
      <c r="F668" s="263" t="n"/>
      <c r="G668" s="263" t="n"/>
      <c r="H668" s="264" t="n">
        <v>95000</v>
      </c>
      <c r="I668" s="265" t="n"/>
      <c r="J668" s="265" t="n">
        <v>95000</v>
      </c>
      <c r="K668" s="264" t="n"/>
      <c r="L668" s="264" t="n">
        <v>26000</v>
      </c>
    </row>
    <row r="669">
      <c r="A669" s="280" t="n">
        <v>46202</v>
      </c>
      <c r="B669" s="274" t="inlineStr">
        <is>
          <t>SAAVEDRA 2799</t>
        </is>
      </c>
      <c r="C669" s="290" t="n">
        <v>1</v>
      </c>
      <c r="D669" s="290" t="n"/>
      <c r="E669" s="290" t="n"/>
      <c r="F669" s="325" t="n"/>
      <c r="G669" s="325" t="n"/>
      <c r="H669" s="326" t="n">
        <v>29000</v>
      </c>
      <c r="I669" s="327" t="n">
        <v>29000</v>
      </c>
      <c r="J669" s="327" t="n"/>
      <c r="K669" s="264" t="n"/>
      <c r="L669" s="264" t="n">
        <v>12000</v>
      </c>
    </row>
    <row r="670">
      <c r="A670" s="261" t="n"/>
      <c r="B670" s="267" t="inlineStr">
        <is>
          <t>PANA BERUTI 6400</t>
        </is>
      </c>
      <c r="C670" s="262" t="n"/>
      <c r="D670" s="262" t="n"/>
      <c r="E670" s="262" t="n">
        <v>1</v>
      </c>
      <c r="F670" s="263" t="n"/>
      <c r="G670" s="263" t="n"/>
      <c r="H670" s="264" t="n">
        <v>87000</v>
      </c>
      <c r="I670" s="265" t="n"/>
      <c r="J670" s="265" t="n">
        <v>87000</v>
      </c>
      <c r="K670" s="264" t="n"/>
      <c r="L670" s="264" t="n">
        <v>18000</v>
      </c>
    </row>
    <row r="671">
      <c r="A671" s="324" t="n"/>
      <c r="B671" s="274" t="inlineStr">
        <is>
          <t>CALLEJON FUNES 5046</t>
        </is>
      </c>
      <c r="C671" s="290" t="n">
        <v>1</v>
      </c>
      <c r="D671" s="290" t="n"/>
      <c r="E671" s="290" t="n"/>
      <c r="F671" s="325" t="n"/>
      <c r="G671" s="325" t="n"/>
      <c r="H671" s="326" t="n">
        <v>28500</v>
      </c>
      <c r="I671" s="327" t="n">
        <v>28500</v>
      </c>
      <c r="J671" s="327" t="n"/>
      <c r="K671" s="264" t="n"/>
      <c r="L671" s="264" t="n">
        <v>11500</v>
      </c>
    </row>
    <row r="672">
      <c r="A672" s="261" t="n"/>
      <c r="B672" s="267" t="inlineStr">
        <is>
          <t>POLACO AUTOPARTES</t>
        </is>
      </c>
      <c r="C672" s="262" t="n">
        <v>1</v>
      </c>
      <c r="D672" s="262" t="n"/>
      <c r="E672" s="262" t="n"/>
      <c r="F672" s="263" t="n"/>
      <c r="G672" s="263" t="n"/>
      <c r="H672" s="264" t="n">
        <v>28500</v>
      </c>
      <c r="I672" s="265" t="n">
        <v>28500</v>
      </c>
      <c r="J672" s="265" t="n"/>
      <c r="K672" s="264" t="n"/>
      <c r="L672" s="264" t="n">
        <v>11500</v>
      </c>
    </row>
    <row r="673">
      <c r="A673" s="324" t="n"/>
      <c r="B673" s="274" t="inlineStr">
        <is>
          <t>FACUNDO ZUVIRIA 3666</t>
        </is>
      </c>
      <c r="C673" s="290" t="n">
        <v>1</v>
      </c>
      <c r="D673" s="290" t="n"/>
      <c r="E673" s="290" t="n"/>
      <c r="F673" s="325" t="n">
        <v>2</v>
      </c>
      <c r="G673" s="325" t="n"/>
      <c r="H673" s="326" t="n">
        <v>42000</v>
      </c>
      <c r="I673" s="327" t="n">
        <v>42000</v>
      </c>
      <c r="J673" s="327" t="n"/>
      <c r="K673" s="264" t="n"/>
      <c r="L673" s="264" t="n">
        <v>11000</v>
      </c>
    </row>
    <row r="674">
      <c r="A674" s="261" t="n"/>
      <c r="B674" s="267" t="inlineStr">
        <is>
          <t>ARENALES 10521</t>
        </is>
      </c>
      <c r="C674" s="262" t="n">
        <v>1</v>
      </c>
      <c r="D674" s="262" t="n"/>
      <c r="E674" s="262" t="n"/>
      <c r="F674" s="263" t="n"/>
      <c r="G674" s="263" t="n"/>
      <c r="H674" s="264" t="n">
        <v>27000</v>
      </c>
      <c r="I674" s="265" t="n">
        <v>27000</v>
      </c>
      <c r="J674" s="265" t="n"/>
      <c r="K674" s="264" t="n"/>
      <c r="L674" s="264" t="n">
        <v>10000</v>
      </c>
    </row>
    <row r="675">
      <c r="A675" s="324" t="n"/>
      <c r="B675" s="274" t="inlineStr">
        <is>
          <t>LLERENA 2615</t>
        </is>
      </c>
      <c r="C675" s="290" t="n">
        <v>1</v>
      </c>
      <c r="D675" s="290" t="n"/>
      <c r="E675" s="290" t="n"/>
      <c r="F675" s="325" t="n"/>
      <c r="G675" s="325" t="n"/>
      <c r="H675" s="326" t="n">
        <v>29000</v>
      </c>
      <c r="I675" s="327" t="n"/>
      <c r="J675" s="327" t="n">
        <v>29000</v>
      </c>
      <c r="K675" s="264" t="n"/>
      <c r="L675" s="264" t="n">
        <v>12000</v>
      </c>
    </row>
    <row r="676">
      <c r="A676" s="261" t="n"/>
      <c r="B676" s="267" t="inlineStr">
        <is>
          <t>PEDRO CEBALLOS 8134</t>
        </is>
      </c>
      <c r="C676" s="262" t="n">
        <v>3</v>
      </c>
      <c r="D676" s="262" t="n"/>
      <c r="E676" s="262" t="n"/>
      <c r="F676" s="263" t="n"/>
      <c r="G676" s="263" t="n"/>
      <c r="H676" s="264" t="n">
        <v>66000</v>
      </c>
      <c r="I676" s="265" t="n"/>
      <c r="J676" s="265" t="n">
        <v>66000</v>
      </c>
      <c r="K676" s="264" t="n"/>
      <c r="L676" s="264" t="n">
        <v>15000</v>
      </c>
    </row>
    <row r="677">
      <c r="A677" s="324" t="n"/>
      <c r="B677" s="274" t="inlineStr">
        <is>
          <t>CASANELLO 2128</t>
        </is>
      </c>
      <c r="C677" s="290" t="n">
        <v>1</v>
      </c>
      <c r="D677" s="290" t="n"/>
      <c r="E677" s="290" t="n"/>
      <c r="F677" s="325" t="n"/>
      <c r="G677" s="325" t="n"/>
      <c r="H677" s="326" t="n">
        <v>28000</v>
      </c>
      <c r="I677" s="327" t="n"/>
      <c r="J677" s="327" t="n">
        <v>28000</v>
      </c>
      <c r="K677" s="264" t="n"/>
      <c r="L677" s="264" t="n">
        <v>11000</v>
      </c>
    </row>
    <row r="678">
      <c r="A678" s="261" t="n"/>
      <c r="B678" s="267" t="inlineStr">
        <is>
          <t>VIANDAS JORGE</t>
        </is>
      </c>
      <c r="C678" s="262" t="n">
        <v>1</v>
      </c>
      <c r="D678" s="262" t="n"/>
      <c r="E678" s="262" t="n"/>
      <c r="F678" s="263" t="n"/>
      <c r="G678" s="263" t="n"/>
      <c r="H678" s="264" t="n">
        <v>25000</v>
      </c>
      <c r="I678" s="265" t="n">
        <v>25000</v>
      </c>
      <c r="J678" s="265" t="n"/>
      <c r="K678" s="264" t="n"/>
      <c r="L678" s="264" t="n">
        <v>8000</v>
      </c>
    </row>
    <row r="679">
      <c r="A679" s="324" t="n"/>
      <c r="B679" s="274" t="inlineStr">
        <is>
          <t>DERQUI 3831</t>
        </is>
      </c>
      <c r="C679" s="290" t="n">
        <v>1</v>
      </c>
      <c r="D679" s="290" t="n"/>
      <c r="E679" s="290" t="n"/>
      <c r="F679" s="325" t="n"/>
      <c r="G679" s="325" t="n"/>
      <c r="H679" s="326" t="n">
        <v>28500</v>
      </c>
      <c r="I679" s="327" t="n"/>
      <c r="J679" s="327" t="n">
        <v>28500</v>
      </c>
      <c r="K679" s="264" t="n"/>
      <c r="L679" s="264" t="n">
        <v>11500</v>
      </c>
    </row>
    <row r="680">
      <c r="A680" s="261" t="n"/>
      <c r="B680" s="267" t="inlineStr">
        <is>
          <t>12 DE INFANTERIA 1440</t>
        </is>
      </c>
      <c r="C680" s="262" t="n">
        <v>1</v>
      </c>
      <c r="D680" s="262" t="n">
        <v>1</v>
      </c>
      <c r="E680" s="262" t="n"/>
      <c r="F680" s="263" t="n"/>
      <c r="G680" s="263" t="n"/>
      <c r="H680" s="264" t="n">
        <v>71000</v>
      </c>
      <c r="I680" s="265" t="n">
        <v>71000</v>
      </c>
      <c r="J680" s="265" t="n"/>
      <c r="K680" s="264" t="n"/>
      <c r="L680" s="264" t="n">
        <v>28500</v>
      </c>
    </row>
    <row r="681">
      <c r="A681" s="324" t="n"/>
      <c r="B681" s="274" t="inlineStr">
        <is>
          <t>COGORNO 5520</t>
        </is>
      </c>
      <c r="C681" s="290" t="n">
        <v>5</v>
      </c>
      <c r="D681" s="290" t="n"/>
      <c r="E681" s="290" t="n"/>
      <c r="F681" s="325" t="n"/>
      <c r="G681" s="325" t="n"/>
      <c r="H681" s="326" t="n">
        <v>112500</v>
      </c>
      <c r="I681" s="327" t="n"/>
      <c r="J681" s="327" t="n">
        <v>112500</v>
      </c>
      <c r="K681" s="264" t="n"/>
      <c r="L681" s="264" t="n">
        <v>27500</v>
      </c>
    </row>
    <row r="682">
      <c r="A682" s="261" t="n"/>
      <c r="B682" s="267" t="inlineStr">
        <is>
          <t>PAVON 3941</t>
        </is>
      </c>
      <c r="C682" s="262" t="n">
        <v>1</v>
      </c>
      <c r="D682" s="262" t="n"/>
      <c r="E682" s="262" t="n"/>
      <c r="F682" s="263" t="n"/>
      <c r="G682" s="263" t="n"/>
      <c r="H682" s="264" t="n">
        <v>28500</v>
      </c>
      <c r="I682" s="265" t="n">
        <v>28500</v>
      </c>
      <c r="J682" s="265" t="n"/>
      <c r="K682" s="264" t="n"/>
      <c r="L682" s="264" t="n">
        <v>11500</v>
      </c>
    </row>
    <row r="683">
      <c r="A683" s="324" t="n"/>
      <c r="B683" s="274" t="inlineStr">
        <is>
          <t>CHICLANA 6630</t>
        </is>
      </c>
      <c r="C683" s="290" t="n">
        <v>2</v>
      </c>
      <c r="D683" s="290" t="n"/>
      <c r="E683" s="290" t="n"/>
      <c r="F683" s="325" t="n"/>
      <c r="G683" s="325" t="n"/>
      <c r="H683" s="326" t="n">
        <v>54000</v>
      </c>
      <c r="I683" s="327" t="n"/>
      <c r="J683" s="327" t="n">
        <v>54000</v>
      </c>
      <c r="K683" s="264" t="n"/>
      <c r="L683" s="264" t="n">
        <v>20000</v>
      </c>
    </row>
    <row r="684">
      <c r="A684" s="261" t="n"/>
      <c r="B684" s="267" t="inlineStr">
        <is>
          <t>PUBLICO 3893</t>
        </is>
      </c>
      <c r="C684" s="262" t="n">
        <v>1</v>
      </c>
      <c r="D684" s="262" t="n">
        <v>1</v>
      </c>
      <c r="E684" s="262" t="n"/>
      <c r="F684" s="263" t="n"/>
      <c r="G684" s="263" t="n"/>
      <c r="H684" s="264" t="n">
        <v>69000</v>
      </c>
      <c r="I684" s="265" t="n"/>
      <c r="J684" s="265" t="n">
        <v>69000</v>
      </c>
      <c r="K684" s="264" t="n"/>
      <c r="L684" s="264" t="n">
        <v>26500</v>
      </c>
    </row>
    <row r="685">
      <c r="A685" s="324" t="n"/>
      <c r="B685" s="274" t="inlineStr">
        <is>
          <t>AZCUENAGA 6551</t>
        </is>
      </c>
      <c r="C685" s="290" t="n">
        <v>2</v>
      </c>
      <c r="D685" s="290" t="n"/>
      <c r="E685" s="290" t="n"/>
      <c r="F685" s="325" t="n"/>
      <c r="G685" s="325" t="n"/>
      <c r="H685" s="326" t="n">
        <v>44000</v>
      </c>
      <c r="I685" s="327" t="n">
        <v>44000</v>
      </c>
      <c r="J685" s="327" t="n"/>
      <c r="K685" s="264" t="n"/>
      <c r="L685" s="264" t="n">
        <v>10000</v>
      </c>
    </row>
    <row r="686">
      <c r="A686" s="261" t="n"/>
      <c r="B686" s="267" t="inlineStr">
        <is>
          <t>MALAVER 4238</t>
        </is>
      </c>
      <c r="C686" s="262" t="n"/>
      <c r="D686" s="262" t="n">
        <v>1</v>
      </c>
      <c r="E686" s="262" t="n"/>
      <c r="F686" s="263" t="n"/>
      <c r="G686" s="263" t="n"/>
      <c r="H686" s="264" t="n">
        <v>41500</v>
      </c>
      <c r="I686" s="265" t="n"/>
      <c r="J686" s="265" t="n">
        <v>41500</v>
      </c>
      <c r="K686" s="264" t="n"/>
      <c r="L686" s="264" t="n">
        <v>16000</v>
      </c>
    </row>
    <row r="687">
      <c r="A687" s="324" t="n"/>
      <c r="B687" s="274" t="inlineStr">
        <is>
          <t>LARGUIA 6924</t>
        </is>
      </c>
      <c r="C687" s="290" t="n">
        <v>1</v>
      </c>
      <c r="D687" s="290" t="n"/>
      <c r="E687" s="290" t="n"/>
      <c r="F687" s="325" t="n"/>
      <c r="G687" s="325" t="n"/>
      <c r="H687" s="326" t="n">
        <v>27000</v>
      </c>
      <c r="I687" s="327" t="n"/>
      <c r="J687" s="327" t="n">
        <v>27000</v>
      </c>
      <c r="K687" s="264" t="n"/>
      <c r="L687" s="264" t="n">
        <v>10000</v>
      </c>
    </row>
    <row r="688">
      <c r="A688" s="261" t="n"/>
      <c r="B688" s="267" t="inlineStr">
        <is>
          <t>FLORENCIO FERNANDEZ 6196</t>
        </is>
      </c>
      <c r="C688" s="262" t="n">
        <v>7</v>
      </c>
      <c r="D688" s="262" t="n"/>
      <c r="E688" s="262" t="n"/>
      <c r="F688" s="263" t="n"/>
      <c r="G688" s="263" t="n"/>
      <c r="H688" s="264" t="n">
        <v>154000</v>
      </c>
      <c r="I688" s="265" t="n"/>
      <c r="J688" s="265" t="n">
        <v>154000</v>
      </c>
      <c r="K688" s="264" t="n"/>
      <c r="L688" s="264" t="n">
        <v>35000</v>
      </c>
    </row>
    <row r="689">
      <c r="A689" s="324" t="n"/>
      <c r="B689" s="274" t="inlineStr">
        <is>
          <t>LOLI</t>
        </is>
      </c>
      <c r="C689" s="290" t="n"/>
      <c r="D689" s="290" t="n"/>
      <c r="E689" s="290" t="n"/>
      <c r="F689" s="325" t="n">
        <v>3</v>
      </c>
      <c r="G689" s="325" t="n"/>
      <c r="H689" s="326" t="n">
        <v>21000</v>
      </c>
      <c r="I689" s="327" t="n">
        <v>21000</v>
      </c>
      <c r="J689" s="327" t="n"/>
      <c r="K689" s="264" t="n"/>
      <c r="L689" s="264" t="n">
        <v>0</v>
      </c>
    </row>
    <row r="690">
      <c r="A690" s="261" t="n"/>
      <c r="B690" s="267" t="inlineStr">
        <is>
          <t>12 DE INFANTERIA 5210</t>
        </is>
      </c>
      <c r="C690" s="262" t="n">
        <v>1</v>
      </c>
      <c r="D690" s="262" t="n"/>
      <c r="E690" s="262" t="n"/>
      <c r="F690" s="263" t="n"/>
      <c r="G690" s="263" t="n"/>
      <c r="H690" s="264" t="n">
        <v>28000</v>
      </c>
      <c r="I690" s="265" t="n">
        <v>28000</v>
      </c>
      <c r="J690" s="265" t="n"/>
      <c r="K690" s="264" t="n"/>
      <c r="L690" s="264" t="n">
        <v>11000</v>
      </c>
    </row>
    <row r="691">
      <c r="A691" s="324" t="n"/>
      <c r="B691" s="274" t="inlineStr">
        <is>
          <t>PASAJE MARMOL 8730</t>
        </is>
      </c>
      <c r="C691" s="290" t="n">
        <v>1</v>
      </c>
      <c r="D691" s="290" t="n"/>
      <c r="E691" s="290" t="n"/>
      <c r="F691" s="325" t="n"/>
      <c r="G691" s="325" t="n"/>
      <c r="H691" s="326" t="n">
        <v>28500</v>
      </c>
      <c r="I691" s="327" t="n"/>
      <c r="J691" s="327" t="n">
        <v>28500</v>
      </c>
      <c r="K691" s="264" t="n"/>
      <c r="L691" s="264" t="n">
        <v>11500</v>
      </c>
    </row>
    <row r="692">
      <c r="A692" s="261" t="n"/>
      <c r="B692" s="267" t="inlineStr">
        <is>
          <t>SANDRA</t>
        </is>
      </c>
      <c r="C692" s="262" t="n">
        <v>1</v>
      </c>
      <c r="D692" s="262" t="n"/>
      <c r="E692" s="262" t="n"/>
      <c r="F692" s="263" t="n"/>
      <c r="G692" s="263" t="n">
        <v>1</v>
      </c>
      <c r="H692" s="264" t="n">
        <v>27000</v>
      </c>
      <c r="I692" s="265" t="n">
        <v>27000</v>
      </c>
      <c r="J692" s="265" t="n"/>
      <c r="K692" s="264" t="n"/>
      <c r="L692" s="264" t="n">
        <v>9080</v>
      </c>
    </row>
    <row r="693">
      <c r="A693" s="280" t="n">
        <v>46203</v>
      </c>
      <c r="B693" s="274" t="inlineStr">
        <is>
          <t>ALSINA 6558</t>
        </is>
      </c>
      <c r="C693" s="290" t="n"/>
      <c r="D693" s="290" t="n"/>
      <c r="E693" s="290" t="n">
        <v>1</v>
      </c>
      <c r="F693" s="325" t="n"/>
      <c r="G693" s="325" t="n"/>
      <c r="H693" s="326" t="n">
        <v>98500</v>
      </c>
      <c r="I693" s="327" t="n"/>
      <c r="J693" s="327" t="n">
        <v>98500</v>
      </c>
      <c r="K693" s="264" t="n"/>
      <c r="L693" s="264" t="n">
        <v>29500</v>
      </c>
    </row>
    <row r="694">
      <c r="A694" s="261" t="n"/>
      <c r="B694" s="267" t="inlineStr">
        <is>
          <t>DOMINGO SILVA 4217</t>
        </is>
      </c>
      <c r="C694" s="262" t="n">
        <v>2</v>
      </c>
      <c r="D694" s="262" t="n"/>
      <c r="E694" s="262" t="n"/>
      <c r="F694" s="263" t="n"/>
      <c r="G694" s="263" t="n"/>
      <c r="H694" s="264" t="n">
        <v>45000</v>
      </c>
      <c r="I694" s="265" t="n"/>
      <c r="J694" s="265" t="n">
        <v>45000</v>
      </c>
      <c r="K694" s="264" t="n"/>
      <c r="L694" s="264" t="n">
        <v>11000</v>
      </c>
    </row>
    <row r="695">
      <c r="A695" s="324" t="n"/>
      <c r="B695" s="274" t="inlineStr">
        <is>
          <t>PAULO</t>
        </is>
      </c>
      <c r="C695" s="290" t="n">
        <v>2</v>
      </c>
      <c r="D695" s="290" t="n"/>
      <c r="E695" s="290" t="n"/>
      <c r="F695" s="325" t="n"/>
      <c r="G695" s="325" t="n"/>
      <c r="H695" s="326" t="n">
        <v>44000</v>
      </c>
      <c r="I695" s="327" t="n">
        <v>44000</v>
      </c>
      <c r="J695" s="327" t="n"/>
      <c r="K695" s="264" t="n"/>
      <c r="L695" s="264" t="n">
        <v>10000</v>
      </c>
    </row>
    <row r="696">
      <c r="A696" s="261" t="n"/>
      <c r="B696" s="267" t="inlineStr">
        <is>
          <t>LUCHO</t>
        </is>
      </c>
      <c r="C696" s="262" t="n">
        <v>3</v>
      </c>
      <c r="D696" s="262" t="n"/>
      <c r="E696" s="262" t="n"/>
      <c r="F696" s="263" t="n"/>
      <c r="G696" s="263" t="n"/>
      <c r="H696" s="264" t="n">
        <v>66000</v>
      </c>
      <c r="I696" s="265" t="n">
        <v>66000</v>
      </c>
      <c r="J696" s="265" t="n"/>
      <c r="K696" s="264" t="n"/>
      <c r="L696" s="264" t="n">
        <v>15000</v>
      </c>
    </row>
    <row r="697">
      <c r="A697" s="324" t="n"/>
      <c r="B697" s="274" t="inlineStr">
        <is>
          <t>ALMONACID 4930</t>
        </is>
      </c>
      <c r="C697" s="290" t="n">
        <v>1</v>
      </c>
      <c r="D697" s="290" t="n"/>
      <c r="E697" s="290" t="n"/>
      <c r="F697" s="325" t="n"/>
      <c r="G697" s="325" t="n"/>
      <c r="H697" s="326" t="n">
        <v>27500</v>
      </c>
      <c r="I697" s="327" t="n"/>
      <c r="J697" s="327" t="n">
        <v>27500</v>
      </c>
      <c r="K697" s="264" t="n"/>
      <c r="L697" s="264" t="n">
        <v>10500</v>
      </c>
    </row>
    <row r="698">
      <c r="A698" s="261" t="n"/>
      <c r="B698" s="267" t="inlineStr">
        <is>
          <t>CRESPO 3770</t>
        </is>
      </c>
      <c r="C698" s="262" t="n">
        <v>1</v>
      </c>
      <c r="D698" s="262" t="n"/>
      <c r="E698" s="262" t="n"/>
      <c r="F698" s="263" t="n"/>
      <c r="G698" s="263" t="n"/>
      <c r="H698" s="264" t="n">
        <v>29000</v>
      </c>
      <c r="I698" s="265" t="n">
        <v>29000</v>
      </c>
      <c r="J698" s="265" t="n"/>
      <c r="K698" s="264" t="n"/>
      <c r="L698" s="264" t="n">
        <v>12000</v>
      </c>
    </row>
    <row r="699">
      <c r="A699" s="324" t="n"/>
      <c r="B699" s="274" t="inlineStr">
        <is>
          <t>JUAN DE GARAY 3810</t>
        </is>
      </c>
      <c r="C699" s="290" t="n">
        <v>1</v>
      </c>
      <c r="D699" s="290" t="n">
        <v>1</v>
      </c>
      <c r="E699" s="290" t="n"/>
      <c r="F699" s="325" t="n"/>
      <c r="G699" s="325" t="n"/>
      <c r="H699" s="326" t="n">
        <v>71000</v>
      </c>
      <c r="I699" s="327" t="n"/>
      <c r="J699" s="327" t="n">
        <v>71000</v>
      </c>
      <c r="K699" s="264" t="n"/>
      <c r="L699" s="264" t="n">
        <v>28500</v>
      </c>
    </row>
    <row r="700">
      <c r="A700" s="261" t="n"/>
      <c r="B700" s="267" t="inlineStr">
        <is>
          <t>VIEYTES 4361</t>
        </is>
      </c>
      <c r="C700" s="262" t="n">
        <v>2</v>
      </c>
      <c r="D700" s="262" t="n"/>
      <c r="E700" s="262" t="n"/>
      <c r="F700" s="263" t="n"/>
      <c r="G700" s="263" t="n"/>
      <c r="H700" s="264" t="n">
        <v>57000</v>
      </c>
      <c r="I700" s="265" t="n"/>
      <c r="J700" s="265" t="n">
        <v>57000</v>
      </c>
      <c r="K700" s="264" t="n"/>
      <c r="L700" s="264" t="n">
        <v>23000</v>
      </c>
    </row>
    <row r="701">
      <c r="A701" s="324" t="n"/>
      <c r="B701" s="274" t="inlineStr">
        <is>
          <t>PORTON CASA</t>
        </is>
      </c>
      <c r="C701" s="290" t="n">
        <v>1</v>
      </c>
      <c r="D701" s="290" t="n"/>
      <c r="E701" s="290" t="n"/>
      <c r="F701" s="325" t="n"/>
      <c r="G701" s="325" t="n"/>
      <c r="H701" s="326" t="n">
        <v>128000</v>
      </c>
      <c r="I701" s="327" t="n">
        <v>128000</v>
      </c>
      <c r="J701" s="327" t="n"/>
      <c r="K701" s="264" t="n">
        <v>65000</v>
      </c>
      <c r="L701" s="264" t="n">
        <v>46000</v>
      </c>
    </row>
    <row r="702">
      <c r="A702" s="261" t="n"/>
      <c r="B702" s="267" t="inlineStr">
        <is>
          <t>PAVON 3941</t>
        </is>
      </c>
      <c r="C702" s="262" t="n">
        <v>1</v>
      </c>
      <c r="D702" s="262" t="n"/>
      <c r="E702" s="262" t="n"/>
      <c r="F702" s="263" t="n"/>
      <c r="G702" s="263" t="n"/>
      <c r="H702" s="264" t="n">
        <v>28500</v>
      </c>
      <c r="I702" s="265" t="n">
        <v>28500</v>
      </c>
      <c r="J702" s="265" t="n"/>
      <c r="K702" s="264" t="n"/>
      <c r="L702" s="264" t="n">
        <v>11500</v>
      </c>
    </row>
    <row r="703">
      <c r="A703" s="324" t="n"/>
      <c r="B703" s="274" t="inlineStr">
        <is>
          <t>DANI PAPA VERUNO</t>
        </is>
      </c>
      <c r="C703" s="290" t="n"/>
      <c r="D703" s="290" t="n">
        <v>1</v>
      </c>
      <c r="E703" s="290" t="n"/>
      <c r="F703" s="325" t="n"/>
      <c r="G703" s="325" t="n"/>
      <c r="H703" s="326" t="n">
        <v>38500</v>
      </c>
      <c r="I703" s="327" t="n">
        <v>38500</v>
      </c>
      <c r="J703" s="327" t="n"/>
      <c r="K703" s="264" t="n"/>
      <c r="L703" s="264" t="n">
        <v>13000</v>
      </c>
    </row>
    <row r="704">
      <c r="A704" s="261" t="n"/>
      <c r="B704" s="267" t="inlineStr">
        <is>
          <t>CHICLANA 7325</t>
        </is>
      </c>
      <c r="C704" s="262" t="n">
        <v>1</v>
      </c>
      <c r="D704" s="262" t="n"/>
      <c r="E704" s="262" t="n"/>
      <c r="F704" s="263" t="n"/>
      <c r="G704" s="263" t="n"/>
      <c r="H704" s="264" t="n">
        <v>22500</v>
      </c>
      <c r="I704" s="265" t="n"/>
      <c r="J704" s="265" t="n">
        <v>22500</v>
      </c>
      <c r="K704" s="264" t="n"/>
      <c r="L704" s="264" t="n">
        <v>5500</v>
      </c>
    </row>
    <row r="705">
      <c r="A705" s="324" t="n"/>
      <c r="B705" s="274" t="inlineStr">
        <is>
          <t>PASAJE BRAILE 7178</t>
        </is>
      </c>
      <c r="C705" s="290" t="n">
        <v>2</v>
      </c>
      <c r="D705" s="290" t="n"/>
      <c r="E705" s="290" t="n"/>
      <c r="F705" s="325" t="n"/>
      <c r="G705" s="325" t="n"/>
      <c r="H705" s="326" t="n">
        <v>54000</v>
      </c>
      <c r="I705" s="327" t="n">
        <v>54000</v>
      </c>
      <c r="J705" s="327" t="n"/>
      <c r="K705" s="264" t="n"/>
      <c r="L705" s="264" t="n">
        <v>20000</v>
      </c>
    </row>
    <row r="706">
      <c r="A706" s="261" t="n"/>
      <c r="B706" s="267" t="inlineStr">
        <is>
          <t>TOFO MAMA</t>
        </is>
      </c>
      <c r="C706" s="262" t="n"/>
      <c r="D706" s="262" t="n"/>
      <c r="E706" s="262" t="n">
        <v>1</v>
      </c>
      <c r="F706" s="263" t="n"/>
      <c r="G706" s="263" t="n"/>
      <c r="H706" s="264" t="n">
        <v>99500</v>
      </c>
      <c r="I706" s="265" t="n">
        <v>99500</v>
      </c>
      <c r="J706" s="265" t="n"/>
      <c r="K706" s="264" t="n"/>
      <c r="L706" s="264" t="n">
        <v>30500</v>
      </c>
    </row>
    <row r="707">
      <c r="A707" s="324" t="n"/>
      <c r="B707" s="274" t="inlineStr">
        <is>
          <t>PUBLICO 8170</t>
        </is>
      </c>
      <c r="C707" s="290" t="n">
        <v>1</v>
      </c>
      <c r="D707" s="290" t="n"/>
      <c r="E707" s="290" t="n"/>
      <c r="F707" s="325" t="n"/>
      <c r="G707" s="325" t="n"/>
      <c r="H707" s="326" t="n">
        <v>29500</v>
      </c>
      <c r="I707" s="327" t="n"/>
      <c r="J707" s="327" t="n">
        <v>29500</v>
      </c>
      <c r="K707" s="264" t="n"/>
      <c r="L707" s="264" t="n">
        <v>12500</v>
      </c>
    </row>
    <row r="708">
      <c r="A708" s="261" t="n"/>
      <c r="B708" s="267" t="inlineStr">
        <is>
          <t>CHICLANA 7325</t>
        </is>
      </c>
      <c r="C708" s="262" t="n">
        <v>1</v>
      </c>
      <c r="D708" s="262" t="n"/>
      <c r="E708" s="262" t="n"/>
      <c r="F708" s="263" t="n"/>
      <c r="G708" s="263" t="n"/>
      <c r="H708" s="264" t="n">
        <v>22500</v>
      </c>
      <c r="I708" s="265" t="n"/>
      <c r="J708" s="265" t="n">
        <v>22500</v>
      </c>
      <c r="K708" s="264" t="n"/>
      <c r="L708" s="264" t="n">
        <v>5500</v>
      </c>
    </row>
    <row r="709">
      <c r="A709" s="324" t="n"/>
      <c r="B709" s="274" t="inlineStr">
        <is>
          <t>LUCHO</t>
        </is>
      </c>
      <c r="C709" s="290" t="n">
        <v>2</v>
      </c>
      <c r="D709" s="290" t="n"/>
      <c r="E709" s="290" t="n"/>
      <c r="F709" s="325" t="n"/>
      <c r="G709" s="325" t="n"/>
      <c r="H709" s="326" t="n">
        <v>44000</v>
      </c>
      <c r="I709" s="327" t="n"/>
      <c r="J709" s="327" t="n">
        <v>44000</v>
      </c>
      <c r="K709" s="264" t="n"/>
      <c r="L709" s="264" t="n">
        <v>10000</v>
      </c>
    </row>
    <row r="710">
      <c r="A710" s="261" t="n"/>
      <c r="B710" s="267" t="inlineStr">
        <is>
          <t>PEÑALOZA 9757</t>
        </is>
      </c>
      <c r="C710" s="262" t="n">
        <v>1</v>
      </c>
      <c r="D710" s="262" t="n"/>
      <c r="E710" s="262" t="n"/>
      <c r="F710" s="263" t="n"/>
      <c r="G710" s="263" t="n"/>
      <c r="H710" s="264" t="n">
        <v>28500</v>
      </c>
      <c r="I710" s="265" t="n"/>
      <c r="J710" s="265" t="n">
        <v>28500</v>
      </c>
      <c r="K710" s="264" t="n"/>
      <c r="L710" s="264" t="n">
        <v>11500</v>
      </c>
    </row>
    <row r="711">
      <c r="A711" s="324" t="n"/>
      <c r="B711" s="274" t="inlineStr">
        <is>
          <t>LAUTARO JOURDAN</t>
        </is>
      </c>
      <c r="C711" s="290" t="n">
        <v>1</v>
      </c>
      <c r="D711" s="290" t="n"/>
      <c r="E711" s="290" t="n"/>
      <c r="F711" s="325" t="n"/>
      <c r="G711" s="325" t="n"/>
      <c r="H711" s="326" t="n">
        <v>128000</v>
      </c>
      <c r="I711" s="327" t="n"/>
      <c r="J711" s="327" t="n">
        <v>128000</v>
      </c>
      <c r="K711" s="264" t="n">
        <v>65000</v>
      </c>
      <c r="L711" s="264" t="n">
        <v>46000</v>
      </c>
    </row>
    <row r="712">
      <c r="A712" s="261" t="n"/>
      <c r="B712" s="267" t="inlineStr">
        <is>
          <t>BERNARDO IRIGOYEN 6638</t>
        </is>
      </c>
      <c r="C712" s="262" t="n"/>
      <c r="D712" s="262" t="n">
        <v>1</v>
      </c>
      <c r="E712" s="262" t="n"/>
      <c r="F712" s="263" t="n"/>
      <c r="G712" s="263" t="n"/>
      <c r="H712" s="264" t="n">
        <v>35500</v>
      </c>
      <c r="I712" s="265" t="n">
        <v>35500</v>
      </c>
      <c r="J712" s="265" t="n"/>
      <c r="K712" s="264" t="n"/>
      <c r="L712" s="264" t="n">
        <v>10000</v>
      </c>
    </row>
    <row r="713">
      <c r="A713" s="324" t="n"/>
      <c r="B713" s="274" t="inlineStr">
        <is>
          <t>LORE</t>
        </is>
      </c>
      <c r="C713" s="290" t="n">
        <v>2</v>
      </c>
      <c r="D713" s="290" t="n">
        <v>1</v>
      </c>
      <c r="E713" s="290" t="n"/>
      <c r="F713" s="325" t="n"/>
      <c r="G713" s="325" t="n"/>
      <c r="H713" s="326" t="n">
        <v>75500</v>
      </c>
      <c r="I713" s="327" t="n">
        <v>75500</v>
      </c>
      <c r="J713" s="327" t="n"/>
      <c r="K713" s="264" t="n"/>
      <c r="L713" s="264" t="n">
        <v>16000</v>
      </c>
    </row>
    <row r="714">
      <c r="A714" s="261" t="n"/>
      <c r="B714" s="267" t="inlineStr">
        <is>
          <t>PASAJE BOEDO 1637</t>
        </is>
      </c>
      <c r="C714" s="262" t="n">
        <v>1</v>
      </c>
      <c r="D714" s="262" t="n"/>
      <c r="E714" s="262" t="n"/>
      <c r="F714" s="263" t="n"/>
      <c r="G714" s="263" t="n"/>
      <c r="H714" s="264" t="n">
        <v>29000</v>
      </c>
      <c r="I714" s="265" t="n">
        <v>29000</v>
      </c>
      <c r="J714" s="265" t="n"/>
      <c r="K714" s="264" t="n"/>
      <c r="L714" s="264" t="n">
        <v>12000</v>
      </c>
    </row>
    <row r="715">
      <c r="A715" s="324" t="n"/>
      <c r="B715" s="274" t="inlineStr">
        <is>
          <t>PAULO</t>
        </is>
      </c>
      <c r="C715" s="290" t="n"/>
      <c r="D715" s="290" t="n">
        <v>1</v>
      </c>
      <c r="E715" s="290" t="n"/>
      <c r="F715" s="325" t="n"/>
      <c r="G715" s="325" t="n"/>
      <c r="H715" s="326" t="n">
        <v>34000</v>
      </c>
      <c r="I715" s="327" t="n">
        <v>34000</v>
      </c>
      <c r="J715" s="327" t="n"/>
      <c r="K715" s="264" t="n"/>
      <c r="L715" s="264" t="n">
        <v>8500</v>
      </c>
    </row>
    <row r="716">
      <c r="A716" s="261" t="n"/>
      <c r="B716" s="267" t="inlineStr">
        <is>
          <t>MISIONES 5082</t>
        </is>
      </c>
      <c r="C716" s="262" t="n">
        <v>1</v>
      </c>
      <c r="D716" s="262" t="n"/>
      <c r="E716" s="262" t="n"/>
      <c r="F716" s="263" t="n"/>
      <c r="G716" s="263" t="n"/>
      <c r="H716" s="264" t="n">
        <v>28500</v>
      </c>
      <c r="I716" s="265" t="n">
        <v>28500</v>
      </c>
      <c r="J716" s="265" t="n"/>
      <c r="K716" s="264" t="n"/>
      <c r="L716" s="264" t="n">
        <v>11500</v>
      </c>
    </row>
    <row r="717">
      <c r="A717" s="324" t="n"/>
      <c r="B717" s="274" t="inlineStr">
        <is>
          <t>NAMUNCURA 4459</t>
        </is>
      </c>
      <c r="C717" s="290" t="n"/>
      <c r="D717" s="290" t="n">
        <v>1</v>
      </c>
      <c r="E717" s="290" t="n"/>
      <c r="F717" s="325" t="n"/>
      <c r="G717" s="325" t="n"/>
      <c r="H717" s="326" t="n">
        <v>42500</v>
      </c>
      <c r="I717" s="327" t="n"/>
      <c r="J717" s="327" t="n">
        <v>42500</v>
      </c>
      <c r="K717" s="264" t="n"/>
      <c r="L717" s="264" t="n">
        <v>17000</v>
      </c>
    </row>
    <row r="718">
      <c r="A718" s="261" t="n"/>
      <c r="B718" s="267" t="inlineStr">
        <is>
          <t>CALLEJON FUNES 4511</t>
        </is>
      </c>
      <c r="C718" s="262" t="n"/>
      <c r="D718" s="262" t="n">
        <v>1</v>
      </c>
      <c r="E718" s="262" t="n">
        <v>1</v>
      </c>
      <c r="F718" s="263" t="n"/>
      <c r="G718" s="263" t="n"/>
      <c r="H718" s="264" t="n">
        <v>135000</v>
      </c>
      <c r="I718" s="265" t="n"/>
      <c r="J718" s="265" t="n">
        <v>135000</v>
      </c>
      <c r="K718" s="264" t="n"/>
      <c r="L718" s="264" t="n">
        <v>40500</v>
      </c>
    </row>
    <row r="719">
      <c r="A719" s="324" t="n"/>
      <c r="B719" s="274" t="inlineStr">
        <is>
          <t>ALBERTI 4649</t>
        </is>
      </c>
      <c r="C719" s="290" t="n">
        <v>1</v>
      </c>
      <c r="D719" s="290" t="n"/>
      <c r="E719" s="290" t="n"/>
      <c r="F719" s="325" t="n"/>
      <c r="G719" s="325" t="n"/>
      <c r="H719" s="326" t="n">
        <v>28000</v>
      </c>
      <c r="I719" s="327" t="n"/>
      <c r="J719" s="327" t="n">
        <v>28000</v>
      </c>
      <c r="K719" s="264" t="n"/>
      <c r="L719" s="264" t="n">
        <v>11000</v>
      </c>
    </row>
    <row r="720">
      <c r="A720" s="261" t="n"/>
      <c r="B720" s="267" t="inlineStr">
        <is>
          <t>REINARES 8263</t>
        </is>
      </c>
      <c r="C720" s="262" t="n">
        <v>1</v>
      </c>
      <c r="D720" s="262" t="n"/>
      <c r="E720" s="262" t="n"/>
      <c r="F720" s="263" t="n"/>
      <c r="G720" s="263" t="n"/>
      <c r="H720" s="264" t="n">
        <v>28500</v>
      </c>
      <c r="I720" s="265" t="n"/>
      <c r="J720" s="265" t="n">
        <v>28500</v>
      </c>
      <c r="K720" s="264" t="n"/>
      <c r="L720" s="264" t="n">
        <v>11500</v>
      </c>
    </row>
    <row r="721">
      <c r="A721" s="324" t="n"/>
      <c r="B721" s="274" t="inlineStr">
        <is>
          <t>GUANELLA 4543</t>
        </is>
      </c>
      <c r="C721" s="290" t="n">
        <v>2</v>
      </c>
      <c r="D721" s="290" t="n"/>
      <c r="E721" s="290" t="n"/>
      <c r="F721" s="325" t="n"/>
      <c r="G721" s="325" t="n"/>
      <c r="H721" s="326" t="n">
        <v>54000</v>
      </c>
      <c r="I721" s="327" t="n"/>
      <c r="J721" s="327" t="n">
        <v>54000</v>
      </c>
      <c r="K721" s="264" t="n"/>
      <c r="L721" s="264" t="n">
        <v>20000</v>
      </c>
    </row>
    <row r="722">
      <c r="A722" s="261" t="n"/>
      <c r="B722" s="267" t="inlineStr">
        <is>
          <t>BERUTI 2008</t>
        </is>
      </c>
      <c r="C722" s="262" t="n"/>
      <c r="D722" s="262" t="n">
        <v>1</v>
      </c>
      <c r="E722" s="262" t="n"/>
      <c r="F722" s="263" t="n"/>
      <c r="G722" s="263" t="n"/>
      <c r="H722" s="264" t="n">
        <v>41500</v>
      </c>
      <c r="I722" s="265" t="n"/>
      <c r="J722" s="265" t="n">
        <v>41500</v>
      </c>
      <c r="K722" s="264" t="n"/>
      <c r="L722" s="264" t="n">
        <v>16000</v>
      </c>
    </row>
    <row r="723">
      <c r="A723" s="324" t="n"/>
      <c r="B723" s="274" t="inlineStr">
        <is>
          <t>PANA GISELA</t>
        </is>
      </c>
      <c r="C723" s="290" t="n">
        <v>1</v>
      </c>
      <c r="D723" s="290" t="n"/>
      <c r="E723" s="290" t="n"/>
      <c r="F723" s="325" t="n"/>
      <c r="G723" s="325" t="n"/>
      <c r="H723" s="326" t="n">
        <v>25500</v>
      </c>
      <c r="I723" s="327" t="n"/>
      <c r="J723" s="327" t="n">
        <v>25500</v>
      </c>
      <c r="K723" s="264" t="n"/>
      <c r="L723" s="264" t="n">
        <v>8500</v>
      </c>
    </row>
    <row r="724">
      <c r="A724" s="261" t="n"/>
      <c r="B724" s="267" t="inlineStr">
        <is>
          <t>PANA BONEO</t>
        </is>
      </c>
      <c r="C724" s="262" t="n">
        <v>2</v>
      </c>
      <c r="D724" s="262" t="n"/>
      <c r="E724" s="262" t="n"/>
      <c r="F724" s="263" t="n"/>
      <c r="G724" s="263" t="n"/>
      <c r="H724" s="264" t="n">
        <v>52000</v>
      </c>
      <c r="I724" s="265" t="n">
        <v>52000</v>
      </c>
      <c r="J724" s="265" t="n"/>
      <c r="K724" s="264" t="n"/>
      <c r="L724" s="264" t="n">
        <v>18000</v>
      </c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80" t="n">
        <v>46204</v>
      </c>
      <c r="B5" s="274" t="inlineStr">
        <is>
          <t>BRASERIA</t>
        </is>
      </c>
      <c r="C5" s="275" t="n"/>
      <c r="D5" s="275" t="n"/>
      <c r="E5" s="275" t="n">
        <v>1</v>
      </c>
      <c r="F5" s="276" t="n"/>
      <c r="G5" s="276" t="n"/>
      <c r="H5" s="241" t="n">
        <v>94000</v>
      </c>
      <c r="I5" s="242" t="n"/>
      <c r="J5" s="242" t="n">
        <v>94000</v>
      </c>
      <c r="K5" s="272" t="n"/>
      <c r="L5" s="272" t="n">
        <v>25000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9" t="n"/>
      <c r="B6" s="267" t="inlineStr">
        <is>
          <t>PUBLICO 4764</t>
        </is>
      </c>
      <c r="C6" s="268" t="n">
        <v>2</v>
      </c>
      <c r="D6" s="268" t="n"/>
      <c r="E6" s="268" t="n"/>
      <c r="F6" s="269" t="n"/>
      <c r="G6" s="269" t="n"/>
      <c r="H6" s="231" t="n">
        <v>54000</v>
      </c>
      <c r="I6" s="232" t="n"/>
      <c r="J6" s="232" t="n">
        <v>54000</v>
      </c>
      <c r="K6" s="272" t="n"/>
      <c r="L6" s="272" t="n">
        <v>20000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3" t="n"/>
      <c r="B7" s="274" t="inlineStr">
        <is>
          <t>MADAME CHEESE</t>
        </is>
      </c>
      <c r="C7" s="275" t="n"/>
      <c r="D7" s="275" t="n">
        <v>1</v>
      </c>
      <c r="E7" s="275" t="n"/>
      <c r="F7" s="276" t="n"/>
      <c r="G7" s="276" t="n"/>
      <c r="H7" s="241" t="n">
        <v>38500</v>
      </c>
      <c r="I7" s="242" t="n"/>
      <c r="J7" s="242" t="n">
        <v>38500</v>
      </c>
      <c r="K7" s="272" t="n"/>
      <c r="L7" s="272" t="n">
        <v>13000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9" t="n"/>
      <c r="B8" s="267" t="inlineStr">
        <is>
          <t>ESFORA 4162</t>
        </is>
      </c>
      <c r="C8" s="268" t="n">
        <v>3</v>
      </c>
      <c r="D8" s="268" t="n">
        <v>1</v>
      </c>
      <c r="E8" s="268" t="n"/>
      <c r="F8" s="269" t="n"/>
      <c r="G8" s="269" t="n"/>
      <c r="H8" s="231" t="n">
        <v>96750</v>
      </c>
      <c r="I8" s="232" t="n"/>
      <c r="J8" s="232" t="n">
        <v>96750</v>
      </c>
      <c r="K8" s="272" t="n"/>
      <c r="L8" s="272" t="n">
        <v>20250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3" t="n"/>
      <c r="B9" s="274" t="inlineStr">
        <is>
          <t>FLORENCIO FERNANDEZ 5519</t>
        </is>
      </c>
      <c r="C9" s="275" t="n"/>
      <c r="D9" s="275" t="n"/>
      <c r="E9" s="275" t="n">
        <v>1</v>
      </c>
      <c r="F9" s="276" t="n"/>
      <c r="G9" s="276" t="n"/>
      <c r="H9" s="241" t="n">
        <v>98500</v>
      </c>
      <c r="I9" s="242" t="n"/>
      <c r="J9" s="242" t="n">
        <v>98500</v>
      </c>
      <c r="K9" s="272" t="n"/>
      <c r="L9" s="272" t="n">
        <v>29500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9" t="n"/>
      <c r="B10" s="267" t="inlineStr">
        <is>
          <t>BRASIL 4871</t>
        </is>
      </c>
      <c r="C10" s="268" t="n">
        <v>1</v>
      </c>
      <c r="D10" s="268" t="n"/>
      <c r="E10" s="268" t="n"/>
      <c r="F10" s="269" t="n"/>
      <c r="G10" s="269" t="n"/>
      <c r="H10" s="231" t="n">
        <v>29000</v>
      </c>
      <c r="I10" s="232" t="n"/>
      <c r="J10" s="232" t="n">
        <v>29000</v>
      </c>
      <c r="K10" s="272" t="n"/>
      <c r="L10" s="272" t="n">
        <v>12000</v>
      </c>
      <c r="M10" s="156" t="n"/>
      <c r="N10" s="243" t="n"/>
      <c r="O10" s="244" t="n"/>
    </row>
    <row r="11" ht="21.75" customHeight="1" s="153">
      <c r="A11" s="273" t="n"/>
      <c r="B11" s="274" t="inlineStr">
        <is>
          <t>VIANDAS JORGE</t>
        </is>
      </c>
      <c r="C11" s="275" t="n">
        <v>1</v>
      </c>
      <c r="D11" s="275" t="n"/>
      <c r="E11" s="275" t="n"/>
      <c r="F11" s="276" t="n"/>
      <c r="G11" s="276" t="n"/>
      <c r="H11" s="241" t="n">
        <v>25000</v>
      </c>
      <c r="I11" s="242" t="n">
        <v>25000</v>
      </c>
      <c r="J11" s="242" t="n"/>
      <c r="K11" s="272" t="n"/>
      <c r="L11" s="272" t="n">
        <v>8000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9" t="n"/>
      <c r="B12" s="267" t="inlineStr">
        <is>
          <t>ALBERTI 5303</t>
        </is>
      </c>
      <c r="C12" s="268" t="n">
        <v>1</v>
      </c>
      <c r="D12" s="268" t="n"/>
      <c r="E12" s="268" t="n"/>
      <c r="F12" s="269" t="n"/>
      <c r="G12" s="269" t="n"/>
      <c r="H12" s="231" t="n">
        <v>27000</v>
      </c>
      <c r="I12" s="232" t="n">
        <v>27000</v>
      </c>
      <c r="J12" s="232" t="n"/>
      <c r="K12" s="272" t="n"/>
      <c r="L12" s="272" t="n">
        <v>10000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3" t="n"/>
      <c r="B13" s="274" t="inlineStr">
        <is>
          <t>URQUIZA 7255</t>
        </is>
      </c>
      <c r="C13" s="275" t="n"/>
      <c r="D13" s="275" t="n">
        <v>1</v>
      </c>
      <c r="E13" s="275" t="n"/>
      <c r="F13" s="276" t="n"/>
      <c r="G13" s="276" t="n"/>
      <c r="H13" s="241" t="n">
        <v>41500</v>
      </c>
      <c r="I13" s="242" t="n">
        <v>41500</v>
      </c>
      <c r="J13" s="242" t="n"/>
      <c r="K13" s="272" t="n"/>
      <c r="L13" s="272" t="n">
        <v>16000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9" t="n"/>
      <c r="B14" s="267" t="inlineStr">
        <is>
          <t>PICHY</t>
        </is>
      </c>
      <c r="C14" s="268" t="n">
        <v>1</v>
      </c>
      <c r="D14" s="268" t="n"/>
      <c r="E14" s="268" t="n"/>
      <c r="F14" s="269" t="n"/>
      <c r="G14" s="269" t="n"/>
      <c r="H14" s="231" t="n">
        <v>26000</v>
      </c>
      <c r="I14" s="232" t="n"/>
      <c r="J14" s="232" t="n">
        <v>26000</v>
      </c>
      <c r="K14" s="272" t="n"/>
      <c r="L14" s="272" t="n">
        <v>9000</v>
      </c>
      <c r="M14" s="156" t="n"/>
      <c r="N14" s="243" t="n"/>
      <c r="O14" s="244" t="n"/>
    </row>
    <row r="15" ht="21.75" customHeight="1" s="153">
      <c r="A15" s="273" t="n"/>
      <c r="B15" s="274" t="inlineStr">
        <is>
          <t>ROTI ARISTOBULO</t>
        </is>
      </c>
      <c r="C15" s="275" t="n"/>
      <c r="D15" s="275" t="n">
        <v>1</v>
      </c>
      <c r="E15" s="275" t="n"/>
      <c r="F15" s="276" t="n"/>
      <c r="G15" s="276" t="n"/>
      <c r="H15" s="241" t="n">
        <v>38500</v>
      </c>
      <c r="I15" s="242" t="n"/>
      <c r="J15" s="242" t="n">
        <v>38500</v>
      </c>
      <c r="K15" s="272" t="n"/>
      <c r="L15" s="272" t="n">
        <v>13000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9" t="n"/>
      <c r="B16" s="267" t="inlineStr">
        <is>
          <t>FILOMENA</t>
        </is>
      </c>
      <c r="C16" s="268" t="n">
        <v>2</v>
      </c>
      <c r="D16" s="268" t="n"/>
      <c r="E16" s="268" t="n"/>
      <c r="F16" s="269" t="n"/>
      <c r="G16" s="269" t="n"/>
      <c r="H16" s="231" t="n">
        <v>53000</v>
      </c>
      <c r="I16" s="232" t="n"/>
      <c r="J16" s="232" t="n">
        <v>53000</v>
      </c>
      <c r="K16" s="272" t="n"/>
      <c r="L16" s="272" t="n">
        <v>19000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3" t="n"/>
      <c r="B17" s="274" t="inlineStr">
        <is>
          <t>AZCUENAGA 5023</t>
        </is>
      </c>
      <c r="C17" s="275" t="n">
        <v>8</v>
      </c>
      <c r="D17" s="275" t="n"/>
      <c r="E17" s="275" t="n"/>
      <c r="F17" s="276" t="n"/>
      <c r="G17" s="276" t="n"/>
      <c r="H17" s="241" t="n">
        <v>176000</v>
      </c>
      <c r="I17" s="242" t="n"/>
      <c r="J17" s="242" t="n">
        <v>176000</v>
      </c>
      <c r="K17" s="272" t="n"/>
      <c r="L17" s="272" t="n">
        <v>40000</v>
      </c>
      <c r="M17" s="156" t="n"/>
      <c r="N17" s="243" t="n"/>
      <c r="O17" s="244" t="n"/>
    </row>
    <row r="18" ht="21.75" customHeight="1" s="153">
      <c r="A18" s="279" t="n"/>
      <c r="B18" s="267" t="inlineStr">
        <is>
          <t>AYACUCHO 5284</t>
        </is>
      </c>
      <c r="C18" s="268" t="n"/>
      <c r="D18" s="268" t="n"/>
      <c r="E18" s="268" t="n">
        <v>1</v>
      </c>
      <c r="F18" s="269" t="n"/>
      <c r="G18" s="269" t="n"/>
      <c r="H18" s="231" t="n">
        <v>89000</v>
      </c>
      <c r="I18" s="232" t="n"/>
      <c r="J18" s="232" t="n">
        <v>89000</v>
      </c>
      <c r="K18" s="272" t="n"/>
      <c r="L18" s="272" t="n">
        <v>20000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3" t="n"/>
      <c r="B19" s="274" t="inlineStr">
        <is>
          <t>VIEYTES 4323</t>
        </is>
      </c>
      <c r="C19" s="275" t="n">
        <v>1</v>
      </c>
      <c r="D19" s="275" t="n"/>
      <c r="E19" s="275" t="n"/>
      <c r="F19" s="276" t="n"/>
      <c r="G19" s="276" t="n"/>
      <c r="H19" s="241" t="n">
        <v>27000</v>
      </c>
      <c r="I19" s="242" t="n">
        <v>27000</v>
      </c>
      <c r="J19" s="242" t="n"/>
      <c r="K19" s="272" t="n"/>
      <c r="L19" s="272" t="n">
        <v>10000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/>
      <c r="B20" s="267" t="inlineStr">
        <is>
          <t>LAS HERAS 5471</t>
        </is>
      </c>
      <c r="C20" s="268" t="n">
        <v>2</v>
      </c>
      <c r="D20" s="268" t="n"/>
      <c r="E20" s="268" t="n"/>
      <c r="F20" s="269" t="n"/>
      <c r="G20" s="269" t="n"/>
      <c r="H20" s="231" t="n">
        <v>58000</v>
      </c>
      <c r="I20" s="232" t="n"/>
      <c r="J20" s="232" t="n">
        <v>58000</v>
      </c>
      <c r="K20" s="272" t="n"/>
      <c r="L20" s="272" t="n">
        <v>24000</v>
      </c>
      <c r="M20" s="156" t="n"/>
      <c r="N20" s="243" t="n"/>
      <c r="O20" s="244" t="n"/>
    </row>
    <row r="21" ht="21.75" customHeight="1" s="153">
      <c r="A21" s="273" t="n"/>
      <c r="B21" s="274" t="inlineStr">
        <is>
          <t>SIRLAKI</t>
        </is>
      </c>
      <c r="C21" s="275" t="n"/>
      <c r="D21" s="275" t="n"/>
      <c r="E21" s="275" t="n">
        <v>1</v>
      </c>
      <c r="F21" s="276" t="n"/>
      <c r="G21" s="276" t="n"/>
      <c r="H21" s="241" t="n">
        <v>95000</v>
      </c>
      <c r="I21" s="242" t="n">
        <v>95000</v>
      </c>
      <c r="J21" s="242" t="n"/>
      <c r="K21" s="272" t="n"/>
      <c r="L21" s="272" t="n">
        <v>26000</v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GORRITI 6722</t>
        </is>
      </c>
      <c r="C22" s="268" t="n"/>
      <c r="D22" s="268" t="n"/>
      <c r="E22" s="268" t="n">
        <v>1</v>
      </c>
      <c r="F22" s="269" t="n"/>
      <c r="G22" s="269" t="n"/>
      <c r="H22" s="231" t="n">
        <v>102000</v>
      </c>
      <c r="I22" s="232" t="n">
        <v>102000</v>
      </c>
      <c r="J22" s="232" t="n"/>
      <c r="K22" s="272" t="n"/>
      <c r="L22" s="272" t="n">
        <v>33000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LORE</t>
        </is>
      </c>
      <c r="C23" s="275" t="n">
        <v>3</v>
      </c>
      <c r="D23" s="275" t="n">
        <v>1</v>
      </c>
      <c r="E23" s="275" t="n"/>
      <c r="F23" s="276" t="n"/>
      <c r="G23" s="276" t="n"/>
      <c r="H23" s="241" t="n">
        <v>96500</v>
      </c>
      <c r="I23" s="242" t="n">
        <v>96500</v>
      </c>
      <c r="J23" s="242" t="n"/>
      <c r="K23" s="272" t="n"/>
      <c r="L23" s="272" t="n">
        <v>20000</v>
      </c>
      <c r="M23" s="156" t="n"/>
      <c r="N23" s="156" t="n"/>
      <c r="O23" s="156" t="n"/>
    </row>
    <row r="24" ht="18.75" customHeight="1" s="153">
      <c r="A24" s="279" t="n"/>
      <c r="B24" s="267" t="inlineStr">
        <is>
          <t>JULIO GALARZA</t>
        </is>
      </c>
      <c r="C24" s="268" t="n">
        <v>1</v>
      </c>
      <c r="D24" s="268" t="n"/>
      <c r="E24" s="268" t="n"/>
      <c r="F24" s="269" t="n"/>
      <c r="G24" s="269" t="n"/>
      <c r="H24" s="231" t="n">
        <v>27000</v>
      </c>
      <c r="I24" s="232" t="n">
        <v>27000</v>
      </c>
      <c r="J24" s="232" t="n"/>
      <c r="K24" s="272" t="n"/>
      <c r="L24" s="272" t="n">
        <v>10000</v>
      </c>
      <c r="M24" s="156" t="n"/>
      <c r="N24" s="156" t="n"/>
      <c r="O24" s="156" t="n"/>
    </row>
    <row r="25" ht="18.75" customHeight="1" s="153">
      <c r="A25" s="273" t="n"/>
      <c r="B25" s="274" t="inlineStr">
        <is>
          <t>ARENALES 6553</t>
        </is>
      </c>
      <c r="C25" s="275" t="n">
        <v>1</v>
      </c>
      <c r="D25" s="275" t="n"/>
      <c r="E25" s="275" t="n"/>
      <c r="F25" s="276" t="n"/>
      <c r="G25" s="276" t="n"/>
      <c r="H25" s="241" t="n">
        <v>28500</v>
      </c>
      <c r="I25" s="242" t="n">
        <v>28500</v>
      </c>
      <c r="J25" s="242" t="n"/>
      <c r="K25" s="272" t="n"/>
      <c r="L25" s="272" t="n">
        <v>11500</v>
      </c>
      <c r="M25" s="156" t="n"/>
      <c r="N25" s="156" t="n"/>
      <c r="O25" s="156" t="n"/>
    </row>
    <row r="26" ht="18.75" customHeight="1" s="153">
      <c r="A26" s="279" t="n"/>
      <c r="B26" s="267" t="inlineStr">
        <is>
          <t>FRENCH 3960</t>
        </is>
      </c>
      <c r="C26" s="268" t="n"/>
      <c r="D26" s="268" t="n"/>
      <c r="E26" s="268" t="n">
        <v>1</v>
      </c>
      <c r="F26" s="269" t="n"/>
      <c r="G26" s="269" t="n"/>
      <c r="H26" s="231" t="n">
        <v>103000</v>
      </c>
      <c r="I26" s="232" t="n">
        <v>103000</v>
      </c>
      <c r="J26" s="232" t="n"/>
      <c r="K26" s="272" t="n"/>
      <c r="L26" s="272" t="n">
        <v>34000</v>
      </c>
      <c r="M26" s="156" t="n"/>
      <c r="N26" s="156" t="n"/>
      <c r="O26" s="156" t="n"/>
    </row>
    <row r="27" ht="18.75" customHeight="1" s="153">
      <c r="A27" s="273" t="n"/>
      <c r="B27" s="274" t="inlineStr">
        <is>
          <t>EUROPA 7163</t>
        </is>
      </c>
      <c r="C27" s="275" t="n">
        <v>1</v>
      </c>
      <c r="D27" s="275" t="n"/>
      <c r="E27" s="275" t="n"/>
      <c r="F27" s="276" t="n"/>
      <c r="G27" s="276" t="n"/>
      <c r="H27" s="241" t="n">
        <v>27500</v>
      </c>
      <c r="I27" s="242" t="n">
        <v>27500</v>
      </c>
      <c r="J27" s="242" t="n"/>
      <c r="K27" s="272" t="n"/>
      <c r="L27" s="272" t="n">
        <v>10500</v>
      </c>
      <c r="M27" s="156" t="n"/>
      <c r="N27" s="156" t="n"/>
      <c r="O27" s="156" t="n"/>
    </row>
    <row r="28" ht="18.75" customHeight="1" s="153">
      <c r="A28" s="279" t="n"/>
      <c r="B28" s="267" t="inlineStr">
        <is>
          <t>PANA BONEO</t>
        </is>
      </c>
      <c r="C28" s="268" t="n"/>
      <c r="D28" s="268" t="n"/>
      <c r="E28" s="268" t="n">
        <v>1</v>
      </c>
      <c r="F28" s="269" t="n"/>
      <c r="G28" s="269" t="n"/>
      <c r="H28" s="231" t="n">
        <v>89000</v>
      </c>
      <c r="I28" s="232" t="n">
        <v>89000</v>
      </c>
      <c r="J28" s="232" t="n"/>
      <c r="K28" s="272" t="n"/>
      <c r="L28" s="272" t="n">
        <v>20000</v>
      </c>
      <c r="M28" s="156" t="n"/>
      <c r="N28" s="156" t="n"/>
      <c r="O28" s="156" t="n"/>
    </row>
    <row r="29" ht="18.75" customHeight="1" s="153">
      <c r="A29" s="273" t="n"/>
      <c r="B29" s="274" t="inlineStr">
        <is>
          <t>OTNIEL</t>
        </is>
      </c>
      <c r="C29" s="275" t="n">
        <v>1</v>
      </c>
      <c r="D29" s="275" t="n"/>
      <c r="E29" s="275" t="n"/>
      <c r="F29" s="276" t="n"/>
      <c r="G29" s="276" t="n"/>
      <c r="H29" s="241" t="n">
        <v>25000</v>
      </c>
      <c r="I29" s="242" t="n">
        <v>25000</v>
      </c>
      <c r="J29" s="242" t="n"/>
      <c r="K29" s="272" t="n"/>
      <c r="L29" s="272" t="n">
        <v>8000</v>
      </c>
      <c r="M29" s="156" t="n"/>
      <c r="N29" s="156" t="n"/>
      <c r="O29" s="156">
        <f>IFERROR(SUM(L5:L700)/COUNTA(B5:B700),0)</f>
        <v/>
      </c>
    </row>
    <row r="30" ht="18.75" customHeight="1" s="153">
      <c r="A30" s="279" t="n"/>
      <c r="B30" s="267" t="inlineStr">
        <is>
          <t>MARCOS VECINO AMBULANCIA</t>
        </is>
      </c>
      <c r="C30" s="268" t="n">
        <v>1</v>
      </c>
      <c r="D30" s="268" t="n"/>
      <c r="E30" s="268" t="n"/>
      <c r="F30" s="269" t="n"/>
      <c r="G30" s="269" t="n"/>
      <c r="H30" s="231" t="n">
        <v>25000</v>
      </c>
      <c r="I30" s="232" t="n"/>
      <c r="J30" s="232" t="n">
        <v>25000</v>
      </c>
      <c r="K30" s="272" t="n"/>
      <c r="L30" s="272" t="n">
        <v>8000</v>
      </c>
      <c r="M30" s="156" t="n"/>
      <c r="N30" s="156" t="n"/>
      <c r="O30" s="156" t="n"/>
    </row>
    <row r="31" ht="18.75" customHeight="1" s="153">
      <c r="A31" s="273" t="n"/>
      <c r="B31" s="274" t="inlineStr">
        <is>
          <t>LOPEZ Y PLANES 4585</t>
        </is>
      </c>
      <c r="C31" s="275" t="n">
        <v>1</v>
      </c>
      <c r="D31" s="275" t="n"/>
      <c r="E31" s="275" t="n"/>
      <c r="F31" s="276" t="n"/>
      <c r="G31" s="276" t="n"/>
      <c r="H31" s="241" t="n">
        <v>29000</v>
      </c>
      <c r="I31" s="242" t="n"/>
      <c r="J31" s="242" t="n">
        <v>29000</v>
      </c>
      <c r="K31" s="272" t="n"/>
      <c r="L31" s="272" t="n">
        <v>12000</v>
      </c>
      <c r="M31" s="156" t="n"/>
      <c r="N31" s="156" t="n"/>
      <c r="O31" s="156" t="n"/>
    </row>
    <row r="32" ht="18.75" customHeight="1" s="153">
      <c r="A32" s="279" t="n"/>
      <c r="B32" s="267" t="inlineStr">
        <is>
          <t>PICHY</t>
        </is>
      </c>
      <c r="C32" s="268" t="n">
        <v>1</v>
      </c>
      <c r="D32" s="268" t="n"/>
      <c r="E32" s="268" t="n"/>
      <c r="F32" s="269" t="n"/>
      <c r="G32" s="269" t="n"/>
      <c r="H32" s="231" t="n">
        <v>26000</v>
      </c>
      <c r="I32" s="232" t="n"/>
      <c r="J32" s="232" t="n">
        <v>26000</v>
      </c>
      <c r="K32" s="272" t="n"/>
      <c r="L32" s="272" t="n">
        <v>9000</v>
      </c>
      <c r="M32" s="156" t="n"/>
      <c r="N32" s="156" t="n"/>
      <c r="O32" s="156" t="n"/>
    </row>
    <row r="33" ht="18.75" customHeight="1" s="153">
      <c r="A33" s="273" t="n"/>
      <c r="B33" s="274" t="inlineStr">
        <is>
          <t>PANA VIEYTES 4500</t>
        </is>
      </c>
      <c r="C33" s="275" t="n"/>
      <c r="D33" s="275" t="n"/>
      <c r="E33" s="275" t="n">
        <v>1</v>
      </c>
      <c r="F33" s="276" t="n"/>
      <c r="G33" s="276" t="n"/>
      <c r="H33" s="241" t="n">
        <v>88000</v>
      </c>
      <c r="I33" s="242" t="n"/>
      <c r="J33" s="242" t="n">
        <v>88000</v>
      </c>
      <c r="K33" s="272" t="n"/>
      <c r="L33" s="272" t="n">
        <v>19000</v>
      </c>
      <c r="M33" s="156" t="n"/>
      <c r="N33" s="156" t="n"/>
      <c r="O33" s="156" t="n"/>
    </row>
    <row r="34" ht="18.75" customHeight="1" s="153">
      <c r="A34" s="279" t="n"/>
      <c r="B34" s="267" t="inlineStr">
        <is>
          <t>PANA ALBERTI</t>
        </is>
      </c>
      <c r="C34" s="268" t="n"/>
      <c r="D34" s="268" t="n"/>
      <c r="E34" s="268" t="n">
        <v>1</v>
      </c>
      <c r="F34" s="269" t="n"/>
      <c r="G34" s="269" t="n"/>
      <c r="H34" s="231" t="n">
        <v>91000</v>
      </c>
      <c r="I34" s="232" t="n">
        <v>91000</v>
      </c>
      <c r="J34" s="232" t="n"/>
      <c r="K34" s="272" t="n"/>
      <c r="L34" s="272" t="n">
        <v>22000</v>
      </c>
      <c r="M34" s="156" t="n"/>
      <c r="N34" s="156" t="n"/>
      <c r="O34" s="156" t="n"/>
    </row>
    <row r="35" ht="18.75" customHeight="1" s="153">
      <c r="A35" s="273" t="n"/>
      <c r="B35" s="274" t="inlineStr">
        <is>
          <t>CASANELLO 3463</t>
        </is>
      </c>
      <c r="C35" s="275" t="n">
        <v>1</v>
      </c>
      <c r="D35" s="275" t="n"/>
      <c r="E35" s="275" t="n"/>
      <c r="F35" s="276" t="n"/>
      <c r="G35" s="276" t="n"/>
      <c r="H35" s="241" t="n">
        <v>28500</v>
      </c>
      <c r="I35" s="242" t="n"/>
      <c r="J35" s="242" t="n">
        <v>28500</v>
      </c>
      <c r="K35" s="272" t="n"/>
      <c r="L35" s="272" t="n">
        <v>11500</v>
      </c>
      <c r="M35" s="156" t="n"/>
      <c r="N35" s="156" t="n"/>
      <c r="O35" s="156" t="n"/>
    </row>
    <row r="36" ht="18.75" customHeight="1" s="153">
      <c r="A36" s="279" t="n"/>
      <c r="B36" s="267" t="inlineStr">
        <is>
          <t>NACHO CUEVA</t>
        </is>
      </c>
      <c r="C36" s="268" t="n">
        <v>1</v>
      </c>
      <c r="D36" s="268" t="n"/>
      <c r="E36" s="268" t="n"/>
      <c r="F36" s="269" t="n"/>
      <c r="G36" s="269" t="n"/>
      <c r="H36" s="231" t="n">
        <v>25500</v>
      </c>
      <c r="I36" s="232" t="n"/>
      <c r="J36" s="232" t="n">
        <v>25500</v>
      </c>
      <c r="K36" s="272" t="n"/>
      <c r="L36" s="272" t="n">
        <v>8500</v>
      </c>
      <c r="M36" s="156" t="n"/>
      <c r="N36" s="156" t="n"/>
      <c r="O36" s="156" t="n"/>
    </row>
    <row r="37" ht="18.75" customHeight="1" s="153">
      <c r="A37" s="273" t="n"/>
      <c r="B37" s="274" t="inlineStr">
        <is>
          <t>PORTON CASA</t>
        </is>
      </c>
      <c r="C37" s="275" t="n">
        <v>1</v>
      </c>
      <c r="D37" s="275" t="n"/>
      <c r="E37" s="275" t="n"/>
      <c r="F37" s="276" t="n"/>
      <c r="G37" s="276" t="n"/>
      <c r="H37" s="241" t="n">
        <v>25000</v>
      </c>
      <c r="I37" s="242" t="n">
        <v>25000</v>
      </c>
      <c r="J37" s="242" t="n"/>
      <c r="K37" s="272" t="n"/>
      <c r="L37" s="272" t="n">
        <v>8000</v>
      </c>
      <c r="M37" s="156" t="n"/>
      <c r="N37" s="156" t="n"/>
      <c r="O37" s="156" t="n"/>
    </row>
    <row r="38" ht="18.75" customHeight="1" s="153">
      <c r="A38" s="279" t="n"/>
      <c r="B38" s="267" t="inlineStr">
        <is>
          <t>SABOREAR</t>
        </is>
      </c>
      <c r="C38" s="268" t="n"/>
      <c r="D38" s="268" t="n"/>
      <c r="E38" s="268" t="n">
        <v>1</v>
      </c>
      <c r="F38" s="269" t="n"/>
      <c r="G38" s="269" t="n"/>
      <c r="H38" s="231" t="n">
        <v>89000</v>
      </c>
      <c r="I38" s="232" t="n"/>
      <c r="J38" s="232" t="n">
        <v>89000</v>
      </c>
      <c r="K38" s="272" t="n"/>
      <c r="L38" s="272" t="n">
        <v>20000</v>
      </c>
      <c r="M38" s="156" t="n"/>
      <c r="N38" s="156" t="n"/>
      <c r="O38" s="156" t="n"/>
    </row>
    <row r="39" ht="18.75" customHeight="1" s="153">
      <c r="A39" s="273" t="n"/>
      <c r="B39" s="274" t="inlineStr">
        <is>
          <t>PANA GISELA</t>
        </is>
      </c>
      <c r="C39" s="275" t="n">
        <v>1</v>
      </c>
      <c r="D39" s="275" t="n"/>
      <c r="E39" s="275" t="n"/>
      <c r="F39" s="276" t="n"/>
      <c r="G39" s="276" t="n"/>
      <c r="H39" s="241" t="n">
        <v>25500</v>
      </c>
      <c r="I39" s="242" t="n"/>
      <c r="J39" s="242" t="n">
        <v>25500</v>
      </c>
      <c r="K39" s="272" t="n"/>
      <c r="L39" s="272" t="n">
        <v>8500</v>
      </c>
      <c r="M39" s="156" t="n"/>
      <c r="N39" s="156" t="n"/>
      <c r="O39" s="156" t="n"/>
    </row>
    <row r="40" ht="18.75" customHeight="1" s="153">
      <c r="A40" s="266" t="n">
        <v>46205</v>
      </c>
      <c r="B40" s="267" t="inlineStr">
        <is>
          <t>ESCALONETA</t>
        </is>
      </c>
      <c r="C40" s="268" t="n"/>
      <c r="D40" s="268" t="n"/>
      <c r="E40" s="268" t="n">
        <v>1</v>
      </c>
      <c r="F40" s="269" t="n"/>
      <c r="G40" s="269" t="n"/>
      <c r="H40" s="231" t="n">
        <v>95000</v>
      </c>
      <c r="I40" s="232" t="n"/>
      <c r="J40" s="232" t="n">
        <v>95000</v>
      </c>
      <c r="K40" s="272" t="n"/>
      <c r="L40" s="272" t="n">
        <v>26000</v>
      </c>
      <c r="M40" s="156" t="n"/>
      <c r="N40" s="156" t="n"/>
      <c r="O40" s="156" t="n"/>
    </row>
    <row r="41" ht="18.75" customHeight="1" s="153">
      <c r="A41" s="273" t="n"/>
      <c r="B41" s="274" t="inlineStr">
        <is>
          <t>VANE GORDILLO</t>
        </is>
      </c>
      <c r="C41" s="275" t="n">
        <v>1</v>
      </c>
      <c r="D41" s="275" t="n"/>
      <c r="E41" s="275" t="n"/>
      <c r="F41" s="276" t="n"/>
      <c r="G41" s="276" t="n"/>
      <c r="H41" s="241" t="n">
        <v>26000</v>
      </c>
      <c r="I41" s="242" t="n"/>
      <c r="J41" s="242" t="n">
        <v>26000</v>
      </c>
      <c r="K41" s="272" t="n"/>
      <c r="L41" s="272" t="n">
        <v>9000</v>
      </c>
      <c r="M41" s="156" t="n"/>
      <c r="N41" s="156" t="n"/>
      <c r="O41" s="156" t="n"/>
    </row>
    <row r="42" ht="18.75" customHeight="1" s="153">
      <c r="A42" s="279" t="n"/>
      <c r="B42" s="267" t="inlineStr">
        <is>
          <t>PIO PANDOLFO 8980</t>
        </is>
      </c>
      <c r="C42" s="268" t="n"/>
      <c r="D42" s="268" t="n">
        <v>1</v>
      </c>
      <c r="E42" s="268" t="n"/>
      <c r="F42" s="269" t="n"/>
      <c r="G42" s="269" t="n"/>
      <c r="H42" s="231" t="n">
        <v>42500</v>
      </c>
      <c r="I42" s="232" t="n"/>
      <c r="J42" s="232" t="n">
        <v>42500</v>
      </c>
      <c r="K42" s="272" t="n"/>
      <c r="L42" s="272" t="n">
        <v>17000</v>
      </c>
      <c r="M42" s="156" t="n"/>
      <c r="N42" s="156" t="n"/>
      <c r="O42" s="156" t="n"/>
    </row>
    <row r="43" ht="18.75" customHeight="1" s="153">
      <c r="A43" s="273" t="n"/>
      <c r="B43" s="274" t="inlineStr">
        <is>
          <t>ECHEVERRIA 5430</t>
        </is>
      </c>
      <c r="C43" s="275" t="n">
        <v>1</v>
      </c>
      <c r="D43" s="275" t="n"/>
      <c r="E43" s="275" t="n"/>
      <c r="F43" s="276" t="n"/>
      <c r="G43" s="276" t="n"/>
      <c r="H43" s="241" t="n">
        <v>29000</v>
      </c>
      <c r="I43" s="242" t="n">
        <v>29000</v>
      </c>
      <c r="J43" s="242" t="n"/>
      <c r="K43" s="272" t="n"/>
      <c r="L43" s="272" t="n">
        <v>12000</v>
      </c>
      <c r="M43" s="156" t="n"/>
      <c r="N43" s="156" t="n"/>
      <c r="O43" s="156" t="n"/>
    </row>
    <row r="44" ht="18.75" customHeight="1" s="153">
      <c r="A44" s="279" t="n"/>
      <c r="B44" s="267" t="inlineStr">
        <is>
          <t>ALBEAR 6578</t>
        </is>
      </c>
      <c r="C44" s="268" t="n">
        <v>1</v>
      </c>
      <c r="D44" s="268" t="n"/>
      <c r="E44" s="268" t="n"/>
      <c r="F44" s="269" t="n"/>
      <c r="G44" s="269" t="n"/>
      <c r="H44" s="231" t="n">
        <v>29000</v>
      </c>
      <c r="I44" s="232" t="n"/>
      <c r="J44" s="232" t="n">
        <v>29000</v>
      </c>
      <c r="K44" s="272" t="n"/>
      <c r="L44" s="272" t="n">
        <v>12000</v>
      </c>
      <c r="M44" s="156" t="n"/>
      <c r="N44" s="156" t="n"/>
      <c r="O44" s="156" t="n"/>
    </row>
    <row r="45" ht="18.75" customHeight="1" s="153">
      <c r="A45" s="273" t="n"/>
      <c r="B45" s="274" t="inlineStr">
        <is>
          <t>PAVON 6035</t>
        </is>
      </c>
      <c r="C45" s="275" t="n">
        <v>1</v>
      </c>
      <c r="D45" s="275" t="n"/>
      <c r="E45" s="275" t="n"/>
      <c r="F45" s="276" t="n"/>
      <c r="G45" s="276" t="n"/>
      <c r="H45" s="241" t="n">
        <v>28000</v>
      </c>
      <c r="I45" s="242" t="n">
        <v>28000</v>
      </c>
      <c r="J45" s="242" t="n"/>
      <c r="K45" s="272" t="n"/>
      <c r="L45" s="272" t="n">
        <v>11000</v>
      </c>
      <c r="M45" s="156" t="n"/>
      <c r="N45" s="156" t="n"/>
      <c r="O45" s="156" t="n"/>
    </row>
    <row r="46" ht="18.75" customHeight="1" s="153">
      <c r="A46" s="279" t="n"/>
      <c r="B46" s="267" t="inlineStr">
        <is>
          <t>ROTI SAN LORENZO</t>
        </is>
      </c>
      <c r="C46" s="268" t="n">
        <v>3</v>
      </c>
      <c r="D46" s="268" t="n">
        <v>1</v>
      </c>
      <c r="E46" s="268" t="n"/>
      <c r="F46" s="269" t="n"/>
      <c r="G46" s="269" t="n"/>
      <c r="H46" s="231" t="n">
        <v>119000</v>
      </c>
      <c r="I46" s="232" t="n"/>
      <c r="J46" s="232" t="n">
        <v>119000</v>
      </c>
      <c r="K46" s="272" t="n"/>
      <c r="L46" s="272" t="n">
        <v>42500</v>
      </c>
      <c r="M46" s="156" t="n"/>
      <c r="N46" s="156" t="n"/>
      <c r="O46" s="156" t="n"/>
    </row>
    <row r="47" ht="18.75" customHeight="1" s="153">
      <c r="A47" s="273" t="n"/>
      <c r="B47" s="274" t="inlineStr">
        <is>
          <t>JUAN OTNIEL</t>
        </is>
      </c>
      <c r="C47" s="275" t="n"/>
      <c r="D47" s="275" t="n"/>
      <c r="E47" s="275" t="n"/>
      <c r="F47" s="276" t="n"/>
      <c r="G47" s="276" t="n">
        <v>1</v>
      </c>
      <c r="H47" s="241" t="n">
        <v>6900</v>
      </c>
      <c r="I47" s="242" t="n"/>
      <c r="J47" s="242" t="n">
        <v>6900</v>
      </c>
      <c r="K47" s="272" t="n"/>
      <c r="L47" s="272" t="n">
        <v>5980</v>
      </c>
      <c r="M47" s="156" t="n"/>
      <c r="N47" s="156" t="n"/>
      <c r="O47" s="156" t="n"/>
    </row>
    <row r="48" ht="18.75" customHeight="1" s="153">
      <c r="A48" s="279" t="n"/>
      <c r="B48" s="267" t="inlineStr">
        <is>
          <t>GABOTO 8168</t>
        </is>
      </c>
      <c r="C48" s="268" t="n"/>
      <c r="D48" s="268" t="n"/>
      <c r="E48" s="268" t="n">
        <v>1</v>
      </c>
      <c r="F48" s="269" t="n"/>
      <c r="G48" s="269" t="n"/>
      <c r="H48" s="231" t="n">
        <v>98000</v>
      </c>
      <c r="I48" s="232" t="n">
        <v>98000</v>
      </c>
      <c r="J48" s="232" t="n"/>
      <c r="K48" s="272" t="n"/>
      <c r="L48" s="272" t="n">
        <v>29000</v>
      </c>
      <c r="M48" s="156" t="n"/>
      <c r="N48" s="156" t="n"/>
      <c r="O48" s="156" t="n"/>
    </row>
    <row r="49" ht="18.75" customHeight="1" s="153">
      <c r="A49" s="273" t="n"/>
      <c r="B49" s="274" t="inlineStr">
        <is>
          <t>LO DE NICO</t>
        </is>
      </c>
      <c r="C49" s="275" t="n">
        <v>4</v>
      </c>
      <c r="D49" s="275" t="n"/>
      <c r="E49" s="275" t="n"/>
      <c r="F49" s="276" t="n"/>
      <c r="G49" s="276" t="n"/>
      <c r="H49" s="241" t="n">
        <v>90000</v>
      </c>
      <c r="I49" s="242" t="n"/>
      <c r="J49" s="242" t="n">
        <v>90000</v>
      </c>
      <c r="K49" s="272" t="n"/>
      <c r="L49" s="272" t="n">
        <v>22000</v>
      </c>
      <c r="M49" s="156" t="n"/>
      <c r="N49" s="156" t="n"/>
      <c r="O49" s="156" t="n"/>
    </row>
    <row r="50" ht="18.75" customHeight="1" s="153">
      <c r="A50" s="279" t="n"/>
      <c r="B50" s="267" t="inlineStr">
        <is>
          <t>GRINGO Y EL GATO</t>
        </is>
      </c>
      <c r="C50" s="268" t="n"/>
      <c r="D50" s="268" t="n"/>
      <c r="E50" s="268" t="n">
        <v>1</v>
      </c>
      <c r="F50" s="269" t="n"/>
      <c r="G50" s="269" t="n"/>
      <c r="H50" s="231" t="n">
        <v>102000</v>
      </c>
      <c r="I50" s="232" t="n">
        <v>102000</v>
      </c>
      <c r="J50" s="232" t="n"/>
      <c r="K50" s="272" t="n"/>
      <c r="L50" s="272" t="n">
        <v>33000</v>
      </c>
      <c r="M50" s="156" t="n"/>
      <c r="N50" s="156" t="n"/>
      <c r="O50" s="156" t="n"/>
    </row>
    <row r="51" ht="18.75" customHeight="1" s="153">
      <c r="A51" s="273" t="n"/>
      <c r="B51" s="274" t="inlineStr">
        <is>
          <t>AVELLANEDA 4448</t>
        </is>
      </c>
      <c r="C51" s="275" t="n"/>
      <c r="D51" s="275" t="n"/>
      <c r="E51" s="275" t="n">
        <v>1</v>
      </c>
      <c r="F51" s="276" t="n"/>
      <c r="G51" s="276" t="n"/>
      <c r="H51" s="241" t="n">
        <v>106000</v>
      </c>
      <c r="I51" s="242" t="n"/>
      <c r="J51" s="242" t="n">
        <v>106000</v>
      </c>
      <c r="K51" s="272" t="n"/>
      <c r="L51" s="272" t="n">
        <v>37000</v>
      </c>
      <c r="M51" s="156" t="n"/>
      <c r="N51" s="156" t="n"/>
      <c r="O51" s="156" t="n"/>
    </row>
    <row r="52" ht="18.75" customHeight="1" s="153">
      <c r="A52" s="279" t="n"/>
      <c r="B52" s="267" t="inlineStr">
        <is>
          <t>FRANCIA 1047</t>
        </is>
      </c>
      <c r="C52" s="268" t="n">
        <v>1</v>
      </c>
      <c r="D52" s="268" t="n"/>
      <c r="E52" s="268" t="n"/>
      <c r="F52" s="269" t="n"/>
      <c r="G52" s="269" t="n"/>
      <c r="H52" s="231" t="n">
        <v>28500</v>
      </c>
      <c r="I52" s="232" t="n">
        <v>28500</v>
      </c>
      <c r="J52" s="232" t="n"/>
      <c r="K52" s="272" t="n"/>
      <c r="L52" s="272" t="n">
        <v>11500</v>
      </c>
      <c r="M52" s="156" t="n"/>
      <c r="N52" s="156" t="n"/>
      <c r="O52" s="156" t="n"/>
    </row>
    <row r="53" ht="18.75" customHeight="1" s="153">
      <c r="A53" s="273" t="n"/>
      <c r="B53" s="274" t="inlineStr">
        <is>
          <t>MARTIN ZAPATA 2101</t>
        </is>
      </c>
      <c r="C53" s="275" t="n">
        <v>2</v>
      </c>
      <c r="D53" s="275" t="n"/>
      <c r="E53" s="275" t="n"/>
      <c r="F53" s="276" t="n"/>
      <c r="G53" s="276" t="n"/>
      <c r="H53" s="241" t="n">
        <v>47000</v>
      </c>
      <c r="I53" s="242" t="n"/>
      <c r="J53" s="242" t="n">
        <v>47000</v>
      </c>
      <c r="K53" s="272" t="n"/>
      <c r="L53" s="272" t="n">
        <v>13000</v>
      </c>
      <c r="M53" s="156" t="n"/>
      <c r="N53" s="156" t="n"/>
      <c r="O53" s="156" t="n"/>
    </row>
    <row r="54" ht="18.75" customHeight="1" s="153">
      <c r="A54" s="279" t="n"/>
      <c r="B54" s="267" t="inlineStr">
        <is>
          <t>HUGO</t>
        </is>
      </c>
      <c r="C54" s="268" t="n"/>
      <c r="D54" s="268" t="n">
        <v>1</v>
      </c>
      <c r="E54" s="268" t="n"/>
      <c r="F54" s="269" t="n"/>
      <c r="G54" s="269" t="n"/>
      <c r="H54" s="231" t="n">
        <v>39000</v>
      </c>
      <c r="I54" s="232" t="n"/>
      <c r="J54" s="232" t="n">
        <v>39000</v>
      </c>
      <c r="K54" s="272" t="n"/>
      <c r="L54" s="272" t="n">
        <v>13500</v>
      </c>
      <c r="M54" s="156" t="n"/>
      <c r="N54" s="156" t="n"/>
      <c r="O54" s="156" t="n"/>
    </row>
    <row r="55" ht="18.75" customHeight="1" s="153">
      <c r="A55" s="273" t="n"/>
      <c r="B55" s="274" t="inlineStr">
        <is>
          <t>BEATRIZ</t>
        </is>
      </c>
      <c r="C55" s="275" t="n"/>
      <c r="D55" s="275" t="n"/>
      <c r="E55" s="275" t="n"/>
      <c r="F55" s="276" t="n"/>
      <c r="G55" s="276" t="n">
        <v>1</v>
      </c>
      <c r="H55" s="241" t="n">
        <v>6900</v>
      </c>
      <c r="I55" s="242" t="n"/>
      <c r="J55" s="242" t="n">
        <v>6900</v>
      </c>
      <c r="K55" s="272" t="n"/>
      <c r="L55" s="272" t="n">
        <v>5980</v>
      </c>
      <c r="M55" s="156" t="n"/>
      <c r="N55" s="156" t="n"/>
      <c r="O55" s="156" t="n"/>
    </row>
    <row r="56" ht="18.75" customHeight="1" s="153">
      <c r="A56" s="279" t="n"/>
      <c r="B56" s="267" t="inlineStr">
        <is>
          <t>DANA</t>
        </is>
      </c>
      <c r="C56" s="268" t="n">
        <v>2</v>
      </c>
      <c r="D56" s="268" t="n"/>
      <c r="E56" s="268" t="n"/>
      <c r="F56" s="269" t="n"/>
      <c r="G56" s="269" t="n"/>
      <c r="H56" s="231" t="n">
        <v>44000</v>
      </c>
      <c r="I56" s="232" t="n"/>
      <c r="J56" s="232" t="n">
        <v>44000</v>
      </c>
      <c r="K56" s="272" t="n"/>
      <c r="L56" s="272" t="n">
        <v>10000</v>
      </c>
      <c r="M56" s="156" t="n"/>
      <c r="N56" s="156" t="n"/>
      <c r="O56" s="156" t="n"/>
    </row>
    <row r="57" ht="18.75" customHeight="1" s="153">
      <c r="A57" s="273" t="n"/>
      <c r="B57" s="274" t="inlineStr">
        <is>
          <t>PUBLICO 9118</t>
        </is>
      </c>
      <c r="C57" s="275" t="n"/>
      <c r="D57" s="275" t="n"/>
      <c r="E57" s="275" t="n">
        <v>1</v>
      </c>
      <c r="F57" s="276" t="n"/>
      <c r="G57" s="276" t="n"/>
      <c r="H57" s="241" t="n">
        <v>103000</v>
      </c>
      <c r="I57" s="242" t="n"/>
      <c r="J57" s="242" t="n">
        <v>103000</v>
      </c>
      <c r="K57" s="272" t="n"/>
      <c r="L57" s="272" t="n">
        <v>34000</v>
      </c>
      <c r="M57" s="156" t="n"/>
      <c r="N57" s="156" t="n"/>
      <c r="O57" s="156" t="n"/>
    </row>
    <row r="58" ht="18.75" customHeight="1" s="153">
      <c r="A58" s="279" t="n"/>
      <c r="B58" s="267" t="inlineStr">
        <is>
          <t>CAYASTA 4840</t>
        </is>
      </c>
      <c r="C58" s="268" t="n">
        <v>1</v>
      </c>
      <c r="D58" s="268" t="n"/>
      <c r="E58" s="268" t="n"/>
      <c r="F58" s="269" t="n"/>
      <c r="G58" s="269" t="n"/>
      <c r="H58" s="231" t="n">
        <v>28500</v>
      </c>
      <c r="I58" s="232" t="n"/>
      <c r="J58" s="232" t="n">
        <v>28500</v>
      </c>
      <c r="K58" s="272" t="n"/>
      <c r="L58" s="272" t="n">
        <v>11500</v>
      </c>
      <c r="M58" s="156" t="n"/>
      <c r="N58" s="156" t="n"/>
      <c r="O58" s="156" t="n"/>
    </row>
    <row r="59" ht="18.75" customHeight="1" s="153">
      <c r="A59" s="273" t="n"/>
      <c r="B59" s="274" t="inlineStr">
        <is>
          <t>CASTELLI 2312</t>
        </is>
      </c>
      <c r="C59" s="275" t="n"/>
      <c r="D59" s="275" t="n">
        <v>1</v>
      </c>
      <c r="E59" s="275" t="n"/>
      <c r="F59" s="276" t="n"/>
      <c r="G59" s="276" t="n"/>
      <c r="H59" s="241" t="n">
        <v>41500</v>
      </c>
      <c r="I59" s="242" t="n">
        <v>41500</v>
      </c>
      <c r="J59" s="242" t="n"/>
      <c r="K59" s="272" t="n"/>
      <c r="L59" s="272" t="n">
        <v>16000</v>
      </c>
      <c r="M59" s="156" t="n"/>
      <c r="N59" s="156" t="n"/>
      <c r="O59" s="156" t="n"/>
    </row>
    <row r="60" ht="18.75" customHeight="1" s="153">
      <c r="A60" s="279" t="n"/>
      <c r="B60" s="267" t="inlineStr">
        <is>
          <t>CHICLANA 6630</t>
        </is>
      </c>
      <c r="C60" s="268" t="n">
        <v>1</v>
      </c>
      <c r="D60" s="268" t="n"/>
      <c r="E60" s="268" t="n"/>
      <c r="F60" s="269" t="n"/>
      <c r="G60" s="269" t="n"/>
      <c r="H60" s="231" t="n">
        <v>27000</v>
      </c>
      <c r="I60" s="232" t="n">
        <v>27000</v>
      </c>
      <c r="J60" s="232" t="n"/>
      <c r="K60" s="272" t="n"/>
      <c r="L60" s="272" t="n">
        <v>10000</v>
      </c>
      <c r="M60" s="156" t="n"/>
      <c r="N60" s="156" t="n"/>
      <c r="O60" s="156" t="n"/>
    </row>
    <row r="61" ht="18.75" customHeight="1" s="153">
      <c r="A61" s="273" t="n"/>
      <c r="B61" s="274" t="inlineStr">
        <is>
          <t>BONEO 3433</t>
        </is>
      </c>
      <c r="C61" s="275" t="n">
        <v>1</v>
      </c>
      <c r="D61" s="275" t="n"/>
      <c r="E61" s="275" t="n"/>
      <c r="F61" s="276" t="n"/>
      <c r="G61" s="276" t="n"/>
      <c r="H61" s="241" t="n">
        <v>28500</v>
      </c>
      <c r="I61" s="242" t="n">
        <v>28500</v>
      </c>
      <c r="J61" s="242" t="n"/>
      <c r="K61" s="272" t="n"/>
      <c r="L61" s="272" t="n">
        <v>11500</v>
      </c>
      <c r="M61" s="156" t="n"/>
      <c r="N61" s="156" t="n"/>
      <c r="O61" s="156" t="n"/>
    </row>
    <row r="62" ht="18.75" customHeight="1" s="153">
      <c r="A62" s="279" t="n"/>
      <c r="B62" s="267" t="inlineStr">
        <is>
          <t>PASAJE AGUIAR 9800</t>
        </is>
      </c>
      <c r="C62" s="268" t="n"/>
      <c r="D62" s="268" t="n">
        <v>1</v>
      </c>
      <c r="E62" s="268" t="n"/>
      <c r="F62" s="269" t="n"/>
      <c r="G62" s="269" t="n"/>
      <c r="H62" s="231" t="n">
        <v>39000</v>
      </c>
      <c r="I62" s="232" t="n"/>
      <c r="J62" s="232" t="n">
        <v>39000</v>
      </c>
      <c r="K62" s="272" t="n"/>
      <c r="L62" s="272" t="n">
        <v>13500</v>
      </c>
      <c r="M62" s="156" t="n"/>
      <c r="N62" s="156" t="n"/>
      <c r="O62" s="156" t="n"/>
    </row>
    <row r="63" ht="18.75" customHeight="1" s="153">
      <c r="A63" s="280" t="n">
        <v>46206</v>
      </c>
      <c r="B63" s="274" t="inlineStr">
        <is>
          <t>PRIMERO DE MAYO 1959</t>
        </is>
      </c>
      <c r="C63" s="275" t="n"/>
      <c r="D63" s="275" t="n"/>
      <c r="E63" s="275" t="n">
        <v>1</v>
      </c>
      <c r="F63" s="276" t="n"/>
      <c r="G63" s="276" t="n"/>
      <c r="H63" s="241" t="n">
        <v>95000</v>
      </c>
      <c r="I63" s="242" t="n"/>
      <c r="J63" s="242" t="n">
        <v>95000</v>
      </c>
      <c r="K63" s="272" t="n"/>
      <c r="L63" s="272" t="n">
        <v>26000</v>
      </c>
      <c r="M63" s="156" t="n"/>
      <c r="N63" s="156" t="n"/>
      <c r="O63" s="156" t="n"/>
    </row>
    <row r="64" ht="18.75" customHeight="1" s="153">
      <c r="A64" s="279" t="n"/>
      <c r="B64" s="267" t="inlineStr">
        <is>
          <t>SANTIAGO DEL ESTERO 2790</t>
        </is>
      </c>
      <c r="C64" s="268" t="n">
        <v>1</v>
      </c>
      <c r="D64" s="268" t="n"/>
      <c r="E64" s="268" t="n"/>
      <c r="F64" s="269" t="n"/>
      <c r="G64" s="269" t="n"/>
      <c r="H64" s="231" t="n">
        <v>28500</v>
      </c>
      <c r="I64" s="232" t="n"/>
      <c r="J64" s="232" t="n">
        <v>28500</v>
      </c>
      <c r="K64" s="272" t="n"/>
      <c r="L64" s="272" t="n">
        <v>11500</v>
      </c>
      <c r="M64" s="156" t="n"/>
      <c r="N64" s="156" t="n"/>
      <c r="O64" s="156" t="n"/>
    </row>
    <row r="65" ht="18.75" customHeight="1" s="153">
      <c r="A65" s="273" t="n"/>
      <c r="B65" s="274" t="inlineStr">
        <is>
          <t>DOMINGO SILVA 4217</t>
        </is>
      </c>
      <c r="C65" s="275" t="n">
        <v>2</v>
      </c>
      <c r="D65" s="275" t="n">
        <v>1</v>
      </c>
      <c r="E65" s="275" t="n"/>
      <c r="F65" s="276" t="n"/>
      <c r="G65" s="276" t="n"/>
      <c r="H65" s="241" t="n">
        <v>78000</v>
      </c>
      <c r="I65" s="242" t="n"/>
      <c r="J65" s="242" t="n">
        <v>78000</v>
      </c>
      <c r="K65" s="272" t="n"/>
      <c r="L65" s="272" t="n">
        <v>18500</v>
      </c>
      <c r="M65" s="156" t="n"/>
      <c r="N65" s="156" t="n"/>
      <c r="O65" s="156" t="n"/>
    </row>
    <row r="66" ht="18.75" customHeight="1" s="153">
      <c r="A66" s="279" t="n"/>
      <c r="B66" s="267" t="inlineStr">
        <is>
          <t>9 DE JULIO 6543</t>
        </is>
      </c>
      <c r="C66" s="268" t="n">
        <v>1</v>
      </c>
      <c r="D66" s="268" t="n"/>
      <c r="E66" s="268" t="n"/>
      <c r="F66" s="269" t="n"/>
      <c r="G66" s="269" t="n"/>
      <c r="H66" s="231" t="n">
        <v>29000</v>
      </c>
      <c r="I66" s="232" t="n"/>
      <c r="J66" s="232" t="n">
        <v>29000</v>
      </c>
      <c r="K66" s="272" t="n"/>
      <c r="L66" s="272" t="n">
        <v>12000</v>
      </c>
      <c r="M66" s="156" t="n"/>
      <c r="N66" s="156" t="n"/>
      <c r="O66" s="156" t="n"/>
    </row>
    <row r="67" ht="18.75" customHeight="1" s="153">
      <c r="A67" s="273" t="n"/>
      <c r="B67" s="274" t="inlineStr">
        <is>
          <t>TROPPO</t>
        </is>
      </c>
      <c r="C67" s="275" t="n">
        <v>7</v>
      </c>
      <c r="D67" s="275" t="n"/>
      <c r="E67" s="275" t="n"/>
      <c r="F67" s="276" t="n"/>
      <c r="G67" s="276" t="n"/>
      <c r="H67" s="241" t="n">
        <v>210000</v>
      </c>
      <c r="I67" s="242" t="n"/>
      <c r="J67" s="242" t="n">
        <v>210000</v>
      </c>
      <c r="K67" s="272" t="n"/>
      <c r="L67" s="272" t="n">
        <v>91000</v>
      </c>
      <c r="M67" s="156" t="n"/>
      <c r="N67" s="156" t="n"/>
      <c r="O67" s="156" t="n"/>
    </row>
    <row r="68" ht="18.75" customHeight="1" s="153">
      <c r="A68" s="279" t="n"/>
      <c r="B68" s="267" t="inlineStr">
        <is>
          <t>CASANELLO 3463</t>
        </is>
      </c>
      <c r="C68" s="268" t="n">
        <v>1</v>
      </c>
      <c r="D68" s="268" t="n"/>
      <c r="E68" s="268" t="n"/>
      <c r="F68" s="269" t="n"/>
      <c r="G68" s="269" t="n"/>
      <c r="H68" s="231" t="n">
        <v>28500</v>
      </c>
      <c r="I68" s="232" t="n"/>
      <c r="J68" s="232" t="n">
        <v>28500</v>
      </c>
      <c r="K68" s="272" t="n"/>
      <c r="L68" s="272" t="n">
        <v>11500</v>
      </c>
      <c r="M68" s="156" t="n"/>
      <c r="N68" s="156" t="n"/>
      <c r="O68" s="156" t="n"/>
    </row>
    <row r="69" ht="18.75" customHeight="1" s="153">
      <c r="A69" s="273" t="n"/>
      <c r="B69" s="274" t="inlineStr">
        <is>
          <t>FACUNDO QUIROGA 4227</t>
        </is>
      </c>
      <c r="C69" s="275" t="n"/>
      <c r="D69" s="275" t="n"/>
      <c r="E69" s="275" t="n">
        <v>1</v>
      </c>
      <c r="F69" s="276" t="n"/>
      <c r="G69" s="276" t="n"/>
      <c r="H69" s="241" t="n">
        <v>101000</v>
      </c>
      <c r="I69" s="242" t="n"/>
      <c r="J69" s="242" t="n">
        <v>101000</v>
      </c>
      <c r="K69" s="272" t="n"/>
      <c r="L69" s="272" t="n">
        <v>32000</v>
      </c>
      <c r="M69" s="156" t="n"/>
      <c r="N69" s="156" t="n"/>
      <c r="O69" s="156" t="n"/>
    </row>
    <row r="70" ht="18.75" customHeight="1" s="153">
      <c r="A70" s="279" t="n"/>
      <c r="B70" s="267" t="inlineStr">
        <is>
          <t>PRIMERO DE MAYO 8389</t>
        </is>
      </c>
      <c r="C70" s="268" t="n"/>
      <c r="D70" s="268" t="n">
        <v>1</v>
      </c>
      <c r="E70" s="268" t="n"/>
      <c r="F70" s="269" t="n"/>
      <c r="G70" s="269" t="n"/>
      <c r="H70" s="231" t="n">
        <v>41500</v>
      </c>
      <c r="I70" s="232" t="n"/>
      <c r="J70" s="232" t="n">
        <v>41500</v>
      </c>
      <c r="K70" s="272" t="n"/>
      <c r="L70" s="272" t="n">
        <v>16000</v>
      </c>
      <c r="M70" s="156" t="n"/>
      <c r="N70" s="156" t="n"/>
      <c r="O70" s="156" t="n"/>
    </row>
    <row r="71" ht="18.75" customHeight="1" s="153">
      <c r="A71" s="273" t="n"/>
      <c r="B71" s="274" t="inlineStr">
        <is>
          <t>STORNI 2890</t>
        </is>
      </c>
      <c r="C71" s="275" t="n">
        <v>1</v>
      </c>
      <c r="D71" s="275" t="n"/>
      <c r="E71" s="275" t="n"/>
      <c r="F71" s="276" t="n"/>
      <c r="G71" s="276" t="n"/>
      <c r="H71" s="241" t="n">
        <v>28500</v>
      </c>
      <c r="I71" s="242" t="n"/>
      <c r="J71" s="242" t="n">
        <v>28500</v>
      </c>
      <c r="K71" s="272" t="n"/>
      <c r="L71" s="272" t="n">
        <v>11500</v>
      </c>
      <c r="M71" s="156" t="n"/>
      <c r="N71" s="156" t="n"/>
      <c r="O71" s="156" t="n"/>
    </row>
    <row r="72" ht="18.75" customHeight="1" s="153">
      <c r="A72" s="279" t="n"/>
      <c r="B72" s="267" t="inlineStr">
        <is>
          <t>LAVAISE 3928</t>
        </is>
      </c>
      <c r="C72" s="268" t="n"/>
      <c r="D72" s="268" t="n">
        <v>1</v>
      </c>
      <c r="E72" s="268" t="n"/>
      <c r="F72" s="269" t="n"/>
      <c r="G72" s="269" t="n"/>
      <c r="H72" s="231" t="n">
        <v>39500</v>
      </c>
      <c r="I72" s="232" t="n"/>
      <c r="J72" s="232" t="n">
        <v>39500</v>
      </c>
      <c r="K72" s="272" t="n"/>
      <c r="L72" s="272" t="n">
        <v>14000</v>
      </c>
      <c r="M72" s="156" t="n"/>
      <c r="N72" s="156" t="n"/>
      <c r="O72" s="156" t="n"/>
    </row>
    <row r="73" ht="18.75" customHeight="1" s="153">
      <c r="A73" s="273" t="n"/>
      <c r="B73" s="274" t="inlineStr">
        <is>
          <t>PAVON 3941</t>
        </is>
      </c>
      <c r="C73" s="275" t="n">
        <v>1</v>
      </c>
      <c r="D73" s="275" t="n"/>
      <c r="E73" s="275" t="n"/>
      <c r="F73" s="276" t="n"/>
      <c r="G73" s="276" t="n"/>
      <c r="H73" s="241" t="n">
        <v>28500</v>
      </c>
      <c r="I73" s="242" t="n">
        <v>28500</v>
      </c>
      <c r="J73" s="242" t="n"/>
      <c r="K73" s="272" t="n"/>
      <c r="L73" s="272" t="n">
        <v>11500</v>
      </c>
      <c r="M73" s="156" t="n"/>
      <c r="N73" s="156" t="n"/>
      <c r="O73" s="156" t="n"/>
    </row>
    <row r="74" ht="18.75" customHeight="1" s="153">
      <c r="A74" s="279" t="n"/>
      <c r="B74" s="267" t="inlineStr">
        <is>
          <t>GRIERSON 8369</t>
        </is>
      </c>
      <c r="C74" s="268" t="n"/>
      <c r="D74" s="268" t="n"/>
      <c r="E74" s="268" t="n">
        <v>1</v>
      </c>
      <c r="F74" s="269" t="n"/>
      <c r="G74" s="269" t="n"/>
      <c r="H74" s="231" t="n">
        <v>98500</v>
      </c>
      <c r="I74" s="232" t="n"/>
      <c r="J74" s="232" t="n">
        <v>98500</v>
      </c>
      <c r="K74" s="272" t="n"/>
      <c r="L74" s="272" t="n">
        <v>29500</v>
      </c>
      <c r="M74" s="156" t="n"/>
      <c r="N74" s="156" t="n"/>
      <c r="O74" s="156" t="n"/>
    </row>
    <row r="75" ht="18.75" customHeight="1" s="153">
      <c r="A75" s="273" t="n"/>
      <c r="B75" s="274" t="inlineStr">
        <is>
          <t>MAIPU 3215</t>
        </is>
      </c>
      <c r="C75" s="275" t="n">
        <v>1</v>
      </c>
      <c r="D75" s="275" t="n"/>
      <c r="E75" s="275" t="n"/>
      <c r="F75" s="276" t="n"/>
      <c r="G75" s="276" t="n"/>
      <c r="H75" s="241" t="n">
        <v>29000</v>
      </c>
      <c r="I75" s="242" t="n">
        <v>29000</v>
      </c>
      <c r="J75" s="242" t="n"/>
      <c r="K75" s="272" t="n"/>
      <c r="L75" s="272" t="n">
        <v>12000</v>
      </c>
      <c r="M75" s="156" t="n"/>
      <c r="N75" s="156" t="n"/>
      <c r="O75" s="156" t="n"/>
    </row>
    <row r="76" ht="18.75" customHeight="1" s="153">
      <c r="A76" s="279" t="n"/>
      <c r="B76" s="267" t="inlineStr">
        <is>
          <t>FRENCH 1912</t>
        </is>
      </c>
      <c r="C76" s="268" t="n"/>
      <c r="D76" s="268" t="n"/>
      <c r="E76" s="268" t="n">
        <v>1</v>
      </c>
      <c r="F76" s="269" t="n"/>
      <c r="G76" s="269" t="n"/>
      <c r="H76" s="231" t="n">
        <v>99000</v>
      </c>
      <c r="I76" s="232" t="n">
        <v>99000</v>
      </c>
      <c r="J76" s="232" t="n"/>
      <c r="K76" s="272" t="n"/>
      <c r="L76" s="272" t="n">
        <v>30000</v>
      </c>
      <c r="M76" s="156" t="n"/>
      <c r="N76" s="156" t="n"/>
      <c r="O76" s="156" t="n"/>
    </row>
    <row r="77" ht="18.75" customHeight="1" s="153">
      <c r="A77" s="273" t="n"/>
      <c r="B77" s="274" t="inlineStr">
        <is>
          <t>RIVADAVIA 6330</t>
        </is>
      </c>
      <c r="C77" s="275" t="n"/>
      <c r="D77" s="275" t="n">
        <v>1</v>
      </c>
      <c r="E77" s="275" t="n"/>
      <c r="F77" s="276" t="n"/>
      <c r="G77" s="276" t="n"/>
      <c r="H77" s="241" t="n">
        <v>42500</v>
      </c>
      <c r="I77" s="242" t="n"/>
      <c r="J77" s="242" t="n">
        <v>42500</v>
      </c>
      <c r="K77" s="272" t="n"/>
      <c r="L77" s="272" t="n">
        <v>17000</v>
      </c>
      <c r="M77" s="156" t="n"/>
      <c r="N77" s="156" t="n"/>
      <c r="O77" s="156" t="n"/>
    </row>
    <row r="78" ht="18.75" customHeight="1" s="153">
      <c r="A78" s="279" t="n"/>
      <c r="B78" s="267" t="inlineStr">
        <is>
          <t>LARREA 3115</t>
        </is>
      </c>
      <c r="C78" s="268" t="n"/>
      <c r="D78" s="268" t="n">
        <v>1</v>
      </c>
      <c r="E78" s="268" t="n"/>
      <c r="F78" s="269" t="n"/>
      <c r="G78" s="269" t="n"/>
      <c r="H78" s="231" t="n">
        <v>39500</v>
      </c>
      <c r="I78" s="232" t="n">
        <v>39500</v>
      </c>
      <c r="J78" s="232" t="n"/>
      <c r="K78" s="272" t="n"/>
      <c r="L78" s="272" t="n">
        <v>14000</v>
      </c>
      <c r="M78" s="156" t="n"/>
      <c r="N78" s="156" t="n"/>
      <c r="O78" s="156" t="n"/>
    </row>
    <row r="79" ht="18.75" customHeight="1" s="153">
      <c r="A79" s="273" t="n"/>
      <c r="B79" s="274" t="inlineStr">
        <is>
          <t>ACACIAS 10301</t>
        </is>
      </c>
      <c r="C79" s="275" t="n">
        <v>2</v>
      </c>
      <c r="D79" s="275" t="n"/>
      <c r="E79" s="275" t="n"/>
      <c r="F79" s="276" t="n"/>
      <c r="G79" s="276" t="n"/>
      <c r="H79" s="241" t="n">
        <v>58000</v>
      </c>
      <c r="I79" s="242" t="n"/>
      <c r="J79" s="242" t="n">
        <v>58000</v>
      </c>
      <c r="K79" s="272" t="n"/>
      <c r="L79" s="272" t="n">
        <v>24000</v>
      </c>
      <c r="M79" s="156" t="n"/>
      <c r="N79" s="156" t="n"/>
      <c r="O79" s="156" t="n"/>
    </row>
    <row r="80" ht="18.75" customHeight="1" s="153">
      <c r="A80" s="279" t="n"/>
      <c r="B80" s="267" t="inlineStr">
        <is>
          <t>OBISPO GELABERT 2826</t>
        </is>
      </c>
      <c r="C80" s="268" t="n">
        <v>1</v>
      </c>
      <c r="D80" s="268" t="n"/>
      <c r="E80" s="268" t="n"/>
      <c r="F80" s="269" t="n"/>
      <c r="G80" s="269" t="n"/>
      <c r="H80" s="231" t="n">
        <v>26000</v>
      </c>
      <c r="I80" s="232" t="n">
        <v>26000</v>
      </c>
      <c r="J80" s="232" t="n"/>
      <c r="K80" s="272" t="n"/>
      <c r="L80" s="272" t="n">
        <v>9000</v>
      </c>
      <c r="M80" s="156" t="n"/>
      <c r="N80" s="156" t="n"/>
      <c r="O80" s="156" t="n"/>
    </row>
    <row r="81" ht="18.75" customHeight="1" s="153">
      <c r="A81" s="273" t="n"/>
      <c r="B81" s="274" t="inlineStr">
        <is>
          <t>FILOMENA</t>
        </is>
      </c>
      <c r="C81" s="275" t="n">
        <v>2</v>
      </c>
      <c r="D81" s="275" t="n"/>
      <c r="E81" s="275" t="n"/>
      <c r="F81" s="276" t="n"/>
      <c r="G81" s="276" t="n"/>
      <c r="H81" s="241" t="n">
        <v>53000</v>
      </c>
      <c r="I81" s="242" t="n"/>
      <c r="J81" s="242" t="n">
        <v>53000</v>
      </c>
      <c r="K81" s="272" t="n"/>
      <c r="L81" s="272" t="n">
        <v>19000</v>
      </c>
      <c r="M81" s="156" t="n"/>
      <c r="N81" s="156" t="n"/>
      <c r="O81" s="156" t="n"/>
    </row>
    <row r="82" ht="18.75" customHeight="1" s="153">
      <c r="A82" s="279" t="n"/>
      <c r="B82" s="267" t="inlineStr">
        <is>
          <t>AZCUENAGA 6551</t>
        </is>
      </c>
      <c r="C82" s="268" t="n">
        <v>2</v>
      </c>
      <c r="D82" s="268" t="n"/>
      <c r="E82" s="268" t="n"/>
      <c r="F82" s="269" t="n"/>
      <c r="G82" s="269" t="n"/>
      <c r="H82" s="231" t="n">
        <v>44000</v>
      </c>
      <c r="I82" s="232" t="n"/>
      <c r="J82" s="232" t="n">
        <v>44000</v>
      </c>
      <c r="K82" s="272" t="n"/>
      <c r="L82" s="272" t="n">
        <v>10000</v>
      </c>
      <c r="M82" s="156" t="n"/>
      <c r="N82" s="156" t="n"/>
      <c r="O82" s="156" t="n"/>
    </row>
    <row r="83" ht="18.75" customHeight="1" s="153">
      <c r="A83" s="273" t="n"/>
      <c r="B83" s="274" t="inlineStr">
        <is>
          <t>ESFORA 4874</t>
        </is>
      </c>
      <c r="C83" s="275" t="n"/>
      <c r="D83" s="275" t="n">
        <v>1</v>
      </c>
      <c r="E83" s="275" t="n"/>
      <c r="F83" s="276" t="n"/>
      <c r="G83" s="276" t="n"/>
      <c r="H83" s="241" t="n">
        <v>42500</v>
      </c>
      <c r="I83" s="242" t="n"/>
      <c r="J83" s="242" t="n">
        <v>42500</v>
      </c>
      <c r="K83" s="272" t="n"/>
      <c r="L83" s="272" t="n">
        <v>17000</v>
      </c>
      <c r="M83" s="156" t="n"/>
      <c r="N83" s="156" t="n"/>
      <c r="O83" s="156" t="n"/>
    </row>
    <row r="84" ht="18.75" customHeight="1" s="153">
      <c r="A84" s="279" t="n"/>
      <c r="B84" s="267" t="inlineStr">
        <is>
          <t>RIO NEGRO 6570</t>
        </is>
      </c>
      <c r="C84" s="268" t="n"/>
      <c r="D84" s="268" t="n"/>
      <c r="E84" s="268" t="n">
        <v>1</v>
      </c>
      <c r="F84" s="269" t="n"/>
      <c r="G84" s="269" t="n"/>
      <c r="H84" s="231" t="n">
        <v>99500</v>
      </c>
      <c r="I84" s="232" t="n"/>
      <c r="J84" s="232" t="n">
        <v>99500</v>
      </c>
      <c r="K84" s="272" t="n"/>
      <c r="L84" s="272" t="n">
        <v>30500</v>
      </c>
      <c r="M84" s="156" t="n"/>
      <c r="N84" s="156" t="n"/>
      <c r="O84" s="156" t="n"/>
    </row>
    <row r="85" ht="18.75" customHeight="1" s="153">
      <c r="A85" s="273" t="n"/>
      <c r="B85" s="274" t="inlineStr">
        <is>
          <t>SIRLAKI</t>
        </is>
      </c>
      <c r="C85" s="275" t="n"/>
      <c r="D85" s="275" t="n"/>
      <c r="E85" s="275" t="n">
        <v>1</v>
      </c>
      <c r="F85" s="276" t="n"/>
      <c r="G85" s="276" t="n"/>
      <c r="H85" s="241" t="n">
        <v>95000</v>
      </c>
      <c r="I85" s="242" t="n"/>
      <c r="J85" s="242" t="n">
        <v>95000</v>
      </c>
      <c r="K85" s="272" t="n"/>
      <c r="L85" s="272" t="n">
        <v>26000</v>
      </c>
      <c r="M85" s="156" t="n"/>
      <c r="N85" s="156" t="n"/>
      <c r="O85" s="156" t="n"/>
    </row>
    <row r="86" ht="18.75" customHeight="1" s="153">
      <c r="A86" s="279" t="n"/>
      <c r="B86" s="267" t="inlineStr">
        <is>
          <t>LORE</t>
        </is>
      </c>
      <c r="C86" s="268" t="n">
        <v>3</v>
      </c>
      <c r="D86" s="268" t="n">
        <v>1</v>
      </c>
      <c r="E86" s="268" t="n"/>
      <c r="F86" s="269" t="n"/>
      <c r="G86" s="269" t="n"/>
      <c r="H86" s="231" t="n">
        <v>96500</v>
      </c>
      <c r="I86" s="232" t="n">
        <v>96500</v>
      </c>
      <c r="J86" s="232" t="n"/>
      <c r="K86" s="272" t="n"/>
      <c r="L86" s="272" t="n">
        <v>20000</v>
      </c>
      <c r="M86" s="156" t="n"/>
      <c r="N86" s="156" t="n"/>
      <c r="O86" s="156" t="n"/>
    </row>
    <row r="87" ht="18.75" customHeight="1" s="153">
      <c r="A87" s="273" t="n"/>
      <c r="B87" s="274" t="inlineStr">
        <is>
          <t>AZCUENAGA 5040</t>
        </is>
      </c>
      <c r="C87" s="275" t="n"/>
      <c r="D87" s="275" t="n"/>
      <c r="E87" s="275" t="n">
        <v>1</v>
      </c>
      <c r="F87" s="276" t="n"/>
      <c r="G87" s="276" t="n"/>
      <c r="H87" s="241" t="n">
        <v>98000</v>
      </c>
      <c r="I87" s="242" t="n"/>
      <c r="J87" s="242" t="n">
        <v>98000</v>
      </c>
      <c r="K87" s="272" t="n"/>
      <c r="L87" s="272" t="n">
        <v>29000</v>
      </c>
      <c r="M87" s="156" t="n"/>
      <c r="N87" s="156" t="n"/>
      <c r="O87" s="156" t="n"/>
    </row>
    <row r="88" ht="18.75" customHeight="1" s="153">
      <c r="A88" s="279" t="n"/>
      <c r="B88" s="267" t="inlineStr">
        <is>
          <t>PAULO</t>
        </is>
      </c>
      <c r="C88" s="268" t="n">
        <v>3</v>
      </c>
      <c r="D88" s="268" t="n"/>
      <c r="E88" s="268" t="n"/>
      <c r="F88" s="269" t="n"/>
      <c r="G88" s="269" t="n"/>
      <c r="H88" s="231" t="n">
        <v>66000</v>
      </c>
      <c r="I88" s="232" t="n">
        <v>66000</v>
      </c>
      <c r="J88" s="232" t="n"/>
      <c r="K88" s="272" t="n"/>
      <c r="L88" s="272" t="n">
        <v>15000</v>
      </c>
      <c r="M88" s="156" t="n"/>
      <c r="N88" s="156" t="n"/>
      <c r="O88" s="156" t="n"/>
    </row>
    <row r="89" ht="18.75" customHeight="1" s="153">
      <c r="A89" s="273" t="n"/>
      <c r="B89" s="274" t="inlineStr">
        <is>
          <t>LOS PRIMOS</t>
        </is>
      </c>
      <c r="C89" s="275" t="n">
        <v>3</v>
      </c>
      <c r="D89" s="275" t="n"/>
      <c r="E89" s="275" t="n"/>
      <c r="F89" s="276" t="n"/>
      <c r="G89" s="276" t="n"/>
      <c r="H89" s="241" t="n">
        <v>90000</v>
      </c>
      <c r="I89" s="242" t="n">
        <v>90000</v>
      </c>
      <c r="J89" s="242" t="n"/>
      <c r="K89" s="272" t="n"/>
      <c r="L89" s="272" t="n">
        <v>39000</v>
      </c>
      <c r="M89" s="156" t="n"/>
      <c r="N89" s="156" t="n"/>
      <c r="O89" s="156" t="n"/>
    </row>
    <row r="90" ht="18.75" customHeight="1" s="153">
      <c r="A90" s="279" t="n"/>
      <c r="B90" s="267" t="inlineStr">
        <is>
          <t>LUCHO</t>
        </is>
      </c>
      <c r="C90" s="268" t="n">
        <v>2</v>
      </c>
      <c r="D90" s="268" t="n"/>
      <c r="E90" s="268" t="n"/>
      <c r="F90" s="269" t="n"/>
      <c r="G90" s="269" t="n"/>
      <c r="H90" s="231" t="n">
        <v>44000</v>
      </c>
      <c r="I90" s="232" t="n"/>
      <c r="J90" s="232" t="n">
        <v>44000</v>
      </c>
      <c r="K90" s="272" t="n"/>
      <c r="L90" s="272" t="n">
        <v>10000</v>
      </c>
      <c r="M90" s="156" t="n"/>
      <c r="N90" s="156" t="n"/>
      <c r="O90" s="156" t="n"/>
    </row>
    <row r="91" ht="18.75" customHeight="1" s="153">
      <c r="A91" s="273" t="n"/>
      <c r="B91" s="274" t="inlineStr">
        <is>
          <t>LAMADRID 7500</t>
        </is>
      </c>
      <c r="C91" s="275" t="n">
        <v>1</v>
      </c>
      <c r="D91" s="275" t="n"/>
      <c r="E91" s="275" t="n"/>
      <c r="F91" s="276" t="n"/>
      <c r="G91" s="276" t="n"/>
      <c r="H91" s="241" t="n">
        <v>29000</v>
      </c>
      <c r="I91" s="242" t="n">
        <v>29000</v>
      </c>
      <c r="J91" s="242" t="n"/>
      <c r="K91" s="272" t="n"/>
      <c r="L91" s="272" t="n">
        <v>12000</v>
      </c>
      <c r="M91" s="156" t="n"/>
      <c r="N91" s="156" t="n"/>
      <c r="O91" s="156" t="n"/>
    </row>
    <row r="92" ht="18.75" customHeight="1" s="153">
      <c r="A92" s="279" t="n"/>
      <c r="B92" s="267" t="inlineStr">
        <is>
          <t>MILENIO DE POLONIA 2819</t>
        </is>
      </c>
      <c r="C92" s="268" t="n">
        <v>2</v>
      </c>
      <c r="D92" s="268" t="n"/>
      <c r="E92" s="268" t="n"/>
      <c r="F92" s="269" t="n"/>
      <c r="G92" s="269" t="n"/>
      <c r="H92" s="231" t="n">
        <v>57000</v>
      </c>
      <c r="I92" s="232" t="n"/>
      <c r="J92" s="232" t="n">
        <v>57000</v>
      </c>
      <c r="K92" s="272" t="n"/>
      <c r="L92" s="272" t="n">
        <v>23000</v>
      </c>
      <c r="M92" s="156" t="n"/>
      <c r="N92" s="156" t="n"/>
      <c r="O92" s="156" t="n"/>
    </row>
    <row r="93" ht="18.75" customHeight="1" s="153">
      <c r="A93" s="273" t="n"/>
      <c r="B93" s="274" t="inlineStr">
        <is>
          <t>ARISTOBULO 6341</t>
        </is>
      </c>
      <c r="C93" s="275" t="n">
        <v>1</v>
      </c>
      <c r="D93" s="275" t="n"/>
      <c r="E93" s="275" t="n"/>
      <c r="F93" s="276" t="n"/>
      <c r="G93" s="276" t="n"/>
      <c r="H93" s="241" t="n">
        <v>128000</v>
      </c>
      <c r="I93" s="242" t="n"/>
      <c r="J93" s="242" t="n">
        <v>128000</v>
      </c>
      <c r="K93" s="272" t="n">
        <v>65000</v>
      </c>
      <c r="L93" s="272" t="n">
        <v>46000</v>
      </c>
      <c r="M93" s="156" t="n"/>
      <c r="N93" s="156" t="n"/>
      <c r="O93" s="156" t="n"/>
    </row>
    <row r="94" ht="18.75" customHeight="1" s="153">
      <c r="A94" s="279" t="n"/>
      <c r="B94" s="267" t="inlineStr">
        <is>
          <t>FLORES 2</t>
        </is>
      </c>
      <c r="C94" s="268" t="n"/>
      <c r="D94" s="268" t="n"/>
      <c r="E94" s="268" t="n">
        <v>1</v>
      </c>
      <c r="F94" s="269" t="n"/>
      <c r="G94" s="269" t="n"/>
      <c r="H94" s="231" t="n">
        <v>89000</v>
      </c>
      <c r="I94" s="232" t="n"/>
      <c r="J94" s="232" t="n">
        <v>89000</v>
      </c>
      <c r="K94" s="272" t="n"/>
      <c r="L94" s="272" t="n">
        <v>20000</v>
      </c>
      <c r="M94" s="156" t="n"/>
      <c r="N94" s="156" t="n"/>
      <c r="O94" s="156" t="n"/>
    </row>
    <row r="95" ht="18.75" customHeight="1" s="153">
      <c r="A95" s="273" t="n"/>
      <c r="B95" s="274" t="inlineStr">
        <is>
          <t>ROTISERIA LOS ANGELES</t>
        </is>
      </c>
      <c r="C95" s="275" t="n"/>
      <c r="D95" s="275" t="n"/>
      <c r="E95" s="275" t="n">
        <v>1</v>
      </c>
      <c r="F95" s="276" t="n"/>
      <c r="G95" s="276" t="n"/>
      <c r="H95" s="241" t="n">
        <v>89000</v>
      </c>
      <c r="I95" s="242" t="n"/>
      <c r="J95" s="242" t="n">
        <v>89000</v>
      </c>
      <c r="K95" s="272" t="n"/>
      <c r="L95" s="272" t="n">
        <v>20000</v>
      </c>
      <c r="M95" s="156" t="n"/>
      <c r="N95" s="156" t="n"/>
      <c r="O95" s="156" t="n"/>
    </row>
    <row r="96" ht="18.75" customHeight="1" s="153">
      <c r="A96" s="279" t="n"/>
      <c r="B96" s="267" t="inlineStr">
        <is>
          <t>CHICLANA 7325</t>
        </is>
      </c>
      <c r="C96" s="268" t="n">
        <v>1</v>
      </c>
      <c r="D96" s="268" t="n"/>
      <c r="E96" s="268" t="n"/>
      <c r="F96" s="269" t="n"/>
      <c r="G96" s="269" t="n"/>
      <c r="H96" s="231" t="n">
        <v>22500</v>
      </c>
      <c r="I96" s="232" t="n"/>
      <c r="J96" s="232" t="n">
        <v>22500</v>
      </c>
      <c r="K96" s="272" t="n"/>
      <c r="L96" s="272" t="n">
        <v>5500</v>
      </c>
      <c r="M96" s="156" t="n"/>
      <c r="N96" s="156" t="n"/>
      <c r="O96" s="156" t="n"/>
    </row>
    <row r="97" ht="18.75" customHeight="1" s="153">
      <c r="A97" s="273" t="n"/>
      <c r="B97" s="274" t="inlineStr">
        <is>
          <t>SABOREAR</t>
        </is>
      </c>
      <c r="C97" s="275" t="n">
        <v>1</v>
      </c>
      <c r="D97" s="275" t="n"/>
      <c r="E97" s="275" t="n"/>
      <c r="F97" s="276" t="n"/>
      <c r="G97" s="276" t="n"/>
      <c r="H97" s="241" t="n">
        <v>25500</v>
      </c>
      <c r="I97" s="242" t="n"/>
      <c r="J97" s="242" t="n">
        <v>25500</v>
      </c>
      <c r="K97" s="272" t="n"/>
      <c r="L97" s="272" t="n">
        <v>8500</v>
      </c>
      <c r="M97" s="156" t="n"/>
      <c r="N97" s="156" t="n"/>
      <c r="O97" s="156" t="n"/>
    </row>
    <row r="98" ht="18.75" customHeight="1" s="153">
      <c r="A98" s="279" t="n"/>
      <c r="B98" s="267" t="inlineStr">
        <is>
          <t>NACHO CUEVA</t>
        </is>
      </c>
      <c r="C98" s="268" t="n">
        <v>1</v>
      </c>
      <c r="D98" s="268" t="n"/>
      <c r="E98" s="268" t="n"/>
      <c r="F98" s="269" t="n"/>
      <c r="G98" s="269" t="n"/>
      <c r="H98" s="231" t="n">
        <v>25500</v>
      </c>
      <c r="I98" s="232" t="n"/>
      <c r="J98" s="232" t="n">
        <v>25500</v>
      </c>
      <c r="K98" s="272" t="n"/>
      <c r="L98" s="272" t="n">
        <v>8500</v>
      </c>
      <c r="M98" s="156" t="n"/>
      <c r="N98" s="156" t="n"/>
      <c r="O98" s="156" t="n"/>
    </row>
    <row r="99" ht="18.75" customHeight="1" s="153">
      <c r="A99" s="273" t="n"/>
      <c r="B99" s="274" t="inlineStr">
        <is>
          <t>AGUADO 9067</t>
        </is>
      </c>
      <c r="C99" s="275" t="n">
        <v>1</v>
      </c>
      <c r="D99" s="275" t="n"/>
      <c r="E99" s="275" t="n"/>
      <c r="F99" s="276" t="n"/>
      <c r="G99" s="276" t="n"/>
      <c r="H99" s="241" t="n">
        <v>43000</v>
      </c>
      <c r="I99" s="242" t="n"/>
      <c r="J99" s="242" t="n">
        <v>43000</v>
      </c>
      <c r="K99" s="272" t="n"/>
      <c r="L99" s="272" t="n">
        <v>26000</v>
      </c>
      <c r="M99" s="156" t="n"/>
      <c r="N99" s="156" t="n"/>
      <c r="O99" s="156" t="n"/>
    </row>
    <row r="100" ht="18.75" customHeight="1" s="153">
      <c r="A100" s="266" t="n">
        <v>46207</v>
      </c>
      <c r="B100" s="267" t="inlineStr">
        <is>
          <t>CASANELLO 2128</t>
        </is>
      </c>
      <c r="C100" s="268" t="n"/>
      <c r="D100" s="268" t="n">
        <v>1</v>
      </c>
      <c r="E100" s="268" t="n"/>
      <c r="F100" s="269" t="n"/>
      <c r="G100" s="269" t="n"/>
      <c r="H100" s="231" t="n">
        <v>41000</v>
      </c>
      <c r="I100" s="232" t="n"/>
      <c r="J100" s="232" t="n">
        <v>41000</v>
      </c>
      <c r="K100" s="272" t="n"/>
      <c r="L100" s="272" t="n">
        <v>15500</v>
      </c>
      <c r="M100" s="156" t="n"/>
      <c r="N100" s="156" t="n"/>
      <c r="O100" s="156" t="n"/>
    </row>
    <row r="101" ht="18.75" customHeight="1" s="153">
      <c r="A101" s="273" t="n"/>
      <c r="B101" s="274" t="inlineStr">
        <is>
          <t>BLAS PARERA 6372</t>
        </is>
      </c>
      <c r="C101" s="275" t="n"/>
      <c r="D101" s="275" t="n"/>
      <c r="E101" s="275" t="n">
        <v>1</v>
      </c>
      <c r="F101" s="276" t="n"/>
      <c r="G101" s="276" t="n"/>
      <c r="H101" s="241" t="n">
        <v>98000</v>
      </c>
      <c r="I101" s="242" t="n">
        <v>98000</v>
      </c>
      <c r="J101" s="242" t="n"/>
      <c r="K101" s="272" t="n"/>
      <c r="L101" s="272" t="n">
        <v>29000</v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ALSINA 6687</t>
        </is>
      </c>
      <c r="C102" s="268" t="n"/>
      <c r="D102" s="268" t="n"/>
      <c r="E102" s="268" t="n">
        <v>1</v>
      </c>
      <c r="F102" s="269" t="n"/>
      <c r="G102" s="269" t="n"/>
      <c r="H102" s="231" t="n">
        <v>97000</v>
      </c>
      <c r="I102" s="232" t="n"/>
      <c r="J102" s="232" t="n">
        <v>97000</v>
      </c>
      <c r="K102" s="272" t="n"/>
      <c r="L102" s="272" t="n">
        <v>28000</v>
      </c>
      <c r="M102" s="156" t="n"/>
      <c r="N102" s="156" t="n"/>
      <c r="O102" s="156" t="n"/>
    </row>
    <row r="103" ht="18.75" customHeight="1" s="153">
      <c r="A103" s="273" t="n"/>
      <c r="B103" s="274" t="inlineStr">
        <is>
          <t>AZCUENAGA 6551</t>
        </is>
      </c>
      <c r="C103" s="275" t="n">
        <v>2</v>
      </c>
      <c r="D103" s="275" t="n"/>
      <c r="E103" s="275" t="n"/>
      <c r="F103" s="276" t="n"/>
      <c r="G103" s="276" t="n"/>
      <c r="H103" s="241" t="n">
        <v>44000</v>
      </c>
      <c r="I103" s="242" t="n"/>
      <c r="J103" s="242" t="n">
        <v>44000</v>
      </c>
      <c r="K103" s="272" t="n"/>
      <c r="L103" s="272" t="n">
        <v>10000</v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MISIONES 5281</t>
        </is>
      </c>
      <c r="C104" s="268" t="n"/>
      <c r="D104" s="268" t="n"/>
      <c r="E104" s="268" t="n">
        <v>1</v>
      </c>
      <c r="F104" s="269" t="n"/>
      <c r="G104" s="269" t="n"/>
      <c r="H104" s="231" t="n">
        <v>102000</v>
      </c>
      <c r="I104" s="232" t="n">
        <v>102000</v>
      </c>
      <c r="J104" s="232" t="n"/>
      <c r="K104" s="272" t="n"/>
      <c r="L104" s="272" t="n">
        <v>33000</v>
      </c>
      <c r="M104" s="156" t="n"/>
      <c r="N104" s="156" t="n"/>
      <c r="O104" s="156" t="n"/>
    </row>
    <row r="105" ht="18.75" customHeight="1" s="153">
      <c r="A105" s="273" t="n"/>
      <c r="B105" s="274" t="inlineStr">
        <is>
          <t>MILENIO DE POLONIA 3065</t>
        </is>
      </c>
      <c r="C105" s="275" t="n">
        <v>2</v>
      </c>
      <c r="D105" s="275" t="n">
        <v>1</v>
      </c>
      <c r="E105" s="275" t="n"/>
      <c r="F105" s="276" t="n"/>
      <c r="G105" s="276" t="n"/>
      <c r="H105" s="241" t="n">
        <v>100000</v>
      </c>
      <c r="I105" s="242" t="n">
        <v>100000</v>
      </c>
      <c r="J105" s="242" t="n"/>
      <c r="K105" s="272" t="n"/>
      <c r="L105" s="272" t="n">
        <v>40500</v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PANA VIEYTES 4500</t>
        </is>
      </c>
      <c r="C106" s="268" t="n">
        <v>1</v>
      </c>
      <c r="D106" s="268" t="n"/>
      <c r="E106" s="268" t="n"/>
      <c r="F106" s="269" t="n"/>
      <c r="G106" s="269" t="n"/>
      <c r="H106" s="231" t="n">
        <v>25500</v>
      </c>
      <c r="I106" s="232" t="n"/>
      <c r="J106" s="232" t="n">
        <v>25500</v>
      </c>
      <c r="K106" s="272" t="n"/>
      <c r="L106" s="272" t="n">
        <v>8500</v>
      </c>
      <c r="M106" s="156" t="n"/>
      <c r="N106" s="156" t="n"/>
      <c r="O106" s="156" t="n"/>
    </row>
    <row r="107" ht="18.75" customHeight="1" s="153">
      <c r="A107" s="273" t="n"/>
      <c r="B107" s="274" t="inlineStr">
        <is>
          <t>OTNIEL</t>
        </is>
      </c>
      <c r="C107" s="275" t="n"/>
      <c r="D107" s="275" t="n">
        <v>2</v>
      </c>
      <c r="E107" s="275" t="n"/>
      <c r="F107" s="276" t="n"/>
      <c r="G107" s="276" t="n"/>
      <c r="H107" s="241" t="n">
        <v>75000</v>
      </c>
      <c r="I107" s="242" t="n"/>
      <c r="J107" s="242" t="n">
        <v>75000</v>
      </c>
      <c r="K107" s="272" t="n"/>
      <c r="L107" s="272" t="n">
        <v>24000</v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PASAJE MIGUEZ 5479</t>
        </is>
      </c>
      <c r="C108" s="268" t="n">
        <v>1</v>
      </c>
      <c r="D108" s="268" t="n"/>
      <c r="E108" s="268" t="n"/>
      <c r="F108" s="269" t="n"/>
      <c r="G108" s="269" t="n"/>
      <c r="H108" s="231" t="n">
        <v>28500</v>
      </c>
      <c r="I108" s="232" t="n"/>
      <c r="J108" s="232" t="n">
        <v>28500</v>
      </c>
      <c r="K108" s="272" t="n"/>
      <c r="L108" s="272" t="n">
        <v>11500</v>
      </c>
      <c r="M108" s="156" t="n"/>
      <c r="N108" s="156" t="n"/>
      <c r="O108" s="156" t="n"/>
    </row>
    <row r="109" ht="18.75" customHeight="1" s="153">
      <c r="A109" s="273" t="n"/>
      <c r="B109" s="274" t="inlineStr">
        <is>
          <t>VIANDAS JORGE</t>
        </is>
      </c>
      <c r="C109" s="275" t="n">
        <v>1</v>
      </c>
      <c r="D109" s="275" t="n"/>
      <c r="E109" s="275" t="n"/>
      <c r="F109" s="276" t="n"/>
      <c r="G109" s="276" t="n"/>
      <c r="H109" s="241" t="n">
        <v>25000</v>
      </c>
      <c r="I109" s="242" t="n">
        <v>25000</v>
      </c>
      <c r="J109" s="242" t="n"/>
      <c r="K109" s="272" t="n"/>
      <c r="L109" s="272" t="n">
        <v>8000</v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VICTOR RIVADAVIA JUNIORS</t>
        </is>
      </c>
      <c r="C110" s="268" t="n">
        <v>1</v>
      </c>
      <c r="D110" s="268" t="n"/>
      <c r="E110" s="268" t="n"/>
      <c r="F110" s="269" t="n"/>
      <c r="G110" s="269" t="n"/>
      <c r="H110" s="231" t="n">
        <v>29000</v>
      </c>
      <c r="I110" s="232" t="n">
        <v>29000</v>
      </c>
      <c r="J110" s="232" t="n"/>
      <c r="K110" s="272" t="n"/>
      <c r="L110" s="272" t="n">
        <v>12000</v>
      </c>
      <c r="M110" s="156" t="n"/>
      <c r="N110" s="156" t="n"/>
      <c r="O110" s="156" t="n"/>
    </row>
    <row r="111" ht="18.75" customHeight="1" s="153">
      <c r="A111" s="273" t="n"/>
      <c r="B111" s="274" t="inlineStr">
        <is>
          <t>PUBLICO 2527</t>
        </is>
      </c>
      <c r="C111" s="275" t="n"/>
      <c r="D111" s="275" t="n">
        <v>1</v>
      </c>
      <c r="E111" s="275" t="n"/>
      <c r="F111" s="276" t="n"/>
      <c r="G111" s="276" t="n"/>
      <c r="H111" s="241" t="n">
        <v>41500</v>
      </c>
      <c r="I111" s="242" t="n"/>
      <c r="J111" s="242" t="n">
        <v>41500</v>
      </c>
      <c r="K111" s="272" t="n"/>
      <c r="L111" s="272" t="n">
        <v>16000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SUPERCERATO</t>
        </is>
      </c>
      <c r="C112" s="268" t="n"/>
      <c r="D112" s="268" t="n"/>
      <c r="E112" s="268" t="n">
        <v>1</v>
      </c>
      <c r="F112" s="269" t="n"/>
      <c r="G112" s="269" t="n"/>
      <c r="H112" s="231" t="n">
        <v>98500</v>
      </c>
      <c r="I112" s="232" t="n"/>
      <c r="J112" s="232" t="n">
        <v>98500</v>
      </c>
      <c r="K112" s="272" t="n"/>
      <c r="L112" s="272" t="n">
        <v>29500</v>
      </c>
      <c r="M112" s="156" t="n"/>
      <c r="N112" s="156" t="n"/>
      <c r="O112" s="156" t="n"/>
    </row>
    <row r="113" ht="18.75" customHeight="1" s="153">
      <c r="A113" s="273" t="n"/>
      <c r="B113" s="274" t="inlineStr">
        <is>
          <t>PANA VIEYTES 3800</t>
        </is>
      </c>
      <c r="C113" s="275" t="n"/>
      <c r="D113" s="275" t="n"/>
      <c r="E113" s="275" t="n">
        <v>1</v>
      </c>
      <c r="F113" s="276" t="n"/>
      <c r="G113" s="276" t="n"/>
      <c r="H113" s="241" t="n">
        <v>93000</v>
      </c>
      <c r="I113" s="242" t="n"/>
      <c r="J113" s="242" t="n">
        <v>93000</v>
      </c>
      <c r="K113" s="272" t="n"/>
      <c r="L113" s="272" t="n">
        <v>24000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PAVON 3941</t>
        </is>
      </c>
      <c r="C114" s="268" t="n">
        <v>1</v>
      </c>
      <c r="D114" s="268" t="n"/>
      <c r="E114" s="268" t="n"/>
      <c r="F114" s="269" t="n"/>
      <c r="G114" s="269" t="n"/>
      <c r="H114" s="231" t="n">
        <v>28500</v>
      </c>
      <c r="I114" s="232" t="n">
        <v>28500</v>
      </c>
      <c r="J114" s="232" t="n"/>
      <c r="K114" s="272" t="n"/>
      <c r="L114" s="272" t="n">
        <v>11500</v>
      </c>
      <c r="M114" s="156" t="n"/>
      <c r="N114" s="156" t="n"/>
      <c r="O114" s="156" t="n"/>
    </row>
    <row r="115" ht="18.75" customHeight="1" s="153">
      <c r="A115" s="273" t="n"/>
      <c r="B115" s="274" t="inlineStr">
        <is>
          <t>ZEBALLOS 4012</t>
        </is>
      </c>
      <c r="C115" s="275" t="n">
        <v>1</v>
      </c>
      <c r="D115" s="275" t="n"/>
      <c r="E115" s="275" t="n"/>
      <c r="F115" s="276" t="n"/>
      <c r="G115" s="276" t="n"/>
      <c r="H115" s="241" t="n">
        <v>28500</v>
      </c>
      <c r="I115" s="242" t="n"/>
      <c r="J115" s="242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ABUELA LUCAS</t>
        </is>
      </c>
      <c r="C116" s="268" t="n">
        <v>1</v>
      </c>
      <c r="D116" s="268" t="n"/>
      <c r="E116" s="268" t="n"/>
      <c r="F116" s="269" t="n"/>
      <c r="G116" s="269" t="n"/>
      <c r="H116" s="231" t="n">
        <v>28000</v>
      </c>
      <c r="I116" s="232" t="n">
        <v>28000</v>
      </c>
      <c r="J116" s="232" t="n"/>
      <c r="K116" s="272" t="n"/>
      <c r="L116" s="272" t="n">
        <v>11000</v>
      </c>
      <c r="M116" s="156" t="n"/>
      <c r="N116" s="156" t="n"/>
      <c r="O116" s="156" t="n"/>
    </row>
    <row r="117" ht="18.75" customHeight="1" s="153">
      <c r="A117" s="273" t="n"/>
      <c r="B117" s="274" t="inlineStr">
        <is>
          <t>ARAMBULOS 6949</t>
        </is>
      </c>
      <c r="C117" s="275" t="n">
        <v>1</v>
      </c>
      <c r="D117" s="275" t="n"/>
      <c r="E117" s="275" t="n"/>
      <c r="F117" s="276" t="n"/>
      <c r="G117" s="276" t="n"/>
      <c r="H117" s="241" t="n">
        <v>27000</v>
      </c>
      <c r="I117" s="242" t="n"/>
      <c r="J117" s="242" t="n">
        <v>27000</v>
      </c>
      <c r="K117" s="272" t="n"/>
      <c r="L117" s="272" t="n">
        <v>10000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LUCHO</t>
        </is>
      </c>
      <c r="C118" s="268" t="n">
        <v>2</v>
      </c>
      <c r="D118" s="268" t="n">
        <v>1</v>
      </c>
      <c r="E118" s="268" t="n"/>
      <c r="F118" s="269" t="n"/>
      <c r="G118" s="269" t="n"/>
      <c r="H118" s="231" t="n">
        <v>79000</v>
      </c>
      <c r="I118" s="232" t="n"/>
      <c r="J118" s="232" t="n">
        <v>79000</v>
      </c>
      <c r="K118" s="272" t="n"/>
      <c r="L118" s="272" t="n">
        <v>19500</v>
      </c>
      <c r="M118" s="156" t="n"/>
      <c r="N118" s="156" t="n"/>
      <c r="O118" s="156" t="n"/>
    </row>
    <row r="119" ht="18.75" customHeight="1" s="153">
      <c r="A119" s="273" t="n"/>
      <c r="B119" s="274" t="inlineStr">
        <is>
          <t>EUROPA 9369</t>
        </is>
      </c>
      <c r="C119" s="275" t="n"/>
      <c r="D119" s="275" t="n"/>
      <c r="E119" s="275" t="n">
        <v>1</v>
      </c>
      <c r="F119" s="276" t="n"/>
      <c r="G119" s="276" t="n"/>
      <c r="H119" s="241" t="n">
        <v>99500</v>
      </c>
      <c r="I119" s="242" t="n"/>
      <c r="J119" s="242" t="n">
        <v>99500</v>
      </c>
      <c r="K119" s="272" t="n"/>
      <c r="L119" s="272" t="n">
        <v>30500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ROTI AGUADO</t>
        </is>
      </c>
      <c r="C120" s="268" t="n">
        <v>1</v>
      </c>
      <c r="D120" s="268" t="n">
        <v>1</v>
      </c>
      <c r="E120" s="268" t="n"/>
      <c r="F120" s="269" t="n"/>
      <c r="G120" s="269" t="n"/>
      <c r="H120" s="231" t="n">
        <v>64000</v>
      </c>
      <c r="I120" s="232" t="n"/>
      <c r="J120" s="232" t="n">
        <v>64000</v>
      </c>
      <c r="K120" s="272" t="n"/>
      <c r="L120" s="272" t="n">
        <v>21500</v>
      </c>
      <c r="M120" s="156" t="n"/>
      <c r="N120" s="156" t="n"/>
      <c r="O120" s="156" t="n"/>
    </row>
    <row r="121" ht="18.75" customHeight="1" s="153">
      <c r="A121" s="273" t="n"/>
      <c r="B121" s="274" t="inlineStr">
        <is>
          <t>MARCELO DE LAS FLORES</t>
        </is>
      </c>
      <c r="C121" s="275" t="n">
        <v>1</v>
      </c>
      <c r="D121" s="275" t="n"/>
      <c r="E121" s="275" t="n"/>
      <c r="F121" s="276" t="n"/>
      <c r="G121" s="276" t="n"/>
      <c r="H121" s="241" t="n">
        <v>28500</v>
      </c>
      <c r="I121" s="242" t="n">
        <v>28500</v>
      </c>
      <c r="J121" s="242" t="n"/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CAREN</t>
        </is>
      </c>
      <c r="C122" s="268" t="n"/>
      <c r="D122" s="268" t="n"/>
      <c r="E122" s="268" t="n">
        <v>1</v>
      </c>
      <c r="F122" s="269" t="n"/>
      <c r="G122" s="269" t="n"/>
      <c r="H122" s="231" t="n">
        <v>95000</v>
      </c>
      <c r="I122" s="232" t="n"/>
      <c r="J122" s="232" t="n">
        <v>95000</v>
      </c>
      <c r="K122" s="272" t="n"/>
      <c r="L122" s="272" t="n">
        <v>26000</v>
      </c>
      <c r="M122" s="156" t="n"/>
      <c r="N122" s="156" t="n"/>
      <c r="O122" s="156" t="n"/>
    </row>
    <row r="123" ht="18.75" customHeight="1" s="153">
      <c r="A123" s="273" t="n"/>
      <c r="B123" s="274" t="inlineStr">
        <is>
          <t>ESCALONETA</t>
        </is>
      </c>
      <c r="C123" s="275" t="n"/>
      <c r="D123" s="275" t="n"/>
      <c r="E123" s="275" t="n">
        <v>1</v>
      </c>
      <c r="F123" s="276" t="n"/>
      <c r="G123" s="276" t="n"/>
      <c r="H123" s="241" t="n">
        <v>95000</v>
      </c>
      <c r="I123" s="242" t="n"/>
      <c r="J123" s="242" t="n">
        <v>95000</v>
      </c>
      <c r="K123" s="272" t="n"/>
      <c r="L123" s="272" t="n">
        <v>26000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TACUARI 5717</t>
        </is>
      </c>
      <c r="C124" s="268" t="n">
        <v>1</v>
      </c>
      <c r="D124" s="268" t="n"/>
      <c r="E124" s="268" t="n"/>
      <c r="F124" s="269" t="n"/>
      <c r="G124" s="269" t="n"/>
      <c r="H124" s="231" t="n">
        <v>29000</v>
      </c>
      <c r="I124" s="232" t="n"/>
      <c r="J124" s="232" t="n">
        <v>29000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3" t="n"/>
      <c r="B125" s="274" t="inlineStr">
        <is>
          <t>CAMELLI 4860</t>
        </is>
      </c>
      <c r="C125" s="275" t="n">
        <v>1</v>
      </c>
      <c r="D125" s="275" t="n"/>
      <c r="E125" s="275" t="n"/>
      <c r="F125" s="276" t="n"/>
      <c r="G125" s="276" t="n"/>
      <c r="H125" s="241" t="n">
        <v>29000</v>
      </c>
      <c r="I125" s="242" t="n"/>
      <c r="J125" s="242" t="n">
        <v>29000</v>
      </c>
      <c r="K125" s="272" t="n"/>
      <c r="L125" s="272" t="n">
        <v>12000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ALBERTI 5177</t>
        </is>
      </c>
      <c r="C126" s="268" t="n"/>
      <c r="D126" s="268" t="n">
        <v>1</v>
      </c>
      <c r="E126" s="268" t="n"/>
      <c r="F126" s="269" t="n"/>
      <c r="G126" s="269" t="n"/>
      <c r="H126" s="231" t="n">
        <v>39500</v>
      </c>
      <c r="I126" s="232" t="n">
        <v>39500</v>
      </c>
      <c r="J126" s="232" t="n"/>
      <c r="K126" s="272" t="n"/>
      <c r="L126" s="272" t="n">
        <v>14000</v>
      </c>
      <c r="M126" s="156" t="n"/>
      <c r="N126" s="156" t="n"/>
      <c r="O126" s="156" t="n"/>
    </row>
    <row r="127" ht="18.75" customHeight="1" s="153">
      <c r="A127" s="273" t="n"/>
      <c r="B127" s="274" t="inlineStr">
        <is>
          <t>EUROPA 7251</t>
        </is>
      </c>
      <c r="C127" s="275" t="n">
        <v>1</v>
      </c>
      <c r="D127" s="275" t="n"/>
      <c r="E127" s="275" t="n"/>
      <c r="F127" s="276" t="n"/>
      <c r="G127" s="276" t="n"/>
      <c r="H127" s="241" t="n">
        <v>28500</v>
      </c>
      <c r="I127" s="242" t="n"/>
      <c r="J127" s="242" t="n">
        <v>28500</v>
      </c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GOLD BURGER</t>
        </is>
      </c>
      <c r="C128" s="268" t="n">
        <v>5</v>
      </c>
      <c r="D128" s="268" t="n"/>
      <c r="E128" s="268" t="n"/>
      <c r="F128" s="269" t="n"/>
      <c r="G128" s="269" t="n"/>
      <c r="H128" s="231" t="n">
        <v>150000</v>
      </c>
      <c r="I128" s="232" t="n">
        <v>150000</v>
      </c>
      <c r="J128" s="232" t="n"/>
      <c r="K128" s="272" t="n"/>
      <c r="L128" s="272" t="n">
        <v>65000</v>
      </c>
      <c r="M128" s="156" t="n"/>
      <c r="N128" s="156" t="n"/>
      <c r="O128" s="156" t="n"/>
    </row>
    <row r="129" ht="18.75" customHeight="1" s="153">
      <c r="A129" s="273" t="n"/>
      <c r="B129" s="274" t="inlineStr">
        <is>
          <t>FILOMENA</t>
        </is>
      </c>
      <c r="C129" s="275" t="n">
        <v>2</v>
      </c>
      <c r="D129" s="275" t="n"/>
      <c r="E129" s="275" t="n"/>
      <c r="F129" s="276" t="n"/>
      <c r="G129" s="276" t="n"/>
      <c r="H129" s="241" t="n">
        <v>53000</v>
      </c>
      <c r="I129" s="242" t="n"/>
      <c r="J129" s="242" t="n">
        <v>53000</v>
      </c>
      <c r="K129" s="272" t="n"/>
      <c r="L129" s="272" t="n">
        <v>19000</v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ARISTOBULO 5137</t>
        </is>
      </c>
      <c r="C130" s="268" t="n">
        <v>1</v>
      </c>
      <c r="D130" s="268" t="n"/>
      <c r="E130" s="268" t="n"/>
      <c r="F130" s="269" t="n"/>
      <c r="G130" s="269" t="n"/>
      <c r="H130" s="231" t="n">
        <v>29000</v>
      </c>
      <c r="I130" s="232" t="n"/>
      <c r="J130" s="232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3" t="n"/>
      <c r="B131" s="274" t="inlineStr">
        <is>
          <t>JP LOPEZ 2322</t>
        </is>
      </c>
      <c r="C131" s="275" t="n">
        <v>2</v>
      </c>
      <c r="D131" s="275" t="n"/>
      <c r="E131" s="275" t="n"/>
      <c r="F131" s="276" t="n"/>
      <c r="G131" s="276" t="n"/>
      <c r="H131" s="241" t="n">
        <v>56000</v>
      </c>
      <c r="I131" s="242" t="n">
        <v>56000</v>
      </c>
      <c r="J131" s="242" t="n"/>
      <c r="K131" s="272" t="n"/>
      <c r="L131" s="272" t="n">
        <v>22000</v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PASAJE DENIS 5669</t>
        </is>
      </c>
      <c r="C132" s="268" t="n">
        <v>1</v>
      </c>
      <c r="D132" s="268" t="n"/>
      <c r="E132" s="268" t="n"/>
      <c r="F132" s="269" t="n"/>
      <c r="G132" s="269" t="n"/>
      <c r="H132" s="231" t="n">
        <v>28500</v>
      </c>
      <c r="I132" s="232" t="n">
        <v>28500</v>
      </c>
      <c r="J132" s="232" t="n"/>
      <c r="K132" s="272" t="n"/>
      <c r="L132" s="272" t="n">
        <v>11500</v>
      </c>
      <c r="M132" s="156" t="n"/>
      <c r="N132" s="156" t="n"/>
      <c r="O132" s="156" t="n"/>
    </row>
    <row r="133" ht="18.75" customHeight="1" s="153">
      <c r="A133" s="273" t="n"/>
      <c r="B133" s="274" t="inlineStr">
        <is>
          <t>CAYASTA 4890</t>
        </is>
      </c>
      <c r="C133" s="275" t="n"/>
      <c r="D133" s="275" t="n">
        <v>1</v>
      </c>
      <c r="E133" s="275" t="n"/>
      <c r="F133" s="276" t="n"/>
      <c r="G133" s="276" t="n"/>
      <c r="H133" s="241" t="n">
        <v>39500</v>
      </c>
      <c r="I133" s="242" t="n"/>
      <c r="J133" s="242" t="n">
        <v>39500</v>
      </c>
      <c r="K133" s="272" t="n"/>
      <c r="L133" s="272" t="n">
        <v>14000</v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ALBERTI 4231</t>
        </is>
      </c>
      <c r="C134" s="268" t="n">
        <v>1</v>
      </c>
      <c r="D134" s="268" t="n"/>
      <c r="E134" s="268" t="n"/>
      <c r="F134" s="269" t="n"/>
      <c r="G134" s="269" t="n"/>
      <c r="H134" s="231" t="n">
        <v>29000</v>
      </c>
      <c r="I134" s="232" t="n"/>
      <c r="J134" s="232" t="n">
        <v>29000</v>
      </c>
      <c r="K134" s="272" t="n"/>
      <c r="L134" s="272" t="n">
        <v>12000</v>
      </c>
      <c r="M134" s="156" t="n"/>
      <c r="N134" s="156" t="n"/>
      <c r="O134" s="156" t="n"/>
    </row>
    <row r="135" ht="18.75" customHeight="1" s="153">
      <c r="A135" s="273" t="n"/>
      <c r="B135" s="274" t="inlineStr">
        <is>
          <t>CHACO 6535</t>
        </is>
      </c>
      <c r="C135" s="275" t="n"/>
      <c r="D135" s="275" t="n"/>
      <c r="E135" s="275" t="n">
        <v>1</v>
      </c>
      <c r="F135" s="276" t="n"/>
      <c r="G135" s="276" t="n"/>
      <c r="H135" s="241" t="n">
        <v>98500</v>
      </c>
      <c r="I135" s="242" t="n"/>
      <c r="J135" s="242" t="n">
        <v>98500</v>
      </c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PIVIDORI 7142</t>
        </is>
      </c>
      <c r="C136" s="268" t="n"/>
      <c r="D136" s="268" t="n"/>
      <c r="E136" s="268" t="n">
        <v>1</v>
      </c>
      <c r="F136" s="269" t="n"/>
      <c r="G136" s="269" t="n"/>
      <c r="H136" s="231" t="n">
        <v>96000</v>
      </c>
      <c r="I136" s="232" t="n"/>
      <c r="J136" s="232" t="n">
        <v>96000</v>
      </c>
      <c r="K136" s="272" t="n"/>
      <c r="L136" s="272" t="n">
        <v>27000</v>
      </c>
      <c r="M136" s="156" t="n"/>
      <c r="N136" s="156" t="n"/>
      <c r="O136" s="156" t="n"/>
    </row>
    <row r="137" ht="18.75" customHeight="1" s="153">
      <c r="A137" s="273" t="n"/>
      <c r="B137" s="274" t="inlineStr">
        <is>
          <t>ZAPATA GOYAN 8107</t>
        </is>
      </c>
      <c r="C137" s="275" t="n">
        <v>1</v>
      </c>
      <c r="D137" s="275" t="n"/>
      <c r="E137" s="275" t="n"/>
      <c r="F137" s="276" t="n"/>
      <c r="G137" s="276" t="n"/>
      <c r="H137" s="241" t="n">
        <v>28500</v>
      </c>
      <c r="I137" s="242" t="n">
        <v>28500</v>
      </c>
      <c r="J137" s="242" t="n"/>
      <c r="K137" s="272" t="n"/>
      <c r="L137" s="272" t="n">
        <v>11500</v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VIEYTES 4361</t>
        </is>
      </c>
      <c r="C138" s="268" t="n">
        <v>1</v>
      </c>
      <c r="D138" s="268" t="n"/>
      <c r="E138" s="268" t="n"/>
      <c r="F138" s="269" t="n"/>
      <c r="G138" s="269" t="n"/>
      <c r="H138" s="231" t="n">
        <v>28500</v>
      </c>
      <c r="I138" s="232" t="n">
        <v>28500</v>
      </c>
      <c r="J138" s="232" t="n"/>
      <c r="K138" s="272" t="n"/>
      <c r="L138" s="272" t="n">
        <v>11500</v>
      </c>
      <c r="M138" s="156" t="n"/>
      <c r="N138" s="156" t="n"/>
      <c r="O138" s="156" t="n"/>
    </row>
    <row r="139" ht="18.75" customHeight="1" s="153">
      <c r="A139" s="273" t="n"/>
      <c r="B139" s="274" t="inlineStr">
        <is>
          <t>LA RIOJA 3823</t>
        </is>
      </c>
      <c r="C139" s="275" t="n">
        <v>1</v>
      </c>
      <c r="D139" s="275" t="n"/>
      <c r="E139" s="275" t="n"/>
      <c r="F139" s="276" t="n"/>
      <c r="G139" s="276" t="n"/>
      <c r="H139" s="241" t="n">
        <v>28500</v>
      </c>
      <c r="I139" s="242" t="n"/>
      <c r="J139" s="242" t="n">
        <v>28500</v>
      </c>
      <c r="K139" s="272" t="n"/>
      <c r="L139" s="272" t="n">
        <v>11500</v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BLAS PARERA 6328</t>
        </is>
      </c>
      <c r="C140" s="268" t="n">
        <v>1</v>
      </c>
      <c r="D140" s="268" t="n"/>
      <c r="E140" s="268" t="n"/>
      <c r="F140" s="269" t="n"/>
      <c r="G140" s="269" t="n"/>
      <c r="H140" s="231" t="n">
        <v>27500</v>
      </c>
      <c r="I140" s="232" t="n">
        <v>27500</v>
      </c>
      <c r="J140" s="232" t="n"/>
      <c r="K140" s="272" t="n"/>
      <c r="L140" s="272" t="n">
        <v>10500</v>
      </c>
      <c r="M140" s="156" t="n"/>
      <c r="N140" s="156" t="n"/>
      <c r="O140" s="156" t="n"/>
    </row>
    <row r="141" ht="18.75" customHeight="1" s="153">
      <c r="A141" s="273" t="n"/>
      <c r="B141" s="274" t="inlineStr">
        <is>
          <t>SAAVEDRA 6445</t>
        </is>
      </c>
      <c r="C141" s="275" t="n">
        <v>1</v>
      </c>
      <c r="D141" s="275" t="n"/>
      <c r="E141" s="275" t="n"/>
      <c r="F141" s="276" t="n"/>
      <c r="G141" s="276" t="n"/>
      <c r="H141" s="241" t="n">
        <v>30000</v>
      </c>
      <c r="I141" s="242" t="n">
        <v>30000</v>
      </c>
      <c r="J141" s="242" t="n"/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SALTA 2865</t>
        </is>
      </c>
      <c r="C142" s="268" t="n">
        <v>1</v>
      </c>
      <c r="D142" s="268" t="n"/>
      <c r="E142" s="268" t="n"/>
      <c r="F142" s="269" t="n"/>
      <c r="G142" s="269" t="n"/>
      <c r="H142" s="231" t="n">
        <v>28500</v>
      </c>
      <c r="I142" s="232" t="n"/>
      <c r="J142" s="232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3" t="n"/>
      <c r="B143" s="274" t="inlineStr">
        <is>
          <t>NACHO CUEVA</t>
        </is>
      </c>
      <c r="C143" s="275" t="n"/>
      <c r="D143" s="275" t="n">
        <v>1</v>
      </c>
      <c r="E143" s="275" t="n"/>
      <c r="F143" s="276" t="n"/>
      <c r="G143" s="276" t="n"/>
      <c r="H143" s="241" t="n">
        <v>36500</v>
      </c>
      <c r="I143" s="242" t="n"/>
      <c r="J143" s="242" t="n">
        <v>36500</v>
      </c>
      <c r="K143" s="272" t="n"/>
      <c r="L143" s="272" t="n">
        <v>11000</v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ROTI VIEYTES</t>
        </is>
      </c>
      <c r="C144" s="268" t="n"/>
      <c r="D144" s="268" t="n">
        <v>1</v>
      </c>
      <c r="E144" s="268" t="n"/>
      <c r="F144" s="269" t="n"/>
      <c r="G144" s="269" t="n"/>
      <c r="H144" s="231" t="n">
        <v>34500</v>
      </c>
      <c r="I144" s="232" t="n"/>
      <c r="J144" s="232" t="n">
        <v>34500</v>
      </c>
      <c r="K144" s="272" t="n"/>
      <c r="L144" s="272" t="n">
        <v>9000</v>
      </c>
      <c r="M144" s="156" t="n"/>
      <c r="N144" s="156" t="n"/>
      <c r="O144" s="156" t="n"/>
    </row>
    <row r="145" ht="18.75" customHeight="1" s="153">
      <c r="A145" s="273" t="n"/>
      <c r="B145" s="274" t="inlineStr">
        <is>
          <t>PARISI</t>
        </is>
      </c>
      <c r="C145" s="275" t="n"/>
      <c r="D145" s="275" t="n"/>
      <c r="E145" s="275" t="n"/>
      <c r="F145" s="276" t="n">
        <v>10</v>
      </c>
      <c r="G145" s="276" t="n"/>
      <c r="H145" s="241" t="n">
        <v>68200</v>
      </c>
      <c r="I145" s="242" t="n">
        <v>68200</v>
      </c>
      <c r="J145" s="242" t="n"/>
      <c r="K145" s="272" t="n"/>
      <c r="L145" s="272" t="n">
        <v>-1800</v>
      </c>
      <c r="M145" s="156" t="n"/>
      <c r="N145" s="156" t="n"/>
      <c r="O145" s="156" t="n"/>
    </row>
    <row r="146" ht="18.75" customHeight="1" s="153">
      <c r="A146" s="266" t="n">
        <v>46208</v>
      </c>
      <c r="B146" s="267" t="inlineStr">
        <is>
          <t>HERRANDARIAS 3445</t>
        </is>
      </c>
      <c r="C146" s="268" t="n">
        <v>1</v>
      </c>
      <c r="D146" s="268" t="n"/>
      <c r="E146" s="268" t="n"/>
      <c r="F146" s="269" t="n"/>
      <c r="G146" s="269" t="n"/>
      <c r="H146" s="231" t="n">
        <v>26000</v>
      </c>
      <c r="I146" s="232" t="n">
        <v>26000</v>
      </c>
      <c r="J146" s="232" t="n"/>
      <c r="K146" s="272" t="n"/>
      <c r="L146" s="272" t="n">
        <v>9000</v>
      </c>
      <c r="M146" s="156" t="n"/>
      <c r="N146" s="156" t="n"/>
      <c r="O146" s="156" t="n"/>
    </row>
    <row r="147" ht="18.75" customHeight="1" s="153">
      <c r="A147" s="273" t="n"/>
      <c r="B147" s="274" t="inlineStr">
        <is>
          <t>DAVID ALBERTI</t>
        </is>
      </c>
      <c r="C147" s="275" t="n"/>
      <c r="D147" s="275" t="n"/>
      <c r="E147" s="275" t="n">
        <v>1</v>
      </c>
      <c r="F147" s="276" t="n"/>
      <c r="G147" s="276" t="n"/>
      <c r="H147" s="241" t="n">
        <v>99500</v>
      </c>
      <c r="I147" s="242" t="n">
        <v>99500</v>
      </c>
      <c r="J147" s="242" t="n"/>
      <c r="K147" s="272" t="n"/>
      <c r="L147" s="272" t="n">
        <v>30500</v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EUROPA 7054</t>
        </is>
      </c>
      <c r="C148" s="268" t="n">
        <v>2</v>
      </c>
      <c r="D148" s="268" t="n"/>
      <c r="E148" s="268" t="n"/>
      <c r="F148" s="269" t="n"/>
      <c r="G148" s="269" t="n"/>
      <c r="H148" s="231" t="n">
        <v>55000</v>
      </c>
      <c r="I148" s="232" t="n"/>
      <c r="J148" s="232" t="n">
        <v>55000</v>
      </c>
      <c r="K148" s="272" t="n"/>
      <c r="L148" s="272" t="n">
        <v>21000</v>
      </c>
      <c r="M148" s="156" t="n"/>
      <c r="N148" s="156" t="n"/>
      <c r="O148" s="156" t="n"/>
    </row>
    <row r="149" ht="18.75" customHeight="1" s="153">
      <c r="A149" s="273" t="n"/>
      <c r="B149" s="274" t="inlineStr">
        <is>
          <t>GOROSTIAGA 3700</t>
        </is>
      </c>
      <c r="C149" s="275" t="n">
        <v>1</v>
      </c>
      <c r="D149" s="275" t="n"/>
      <c r="E149" s="275" t="n"/>
      <c r="F149" s="276" t="n"/>
      <c r="G149" s="276" t="n"/>
      <c r="H149" s="241" t="n">
        <v>28500</v>
      </c>
      <c r="I149" s="242" t="n"/>
      <c r="J149" s="242" t="n">
        <v>28500</v>
      </c>
      <c r="K149" s="272" t="n"/>
      <c r="L149" s="272" t="n">
        <v>11500</v>
      </c>
      <c r="M149" s="156" t="n"/>
      <c r="N149" s="156" t="n"/>
      <c r="O149" s="156" t="n"/>
    </row>
    <row r="150" ht="18.75" customHeight="1" s="153">
      <c r="A150" s="279" t="n"/>
      <c r="B150" s="267" t="inlineStr">
        <is>
          <t>PEÑALOZA 9757</t>
        </is>
      </c>
      <c r="C150" s="268" t="n">
        <v>1</v>
      </c>
      <c r="D150" s="268" t="n"/>
      <c r="E150" s="268" t="n"/>
      <c r="F150" s="269" t="n"/>
      <c r="G150" s="269" t="n"/>
      <c r="H150" s="231" t="n">
        <v>28500</v>
      </c>
      <c r="I150" s="232" t="n"/>
      <c r="J150" s="232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3" t="n"/>
      <c r="B151" s="274" t="inlineStr">
        <is>
          <t>VANE GORDILLO</t>
        </is>
      </c>
      <c r="C151" s="275" t="n">
        <v>1</v>
      </c>
      <c r="D151" s="275" t="n"/>
      <c r="E151" s="275" t="n"/>
      <c r="F151" s="276" t="n"/>
      <c r="G151" s="276" t="n"/>
      <c r="H151" s="241" t="n">
        <v>26000</v>
      </c>
      <c r="I151" s="242" t="n"/>
      <c r="J151" s="242" t="n">
        <v>26000</v>
      </c>
      <c r="K151" s="272" t="n"/>
      <c r="L151" s="272" t="n">
        <v>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LORE</t>
        </is>
      </c>
      <c r="C152" s="268" t="n">
        <v>6</v>
      </c>
      <c r="D152" s="268" t="n"/>
      <c r="E152" s="268" t="n"/>
      <c r="F152" s="269" t="n"/>
      <c r="G152" s="269" t="n"/>
      <c r="H152" s="231" t="n">
        <v>129000</v>
      </c>
      <c r="I152" s="232" t="n">
        <v>129000</v>
      </c>
      <c r="J152" s="232" t="n"/>
      <c r="K152" s="272" t="n"/>
      <c r="L152" s="272" t="n">
        <v>27000</v>
      </c>
      <c r="M152" s="156" t="n"/>
      <c r="N152" s="156" t="n"/>
      <c r="O152" s="156" t="n"/>
    </row>
    <row r="153" ht="18.75" customHeight="1" s="153">
      <c r="A153" s="273" t="n"/>
      <c r="B153" s="274" t="inlineStr">
        <is>
          <t>CHICLANA 6630</t>
        </is>
      </c>
      <c r="C153" s="275" t="n">
        <v>1</v>
      </c>
      <c r="D153" s="275" t="n"/>
      <c r="E153" s="275" t="n"/>
      <c r="F153" s="276" t="n"/>
      <c r="G153" s="276" t="n"/>
      <c r="H153" s="241" t="n">
        <v>27000</v>
      </c>
      <c r="I153" s="242" t="n"/>
      <c r="J153" s="242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PRIMERO DE MAYO 9279</t>
        </is>
      </c>
      <c r="C154" s="268" t="n">
        <v>1</v>
      </c>
      <c r="D154" s="268" t="n"/>
      <c r="E154" s="268" t="n"/>
      <c r="F154" s="269" t="n"/>
      <c r="G154" s="269" t="n"/>
      <c r="H154" s="231" t="n">
        <v>29000</v>
      </c>
      <c r="I154" s="232" t="n">
        <v>29000</v>
      </c>
      <c r="J154" s="232" t="n"/>
      <c r="K154" s="272" t="n"/>
      <c r="L154" s="272" t="n">
        <v>12000</v>
      </c>
      <c r="M154" s="156" t="n"/>
      <c r="N154" s="156" t="n"/>
      <c r="O154" s="156" t="n"/>
    </row>
    <row r="155" ht="18.75" customHeight="1" s="153">
      <c r="A155" s="273" t="n"/>
      <c r="B155" s="274" t="inlineStr">
        <is>
          <t>PAVON 3941</t>
        </is>
      </c>
      <c r="C155" s="275" t="n">
        <v>1</v>
      </c>
      <c r="D155" s="275" t="n"/>
      <c r="E155" s="275" t="n"/>
      <c r="F155" s="276" t="n"/>
      <c r="G155" s="276" t="n"/>
      <c r="H155" s="241" t="n">
        <v>28500</v>
      </c>
      <c r="I155" s="242" t="n">
        <v>28500</v>
      </c>
      <c r="J155" s="242" t="n"/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PABLO</t>
        </is>
      </c>
      <c r="C156" s="268" t="n">
        <v>1</v>
      </c>
      <c r="D156" s="268" t="n">
        <v>1</v>
      </c>
      <c r="E156" s="268" t="n"/>
      <c r="F156" s="269" t="n"/>
      <c r="G156" s="269" t="n"/>
      <c r="H156" s="231" t="n">
        <v>56000</v>
      </c>
      <c r="I156" s="232" t="n">
        <v>56000</v>
      </c>
      <c r="J156" s="232" t="n"/>
      <c r="K156" s="272" t="n"/>
      <c r="L156" s="272" t="n">
        <v>13500</v>
      </c>
      <c r="M156" s="156" t="n"/>
      <c r="N156" s="156" t="n"/>
      <c r="O156" s="156" t="n"/>
    </row>
    <row r="157" ht="18.75" customHeight="1" s="153">
      <c r="A157" s="273" t="n"/>
      <c r="B157" s="274" t="inlineStr">
        <is>
          <t>SAN MARTIN 6376</t>
        </is>
      </c>
      <c r="C157" s="275" t="n">
        <v>1</v>
      </c>
      <c r="D157" s="275" t="n"/>
      <c r="E157" s="275" t="n"/>
      <c r="F157" s="276" t="n"/>
      <c r="G157" s="276" t="n"/>
      <c r="H157" s="241" t="n">
        <v>28500</v>
      </c>
      <c r="I157" s="242" t="n"/>
      <c r="J157" s="242" t="n">
        <v>28500</v>
      </c>
      <c r="K157" s="272" t="n"/>
      <c r="L157" s="272" t="n">
        <v>11500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MARCIAL CANDIOTI 8968</t>
        </is>
      </c>
      <c r="C158" s="268" t="n"/>
      <c r="D158" s="268" t="n"/>
      <c r="E158" s="268" t="n">
        <v>1</v>
      </c>
      <c r="F158" s="269" t="n"/>
      <c r="G158" s="269" t="n"/>
      <c r="H158" s="231" t="n">
        <v>102000</v>
      </c>
      <c r="I158" s="232" t="n"/>
      <c r="J158" s="232" t="n">
        <v>102000</v>
      </c>
      <c r="K158" s="272" t="n"/>
      <c r="L158" s="272" t="n">
        <v>33000</v>
      </c>
      <c r="M158" s="156" t="n"/>
      <c r="N158" s="156" t="n"/>
      <c r="O158" s="156" t="n"/>
    </row>
    <row r="159" ht="18.75" customHeight="1" s="153">
      <c r="A159" s="273" t="n"/>
      <c r="B159" s="274" t="inlineStr">
        <is>
          <t>BRASERIA</t>
        </is>
      </c>
      <c r="C159" s="275" t="n"/>
      <c r="D159" s="275" t="n"/>
      <c r="E159" s="275" t="n">
        <v>1</v>
      </c>
      <c r="F159" s="276" t="n"/>
      <c r="G159" s="276" t="n"/>
      <c r="H159" s="241" t="n">
        <v>94000</v>
      </c>
      <c r="I159" s="242" t="n"/>
      <c r="J159" s="242" t="n">
        <v>94000</v>
      </c>
      <c r="K159" s="272" t="n"/>
      <c r="L159" s="272" t="n">
        <v>25000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AYACUCHO 5284</t>
        </is>
      </c>
      <c r="C160" s="268" t="n"/>
      <c r="D160" s="268" t="n">
        <v>1</v>
      </c>
      <c r="E160" s="268" t="n"/>
      <c r="F160" s="269" t="n"/>
      <c r="G160" s="269" t="n"/>
      <c r="H160" s="231" t="n">
        <v>37500</v>
      </c>
      <c r="I160" s="232" t="n">
        <v>37500</v>
      </c>
      <c r="J160" s="232" t="n"/>
      <c r="K160" s="272" t="n"/>
      <c r="L160" s="272" t="n">
        <v>12000</v>
      </c>
      <c r="M160" s="156" t="n"/>
      <c r="N160" s="156" t="n"/>
      <c r="O160" s="156" t="n"/>
    </row>
    <row r="161" ht="18.75" customHeight="1" s="153">
      <c r="A161" s="273" t="n"/>
      <c r="B161" s="274" t="inlineStr">
        <is>
          <t>AZOPARDO 8505</t>
        </is>
      </c>
      <c r="C161" s="275" t="n">
        <v>1</v>
      </c>
      <c r="D161" s="275" t="n"/>
      <c r="E161" s="275" t="n"/>
      <c r="F161" s="276" t="n"/>
      <c r="G161" s="276" t="n"/>
      <c r="H161" s="241" t="n">
        <v>28500</v>
      </c>
      <c r="I161" s="242" t="n"/>
      <c r="J161" s="242" t="n">
        <v>28500</v>
      </c>
      <c r="K161" s="272" t="n"/>
      <c r="L161" s="272" t="n">
        <v>11500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COLODRERO 1224</t>
        </is>
      </c>
      <c r="C162" s="268" t="n">
        <v>1</v>
      </c>
      <c r="D162" s="268" t="n"/>
      <c r="E162" s="268" t="n"/>
      <c r="F162" s="269" t="n"/>
      <c r="G162" s="269" t="n"/>
      <c r="H162" s="231" t="n">
        <v>29000</v>
      </c>
      <c r="I162" s="232" t="n"/>
      <c r="J162" s="232" t="n">
        <v>29000</v>
      </c>
      <c r="K162" s="272" t="n"/>
      <c r="L162" s="272" t="n">
        <v>12000</v>
      </c>
      <c r="M162" s="156" t="n"/>
      <c r="N162" s="156" t="n"/>
      <c r="O162" s="156" t="n"/>
    </row>
    <row r="163" ht="18.75" customHeight="1" s="153">
      <c r="A163" s="273" t="n"/>
      <c r="B163" s="274" t="inlineStr">
        <is>
          <t>PERU 3630</t>
        </is>
      </c>
      <c r="C163" s="275" t="n">
        <v>3</v>
      </c>
      <c r="D163" s="275" t="n"/>
      <c r="E163" s="275" t="n"/>
      <c r="F163" s="276" t="n"/>
      <c r="G163" s="276" t="n"/>
      <c r="H163" s="241" t="n">
        <v>75900</v>
      </c>
      <c r="I163" s="242" t="n"/>
      <c r="J163" s="242" t="n">
        <v>75900</v>
      </c>
      <c r="K163" s="272" t="n"/>
      <c r="L163" s="272" t="n">
        <v>24900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SAAVEDRA 1683</t>
        </is>
      </c>
      <c r="C164" s="268" t="n">
        <v>1</v>
      </c>
      <c r="D164" s="268" t="n"/>
      <c r="E164" s="268" t="n"/>
      <c r="F164" s="269" t="n"/>
      <c r="G164" s="269" t="n"/>
      <c r="H164" s="231" t="n">
        <v>29000</v>
      </c>
      <c r="I164" s="232" t="n">
        <v>29000</v>
      </c>
      <c r="J164" s="232" t="n"/>
      <c r="K164" s="272" t="n"/>
      <c r="L164" s="272" t="n">
        <v>12000</v>
      </c>
      <c r="M164" s="156" t="n"/>
      <c r="N164" s="156" t="n"/>
      <c r="O164" s="156" t="n"/>
    </row>
    <row r="165" ht="18.75" customHeight="1" s="153">
      <c r="A165" s="273" t="n"/>
      <c r="B165" s="274" t="inlineStr">
        <is>
          <t>PUBLICO 8823</t>
        </is>
      </c>
      <c r="C165" s="275" t="n">
        <v>1</v>
      </c>
      <c r="D165" s="275" t="n"/>
      <c r="E165" s="275" t="n"/>
      <c r="F165" s="276" t="n"/>
      <c r="G165" s="276" t="n"/>
      <c r="H165" s="241" t="n">
        <v>28500</v>
      </c>
      <c r="I165" s="242" t="n">
        <v>28500</v>
      </c>
      <c r="J165" s="242" t="n"/>
      <c r="K165" s="272" t="n"/>
      <c r="L165" s="272" t="n">
        <v>11500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PASAJE SAN AGUSTIN</t>
        </is>
      </c>
      <c r="C166" s="268" t="n">
        <v>1</v>
      </c>
      <c r="D166" s="268" t="n"/>
      <c r="E166" s="268" t="n"/>
      <c r="F166" s="269" t="n"/>
      <c r="G166" s="269" t="n"/>
      <c r="H166" s="231" t="n">
        <v>28500</v>
      </c>
      <c r="I166" s="232" t="n">
        <v>28500</v>
      </c>
      <c r="J166" s="232" t="n"/>
      <c r="K166" s="272" t="n"/>
      <c r="L166" s="272" t="n">
        <v>11500</v>
      </c>
      <c r="M166" s="156" t="n"/>
      <c r="N166" s="156" t="n"/>
      <c r="O166" s="156" t="n"/>
    </row>
    <row r="167" ht="18.75" customHeight="1" s="153">
      <c r="A167" s="273" t="n"/>
      <c r="B167" s="274" t="inlineStr">
        <is>
          <t>AZCUENAGA 5023</t>
        </is>
      </c>
      <c r="C167" s="275" t="n">
        <v>6</v>
      </c>
      <c r="D167" s="275" t="n"/>
      <c r="E167" s="275" t="n"/>
      <c r="F167" s="276" t="n"/>
      <c r="G167" s="276" t="n"/>
      <c r="H167" s="241" t="n">
        <v>132000</v>
      </c>
      <c r="I167" s="242" t="n"/>
      <c r="J167" s="242" t="n">
        <v>132000</v>
      </c>
      <c r="K167" s="272" t="n"/>
      <c r="L167" s="272" t="n">
        <v>30000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BERNARDO IRIGOYEN 6881</t>
        </is>
      </c>
      <c r="C168" s="268" t="n"/>
      <c r="D168" s="268" t="n">
        <v>1</v>
      </c>
      <c r="E168" s="268" t="n"/>
      <c r="F168" s="269" t="n"/>
      <c r="G168" s="269" t="n"/>
      <c r="H168" s="231" t="n">
        <v>35500</v>
      </c>
      <c r="I168" s="232" t="n">
        <v>35500</v>
      </c>
      <c r="J168" s="232" t="n"/>
      <c r="K168" s="272" t="n"/>
      <c r="L168" s="272" t="n">
        <v>10000</v>
      </c>
      <c r="M168" s="156" t="n"/>
      <c r="N168" s="156" t="n"/>
      <c r="O168" s="156" t="n"/>
    </row>
    <row r="169" ht="18.75" customHeight="1" s="153">
      <c r="A169" s="273" t="n"/>
      <c r="B169" s="274" t="inlineStr">
        <is>
          <t>NECOCHEA 7274</t>
        </is>
      </c>
      <c r="C169" s="275" t="n"/>
      <c r="D169" s="275" t="n"/>
      <c r="E169" s="275" t="n">
        <v>1</v>
      </c>
      <c r="F169" s="276" t="n"/>
      <c r="G169" s="276" t="n"/>
      <c r="H169" s="241" t="n">
        <v>99500</v>
      </c>
      <c r="I169" s="242" t="n"/>
      <c r="J169" s="242" t="n">
        <v>99500</v>
      </c>
      <c r="K169" s="272" t="n"/>
      <c r="L169" s="272" t="n">
        <v>30500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LUCHO</t>
        </is>
      </c>
      <c r="C170" s="268" t="n">
        <v>1</v>
      </c>
      <c r="D170" s="268" t="n">
        <v>1</v>
      </c>
      <c r="E170" s="268" t="n"/>
      <c r="F170" s="269" t="n"/>
      <c r="G170" s="269" t="n"/>
      <c r="H170" s="231" t="n">
        <v>57000</v>
      </c>
      <c r="I170" s="232" t="n"/>
      <c r="J170" s="232" t="n">
        <v>57000</v>
      </c>
      <c r="K170" s="272" t="n"/>
      <c r="L170" s="272" t="n">
        <v>14500</v>
      </c>
      <c r="M170" s="156" t="n"/>
      <c r="N170" s="156" t="n"/>
      <c r="O170" s="156" t="n"/>
    </row>
    <row r="171" ht="18.75" customHeight="1" s="153">
      <c r="A171" s="273" t="n"/>
      <c r="B171" s="274" t="inlineStr">
        <is>
          <t>CAREN</t>
        </is>
      </c>
      <c r="C171" s="275" t="n"/>
      <c r="D171" s="275" t="n"/>
      <c r="E171" s="275" t="n">
        <v>1</v>
      </c>
      <c r="F171" s="276" t="n"/>
      <c r="G171" s="276" t="n"/>
      <c r="H171" s="241" t="n">
        <v>95000</v>
      </c>
      <c r="I171" s="242" t="n"/>
      <c r="J171" s="242" t="n">
        <v>95000</v>
      </c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SAN JOSE 8494</t>
        </is>
      </c>
      <c r="C172" s="268" t="n">
        <v>1</v>
      </c>
      <c r="D172" s="268" t="n"/>
      <c r="E172" s="268" t="n"/>
      <c r="F172" s="269" t="n"/>
      <c r="G172" s="269" t="n"/>
      <c r="H172" s="231" t="n">
        <v>29000</v>
      </c>
      <c r="I172" s="232" t="n">
        <v>29000</v>
      </c>
      <c r="J172" s="232" t="n"/>
      <c r="K172" s="272" t="n"/>
      <c r="L172" s="272" t="n">
        <v>12000</v>
      </c>
      <c r="M172" s="156" t="n"/>
      <c r="N172" s="156" t="n"/>
      <c r="O172" s="156" t="n"/>
    </row>
    <row r="173" ht="18.75" customHeight="1" s="153">
      <c r="A173" s="273" t="n"/>
      <c r="B173" s="274" t="inlineStr">
        <is>
          <t>JP LOPEZ PARAGUAY</t>
        </is>
      </c>
      <c r="C173" s="275" t="n">
        <v>1</v>
      </c>
      <c r="D173" s="275" t="n"/>
      <c r="E173" s="275" t="n"/>
      <c r="F173" s="276" t="n"/>
      <c r="G173" s="276" t="n"/>
      <c r="H173" s="241" t="n">
        <v>28500</v>
      </c>
      <c r="I173" s="242" t="n"/>
      <c r="J173" s="242" t="n">
        <v>28500</v>
      </c>
      <c r="K173" s="272" t="n"/>
      <c r="L173" s="272" t="n">
        <v>11500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CARO FACELLO</t>
        </is>
      </c>
      <c r="C174" s="268" t="n"/>
      <c r="D174" s="268" t="n">
        <v>1</v>
      </c>
      <c r="E174" s="268" t="n"/>
      <c r="F174" s="269" t="n"/>
      <c r="G174" s="269" t="n"/>
      <c r="H174" s="231" t="n">
        <v>42000</v>
      </c>
      <c r="I174" s="232" t="n">
        <v>42000</v>
      </c>
      <c r="J174" s="232" t="n"/>
      <c r="K174" s="272" t="n"/>
      <c r="L174" s="272" t="n">
        <v>16500</v>
      </c>
      <c r="M174" s="156" t="n"/>
      <c r="N174" s="156" t="n"/>
      <c r="O174" s="156" t="n"/>
    </row>
    <row r="175" ht="18.75" customHeight="1" s="153">
      <c r="A175" s="273" t="n"/>
      <c r="B175" s="274" t="inlineStr">
        <is>
          <t>ESQUIU 2649</t>
        </is>
      </c>
      <c r="C175" s="275" t="n">
        <v>1</v>
      </c>
      <c r="D175" s="275" t="n"/>
      <c r="E175" s="275" t="n"/>
      <c r="F175" s="276" t="n"/>
      <c r="G175" s="276" t="n"/>
      <c r="H175" s="241" t="n">
        <v>29000</v>
      </c>
      <c r="I175" s="242" t="n"/>
      <c r="J175" s="242" t="n">
        <v>29000</v>
      </c>
      <c r="K175" s="272" t="n"/>
      <c r="L175" s="272" t="n">
        <v>12000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SAN LORENZO 2846</t>
        </is>
      </c>
      <c r="C176" s="268" t="n">
        <v>1</v>
      </c>
      <c r="D176" s="268" t="n"/>
      <c r="E176" s="268" t="n"/>
      <c r="F176" s="269" t="n"/>
      <c r="G176" s="269" t="n"/>
      <c r="H176" s="231" t="n">
        <v>29000</v>
      </c>
      <c r="I176" s="232" t="n"/>
      <c r="J176" s="232" t="n">
        <v>29000</v>
      </c>
      <c r="K176" s="272" t="n"/>
      <c r="L176" s="272" t="n">
        <v>12000</v>
      </c>
      <c r="M176" s="156" t="n"/>
      <c r="N176" s="156" t="n"/>
      <c r="O176" s="156" t="n"/>
    </row>
    <row r="177" ht="18.75" customHeight="1" s="153">
      <c r="A177" s="273" t="n"/>
      <c r="B177" s="274" t="inlineStr">
        <is>
          <t>ESFORA 2994</t>
        </is>
      </c>
      <c r="C177" s="275" t="n"/>
      <c r="D177" s="275" t="n"/>
      <c r="E177" s="275" t="n">
        <v>1</v>
      </c>
      <c r="F177" s="276" t="n"/>
      <c r="G177" s="276" t="n"/>
      <c r="H177" s="241" t="n">
        <v>98500</v>
      </c>
      <c r="I177" s="242" t="n"/>
      <c r="J177" s="242" t="n">
        <v>98500</v>
      </c>
      <c r="K177" s="272" t="n"/>
      <c r="L177" s="272" t="n">
        <v>29500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MILENIO DE POLONIA 2819</t>
        </is>
      </c>
      <c r="C178" s="268" t="n">
        <v>1</v>
      </c>
      <c r="D178" s="268" t="n"/>
      <c r="E178" s="268" t="n"/>
      <c r="F178" s="269" t="n"/>
      <c r="G178" s="269" t="n"/>
      <c r="H178" s="231" t="n">
        <v>27000</v>
      </c>
      <c r="I178" s="232" t="n">
        <v>27000</v>
      </c>
      <c r="J178" s="232" t="n"/>
      <c r="K178" s="272" t="n"/>
      <c r="L178" s="272" t="n">
        <v>10000</v>
      </c>
      <c r="M178" s="156" t="n"/>
      <c r="N178" s="156" t="n"/>
      <c r="O178" s="156" t="n"/>
    </row>
    <row r="179" ht="18.75" customHeight="1" s="153">
      <c r="A179" s="273" t="n"/>
      <c r="B179" s="274" t="inlineStr">
        <is>
          <t>PANA BONEO</t>
        </is>
      </c>
      <c r="C179" s="275" t="n"/>
      <c r="D179" s="275" t="n"/>
      <c r="E179" s="275" t="n">
        <v>1</v>
      </c>
      <c r="F179" s="276" t="n"/>
      <c r="G179" s="276" t="n"/>
      <c r="H179" s="241" t="n">
        <v>89000</v>
      </c>
      <c r="I179" s="242" t="n">
        <v>89000</v>
      </c>
      <c r="J179" s="242" t="n"/>
      <c r="K179" s="272" t="n"/>
      <c r="L179" s="272" t="n">
        <v>20000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ARISTOBULO 5137</t>
        </is>
      </c>
      <c r="C180" s="268" t="n"/>
      <c r="D180" s="268" t="n">
        <v>1</v>
      </c>
      <c r="E180" s="268" t="n"/>
      <c r="F180" s="269" t="n"/>
      <c r="G180" s="269" t="n"/>
      <c r="H180" s="231" t="n">
        <v>43000</v>
      </c>
      <c r="I180" s="232" t="n"/>
      <c r="J180" s="232" t="n">
        <v>43000</v>
      </c>
      <c r="K180" s="272" t="n"/>
      <c r="L180" s="272" t="n">
        <v>17500</v>
      </c>
      <c r="M180" s="156" t="n"/>
      <c r="N180" s="156" t="n"/>
      <c r="O180" s="156" t="n"/>
    </row>
    <row r="181" ht="18.75" customHeight="1" s="153">
      <c r="A181" s="273" t="n"/>
      <c r="B181" s="274" t="inlineStr">
        <is>
          <t>COLODRERO 2412</t>
        </is>
      </c>
      <c r="C181" s="275" t="n"/>
      <c r="D181" s="275" t="n">
        <v>1</v>
      </c>
      <c r="E181" s="275" t="n"/>
      <c r="F181" s="276" t="n"/>
      <c r="G181" s="276" t="n"/>
      <c r="H181" s="241" t="n">
        <v>43500</v>
      </c>
      <c r="I181" s="242" t="n"/>
      <c r="J181" s="242" t="n">
        <v>43500</v>
      </c>
      <c r="K181" s="272" t="n"/>
      <c r="L181" s="272" t="n">
        <v>18000</v>
      </c>
      <c r="M181" s="156" t="n"/>
      <c r="N181" s="156" t="n"/>
      <c r="O181" s="156" t="n"/>
    </row>
    <row r="182" ht="18.75" customHeight="1" s="153">
      <c r="A182" s="266" t="n">
        <v>46209</v>
      </c>
      <c r="B182" s="267" t="inlineStr">
        <is>
          <t>ROTI AGUADO</t>
        </is>
      </c>
      <c r="C182" s="268" t="n"/>
      <c r="D182" s="268" t="n"/>
      <c r="E182" s="268" t="n">
        <v>1</v>
      </c>
      <c r="F182" s="269" t="n"/>
      <c r="G182" s="269" t="n"/>
      <c r="H182" s="231" t="n">
        <v>94000</v>
      </c>
      <c r="I182" s="232" t="n"/>
      <c r="J182" s="232" t="n">
        <v>94000</v>
      </c>
      <c r="K182" s="272" t="n"/>
      <c r="L182" s="272" t="n">
        <v>25000</v>
      </c>
      <c r="M182" s="156" t="n"/>
      <c r="N182" s="156" t="n"/>
      <c r="O182" s="156" t="n"/>
    </row>
    <row r="183" ht="18.75" customHeight="1" s="153">
      <c r="A183" s="273" t="n"/>
      <c r="B183" s="274" t="inlineStr">
        <is>
          <t>MILENIO DE POLONIA 2751</t>
        </is>
      </c>
      <c r="C183" s="275" t="n">
        <v>1</v>
      </c>
      <c r="D183" s="275" t="n"/>
      <c r="E183" s="275" t="n"/>
      <c r="F183" s="276" t="n"/>
      <c r="G183" s="276" t="n"/>
      <c r="H183" s="241" t="n">
        <v>28500</v>
      </c>
      <c r="I183" s="242" t="n">
        <v>28500</v>
      </c>
      <c r="J183" s="242" t="n"/>
      <c r="K183" s="272" t="n"/>
      <c r="L183" s="272" t="n">
        <v>11500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MADAME CHEESE</t>
        </is>
      </c>
      <c r="C184" s="268" t="n">
        <v>1</v>
      </c>
      <c r="D184" s="268" t="n"/>
      <c r="E184" s="268" t="n"/>
      <c r="F184" s="269" t="n"/>
      <c r="G184" s="269" t="n"/>
      <c r="H184" s="231" t="n">
        <v>26000</v>
      </c>
      <c r="I184" s="232" t="n"/>
      <c r="J184" s="232" t="n">
        <v>26000</v>
      </c>
      <c r="K184" s="272" t="n"/>
      <c r="L184" s="272" t="n">
        <v>9000</v>
      </c>
      <c r="M184" s="156" t="n"/>
      <c r="N184" s="156" t="n"/>
      <c r="O184" s="156" t="n"/>
    </row>
    <row r="185" ht="18.75" customHeight="1" s="153">
      <c r="A185" s="273" t="n"/>
      <c r="B185" s="274" t="inlineStr">
        <is>
          <t>PRIMERO DE MAYO 1951</t>
        </is>
      </c>
      <c r="C185" s="275" t="n"/>
      <c r="D185" s="275" t="n"/>
      <c r="E185" s="275" t="n">
        <v>1</v>
      </c>
      <c r="F185" s="276" t="n"/>
      <c r="G185" s="276" t="n"/>
      <c r="H185" s="241" t="n">
        <v>95000</v>
      </c>
      <c r="I185" s="242" t="n"/>
      <c r="J185" s="242" t="n">
        <v>95000</v>
      </c>
      <c r="K185" s="272" t="n"/>
      <c r="L185" s="272" t="n">
        <v>26000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CALLEJON FUNES 2669</t>
        </is>
      </c>
      <c r="C186" s="268" t="n">
        <v>1</v>
      </c>
      <c r="D186" s="268" t="n"/>
      <c r="E186" s="268" t="n"/>
      <c r="F186" s="269" t="n"/>
      <c r="G186" s="269" t="n"/>
      <c r="H186" s="231" t="n">
        <v>29000</v>
      </c>
      <c r="I186" s="232" t="n"/>
      <c r="J186" s="232" t="n">
        <v>29000</v>
      </c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OTNIEL</t>
        </is>
      </c>
      <c r="C187" s="275" t="n"/>
      <c r="D187" s="275" t="n"/>
      <c r="E187" s="275" t="n">
        <v>1</v>
      </c>
      <c r="F187" s="276" t="n"/>
      <c r="G187" s="276" t="n"/>
      <c r="H187" s="241" t="n">
        <v>91000</v>
      </c>
      <c r="I187" s="242" t="n"/>
      <c r="J187" s="242" t="n">
        <v>91000</v>
      </c>
      <c r="K187" s="272" t="n"/>
      <c r="L187" s="272" t="n">
        <v>22000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COGORNO 5520</t>
        </is>
      </c>
      <c r="C188" s="268" t="n">
        <v>5</v>
      </c>
      <c r="D188" s="268" t="n">
        <v>1</v>
      </c>
      <c r="E188" s="268" t="n"/>
      <c r="F188" s="269" t="n"/>
      <c r="G188" s="269" t="n"/>
      <c r="H188" s="231" t="n">
        <v>147000</v>
      </c>
      <c r="I188" s="232" t="n"/>
      <c r="J188" s="232" t="n">
        <v>147000</v>
      </c>
      <c r="K188" s="272" t="n"/>
      <c r="L188" s="272" t="n">
        <v>36500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VICTOR CAPE</t>
        </is>
      </c>
      <c r="C189" s="275" t="n"/>
      <c r="D189" s="275" t="n">
        <v>1</v>
      </c>
      <c r="E189" s="275" t="n"/>
      <c r="F189" s="276" t="n"/>
      <c r="G189" s="276" t="n"/>
      <c r="H189" s="241" t="n">
        <v>42000</v>
      </c>
      <c r="I189" s="242" t="n"/>
      <c r="J189" s="242" t="n">
        <v>42000</v>
      </c>
      <c r="K189" s="272" t="n"/>
      <c r="L189" s="272" t="n">
        <v>16500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RUPERTO GODOY 4142</t>
        </is>
      </c>
      <c r="C190" s="268" t="n">
        <v>2</v>
      </c>
      <c r="D190" s="268" t="n"/>
      <c r="E190" s="268" t="n"/>
      <c r="F190" s="269" t="n"/>
      <c r="G190" s="269" t="n"/>
      <c r="H190" s="231" t="n">
        <v>50000</v>
      </c>
      <c r="I190" s="232" t="n"/>
      <c r="J190" s="232" t="n">
        <v>50000</v>
      </c>
      <c r="K190" s="272" t="n"/>
      <c r="L190" s="272" t="n">
        <v>16000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PORTON TOTI</t>
        </is>
      </c>
      <c r="C191" s="275" t="n">
        <v>1</v>
      </c>
      <c r="D191" s="275" t="n"/>
      <c r="E191" s="275" t="n"/>
      <c r="F191" s="276" t="n"/>
      <c r="G191" s="276" t="n"/>
      <c r="H191" s="241" t="n">
        <v>24000</v>
      </c>
      <c r="I191" s="242" t="n">
        <v>24000</v>
      </c>
      <c r="J191" s="242" t="n"/>
      <c r="K191" s="272" t="n"/>
      <c r="L191" s="272" t="n">
        <v>7000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SALTA 3554</t>
        </is>
      </c>
      <c r="C192" s="268" t="n">
        <v>1</v>
      </c>
      <c r="D192" s="268" t="n"/>
      <c r="E192" s="268" t="n"/>
      <c r="F192" s="269" t="n"/>
      <c r="G192" s="269" t="n"/>
      <c r="H192" s="231" t="n">
        <v>28500</v>
      </c>
      <c r="I192" s="232" t="n">
        <v>28500</v>
      </c>
      <c r="J192" s="232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PANA BERUTI 6400</t>
        </is>
      </c>
      <c r="C193" s="275" t="n"/>
      <c r="D193" s="275" t="n"/>
      <c r="E193" s="275" t="n">
        <v>1</v>
      </c>
      <c r="F193" s="276" t="n"/>
      <c r="G193" s="276" t="n"/>
      <c r="H193" s="241" t="n">
        <v>91000</v>
      </c>
      <c r="I193" s="242" t="n"/>
      <c r="J193" s="242" t="n">
        <v>91000</v>
      </c>
      <c r="K193" s="272" t="n"/>
      <c r="L193" s="272" t="n">
        <v>22000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BELGRANO 8153</t>
        </is>
      </c>
      <c r="C194" s="268" t="n">
        <v>1</v>
      </c>
      <c r="D194" s="268" t="n"/>
      <c r="E194" s="268" t="n"/>
      <c r="F194" s="269" t="n"/>
      <c r="G194" s="269" t="n"/>
      <c r="H194" s="231" t="n">
        <v>28500</v>
      </c>
      <c r="I194" s="232" t="n">
        <v>28500</v>
      </c>
      <c r="J194" s="232" t="n"/>
      <c r="K194" s="272" t="n"/>
      <c r="L194" s="272" t="n">
        <v>11500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ESCALONETA</t>
        </is>
      </c>
      <c r="C195" s="275" t="n"/>
      <c r="D195" s="275" t="n"/>
      <c r="E195" s="275" t="n">
        <v>1</v>
      </c>
      <c r="F195" s="276" t="n"/>
      <c r="G195" s="276" t="n"/>
      <c r="H195" s="241" t="n">
        <v>95000</v>
      </c>
      <c r="I195" s="242" t="n"/>
      <c r="J195" s="242" t="n">
        <v>95000</v>
      </c>
      <c r="K195" s="272" t="n"/>
      <c r="L195" s="272" t="n">
        <v>26000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ARISTOBULO 7195</t>
        </is>
      </c>
      <c r="C196" s="268" t="n">
        <v>1</v>
      </c>
      <c r="D196" s="268" t="n"/>
      <c r="E196" s="268" t="n"/>
      <c r="F196" s="269" t="n"/>
      <c r="G196" s="269" t="n"/>
      <c r="H196" s="231" t="n">
        <v>128000</v>
      </c>
      <c r="I196" s="232" t="n">
        <v>128000</v>
      </c>
      <c r="J196" s="232" t="n"/>
      <c r="K196" s="272" t="n">
        <v>65000</v>
      </c>
      <c r="L196" s="272" t="n">
        <v>46000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ALSINA 6181</t>
        </is>
      </c>
      <c r="C197" s="275" t="n">
        <v>1</v>
      </c>
      <c r="D197" s="275" t="n"/>
      <c r="E197" s="275" t="n"/>
      <c r="F197" s="276" t="n"/>
      <c r="G197" s="276" t="n"/>
      <c r="H197" s="241" t="n">
        <v>28000</v>
      </c>
      <c r="I197" s="242" t="n"/>
      <c r="J197" s="242" t="n">
        <v>28000</v>
      </c>
      <c r="K197" s="272" t="n"/>
      <c r="L197" s="272" t="n">
        <v>11000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SAN MARTIN 6530</t>
        </is>
      </c>
      <c r="C198" s="268" t="n"/>
      <c r="D198" s="268" t="n"/>
      <c r="E198" s="268" t="n"/>
      <c r="F198" s="269" t="n"/>
      <c r="G198" s="269" t="n">
        <v>2</v>
      </c>
      <c r="H198" s="231" t="n">
        <v>14000</v>
      </c>
      <c r="I198" s="232" t="n"/>
      <c r="J198" s="232" t="n">
        <v>14000</v>
      </c>
      <c r="K198" s="272" t="n"/>
      <c r="L198" s="272" t="n">
        <v>12160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LAS HERAS 6133</t>
        </is>
      </c>
      <c r="C199" s="275" t="n"/>
      <c r="D199" s="275" t="n"/>
      <c r="E199" s="275" t="n">
        <v>1</v>
      </c>
      <c r="F199" s="276" t="n"/>
      <c r="G199" s="276" t="n"/>
      <c r="H199" s="241" t="n">
        <v>98500</v>
      </c>
      <c r="I199" s="242" t="n"/>
      <c r="J199" s="242" t="n">
        <v>98500</v>
      </c>
      <c r="K199" s="272" t="n"/>
      <c r="L199" s="272" t="n">
        <v>29500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IRIGOYEN FREIRE 3053</t>
        </is>
      </c>
      <c r="C200" s="268" t="n">
        <v>1</v>
      </c>
      <c r="D200" s="268" t="n"/>
      <c r="E200" s="268" t="n"/>
      <c r="F200" s="269" t="n"/>
      <c r="G200" s="269" t="n"/>
      <c r="H200" s="231" t="n">
        <v>29000</v>
      </c>
      <c r="I200" s="232" t="n"/>
      <c r="J200" s="232" t="n">
        <v>29000</v>
      </c>
      <c r="K200" s="272" t="n"/>
      <c r="L200" s="272" t="n">
        <v>12000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LA RIOJA 2824</t>
        </is>
      </c>
      <c r="C201" s="275" t="n">
        <v>1</v>
      </c>
      <c r="D201" s="275" t="n"/>
      <c r="E201" s="275" t="n"/>
      <c r="F201" s="276" t="n"/>
      <c r="G201" s="276" t="n"/>
      <c r="H201" s="241" t="n">
        <v>29000</v>
      </c>
      <c r="I201" s="242" t="n"/>
      <c r="J201" s="242" t="n">
        <v>29000</v>
      </c>
      <c r="K201" s="272" t="n"/>
      <c r="L201" s="272" t="n">
        <v>12000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VIÑAS 9369</t>
        </is>
      </c>
      <c r="C202" s="268" t="n">
        <v>1</v>
      </c>
      <c r="D202" s="268" t="n"/>
      <c r="E202" s="268" t="n"/>
      <c r="F202" s="269" t="n"/>
      <c r="G202" s="269" t="n"/>
      <c r="H202" s="231" t="n">
        <v>28500</v>
      </c>
      <c r="I202" s="232" t="n">
        <v>28500</v>
      </c>
      <c r="J202" s="232" t="n"/>
      <c r="K202" s="272" t="n"/>
      <c r="L202" s="272" t="n">
        <v>11500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PANA GORRITI 4600</t>
        </is>
      </c>
      <c r="C203" s="275" t="n"/>
      <c r="D203" s="275" t="n"/>
      <c r="E203" s="275" t="n">
        <v>1</v>
      </c>
      <c r="F203" s="276" t="n"/>
      <c r="G203" s="276" t="n"/>
      <c r="H203" s="241" t="n">
        <v>95000</v>
      </c>
      <c r="I203" s="242" t="n">
        <v>95000</v>
      </c>
      <c r="J203" s="242" t="n"/>
      <c r="K203" s="272" t="n"/>
      <c r="L203" s="272" t="n">
        <v>26000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ALSINA 7980</t>
        </is>
      </c>
      <c r="C204" s="268" t="n">
        <v>1</v>
      </c>
      <c r="D204" s="268" t="n"/>
      <c r="E204" s="268" t="n"/>
      <c r="F204" s="269" t="n"/>
      <c r="G204" s="269" t="n"/>
      <c r="H204" s="231" t="n">
        <v>28500</v>
      </c>
      <c r="I204" s="232" t="n">
        <v>28500</v>
      </c>
      <c r="J204" s="232" t="n"/>
      <c r="K204" s="272" t="n"/>
      <c r="L204" s="272" t="n">
        <v>11500</v>
      </c>
      <c r="M204" s="156" t="n"/>
      <c r="N204" s="156" t="n"/>
      <c r="O204" s="156" t="n"/>
    </row>
    <row r="205" ht="18.75" customHeight="1" s="153">
      <c r="A205" s="273" t="n"/>
      <c r="B205" s="274" t="inlineStr">
        <is>
          <t>AYACUCHO 5370</t>
        </is>
      </c>
      <c r="C205" s="275" t="n"/>
      <c r="D205" s="275" t="n"/>
      <c r="E205" s="275" t="n"/>
      <c r="F205" s="276" t="n"/>
      <c r="G205" s="276" t="n">
        <v>2</v>
      </c>
      <c r="H205" s="241" t="n">
        <v>14000</v>
      </c>
      <c r="I205" s="242" t="n"/>
      <c r="J205" s="242" t="n">
        <v>14000</v>
      </c>
      <c r="K205" s="272" t="n"/>
      <c r="L205" s="272" t="n">
        <v>12160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GOBERNADOR CANDIOTTI 2114</t>
        </is>
      </c>
      <c r="C206" s="268" t="n">
        <v>1</v>
      </c>
      <c r="D206" s="268" t="n"/>
      <c r="E206" s="268" t="n"/>
      <c r="F206" s="269" t="n"/>
      <c r="G206" s="269" t="n"/>
      <c r="H206" s="231" t="n">
        <v>28500</v>
      </c>
      <c r="I206" s="232" t="n"/>
      <c r="J206" s="232" t="n">
        <v>28500</v>
      </c>
      <c r="K206" s="272" t="n"/>
      <c r="L206" s="272" t="n">
        <v>11500</v>
      </c>
      <c r="M206" s="156" t="n"/>
      <c r="N206" s="156" t="n"/>
      <c r="O206" s="156" t="n"/>
    </row>
    <row r="207" ht="18.75" customHeight="1" s="153">
      <c r="A207" s="273" t="n"/>
      <c r="B207" s="274" t="inlineStr">
        <is>
          <t>PARAGUAY 6631</t>
        </is>
      </c>
      <c r="C207" s="275" t="n"/>
      <c r="D207" s="275" t="n">
        <v>1</v>
      </c>
      <c r="E207" s="275" t="n"/>
      <c r="F207" s="276" t="n"/>
      <c r="G207" s="276" t="n"/>
      <c r="H207" s="241" t="n">
        <v>42500</v>
      </c>
      <c r="I207" s="242" t="n"/>
      <c r="J207" s="242" t="n">
        <v>42500</v>
      </c>
      <c r="K207" s="272" t="n"/>
      <c r="L207" s="272" t="n">
        <v>17000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SAN JUAN 10326</t>
        </is>
      </c>
      <c r="C208" s="268" t="n">
        <v>1</v>
      </c>
      <c r="D208" s="268" t="n"/>
      <c r="E208" s="268" t="n"/>
      <c r="F208" s="269" t="n"/>
      <c r="G208" s="269" t="n"/>
      <c r="H208" s="231" t="n">
        <v>28500</v>
      </c>
      <c r="I208" s="232" t="n"/>
      <c r="J208" s="232" t="n">
        <v>28500</v>
      </c>
      <c r="K208" s="272" t="n"/>
      <c r="L208" s="272" t="n">
        <v>11500</v>
      </c>
      <c r="M208" s="156" t="n"/>
      <c r="N208" s="156" t="n"/>
      <c r="O208" s="156" t="n"/>
    </row>
    <row r="209" ht="18.75" customHeight="1" s="153">
      <c r="A209" s="273" t="n"/>
      <c r="B209" s="274" t="inlineStr">
        <is>
          <t>HIPOLITO IRIGOYEN 2916</t>
        </is>
      </c>
      <c r="C209" s="275" t="n"/>
      <c r="D209" s="275" t="n">
        <v>1</v>
      </c>
      <c r="E209" s="275" t="n"/>
      <c r="F209" s="276" t="n"/>
      <c r="G209" s="276" t="n"/>
      <c r="H209" s="241" t="n">
        <v>42500</v>
      </c>
      <c r="I209" s="242" t="n"/>
      <c r="J209" s="242" t="n">
        <v>42500</v>
      </c>
      <c r="K209" s="272" t="n"/>
      <c r="L209" s="272" t="n">
        <v>17000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SARA TUYA</t>
        </is>
      </c>
      <c r="C210" s="268" t="n">
        <v>1</v>
      </c>
      <c r="D210" s="268" t="n"/>
      <c r="E210" s="268" t="n"/>
      <c r="F210" s="269" t="n"/>
      <c r="G210" s="269" t="n"/>
      <c r="H210" s="231" t="n">
        <v>28500</v>
      </c>
      <c r="I210" s="232" t="n">
        <v>28500</v>
      </c>
      <c r="J210" s="232" t="n"/>
      <c r="K210" s="272" t="n"/>
      <c r="L210" s="272" t="n">
        <v>11500</v>
      </c>
      <c r="M210" s="156" t="n"/>
      <c r="N210" s="156" t="n"/>
      <c r="O210" s="156" t="n"/>
    </row>
    <row r="211" ht="18.75" customHeight="1" s="153">
      <c r="A211" s="273" t="n"/>
      <c r="B211" s="274" t="inlineStr">
        <is>
          <t>ABUELA TUYA</t>
        </is>
      </c>
      <c r="C211" s="275" t="n">
        <v>1</v>
      </c>
      <c r="D211" s="275" t="n"/>
      <c r="E211" s="275" t="n"/>
      <c r="F211" s="276" t="n"/>
      <c r="G211" s="276" t="n"/>
      <c r="H211" s="241" t="n">
        <v>28500</v>
      </c>
      <c r="I211" s="242" t="n">
        <v>28500</v>
      </c>
      <c r="J211" s="242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JP LOPEZ 3249</t>
        </is>
      </c>
      <c r="C212" s="268" t="n">
        <v>1</v>
      </c>
      <c r="D212" s="268" t="n"/>
      <c r="E212" s="268" t="n"/>
      <c r="F212" s="269" t="n"/>
      <c r="G212" s="269" t="n"/>
      <c r="H212" s="231" t="n">
        <v>28500</v>
      </c>
      <c r="I212" s="232" t="n">
        <v>28500</v>
      </c>
      <c r="J212" s="232" t="n"/>
      <c r="K212" s="272" t="n"/>
      <c r="L212" s="272" t="n">
        <v>11500</v>
      </c>
      <c r="M212" s="156" t="n"/>
      <c r="N212" s="156" t="n"/>
      <c r="O212" s="156" t="n"/>
    </row>
    <row r="213" ht="18.75" customHeight="1" s="153">
      <c r="A213" s="273" t="n"/>
      <c r="B213" s="274" t="inlineStr">
        <is>
          <t>RISSO 3223</t>
        </is>
      </c>
      <c r="C213" s="275" t="n"/>
      <c r="D213" s="275" t="n"/>
      <c r="E213" s="275" t="n">
        <v>1</v>
      </c>
      <c r="F213" s="276" t="n"/>
      <c r="G213" s="276" t="n"/>
      <c r="H213" s="241" t="n">
        <v>90000</v>
      </c>
      <c r="I213" s="242" t="n"/>
      <c r="J213" s="242" t="n">
        <v>90000</v>
      </c>
      <c r="K213" s="272" t="n"/>
      <c r="L213" s="272" t="n">
        <v>21000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SIRLAKI</t>
        </is>
      </c>
      <c r="C214" s="268" t="n">
        <v>1</v>
      </c>
      <c r="D214" s="268" t="n"/>
      <c r="E214" s="268" t="n"/>
      <c r="F214" s="269" t="n"/>
      <c r="G214" s="269" t="n"/>
      <c r="H214" s="231" t="n">
        <v>27000</v>
      </c>
      <c r="I214" s="232" t="n">
        <v>27000</v>
      </c>
      <c r="J214" s="232" t="n"/>
      <c r="K214" s="272" t="n"/>
      <c r="L214" s="272" t="n">
        <v>10000</v>
      </c>
      <c r="M214" s="156" t="n"/>
      <c r="N214" s="156" t="n"/>
      <c r="O214" s="156" t="n"/>
    </row>
    <row r="215" ht="18.75" customHeight="1" s="153">
      <c r="A215" s="273" t="n"/>
      <c r="B215" s="274" t="inlineStr">
        <is>
          <t>SALTA 3047</t>
        </is>
      </c>
      <c r="C215" s="275" t="n">
        <v>1</v>
      </c>
      <c r="D215" s="275" t="n"/>
      <c r="E215" s="275" t="n"/>
      <c r="F215" s="276" t="n"/>
      <c r="G215" s="276" t="n"/>
      <c r="H215" s="241" t="n">
        <v>28500</v>
      </c>
      <c r="I215" s="242" t="n">
        <v>28500</v>
      </c>
      <c r="J215" s="242" t="n"/>
      <c r="K215" s="272" t="n"/>
      <c r="L215" s="272" t="n">
        <v>11500</v>
      </c>
      <c r="M215" s="156" t="n"/>
      <c r="N215" s="156" t="n"/>
      <c r="O215" s="156" t="n"/>
    </row>
    <row r="216" ht="18.75" customHeight="1" s="153">
      <c r="A216" s="266" t="n">
        <v>46210</v>
      </c>
      <c r="B216" s="267" t="inlineStr">
        <is>
          <t>MOCORETA</t>
        </is>
      </c>
      <c r="C216" s="268" t="n">
        <v>3</v>
      </c>
      <c r="D216" s="268" t="n"/>
      <c r="E216" s="268" t="n">
        <v>1</v>
      </c>
      <c r="F216" s="269" t="n"/>
      <c r="G216" s="269" t="n"/>
      <c r="H216" s="231" t="n">
        <v>183000</v>
      </c>
      <c r="I216" s="232" t="n"/>
      <c r="J216" s="232" t="n">
        <v>183000</v>
      </c>
      <c r="K216" s="272" t="n"/>
      <c r="L216" s="272" t="n">
        <v>63000</v>
      </c>
      <c r="M216" s="156" t="n"/>
      <c r="N216" s="156" t="n"/>
      <c r="O216" s="156" t="n"/>
    </row>
    <row r="217" ht="18.75" customHeight="1" s="153">
      <c r="A217" s="273" t="n"/>
      <c r="B217" s="274" t="inlineStr">
        <is>
          <t>ESFORA 4846</t>
        </is>
      </c>
      <c r="C217" s="275" t="n">
        <v>1</v>
      </c>
      <c r="D217" s="275" t="n">
        <v>1</v>
      </c>
      <c r="E217" s="275" t="n"/>
      <c r="F217" s="276" t="n"/>
      <c r="G217" s="276" t="n"/>
      <c r="H217" s="241" t="n">
        <v>72000</v>
      </c>
      <c r="I217" s="242" t="n">
        <v>72000</v>
      </c>
      <c r="J217" s="242" t="n"/>
      <c r="K217" s="272" t="n"/>
      <c r="L217" s="272" t="n">
        <v>29500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NOGALES 3419</t>
        </is>
      </c>
      <c r="C218" s="268" t="n"/>
      <c r="D218" s="268" t="n"/>
      <c r="E218" s="268" t="n">
        <v>1</v>
      </c>
      <c r="F218" s="269" t="n"/>
      <c r="G218" s="269" t="n"/>
      <c r="H218" s="231" t="n">
        <v>102000</v>
      </c>
      <c r="I218" s="232" t="n"/>
      <c r="J218" s="232" t="n">
        <v>102000</v>
      </c>
      <c r="K218" s="272" t="n"/>
      <c r="L218" s="272" t="n">
        <v>33000</v>
      </c>
      <c r="M218" s="156" t="n"/>
      <c r="N218" s="156" t="n"/>
      <c r="O218" s="156" t="n"/>
    </row>
    <row r="219" ht="18.75" customHeight="1" s="153">
      <c r="A219" s="273" t="n"/>
      <c r="B219" s="274" t="inlineStr">
        <is>
          <t>GENERAL PAZ 7826</t>
        </is>
      </c>
      <c r="C219" s="275" t="n"/>
      <c r="D219" s="275" t="n"/>
      <c r="E219" s="275" t="n">
        <v>1</v>
      </c>
      <c r="F219" s="276" t="n"/>
      <c r="G219" s="276" t="n"/>
      <c r="H219" s="241" t="n">
        <v>98500</v>
      </c>
      <c r="I219" s="242" t="n">
        <v>98500</v>
      </c>
      <c r="J219" s="242" t="n"/>
      <c r="K219" s="272" t="n"/>
      <c r="L219" s="272" t="n">
        <v>29500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4TO PASAJE 3782</t>
        </is>
      </c>
      <c r="C220" s="268" t="n">
        <v>1</v>
      </c>
      <c r="D220" s="268" t="n"/>
      <c r="E220" s="268" t="n"/>
      <c r="F220" s="269" t="n"/>
      <c r="G220" s="269" t="n"/>
      <c r="H220" s="231" t="n">
        <v>29000</v>
      </c>
      <c r="I220" s="232" t="n"/>
      <c r="J220" s="232" t="n">
        <v>29000</v>
      </c>
      <c r="K220" s="272" t="n"/>
      <c r="L220" s="272" t="n">
        <v>12000</v>
      </c>
      <c r="M220" s="156" t="n"/>
      <c r="N220" s="156" t="n"/>
      <c r="O220" s="156" t="n"/>
    </row>
    <row r="221" ht="18.75" customHeight="1" s="153">
      <c r="A221" s="273" t="n"/>
      <c r="B221" s="274" t="inlineStr">
        <is>
          <t>BERUTI 4075</t>
        </is>
      </c>
      <c r="C221" s="275" t="n"/>
      <c r="D221" s="275" t="n"/>
      <c r="E221" s="275" t="n">
        <v>2</v>
      </c>
      <c r="F221" s="276" t="n"/>
      <c r="G221" s="276" t="n"/>
      <c r="H221" s="241" t="n">
        <v>197000</v>
      </c>
      <c r="I221" s="242" t="n">
        <v>197000</v>
      </c>
      <c r="J221" s="242" t="n"/>
      <c r="K221" s="272" t="n"/>
      <c r="L221" s="272" t="n">
        <v>59000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ALBERTI ANYI</t>
        </is>
      </c>
      <c r="C222" s="268" t="n"/>
      <c r="D222" s="268" t="n">
        <v>1</v>
      </c>
      <c r="E222" s="268" t="n"/>
      <c r="F222" s="269" t="n"/>
      <c r="G222" s="269" t="n"/>
      <c r="H222" s="231" t="n">
        <v>39500</v>
      </c>
      <c r="I222" s="232" t="n"/>
      <c r="J222" s="232" t="n">
        <v>39500</v>
      </c>
      <c r="K222" s="272" t="n"/>
      <c r="L222" s="272" t="n">
        <v>14000</v>
      </c>
      <c r="M222" s="156" t="n"/>
      <c r="N222" s="156" t="n"/>
      <c r="O222" s="156" t="n"/>
    </row>
    <row r="223" ht="18.75" customHeight="1" s="153">
      <c r="A223" s="273" t="n"/>
      <c r="B223" s="274" t="inlineStr">
        <is>
          <t>AVELLANEDA 4225</t>
        </is>
      </c>
      <c r="C223" s="275" t="n">
        <v>1</v>
      </c>
      <c r="D223" s="275" t="n"/>
      <c r="E223" s="275" t="n"/>
      <c r="F223" s="276" t="n"/>
      <c r="G223" s="276" t="n"/>
      <c r="H223" s="241" t="n">
        <v>29000</v>
      </c>
      <c r="I223" s="242" t="n"/>
      <c r="J223" s="242" t="n">
        <v>29000</v>
      </c>
      <c r="K223" s="272" t="n"/>
      <c r="L223" s="272" t="n">
        <v>12000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AZCUENAGA 6551</t>
        </is>
      </c>
      <c r="C224" s="268" t="n">
        <v>4</v>
      </c>
      <c r="D224" s="268" t="n"/>
      <c r="E224" s="268" t="n"/>
      <c r="F224" s="269" t="n"/>
      <c r="G224" s="269" t="n"/>
      <c r="H224" s="231" t="n">
        <v>88000</v>
      </c>
      <c r="I224" s="232" t="n">
        <v>88000</v>
      </c>
      <c r="J224" s="232" t="n"/>
      <c r="K224" s="272" t="n"/>
      <c r="L224" s="272" t="n">
        <v>20000</v>
      </c>
      <c r="M224" s="156" t="n"/>
      <c r="N224" s="156" t="n"/>
      <c r="O224" s="156" t="n"/>
    </row>
    <row r="225" ht="18.75" customHeight="1" s="153">
      <c r="A225" s="273" t="n"/>
      <c r="B225" s="274" t="inlineStr">
        <is>
          <t>LO DE NICO</t>
        </is>
      </c>
      <c r="C225" s="275" t="n">
        <v>3</v>
      </c>
      <c r="D225" s="275" t="n"/>
      <c r="E225" s="275" t="n"/>
      <c r="F225" s="276" t="n"/>
      <c r="G225" s="276" t="n"/>
      <c r="H225" s="241" t="n">
        <v>67500</v>
      </c>
      <c r="I225" s="242" t="n"/>
      <c r="J225" s="242" t="n">
        <v>67500</v>
      </c>
      <c r="K225" s="272" t="n"/>
      <c r="L225" s="272" t="n">
        <v>16500</v>
      </c>
      <c r="M225" s="156" t="n"/>
      <c r="N225" s="156" t="n"/>
      <c r="O225" s="156" t="n"/>
    </row>
    <row r="226" ht="18.75" customHeight="1" s="153">
      <c r="A226" s="279" t="n"/>
      <c r="B226" s="267" t="inlineStr">
        <is>
          <t>ARENALES 10625</t>
        </is>
      </c>
      <c r="C226" s="268" t="n">
        <v>2</v>
      </c>
      <c r="D226" s="268" t="n"/>
      <c r="E226" s="268" t="n">
        <v>1</v>
      </c>
      <c r="F226" s="269" t="n"/>
      <c r="G226" s="269" t="n"/>
      <c r="H226" s="231" t="n">
        <v>138000</v>
      </c>
      <c r="I226" s="232" t="n"/>
      <c r="J226" s="232" t="n">
        <v>138000</v>
      </c>
      <c r="K226" s="272" t="n"/>
      <c r="L226" s="272" t="n">
        <v>35000</v>
      </c>
      <c r="M226" s="156" t="n"/>
      <c r="N226" s="156" t="n"/>
      <c r="O226" s="156" t="n"/>
    </row>
    <row r="227" ht="18.75" customHeight="1" s="153">
      <c r="A227" s="273" t="n"/>
      <c r="B227" s="274" t="inlineStr">
        <is>
          <t>GORRITI 6630</t>
        </is>
      </c>
      <c r="C227" s="275" t="n">
        <v>1</v>
      </c>
      <c r="D227" s="275" t="n"/>
      <c r="E227" s="275" t="n"/>
      <c r="F227" s="276" t="n"/>
      <c r="G227" s="276" t="n"/>
      <c r="H227" s="241" t="n">
        <v>105000</v>
      </c>
      <c r="I227" s="242" t="n"/>
      <c r="J227" s="242" t="n">
        <v>105000</v>
      </c>
      <c r="K227" s="272" t="n">
        <v>65000</v>
      </c>
      <c r="L227" s="272" t="n">
        <v>23000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PEDRO FERRE 2091</t>
        </is>
      </c>
      <c r="C228" s="268" t="n">
        <v>1</v>
      </c>
      <c r="D228" s="268" t="n"/>
      <c r="E228" s="268" t="n"/>
      <c r="F228" s="269" t="n"/>
      <c r="G228" s="269" t="n"/>
      <c r="H228" s="231" t="n">
        <v>28500</v>
      </c>
      <c r="I228" s="232" t="n">
        <v>28500</v>
      </c>
      <c r="J228" s="232" t="n"/>
      <c r="K228" s="272" t="n"/>
      <c r="L228" s="272" t="n">
        <v>11500</v>
      </c>
      <c r="M228" s="156" t="n"/>
      <c r="N228" s="156" t="n"/>
      <c r="O228" s="156" t="n"/>
    </row>
    <row r="229" ht="18.75" customHeight="1" s="153">
      <c r="A229" s="273" t="n"/>
      <c r="B229" s="274" t="inlineStr">
        <is>
          <t>SAAVEDRA 4064</t>
        </is>
      </c>
      <c r="C229" s="275" t="n">
        <v>1</v>
      </c>
      <c r="D229" s="275" t="n"/>
      <c r="E229" s="275" t="n"/>
      <c r="F229" s="276" t="n"/>
      <c r="G229" s="276" t="n"/>
      <c r="H229" s="241" t="n">
        <v>29000</v>
      </c>
      <c r="I229" s="242" t="n">
        <v>29000</v>
      </c>
      <c r="J229" s="242" t="n"/>
      <c r="K229" s="272" t="n"/>
      <c r="L229" s="272" t="n">
        <v>12000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RIO NEGRO 3028</t>
        </is>
      </c>
      <c r="C230" s="268" t="n">
        <v>1</v>
      </c>
      <c r="D230" s="268" t="n"/>
      <c r="E230" s="268" t="n"/>
      <c r="F230" s="269" t="n"/>
      <c r="G230" s="269" t="n"/>
      <c r="H230" s="231" t="n">
        <v>29000</v>
      </c>
      <c r="I230" s="232" t="n">
        <v>29000</v>
      </c>
      <c r="J230" s="232" t="n"/>
      <c r="K230" s="272" t="n"/>
      <c r="L230" s="272" t="n">
        <v>12000</v>
      </c>
      <c r="M230" s="156" t="n"/>
      <c r="N230" s="156" t="n"/>
      <c r="O230" s="156" t="n"/>
    </row>
    <row r="231" ht="18.75" customHeight="1" s="153">
      <c r="A231" s="273" t="n"/>
      <c r="B231" s="274" t="inlineStr">
        <is>
          <t>VIEYTES 4587</t>
        </is>
      </c>
      <c r="C231" s="275" t="n"/>
      <c r="D231" s="275" t="n"/>
      <c r="E231" s="275" t="n">
        <v>1</v>
      </c>
      <c r="F231" s="276" t="n"/>
      <c r="G231" s="276" t="n"/>
      <c r="H231" s="241" t="n">
        <v>95000</v>
      </c>
      <c r="I231" s="242" t="n">
        <v>95000</v>
      </c>
      <c r="J231" s="242" t="n"/>
      <c r="K231" s="272" t="n"/>
      <c r="L231" s="272" t="n">
        <v>26000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PANA VIEYTES 4500</t>
        </is>
      </c>
      <c r="C232" s="268" t="n"/>
      <c r="D232" s="268" t="n"/>
      <c r="E232" s="268" t="n">
        <v>1</v>
      </c>
      <c r="F232" s="269" t="n"/>
      <c r="G232" s="269" t="n"/>
      <c r="H232" s="231" t="n">
        <v>91000</v>
      </c>
      <c r="I232" s="232" t="n"/>
      <c r="J232" s="232" t="n">
        <v>91000</v>
      </c>
      <c r="K232" s="272" t="n"/>
      <c r="L232" s="272" t="n">
        <v>22000</v>
      </c>
      <c r="M232" s="156" t="n"/>
      <c r="N232" s="156" t="n"/>
      <c r="O232" s="156" t="n"/>
    </row>
    <row r="233" ht="18.75" customHeight="1" s="153">
      <c r="A233" s="273" t="n"/>
      <c r="B233" s="274" t="inlineStr">
        <is>
          <t>ESCALONETA</t>
        </is>
      </c>
      <c r="C233" s="275" t="n"/>
      <c r="D233" s="275" t="n"/>
      <c r="E233" s="275" t="n">
        <v>1</v>
      </c>
      <c r="F233" s="276" t="n"/>
      <c r="G233" s="276" t="n"/>
      <c r="H233" s="241" t="n">
        <v>95000</v>
      </c>
      <c r="I233" s="242" t="n"/>
      <c r="J233" s="242" t="n">
        <v>95000</v>
      </c>
      <c r="K233" s="272" t="n"/>
      <c r="L233" s="272" t="n">
        <v>26000</v>
      </c>
      <c r="M233" s="156" t="n"/>
      <c r="N233" s="156" t="n"/>
      <c r="O233" s="156" t="n"/>
    </row>
    <row r="234" ht="18.75" customHeight="1" s="153">
      <c r="A234" s="266" t="n">
        <v>46211</v>
      </c>
      <c r="B234" s="267" t="inlineStr">
        <is>
          <t>TROPPO</t>
        </is>
      </c>
      <c r="C234" s="268" t="n">
        <v>8</v>
      </c>
      <c r="D234" s="268" t="n"/>
      <c r="E234" s="268" t="n"/>
      <c r="F234" s="269" t="n"/>
      <c r="G234" s="269" t="n"/>
      <c r="H234" s="231" t="n">
        <v>240000</v>
      </c>
      <c r="I234" s="232" t="n"/>
      <c r="J234" s="232" t="n">
        <v>240000</v>
      </c>
      <c r="K234" s="272" t="n"/>
      <c r="L234" s="272" t="n">
        <v>104000</v>
      </c>
      <c r="M234" s="156" t="n"/>
      <c r="N234" s="156" t="n"/>
      <c r="O234" s="156" t="n"/>
    </row>
    <row r="235" ht="18.75" customHeight="1" s="153">
      <c r="A235" s="273" t="n"/>
      <c r="B235" s="274" t="inlineStr">
        <is>
          <t>BELGRANO 3881</t>
        </is>
      </c>
      <c r="C235" s="275" t="n"/>
      <c r="D235" s="275" t="n">
        <v>1</v>
      </c>
      <c r="E235" s="275" t="n"/>
      <c r="F235" s="276" t="n"/>
      <c r="G235" s="276" t="n"/>
      <c r="H235" s="241" t="n">
        <v>42000</v>
      </c>
      <c r="I235" s="242" t="n">
        <v>42000</v>
      </c>
      <c r="J235" s="242" t="n"/>
      <c r="K235" s="272" t="n"/>
      <c r="L235" s="272" t="n">
        <v>16500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COLODRERO 2470</t>
        </is>
      </c>
      <c r="C236" s="268" t="n">
        <v>1</v>
      </c>
      <c r="D236" s="268" t="n"/>
      <c r="E236" s="268" t="n"/>
      <c r="F236" s="269" t="n"/>
      <c r="G236" s="269" t="n"/>
      <c r="H236" s="231" t="n">
        <v>29000</v>
      </c>
      <c r="I236" s="232" t="n"/>
      <c r="J236" s="232" t="n">
        <v>29000</v>
      </c>
      <c r="K236" s="272" t="n"/>
      <c r="L236" s="272" t="n">
        <v>12000</v>
      </c>
      <c r="M236" s="156" t="n"/>
      <c r="N236" s="156" t="n"/>
      <c r="O236" s="156" t="n"/>
    </row>
    <row r="237" ht="18.75" customHeight="1" s="153">
      <c r="A237" s="273" t="n"/>
      <c r="B237" s="274" t="inlineStr">
        <is>
          <t>CHICLANA 6630</t>
        </is>
      </c>
      <c r="C237" s="275" t="n">
        <v>1</v>
      </c>
      <c r="D237" s="275" t="n"/>
      <c r="E237" s="275" t="n"/>
      <c r="F237" s="276" t="n"/>
      <c r="G237" s="276" t="n"/>
      <c r="H237" s="241" t="n">
        <v>27000</v>
      </c>
      <c r="I237" s="242" t="n"/>
      <c r="J237" s="242" t="n">
        <v>27000</v>
      </c>
      <c r="K237" s="272" t="n"/>
      <c r="L237" s="272" t="n">
        <v>10000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MARIO</t>
        </is>
      </c>
      <c r="C238" s="268" t="n">
        <v>2</v>
      </c>
      <c r="D238" s="268" t="n">
        <v>1</v>
      </c>
      <c r="E238" s="268" t="n"/>
      <c r="F238" s="269" t="n"/>
      <c r="G238" s="269" t="n"/>
      <c r="H238" s="231" t="n">
        <v>78000</v>
      </c>
      <c r="I238" s="232" t="n">
        <v>78000</v>
      </c>
      <c r="J238" s="232" t="n"/>
      <c r="K238" s="272" t="n"/>
      <c r="L238" s="272" t="n">
        <v>18500</v>
      </c>
      <c r="M238" s="156" t="n"/>
      <c r="N238" s="156" t="n"/>
      <c r="O238" s="156" t="n"/>
    </row>
    <row r="239" ht="18.75" customHeight="1" s="153">
      <c r="A239" s="273" t="n"/>
      <c r="B239" s="274" t="inlineStr">
        <is>
          <t>4 DE ENERO 1234</t>
        </is>
      </c>
      <c r="C239" s="275" t="n">
        <v>1</v>
      </c>
      <c r="D239" s="275" t="n"/>
      <c r="E239" s="275" t="n"/>
      <c r="F239" s="276" t="n"/>
      <c r="G239" s="276" t="n"/>
      <c r="H239" s="241" t="n">
        <v>29000</v>
      </c>
      <c r="I239" s="242" t="n">
        <v>29000</v>
      </c>
      <c r="J239" s="242" t="n"/>
      <c r="K239" s="272" t="n"/>
      <c r="L239" s="272" t="n">
        <v>12000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FORMOSA 6058</t>
        </is>
      </c>
      <c r="C240" s="268" t="n">
        <v>2</v>
      </c>
      <c r="D240" s="268" t="n"/>
      <c r="E240" s="268" t="n"/>
      <c r="F240" s="269" t="n"/>
      <c r="G240" s="269" t="n"/>
      <c r="H240" s="231" t="n">
        <v>57000</v>
      </c>
      <c r="I240" s="232" t="n">
        <v>57000</v>
      </c>
      <c r="J240" s="232" t="n"/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3" t="n"/>
      <c r="B241" s="274" t="inlineStr">
        <is>
          <t>4 DE ENERO 2646</t>
        </is>
      </c>
      <c r="C241" s="275" t="n">
        <v>1</v>
      </c>
      <c r="D241" s="275" t="n"/>
      <c r="E241" s="275" t="n"/>
      <c r="F241" s="276" t="n"/>
      <c r="G241" s="276" t="n"/>
      <c r="H241" s="241" t="n">
        <v>29000</v>
      </c>
      <c r="I241" s="242" t="n"/>
      <c r="J241" s="242" t="n">
        <v>29000</v>
      </c>
      <c r="K241" s="272" t="n"/>
      <c r="L241" s="272" t="n">
        <v>12000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FILOMENA</t>
        </is>
      </c>
      <c r="C242" s="268" t="n">
        <v>4</v>
      </c>
      <c r="D242" s="268" t="n"/>
      <c r="E242" s="268" t="n"/>
      <c r="F242" s="269" t="n"/>
      <c r="G242" s="269" t="n"/>
      <c r="H242" s="231" t="n">
        <v>106000</v>
      </c>
      <c r="I242" s="232" t="n"/>
      <c r="J242" s="232" t="n">
        <v>106000</v>
      </c>
      <c r="K242" s="272" t="n"/>
      <c r="L242" s="272" t="n">
        <v>38000</v>
      </c>
      <c r="M242" s="156" t="n"/>
      <c r="N242" s="156" t="n"/>
      <c r="O242" s="156" t="n"/>
    </row>
    <row r="243" ht="18.75" customHeight="1" s="153">
      <c r="A243" s="273" t="n"/>
      <c r="B243" s="274" t="inlineStr">
        <is>
          <t>ALFONSO DURAN 4484</t>
        </is>
      </c>
      <c r="C243" s="275" t="n">
        <v>1</v>
      </c>
      <c r="D243" s="275" t="n"/>
      <c r="E243" s="275" t="n"/>
      <c r="F243" s="276" t="n"/>
      <c r="G243" s="276" t="n"/>
      <c r="H243" s="241" t="n">
        <v>128000</v>
      </c>
      <c r="I243" s="242" t="n"/>
      <c r="J243" s="242" t="n">
        <v>128000</v>
      </c>
      <c r="K243" s="272" t="n">
        <v>65000</v>
      </c>
      <c r="L243" s="272" t="n">
        <v>46000</v>
      </c>
      <c r="M243" s="156" t="n"/>
      <c r="N243" s="156" t="n"/>
      <c r="O243" s="156" t="n"/>
    </row>
    <row r="244" ht="18.75" customHeight="1" s="153">
      <c r="A244" s="279" t="n"/>
      <c r="B244" s="267" t="inlineStr">
        <is>
          <t>IGNACIO CRESPO 7375</t>
        </is>
      </c>
      <c r="C244" s="268" t="n">
        <v>1</v>
      </c>
      <c r="D244" s="268" t="n"/>
      <c r="E244" s="268" t="n">
        <v>1</v>
      </c>
      <c r="F244" s="269" t="n"/>
      <c r="G244" s="269" t="n"/>
      <c r="H244" s="231" t="n">
        <v>124000</v>
      </c>
      <c r="I244" s="232" t="n">
        <v>124000</v>
      </c>
      <c r="J244" s="232" t="n"/>
      <c r="K244" s="272" t="n"/>
      <c r="L244" s="272" t="n">
        <v>38000</v>
      </c>
      <c r="M244" s="156" t="n"/>
      <c r="N244" s="156" t="n"/>
      <c r="O244" s="156" t="n"/>
    </row>
    <row r="245" ht="18.75" customHeight="1" s="153">
      <c r="A245" s="273" t="n"/>
      <c r="B245" s="274" t="inlineStr">
        <is>
          <t>MARTIN ZAPATA 1634</t>
        </is>
      </c>
      <c r="C245" s="275" t="n"/>
      <c r="D245" s="275" t="n">
        <v>1</v>
      </c>
      <c r="E245" s="275" t="n"/>
      <c r="F245" s="276" t="n"/>
      <c r="G245" s="276" t="n"/>
      <c r="H245" s="241" t="n">
        <v>42000</v>
      </c>
      <c r="I245" s="242" t="n">
        <v>42000</v>
      </c>
      <c r="J245" s="242" t="n"/>
      <c r="K245" s="272" t="n"/>
      <c r="L245" s="272" t="n">
        <v>16500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INGENIEROS 6866</t>
        </is>
      </c>
      <c r="C246" s="268" t="n">
        <v>1</v>
      </c>
      <c r="D246" s="268" t="n"/>
      <c r="E246" s="268" t="n"/>
      <c r="F246" s="269" t="n"/>
      <c r="G246" s="269" t="n"/>
      <c r="H246" s="231" t="n">
        <v>28000</v>
      </c>
      <c r="I246" s="232" t="n"/>
      <c r="J246" s="232" t="n">
        <v>28000</v>
      </c>
      <c r="K246" s="272" t="n"/>
      <c r="L246" s="272" t="n">
        <v>11000</v>
      </c>
      <c r="M246" s="156" t="n"/>
      <c r="N246" s="156" t="n"/>
      <c r="O246" s="156" t="n"/>
    </row>
    <row r="247" ht="18.75" customHeight="1" s="153">
      <c r="A247" s="273" t="n"/>
      <c r="B247" s="274" t="inlineStr">
        <is>
          <t>FLORENCIO FERNANDEZ 6196</t>
        </is>
      </c>
      <c r="C247" s="275" t="n">
        <v>7</v>
      </c>
      <c r="D247" s="275" t="n"/>
      <c r="E247" s="275" t="n"/>
      <c r="F247" s="276" t="n"/>
      <c r="G247" s="276" t="n"/>
      <c r="H247" s="241" t="n">
        <v>154000</v>
      </c>
      <c r="I247" s="242" t="n"/>
      <c r="J247" s="242" t="n">
        <v>154000</v>
      </c>
      <c r="K247" s="272" t="n"/>
      <c r="L247" s="272" t="n">
        <v>35000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9 DE JULIO 1356</t>
        </is>
      </c>
      <c r="C248" s="268" t="n"/>
      <c r="D248" s="268" t="n">
        <v>1</v>
      </c>
      <c r="E248" s="268" t="n"/>
      <c r="F248" s="269" t="n"/>
      <c r="G248" s="269" t="n"/>
      <c r="H248" s="231" t="n">
        <v>42000</v>
      </c>
      <c r="I248" s="232" t="n">
        <v>42000</v>
      </c>
      <c r="J248" s="232" t="n"/>
      <c r="K248" s="272" t="n"/>
      <c r="L248" s="272" t="n">
        <v>16500</v>
      </c>
      <c r="M248" s="156" t="n"/>
      <c r="N248" s="156" t="n"/>
      <c r="O248" s="156" t="n"/>
    </row>
    <row r="249" ht="18.75" customHeight="1" s="153">
      <c r="A249" s="273" t="n"/>
      <c r="B249" s="274" t="inlineStr">
        <is>
          <t>PADILLA 1453</t>
        </is>
      </c>
      <c r="C249" s="275" t="n"/>
      <c r="D249" s="275" t="n">
        <v>1</v>
      </c>
      <c r="E249" s="275" t="n"/>
      <c r="F249" s="276" t="n"/>
      <c r="G249" s="276" t="n"/>
      <c r="H249" s="241" t="n">
        <v>43000</v>
      </c>
      <c r="I249" s="242" t="n"/>
      <c r="J249" s="242" t="n">
        <v>43000</v>
      </c>
      <c r="K249" s="272" t="n"/>
      <c r="L249" s="272" t="n">
        <v>17500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LAVADERO</t>
        </is>
      </c>
      <c r="C250" s="268" t="n">
        <v>1</v>
      </c>
      <c r="D250" s="268" t="n"/>
      <c r="E250" s="268" t="n"/>
      <c r="F250" s="269" t="n"/>
      <c r="G250" s="269" t="n"/>
      <c r="H250" s="231" t="n">
        <v>22000</v>
      </c>
      <c r="I250" s="232" t="n">
        <v>22000</v>
      </c>
      <c r="J250" s="232" t="n"/>
      <c r="K250" s="272" t="n"/>
      <c r="L250" s="272" t="n">
        <v>5000</v>
      </c>
      <c r="M250" s="156" t="n"/>
      <c r="N250" s="156" t="n"/>
      <c r="O250" s="156" t="n"/>
    </row>
    <row r="251" ht="18.75" customHeight="1" s="153">
      <c r="A251" s="273" t="n"/>
      <c r="B251" s="274" t="inlineStr">
        <is>
          <t>HERRANDARIAS 2253</t>
        </is>
      </c>
      <c r="C251" s="275" t="n"/>
      <c r="D251" s="275" t="n">
        <v>1</v>
      </c>
      <c r="E251" s="275" t="n"/>
      <c r="F251" s="276" t="n"/>
      <c r="G251" s="276" t="n"/>
      <c r="H251" s="241" t="n">
        <v>42000</v>
      </c>
      <c r="I251" s="242" t="n"/>
      <c r="J251" s="242" t="n">
        <v>42000</v>
      </c>
      <c r="K251" s="272" t="n"/>
      <c r="L251" s="272" t="n">
        <v>16500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AGUADO 9067</t>
        </is>
      </c>
      <c r="C252" s="268" t="n">
        <v>1</v>
      </c>
      <c r="D252" s="268" t="n"/>
      <c r="E252" s="268" t="n"/>
      <c r="F252" s="269" t="n"/>
      <c r="G252" s="269" t="n"/>
      <c r="H252" s="231" t="n">
        <v>28000</v>
      </c>
      <c r="I252" s="232" t="n"/>
      <c r="J252" s="232" t="n">
        <v>28000</v>
      </c>
      <c r="K252" s="272" t="n"/>
      <c r="L252" s="272" t="n">
        <v>11000</v>
      </c>
      <c r="M252" s="156" t="n"/>
      <c r="N252" s="156" t="n"/>
      <c r="O252" s="156" t="n"/>
    </row>
    <row r="253" ht="18.75" customHeight="1" s="153">
      <c r="A253" s="273" t="n"/>
      <c r="B253" s="274" t="inlineStr">
        <is>
          <t>PUBLICO 2371</t>
        </is>
      </c>
      <c r="C253" s="275" t="n"/>
      <c r="D253" s="275" t="n"/>
      <c r="E253" s="275" t="n">
        <v>1</v>
      </c>
      <c r="F253" s="276" t="n"/>
      <c r="G253" s="276" t="n"/>
      <c r="H253" s="241" t="n">
        <v>101000</v>
      </c>
      <c r="I253" s="242" t="n">
        <v>101000</v>
      </c>
      <c r="J253" s="242" t="n"/>
      <c r="K253" s="272" t="n"/>
      <c r="L253" s="272" t="n">
        <v>32000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PIETRANERA 3172</t>
        </is>
      </c>
      <c r="C254" s="268" t="n"/>
      <c r="D254" s="268" t="n"/>
      <c r="E254" s="268" t="n">
        <v>1</v>
      </c>
      <c r="F254" s="269" t="n"/>
      <c r="G254" s="269" t="n"/>
      <c r="H254" s="231" t="n">
        <v>98500</v>
      </c>
      <c r="I254" s="232" t="n">
        <v>98500</v>
      </c>
      <c r="J254" s="232" t="n"/>
      <c r="K254" s="272" t="n"/>
      <c r="L254" s="272" t="n">
        <v>29500</v>
      </c>
      <c r="M254" s="156" t="n"/>
      <c r="N254" s="156" t="n"/>
      <c r="O254" s="156" t="n"/>
    </row>
    <row r="255" ht="18.75" customHeight="1" s="153">
      <c r="A255" s="273" t="n"/>
      <c r="B255" s="274" t="inlineStr">
        <is>
          <t>VICTOR RIVADAVIA JUNIORS</t>
        </is>
      </c>
      <c r="C255" s="275" t="n"/>
      <c r="D255" s="275" t="n">
        <v>1</v>
      </c>
      <c r="E255" s="275" t="n"/>
      <c r="F255" s="276" t="n"/>
      <c r="G255" s="276" t="n"/>
      <c r="H255" s="241" t="n">
        <v>44000</v>
      </c>
      <c r="I255" s="242" t="n">
        <v>44000</v>
      </c>
      <c r="J255" s="242" t="n"/>
      <c r="K255" s="272" t="n"/>
      <c r="L255" s="272" t="n">
        <v>18500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LAVAISE 3786</t>
        </is>
      </c>
      <c r="C256" s="268" t="n">
        <v>1</v>
      </c>
      <c r="D256" s="268" t="n">
        <v>1</v>
      </c>
      <c r="E256" s="268" t="n"/>
      <c r="F256" s="269" t="n"/>
      <c r="G256" s="269" t="n"/>
      <c r="H256" s="231" t="n">
        <v>69000</v>
      </c>
      <c r="I256" s="232" t="n"/>
      <c r="J256" s="232" t="n">
        <v>69000</v>
      </c>
      <c r="K256" s="272" t="n"/>
      <c r="L256" s="272" t="n">
        <v>26500</v>
      </c>
      <c r="M256" s="156" t="n"/>
      <c r="N256" s="156" t="n"/>
      <c r="O256" s="156" t="n"/>
    </row>
    <row r="257" ht="18.75" customHeight="1" s="153">
      <c r="A257" s="273" t="n"/>
      <c r="B257" s="274" t="inlineStr">
        <is>
          <t>PASAJE ZANABRIA 8270</t>
        </is>
      </c>
      <c r="C257" s="275" t="n"/>
      <c r="D257" s="275" t="n">
        <v>1</v>
      </c>
      <c r="E257" s="275" t="n"/>
      <c r="F257" s="276" t="n"/>
      <c r="G257" s="276" t="n"/>
      <c r="H257" s="241" t="n">
        <v>39500</v>
      </c>
      <c r="I257" s="242" t="n"/>
      <c r="J257" s="242" t="n">
        <v>39500</v>
      </c>
      <c r="K257" s="272" t="n"/>
      <c r="L257" s="272" t="n">
        <v>14000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LARGUIA 6924</t>
        </is>
      </c>
      <c r="C258" s="268" t="n">
        <v>2</v>
      </c>
      <c r="D258" s="268" t="n"/>
      <c r="E258" s="268" t="n"/>
      <c r="F258" s="269" t="n"/>
      <c r="G258" s="269" t="n"/>
      <c r="H258" s="231" t="n">
        <v>54000</v>
      </c>
      <c r="I258" s="232" t="n"/>
      <c r="J258" s="232" t="n">
        <v>54000</v>
      </c>
      <c r="K258" s="272" t="n"/>
      <c r="L258" s="272" t="n">
        <v>20000</v>
      </c>
      <c r="M258" s="156" t="n"/>
      <c r="N258" s="156" t="n"/>
      <c r="O258" s="156" t="n"/>
    </row>
    <row r="259" ht="18.75" customHeight="1" s="153">
      <c r="A259" s="273" t="n"/>
      <c r="B259" s="274" t="inlineStr">
        <is>
          <t>PANA ALBERTI</t>
        </is>
      </c>
      <c r="C259" s="275" t="n"/>
      <c r="D259" s="275" t="n"/>
      <c r="E259" s="275" t="n">
        <v>1</v>
      </c>
      <c r="F259" s="276" t="n"/>
      <c r="G259" s="276" t="n"/>
      <c r="H259" s="241" t="n">
        <v>94000</v>
      </c>
      <c r="I259" s="242" t="n">
        <v>94000</v>
      </c>
      <c r="J259" s="242" t="n"/>
      <c r="K259" s="272" t="n"/>
      <c r="L259" s="272" t="n">
        <v>25000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SOLE</t>
        </is>
      </c>
      <c r="C260" s="268" t="n">
        <v>1</v>
      </c>
      <c r="D260" s="268" t="n"/>
      <c r="E260" s="268" t="n"/>
      <c r="F260" s="269" t="n"/>
      <c r="G260" s="269" t="n"/>
      <c r="H260" s="231" t="n">
        <v>27000</v>
      </c>
      <c r="I260" s="232" t="n">
        <v>27000</v>
      </c>
      <c r="J260" s="232" t="n"/>
      <c r="K260" s="272" t="n"/>
      <c r="L260" s="272" t="n">
        <v>10000</v>
      </c>
      <c r="M260" s="156" t="n"/>
      <c r="N260" s="156" t="n"/>
      <c r="O260" s="156" t="n"/>
    </row>
    <row r="261" ht="18.75" customHeight="1" s="153">
      <c r="A261" s="273" t="n"/>
      <c r="B261" s="274" t="inlineStr">
        <is>
          <t>MARTIN ZAPATA 2034</t>
        </is>
      </c>
      <c r="C261" s="275" t="n">
        <v>1</v>
      </c>
      <c r="D261" s="275" t="n"/>
      <c r="E261" s="275" t="n"/>
      <c r="F261" s="276" t="n"/>
      <c r="G261" s="276" t="n"/>
      <c r="H261" s="241" t="n">
        <v>28500</v>
      </c>
      <c r="I261" s="242" t="n">
        <v>28500</v>
      </c>
      <c r="J261" s="242" t="n"/>
      <c r="K261" s="272" t="n"/>
      <c r="L261" s="272" t="n">
        <v>11500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LUCHO</t>
        </is>
      </c>
      <c r="C262" s="268" t="n">
        <v>1</v>
      </c>
      <c r="D262" s="268" t="n">
        <v>1</v>
      </c>
      <c r="E262" s="268" t="n"/>
      <c r="F262" s="269" t="n"/>
      <c r="G262" s="269" t="n"/>
      <c r="H262" s="231" t="n">
        <v>57000</v>
      </c>
      <c r="I262" s="232" t="n"/>
      <c r="J262" s="232" t="n">
        <v>57000</v>
      </c>
      <c r="K262" s="272" t="n"/>
      <c r="L262" s="272" t="n">
        <v>14500</v>
      </c>
      <c r="M262" s="156" t="n"/>
      <c r="N262" s="156" t="n"/>
      <c r="O262" s="156" t="n"/>
    </row>
    <row r="263" ht="18.75" customHeight="1" s="153">
      <c r="A263" s="273" t="n"/>
      <c r="B263" s="274" t="inlineStr">
        <is>
          <t>ROTI ARISTOBULO</t>
        </is>
      </c>
      <c r="C263" s="275" t="n">
        <v>1</v>
      </c>
      <c r="D263" s="275" t="n">
        <v>1</v>
      </c>
      <c r="E263" s="275" t="n"/>
      <c r="F263" s="276" t="n"/>
      <c r="G263" s="276" t="n"/>
      <c r="H263" s="241" t="n">
        <v>65000</v>
      </c>
      <c r="I263" s="242" t="n"/>
      <c r="J263" s="242" t="n">
        <v>65000</v>
      </c>
      <c r="K263" s="272" t="n"/>
      <c r="L263" s="272" t="n">
        <v>22500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VANE GORDILLO</t>
        </is>
      </c>
      <c r="C264" s="268" t="n"/>
      <c r="D264" s="268" t="n"/>
      <c r="E264" s="268" t="n">
        <v>1</v>
      </c>
      <c r="F264" s="269" t="n"/>
      <c r="G264" s="269" t="n"/>
      <c r="H264" s="231" t="n">
        <v>95000</v>
      </c>
      <c r="I264" s="232" t="n"/>
      <c r="J264" s="232" t="n">
        <v>95000</v>
      </c>
      <c r="K264" s="272" t="n"/>
      <c r="L264" s="272" t="n">
        <v>26000</v>
      </c>
      <c r="M264" s="156" t="n"/>
      <c r="N264" s="156" t="n"/>
      <c r="O264" s="156" t="n"/>
    </row>
    <row r="265" ht="18.75" customHeight="1" s="153">
      <c r="A265" s="273" t="n"/>
      <c r="B265" s="274" t="inlineStr">
        <is>
          <t>FRANCIA 1872</t>
        </is>
      </c>
      <c r="C265" s="275" t="n"/>
      <c r="D265" s="275" t="n"/>
      <c r="E265" s="275" t="n">
        <v>1</v>
      </c>
      <c r="F265" s="276" t="n"/>
      <c r="G265" s="276" t="n"/>
      <c r="H265" s="241" t="n">
        <v>98500</v>
      </c>
      <c r="I265" s="242" t="n">
        <v>98500</v>
      </c>
      <c r="J265" s="242" t="n"/>
      <c r="K265" s="272" t="n"/>
      <c r="L265" s="272" t="n">
        <v>29500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SABOREAR</t>
        </is>
      </c>
      <c r="C266" s="268" t="n">
        <v>1</v>
      </c>
      <c r="D266" s="268" t="n"/>
      <c r="E266" s="268" t="n"/>
      <c r="F266" s="269" t="n"/>
      <c r="G266" s="269" t="n"/>
      <c r="H266" s="231" t="n">
        <v>25500</v>
      </c>
      <c r="I266" s="232" t="n"/>
      <c r="J266" s="232" t="n">
        <v>25500</v>
      </c>
      <c r="K266" s="272" t="n"/>
      <c r="L266" s="272" t="n">
        <v>8500</v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>
        <v>46187</v>
      </c>
      <c r="B75" s="191" t="inlineStr">
        <is>
          <t>Contador</t>
        </is>
      </c>
      <c r="C75" s="284" t="n">
        <v>80000</v>
      </c>
      <c r="D75" s="262" t="inlineStr">
        <is>
          <t>Sí</t>
        </is>
      </c>
      <c r="E75" s="262" t="n"/>
      <c r="F75" s="283" t="n">
        <v>46188</v>
      </c>
      <c r="G75" s="284" t="n">
        <v>100000</v>
      </c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>
        <v>46187</v>
      </c>
      <c r="B76" s="194" t="inlineStr">
        <is>
          <t>Créditos Santander</t>
        </is>
      </c>
      <c r="C76" s="289" t="n">
        <v>653000</v>
      </c>
      <c r="D76" s="290" t="inlineStr">
        <is>
          <t>Sí</t>
        </is>
      </c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>
        <v>46187</v>
      </c>
      <c r="B77" s="191" t="inlineStr">
        <is>
          <t>Santander crédito</t>
        </is>
      </c>
      <c r="C77" s="284" t="n">
        <v>400000</v>
      </c>
      <c r="D77" s="262" t="inlineStr">
        <is>
          <t>Sí</t>
        </is>
      </c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>
        <v>46187</v>
      </c>
      <c r="B78" s="194" t="inlineStr">
        <is>
          <t>Gasto diario</t>
        </is>
      </c>
      <c r="C78" s="289" t="n">
        <v>66000</v>
      </c>
      <c r="D78" s="290" t="inlineStr">
        <is>
          <t>Sí</t>
        </is>
      </c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>
        <v>46188</v>
      </c>
      <c r="B79" s="191" t="inlineStr">
        <is>
          <t>Anuncios Meta</t>
        </is>
      </c>
      <c r="C79" s="284" t="n">
        <v>40000</v>
      </c>
      <c r="D79" s="262" t="inlineStr">
        <is>
          <t>Sí</t>
        </is>
      </c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>
        <v>46188</v>
      </c>
      <c r="B80" s="194" t="inlineStr">
        <is>
          <t>Gasto diario</t>
        </is>
      </c>
      <c r="C80" s="289" t="n">
        <v>35000</v>
      </c>
      <c r="D80" s="290" t="inlineStr">
        <is>
          <t>Sí</t>
        </is>
      </c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2026-07-09T11:02:04Z</dcterms:modified>
  <cp:revision>34</cp:revision>
</cp:coreProperties>
</file>