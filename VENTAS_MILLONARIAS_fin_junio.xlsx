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27" t="n">
        <v>46023</v>
      </c>
      <c r="B5" s="228" t="inlineStr">
        <is>
          <t>LOS PORKI</t>
        </is>
      </c>
      <c r="C5" s="229" t="n"/>
      <c r="D5" s="229" t="n"/>
      <c r="E5" s="229" t="n">
        <v>1</v>
      </c>
      <c r="F5" s="230" t="n"/>
      <c r="G5" s="230" t="n"/>
      <c r="H5" s="231" t="n">
        <v>69000</v>
      </c>
      <c r="I5" s="232" t="n"/>
      <c r="J5" s="232" t="n">
        <v>69000</v>
      </c>
      <c r="K5" s="233" t="n"/>
      <c r="L5" s="233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PANA GENESIO</t>
        </is>
      </c>
      <c r="C6" s="239" t="n">
        <v>1</v>
      </c>
      <c r="D6" s="239" t="n"/>
      <c r="E6" s="239" t="n">
        <v>1</v>
      </c>
      <c r="F6" s="240" t="n"/>
      <c r="G6" s="240" t="n"/>
      <c r="H6" s="241" t="n">
        <v>88500</v>
      </c>
      <c r="I6" s="242" t="n"/>
      <c r="J6" s="242" t="n">
        <v>88500</v>
      </c>
      <c r="K6" s="233" t="n"/>
      <c r="L6" s="233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27" t="n"/>
      <c r="B7" s="228" t="inlineStr">
        <is>
          <t>TACUARI 5717</t>
        </is>
      </c>
      <c r="C7" s="229" t="n">
        <v>1</v>
      </c>
      <c r="D7" s="229" t="n"/>
      <c r="E7" s="229" t="n"/>
      <c r="F7" s="230" t="n"/>
      <c r="G7" s="230" t="n"/>
      <c r="H7" s="231" t="n">
        <v>19500</v>
      </c>
      <c r="I7" s="232" t="n"/>
      <c r="J7" s="232" t="n">
        <v>19500</v>
      </c>
      <c r="K7" s="233" t="n"/>
      <c r="L7" s="233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37" t="n">
        <v>46024</v>
      </c>
      <c r="B8" s="238" t="inlineStr">
        <is>
          <t>PANA VIEYTES</t>
        </is>
      </c>
      <c r="C8" s="239" t="n"/>
      <c r="D8" s="239" t="n"/>
      <c r="E8" s="239" t="n">
        <v>1</v>
      </c>
      <c r="F8" s="240" t="n"/>
      <c r="G8" s="240" t="n"/>
      <c r="H8" s="241" t="n">
        <v>65000</v>
      </c>
      <c r="I8" s="242" t="n">
        <v>65000</v>
      </c>
      <c r="J8" s="242" t="n"/>
      <c r="K8" s="233" t="n"/>
      <c r="L8" s="233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27" t="n"/>
      <c r="B9" s="228" t="inlineStr">
        <is>
          <t>CAREN</t>
        </is>
      </c>
      <c r="C9" s="229" t="n"/>
      <c r="D9" s="229" t="n"/>
      <c r="E9" s="229" t="n">
        <v>1</v>
      </c>
      <c r="F9" s="230" t="n"/>
      <c r="G9" s="230" t="n"/>
      <c r="H9" s="231" t="n">
        <v>69000</v>
      </c>
      <c r="I9" s="232" t="n"/>
      <c r="J9" s="232" t="n">
        <v>69000</v>
      </c>
      <c r="K9" s="233" t="n"/>
      <c r="L9" s="233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37" t="n"/>
      <c r="B10" s="238" t="inlineStr">
        <is>
          <t>EXE</t>
        </is>
      </c>
      <c r="C10" s="239" t="n"/>
      <c r="D10" s="239" t="n"/>
      <c r="E10" s="239" t="n">
        <v>1</v>
      </c>
      <c r="F10" s="240" t="n"/>
      <c r="G10" s="240" t="n"/>
      <c r="H10" s="241" t="n">
        <v>69000</v>
      </c>
      <c r="I10" s="242" t="n"/>
      <c r="J10" s="242" t="n">
        <v>69000</v>
      </c>
      <c r="K10" s="233" t="n"/>
      <c r="L10" s="233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27" t="n"/>
      <c r="B11" s="228" t="inlineStr">
        <is>
          <t>GARMENDIA 9250</t>
        </is>
      </c>
      <c r="C11" s="229" t="n"/>
      <c r="D11" s="229" t="n"/>
      <c r="E11" s="229" t="n"/>
      <c r="F11" s="230" t="n"/>
      <c r="G11" s="230" t="n">
        <v>2</v>
      </c>
      <c r="H11" s="231" t="n">
        <v>9600</v>
      </c>
      <c r="I11" s="232" t="n"/>
      <c r="J11" s="232" t="n">
        <v>9600</v>
      </c>
      <c r="K11" s="233" t="n"/>
      <c r="L11" s="233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37" t="n"/>
      <c r="B12" s="238" t="inlineStr">
        <is>
          <t>DUSSO 6638</t>
        </is>
      </c>
      <c r="C12" s="239" t="n"/>
      <c r="D12" s="239" t="n"/>
      <c r="E12" s="239" t="n">
        <v>1</v>
      </c>
      <c r="F12" s="240" t="n"/>
      <c r="G12" s="240" t="n"/>
      <c r="H12" s="241" t="n">
        <v>65000</v>
      </c>
      <c r="I12" s="242" t="n">
        <v>65000</v>
      </c>
      <c r="J12" s="242" t="n"/>
      <c r="K12" s="233" t="n"/>
      <c r="L12" s="233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27" t="n">
        <v>46025</v>
      </c>
      <c r="B13" s="228" t="inlineStr">
        <is>
          <t>FACU DONA</t>
        </is>
      </c>
      <c r="C13" s="229" t="n">
        <v>1</v>
      </c>
      <c r="D13" s="229" t="n"/>
      <c r="E13" s="229" t="n"/>
      <c r="F13" s="230" t="n"/>
      <c r="G13" s="230" t="n"/>
      <c r="H13" s="231" t="n">
        <v>13500</v>
      </c>
      <c r="I13" s="232" t="n">
        <v>13500</v>
      </c>
      <c r="J13" s="232" t="n"/>
      <c r="K13" s="233" t="n"/>
      <c r="L13" s="233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37" t="n"/>
      <c r="B14" s="238" t="inlineStr">
        <is>
          <t>VICTO CAPE DRUGSTORE</t>
        </is>
      </c>
      <c r="C14" s="239" t="n">
        <v>1</v>
      </c>
      <c r="D14" s="239" t="n"/>
      <c r="E14" s="239" t="n"/>
      <c r="F14" s="240" t="n"/>
      <c r="G14" s="240" t="n"/>
      <c r="H14" s="241" t="n">
        <v>19500</v>
      </c>
      <c r="I14" s="242" t="n"/>
      <c r="J14" s="242" t="n">
        <v>19500</v>
      </c>
      <c r="K14" s="233" t="n"/>
      <c r="L14" s="233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27" t="n"/>
      <c r="B15" s="228" t="inlineStr">
        <is>
          <t>LUCHO</t>
        </is>
      </c>
      <c r="C15" s="229" t="n">
        <v>1</v>
      </c>
      <c r="D15" s="229" t="n"/>
      <c r="E15" s="229" t="n"/>
      <c r="F15" s="230" t="n"/>
      <c r="G15" s="230" t="n"/>
      <c r="H15" s="231" t="n">
        <v>13000</v>
      </c>
      <c r="I15" s="232" t="n">
        <v>13000</v>
      </c>
      <c r="J15" s="232" t="n"/>
      <c r="K15" s="233" t="n"/>
      <c r="L15" s="233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37" t="n"/>
      <c r="B16" s="238" t="inlineStr">
        <is>
          <t>BONEO 5315</t>
        </is>
      </c>
      <c r="C16" s="239" t="n">
        <v>2</v>
      </c>
      <c r="D16" s="239" t="n"/>
      <c r="E16" s="239" t="n"/>
      <c r="F16" s="240" t="n"/>
      <c r="G16" s="240" t="n"/>
      <c r="H16" s="241" t="n">
        <v>41000</v>
      </c>
      <c r="I16" s="242" t="n"/>
      <c r="J16" s="242" t="n">
        <v>41000</v>
      </c>
      <c r="K16" s="233" t="n"/>
      <c r="L16" s="233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27" t="n"/>
      <c r="B17" s="228" t="inlineStr">
        <is>
          <t>OTNIEL</t>
        </is>
      </c>
      <c r="C17" s="229" t="n"/>
      <c r="D17" s="229" t="n"/>
      <c r="E17" s="229" t="n">
        <v>1</v>
      </c>
      <c r="F17" s="230" t="n"/>
      <c r="G17" s="230" t="n"/>
      <c r="H17" s="231" t="n">
        <v>69000</v>
      </c>
      <c r="I17" s="232" t="n"/>
      <c r="J17" s="232" t="n">
        <v>69000</v>
      </c>
      <c r="K17" s="233" t="n"/>
      <c r="L17" s="233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37" t="n"/>
      <c r="B18" s="238" t="inlineStr">
        <is>
          <t>ARISTOBULO 5879</t>
        </is>
      </c>
      <c r="C18" s="239" t="n"/>
      <c r="D18" s="239" t="n">
        <v>1</v>
      </c>
      <c r="E18" s="239" t="n"/>
      <c r="F18" s="240" t="n"/>
      <c r="G18" s="240" t="n"/>
      <c r="H18" s="241" t="n">
        <v>34500</v>
      </c>
      <c r="I18" s="242" t="n">
        <v>34500</v>
      </c>
      <c r="J18" s="242" t="n"/>
      <c r="K18" s="233" t="n"/>
      <c r="L18" s="233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27" t="n"/>
      <c r="B19" s="228" t="inlineStr">
        <is>
          <t>SABOREAR</t>
        </is>
      </c>
      <c r="C19" s="229" t="n">
        <v>1</v>
      </c>
      <c r="D19" s="229" t="n"/>
      <c r="E19" s="229" t="n"/>
      <c r="F19" s="230" t="n"/>
      <c r="G19" s="230" t="n"/>
      <c r="H19" s="231" t="n">
        <v>18000</v>
      </c>
      <c r="I19" s="232" t="n"/>
      <c r="J19" s="232" t="n">
        <v>18000</v>
      </c>
      <c r="K19" s="233" t="n"/>
      <c r="L19" s="233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37" t="n"/>
      <c r="B20" s="238" t="inlineStr">
        <is>
          <t>LUCIANDO LEIVA Y ALBERTI</t>
        </is>
      </c>
      <c r="C20" s="239" t="n">
        <v>1</v>
      </c>
      <c r="D20" s="239" t="n"/>
      <c r="E20" s="239" t="n"/>
      <c r="F20" s="240" t="n"/>
      <c r="G20" s="240" t="n"/>
      <c r="H20" s="241" t="n">
        <v>20500</v>
      </c>
      <c r="I20" s="242" t="n">
        <v>20500</v>
      </c>
      <c r="J20" s="242" t="n"/>
      <c r="K20" s="233" t="n"/>
      <c r="L20" s="233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27" t="n"/>
      <c r="B21" s="228" t="inlineStr">
        <is>
          <t>OTNIEL</t>
        </is>
      </c>
      <c r="C21" s="229" t="n"/>
      <c r="D21" s="229" t="n"/>
      <c r="E21" s="229" t="n"/>
      <c r="F21" s="230" t="n"/>
      <c r="G21" s="230" t="n">
        <v>2</v>
      </c>
      <c r="H21" s="231" t="n">
        <v>9600</v>
      </c>
      <c r="I21" s="232" t="n">
        <v>4800</v>
      </c>
      <c r="J21" s="232" t="n">
        <v>4800</v>
      </c>
      <c r="K21" s="233" t="n"/>
      <c r="L21" s="233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37" t="n"/>
      <c r="B22" s="238" t="inlineStr">
        <is>
          <t>DIOGENES ANTILLES 675</t>
        </is>
      </c>
      <c r="C22" s="239" t="n"/>
      <c r="D22" s="239" t="n"/>
      <c r="E22" s="239" t="n">
        <v>1</v>
      </c>
      <c r="F22" s="240" t="n"/>
      <c r="G22" s="240" t="n"/>
      <c r="H22" s="241" t="n">
        <v>76000</v>
      </c>
      <c r="I22" s="242" t="n"/>
      <c r="J22" s="242" t="n">
        <v>76000</v>
      </c>
      <c r="K22" s="233" t="n"/>
      <c r="L22" s="233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27" t="n"/>
      <c r="B23" s="228" t="inlineStr">
        <is>
          <t>GRAL PAZ 7826</t>
        </is>
      </c>
      <c r="C23" s="229" t="n">
        <v>1</v>
      </c>
      <c r="D23" s="229" t="n"/>
      <c r="E23" s="229" t="n"/>
      <c r="F23" s="230" t="n"/>
      <c r="G23" s="230" t="n"/>
      <c r="H23" s="231" t="n">
        <v>22000</v>
      </c>
      <c r="I23" s="232" t="n">
        <v>22000</v>
      </c>
      <c r="J23" s="232" t="n"/>
      <c r="K23" s="233" t="n"/>
      <c r="L23" s="233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37" t="n"/>
      <c r="B24" s="238" t="inlineStr">
        <is>
          <t>FILOMENA</t>
        </is>
      </c>
      <c r="C24" s="239" t="n">
        <v>2</v>
      </c>
      <c r="D24" s="239" t="n"/>
      <c r="E24" s="239" t="n"/>
      <c r="F24" s="240" t="n"/>
      <c r="G24" s="240" t="n"/>
      <c r="H24" s="241" t="n">
        <v>36000</v>
      </c>
      <c r="I24" s="242" t="n"/>
      <c r="J24" s="242" t="n">
        <v>36000</v>
      </c>
      <c r="K24" s="233" t="n"/>
      <c r="L24" s="233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27" t="n"/>
      <c r="B25" s="228" t="inlineStr">
        <is>
          <t>SABOREARTE CARRO</t>
        </is>
      </c>
      <c r="C25" s="229" t="n">
        <v>1</v>
      </c>
      <c r="D25" s="229" t="n"/>
      <c r="E25" s="229" t="n"/>
      <c r="F25" s="230" t="n"/>
      <c r="G25" s="230" t="n"/>
      <c r="H25" s="231" t="n">
        <v>18000</v>
      </c>
      <c r="I25" s="232" t="n"/>
      <c r="J25" s="232" t="n">
        <v>18000</v>
      </c>
      <c r="K25" s="233" t="n"/>
      <c r="L25" s="233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37" t="n"/>
      <c r="B26" s="238" t="inlineStr">
        <is>
          <t>DRAXXO</t>
        </is>
      </c>
      <c r="C26" s="239" t="n">
        <v>1</v>
      </c>
      <c r="D26" s="239" t="n"/>
      <c r="E26" s="239" t="n"/>
      <c r="F26" s="240" t="n"/>
      <c r="G26" s="240" t="n"/>
      <c r="H26" s="241" t="n">
        <v>22000</v>
      </c>
      <c r="I26" s="242" t="n">
        <v>22000</v>
      </c>
      <c r="J26" s="242" t="n"/>
      <c r="K26" s="233" t="n"/>
      <c r="L26" s="233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27" t="n"/>
      <c r="B27" s="228" t="inlineStr">
        <is>
          <t>TACUARI 5717</t>
        </is>
      </c>
      <c r="C27" s="229" t="n">
        <v>1</v>
      </c>
      <c r="D27" s="229" t="n"/>
      <c r="E27" s="229" t="n"/>
      <c r="F27" s="230" t="n"/>
      <c r="G27" s="230" t="n"/>
      <c r="H27" s="231" t="n">
        <v>19500</v>
      </c>
      <c r="I27" s="232" t="n"/>
      <c r="J27" s="232" t="n">
        <v>19500</v>
      </c>
      <c r="K27" s="233" t="n"/>
      <c r="L27" s="233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37" t="n"/>
      <c r="B28" s="238" t="inlineStr">
        <is>
          <t xml:space="preserve">NACHO CUEVA </t>
        </is>
      </c>
      <c r="C28" s="239" t="n">
        <v>2</v>
      </c>
      <c r="D28" s="239" t="n"/>
      <c r="E28" s="239" t="n"/>
      <c r="F28" s="240" t="n"/>
      <c r="G28" s="240" t="n"/>
      <c r="H28" s="241" t="n">
        <v>34000</v>
      </c>
      <c r="I28" s="242" t="n">
        <v>34000</v>
      </c>
      <c r="J28" s="242" t="n"/>
      <c r="K28" s="233" t="n"/>
      <c r="L28" s="233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27" t="n"/>
      <c r="B29" s="228" t="inlineStr">
        <is>
          <t>CHICLANA 9671</t>
        </is>
      </c>
      <c r="C29" s="229" t="n"/>
      <c r="D29" s="229" t="n"/>
      <c r="E29" s="229" t="n">
        <v>1</v>
      </c>
      <c r="F29" s="230" t="n"/>
      <c r="G29" s="230" t="n"/>
      <c r="H29" s="231" t="n">
        <v>84000</v>
      </c>
      <c r="I29" s="232" t="n"/>
      <c r="J29" s="232" t="n">
        <v>84000</v>
      </c>
      <c r="K29" s="233" t="n"/>
      <c r="L29" s="233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37" t="n"/>
      <c r="B30" s="238" t="inlineStr">
        <is>
          <t xml:space="preserve">BRASERIA </t>
        </is>
      </c>
      <c r="C30" s="239" t="n"/>
      <c r="D30" s="239" t="n"/>
      <c r="E30" s="239" t="n">
        <v>1</v>
      </c>
      <c r="F30" s="240" t="n"/>
      <c r="G30" s="240" t="n"/>
      <c r="H30" s="241" t="n">
        <v>69000</v>
      </c>
      <c r="I30" s="242" t="n"/>
      <c r="J30" s="242" t="n">
        <v>69000</v>
      </c>
      <c r="K30" s="233" t="n"/>
      <c r="L30" s="233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27" t="n">
        <v>46026</v>
      </c>
      <c r="B31" s="228" t="inlineStr">
        <is>
          <t xml:space="preserve">PARRILA BLAS PARERA </t>
        </is>
      </c>
      <c r="C31" s="229" t="n">
        <v>1</v>
      </c>
      <c r="D31" s="229" t="n"/>
      <c r="E31" s="229" t="n"/>
      <c r="F31" s="230" t="n"/>
      <c r="G31" s="230" t="n"/>
      <c r="H31" s="231" t="n">
        <v>16000</v>
      </c>
      <c r="I31" s="232" t="n"/>
      <c r="J31" s="232" t="n">
        <v>16000</v>
      </c>
      <c r="K31" s="233" t="n"/>
      <c r="L31" s="233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37" t="n"/>
      <c r="B32" s="238" t="inlineStr">
        <is>
          <t>ALISOS 5837</t>
        </is>
      </c>
      <c r="C32" s="239" t="n">
        <v>1</v>
      </c>
      <c r="D32" s="239" t="n"/>
      <c r="E32" s="239" t="n"/>
      <c r="F32" s="240" t="n"/>
      <c r="G32" s="240" t="n"/>
      <c r="H32" s="241" t="n">
        <v>139500</v>
      </c>
      <c r="I32" s="242" t="n"/>
      <c r="J32" s="242" t="n">
        <v>139500</v>
      </c>
      <c r="K32" s="233" t="n"/>
      <c r="L32" s="233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27" t="n"/>
      <c r="B33" s="228" t="inlineStr">
        <is>
          <t>PANA ALBERTI</t>
        </is>
      </c>
      <c r="C33" s="229" t="n">
        <v>1</v>
      </c>
      <c r="D33" s="229" t="n"/>
      <c r="E33" s="229" t="n">
        <v>1</v>
      </c>
      <c r="F33" s="230" t="n"/>
      <c r="G33" s="230" t="n"/>
      <c r="H33" s="231" t="n">
        <v>87000</v>
      </c>
      <c r="I33" s="232" t="n">
        <v>87000</v>
      </c>
      <c r="J33" s="232" t="n"/>
      <c r="K33" s="233" t="n"/>
      <c r="L33" s="233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37" t="n"/>
      <c r="B34" s="238" t="inlineStr">
        <is>
          <t>C FUNES 4553</t>
        </is>
      </c>
      <c r="C34" s="239" t="n"/>
      <c r="D34" s="239" t="n"/>
      <c r="E34" s="239" t="n">
        <v>1</v>
      </c>
      <c r="F34" s="240" t="n"/>
      <c r="G34" s="240" t="n"/>
      <c r="H34" s="241" t="n">
        <v>69000</v>
      </c>
      <c r="I34" s="242" t="n"/>
      <c r="J34" s="242" t="n">
        <v>69000</v>
      </c>
      <c r="K34" s="233" t="n"/>
      <c r="L34" s="233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27" t="n"/>
      <c r="B35" s="228" t="inlineStr">
        <is>
          <t>J CIBILS 2519</t>
        </is>
      </c>
      <c r="C35" s="229" t="n"/>
      <c r="D35" s="229" t="n"/>
      <c r="E35" s="229" t="n">
        <v>1</v>
      </c>
      <c r="F35" s="230" t="n"/>
      <c r="G35" s="230" t="n"/>
      <c r="H35" s="231" t="n">
        <v>72000</v>
      </c>
      <c r="I35" s="232" t="n"/>
      <c r="J35" s="232" t="n">
        <v>72000</v>
      </c>
      <c r="K35" s="233" t="n"/>
      <c r="L35" s="233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37" t="n"/>
      <c r="B36" s="238" t="inlineStr">
        <is>
          <t>M ZAPATA 3304</t>
        </is>
      </c>
      <c r="C36" s="239" t="n">
        <v>1</v>
      </c>
      <c r="D36" s="239" t="n"/>
      <c r="E36" s="239" t="n"/>
      <c r="F36" s="240" t="n"/>
      <c r="G36" s="240" t="n"/>
      <c r="H36" s="241" t="n">
        <v>22000</v>
      </c>
      <c r="I36" s="242" t="n"/>
      <c r="J36" s="242" t="n">
        <v>22000</v>
      </c>
      <c r="K36" s="233" t="n"/>
      <c r="L36" s="233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27" t="n"/>
      <c r="B37" s="228" t="inlineStr">
        <is>
          <t>SABOREAR</t>
        </is>
      </c>
      <c r="C37" s="229" t="n"/>
      <c r="D37" s="229" t="n">
        <v>1</v>
      </c>
      <c r="E37" s="229" t="n"/>
      <c r="F37" s="230" t="n"/>
      <c r="G37" s="230" t="n"/>
      <c r="H37" s="231" t="n">
        <v>27000</v>
      </c>
      <c r="I37" s="232" t="n"/>
      <c r="J37" s="232" t="n">
        <v>27000</v>
      </c>
      <c r="K37" s="233" t="n"/>
      <c r="L37" s="233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37" t="n">
        <v>46027</v>
      </c>
      <c r="B38" s="238" t="inlineStr">
        <is>
          <t>PANA VIEYTES</t>
        </is>
      </c>
      <c r="C38" s="239" t="n">
        <v>1</v>
      </c>
      <c r="D38" s="239" t="n"/>
      <c r="E38" s="239" t="n"/>
      <c r="F38" s="240" t="n"/>
      <c r="G38" s="240" t="n"/>
      <c r="H38" s="241" t="n">
        <v>16000</v>
      </c>
      <c r="I38" s="242" t="n"/>
      <c r="J38" s="242" t="n">
        <v>16000</v>
      </c>
      <c r="K38" s="233" t="n"/>
      <c r="L38" s="233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27" t="n"/>
      <c r="B39" s="228" t="inlineStr">
        <is>
          <t>PAULO</t>
        </is>
      </c>
      <c r="C39" s="229" t="n">
        <v>2</v>
      </c>
      <c r="D39" s="229" t="n">
        <v>1</v>
      </c>
      <c r="E39" s="229" t="n"/>
      <c r="F39" s="230" t="n"/>
      <c r="G39" s="230" t="n"/>
      <c r="H39" s="231" t="n">
        <v>45000</v>
      </c>
      <c r="I39" s="232" t="n">
        <v>45000</v>
      </c>
      <c r="J39" s="232" t="n"/>
      <c r="K39" s="233" t="n"/>
      <c r="L39" s="233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37" t="n"/>
      <c r="B40" s="238" t="inlineStr">
        <is>
          <t>SANDRA</t>
        </is>
      </c>
      <c r="C40" s="239" t="n">
        <v>1</v>
      </c>
      <c r="D40" s="239" t="n"/>
      <c r="E40" s="239" t="n"/>
      <c r="F40" s="240" t="n"/>
      <c r="G40" s="240" t="n">
        <v>1</v>
      </c>
      <c r="H40" s="241" t="n">
        <v>17000</v>
      </c>
      <c r="I40" s="242" t="n">
        <v>17000</v>
      </c>
      <c r="J40" s="242" t="n"/>
      <c r="K40" s="233" t="n"/>
      <c r="L40" s="233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27" t="n"/>
      <c r="B41" s="228" t="inlineStr">
        <is>
          <t>LUCHO</t>
        </is>
      </c>
      <c r="C41" s="229" t="n">
        <v>2</v>
      </c>
      <c r="D41" s="229" t="n"/>
      <c r="E41" s="229" t="n"/>
      <c r="F41" s="230" t="n"/>
      <c r="G41" s="230" t="n"/>
      <c r="H41" s="231" t="n">
        <v>26000</v>
      </c>
      <c r="I41" s="232" t="n">
        <v>26000</v>
      </c>
      <c r="J41" s="232" t="n"/>
      <c r="K41" s="233" t="n"/>
      <c r="L41" s="233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37" t="n"/>
      <c r="B42" s="238" t="inlineStr">
        <is>
          <t>CAREN</t>
        </is>
      </c>
      <c r="C42" s="239" t="n"/>
      <c r="D42" s="239" t="n"/>
      <c r="E42" s="239" t="n">
        <v>1</v>
      </c>
      <c r="F42" s="240" t="n"/>
      <c r="G42" s="240" t="n"/>
      <c r="H42" s="241" t="n">
        <v>69000</v>
      </c>
      <c r="I42" s="242" t="n"/>
      <c r="J42" s="242" t="n">
        <v>69000</v>
      </c>
      <c r="K42" s="233" t="n"/>
      <c r="L42" s="233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27" t="n"/>
      <c r="B43" s="228" t="inlineStr">
        <is>
          <t>FILOMENA</t>
        </is>
      </c>
      <c r="C43" s="229" t="n">
        <v>2</v>
      </c>
      <c r="D43" s="229" t="n"/>
      <c r="E43" s="229" t="n"/>
      <c r="F43" s="230" t="n"/>
      <c r="G43" s="230" t="n"/>
      <c r="H43" s="231" t="n">
        <v>36000</v>
      </c>
      <c r="I43" s="232" t="n">
        <v>36000</v>
      </c>
      <c r="J43" s="232" t="n"/>
      <c r="K43" s="233" t="n"/>
      <c r="L43" s="233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37" t="n"/>
      <c r="B44" s="238" t="inlineStr">
        <is>
          <t>SAN MARTIN 1925</t>
        </is>
      </c>
      <c r="C44" s="239" t="n">
        <v>1</v>
      </c>
      <c r="D44" s="239" t="n"/>
      <c r="E44" s="239" t="n"/>
      <c r="F44" s="240" t="n"/>
      <c r="G44" s="240" t="n"/>
      <c r="H44" s="241" t="n">
        <v>19500</v>
      </c>
      <c r="I44" s="242" t="n">
        <v>19500</v>
      </c>
      <c r="J44" s="242" t="n"/>
      <c r="K44" s="233" t="n"/>
      <c r="L44" s="233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27" t="n"/>
      <c r="B45" s="228" t="inlineStr">
        <is>
          <t>LAVAISE 1074</t>
        </is>
      </c>
      <c r="C45" s="229" t="n">
        <v>1</v>
      </c>
      <c r="D45" s="229" t="n"/>
      <c r="E45" s="229" t="n"/>
      <c r="F45" s="230" t="n"/>
      <c r="G45" s="230" t="n">
        <v>2</v>
      </c>
      <c r="H45" s="231" t="n">
        <v>33600</v>
      </c>
      <c r="I45" s="232" t="n"/>
      <c r="J45" s="232" t="n">
        <v>33600</v>
      </c>
      <c r="K45" s="233" t="n"/>
      <c r="L45" s="233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37" t="n"/>
      <c r="B46" s="238" t="inlineStr">
        <is>
          <t>MAURITO</t>
        </is>
      </c>
      <c r="C46" s="239" t="n">
        <v>2</v>
      </c>
      <c r="D46" s="239" t="n"/>
      <c r="E46" s="239" t="n"/>
      <c r="F46" s="240" t="n"/>
      <c r="G46" s="240" t="n"/>
      <c r="H46" s="241" t="n">
        <v>26000</v>
      </c>
      <c r="I46" s="242" t="n"/>
      <c r="J46" s="242" t="n">
        <v>26000</v>
      </c>
      <c r="K46" s="233" t="n"/>
      <c r="L46" s="233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27" t="n">
        <v>46028</v>
      </c>
      <c r="B47" s="228" t="inlineStr">
        <is>
          <t>GOLD COSTA ESTE</t>
        </is>
      </c>
      <c r="C47" s="229" t="n"/>
      <c r="D47" s="229" t="n"/>
      <c r="E47" s="229" t="n">
        <v>3</v>
      </c>
      <c r="F47" s="230" t="n"/>
      <c r="G47" s="230" t="n"/>
      <c r="H47" s="231" t="n">
        <v>231000</v>
      </c>
      <c r="I47" s="232" t="n"/>
      <c r="J47" s="232" t="n">
        <v>231000</v>
      </c>
      <c r="K47" s="233" t="n"/>
      <c r="L47" s="233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37" t="n"/>
      <c r="B48" s="238" t="inlineStr">
        <is>
          <t xml:space="preserve">ROTI DOMINGO SILVA </t>
        </is>
      </c>
      <c r="C48" s="239" t="n">
        <v>4</v>
      </c>
      <c r="D48" s="239" t="n"/>
      <c r="E48" s="239" t="n"/>
      <c r="F48" s="240" t="n"/>
      <c r="G48" s="240" t="n"/>
      <c r="H48" s="241" t="n">
        <v>52000</v>
      </c>
      <c r="I48" s="242" t="n">
        <v>52000</v>
      </c>
      <c r="J48" s="242" t="n"/>
      <c r="K48" s="233" t="n"/>
      <c r="L48" s="233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27" t="n"/>
      <c r="B49" s="228" t="inlineStr">
        <is>
          <t>LUCHO</t>
        </is>
      </c>
      <c r="C49" s="229" t="n"/>
      <c r="D49" s="229" t="n"/>
      <c r="E49" s="229" t="n"/>
      <c r="F49" s="230" t="n"/>
      <c r="G49" s="230" t="n">
        <v>1</v>
      </c>
      <c r="H49" s="231" t="n">
        <v>4800</v>
      </c>
      <c r="I49" s="232" t="n">
        <v>4800</v>
      </c>
      <c r="J49" s="232" t="n"/>
      <c r="K49" s="233" t="n"/>
      <c r="L49" s="233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37" t="n"/>
      <c r="B50" s="238" t="inlineStr">
        <is>
          <t>AZCUENAGA 5023</t>
        </is>
      </c>
      <c r="C50" s="239" t="n">
        <v>7</v>
      </c>
      <c r="D50" s="239" t="n"/>
      <c r="E50" s="239" t="n"/>
      <c r="F50" s="240" t="n"/>
      <c r="G50" s="240" t="n"/>
      <c r="H50" s="241" t="n">
        <v>91000</v>
      </c>
      <c r="I50" s="242" t="n"/>
      <c r="J50" s="242" t="n">
        <v>91000</v>
      </c>
      <c r="K50" s="233" t="n"/>
      <c r="L50" s="233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27" t="n"/>
      <c r="B51" s="228" t="inlineStr">
        <is>
          <t>R GODOY 1614</t>
        </is>
      </c>
      <c r="C51" s="229" t="n">
        <v>1</v>
      </c>
      <c r="D51" s="229" t="n"/>
      <c r="E51" s="229" t="n"/>
      <c r="F51" s="230" t="n"/>
      <c r="G51" s="230" t="n"/>
      <c r="H51" s="231" t="n">
        <v>19000</v>
      </c>
      <c r="I51" s="232" t="n">
        <v>19000</v>
      </c>
      <c r="J51" s="232" t="n"/>
      <c r="K51" s="233" t="n"/>
      <c r="L51" s="233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37" t="n"/>
      <c r="B52" s="238" t="inlineStr">
        <is>
          <t>PJE MITRE 2409</t>
        </is>
      </c>
      <c r="C52" s="239" t="n">
        <v>1</v>
      </c>
      <c r="D52" s="239" t="n"/>
      <c r="E52" s="239" t="n"/>
      <c r="F52" s="240" t="n"/>
      <c r="G52" s="240" t="n"/>
      <c r="H52" s="241" t="n">
        <v>19500</v>
      </c>
      <c r="I52" s="242" t="n">
        <v>19500</v>
      </c>
      <c r="J52" s="242" t="n"/>
      <c r="K52" s="233" t="n"/>
      <c r="L52" s="233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27" t="n"/>
      <c r="B53" s="228" t="inlineStr">
        <is>
          <t xml:space="preserve">CINDO </t>
        </is>
      </c>
      <c r="C53" s="229" t="n"/>
      <c r="D53" s="229" t="n"/>
      <c r="E53" s="229" t="n"/>
      <c r="F53" s="230" t="n">
        <v>2</v>
      </c>
      <c r="G53" s="230" t="n"/>
      <c r="H53" s="231" t="n">
        <v>6500</v>
      </c>
      <c r="I53" s="232" t="n"/>
      <c r="J53" s="232" t="n">
        <v>6500</v>
      </c>
      <c r="K53" s="233" t="n"/>
      <c r="L53" s="233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37" t="n"/>
      <c r="B54" s="238" t="inlineStr">
        <is>
          <t>9 DE JULIO 1144</t>
        </is>
      </c>
      <c r="C54" s="239" t="n"/>
      <c r="D54" s="239" t="n"/>
      <c r="E54" s="239" t="n">
        <v>1</v>
      </c>
      <c r="F54" s="240" t="n"/>
      <c r="G54" s="240" t="n"/>
      <c r="H54" s="241" t="n">
        <v>77000</v>
      </c>
      <c r="I54" s="242" t="n"/>
      <c r="J54" s="242" t="n">
        <v>77000</v>
      </c>
      <c r="K54" s="233" t="n"/>
      <c r="L54" s="233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27" t="n"/>
      <c r="B55" s="228" t="inlineStr">
        <is>
          <t>SAVEDRA 6445</t>
        </is>
      </c>
      <c r="C55" s="229" t="n"/>
      <c r="D55" s="229" t="n"/>
      <c r="E55" s="229" t="n">
        <v>1</v>
      </c>
      <c r="F55" s="230" t="n"/>
      <c r="G55" s="230" t="n"/>
      <c r="H55" s="231" t="n">
        <v>72000</v>
      </c>
      <c r="I55" s="232" t="n"/>
      <c r="J55" s="232" t="n">
        <v>72000</v>
      </c>
      <c r="K55" s="233" t="n"/>
      <c r="L55" s="233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37" t="n">
        <v>46029</v>
      </c>
      <c r="B56" s="238" t="inlineStr">
        <is>
          <t>ESPORA 5335</t>
        </is>
      </c>
      <c r="C56" s="239" t="n"/>
      <c r="D56" s="239" t="n"/>
      <c r="E56" s="239" t="n">
        <v>1</v>
      </c>
      <c r="F56" s="240" t="n"/>
      <c r="G56" s="240" t="n"/>
      <c r="H56" s="241" t="n">
        <v>77000</v>
      </c>
      <c r="I56" s="242" t="n">
        <v>77000</v>
      </c>
      <c r="J56" s="242" t="n"/>
      <c r="K56" s="233" t="n"/>
      <c r="L56" s="233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27" t="n"/>
      <c r="B57" s="228" t="inlineStr">
        <is>
          <t>WILLIAN</t>
        </is>
      </c>
      <c r="C57" s="229" t="n"/>
      <c r="D57" s="229" t="n">
        <v>1</v>
      </c>
      <c r="E57" s="229" t="n"/>
      <c r="F57" s="230" t="n"/>
      <c r="G57" s="230" t="n"/>
      <c r="H57" s="231" t="n">
        <v>29500</v>
      </c>
      <c r="I57" s="232" t="n"/>
      <c r="J57" s="232" t="n">
        <v>29500</v>
      </c>
      <c r="K57" s="233" t="n"/>
      <c r="L57" s="233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37" t="n"/>
      <c r="B58" s="238" t="inlineStr">
        <is>
          <t>LUCHO</t>
        </is>
      </c>
      <c r="C58" s="239" t="n"/>
      <c r="D58" s="239" t="n">
        <v>1</v>
      </c>
      <c r="E58" s="239" t="n"/>
      <c r="F58" s="240" t="n"/>
      <c r="G58" s="240" t="n"/>
      <c r="H58" s="241" t="n">
        <v>21000</v>
      </c>
      <c r="I58" s="242" t="n">
        <v>21000</v>
      </c>
      <c r="J58" s="242" t="n"/>
      <c r="K58" s="233" t="n"/>
      <c r="L58" s="233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27" t="n"/>
      <c r="B59" s="228" t="inlineStr">
        <is>
          <t>ROTI SAN LORENZO</t>
        </is>
      </c>
      <c r="C59" s="229" t="n"/>
      <c r="D59" s="229" t="n">
        <v>1</v>
      </c>
      <c r="E59" s="229" t="n"/>
      <c r="F59" s="230" t="n"/>
      <c r="G59" s="230" t="n"/>
      <c r="H59" s="231" t="n">
        <v>28000</v>
      </c>
      <c r="I59" s="232" t="n"/>
      <c r="J59" s="232" t="n">
        <v>28000</v>
      </c>
      <c r="K59" s="233" t="n"/>
      <c r="L59" s="233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37" t="n"/>
      <c r="B60" s="238" t="inlineStr">
        <is>
          <t>PANA HNO FIGUERIOA</t>
        </is>
      </c>
      <c r="C60" s="239" t="n"/>
      <c r="D60" s="239" t="n"/>
      <c r="E60" s="239" t="n">
        <v>1</v>
      </c>
      <c r="F60" s="240" t="n"/>
      <c r="G60" s="240" t="n"/>
      <c r="H60" s="241" t="n">
        <v>65000</v>
      </c>
      <c r="I60" s="242" t="n"/>
      <c r="J60" s="242" t="n">
        <v>65000</v>
      </c>
      <c r="K60" s="233" t="n"/>
      <c r="L60" s="233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27" t="n">
        <v>46030</v>
      </c>
      <c r="B61" s="228" t="inlineStr">
        <is>
          <t>BLAS PARERA 6054</t>
        </is>
      </c>
      <c r="C61" s="229" t="n"/>
      <c r="D61" s="229" t="n"/>
      <c r="E61" s="229" t="n">
        <v>1</v>
      </c>
      <c r="F61" s="230" t="n"/>
      <c r="G61" s="230" t="n"/>
      <c r="H61" s="231" t="n">
        <v>69000</v>
      </c>
      <c r="I61" s="232" t="n">
        <v>69000</v>
      </c>
      <c r="J61" s="232" t="n"/>
      <c r="K61" s="233" t="n"/>
      <c r="L61" s="233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37" t="n"/>
      <c r="B62" s="238" t="inlineStr">
        <is>
          <t>OTNIEL</t>
        </is>
      </c>
      <c r="C62" s="239" t="n">
        <v>1</v>
      </c>
      <c r="D62" s="239" t="n"/>
      <c r="E62" s="239" t="n">
        <v>1</v>
      </c>
      <c r="F62" s="240" t="n"/>
      <c r="G62" s="240" t="n">
        <v>3</v>
      </c>
      <c r="H62" s="241" t="n">
        <v>101400</v>
      </c>
      <c r="I62" s="242" t="n"/>
      <c r="J62" s="242" t="n">
        <v>101400</v>
      </c>
      <c r="K62" s="233" t="n"/>
      <c r="L62" s="233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27" t="n"/>
      <c r="B63" s="228" t="inlineStr">
        <is>
          <t>JEMA BURGUER</t>
        </is>
      </c>
      <c r="C63" s="229" t="n"/>
      <c r="D63" s="229" t="n"/>
      <c r="E63" s="229" t="n"/>
      <c r="F63" s="230" t="n"/>
      <c r="G63" s="230" t="n">
        <v>3</v>
      </c>
      <c r="H63" s="231" t="n">
        <v>14400</v>
      </c>
      <c r="I63" s="232" t="n">
        <v>14400</v>
      </c>
      <c r="J63" s="232" t="n"/>
      <c r="K63" s="233" t="n"/>
      <c r="L63" s="233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37" t="n"/>
      <c r="B64" s="238" t="inlineStr">
        <is>
          <t>GORRITI 4331</t>
        </is>
      </c>
      <c r="C64" s="239" t="n"/>
      <c r="D64" s="239" t="n">
        <v>1</v>
      </c>
      <c r="E64" s="239" t="n"/>
      <c r="F64" s="240" t="n"/>
      <c r="G64" s="240" t="n"/>
      <c r="H64" s="241" t="n">
        <v>33000</v>
      </c>
      <c r="I64" s="242" t="n"/>
      <c r="J64" s="242" t="n">
        <v>33000</v>
      </c>
      <c r="K64" s="233" t="n"/>
      <c r="L64" s="233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27" t="n"/>
      <c r="B65" s="228" t="inlineStr">
        <is>
          <t>FILOMENA</t>
        </is>
      </c>
      <c r="C65" s="229" t="n">
        <v>2</v>
      </c>
      <c r="D65" s="229" t="n"/>
      <c r="E65" s="229" t="n"/>
      <c r="F65" s="230" t="n"/>
      <c r="G65" s="230" t="n"/>
      <c r="H65" s="231" t="n">
        <v>36000</v>
      </c>
      <c r="I65" s="232" t="n">
        <v>36000</v>
      </c>
      <c r="J65" s="232" t="n"/>
      <c r="K65" s="233" t="n"/>
      <c r="L65" s="233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37" t="n"/>
      <c r="B66" s="238" t="inlineStr">
        <is>
          <t xml:space="preserve">NACHI CUEVA </t>
        </is>
      </c>
      <c r="C66" s="239" t="n">
        <v>1</v>
      </c>
      <c r="D66" s="239" t="n">
        <v>1</v>
      </c>
      <c r="E66" s="239" t="n"/>
      <c r="F66" s="240" t="n"/>
      <c r="G66" s="240" t="n"/>
      <c r="H66" s="241" t="n">
        <v>45000</v>
      </c>
      <c r="I66" s="242" t="n">
        <v>45000</v>
      </c>
      <c r="J66" s="242" t="n"/>
      <c r="K66" s="233" t="n"/>
      <c r="L66" s="233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27" t="n"/>
      <c r="B67" s="228" t="inlineStr">
        <is>
          <t>EXE</t>
        </is>
      </c>
      <c r="C67" s="229" t="n"/>
      <c r="D67" s="229" t="n"/>
      <c r="E67" s="229" t="n">
        <v>1</v>
      </c>
      <c r="F67" s="230" t="n"/>
      <c r="G67" s="230" t="n"/>
      <c r="H67" s="231" t="n">
        <v>69000</v>
      </c>
      <c r="I67" s="232" t="n"/>
      <c r="J67" s="232" t="n">
        <v>69000</v>
      </c>
      <c r="K67" s="233" t="n"/>
      <c r="L67" s="233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37" t="n"/>
      <c r="B68" s="238" t="inlineStr">
        <is>
          <t>PANA VIEYTES 3800</t>
        </is>
      </c>
      <c r="C68" s="239" t="n"/>
      <c r="D68" s="239" t="n"/>
      <c r="E68" s="239" t="n">
        <v>1</v>
      </c>
      <c r="F68" s="240" t="n"/>
      <c r="G68" s="240" t="n"/>
      <c r="H68" s="241" t="n">
        <v>69000</v>
      </c>
      <c r="I68" s="242" t="n">
        <v>69000</v>
      </c>
      <c r="J68" s="242" t="n"/>
      <c r="K68" s="233" t="n"/>
      <c r="L68" s="233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27" t="n"/>
      <c r="B69" s="228" t="inlineStr">
        <is>
          <t>PANA GENESIO</t>
        </is>
      </c>
      <c r="C69" s="229" t="n"/>
      <c r="D69" s="229" t="n"/>
      <c r="E69" s="229" t="n">
        <v>1</v>
      </c>
      <c r="F69" s="230" t="n"/>
      <c r="G69" s="230" t="n"/>
      <c r="H69" s="231" t="n">
        <v>69000</v>
      </c>
      <c r="I69" s="232" t="n">
        <v>69000</v>
      </c>
      <c r="J69" s="232" t="n"/>
      <c r="K69" s="233" t="n"/>
      <c r="L69" s="233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37" t="n"/>
      <c r="B70" s="238" t="inlineStr">
        <is>
          <t>PANA VIEYTES 4500</t>
        </is>
      </c>
      <c r="C70" s="239" t="n"/>
      <c r="D70" s="239" t="n"/>
      <c r="E70" s="239" t="n">
        <v>1</v>
      </c>
      <c r="F70" s="240" t="n"/>
      <c r="G70" s="240" t="n"/>
      <c r="H70" s="241" t="n">
        <v>65000</v>
      </c>
      <c r="I70" s="242" t="n">
        <v>65000</v>
      </c>
      <c r="J70" s="242" t="n"/>
      <c r="K70" s="233" t="n"/>
      <c r="L70" s="233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27" t="n"/>
      <c r="B71" s="228" t="inlineStr">
        <is>
          <t xml:space="preserve">POLLERIA. BLAS PAREA </t>
        </is>
      </c>
      <c r="C71" s="229" t="n">
        <v>1</v>
      </c>
      <c r="D71" s="229" t="n"/>
      <c r="E71" s="229" t="n"/>
      <c r="F71" s="230" t="n"/>
      <c r="G71" s="230" t="n"/>
      <c r="H71" s="231" t="n">
        <v>17000</v>
      </c>
      <c r="I71" s="232" t="n">
        <v>17000</v>
      </c>
      <c r="J71" s="232" t="n"/>
      <c r="K71" s="233" t="n"/>
      <c r="L71" s="233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37" t="n">
        <v>46031</v>
      </c>
      <c r="B72" s="238" t="inlineStr">
        <is>
          <t>FABIAN</t>
        </is>
      </c>
      <c r="C72" s="239" t="n">
        <v>1</v>
      </c>
      <c r="D72" s="239" t="n"/>
      <c r="E72" s="239" t="n"/>
      <c r="F72" s="240" t="n"/>
      <c r="G72" s="240" t="n"/>
      <c r="H72" s="241" t="n">
        <v>20000</v>
      </c>
      <c r="I72" s="242" t="n">
        <v>20000</v>
      </c>
      <c r="J72" s="242" t="n"/>
      <c r="K72" s="233" t="n"/>
      <c r="L72" s="233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27" t="n"/>
      <c r="B73" s="228" t="inlineStr">
        <is>
          <t xml:space="preserve">PANA VIEYTES </t>
        </is>
      </c>
      <c r="C73" s="229" t="n">
        <v>1</v>
      </c>
      <c r="D73" s="229" t="n"/>
      <c r="E73" s="229" t="n"/>
      <c r="F73" s="230" t="n">
        <v>1</v>
      </c>
      <c r="G73" s="230" t="n"/>
      <c r="H73" s="231" t="n">
        <v>19700</v>
      </c>
      <c r="I73" s="232" t="n"/>
      <c r="J73" s="232" t="n">
        <v>19700</v>
      </c>
      <c r="K73" s="233" t="n"/>
      <c r="L73" s="233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37" t="n"/>
      <c r="B74" s="238" t="inlineStr">
        <is>
          <t>OTNIEL</t>
        </is>
      </c>
      <c r="C74" s="239" t="n"/>
      <c r="D74" s="239" t="n"/>
      <c r="E74" s="239" t="n"/>
      <c r="F74" s="240" t="n">
        <v>4</v>
      </c>
      <c r="G74" s="240" t="n"/>
      <c r="H74" s="241" t="n">
        <v>14400</v>
      </c>
      <c r="I74" s="242" t="n">
        <v>14400</v>
      </c>
      <c r="J74" s="242" t="n"/>
      <c r="K74" s="233" t="n"/>
      <c r="L74" s="233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27" t="n"/>
      <c r="B75" s="228" t="inlineStr">
        <is>
          <t xml:space="preserve">ROTI VIEYTES </t>
        </is>
      </c>
      <c r="C75" s="229" t="n"/>
      <c r="D75" s="229" t="n">
        <v>4</v>
      </c>
      <c r="E75" s="229" t="n"/>
      <c r="F75" s="230" t="n"/>
      <c r="G75" s="230" t="n"/>
      <c r="H75" s="231" t="n">
        <v>78000</v>
      </c>
      <c r="I75" s="232" t="n"/>
      <c r="J75" s="232" t="n">
        <v>78000</v>
      </c>
      <c r="K75" s="233" t="n"/>
      <c r="L75" s="233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37" t="n"/>
      <c r="B76" s="238" t="inlineStr">
        <is>
          <t>LOBATO BARBARA</t>
        </is>
      </c>
      <c r="C76" s="239" t="n"/>
      <c r="D76" s="239" t="n"/>
      <c r="E76" s="239" t="n">
        <v>1</v>
      </c>
      <c r="F76" s="240" t="n"/>
      <c r="G76" s="240" t="n"/>
      <c r="H76" s="241" t="n">
        <v>75000</v>
      </c>
      <c r="I76" s="242" t="n">
        <v>75000</v>
      </c>
      <c r="J76" s="242" t="n"/>
      <c r="K76" s="233" t="n"/>
      <c r="L76" s="233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27" t="n"/>
      <c r="B77" s="228" t="inlineStr">
        <is>
          <t>ANA ABDALA</t>
        </is>
      </c>
      <c r="C77" s="229" t="n">
        <v>1</v>
      </c>
      <c r="D77" s="229" t="n"/>
      <c r="E77" s="229" t="n"/>
      <c r="F77" s="230" t="n"/>
      <c r="G77" s="230" t="n"/>
      <c r="H77" s="231" t="n">
        <v>22000</v>
      </c>
      <c r="I77" s="232" t="n">
        <v>22000</v>
      </c>
      <c r="J77" s="232" t="n"/>
      <c r="K77" s="233" t="n"/>
      <c r="L77" s="233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37" t="n"/>
      <c r="B78" s="238" t="inlineStr">
        <is>
          <t>JUJUY 3451</t>
        </is>
      </c>
      <c r="C78" s="239" t="n">
        <v>1</v>
      </c>
      <c r="D78" s="239" t="n"/>
      <c r="E78" s="239" t="n"/>
      <c r="F78" s="240" t="n"/>
      <c r="G78" s="240" t="n"/>
      <c r="H78" s="241" t="n">
        <v>22000</v>
      </c>
      <c r="I78" s="242" t="n">
        <v>22000</v>
      </c>
      <c r="J78" s="242" t="n"/>
      <c r="K78" s="233" t="n"/>
      <c r="L78" s="233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27" t="n"/>
      <c r="B79" s="228" t="inlineStr">
        <is>
          <t>SABOREAR</t>
        </is>
      </c>
      <c r="C79" s="229" t="n">
        <v>1</v>
      </c>
      <c r="D79" s="229" t="n"/>
      <c r="E79" s="229" t="n">
        <v>1</v>
      </c>
      <c r="F79" s="230" t="n"/>
      <c r="G79" s="230" t="n"/>
      <c r="H79" s="231" t="n">
        <v>87000</v>
      </c>
      <c r="I79" s="232" t="n"/>
      <c r="J79" s="232" t="n">
        <v>87000</v>
      </c>
      <c r="K79" s="233" t="n"/>
      <c r="L79" s="233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37" t="n">
        <v>46032</v>
      </c>
      <c r="B80" s="238" t="inlineStr">
        <is>
          <t>PANA GORRITI</t>
        </is>
      </c>
      <c r="C80" s="239" t="n"/>
      <c r="D80" s="239" t="n"/>
      <c r="E80" s="239" t="n">
        <v>1</v>
      </c>
      <c r="F80" s="240" t="n"/>
      <c r="G80" s="240" t="n"/>
      <c r="H80" s="241" t="n">
        <v>72000</v>
      </c>
      <c r="I80" s="242" t="n">
        <v>72000</v>
      </c>
      <c r="J80" s="242" t="n"/>
      <c r="K80" s="233" t="n"/>
      <c r="L80" s="233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27" t="n"/>
      <c r="B81" s="228" t="inlineStr">
        <is>
          <t>BERUTI 5520</t>
        </is>
      </c>
      <c r="C81" s="229" t="n"/>
      <c r="D81" s="229" t="n"/>
      <c r="E81" s="229" t="n"/>
      <c r="F81" s="230" t="n"/>
      <c r="G81" s="230" t="n">
        <v>2</v>
      </c>
      <c r="H81" s="231" t="n">
        <v>10000</v>
      </c>
      <c r="I81" s="232" t="n"/>
      <c r="J81" s="232" t="n">
        <v>10000</v>
      </c>
      <c r="K81" s="233" t="n"/>
      <c r="L81" s="233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37" t="n"/>
      <c r="B82" s="238" t="inlineStr">
        <is>
          <t>AZOPARDO 7219</t>
        </is>
      </c>
      <c r="C82" s="239" t="n">
        <v>1</v>
      </c>
      <c r="D82" s="239" t="n"/>
      <c r="E82" s="239" t="n"/>
      <c r="F82" s="240" t="n"/>
      <c r="G82" s="240" t="n"/>
      <c r="H82" s="241" t="n">
        <v>22000</v>
      </c>
      <c r="I82" s="242" t="n"/>
      <c r="J82" s="242" t="n">
        <v>22000</v>
      </c>
      <c r="K82" s="233" t="n"/>
      <c r="L82" s="233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27" t="n"/>
      <c r="B83" s="228" t="inlineStr">
        <is>
          <t>FILOMENA</t>
        </is>
      </c>
      <c r="C83" s="229" t="n">
        <v>2</v>
      </c>
      <c r="D83" s="229" t="n"/>
      <c r="E83" s="229" t="n"/>
      <c r="F83" s="230" t="n"/>
      <c r="G83" s="230" t="n"/>
      <c r="H83" s="231" t="n">
        <v>36000</v>
      </c>
      <c r="I83" s="232" t="n">
        <v>36000</v>
      </c>
      <c r="J83" s="232" t="n"/>
      <c r="K83" s="233" t="n"/>
      <c r="L83" s="233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37" t="n"/>
      <c r="B84" s="238" t="inlineStr">
        <is>
          <t>SAMDRA</t>
        </is>
      </c>
      <c r="C84" s="239" t="n">
        <v>1</v>
      </c>
      <c r="D84" s="239" t="n"/>
      <c r="E84" s="239" t="n"/>
      <c r="F84" s="240" t="n"/>
      <c r="G84" s="240" t="n"/>
      <c r="H84" s="241" t="n">
        <v>14500</v>
      </c>
      <c r="I84" s="242" t="n">
        <v>14500</v>
      </c>
      <c r="J84" s="242" t="n"/>
      <c r="K84" s="233" t="n"/>
      <c r="L84" s="233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27" t="n"/>
      <c r="B85" s="228" t="inlineStr">
        <is>
          <t>PUBLICO 4746</t>
        </is>
      </c>
      <c r="C85" s="229" t="n"/>
      <c r="D85" s="229" t="n"/>
      <c r="E85" s="229" t="n">
        <v>1</v>
      </c>
      <c r="F85" s="230" t="n"/>
      <c r="G85" s="230" t="n"/>
      <c r="H85" s="231" t="n">
        <v>75000</v>
      </c>
      <c r="I85" s="232" t="n"/>
      <c r="J85" s="232" t="n">
        <v>75000</v>
      </c>
      <c r="K85" s="233" t="n"/>
      <c r="L85" s="233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37" t="n"/>
      <c r="B86" s="238" t="inlineStr">
        <is>
          <t>ALSUNA 7980</t>
        </is>
      </c>
      <c r="C86" s="239" t="n">
        <v>1</v>
      </c>
      <c r="D86" s="239" t="n"/>
      <c r="E86" s="239" t="n"/>
      <c r="F86" s="240" t="n"/>
      <c r="G86" s="240" t="n"/>
      <c r="H86" s="241" t="n">
        <v>22000</v>
      </c>
      <c r="I86" s="242" t="n">
        <v>22000</v>
      </c>
      <c r="J86" s="242" t="n"/>
      <c r="K86" s="233" t="n"/>
      <c r="L86" s="233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27" t="n"/>
      <c r="B87" s="228" t="inlineStr">
        <is>
          <t>BRASERIA</t>
        </is>
      </c>
      <c r="C87" s="229" t="n"/>
      <c r="D87" s="229" t="n"/>
      <c r="E87" s="229" t="n">
        <v>1</v>
      </c>
      <c r="F87" s="230" t="n"/>
      <c r="G87" s="230" t="n"/>
      <c r="H87" s="231" t="n">
        <v>69000</v>
      </c>
      <c r="I87" s="232" t="n"/>
      <c r="J87" s="232" t="n">
        <v>69000</v>
      </c>
      <c r="K87" s="233" t="n"/>
      <c r="L87" s="233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37" t="n"/>
      <c r="B88" s="238" t="inlineStr">
        <is>
          <t>GRAL PAZ 7989</t>
        </is>
      </c>
      <c r="C88" s="239" t="n">
        <v>1</v>
      </c>
      <c r="D88" s="239" t="n"/>
      <c r="E88" s="239" t="n"/>
      <c r="F88" s="240" t="n"/>
      <c r="G88" s="240" t="n"/>
      <c r="H88" s="241" t="n">
        <v>22000</v>
      </c>
      <c r="I88" s="242" t="n">
        <v>22000</v>
      </c>
      <c r="J88" s="242" t="n"/>
      <c r="K88" s="233" t="n"/>
      <c r="L88" s="233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27" t="n">
        <v>46033</v>
      </c>
      <c r="B89" s="228" t="inlineStr">
        <is>
          <t>BENTEVEOS DAMIAN</t>
        </is>
      </c>
      <c r="C89" s="229" t="n"/>
      <c r="D89" s="229" t="n"/>
      <c r="E89" s="229" t="n">
        <v>1</v>
      </c>
      <c r="F89" s="230" t="n"/>
      <c r="G89" s="230" t="n"/>
      <c r="H89" s="231" t="n">
        <v>78000</v>
      </c>
      <c r="I89" s="232" t="n"/>
      <c r="J89" s="232" t="n">
        <v>78000</v>
      </c>
      <c r="K89" s="233" t="n"/>
      <c r="L89" s="233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37" t="n"/>
      <c r="B90" s="238" t="inlineStr">
        <is>
          <t>ALBERTI 4538</t>
        </is>
      </c>
      <c r="C90" s="239" t="n"/>
      <c r="D90" s="239" t="n">
        <v>1</v>
      </c>
      <c r="E90" s="239" t="n"/>
      <c r="F90" s="240" t="n"/>
      <c r="G90" s="240" t="n"/>
      <c r="H90" s="241" t="n">
        <v>33000</v>
      </c>
      <c r="I90" s="242" t="n"/>
      <c r="J90" s="242" t="n">
        <v>33000</v>
      </c>
      <c r="K90" s="233" t="n"/>
      <c r="L90" s="233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27" t="n"/>
      <c r="B91" s="228" t="inlineStr">
        <is>
          <t xml:space="preserve">PANA ALBERTI </t>
        </is>
      </c>
      <c r="C91" s="229" t="n"/>
      <c r="D91" s="229" t="n"/>
      <c r="E91" s="229" t="n">
        <v>1</v>
      </c>
      <c r="F91" s="230" t="n"/>
      <c r="G91" s="230" t="n"/>
      <c r="H91" s="231" t="n">
        <v>69000</v>
      </c>
      <c r="I91" s="232" t="n">
        <v>69000</v>
      </c>
      <c r="J91" s="232" t="n"/>
      <c r="K91" s="233" t="n"/>
      <c r="L91" s="233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37" t="n"/>
      <c r="B92" s="238" t="inlineStr">
        <is>
          <t>LUCHO</t>
        </is>
      </c>
      <c r="C92" s="239" t="n">
        <v>4</v>
      </c>
      <c r="D92" s="239" t="n"/>
      <c r="E92" s="239" t="n"/>
      <c r="F92" s="240" t="n"/>
      <c r="G92" s="240" t="n"/>
      <c r="H92" s="241" t="n">
        <v>58000</v>
      </c>
      <c r="I92" s="242" t="n">
        <v>58000</v>
      </c>
      <c r="J92" s="242" t="n"/>
      <c r="K92" s="233" t="n"/>
      <c r="L92" s="233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27" t="n"/>
      <c r="B93" s="228" t="inlineStr">
        <is>
          <t>M CANDIOTI 6281</t>
        </is>
      </c>
      <c r="C93" s="229" t="n">
        <v>1</v>
      </c>
      <c r="D93" s="229" t="n"/>
      <c r="E93" s="229" t="n"/>
      <c r="F93" s="230" t="n"/>
      <c r="G93" s="230" t="n"/>
      <c r="H93" s="231" t="n">
        <v>22000</v>
      </c>
      <c r="I93" s="232" t="n"/>
      <c r="J93" s="232" t="n">
        <v>22000</v>
      </c>
      <c r="K93" s="233" t="n"/>
      <c r="L93" s="233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37" t="n"/>
      <c r="B94" s="238" t="inlineStr">
        <is>
          <t>GARMENDIA 9249</t>
        </is>
      </c>
      <c r="C94" s="239" t="n"/>
      <c r="D94" s="239" t="n">
        <v>1</v>
      </c>
      <c r="E94" s="239" t="n"/>
      <c r="F94" s="240" t="n"/>
      <c r="G94" s="240" t="n"/>
      <c r="H94" s="241" t="n">
        <v>34000</v>
      </c>
      <c r="I94" s="242" t="n"/>
      <c r="J94" s="242" t="n">
        <v>34000</v>
      </c>
      <c r="K94" s="233" t="n"/>
      <c r="L94" s="233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27" t="n"/>
      <c r="B95" s="228" t="inlineStr">
        <is>
          <t>SABORERARTE</t>
        </is>
      </c>
      <c r="C95" s="229" t="n"/>
      <c r="D95" s="229" t="n">
        <v>1</v>
      </c>
      <c r="E95" s="229" t="n"/>
      <c r="F95" s="230" t="n"/>
      <c r="G95" s="230" t="n"/>
      <c r="H95" s="231" t="n">
        <v>28000</v>
      </c>
      <c r="I95" s="232" t="n">
        <v>12000</v>
      </c>
      <c r="J95" s="232" t="n">
        <v>28000</v>
      </c>
      <c r="K95" s="233" t="n"/>
      <c r="L95" s="233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37" t="n"/>
      <c r="B96" s="238" t="inlineStr">
        <is>
          <t>FILOMENA</t>
        </is>
      </c>
      <c r="C96" s="239" t="n">
        <v>1</v>
      </c>
      <c r="D96" s="239" t="n"/>
      <c r="E96" s="239" t="n"/>
      <c r="F96" s="240" t="n"/>
      <c r="G96" s="240" t="n"/>
      <c r="H96" s="241" t="n">
        <v>18000</v>
      </c>
      <c r="I96" s="242" t="n">
        <v>18000</v>
      </c>
      <c r="J96" s="242" t="n"/>
      <c r="K96" s="233" t="n"/>
      <c r="L96" s="233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27" t="n">
        <v>46034</v>
      </c>
      <c r="B97" s="228" t="inlineStr">
        <is>
          <t xml:space="preserve">PANA GORRITI </t>
        </is>
      </c>
      <c r="C97" s="229" t="n"/>
      <c r="D97" s="229" t="n"/>
      <c r="E97" s="229" t="n">
        <v>1</v>
      </c>
      <c r="F97" s="230" t="n"/>
      <c r="G97" s="230" t="n"/>
      <c r="H97" s="231" t="n">
        <v>72000</v>
      </c>
      <c r="I97" s="232" t="n">
        <v>72000</v>
      </c>
      <c r="J97" s="232" t="n"/>
      <c r="K97" s="233" t="n"/>
      <c r="L97" s="233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37" t="n"/>
      <c r="B98" s="238" t="inlineStr">
        <is>
          <t>OTNIEL</t>
        </is>
      </c>
      <c r="C98" s="239" t="n"/>
      <c r="D98" s="239" t="n">
        <v>1</v>
      </c>
      <c r="E98" s="239" t="n"/>
      <c r="F98" s="240" t="n"/>
      <c r="G98" s="240" t="n"/>
      <c r="H98" s="241" t="n">
        <v>28500</v>
      </c>
      <c r="I98" s="242" t="n"/>
      <c r="J98" s="242" t="n">
        <v>28500</v>
      </c>
      <c r="K98" s="233" t="n"/>
      <c r="L98" s="233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27" t="n"/>
      <c r="B99" s="228" t="inlineStr">
        <is>
          <t>AZCUENAGA 5023</t>
        </is>
      </c>
      <c r="C99" s="229" t="n">
        <v>5</v>
      </c>
      <c r="D99" s="229" t="n"/>
      <c r="E99" s="229" t="n"/>
      <c r="F99" s="230" t="n"/>
      <c r="G99" s="230" t="n"/>
      <c r="H99" s="231" t="n">
        <v>72500</v>
      </c>
      <c r="I99" s="232" t="n"/>
      <c r="J99" s="232" t="n">
        <v>72500</v>
      </c>
      <c r="K99" s="233" t="n"/>
      <c r="L99" s="233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37" t="n"/>
      <c r="B100" s="238" t="inlineStr">
        <is>
          <t>HERNANDARIAS 5150</t>
        </is>
      </c>
      <c r="C100" s="239" t="n"/>
      <c r="D100" s="239" t="n"/>
      <c r="E100" s="239" t="n">
        <v>1</v>
      </c>
      <c r="F100" s="240" t="n"/>
      <c r="G100" s="240" t="n"/>
      <c r="H100" s="241" t="n">
        <v>73000</v>
      </c>
      <c r="I100" s="242" t="n"/>
      <c r="J100" s="242" t="n">
        <v>73000</v>
      </c>
      <c r="K100" s="233" t="n"/>
      <c r="L100" s="233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27" t="n"/>
      <c r="B101" s="228" t="inlineStr">
        <is>
          <t>P CEBALLOS 8134</t>
        </is>
      </c>
      <c r="C101" s="229" t="n">
        <v>2</v>
      </c>
      <c r="D101" s="229" t="n">
        <v>1</v>
      </c>
      <c r="E101" s="229" t="n"/>
      <c r="F101" s="230" t="n"/>
      <c r="G101" s="230" t="n"/>
      <c r="H101" s="231" t="n">
        <v>49000</v>
      </c>
      <c r="I101" s="232" t="n"/>
      <c r="J101" s="232" t="n">
        <v>49000</v>
      </c>
      <c r="K101" s="233" t="n"/>
      <c r="L101" s="233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37" t="n"/>
      <c r="B102" s="238" t="inlineStr">
        <is>
          <t>LAVADERO</t>
        </is>
      </c>
      <c r="C102" s="239" t="n">
        <v>1</v>
      </c>
      <c r="D102" s="239" t="n"/>
      <c r="E102" s="239" t="n"/>
      <c r="F102" s="240" t="n"/>
      <c r="G102" s="240" t="n"/>
      <c r="H102" s="241" t="n">
        <v>14500</v>
      </c>
      <c r="I102" s="242" t="n"/>
      <c r="J102" s="242" t="n">
        <v>14500</v>
      </c>
      <c r="K102" s="233" t="n"/>
      <c r="L102" s="233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27" t="n"/>
      <c r="B103" s="228" t="inlineStr">
        <is>
          <t>LARGUIA 8629</t>
        </is>
      </c>
      <c r="C103" s="229" t="n">
        <v>1</v>
      </c>
      <c r="D103" s="229" t="n"/>
      <c r="E103" s="229" t="n"/>
      <c r="F103" s="230" t="n"/>
      <c r="G103" s="230" t="n"/>
      <c r="H103" s="231" t="n">
        <v>22000</v>
      </c>
      <c r="I103" s="232" t="n"/>
      <c r="J103" s="232" t="n">
        <v>22000</v>
      </c>
      <c r="K103" s="233" t="n"/>
      <c r="L103" s="233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37" t="n"/>
      <c r="B104" s="238" t="inlineStr">
        <is>
          <t>JM ZUVIRIA 2143</t>
        </is>
      </c>
      <c r="C104" s="239" t="n"/>
      <c r="D104" s="239" t="n">
        <v>1</v>
      </c>
      <c r="E104" s="239" t="n"/>
      <c r="F104" s="240" t="n"/>
      <c r="G104" s="240" t="n"/>
      <c r="H104" s="241" t="n">
        <v>34000</v>
      </c>
      <c r="I104" s="242" t="n">
        <v>34000</v>
      </c>
      <c r="J104" s="242" t="n"/>
      <c r="K104" s="233" t="n"/>
      <c r="L104" s="233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27" t="n"/>
      <c r="B105" s="228" t="inlineStr">
        <is>
          <t>CAREN</t>
        </is>
      </c>
      <c r="C105" s="229" t="n"/>
      <c r="D105" s="229" t="n"/>
      <c r="E105" s="229" t="n">
        <v>1</v>
      </c>
      <c r="F105" s="230" t="n"/>
      <c r="G105" s="230" t="n"/>
      <c r="H105" s="231" t="n">
        <v>69000</v>
      </c>
      <c r="I105" s="232" t="n"/>
      <c r="J105" s="232" t="n">
        <v>69000</v>
      </c>
      <c r="K105" s="233" t="n"/>
      <c r="L105" s="233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37" t="n">
        <v>46035</v>
      </c>
      <c r="B106" s="238" t="inlineStr">
        <is>
          <t>NOGALES 2412</t>
        </is>
      </c>
      <c r="C106" s="239" t="n"/>
      <c r="D106" s="239" t="n"/>
      <c r="E106" s="239" t="n">
        <v>1</v>
      </c>
      <c r="F106" s="240" t="n"/>
      <c r="G106" s="240" t="n"/>
      <c r="H106" s="241" t="n">
        <v>77000</v>
      </c>
      <c r="I106" s="242" t="n"/>
      <c r="J106" s="242" t="n">
        <v>77000</v>
      </c>
      <c r="K106" s="233" t="n"/>
      <c r="L106" s="233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27" t="n"/>
      <c r="B107" s="228" t="inlineStr">
        <is>
          <t>MAURO</t>
        </is>
      </c>
      <c r="C107" s="229" t="n">
        <v>2</v>
      </c>
      <c r="D107" s="229" t="n"/>
      <c r="E107" s="229" t="n"/>
      <c r="F107" s="230" t="n"/>
      <c r="G107" s="230" t="n"/>
      <c r="H107" s="231" t="n">
        <v>29000</v>
      </c>
      <c r="I107" s="232" t="n"/>
      <c r="J107" s="232" t="n">
        <v>29000</v>
      </c>
      <c r="K107" s="233" t="n"/>
      <c r="L107" s="233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37" t="n"/>
      <c r="B108" s="238" t="inlineStr">
        <is>
          <t>PUBLICO 8821</t>
        </is>
      </c>
      <c r="C108" s="239" t="n"/>
      <c r="D108" s="239" t="n"/>
      <c r="E108" s="239" t="n">
        <v>1</v>
      </c>
      <c r="F108" s="240" t="n"/>
      <c r="G108" s="240" t="n"/>
      <c r="H108" s="241" t="n">
        <v>75000</v>
      </c>
      <c r="I108" s="242" t="n"/>
      <c r="J108" s="242" t="n">
        <v>75000</v>
      </c>
      <c r="K108" s="233" t="n"/>
      <c r="L108" s="233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27" t="n"/>
      <c r="B109" s="228" t="inlineStr">
        <is>
          <t>PANA VIEYTES</t>
        </is>
      </c>
      <c r="C109" s="229" t="n">
        <v>1</v>
      </c>
      <c r="D109" s="229" t="n"/>
      <c r="E109" s="229" t="n"/>
      <c r="F109" s="230" t="n"/>
      <c r="G109" s="230" t="n"/>
      <c r="H109" s="231" t="n">
        <v>17500</v>
      </c>
      <c r="I109" s="232" t="n"/>
      <c r="J109" s="232" t="n">
        <v>17500</v>
      </c>
      <c r="K109" s="233" t="n"/>
      <c r="L109" s="233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37" t="n"/>
      <c r="B110" s="238" t="inlineStr">
        <is>
          <t>PANA GENESIO</t>
        </is>
      </c>
      <c r="C110" s="239" t="n"/>
      <c r="D110" s="239" t="n"/>
      <c r="E110" s="239" t="n">
        <v>1</v>
      </c>
      <c r="F110" s="240" t="n"/>
      <c r="G110" s="240" t="n"/>
      <c r="H110" s="241" t="n">
        <v>69000</v>
      </c>
      <c r="I110" s="242" t="n"/>
      <c r="J110" s="242" t="n">
        <v>69000</v>
      </c>
      <c r="K110" s="233" t="n"/>
      <c r="L110" s="233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27" t="n"/>
      <c r="B111" s="228" t="inlineStr">
        <is>
          <t xml:space="preserve">FILOMEN A </t>
        </is>
      </c>
      <c r="C111" s="229" t="n">
        <v>1</v>
      </c>
      <c r="D111" s="229" t="n"/>
      <c r="E111" s="229" t="n"/>
      <c r="F111" s="230" t="n"/>
      <c r="G111" s="230" t="n"/>
      <c r="H111" s="231" t="n">
        <v>18000</v>
      </c>
      <c r="I111" s="232" t="n">
        <v>18000</v>
      </c>
      <c r="J111" s="232" t="n"/>
      <c r="K111" s="233" t="n"/>
      <c r="L111" s="233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37" t="n">
        <v>46036</v>
      </c>
      <c r="B112" s="238" t="inlineStr">
        <is>
          <t>BARRETO 8200</t>
        </is>
      </c>
      <c r="C112" s="239" t="n"/>
      <c r="D112" s="239" t="n"/>
      <c r="E112" s="239" t="n"/>
      <c r="F112" s="240" t="n"/>
      <c r="G112" s="240" t="n">
        <v>1</v>
      </c>
      <c r="H112" s="241" t="n">
        <v>5000</v>
      </c>
      <c r="I112" s="242" t="n"/>
      <c r="J112" s="242" t="n">
        <v>5000</v>
      </c>
      <c r="K112" s="233" t="n"/>
      <c r="L112" s="233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27" t="n"/>
      <c r="B113" s="228" t="inlineStr">
        <is>
          <t>ECHEVERRAI 5430</t>
        </is>
      </c>
      <c r="C113" s="229" t="n">
        <v>1</v>
      </c>
      <c r="D113" s="229" t="n"/>
      <c r="E113" s="229" t="n"/>
      <c r="F113" s="230" t="n"/>
      <c r="G113" s="230" t="n"/>
      <c r="H113" s="231" t="n">
        <v>23000</v>
      </c>
      <c r="I113" s="232" t="n">
        <v>23000</v>
      </c>
      <c r="J113" s="232" t="n"/>
      <c r="K113" s="233" t="n"/>
      <c r="L113" s="233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37" t="n"/>
      <c r="B114" s="238" t="inlineStr">
        <is>
          <t>SANDRA</t>
        </is>
      </c>
      <c r="C114" s="239" t="n">
        <v>2</v>
      </c>
      <c r="D114" s="239" t="n"/>
      <c r="E114" s="239" t="n"/>
      <c r="F114" s="240" t="n"/>
      <c r="G114" s="240" t="n">
        <v>1</v>
      </c>
      <c r="H114" s="241" t="n">
        <v>33000</v>
      </c>
      <c r="I114" s="242" t="n">
        <v>33000</v>
      </c>
      <c r="J114" s="242" t="n"/>
      <c r="K114" s="233" t="n"/>
      <c r="L114" s="233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27" t="n"/>
      <c r="B115" s="228" t="inlineStr">
        <is>
          <t>FRESNO DE LOPEZ 8120</t>
        </is>
      </c>
      <c r="C115" s="229" t="n">
        <v>1</v>
      </c>
      <c r="D115" s="229" t="n"/>
      <c r="E115" s="229" t="n"/>
      <c r="F115" s="230" t="n"/>
      <c r="G115" s="230" t="n"/>
      <c r="H115" s="231" t="n">
        <v>22000</v>
      </c>
      <c r="I115" s="232" t="n"/>
      <c r="J115" s="232" t="n">
        <v>22000</v>
      </c>
      <c r="K115" s="233" t="n"/>
      <c r="L115" s="233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37" t="n"/>
      <c r="B116" s="238" t="inlineStr">
        <is>
          <t>FILOMENA</t>
        </is>
      </c>
      <c r="C116" s="239" t="n">
        <v>1</v>
      </c>
      <c r="D116" s="239" t="n"/>
      <c r="E116" s="239" t="n"/>
      <c r="F116" s="240" t="n"/>
      <c r="G116" s="240" t="n"/>
      <c r="H116" s="241" t="n">
        <v>18000</v>
      </c>
      <c r="I116" s="242" t="n">
        <v>18000</v>
      </c>
      <c r="J116" s="242" t="n"/>
      <c r="K116" s="233" t="n"/>
      <c r="L116" s="233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27" t="n"/>
      <c r="B117" s="228" t="inlineStr">
        <is>
          <t>VICTOR CAPE</t>
        </is>
      </c>
      <c r="C117" s="229" t="n"/>
      <c r="D117" s="229" t="n">
        <v>1</v>
      </c>
      <c r="E117" s="229" t="n"/>
      <c r="F117" s="230" t="n"/>
      <c r="G117" s="230" t="n"/>
      <c r="H117" s="231" t="n">
        <v>31500</v>
      </c>
      <c r="I117" s="232" t="n"/>
      <c r="J117" s="232" t="n">
        <v>31500</v>
      </c>
      <c r="K117" s="233" t="n"/>
      <c r="L117" s="233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37" t="n"/>
      <c r="B118" s="238" t="inlineStr">
        <is>
          <t xml:space="preserve">JOSE MONTEVERA </t>
        </is>
      </c>
      <c r="C118" s="239" t="n"/>
      <c r="D118" s="239" t="n"/>
      <c r="E118" s="239" t="n">
        <v>1</v>
      </c>
      <c r="F118" s="240" t="n"/>
      <c r="G118" s="240" t="n"/>
      <c r="H118" s="241" t="n">
        <v>77000</v>
      </c>
      <c r="I118" s="242" t="n">
        <v>77000</v>
      </c>
      <c r="J118" s="242" t="n"/>
      <c r="K118" s="233" t="n"/>
      <c r="L118" s="233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27" t="n">
        <v>46037</v>
      </c>
      <c r="B119" s="228" t="inlineStr">
        <is>
          <t>D SILVA 4217</t>
        </is>
      </c>
      <c r="C119" s="229" t="n">
        <v>4</v>
      </c>
      <c r="D119" s="229" t="n">
        <v>1</v>
      </c>
      <c r="E119" s="229" t="n"/>
      <c r="F119" s="230" t="n"/>
      <c r="G119" s="230" t="n"/>
      <c r="H119" s="231" t="n">
        <v>80500</v>
      </c>
      <c r="I119" s="232" t="n"/>
      <c r="J119" s="232" t="n">
        <v>80500</v>
      </c>
      <c r="K119" s="233" t="n"/>
      <c r="L119" s="233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37" t="n"/>
      <c r="B120" s="238" t="inlineStr">
        <is>
          <t>ALE</t>
        </is>
      </c>
      <c r="C120" s="239" t="n"/>
      <c r="D120" s="239" t="n"/>
      <c r="E120" s="239" t="n"/>
      <c r="F120" s="240" t="n"/>
      <c r="G120" s="240" t="n">
        <v>1</v>
      </c>
      <c r="H120" s="241" t="n">
        <v>5000</v>
      </c>
      <c r="I120" s="242" t="n">
        <v>5000</v>
      </c>
      <c r="J120" s="242" t="n"/>
      <c r="K120" s="233" t="n"/>
      <c r="L120" s="233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27" t="n"/>
      <c r="B121" s="228" t="inlineStr">
        <is>
          <t xml:space="preserve">GISE </t>
        </is>
      </c>
      <c r="C121" s="229" t="n"/>
      <c r="D121" s="229" t="n"/>
      <c r="E121" s="229" t="n"/>
      <c r="F121" s="230" t="n">
        <v>2</v>
      </c>
      <c r="G121" s="230" t="n"/>
      <c r="H121" s="231" t="n">
        <v>6900</v>
      </c>
      <c r="I121" s="232" t="n"/>
      <c r="J121" s="232" t="n">
        <v>6900</v>
      </c>
      <c r="K121" s="233" t="n"/>
      <c r="L121" s="233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37" t="n"/>
      <c r="B122" s="238" t="inlineStr">
        <is>
          <t>LUCHO</t>
        </is>
      </c>
      <c r="C122" s="239" t="n">
        <v>2</v>
      </c>
      <c r="D122" s="239" t="n"/>
      <c r="E122" s="239" t="n"/>
      <c r="F122" s="240" t="n"/>
      <c r="G122" s="240" t="n"/>
      <c r="H122" s="241" t="n">
        <v>29000</v>
      </c>
      <c r="I122" s="242" t="n"/>
      <c r="J122" s="242" t="n">
        <v>29000</v>
      </c>
      <c r="K122" s="233" t="n"/>
      <c r="L122" s="233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27" t="n"/>
      <c r="B123" s="228" t="inlineStr">
        <is>
          <t>SABOREAR</t>
        </is>
      </c>
      <c r="C123" s="229" t="n">
        <v>1</v>
      </c>
      <c r="D123" s="229" t="n"/>
      <c r="E123" s="229" t="n"/>
      <c r="F123" s="230" t="n"/>
      <c r="G123" s="230" t="n"/>
      <c r="H123" s="231" t="n">
        <v>18000</v>
      </c>
      <c r="I123" s="232" t="n"/>
      <c r="J123" s="232" t="n">
        <v>18000</v>
      </c>
      <c r="K123" s="233" t="n"/>
      <c r="L123" s="233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37" t="n"/>
      <c r="B124" s="238" t="inlineStr">
        <is>
          <t>NACHO</t>
        </is>
      </c>
      <c r="C124" s="239" t="n">
        <v>1</v>
      </c>
      <c r="D124" s="239" t="n"/>
      <c r="E124" s="239" t="n"/>
      <c r="F124" s="240" t="n"/>
      <c r="G124" s="240" t="n"/>
      <c r="H124" s="241" t="n">
        <v>18000</v>
      </c>
      <c r="I124" s="242" t="n">
        <v>18000</v>
      </c>
      <c r="J124" s="242" t="n"/>
      <c r="K124" s="233" t="n"/>
      <c r="L124" s="233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27" t="n">
        <v>46038</v>
      </c>
      <c r="B125" s="228" t="inlineStr">
        <is>
          <t>BONEO 5363</t>
        </is>
      </c>
      <c r="C125" s="229" t="n"/>
      <c r="D125" s="229" t="n"/>
      <c r="E125" s="229" t="n">
        <v>1</v>
      </c>
      <c r="F125" s="230" t="n"/>
      <c r="G125" s="230" t="n"/>
      <c r="H125" s="231" t="n">
        <v>78000</v>
      </c>
      <c r="I125" s="232" t="n"/>
      <c r="J125" s="232" t="n">
        <v>78000</v>
      </c>
      <c r="K125" s="233" t="n"/>
      <c r="L125" s="233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37" t="n"/>
      <c r="B126" s="238" t="inlineStr">
        <is>
          <t>OTNIEL</t>
        </is>
      </c>
      <c r="C126" s="239" t="n">
        <v>1</v>
      </c>
      <c r="D126" s="239" t="n">
        <v>1</v>
      </c>
      <c r="E126" s="239" t="n"/>
      <c r="F126" s="240" t="n"/>
      <c r="G126" s="240" t="n">
        <v>2</v>
      </c>
      <c r="H126" s="241" t="n">
        <v>57500</v>
      </c>
      <c r="I126" s="242" t="n"/>
      <c r="J126" s="242" t="n">
        <v>57500</v>
      </c>
      <c r="K126" s="233" t="n"/>
      <c r="L126" s="233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27" t="n"/>
      <c r="B127" s="228" t="inlineStr">
        <is>
          <t xml:space="preserve">BEATRIZ </t>
        </is>
      </c>
      <c r="C127" s="229" t="n"/>
      <c r="D127" s="229" t="n"/>
      <c r="E127" s="229" t="n"/>
      <c r="F127" s="230" t="n"/>
      <c r="G127" s="230" t="n">
        <v>1</v>
      </c>
      <c r="H127" s="231" t="n">
        <v>5000</v>
      </c>
      <c r="I127" s="232" t="n">
        <v>5000</v>
      </c>
      <c r="J127" s="232" t="n"/>
      <c r="K127" s="233" t="n"/>
      <c r="L127" s="233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37" t="n"/>
      <c r="B128" s="238" t="inlineStr">
        <is>
          <t>SANDRA</t>
        </is>
      </c>
      <c r="C128" s="239" t="n">
        <v>1</v>
      </c>
      <c r="D128" s="239" t="n">
        <v>1</v>
      </c>
      <c r="E128" s="239" t="n"/>
      <c r="F128" s="240" t="n"/>
      <c r="G128" s="240" t="n"/>
      <c r="H128" s="241" t="n">
        <v>37000</v>
      </c>
      <c r="I128" s="242" t="n">
        <v>37000</v>
      </c>
      <c r="J128" s="242" t="n"/>
      <c r="K128" s="233" t="n"/>
      <c r="L128" s="233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27" t="n"/>
      <c r="B129" s="228" t="inlineStr">
        <is>
          <t>PANA VIEYTES</t>
        </is>
      </c>
      <c r="C129" s="229" t="n">
        <v>1</v>
      </c>
      <c r="D129" s="229" t="n"/>
      <c r="E129" s="229" t="n"/>
      <c r="F129" s="230" t="n"/>
      <c r="G129" s="230" t="n"/>
      <c r="H129" s="231" t="n">
        <v>17500</v>
      </c>
      <c r="I129" s="232" t="n"/>
      <c r="J129" s="232" t="n">
        <v>17500</v>
      </c>
      <c r="K129" s="233" t="n"/>
      <c r="L129" s="233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37" t="n"/>
      <c r="B130" s="238" t="inlineStr">
        <is>
          <t>LAVAISE 3786</t>
        </is>
      </c>
      <c r="C130" s="239" t="n">
        <v>2</v>
      </c>
      <c r="D130" s="239" t="n"/>
      <c r="E130" s="239" t="n"/>
      <c r="F130" s="240" t="n"/>
      <c r="G130" s="240" t="n"/>
      <c r="H130" s="241" t="n">
        <v>42000</v>
      </c>
      <c r="I130" s="242" t="n">
        <v>42000</v>
      </c>
      <c r="J130" s="242" t="n"/>
      <c r="K130" s="233" t="n"/>
      <c r="L130" s="233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27" t="n"/>
      <c r="B131" s="228" t="inlineStr">
        <is>
          <t>BRASERIA</t>
        </is>
      </c>
      <c r="C131" s="229" t="n"/>
      <c r="D131" s="229" t="n"/>
      <c r="E131" s="229" t="n">
        <v>1</v>
      </c>
      <c r="F131" s="230" t="n"/>
      <c r="G131" s="230" t="n"/>
      <c r="H131" s="231" t="n">
        <v>72000</v>
      </c>
      <c r="I131" s="232" t="n"/>
      <c r="J131" s="232" t="n">
        <v>72000</v>
      </c>
      <c r="K131" s="233" t="n"/>
      <c r="L131" s="233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37" t="n"/>
      <c r="B132" s="238" t="inlineStr">
        <is>
          <t>LALO</t>
        </is>
      </c>
      <c r="C132" s="239" t="n"/>
      <c r="D132" s="239" t="n"/>
      <c r="E132" s="239" t="n">
        <v>1</v>
      </c>
      <c r="F132" s="240" t="n"/>
      <c r="G132" s="240" t="n"/>
      <c r="H132" s="241" t="n">
        <v>77000</v>
      </c>
      <c r="I132" s="242" t="n">
        <v>77000</v>
      </c>
      <c r="J132" s="242" t="n"/>
      <c r="K132" s="233" t="n"/>
      <c r="L132" s="233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27" t="n"/>
      <c r="B133" s="228" t="inlineStr">
        <is>
          <t>FILOMENA</t>
        </is>
      </c>
      <c r="C133" s="229" t="n">
        <v>2</v>
      </c>
      <c r="D133" s="229" t="n"/>
      <c r="E133" s="229" t="n"/>
      <c r="F133" s="230" t="n"/>
      <c r="G133" s="230" t="n"/>
      <c r="H133" s="231" t="n">
        <v>36000</v>
      </c>
      <c r="I133" s="232" t="n">
        <v>36000</v>
      </c>
      <c r="J133" s="232" t="n"/>
      <c r="K133" s="233" t="n"/>
      <c r="L133" s="233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37" t="n"/>
      <c r="B134" s="238" t="inlineStr">
        <is>
          <t>CAREN</t>
        </is>
      </c>
      <c r="C134" s="239" t="n"/>
      <c r="D134" s="239" t="n"/>
      <c r="E134" s="239" t="n">
        <v>1</v>
      </c>
      <c r="F134" s="240" t="n"/>
      <c r="G134" s="240" t="n"/>
      <c r="H134" s="241" t="n">
        <v>69000</v>
      </c>
      <c r="I134" s="242" t="n"/>
      <c r="J134" s="242" t="n">
        <v>69000</v>
      </c>
      <c r="K134" s="233" t="n"/>
      <c r="L134" s="233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27" t="n">
        <v>46039</v>
      </c>
      <c r="B135" s="228" t="inlineStr">
        <is>
          <t>GASTON AMARAL</t>
        </is>
      </c>
      <c r="C135" s="229" t="n"/>
      <c r="D135" s="229" t="n"/>
      <c r="E135" s="229" t="n">
        <v>1</v>
      </c>
      <c r="F135" s="230" t="n"/>
      <c r="G135" s="230" t="n"/>
      <c r="H135" s="231" t="n">
        <v>77000</v>
      </c>
      <c r="I135" s="232" t="n">
        <v>77000</v>
      </c>
      <c r="J135" s="232" t="n"/>
      <c r="K135" s="233" t="n"/>
      <c r="L135" s="233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37" t="n"/>
      <c r="B136" s="238" t="inlineStr">
        <is>
          <t>PAULO</t>
        </is>
      </c>
      <c r="C136" s="239" t="n">
        <v>3</v>
      </c>
      <c r="D136" s="239" t="n"/>
      <c r="E136" s="239" t="n"/>
      <c r="F136" s="240" t="n"/>
      <c r="G136" s="240" t="n"/>
      <c r="H136" s="241" t="n">
        <v>43500</v>
      </c>
      <c r="I136" s="242" t="n">
        <v>43500</v>
      </c>
      <c r="J136" s="242" t="n"/>
      <c r="K136" s="233" t="n"/>
      <c r="L136" s="233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27" t="n"/>
      <c r="B137" s="228" t="inlineStr">
        <is>
          <t>GOLD BURGUER</t>
        </is>
      </c>
      <c r="C137" s="229" t="n"/>
      <c r="D137" s="229" t="n"/>
      <c r="E137" s="229" t="n">
        <v>2</v>
      </c>
      <c r="F137" s="230" t="n"/>
      <c r="G137" s="230" t="n"/>
      <c r="H137" s="231" t="n">
        <v>158000</v>
      </c>
      <c r="I137" s="232" t="n"/>
      <c r="J137" s="232" t="n">
        <v>158000</v>
      </c>
      <c r="K137" s="233" t="n"/>
      <c r="L137" s="233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37" t="n"/>
      <c r="B138" s="238" t="inlineStr">
        <is>
          <t>TOFFO</t>
        </is>
      </c>
      <c r="C138" s="239" t="n"/>
      <c r="D138" s="239" t="n">
        <v>1</v>
      </c>
      <c r="E138" s="239" t="n"/>
      <c r="F138" s="240" t="n"/>
      <c r="G138" s="240" t="n"/>
      <c r="H138" s="241" t="n">
        <v>33000</v>
      </c>
      <c r="I138" s="242" t="n">
        <v>33000</v>
      </c>
      <c r="J138" s="242" t="n"/>
      <c r="K138" s="233" t="n"/>
      <c r="L138" s="233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27" t="n"/>
      <c r="B139" s="228" t="inlineStr">
        <is>
          <t>FRATERNINDAD GUANELIANA</t>
        </is>
      </c>
      <c r="C139" s="229" t="n">
        <v>1</v>
      </c>
      <c r="D139" s="229" t="n"/>
      <c r="E139" s="229" t="n"/>
      <c r="F139" s="230" t="n"/>
      <c r="G139" s="230" t="n"/>
      <c r="H139" s="231" t="n">
        <v>20000</v>
      </c>
      <c r="I139" s="232" t="n">
        <v>20000</v>
      </c>
      <c r="J139" s="232" t="n"/>
      <c r="K139" s="233" t="n"/>
      <c r="L139" s="233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37" t="n"/>
      <c r="B140" s="238" t="inlineStr">
        <is>
          <t>ROTI AGUADO</t>
        </is>
      </c>
      <c r="C140" s="239" t="n">
        <v>1</v>
      </c>
      <c r="D140" s="239" t="n">
        <v>1</v>
      </c>
      <c r="E140" s="239" t="n">
        <v>1</v>
      </c>
      <c r="F140" s="240" t="n"/>
      <c r="G140" s="240" t="n"/>
      <c r="H140" s="241" t="n">
        <v>115000</v>
      </c>
      <c r="I140" s="242" t="n"/>
      <c r="J140" s="242" t="n">
        <v>115000</v>
      </c>
      <c r="K140" s="233" t="n"/>
      <c r="L140" s="233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27" t="n"/>
      <c r="B141" s="228" t="inlineStr">
        <is>
          <t>SAVEDRA 10125</t>
        </is>
      </c>
      <c r="C141" s="229" t="n"/>
      <c r="D141" s="229" t="n"/>
      <c r="E141" s="229" t="n">
        <v>1</v>
      </c>
      <c r="F141" s="230" t="n"/>
      <c r="G141" s="230" t="n"/>
      <c r="H141" s="231" t="n">
        <v>77000</v>
      </c>
      <c r="I141" s="232" t="n"/>
      <c r="J141" s="232" t="n">
        <v>77000</v>
      </c>
      <c r="K141" s="233" t="n"/>
      <c r="L141" s="233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37" t="n"/>
      <c r="B142" s="238" t="inlineStr">
        <is>
          <t>PICHI</t>
        </is>
      </c>
      <c r="C142" s="239" t="n">
        <v>1</v>
      </c>
      <c r="D142" s="239" t="n"/>
      <c r="E142" s="239" t="n"/>
      <c r="F142" s="240" t="n"/>
      <c r="G142" s="240" t="n"/>
      <c r="H142" s="241" t="n">
        <v>18000</v>
      </c>
      <c r="I142" s="242" t="n">
        <v>18000</v>
      </c>
      <c r="J142" s="242" t="n"/>
      <c r="K142" s="233" t="n"/>
      <c r="L142" s="233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27" t="n"/>
      <c r="B143" s="228" t="inlineStr">
        <is>
          <t>EXE</t>
        </is>
      </c>
      <c r="C143" s="229" t="n"/>
      <c r="D143" s="229" t="n"/>
      <c r="E143" s="229" t="n">
        <v>1</v>
      </c>
      <c r="F143" s="230" t="n"/>
      <c r="G143" s="230" t="n"/>
      <c r="H143" s="231" t="n">
        <v>69000</v>
      </c>
      <c r="I143" s="232" t="n"/>
      <c r="J143" s="232" t="n">
        <v>69000</v>
      </c>
      <c r="K143" s="233" t="n"/>
      <c r="L143" s="233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37" t="n"/>
      <c r="B144" s="238" t="inlineStr">
        <is>
          <t>FILOMENA</t>
        </is>
      </c>
      <c r="C144" s="239" t="n">
        <v>1</v>
      </c>
      <c r="D144" s="239" t="n"/>
      <c r="E144" s="239" t="n"/>
      <c r="F144" s="240" t="n"/>
      <c r="G144" s="240" t="n"/>
      <c r="H144" s="241" t="n">
        <v>18000</v>
      </c>
      <c r="I144" s="242" t="n">
        <v>18000</v>
      </c>
      <c r="J144" s="242" t="n"/>
      <c r="K144" s="233" t="n"/>
      <c r="L144" s="233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27" t="n"/>
      <c r="B145" s="228" t="inlineStr">
        <is>
          <t>SABOREAR</t>
        </is>
      </c>
      <c r="C145" s="229" t="n">
        <v>1</v>
      </c>
      <c r="D145" s="229" t="n"/>
      <c r="E145" s="229" t="n"/>
      <c r="F145" s="230" t="n"/>
      <c r="G145" s="230" t="n"/>
      <c r="H145" s="231" t="n">
        <v>18000</v>
      </c>
      <c r="I145" s="232" t="n"/>
      <c r="J145" s="232" t="n">
        <v>18000</v>
      </c>
      <c r="K145" s="233" t="n"/>
      <c r="L145" s="233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37" t="n"/>
      <c r="B146" s="238" t="inlineStr">
        <is>
          <t>CHICLANA 7565</t>
        </is>
      </c>
      <c r="C146" s="239" t="n"/>
      <c r="D146" s="239" t="n">
        <v>1</v>
      </c>
      <c r="E146" s="239" t="n"/>
      <c r="F146" s="240" t="n"/>
      <c r="G146" s="240" t="n"/>
      <c r="H146" s="241" t="n">
        <v>33000</v>
      </c>
      <c r="I146" s="242" t="n">
        <v>33000</v>
      </c>
      <c r="J146" s="242" t="n"/>
      <c r="K146" s="233" t="n"/>
      <c r="L146" s="233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27" t="n"/>
      <c r="B147" s="228" t="inlineStr">
        <is>
          <t>BONEO 4054</t>
        </is>
      </c>
      <c r="C147" s="229" t="n">
        <v>1</v>
      </c>
      <c r="D147" s="229" t="n">
        <v>1</v>
      </c>
      <c r="E147" s="229" t="n"/>
      <c r="F147" s="230" t="n"/>
      <c r="G147" s="230" t="n"/>
      <c r="H147" s="231" t="n">
        <v>55000</v>
      </c>
      <c r="I147" s="232" t="n">
        <v>55000</v>
      </c>
      <c r="J147" s="232" t="n"/>
      <c r="K147" s="233" t="n"/>
      <c r="L147" s="233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37" t="n"/>
      <c r="B148" s="238" t="inlineStr">
        <is>
          <t>ALSINA 7981</t>
        </is>
      </c>
      <c r="C148" s="239" t="n"/>
      <c r="D148" s="239" t="n"/>
      <c r="E148" s="239" t="n">
        <v>1</v>
      </c>
      <c r="F148" s="240" t="n"/>
      <c r="G148" s="240" t="n"/>
      <c r="H148" s="241" t="n">
        <v>77000</v>
      </c>
      <c r="I148" s="242" t="n"/>
      <c r="J148" s="242" t="n">
        <v>77000</v>
      </c>
      <c r="K148" s="233" t="n"/>
      <c r="L148" s="233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27" t="n"/>
      <c r="B149" s="228" t="inlineStr">
        <is>
          <t>AZCUENAGA 5023</t>
        </is>
      </c>
      <c r="C149" s="229" t="n">
        <v>5</v>
      </c>
      <c r="D149" s="229" t="n">
        <v>1</v>
      </c>
      <c r="E149" s="229" t="n"/>
      <c r="F149" s="230" t="n"/>
      <c r="G149" s="230" t="n"/>
      <c r="H149" s="231" t="n">
        <v>95500</v>
      </c>
      <c r="I149" s="232" t="n"/>
      <c r="J149" s="232" t="n">
        <v>95500</v>
      </c>
      <c r="K149" s="233" t="n"/>
      <c r="L149" s="233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37" t="n">
        <v>46040</v>
      </c>
      <c r="B150" s="238" t="inlineStr">
        <is>
          <t>ESTELA PJE PARAGUAY</t>
        </is>
      </c>
      <c r="C150" s="239" t="n">
        <v>4</v>
      </c>
      <c r="D150" s="239" t="n"/>
      <c r="E150" s="239" t="n"/>
      <c r="F150" s="240" t="n"/>
      <c r="G150" s="240" t="n"/>
      <c r="H150" s="241" t="n">
        <v>56000</v>
      </c>
      <c r="I150" s="242" t="n">
        <v>28000</v>
      </c>
      <c r="J150" s="242" t="n">
        <v>28000</v>
      </c>
      <c r="K150" s="233" t="n"/>
      <c r="L150" s="233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27" t="n"/>
      <c r="B151" s="228" t="inlineStr">
        <is>
          <t>SANDRA</t>
        </is>
      </c>
      <c r="C151" s="229" t="n">
        <v>2</v>
      </c>
      <c r="D151" s="229" t="n"/>
      <c r="E151" s="229" t="n"/>
      <c r="F151" s="230" t="n"/>
      <c r="G151" s="230" t="n"/>
      <c r="H151" s="231" t="n">
        <v>29000</v>
      </c>
      <c r="I151" s="232" t="n">
        <v>29000</v>
      </c>
      <c r="J151" s="232" t="n"/>
      <c r="K151" s="233" t="n"/>
      <c r="L151" s="233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37" t="n"/>
      <c r="B152" s="238" t="inlineStr">
        <is>
          <t xml:space="preserve">POLLERIA BLAS PARERA </t>
        </is>
      </c>
      <c r="C152" s="239" t="n">
        <v>1</v>
      </c>
      <c r="D152" s="239" t="n"/>
      <c r="E152" s="239" t="n"/>
      <c r="F152" s="240" t="n"/>
      <c r="G152" s="240" t="n"/>
      <c r="H152" s="241" t="n">
        <v>17000</v>
      </c>
      <c r="I152" s="242" t="n">
        <v>17000</v>
      </c>
      <c r="J152" s="242" t="n"/>
      <c r="K152" s="233" t="n"/>
      <c r="L152" s="233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27" t="n"/>
      <c r="B153" s="228" t="inlineStr">
        <is>
          <t>B IRIGOYEN 8383</t>
        </is>
      </c>
      <c r="C153" s="229" t="n"/>
      <c r="D153" s="229" t="n"/>
      <c r="E153" s="229" t="n">
        <v>1</v>
      </c>
      <c r="F153" s="230" t="n"/>
      <c r="G153" s="230" t="n"/>
      <c r="H153" s="231" t="n">
        <v>75000</v>
      </c>
      <c r="I153" s="232" t="n">
        <v>75000</v>
      </c>
      <c r="J153" s="232" t="n"/>
      <c r="K153" s="233" t="n"/>
      <c r="L153" s="233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37" t="n"/>
      <c r="B154" s="238" t="inlineStr">
        <is>
          <t>PANA GENESIO</t>
        </is>
      </c>
      <c r="C154" s="239" t="n"/>
      <c r="D154" s="239" t="n"/>
      <c r="E154" s="239" t="n">
        <v>1</v>
      </c>
      <c r="F154" s="240" t="n"/>
      <c r="G154" s="240" t="n"/>
      <c r="H154" s="241" t="n">
        <v>69000</v>
      </c>
      <c r="I154" s="242" t="n"/>
      <c r="J154" s="242" t="n">
        <v>69000</v>
      </c>
      <c r="K154" s="233" t="n"/>
      <c r="L154" s="233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27" t="n"/>
      <c r="B155" s="228" t="inlineStr">
        <is>
          <t>ALBERDI 4649</t>
        </is>
      </c>
      <c r="C155" s="229" t="n">
        <v>1</v>
      </c>
      <c r="D155" s="229" t="n"/>
      <c r="E155" s="229" t="n"/>
      <c r="F155" s="230" t="n"/>
      <c r="G155" s="230" t="n"/>
      <c r="H155" s="231" t="n">
        <v>21000</v>
      </c>
      <c r="I155" s="232" t="n"/>
      <c r="J155" s="232" t="n">
        <v>21000</v>
      </c>
      <c r="K155" s="233" t="n"/>
      <c r="L155" s="233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37" t="n"/>
      <c r="B156" s="238" t="inlineStr">
        <is>
          <t>LUCHO</t>
        </is>
      </c>
      <c r="C156" s="239" t="n">
        <v>2</v>
      </c>
      <c r="D156" s="239" t="n"/>
      <c r="E156" s="239" t="n"/>
      <c r="F156" s="240" t="n"/>
      <c r="G156" s="240" t="n"/>
      <c r="H156" s="241" t="n">
        <v>29000</v>
      </c>
      <c r="I156" s="242" t="n">
        <v>29000</v>
      </c>
      <c r="J156" s="242" t="n"/>
      <c r="K156" s="233" t="n"/>
      <c r="L156" s="233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27" t="n">
        <v>46041</v>
      </c>
      <c r="B157" s="228" t="inlineStr">
        <is>
          <t>LUCHO</t>
        </is>
      </c>
      <c r="C157" s="229" t="n">
        <v>3</v>
      </c>
      <c r="D157" s="229" t="n"/>
      <c r="E157" s="229" t="n"/>
      <c r="F157" s="230" t="n"/>
      <c r="G157" s="230" t="n"/>
      <c r="H157" s="231" t="n">
        <v>43500</v>
      </c>
      <c r="I157" s="232" t="n">
        <v>43500</v>
      </c>
      <c r="J157" s="232" t="n"/>
      <c r="K157" s="233" t="n"/>
      <c r="L157" s="233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37" t="n"/>
      <c r="B158" s="238" t="inlineStr">
        <is>
          <t>CARRASCO 9350</t>
        </is>
      </c>
      <c r="C158" s="239" t="n">
        <v>1</v>
      </c>
      <c r="D158" s="239" t="n"/>
      <c r="E158" s="239" t="n"/>
      <c r="F158" s="240" t="n"/>
      <c r="G158" s="240" t="n"/>
      <c r="H158" s="241" t="n">
        <v>21000</v>
      </c>
      <c r="I158" s="242" t="n">
        <v>21000</v>
      </c>
      <c r="J158" s="242" t="n"/>
      <c r="K158" s="233" t="n"/>
      <c r="L158" s="233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27" t="n"/>
      <c r="B159" s="228" t="inlineStr">
        <is>
          <t>HERNANDARIAS 5356</t>
        </is>
      </c>
      <c r="C159" s="229" t="n"/>
      <c r="D159" s="229" t="n">
        <v>1</v>
      </c>
      <c r="E159" s="229" t="n"/>
      <c r="F159" s="230" t="n"/>
      <c r="G159" s="230" t="n"/>
      <c r="H159" s="231" t="n">
        <v>32000</v>
      </c>
      <c r="I159" s="232" t="n">
        <v>32000</v>
      </c>
      <c r="J159" s="232" t="n"/>
      <c r="K159" s="233" t="n"/>
      <c r="L159" s="233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37" t="n"/>
      <c r="B160" s="238" t="inlineStr">
        <is>
          <t>FLORENCIO FERNANDEZ 6033</t>
        </is>
      </c>
      <c r="C160" s="239" t="n"/>
      <c r="D160" s="239" t="n"/>
      <c r="E160" s="239" t="n">
        <v>1</v>
      </c>
      <c r="F160" s="240" t="n"/>
      <c r="G160" s="240" t="n"/>
      <c r="H160" s="241" t="n">
        <v>75000</v>
      </c>
      <c r="I160" s="242" t="n">
        <v>75000</v>
      </c>
      <c r="J160" s="242" t="n"/>
      <c r="K160" s="233" t="n"/>
      <c r="L160" s="233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27" t="n"/>
      <c r="B161" s="228" t="inlineStr">
        <is>
          <t>SANDRA</t>
        </is>
      </c>
      <c r="C161" s="229" t="n">
        <v>2</v>
      </c>
      <c r="D161" s="229" t="n"/>
      <c r="E161" s="229" t="n"/>
      <c r="F161" s="230" t="n"/>
      <c r="G161" s="230" t="n"/>
      <c r="H161" s="231" t="n">
        <v>29000</v>
      </c>
      <c r="I161" s="232" t="n">
        <v>29000</v>
      </c>
      <c r="J161" s="232" t="n"/>
      <c r="K161" s="233" t="n"/>
      <c r="L161" s="233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37" t="n"/>
      <c r="B162" s="238" t="inlineStr">
        <is>
          <t>LAVADERO</t>
        </is>
      </c>
      <c r="C162" s="239" t="n">
        <v>1</v>
      </c>
      <c r="D162" s="239" t="n"/>
      <c r="E162" s="239" t="n"/>
      <c r="F162" s="240" t="n"/>
      <c r="G162" s="240" t="n"/>
      <c r="H162" s="241" t="n">
        <v>14500</v>
      </c>
      <c r="I162" s="242" t="n"/>
      <c r="J162" s="242" t="n">
        <v>14500</v>
      </c>
      <c r="K162" s="233" t="n"/>
      <c r="L162" s="233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27" t="n"/>
      <c r="B163" s="228" t="inlineStr">
        <is>
          <t>PANA VIEYTES 4500</t>
        </is>
      </c>
      <c r="C163" s="229" t="n"/>
      <c r="D163" s="229" t="n"/>
      <c r="E163" s="229" t="n">
        <v>1</v>
      </c>
      <c r="F163" s="230" t="n"/>
      <c r="G163" s="230" t="n"/>
      <c r="H163" s="231" t="n">
        <v>66000</v>
      </c>
      <c r="I163" s="232" t="n">
        <v>66000</v>
      </c>
      <c r="J163" s="232" t="n"/>
      <c r="K163" s="233" t="n"/>
      <c r="L163" s="233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37" t="n"/>
      <c r="B164" s="238" t="inlineStr">
        <is>
          <t>EXE</t>
        </is>
      </c>
      <c r="C164" s="239" t="n"/>
      <c r="D164" s="239" t="n"/>
      <c r="E164" s="239" t="n">
        <v>1</v>
      </c>
      <c r="F164" s="240" t="n"/>
      <c r="G164" s="240" t="n"/>
      <c r="H164" s="241" t="n">
        <v>69000</v>
      </c>
      <c r="I164" s="242" t="n"/>
      <c r="J164" s="242" t="n">
        <v>69000</v>
      </c>
      <c r="K164" s="233" t="n"/>
      <c r="L164" s="233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27" t="n">
        <v>46042</v>
      </c>
      <c r="B165" s="228" t="inlineStr">
        <is>
          <t>BAIGORRIA 9350</t>
        </is>
      </c>
      <c r="C165" s="229" t="n"/>
      <c r="D165" s="229" t="n"/>
      <c r="E165" s="229" t="n">
        <v>1</v>
      </c>
      <c r="F165" s="230" t="n"/>
      <c r="G165" s="230" t="n"/>
      <c r="H165" s="231" t="n">
        <v>77000</v>
      </c>
      <c r="I165" s="232" t="n"/>
      <c r="J165" s="232" t="n">
        <v>77000</v>
      </c>
      <c r="K165" s="233" t="n"/>
      <c r="L165" s="233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37" t="n"/>
      <c r="B166" s="238" t="inlineStr">
        <is>
          <t>SANDRA</t>
        </is>
      </c>
      <c r="C166" s="239" t="n"/>
      <c r="D166" s="239" t="n"/>
      <c r="E166" s="239" t="n"/>
      <c r="F166" s="240" t="n"/>
      <c r="G166" s="240" t="n">
        <v>1</v>
      </c>
      <c r="H166" s="241" t="n">
        <v>4000</v>
      </c>
      <c r="I166" s="242" t="n"/>
      <c r="J166" s="242" t="n"/>
      <c r="K166" s="233" t="n"/>
      <c r="L166" s="233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27" t="n"/>
      <c r="B167" s="228" t="inlineStr">
        <is>
          <t>PAVON 2124</t>
        </is>
      </c>
      <c r="C167" s="229" t="n"/>
      <c r="D167" s="229" t="n">
        <v>1</v>
      </c>
      <c r="E167" s="229" t="n"/>
      <c r="F167" s="230" t="n"/>
      <c r="G167" s="230" t="n"/>
      <c r="H167" s="231" t="n">
        <v>33000</v>
      </c>
      <c r="I167" s="232" t="n">
        <v>33000</v>
      </c>
      <c r="J167" s="232" t="n"/>
      <c r="K167" s="233" t="n"/>
      <c r="L167" s="233">
        <f>IF(K167&lt;&gt;"",17250+K167,17250)</f>
        <v/>
      </c>
      <c r="M167" s="156" t="n"/>
      <c r="N167" s="156" t="n"/>
      <c r="O167" s="156" t="n"/>
    </row>
    <row r="168" ht="18.75" customHeight="1" s="153">
      <c r="A168" s="237" t="n"/>
      <c r="B168" s="238" t="inlineStr">
        <is>
          <t>FILOMENA</t>
        </is>
      </c>
      <c r="C168" s="239" t="n">
        <v>2</v>
      </c>
      <c r="D168" s="239" t="n"/>
      <c r="E168" s="239" t="n"/>
      <c r="F168" s="240" t="n"/>
      <c r="G168" s="240" t="n"/>
      <c r="H168" s="241" t="n">
        <v>36000</v>
      </c>
      <c r="I168" s="242" t="n">
        <v>36000</v>
      </c>
      <c r="J168" s="242" t="n"/>
      <c r="K168" s="233" t="n"/>
      <c r="L168" s="233">
        <f>IF(K168&lt;&gt;"",15000+K168,15000)</f>
        <v/>
      </c>
      <c r="M168" s="156" t="n"/>
      <c r="N168" s="156" t="n"/>
      <c r="O168" s="156" t="n"/>
    </row>
    <row r="169" ht="18.75" customHeight="1" s="153">
      <c r="A169" s="227" t="n"/>
      <c r="B169" s="228" t="inlineStr">
        <is>
          <t>PANA ALBERTI</t>
        </is>
      </c>
      <c r="C169" s="229" t="n"/>
      <c r="D169" s="229" t="n"/>
      <c r="E169" s="229" t="n">
        <v>1</v>
      </c>
      <c r="F169" s="230" t="n"/>
      <c r="G169" s="230" t="n"/>
      <c r="H169" s="231" t="n">
        <v>71000</v>
      </c>
      <c r="I169" s="232" t="n">
        <v>71000</v>
      </c>
      <c r="J169" s="232" t="n"/>
      <c r="K169" s="233" t="n"/>
      <c r="L169" s="233">
        <f>IF(K169&lt;&gt;"",24000+K169,24000)</f>
        <v/>
      </c>
      <c r="M169" s="156" t="n"/>
      <c r="N169" s="156" t="n"/>
      <c r="O169" s="156" t="n"/>
    </row>
    <row r="170" ht="18.75" customHeight="1" s="153">
      <c r="A170" s="237" t="n"/>
      <c r="B170" s="238" t="inlineStr">
        <is>
          <t>MISIONES 5281</t>
        </is>
      </c>
      <c r="C170" s="239" t="n"/>
      <c r="D170" s="239" t="n"/>
      <c r="E170" s="239" t="n">
        <v>1</v>
      </c>
      <c r="F170" s="240" t="n"/>
      <c r="G170" s="240" t="n"/>
      <c r="H170" s="241" t="n">
        <v>77000</v>
      </c>
      <c r="I170" s="242" t="n"/>
      <c r="J170" s="242" t="n">
        <v>77000</v>
      </c>
      <c r="K170" s="233" t="n"/>
      <c r="L170" s="233">
        <f>IF(K170&lt;&gt;"",30000+K170,30000)</f>
        <v/>
      </c>
      <c r="M170" s="156" t="n"/>
      <c r="N170" s="156" t="n"/>
      <c r="O170" s="156" t="n"/>
    </row>
    <row r="171" ht="18.75" customHeight="1" s="153">
      <c r="A171" s="227" t="n"/>
      <c r="B171" s="228" t="inlineStr">
        <is>
          <t>B IRIGOYEN 6634</t>
        </is>
      </c>
      <c r="C171" s="229" t="n">
        <v>1</v>
      </c>
      <c r="D171" s="229" t="n"/>
      <c r="E171" s="229" t="n"/>
      <c r="F171" s="230" t="n"/>
      <c r="G171" s="230" t="n"/>
      <c r="H171" s="231" t="n">
        <v>21000</v>
      </c>
      <c r="I171" s="232" t="n">
        <v>21000</v>
      </c>
      <c r="J171" s="232" t="n"/>
      <c r="K171" s="233" t="n"/>
      <c r="L171" s="233">
        <f>IF(K171&lt;&gt;"",10500+K171,10500)</f>
        <v/>
      </c>
      <c r="M171" s="156" t="n"/>
      <c r="N171" s="156" t="n"/>
      <c r="O171" s="156" t="n"/>
    </row>
    <row r="172" ht="18.75" customHeight="1" s="153">
      <c r="A172" s="237" t="n"/>
      <c r="B172" s="238" t="inlineStr">
        <is>
          <t>JAVIER DE LA ROSA 2480</t>
        </is>
      </c>
      <c r="C172" s="239" t="n">
        <v>1</v>
      </c>
      <c r="D172" s="239" t="n"/>
      <c r="E172" s="239" t="n"/>
      <c r="F172" s="240" t="n"/>
      <c r="G172" s="240" t="n"/>
      <c r="H172" s="241" t="n">
        <v>21000</v>
      </c>
      <c r="I172" s="242" t="n"/>
      <c r="J172" s="242" t="n">
        <v>21000</v>
      </c>
      <c r="K172" s="233" t="n"/>
      <c r="L172" s="233">
        <f>IF(K172&lt;&gt;"",10500+K172,10500)</f>
        <v/>
      </c>
      <c r="M172" s="156" t="n"/>
      <c r="N172" s="156" t="n"/>
      <c r="O172" s="156" t="n"/>
    </row>
    <row r="173" ht="18.75" customHeight="1" s="153">
      <c r="A173" s="227" t="n"/>
      <c r="B173" s="228" t="inlineStr">
        <is>
          <t>LUCHO</t>
        </is>
      </c>
      <c r="C173" s="229" t="n">
        <v>2</v>
      </c>
      <c r="D173" s="229" t="n"/>
      <c r="E173" s="229" t="n"/>
      <c r="F173" s="230" t="n"/>
      <c r="G173" s="230" t="n"/>
      <c r="H173" s="231" t="n">
        <v>29000</v>
      </c>
      <c r="I173" s="232" t="n">
        <v>29000</v>
      </c>
      <c r="J173" s="232" t="n"/>
      <c r="K173" s="233" t="n"/>
      <c r="L173" s="233">
        <f>IF(K173&lt;&gt;"",8000+K173,8000)</f>
        <v/>
      </c>
      <c r="M173" s="156" t="n"/>
      <c r="N173" s="156" t="n"/>
      <c r="O173" s="156" t="n"/>
    </row>
    <row r="174" ht="18.75" customHeight="1" s="153">
      <c r="A174" s="237" t="n"/>
      <c r="B174" s="238" t="inlineStr">
        <is>
          <t>AZCUENAGA 5023</t>
        </is>
      </c>
      <c r="C174" s="239" t="n">
        <v>5</v>
      </c>
      <c r="D174" s="239" t="n"/>
      <c r="E174" s="239" t="n"/>
      <c r="F174" s="240" t="n"/>
      <c r="G174" s="240" t="n"/>
      <c r="H174" s="241" t="n">
        <v>72500</v>
      </c>
      <c r="I174" s="242" t="n"/>
      <c r="J174" s="242" t="n">
        <v>72500</v>
      </c>
      <c r="K174" s="233" t="n"/>
      <c r="L174" s="233">
        <f>IF(K174&lt;&gt;"",20000+K174,20000)</f>
        <v/>
      </c>
      <c r="M174" s="156" t="n"/>
      <c r="N174" s="156" t="n"/>
      <c r="O174" s="156" t="n"/>
    </row>
    <row r="175" ht="18.75" customHeight="1" s="153">
      <c r="A175" s="227" t="n"/>
      <c r="B175" s="228" t="inlineStr">
        <is>
          <t>PANA VIEYTES GISELA</t>
        </is>
      </c>
      <c r="C175" s="229" t="n">
        <v>1</v>
      </c>
      <c r="D175" s="229" t="n"/>
      <c r="E175" s="229" t="n"/>
      <c r="F175" s="230" t="n"/>
      <c r="G175" s="230" t="n"/>
      <c r="H175" s="231" t="n">
        <v>17500</v>
      </c>
      <c r="I175" s="232" t="n"/>
      <c r="J175" s="232" t="n">
        <v>17500</v>
      </c>
      <c r="K175" s="233" t="n"/>
      <c r="L175" s="233">
        <f>IF(K175&lt;&gt;"",7000+K175,7000)</f>
        <v/>
      </c>
      <c r="M175" s="156" t="n"/>
      <c r="N175" s="156" t="n"/>
      <c r="O175" s="156" t="n"/>
    </row>
    <row r="176" ht="18.75" customHeight="1" s="153">
      <c r="A176" s="237" t="n"/>
      <c r="B176" s="238" t="inlineStr">
        <is>
          <t>9 DE JULIO 1144 BAR</t>
        </is>
      </c>
      <c r="C176" s="239" t="n"/>
      <c r="D176" s="239" t="n"/>
      <c r="E176" s="239" t="n">
        <v>2</v>
      </c>
      <c r="F176" s="240" t="n"/>
      <c r="G176" s="240" t="n"/>
      <c r="H176" s="241" t="n">
        <v>152000</v>
      </c>
      <c r="I176" s="242" t="n"/>
      <c r="J176" s="242" t="n">
        <v>152000</v>
      </c>
      <c r="K176" s="233" t="n"/>
      <c r="L176" s="233">
        <f>IF(K176&lt;&gt;"",58000+K176,58000)</f>
        <v/>
      </c>
      <c r="M176" s="156" t="n"/>
      <c r="N176" s="156" t="n"/>
      <c r="O176" s="156" t="n"/>
    </row>
    <row r="177" ht="18.75" customHeight="1" s="153">
      <c r="A177" s="227" t="n"/>
      <c r="B177" s="228" t="inlineStr">
        <is>
          <t>ALBERTI 4930</t>
        </is>
      </c>
      <c r="C177" s="229" t="n"/>
      <c r="D177" s="229" t="n"/>
      <c r="E177" s="229" t="n"/>
      <c r="F177" s="230" t="n"/>
      <c r="G177" s="230" t="n">
        <v>1</v>
      </c>
      <c r="H177" s="231" t="n">
        <v>5000</v>
      </c>
      <c r="I177" s="232" t="n"/>
      <c r="J177" s="232" t="n"/>
      <c r="K177" s="233" t="n"/>
      <c r="L177" s="233">
        <f>IF(K177&lt;&gt;"",4200+K177,4200)</f>
        <v/>
      </c>
      <c r="M177" s="156" t="n"/>
      <c r="N177" s="156" t="n"/>
      <c r="O177" s="156" t="n"/>
    </row>
    <row r="178" ht="18.75" customHeight="1" s="153">
      <c r="A178" s="237" t="n"/>
      <c r="B178" s="238" t="inlineStr">
        <is>
          <t>RICARDO ALDAO 2427</t>
        </is>
      </c>
      <c r="C178" s="239" t="n"/>
      <c r="D178" s="239" t="n"/>
      <c r="E178" s="239" t="n"/>
      <c r="F178" s="240" t="n"/>
      <c r="G178" s="240" t="n">
        <v>2</v>
      </c>
      <c r="H178" s="241" t="n">
        <v>11600</v>
      </c>
      <c r="I178" s="242" t="n"/>
      <c r="J178" s="242" t="n"/>
      <c r="K178" s="233" t="n"/>
      <c r="L178" s="233">
        <f>IF(K178&lt;&gt;"",10000+K178,10000)</f>
        <v/>
      </c>
      <c r="M178" s="156" t="n"/>
      <c r="N178" s="156" t="n"/>
      <c r="O178" s="156" t="n"/>
    </row>
    <row r="179" ht="18.75" customHeight="1" s="153">
      <c r="A179" s="227" t="n">
        <v>46043</v>
      </c>
      <c r="B179" s="228" t="inlineStr">
        <is>
          <t>GENERAL PAZ 7826</t>
        </is>
      </c>
      <c r="C179" s="229" t="n">
        <v>1</v>
      </c>
      <c r="D179" s="229" t="n"/>
      <c r="E179" s="229" t="n"/>
      <c r="F179" s="230" t="n"/>
      <c r="G179" s="230" t="n"/>
      <c r="H179" s="231" t="n">
        <v>22000</v>
      </c>
      <c r="I179" s="232" t="n">
        <v>22000</v>
      </c>
      <c r="J179" s="232" t="n"/>
      <c r="K179" s="233" t="n"/>
      <c r="L179" s="233">
        <f>IF(K179&lt;&gt;"",11500+K179,11500)</f>
        <v/>
      </c>
      <c r="M179" s="156" t="n"/>
      <c r="N179" s="156" t="n"/>
      <c r="O179" s="156" t="n"/>
    </row>
    <row r="180" ht="18.75" customHeight="1" s="153">
      <c r="A180" s="237" t="n"/>
      <c r="B180" s="238" t="inlineStr">
        <is>
          <t>RIO NEGRO 6558</t>
        </is>
      </c>
      <c r="C180" s="239" t="n"/>
      <c r="D180" s="239" t="n"/>
      <c r="E180" s="239" t="n">
        <v>1</v>
      </c>
      <c r="F180" s="240" t="n"/>
      <c r="G180" s="240" t="n"/>
      <c r="H180" s="241" t="n">
        <v>270000</v>
      </c>
      <c r="I180" s="242" t="n">
        <v>270000</v>
      </c>
      <c r="J180" s="242" t="n"/>
      <c r="K180" s="233" t="n"/>
      <c r="L180" s="233">
        <f>IF(K180&lt;&gt;"",223000+K180,223000)</f>
        <v/>
      </c>
      <c r="M180" s="156" t="n"/>
      <c r="N180" s="156" t="n"/>
      <c r="O180" s="156" t="n"/>
    </row>
    <row r="181" ht="18.75" customHeight="1" s="153">
      <c r="A181" s="227" t="n"/>
      <c r="B181" s="228" t="inlineStr">
        <is>
          <t>ANGEL</t>
        </is>
      </c>
      <c r="C181" s="229" t="n">
        <v>1</v>
      </c>
      <c r="D181" s="229" t="n"/>
      <c r="E181" s="229" t="n"/>
      <c r="F181" s="230" t="n"/>
      <c r="G181" s="230" t="n"/>
      <c r="H181" s="231" t="n">
        <v>13000</v>
      </c>
      <c r="I181" s="232" t="n">
        <v>13000</v>
      </c>
      <c r="J181" s="232" t="n"/>
      <c r="K181" s="233" t="n"/>
      <c r="L181" s="233">
        <f>IF(K181&lt;&gt;"",2500+K181,2500)</f>
        <v/>
      </c>
      <c r="M181" s="156" t="n"/>
      <c r="N181" s="156" t="n"/>
      <c r="O181" s="156" t="n"/>
    </row>
    <row r="182" ht="18.75" customHeight="1" s="153">
      <c r="A182" s="237" t="n"/>
      <c r="B182" s="238" t="inlineStr">
        <is>
          <t>PANA GORRITI 4600</t>
        </is>
      </c>
      <c r="C182" s="239" t="n"/>
      <c r="D182" s="239" t="n"/>
      <c r="E182" s="239" t="n">
        <v>1</v>
      </c>
      <c r="F182" s="240" t="n"/>
      <c r="G182" s="240" t="n"/>
      <c r="H182" s="241" t="n">
        <v>72000</v>
      </c>
      <c r="I182" s="242" t="n">
        <v>72000</v>
      </c>
      <c r="J182" s="242" t="n"/>
      <c r="K182" s="233" t="n"/>
      <c r="L182" s="233">
        <f>IF(K182&lt;&gt;"",25000+K182,25000)</f>
        <v/>
      </c>
      <c r="M182" s="156" t="n"/>
      <c r="N182" s="156" t="n"/>
      <c r="O182" s="156" t="n"/>
    </row>
    <row r="183" ht="18.75" customHeight="1" s="153">
      <c r="A183" s="227" t="n"/>
      <c r="B183" s="228" t="inlineStr">
        <is>
          <t>SABORERARTE</t>
        </is>
      </c>
      <c r="C183" s="229" t="n">
        <v>1</v>
      </c>
      <c r="D183" s="229" t="n"/>
      <c r="E183" s="229" t="n"/>
      <c r="F183" s="230" t="n"/>
      <c r="G183" s="230" t="n"/>
      <c r="H183" s="231" t="n">
        <v>18000</v>
      </c>
      <c r="I183" s="232" t="n"/>
      <c r="J183" s="232" t="n">
        <v>18000</v>
      </c>
      <c r="K183" s="233" t="n"/>
      <c r="L183" s="233">
        <f>IF(K183&lt;&gt;"",7500+K183,7500)</f>
        <v/>
      </c>
      <c r="M183" s="156" t="n"/>
      <c r="N183" s="156" t="n"/>
      <c r="O183" s="156" t="n"/>
    </row>
    <row r="184" ht="18.75" customHeight="1" s="153">
      <c r="A184" s="237" t="n"/>
      <c r="B184" s="238" t="inlineStr">
        <is>
          <t>BLAS PARERA 5224</t>
        </is>
      </c>
      <c r="C184" s="239" t="n"/>
      <c r="D184" s="239" t="n"/>
      <c r="E184" s="239" t="n">
        <v>1</v>
      </c>
      <c r="F184" s="240" t="n"/>
      <c r="G184" s="240" t="n"/>
      <c r="H184" s="241" t="n">
        <v>73500</v>
      </c>
      <c r="I184" s="242" t="n"/>
      <c r="J184" s="242" t="n">
        <v>73500</v>
      </c>
      <c r="K184" s="233" t="n"/>
      <c r="L184" s="233">
        <f>IF(K184&lt;&gt;"",26500+K184,26500)</f>
        <v/>
      </c>
      <c r="M184" s="156" t="n"/>
      <c r="N184" s="156" t="n"/>
      <c r="O184" s="156" t="n"/>
    </row>
    <row r="185" ht="18.75" customHeight="1" s="153">
      <c r="A185" s="227" t="n"/>
      <c r="B185" s="228" t="inlineStr">
        <is>
          <t xml:space="preserve">FILOMENA </t>
        </is>
      </c>
      <c r="C185" s="229" t="n">
        <v>2</v>
      </c>
      <c r="D185" s="229" t="n"/>
      <c r="E185" s="229" t="n"/>
      <c r="F185" s="230" t="n"/>
      <c r="G185" s="230" t="n"/>
      <c r="H185" s="231" t="n">
        <v>36000</v>
      </c>
      <c r="I185" s="232" t="n"/>
      <c r="J185" s="232" t="n">
        <v>36000</v>
      </c>
      <c r="K185" s="233" t="n"/>
      <c r="L185" s="233">
        <f>IF(K185&lt;&gt;"",15000+K185,15000)</f>
        <v/>
      </c>
      <c r="M185" s="156" t="n"/>
      <c r="N185" s="156" t="n"/>
      <c r="O185" s="156" t="n"/>
    </row>
    <row r="186" ht="18.75" customHeight="1" s="153">
      <c r="A186" s="237" t="n"/>
      <c r="B186" s="238" t="inlineStr">
        <is>
          <t>SEGUI 1680</t>
        </is>
      </c>
      <c r="C186" s="239" t="n">
        <v>1</v>
      </c>
      <c r="D186" s="239" t="n"/>
      <c r="E186" s="239" t="n"/>
      <c r="F186" s="240" t="n"/>
      <c r="G186" s="240" t="n"/>
      <c r="H186" s="241" t="n">
        <v>21000</v>
      </c>
      <c r="I186" s="242" t="n">
        <v>21000</v>
      </c>
      <c r="J186" s="242" t="n"/>
      <c r="K186" s="233" t="n"/>
      <c r="L186" s="233">
        <f>IF(K186&lt;&gt;"",10500+K186,10500)</f>
        <v/>
      </c>
      <c r="M186" s="156" t="n"/>
      <c r="N186" s="156" t="n"/>
      <c r="O186" s="156" t="n"/>
    </row>
    <row r="187" ht="18.75" customHeight="1" s="153">
      <c r="A187" s="227" t="n"/>
      <c r="B187" s="228" t="inlineStr">
        <is>
          <t>LOLI</t>
        </is>
      </c>
      <c r="C187" s="229" t="n"/>
      <c r="D187" s="229" t="n"/>
      <c r="E187" s="229" t="n"/>
      <c r="F187" s="230" t="n">
        <v>6</v>
      </c>
      <c r="G187" s="230" t="n"/>
      <c r="H187" s="231" t="n">
        <v>21000</v>
      </c>
      <c r="I187" s="232" t="n">
        <v>21000</v>
      </c>
      <c r="J187" s="232" t="n"/>
      <c r="K187" s="233" t="n"/>
      <c r="L187" s="233">
        <f>IF(K187&lt;&gt;"",7050+K187,7050)</f>
        <v/>
      </c>
      <c r="M187" s="156" t="n"/>
      <c r="N187" s="156" t="n"/>
      <c r="O187" s="156" t="n"/>
    </row>
    <row r="188" ht="18.75" customHeight="1" s="153">
      <c r="A188" s="237" t="n"/>
      <c r="B188" s="238" t="inlineStr">
        <is>
          <t>PANA BERUTI 6400</t>
        </is>
      </c>
      <c r="C188" s="239" t="n"/>
      <c r="D188" s="239" t="n"/>
      <c r="E188" s="239" t="n">
        <v>1</v>
      </c>
      <c r="F188" s="240" t="n"/>
      <c r="G188" s="240" t="n"/>
      <c r="H188" s="241" t="n">
        <v>65000</v>
      </c>
      <c r="I188" s="242" t="n">
        <v>65000</v>
      </c>
      <c r="J188" s="242" t="n"/>
      <c r="K188" s="233" t="n"/>
      <c r="L188" s="233">
        <f>IF(K188&lt;&gt;"",18000+K188,18000)</f>
        <v/>
      </c>
      <c r="M188" s="156" t="n"/>
      <c r="N188" s="156" t="n"/>
      <c r="O188" s="156" t="n"/>
    </row>
    <row r="189" ht="18.75" customHeight="1" s="153">
      <c r="A189" s="227" t="n">
        <v>46044</v>
      </c>
      <c r="B189" s="228" t="inlineStr">
        <is>
          <t>HERNANDARIAS 5211</t>
        </is>
      </c>
      <c r="C189" s="229" t="n"/>
      <c r="D189" s="229" t="n">
        <v>1</v>
      </c>
      <c r="E189" s="229" t="n"/>
      <c r="F189" s="230" t="n"/>
      <c r="G189" s="230" t="n"/>
      <c r="H189" s="231" t="n">
        <v>36000</v>
      </c>
      <c r="I189" s="232" t="n"/>
      <c r="J189" s="232" t="n">
        <v>36000</v>
      </c>
      <c r="K189" s="233" t="n"/>
      <c r="L189" s="233">
        <f>IF(K189&lt;&gt;"",20250+K189,20250)</f>
        <v/>
      </c>
      <c r="M189" s="156" t="n"/>
      <c r="N189" s="156" t="n"/>
      <c r="O189" s="156" t="n"/>
    </row>
    <row r="190" ht="18.75" customHeight="1" s="153">
      <c r="A190" s="237" t="n"/>
      <c r="B190" s="238" t="inlineStr">
        <is>
          <t>OTNIEL</t>
        </is>
      </c>
      <c r="C190" s="239" t="n"/>
      <c r="D190" s="239" t="n">
        <v>1</v>
      </c>
      <c r="E190" s="239" t="n"/>
      <c r="F190" s="240" t="n"/>
      <c r="G190" s="240" t="n">
        <v>1</v>
      </c>
      <c r="H190" s="241" t="n">
        <v>33500</v>
      </c>
      <c r="I190" s="242" t="n"/>
      <c r="J190" s="242" t="n">
        <v>33500</v>
      </c>
      <c r="K190" s="233" t="n"/>
      <c r="L190" s="233">
        <f>IF(K190&lt;&gt;"",16950+K190,16950)</f>
        <v/>
      </c>
      <c r="M190" s="156" t="n"/>
      <c r="N190" s="156" t="n"/>
      <c r="O190" s="156" t="n"/>
    </row>
    <row r="191" ht="18.75" customHeight="1" s="153">
      <c r="A191" s="227" t="n"/>
      <c r="B191" s="228" t="inlineStr">
        <is>
          <t>AGUADO 6970</t>
        </is>
      </c>
      <c r="C191" s="229" t="n">
        <v>1</v>
      </c>
      <c r="D191" s="229" t="n"/>
      <c r="E191" s="229" t="n"/>
      <c r="F191" s="230" t="n"/>
      <c r="G191" s="230" t="n"/>
      <c r="H191" s="231" t="n">
        <v>21000</v>
      </c>
      <c r="I191" s="232" t="n">
        <v>21000</v>
      </c>
      <c r="J191" s="232" t="n"/>
      <c r="K191" s="233" t="n"/>
      <c r="L191" s="233">
        <f>IF(K191&lt;&gt;"",10500+K191,10500)</f>
        <v/>
      </c>
      <c r="M191" s="156" t="n"/>
      <c r="N191" s="156" t="n"/>
      <c r="O191" s="156" t="n"/>
    </row>
    <row r="192" ht="18.75" customHeight="1" s="153">
      <c r="A192" s="237" t="n"/>
      <c r="B192" s="238" t="inlineStr">
        <is>
          <t>SABOREAR</t>
        </is>
      </c>
      <c r="C192" s="239" t="n"/>
      <c r="D192" s="239" t="n">
        <v>1</v>
      </c>
      <c r="E192" s="239" t="n">
        <v>1</v>
      </c>
      <c r="F192" s="240" t="n"/>
      <c r="G192" s="240" t="n"/>
      <c r="H192" s="241" t="n">
        <v>97000</v>
      </c>
      <c r="I192" s="242" t="n"/>
      <c r="J192" s="242" t="n">
        <v>97000</v>
      </c>
      <c r="K192" s="233" t="n"/>
      <c r="L192" s="233">
        <f>IF(K192&lt;&gt;"",34250+K192,34250)</f>
        <v/>
      </c>
      <c r="M192" s="156" t="n"/>
      <c r="N192" s="156" t="n"/>
      <c r="O192" s="156" t="n"/>
    </row>
    <row r="193" ht="18.75" customHeight="1" s="153">
      <c r="A193" s="227" t="n"/>
      <c r="B193" s="228" t="inlineStr">
        <is>
          <t>CAREN</t>
        </is>
      </c>
      <c r="C193" s="229" t="n"/>
      <c r="D193" s="229" t="n"/>
      <c r="E193" s="229" t="n">
        <v>1</v>
      </c>
      <c r="F193" s="230" t="n"/>
      <c r="G193" s="230" t="n"/>
      <c r="H193" s="231" t="n">
        <v>69000</v>
      </c>
      <c r="I193" s="232" t="n"/>
      <c r="J193" s="232" t="n">
        <v>69000</v>
      </c>
      <c r="K193" s="233" t="n"/>
      <c r="L193" s="233">
        <f>IF(K193&lt;&gt;"",22000+K193,22000)</f>
        <v/>
      </c>
      <c r="M193" s="156" t="n"/>
      <c r="N193" s="156" t="n"/>
      <c r="O193" s="156" t="n"/>
    </row>
    <row r="194" ht="18.75" customHeight="1" s="153">
      <c r="A194" s="237" t="n"/>
      <c r="B194" s="238" t="inlineStr">
        <is>
          <t>BEATRIZ</t>
        </is>
      </c>
      <c r="C194" s="239" t="n"/>
      <c r="D194" s="239" t="n"/>
      <c r="E194" s="239" t="n"/>
      <c r="F194" s="240" t="n"/>
      <c r="G194" s="240" t="n">
        <v>1</v>
      </c>
      <c r="H194" s="241" t="n">
        <v>5000</v>
      </c>
      <c r="I194" s="242" t="n">
        <v>5000</v>
      </c>
      <c r="J194" s="242" t="n"/>
      <c r="K194" s="233" t="n"/>
      <c r="L194" s="233">
        <f>IF(K194&lt;&gt;"",4200+K194,4200)</f>
        <v/>
      </c>
      <c r="M194" s="156" t="n"/>
      <c r="N194" s="156" t="n"/>
      <c r="O194" s="156" t="n"/>
    </row>
    <row r="195" ht="18.75" customHeight="1" s="153">
      <c r="A195" s="227" t="n">
        <v>46045</v>
      </c>
      <c r="B195" s="228" t="inlineStr">
        <is>
          <t>ALELIES 10358</t>
        </is>
      </c>
      <c r="C195" s="229" t="n"/>
      <c r="D195" s="229" t="n"/>
      <c r="E195" s="229" t="n">
        <v>1</v>
      </c>
      <c r="F195" s="230" t="n"/>
      <c r="G195" s="230" t="n"/>
      <c r="H195" s="231" t="n">
        <v>73000</v>
      </c>
      <c r="I195" s="232" t="n">
        <v>73000</v>
      </c>
      <c r="J195" s="232" t="n"/>
      <c r="K195" s="233" t="n"/>
      <c r="L195" s="233">
        <f>IF(K195&lt;&gt;"",26000+K195,26000)</f>
        <v/>
      </c>
      <c r="M195" s="156" t="n"/>
      <c r="N195" s="156" t="n"/>
      <c r="O195" s="156" t="n"/>
    </row>
    <row r="196" ht="18.75" customHeight="1" s="153">
      <c r="A196" s="237" t="n"/>
      <c r="B196" s="238" t="inlineStr">
        <is>
          <t>MACHUCA RAMONA1</t>
        </is>
      </c>
      <c r="C196" s="239" t="n"/>
      <c r="D196" s="239" t="n"/>
      <c r="E196" s="239" t="n">
        <v>1</v>
      </c>
      <c r="F196" s="240" t="n"/>
      <c r="G196" s="240" t="n"/>
      <c r="H196" s="241" t="n">
        <v>75000</v>
      </c>
      <c r="I196" s="242" t="n">
        <v>75000</v>
      </c>
      <c r="J196" s="242" t="n"/>
      <c r="K196" s="233" t="n"/>
      <c r="L196" s="233">
        <f>IF(K196&lt;&gt;"",28000+K196,28000)</f>
        <v/>
      </c>
      <c r="M196" s="156" t="n"/>
      <c r="N196" s="156" t="n"/>
      <c r="O196" s="156" t="n"/>
    </row>
    <row r="197" ht="18.75" customHeight="1" s="153">
      <c r="A197" s="227" t="n"/>
      <c r="B197" s="228" t="inlineStr">
        <is>
          <t>PANA GENESIO</t>
        </is>
      </c>
      <c r="C197" s="229" t="n"/>
      <c r="D197" s="229" t="n"/>
      <c r="E197" s="229" t="n">
        <v>1</v>
      </c>
      <c r="F197" s="230" t="n"/>
      <c r="G197" s="230" t="n"/>
      <c r="H197" s="231" t="n">
        <v>69000</v>
      </c>
      <c r="I197" s="232" t="n">
        <v>69000</v>
      </c>
      <c r="J197" s="232" t="n"/>
      <c r="K197" s="233" t="n"/>
      <c r="L197" s="233">
        <f>IF(K197&lt;&gt;"",22000+K197,22000)</f>
        <v/>
      </c>
      <c r="M197" s="156" t="n"/>
      <c r="N197" s="156" t="n"/>
      <c r="O197" s="156" t="n"/>
    </row>
    <row r="198" ht="18.75" customHeight="1" s="153">
      <c r="A198" s="237" t="n"/>
      <c r="B198" s="238" t="inlineStr">
        <is>
          <t>INGENIEROS 5501</t>
        </is>
      </c>
      <c r="C198" s="239" t="n">
        <v>1</v>
      </c>
      <c r="D198" s="239" t="n"/>
      <c r="E198" s="239" t="n"/>
      <c r="F198" s="240" t="n"/>
      <c r="G198" s="240" t="n"/>
      <c r="H198" s="241" t="n">
        <v>22000</v>
      </c>
      <c r="I198" s="242" t="n">
        <v>22000</v>
      </c>
      <c r="J198" s="242" t="n"/>
      <c r="K198" s="233" t="n"/>
      <c r="L198" s="233">
        <f>IF(K198&lt;&gt;"",11500+K198,11500)</f>
        <v/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 xml:space="preserve">FILOMENA </t>
        </is>
      </c>
      <c r="C199" s="229" t="n">
        <v>1</v>
      </c>
      <c r="D199" s="229" t="n"/>
      <c r="E199" s="229" t="n"/>
      <c r="F199" s="230" t="n"/>
      <c r="G199" s="230" t="n"/>
      <c r="H199" s="231" t="n">
        <v>18000</v>
      </c>
      <c r="I199" s="232" t="n">
        <v>18000</v>
      </c>
      <c r="J199" s="232" t="n"/>
      <c r="K199" s="233" t="n"/>
      <c r="L199" s="233">
        <f>IF(K199&lt;&gt;"",7500+K199,7500)</f>
        <v/>
      </c>
      <c r="M199" s="156" t="n"/>
      <c r="N199" s="156" t="n"/>
      <c r="O199" s="156" t="n"/>
    </row>
    <row r="200" ht="18.75" customHeight="1" s="153">
      <c r="A200" s="237" t="n"/>
      <c r="B200" s="238" t="inlineStr">
        <is>
          <t>SEGUI 1680</t>
        </is>
      </c>
      <c r="C200" s="239" t="n"/>
      <c r="D200" s="239" t="n">
        <v>1</v>
      </c>
      <c r="E200" s="239" t="n"/>
      <c r="F200" s="240" t="n"/>
      <c r="G200" s="240" t="n"/>
      <c r="H200" s="241" t="n">
        <v>33000</v>
      </c>
      <c r="I200" s="242" t="n">
        <v>33000</v>
      </c>
      <c r="J200" s="242" t="n"/>
      <c r="K200" s="233" t="n"/>
      <c r="L200" s="233">
        <f>IF(K200&lt;&gt;"",17250+K200,17250)</f>
        <v/>
      </c>
      <c r="M200" s="156" t="n"/>
      <c r="N200" s="156" t="n"/>
      <c r="O200" s="156" t="n"/>
    </row>
    <row r="201" ht="18.75" customHeight="1" s="153">
      <c r="A201" s="227" t="n"/>
      <c r="B201" s="228" t="inlineStr">
        <is>
          <t>ALFEREZ MOREIRA 1845</t>
        </is>
      </c>
      <c r="C201" s="229" t="n"/>
      <c r="D201" s="229" t="n"/>
      <c r="E201" s="229" t="n">
        <v>1</v>
      </c>
      <c r="F201" s="230" t="n"/>
      <c r="G201" s="230" t="n"/>
      <c r="H201" s="231" t="n">
        <v>72000</v>
      </c>
      <c r="I201" s="232" t="n"/>
      <c r="J201" s="232" t="n">
        <v>72000</v>
      </c>
      <c r="K201" s="233" t="n"/>
      <c r="L201" s="233">
        <f>IF(K201&lt;&gt;"",25000+K201,25000)</f>
        <v/>
      </c>
      <c r="M201" s="156" t="n"/>
      <c r="N201" s="156" t="n"/>
      <c r="O201" s="156" t="n"/>
    </row>
    <row r="202" ht="18.75" customHeight="1" s="153">
      <c r="A202" s="237" t="n"/>
      <c r="B202" s="238" t="inlineStr">
        <is>
          <t>NACHO CUEVA</t>
        </is>
      </c>
      <c r="C202" s="239" t="n">
        <v>1</v>
      </c>
      <c r="D202" s="239" t="n">
        <v>1</v>
      </c>
      <c r="E202" s="239" t="n"/>
      <c r="F202" s="240" t="n"/>
      <c r="G202" s="240" t="n"/>
      <c r="H202" s="241" t="n">
        <v>45000</v>
      </c>
      <c r="I202" s="242" t="n">
        <v>45000</v>
      </c>
      <c r="J202" s="242" t="n"/>
      <c r="K202" s="233" t="n"/>
      <c r="L202" s="233">
        <f>IF(K202&lt;&gt;"",18750+K202,18750)</f>
        <v/>
      </c>
      <c r="M202" s="156" t="n"/>
      <c r="N202" s="156" t="n"/>
      <c r="O202" s="156" t="n"/>
    </row>
    <row r="203" ht="18.75" customHeight="1" s="153">
      <c r="A203" s="227" t="n">
        <v>46046</v>
      </c>
      <c r="B203" s="228" t="inlineStr">
        <is>
          <t>EXE</t>
        </is>
      </c>
      <c r="C203" s="229" t="n"/>
      <c r="D203" s="229" t="n"/>
      <c r="E203" s="229" t="n">
        <v>1</v>
      </c>
      <c r="F203" s="230" t="n"/>
      <c r="G203" s="230" t="n"/>
      <c r="H203" s="231" t="n">
        <v>69000</v>
      </c>
      <c r="I203" s="232" t="n"/>
      <c r="J203" s="232" t="n">
        <v>69000</v>
      </c>
      <c r="K203" s="233" t="n"/>
      <c r="L203" s="233">
        <f>IF(K203&lt;&gt;"",22000+K203,22000)</f>
        <v/>
      </c>
      <c r="M203" s="156" t="n"/>
      <c r="N203" s="156" t="n"/>
      <c r="O203" s="156" t="n"/>
    </row>
    <row r="204" ht="18.75" customHeight="1" s="153">
      <c r="A204" s="237" t="n"/>
      <c r="B204" s="238" t="inlineStr">
        <is>
          <t>AZCUENAGA 5023</t>
        </is>
      </c>
      <c r="C204" s="239" t="n">
        <v>4</v>
      </c>
      <c r="D204" s="239" t="n">
        <v>1</v>
      </c>
      <c r="E204" s="239" t="n"/>
      <c r="F204" s="240" t="n"/>
      <c r="G204" s="240" t="n"/>
      <c r="H204" s="241" t="n">
        <v>81000</v>
      </c>
      <c r="I204" s="242" t="n"/>
      <c r="J204" s="242" t="n">
        <v>81000</v>
      </c>
      <c r="K204" s="233" t="n"/>
      <c r="L204" s="233">
        <f>IF(K204&lt;&gt;"",23250+K204,23250)</f>
        <v/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>LUCHO</t>
        </is>
      </c>
      <c r="C205" s="229" t="n">
        <v>2</v>
      </c>
      <c r="D205" s="229" t="n"/>
      <c r="E205" s="229" t="n"/>
      <c r="F205" s="230" t="n"/>
      <c r="G205" s="230" t="n"/>
      <c r="H205" s="231" t="n">
        <v>29000</v>
      </c>
      <c r="I205" s="232" t="n">
        <v>29000</v>
      </c>
      <c r="J205" s="232" t="n"/>
      <c r="K205" s="233" t="n"/>
      <c r="L205" s="233">
        <f>IF(K205&lt;&gt;"",8000+K205,8000)</f>
        <v/>
      </c>
      <c r="M205" s="156" t="n"/>
      <c r="N205" s="156" t="n"/>
      <c r="O205" s="156" t="n"/>
    </row>
    <row r="206" ht="18.75" customHeight="1" s="153">
      <c r="A206" s="237" t="n"/>
      <c r="B206" s="238" t="inlineStr">
        <is>
          <t>ROTI SAN LORENZO</t>
        </is>
      </c>
      <c r="C206" s="239" t="n"/>
      <c r="D206" s="239" t="n">
        <v>1</v>
      </c>
      <c r="E206" s="239" t="n"/>
      <c r="F206" s="240" t="n"/>
      <c r="G206" s="240" t="n"/>
      <c r="H206" s="241" t="n">
        <v>28000</v>
      </c>
      <c r="I206" s="242" t="n"/>
      <c r="J206" s="242" t="n">
        <v>28000</v>
      </c>
      <c r="K206" s="233" t="n"/>
      <c r="L206" s="233">
        <f>IF(K206&lt;&gt;"",12250+K206,12250)</f>
        <v/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RISSO 2239</t>
        </is>
      </c>
      <c r="C207" s="229" t="n">
        <v>1</v>
      </c>
      <c r="D207" s="229" t="n"/>
      <c r="E207" s="229" t="n"/>
      <c r="F207" s="230" t="n"/>
      <c r="G207" s="230" t="n"/>
      <c r="H207" s="231" t="n">
        <v>22000</v>
      </c>
      <c r="I207" s="232" t="n">
        <v>22000</v>
      </c>
      <c r="J207" s="232" t="n"/>
      <c r="K207" s="233" t="n"/>
      <c r="L207" s="233">
        <f>IF(K207&lt;&gt;"",11500+K207,11500)</f>
        <v/>
      </c>
      <c r="M207" s="156" t="n"/>
      <c r="N207" s="156" t="n"/>
      <c r="O207" s="156" t="n"/>
    </row>
    <row r="208" ht="18.75" customHeight="1" s="153">
      <c r="A208" s="237" t="n"/>
      <c r="B208" s="238" t="inlineStr">
        <is>
          <t>CONDOMINIO 3728</t>
        </is>
      </c>
      <c r="C208" s="239" t="n"/>
      <c r="D208" s="239" t="n"/>
      <c r="E208" s="239" t="n">
        <v>1</v>
      </c>
      <c r="F208" s="240" t="n"/>
      <c r="G208" s="240" t="n"/>
      <c r="H208" s="241" t="n">
        <v>71000</v>
      </c>
      <c r="I208" s="242" t="n"/>
      <c r="J208" s="242" t="n">
        <v>71000</v>
      </c>
      <c r="K208" s="233" t="n"/>
      <c r="L208" s="233">
        <f>IF(K208&lt;&gt;"",24000+K208,24000)</f>
        <v/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GORRITI 6512</t>
        </is>
      </c>
      <c r="C209" s="229" t="n"/>
      <c r="D209" s="229" t="n"/>
      <c r="E209" s="229" t="n">
        <v>1</v>
      </c>
      <c r="F209" s="230" t="n"/>
      <c r="G209" s="230" t="n"/>
      <c r="H209" s="231" t="n">
        <v>72000</v>
      </c>
      <c r="I209" s="232" t="n"/>
      <c r="J209" s="232" t="n">
        <v>72000</v>
      </c>
      <c r="K209" s="233" t="n"/>
      <c r="L209" s="233">
        <f>IF(K209&lt;&gt;"",25000+K209,25000)</f>
        <v/>
      </c>
      <c r="M209" s="156" t="n"/>
      <c r="N209" s="156" t="n"/>
      <c r="O209" s="156" t="n"/>
    </row>
    <row r="210" ht="18.75" customHeight="1" s="153">
      <c r="A210" s="237" t="n"/>
      <c r="B210" s="238" t="inlineStr">
        <is>
          <t>TACUARI 5717</t>
        </is>
      </c>
      <c r="C210" s="239" t="n">
        <v>2</v>
      </c>
      <c r="D210" s="239" t="n"/>
      <c r="E210" s="239" t="n"/>
      <c r="F210" s="240" t="n"/>
      <c r="G210" s="240" t="n"/>
      <c r="H210" s="241" t="n">
        <v>39000</v>
      </c>
      <c r="I210" s="242" t="n"/>
      <c r="J210" s="242" t="n">
        <v>39000</v>
      </c>
      <c r="K210" s="233" t="n"/>
      <c r="L210" s="233">
        <f>IF(K210&lt;&gt;"",18000+K210,18000)</f>
        <v/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FILOMENA</t>
        </is>
      </c>
      <c r="C211" s="229" t="n">
        <v>2</v>
      </c>
      <c r="D211" s="229" t="n"/>
      <c r="E211" s="229" t="n"/>
      <c r="F211" s="230" t="n"/>
      <c r="G211" s="230" t="n"/>
      <c r="H211" s="231" t="n">
        <v>36000</v>
      </c>
      <c r="I211" s="232" t="n"/>
      <c r="J211" s="232" t="n">
        <v>36000</v>
      </c>
      <c r="K211" s="233" t="n"/>
      <c r="L211" s="233">
        <f>IF(K211&lt;&gt;"",15000+K211,15000)</f>
        <v/>
      </c>
      <c r="M211" s="156" t="n"/>
      <c r="N211" s="156" t="n"/>
      <c r="O211" s="156" t="n"/>
    </row>
    <row r="212" ht="18.75" customHeight="1" s="153">
      <c r="A212" s="237" t="n">
        <v>46047</v>
      </c>
      <c r="B212" s="238" t="inlineStr">
        <is>
          <t>COLODRERO 1200</t>
        </is>
      </c>
      <c r="C212" s="239" t="n">
        <v>1</v>
      </c>
      <c r="D212" s="239" t="n"/>
      <c r="E212" s="239" t="n"/>
      <c r="F212" s="240" t="n"/>
      <c r="G212" s="240" t="n"/>
      <c r="H212" s="241" t="n">
        <v>22000</v>
      </c>
      <c r="I212" s="242" t="n">
        <v>22000</v>
      </c>
      <c r="J212" s="242" t="n"/>
      <c r="K212" s="233" t="n"/>
      <c r="L212" s="233">
        <f>IF(K212&lt;&gt;"",11500+K212,11500)</f>
        <v/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AGUAYO 3617</t>
        </is>
      </c>
      <c r="C213" s="229" t="n"/>
      <c r="D213" s="229" t="n">
        <v>1</v>
      </c>
      <c r="E213" s="229" t="n"/>
      <c r="F213" s="230" t="n"/>
      <c r="G213" s="230" t="n"/>
      <c r="H213" s="231" t="n">
        <v>33000</v>
      </c>
      <c r="I213" s="232" t="n">
        <v>33000</v>
      </c>
      <c r="J213" s="232" t="n"/>
      <c r="K213" s="233" t="n"/>
      <c r="L213" s="233">
        <f>IF(K213&lt;&gt;"",17250+K213,17250)</f>
        <v/>
      </c>
      <c r="M213" s="156" t="n"/>
      <c r="N213" s="156" t="n"/>
      <c r="O213" s="156" t="n"/>
    </row>
    <row r="214" ht="18.75" customHeight="1" s="153">
      <c r="A214" s="237" t="n"/>
      <c r="B214" s="238" t="inlineStr">
        <is>
          <t>PEDRO TAPPA 9731</t>
        </is>
      </c>
      <c r="C214" s="239" t="n">
        <v>1</v>
      </c>
      <c r="D214" s="239" t="n"/>
      <c r="E214" s="239" t="n"/>
      <c r="F214" s="240" t="n"/>
      <c r="G214" s="240" t="n"/>
      <c r="H214" s="241" t="n">
        <v>22000</v>
      </c>
      <c r="I214" s="242" t="n">
        <v>22000</v>
      </c>
      <c r="J214" s="242" t="n"/>
      <c r="K214" s="233" t="n"/>
      <c r="L214" s="233">
        <f>IF(K214&lt;&gt;"",11500+K214,11500)</f>
        <v/>
      </c>
      <c r="M214" s="156" t="n"/>
      <c r="N214" s="156" t="n"/>
      <c r="O214" s="156" t="n"/>
    </row>
    <row r="215" ht="18.75" customHeight="1" s="153">
      <c r="A215" s="227" t="n"/>
      <c r="B215" s="228" t="inlineStr">
        <is>
          <t>DENIS 6169</t>
        </is>
      </c>
      <c r="C215" s="229" t="n">
        <v>1</v>
      </c>
      <c r="D215" s="229" t="n"/>
      <c r="E215" s="229" t="n"/>
      <c r="F215" s="230" t="n"/>
      <c r="G215" s="230" t="n"/>
      <c r="H215" s="231" t="n">
        <v>21000</v>
      </c>
      <c r="I215" s="232" t="n">
        <v>21000</v>
      </c>
      <c r="J215" s="232" t="n"/>
      <c r="K215" s="233" t="n"/>
      <c r="L215" s="233">
        <f>IF(K215&lt;&gt;"",10500+K215,10500)</f>
        <v/>
      </c>
      <c r="M215" s="156" t="n"/>
      <c r="N215" s="156" t="n"/>
      <c r="O215" s="156" t="n"/>
    </row>
    <row r="216" ht="18.75" customHeight="1" s="153">
      <c r="A216" s="237" t="n"/>
      <c r="B216" s="238" t="inlineStr">
        <is>
          <t>PUESTO PASTELITOS COSTA</t>
        </is>
      </c>
      <c r="C216" s="239" t="n">
        <v>1</v>
      </c>
      <c r="D216" s="239" t="n"/>
      <c r="E216" s="239" t="n"/>
      <c r="F216" s="240" t="n"/>
      <c r="G216" s="240" t="n"/>
      <c r="H216" s="241" t="n">
        <v>19500</v>
      </c>
      <c r="I216" s="242" t="n">
        <v>19500</v>
      </c>
      <c r="J216" s="242" t="n"/>
      <c r="K216" s="233" t="n"/>
      <c r="L216" s="233">
        <f>IF(K216&lt;&gt;"",9000+K216,9000)</f>
        <v/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 xml:space="preserve">SABORERARTE </t>
        </is>
      </c>
      <c r="C217" s="229" t="n">
        <v>1</v>
      </c>
      <c r="D217" s="229" t="n"/>
      <c r="E217" s="229" t="n"/>
      <c r="F217" s="230" t="n"/>
      <c r="G217" s="230" t="n"/>
      <c r="H217" s="231" t="n">
        <v>18000</v>
      </c>
      <c r="I217" s="232" t="n"/>
      <c r="J217" s="232" t="n">
        <v>18000</v>
      </c>
      <c r="K217" s="233" t="n"/>
      <c r="L217" s="233">
        <f>IF(K217&lt;&gt;"",7500+K217,7500)</f>
        <v/>
      </c>
      <c r="M217" s="156" t="n"/>
      <c r="N217" s="156" t="n"/>
      <c r="O217" s="156" t="n"/>
    </row>
    <row r="218" ht="18.75" customHeight="1" s="153">
      <c r="A218" s="237" t="n">
        <v>46048</v>
      </c>
      <c r="B218" s="238" t="inlineStr">
        <is>
          <t>PANA VIEYTES GISELA</t>
        </is>
      </c>
      <c r="C218" s="239" t="n">
        <v>1</v>
      </c>
      <c r="D218" s="239" t="n"/>
      <c r="E218" s="239" t="n"/>
      <c r="F218" s="240" t="n"/>
      <c r="G218" s="240" t="n"/>
      <c r="H218" s="241" t="n">
        <v>17500</v>
      </c>
      <c r="I218" s="242" t="n"/>
      <c r="J218" s="242" t="n">
        <v>17500</v>
      </c>
      <c r="K218" s="233" t="n"/>
      <c r="L218" s="233">
        <f>IF(K218&lt;&gt;"",7000+K218,7000)</f>
        <v/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ALVEAR 8278</t>
        </is>
      </c>
      <c r="C219" s="229" t="n"/>
      <c r="D219" s="229" t="n"/>
      <c r="E219" s="229" t="n">
        <v>1</v>
      </c>
      <c r="F219" s="230" t="n"/>
      <c r="G219" s="230" t="n"/>
      <c r="H219" s="231" t="n">
        <v>75000</v>
      </c>
      <c r="I219" s="232" t="n"/>
      <c r="J219" s="232" t="n">
        <v>75000</v>
      </c>
      <c r="K219" s="233" t="n"/>
      <c r="L219" s="233">
        <f>IF(K219&lt;&gt;"",28000+K219,28000)</f>
        <v/>
      </c>
      <c r="M219" s="156" t="n"/>
      <c r="N219" s="156" t="n"/>
      <c r="O219" s="156" t="n"/>
    </row>
    <row r="220" ht="18.75" customHeight="1" s="153">
      <c r="A220" s="237" t="n"/>
      <c r="B220" s="238" t="inlineStr">
        <is>
          <t>DOMINGO SILVA 4217</t>
        </is>
      </c>
      <c r="C220" s="239" t="n">
        <v>2</v>
      </c>
      <c r="D220" s="239" t="n">
        <v>1</v>
      </c>
      <c r="E220" s="239" t="n"/>
      <c r="F220" s="240" t="n"/>
      <c r="G220" s="240" t="n"/>
      <c r="H220" s="241" t="n">
        <v>51500</v>
      </c>
      <c r="I220" s="242" t="n"/>
      <c r="J220" s="242" t="n">
        <v>51500</v>
      </c>
      <c r="K220" s="233" t="n"/>
      <c r="L220" s="233">
        <f>IF(K220&lt;&gt;"",14750+K220,14750)</f>
        <v/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FILOMENA</t>
        </is>
      </c>
      <c r="C221" s="229" t="n">
        <v>1</v>
      </c>
      <c r="D221" s="229" t="n"/>
      <c r="E221" s="229" t="n"/>
      <c r="F221" s="230" t="n"/>
      <c r="G221" s="230" t="n"/>
      <c r="H221" s="231" t="n">
        <v>18000</v>
      </c>
      <c r="I221" s="232" t="n">
        <v>18000</v>
      </c>
      <c r="J221" s="232" t="n"/>
      <c r="K221" s="233" t="n"/>
      <c r="L221" s="233">
        <f>IF(K221&lt;&gt;"",7500+K221,7500)</f>
        <v/>
      </c>
      <c r="M221" s="156" t="n"/>
      <c r="N221" s="156" t="n"/>
      <c r="O221" s="156" t="n"/>
    </row>
    <row r="222" ht="18.75" customHeight="1" s="153">
      <c r="A222" s="237" t="n"/>
      <c r="B222" s="238" t="inlineStr">
        <is>
          <t>ALBERDI 6449</t>
        </is>
      </c>
      <c r="C222" s="239" t="n">
        <v>1</v>
      </c>
      <c r="D222" s="239" t="n"/>
      <c r="E222" s="239" t="n"/>
      <c r="F222" s="240" t="n"/>
      <c r="G222" s="240" t="n"/>
      <c r="H222" s="241" t="n">
        <v>22000</v>
      </c>
      <c r="I222" s="242" t="n">
        <v>22000</v>
      </c>
      <c r="J222" s="242" t="n"/>
      <c r="K222" s="233" t="n"/>
      <c r="L222" s="233">
        <f>IF(K222&lt;&gt;"",11500+K222,11500)</f>
        <v/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OTNIEL</t>
        </is>
      </c>
      <c r="C223" s="229" t="n"/>
      <c r="D223" s="229" t="n"/>
      <c r="E223" s="229" t="n"/>
      <c r="F223" s="230" t="n"/>
      <c r="G223" s="230" t="n">
        <v>1</v>
      </c>
      <c r="H223" s="231" t="n">
        <v>5000</v>
      </c>
      <c r="I223" s="232" t="n">
        <v>5000</v>
      </c>
      <c r="J223" s="232" t="n"/>
      <c r="K223" s="233" t="n"/>
      <c r="L223" s="233">
        <f>IF(K223&lt;&gt;"",4200+K223,4200)</f>
        <v/>
      </c>
      <c r="M223" s="156" t="n"/>
      <c r="N223" s="156" t="n"/>
      <c r="O223" s="156" t="n"/>
    </row>
    <row r="224" ht="18.75" customHeight="1" s="153">
      <c r="A224" s="237" t="n"/>
      <c r="B224" s="238" t="inlineStr">
        <is>
          <t>PANA VIEYTES 4500</t>
        </is>
      </c>
      <c r="C224" s="239" t="n">
        <v>1</v>
      </c>
      <c r="D224" s="239" t="n"/>
      <c r="E224" s="239" t="n">
        <v>1</v>
      </c>
      <c r="F224" s="240" t="n"/>
      <c r="G224" s="240" t="n"/>
      <c r="H224" s="241" t="n">
        <v>83000</v>
      </c>
      <c r="I224" s="242" t="n">
        <v>83000</v>
      </c>
      <c r="J224" s="242" t="n"/>
      <c r="K224" s="233" t="n"/>
      <c r="L224" s="233">
        <f>IF(K224&lt;&gt;"",25500+K224,25500)</f>
        <v/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 xml:space="preserve">PANA GENESIO </t>
        </is>
      </c>
      <c r="C225" s="229" t="n"/>
      <c r="D225" s="229" t="n"/>
      <c r="E225" s="229" t="n">
        <v>1</v>
      </c>
      <c r="F225" s="230" t="n"/>
      <c r="G225" s="230" t="n"/>
      <c r="H225" s="231" t="n">
        <v>69000</v>
      </c>
      <c r="I225" s="232" t="n"/>
      <c r="J225" s="232" t="n">
        <v>69000</v>
      </c>
      <c r="K225" s="233" t="n"/>
      <c r="L225" s="233">
        <f>IF(K225&lt;&gt;"",22000+K225,22000)</f>
        <v/>
      </c>
      <c r="M225" s="156" t="n"/>
      <c r="N225" s="156" t="n"/>
      <c r="O225" s="156" t="n"/>
    </row>
    <row r="226" ht="18.75" customHeight="1" s="153">
      <c r="A226" s="237" t="n"/>
      <c r="B226" s="238" t="inlineStr">
        <is>
          <t>LUCHO</t>
        </is>
      </c>
      <c r="C226" s="239" t="n"/>
      <c r="D226" s="239" t="n"/>
      <c r="E226" s="239" t="n"/>
      <c r="F226" s="240" t="n"/>
      <c r="G226" s="240" t="n">
        <v>1</v>
      </c>
      <c r="H226" s="241" t="n">
        <v>5000</v>
      </c>
      <c r="I226" s="242" t="n"/>
      <c r="J226" s="242" t="n">
        <v>5000</v>
      </c>
      <c r="K226" s="233" t="n"/>
      <c r="L226" s="233">
        <f>IF(K226&lt;&gt;"",4200+K226,4200)</f>
        <v/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VICTORIO</t>
        </is>
      </c>
      <c r="C227" s="229" t="n">
        <v>1</v>
      </c>
      <c r="D227" s="229" t="n"/>
      <c r="E227" s="229" t="n"/>
      <c r="F227" s="230" t="n"/>
      <c r="G227" s="230" t="n"/>
      <c r="H227" s="231" t="n">
        <v>17000</v>
      </c>
      <c r="I227" s="232" t="n">
        <v>17000</v>
      </c>
      <c r="J227" s="232" t="n"/>
      <c r="K227" s="233" t="n"/>
      <c r="L227" s="233">
        <f>IF(K227&lt;&gt;"",6500+K227,6500)</f>
        <v/>
      </c>
      <c r="M227" s="156" t="n"/>
      <c r="N227" s="156" t="n"/>
      <c r="O227" s="156" t="n"/>
    </row>
    <row r="228" ht="18.75" customHeight="1" s="153">
      <c r="A228" s="237" t="n"/>
      <c r="B228" s="238" t="inlineStr">
        <is>
          <t>AZCUENAGA 5023</t>
        </is>
      </c>
      <c r="C228" s="239" t="n">
        <v>2</v>
      </c>
      <c r="D228" s="239" t="n">
        <v>1</v>
      </c>
      <c r="E228" s="239" t="n"/>
      <c r="F228" s="240" t="n"/>
      <c r="G228" s="240" t="n"/>
      <c r="H228" s="241" t="n">
        <v>52000</v>
      </c>
      <c r="I228" s="242" t="n"/>
      <c r="J228" s="242" t="n">
        <v>52000</v>
      </c>
      <c r="K228" s="233" t="n"/>
      <c r="L228" s="233">
        <f>IF(K228&lt;&gt;"",15250+K228,15250)</f>
        <v/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CAREN</t>
        </is>
      </c>
      <c r="C229" s="229" t="n"/>
      <c r="D229" s="229" t="n"/>
      <c r="E229" s="229" t="n">
        <v>1</v>
      </c>
      <c r="F229" s="230" t="n"/>
      <c r="G229" s="230" t="n"/>
      <c r="H229" s="231" t="n">
        <v>69000</v>
      </c>
      <c r="I229" s="232" t="n"/>
      <c r="J229" s="232" t="n">
        <v>69000</v>
      </c>
      <c r="K229" s="233" t="n"/>
      <c r="L229" s="233">
        <f>IF(K229&lt;&gt;"",22000+K229,22000)</f>
        <v/>
      </c>
      <c r="M229" s="156" t="n"/>
      <c r="N229" s="156" t="n"/>
      <c r="O229" s="156" t="n"/>
    </row>
    <row r="230" ht="18.75" customHeight="1" s="153">
      <c r="A230" s="237" t="n">
        <v>46049</v>
      </c>
      <c r="B230" s="238" t="inlineStr">
        <is>
          <t>JP LOPEZ 2580</t>
        </is>
      </c>
      <c r="C230" s="239" t="n">
        <v>1</v>
      </c>
      <c r="D230" s="239" t="n"/>
      <c r="E230" s="239" t="n"/>
      <c r="F230" s="240" t="n"/>
      <c r="G230" s="240" t="n"/>
      <c r="H230" s="241" t="n">
        <v>22000</v>
      </c>
      <c r="I230" s="242" t="n">
        <v>22000</v>
      </c>
      <c r="J230" s="242" t="n"/>
      <c r="K230" s="233" t="n"/>
      <c r="L230" s="233">
        <f>IF(K230&lt;&gt;"",11500+K230,11500)</f>
        <v/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PAULO</t>
        </is>
      </c>
      <c r="C231" s="229" t="n">
        <v>2</v>
      </c>
      <c r="D231" s="229" t="n"/>
      <c r="E231" s="229" t="n"/>
      <c r="F231" s="230" t="n"/>
      <c r="G231" s="230" t="n"/>
      <c r="H231" s="231" t="n">
        <v>29000</v>
      </c>
      <c r="I231" s="232" t="n"/>
      <c r="J231" s="232" t="n">
        <v>29000</v>
      </c>
      <c r="K231" s="233" t="n"/>
      <c r="L231" s="233">
        <f>IF(K231&lt;&gt;"",8000+K231,8000)</f>
        <v/>
      </c>
      <c r="M231" s="156" t="n"/>
      <c r="N231" s="156" t="n"/>
      <c r="O231" s="156" t="n"/>
    </row>
    <row r="232" ht="18.75" customHeight="1" s="153">
      <c r="A232" s="237" t="n"/>
      <c r="B232" s="238" t="inlineStr">
        <is>
          <t>FLORES 22 CASA 75</t>
        </is>
      </c>
      <c r="C232" s="239" t="n">
        <v>1</v>
      </c>
      <c r="D232" s="239" t="n"/>
      <c r="E232" s="239" t="n"/>
      <c r="F232" s="240" t="n"/>
      <c r="G232" s="240" t="n"/>
      <c r="H232" s="241" t="n">
        <v>22000</v>
      </c>
      <c r="I232" s="242" t="n">
        <v>22000</v>
      </c>
      <c r="J232" s="242" t="n"/>
      <c r="K232" s="233" t="n"/>
      <c r="L232" s="233">
        <f>IF(K232&lt;&gt;"",11500+K232,11500)</f>
        <v/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>OTNIEL</t>
        </is>
      </c>
      <c r="C233" s="229" t="n"/>
      <c r="D233" s="229" t="n">
        <v>1</v>
      </c>
      <c r="E233" s="229" t="n">
        <v>1</v>
      </c>
      <c r="F233" s="230" t="n"/>
      <c r="G233" s="230" t="n"/>
      <c r="H233" s="231" t="n">
        <v>99500</v>
      </c>
      <c r="I233" s="232" t="n"/>
      <c r="J233" s="232" t="n">
        <v>99500</v>
      </c>
      <c r="K233" s="233" t="n"/>
      <c r="L233" s="233">
        <f>IF(K233&lt;&gt;"",36750+K233,36750)</f>
        <v/>
      </c>
      <c r="M233" s="156" t="n"/>
      <c r="N233" s="156" t="n"/>
      <c r="O233" s="156" t="n"/>
    </row>
    <row r="234" ht="18.75" customHeight="1" s="153">
      <c r="A234" s="237" t="n"/>
      <c r="B234" s="238" t="inlineStr">
        <is>
          <t>PANA ALBERTI</t>
        </is>
      </c>
      <c r="C234" s="239" t="n"/>
      <c r="D234" s="239" t="n"/>
      <c r="E234" s="239" t="n">
        <v>1</v>
      </c>
      <c r="F234" s="240" t="n"/>
      <c r="G234" s="240" t="n"/>
      <c r="H234" s="241" t="n">
        <v>71000</v>
      </c>
      <c r="I234" s="242" t="n">
        <v>71000</v>
      </c>
      <c r="J234" s="242" t="n"/>
      <c r="K234" s="233" t="n"/>
      <c r="L234" s="233">
        <f>IF(K234&lt;&gt;"",24000+K234,24000)</f>
        <v/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GENERAL PAZ 7826</t>
        </is>
      </c>
      <c r="C235" s="229" t="n">
        <v>1</v>
      </c>
      <c r="D235" s="229" t="n"/>
      <c r="E235" s="229" t="n"/>
      <c r="F235" s="230" t="n"/>
      <c r="G235" s="230" t="n"/>
      <c r="H235" s="231" t="n">
        <v>22000</v>
      </c>
      <c r="I235" s="232" t="n">
        <v>22000</v>
      </c>
      <c r="J235" s="232" t="n"/>
      <c r="K235" s="233" t="n"/>
      <c r="L235" s="233">
        <f>IF(K235&lt;&gt;"",11500+K235,11500)</f>
        <v/>
      </c>
      <c r="M235" s="156" t="n"/>
      <c r="N235" s="156" t="n"/>
      <c r="O235" s="156" t="n"/>
    </row>
    <row r="236" ht="18.75" customHeight="1" s="153">
      <c r="A236" s="237" t="n"/>
      <c r="B236" s="238" t="inlineStr">
        <is>
          <t>LOBOS ROCIO</t>
        </is>
      </c>
      <c r="C236" s="239" t="n"/>
      <c r="D236" s="239" t="n"/>
      <c r="E236" s="239" t="n">
        <v>1</v>
      </c>
      <c r="F236" s="240" t="n"/>
      <c r="G236" s="240" t="n"/>
      <c r="H236" s="241" t="n">
        <v>77000</v>
      </c>
      <c r="I236" s="242" t="n">
        <v>77000</v>
      </c>
      <c r="J236" s="242" t="n"/>
      <c r="K236" s="233" t="n"/>
      <c r="L236" s="233">
        <f>IF(K236&lt;&gt;"",30000+K236,30000)</f>
        <v/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GORRITI 4661</t>
        </is>
      </c>
      <c r="C237" s="229" t="n">
        <v>1</v>
      </c>
      <c r="D237" s="229" t="n"/>
      <c r="E237" s="229" t="n"/>
      <c r="F237" s="230" t="n"/>
      <c r="G237" s="230" t="n"/>
      <c r="H237" s="231" t="n">
        <v>22000</v>
      </c>
      <c r="I237" s="232" t="n"/>
      <c r="J237" s="232" t="n">
        <v>22000</v>
      </c>
      <c r="K237" s="233" t="n"/>
      <c r="L237" s="233">
        <f>IF(K237&lt;&gt;"",11500+K237,11500)</f>
        <v/>
      </c>
      <c r="M237" s="156" t="n"/>
      <c r="N237" s="156" t="n"/>
      <c r="O237" s="156" t="n"/>
    </row>
    <row r="238" ht="18.75" customHeight="1" s="153">
      <c r="A238" s="237" t="n">
        <v>46050</v>
      </c>
      <c r="B238" s="238" t="inlineStr">
        <is>
          <t xml:space="preserve">GOLD BURGUER </t>
        </is>
      </c>
      <c r="C238" s="239" t="n"/>
      <c r="D238" s="239" t="n"/>
      <c r="E238" s="239" t="n">
        <v>2</v>
      </c>
      <c r="F238" s="240" t="n"/>
      <c r="G238" s="240" t="n"/>
      <c r="H238" s="241" t="n">
        <v>158000</v>
      </c>
      <c r="I238" s="242" t="n">
        <v>158000</v>
      </c>
      <c r="J238" s="242" t="n"/>
      <c r="K238" s="233" t="n"/>
      <c r="L238" s="233">
        <f>IF(K238&lt;&gt;"",64000+K238,64000)</f>
        <v/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FILOMENA</t>
        </is>
      </c>
      <c r="C239" s="229" t="n">
        <v>2</v>
      </c>
      <c r="D239" s="229" t="n"/>
      <c r="E239" s="229" t="n"/>
      <c r="F239" s="230" t="n"/>
      <c r="G239" s="230" t="n"/>
      <c r="H239" s="231" t="n">
        <v>36000</v>
      </c>
      <c r="I239" s="232" t="n">
        <v>36000</v>
      </c>
      <c r="J239" s="232" t="n"/>
      <c r="K239" s="233" t="n"/>
      <c r="L239" s="233">
        <f>IF(K239&lt;&gt;"",15000+K239,15000)</f>
        <v/>
      </c>
      <c r="M239" s="156" t="n"/>
      <c r="N239" s="156" t="n"/>
      <c r="O239" s="156" t="n"/>
    </row>
    <row r="240" ht="18.75" customHeight="1" s="153">
      <c r="A240" s="237" t="n"/>
      <c r="B240" s="238" t="inlineStr">
        <is>
          <t>PJE PUBLICO  2553</t>
        </is>
      </c>
      <c r="C240" s="239" t="n">
        <v>1</v>
      </c>
      <c r="D240" s="239" t="n"/>
      <c r="E240" s="239" t="n"/>
      <c r="F240" s="240" t="n"/>
      <c r="G240" s="240" t="n"/>
      <c r="H240" s="241" t="n">
        <v>22000</v>
      </c>
      <c r="I240" s="242" t="n">
        <v>22000</v>
      </c>
      <c r="J240" s="242" t="n"/>
      <c r="K240" s="233" t="n"/>
      <c r="L240" s="233">
        <f>IF(K240&lt;&gt;"",11500+K240,11500)</f>
        <v/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LUCHO</t>
        </is>
      </c>
      <c r="C241" s="229" t="n">
        <v>1</v>
      </c>
      <c r="D241" s="229" t="n"/>
      <c r="E241" s="229" t="n"/>
      <c r="F241" s="230" t="n"/>
      <c r="G241" s="230" t="n"/>
      <c r="H241" s="231" t="n">
        <v>14500</v>
      </c>
      <c r="I241" s="232" t="n">
        <v>14500</v>
      </c>
      <c r="J241" s="232" t="n"/>
      <c r="K241" s="233" t="n"/>
      <c r="L241" s="233">
        <f>IF(K241&lt;&gt;"",4000+K241,4000)</f>
        <v/>
      </c>
      <c r="M241" s="156" t="n"/>
      <c r="N241" s="156" t="n"/>
      <c r="O241" s="156" t="n"/>
    </row>
    <row r="242" ht="18.75" customHeight="1" s="153">
      <c r="A242" s="237" t="n"/>
      <c r="B242" s="238" t="inlineStr">
        <is>
          <t>AZCUENAGA 5023</t>
        </is>
      </c>
      <c r="C242" s="239" t="n">
        <v>2</v>
      </c>
      <c r="D242" s="239" t="n"/>
      <c r="E242" s="239" t="n"/>
      <c r="F242" s="240" t="n"/>
      <c r="G242" s="240" t="n"/>
      <c r="H242" s="241" t="n">
        <v>29000</v>
      </c>
      <c r="I242" s="242" t="n">
        <v>29000</v>
      </c>
      <c r="J242" s="242" t="n"/>
      <c r="K242" s="233" t="n"/>
      <c r="L242" s="233">
        <f>IF(K242&lt;&gt;"",8000+K242,8000)</f>
        <v/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ALBERTI 5251</t>
        </is>
      </c>
      <c r="C243" s="229" t="n">
        <v>1</v>
      </c>
      <c r="D243" s="229" t="n"/>
      <c r="E243" s="229" t="n"/>
      <c r="F243" s="230" t="n"/>
      <c r="G243" s="230" t="n"/>
      <c r="H243" s="231" t="n">
        <v>21000</v>
      </c>
      <c r="I243" s="232" t="n">
        <v>21000</v>
      </c>
      <c r="J243" s="232" t="n"/>
      <c r="K243" s="233" t="n"/>
      <c r="L243" s="233">
        <f>IF(K243&lt;&gt;"",10500+K243,10500)</f>
        <v/>
      </c>
      <c r="M243" s="156" t="n"/>
      <c r="N243" s="156" t="n"/>
      <c r="O243" s="156" t="n"/>
    </row>
    <row r="244" ht="18.75" customHeight="1" s="153">
      <c r="A244" s="237" t="n"/>
      <c r="B244" s="238" t="inlineStr">
        <is>
          <t>SAN LORENZO 5081</t>
        </is>
      </c>
      <c r="C244" s="239" t="n"/>
      <c r="D244" s="239" t="n">
        <v>1</v>
      </c>
      <c r="E244" s="239" t="n"/>
      <c r="F244" s="240" t="n"/>
      <c r="G244" s="240" t="n"/>
      <c r="H244" s="241" t="n">
        <v>33000</v>
      </c>
      <c r="I244" s="242" t="n">
        <v>33000</v>
      </c>
      <c r="J244" s="242" t="n"/>
      <c r="K244" s="233" t="n"/>
      <c r="L244" s="233">
        <f>IF(K244&lt;&gt;"",17250+K244,17250)</f>
        <v/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 xml:space="preserve">NACHO CUEVA </t>
        </is>
      </c>
      <c r="C245" s="229" t="n">
        <v>2</v>
      </c>
      <c r="D245" s="229" t="n"/>
      <c r="E245" s="229" t="n"/>
      <c r="F245" s="230" t="n"/>
      <c r="G245" s="230" t="n"/>
      <c r="H245" s="231" t="n">
        <v>36000</v>
      </c>
      <c r="I245" s="232" t="n">
        <v>36000</v>
      </c>
      <c r="J245" s="232" t="n"/>
      <c r="K245" s="233" t="n"/>
      <c r="L245" s="233">
        <f>IF(K245&lt;&gt;"",15000+K245,15000)</f>
        <v/>
      </c>
      <c r="M245" s="156" t="n"/>
      <c r="N245" s="156" t="n"/>
      <c r="O245" s="156" t="n"/>
    </row>
    <row r="246" ht="18.75" customHeight="1" s="153">
      <c r="A246" s="237" t="n"/>
      <c r="B246" s="238" t="inlineStr">
        <is>
          <t>PIRU</t>
        </is>
      </c>
      <c r="C246" s="239" t="n"/>
      <c r="D246" s="239" t="n">
        <v>1</v>
      </c>
      <c r="E246" s="239" t="n"/>
      <c r="F246" s="240" t="n"/>
      <c r="G246" s="240" t="n"/>
      <c r="H246" s="241" t="n">
        <v>31000</v>
      </c>
      <c r="I246" s="242" t="n">
        <v>31000</v>
      </c>
      <c r="J246" s="242" t="n"/>
      <c r="K246" s="233" t="n"/>
      <c r="L246" s="233">
        <f>IF(K246&lt;&gt;"",15250+K246,15250)</f>
        <v/>
      </c>
      <c r="M246" s="156" t="n"/>
      <c r="N246" s="156" t="n"/>
      <c r="O246" s="156" t="n"/>
    </row>
    <row r="247" ht="18.75" customHeight="1" s="153">
      <c r="A247" s="227" t="n">
        <v>46051</v>
      </c>
      <c r="B247" s="228" t="inlineStr">
        <is>
          <t>AZCUENAGA 5023</t>
        </is>
      </c>
      <c r="C247" s="229" t="n">
        <v>3</v>
      </c>
      <c r="D247" s="229" t="n"/>
      <c r="E247" s="229" t="n"/>
      <c r="F247" s="230" t="n"/>
      <c r="G247" s="230" t="n"/>
      <c r="H247" s="231" t="n">
        <v>43500</v>
      </c>
      <c r="I247" s="232" t="n"/>
      <c r="J247" s="232" t="n">
        <v>43500</v>
      </c>
      <c r="K247" s="233" t="n"/>
      <c r="L247" s="233">
        <f>IF(K247&lt;&gt;"",12000+K247,12000)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>PANA VIEYTES GISELA</t>
        </is>
      </c>
      <c r="C248" s="239" t="n"/>
      <c r="D248" s="239" t="n"/>
      <c r="E248" s="239" t="n"/>
      <c r="F248" s="240" t="n">
        <v>2</v>
      </c>
      <c r="G248" s="240" t="n"/>
      <c r="H248" s="241" t="n">
        <v>6900</v>
      </c>
      <c r="I248" s="242" t="n"/>
      <c r="J248" s="242" t="n">
        <v>6900</v>
      </c>
      <c r="K248" s="233" t="n"/>
      <c r="L248" s="233">
        <f>IF(K248&lt;&gt;"",2250+K248,2250)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BEATRIZ</t>
        </is>
      </c>
      <c r="C249" s="229" t="n"/>
      <c r="D249" s="229" t="n"/>
      <c r="E249" s="229" t="n"/>
      <c r="F249" s="230" t="n"/>
      <c r="G249" s="230" t="n">
        <v>1</v>
      </c>
      <c r="H249" s="231" t="n">
        <v>5000</v>
      </c>
      <c r="I249" s="232" t="n">
        <v>5000</v>
      </c>
      <c r="J249" s="232" t="n"/>
      <c r="K249" s="233" t="n"/>
      <c r="L249" s="233">
        <f>IF(K249&lt;&gt;"",4200+K249,4200)</f>
        <v/>
      </c>
      <c r="M249" s="156" t="n"/>
      <c r="N249" s="156" t="n"/>
      <c r="O249" s="156" t="n"/>
    </row>
    <row r="250" ht="18.75" customHeight="1" s="153">
      <c r="A250" s="237" t="n"/>
      <c r="B250" s="238" t="inlineStr">
        <is>
          <t xml:space="preserve">ROTI SAN LORENZO </t>
        </is>
      </c>
      <c r="C250" s="239" t="n">
        <v>1</v>
      </c>
      <c r="D250" s="239" t="n">
        <v>1</v>
      </c>
      <c r="E250" s="239" t="n"/>
      <c r="F250" s="240" t="n"/>
      <c r="G250" s="240" t="n"/>
      <c r="H250" s="241" t="n">
        <v>51000</v>
      </c>
      <c r="I250" s="242" t="n"/>
      <c r="J250" s="242" t="n">
        <v>51000</v>
      </c>
      <c r="K250" s="233" t="n"/>
      <c r="L250" s="233">
        <f>IF(K250&lt;&gt;"",24750+K250,24750)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 xml:space="preserve">LAVADERO </t>
        </is>
      </c>
      <c r="C251" s="229" t="n">
        <v>1</v>
      </c>
      <c r="D251" s="229" t="n"/>
      <c r="E251" s="229" t="n"/>
      <c r="F251" s="230" t="n"/>
      <c r="G251" s="230" t="n"/>
      <c r="H251" s="231" t="n">
        <v>14500</v>
      </c>
      <c r="I251" s="232" t="n"/>
      <c r="J251" s="232" t="n">
        <v>14500</v>
      </c>
      <c r="K251" s="233" t="n"/>
      <c r="L251" s="233">
        <f>IF(K251&lt;&gt;"",4000+K251,4000)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SABOREAR</t>
        </is>
      </c>
      <c r="C252" s="239" t="n">
        <v>1</v>
      </c>
      <c r="D252" s="239" t="n">
        <v>1</v>
      </c>
      <c r="E252" s="239" t="n"/>
      <c r="F252" s="240" t="n"/>
      <c r="G252" s="240" t="n"/>
      <c r="H252" s="241" t="n">
        <v>46000</v>
      </c>
      <c r="I252" s="242" t="n"/>
      <c r="J252" s="242" t="n">
        <v>46000</v>
      </c>
      <c r="K252" s="233" t="n"/>
      <c r="L252" s="233">
        <f>IF(K252&lt;&gt;"",19750+K252,19750)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PANA GENESIO</t>
        </is>
      </c>
      <c r="C253" s="229" t="n">
        <v>1</v>
      </c>
      <c r="D253" s="229" t="n"/>
      <c r="E253" s="229" t="n">
        <v>1</v>
      </c>
      <c r="F253" s="230" t="n"/>
      <c r="G253" s="230" t="n"/>
      <c r="H253" s="231" t="n">
        <v>87000</v>
      </c>
      <c r="I253" s="232" t="n">
        <v>87000</v>
      </c>
      <c r="J253" s="232" t="n"/>
      <c r="K253" s="233" t="n"/>
      <c r="L253" s="233">
        <f>IF(K253&lt;&gt;"",29500+K253,29500)</f>
        <v/>
      </c>
      <c r="M253" s="156" t="n"/>
      <c r="N253" s="156" t="n"/>
      <c r="O253" s="156" t="n"/>
    </row>
    <row r="254" ht="18.75" customHeight="1" s="153">
      <c r="A254" s="237" t="n">
        <v>46052</v>
      </c>
      <c r="B254" s="238" t="inlineStr">
        <is>
          <t>EUROPA 7251</t>
        </is>
      </c>
      <c r="C254" s="239" t="n">
        <v>1</v>
      </c>
      <c r="D254" s="239" t="n"/>
      <c r="E254" s="239" t="n"/>
      <c r="F254" s="240" t="n"/>
      <c r="G254" s="240" t="n"/>
      <c r="H254" s="241" t="n">
        <v>22000</v>
      </c>
      <c r="I254" s="242" t="n"/>
      <c r="J254" s="242" t="n">
        <v>22000</v>
      </c>
      <c r="K254" s="233" t="n"/>
      <c r="L254" s="233">
        <f>IF(K254&lt;&gt;"",11500+K254,11500)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 xml:space="preserve">RITA </t>
        </is>
      </c>
      <c r="C255" s="229" t="n"/>
      <c r="D255" s="229" t="n"/>
      <c r="E255" s="229" t="n"/>
      <c r="F255" s="230" t="n"/>
      <c r="G255" s="230" t="n">
        <v>1</v>
      </c>
      <c r="H255" s="231" t="n">
        <v>5500</v>
      </c>
      <c r="I255" s="232" t="n"/>
      <c r="J255" s="232" t="n">
        <v>5500</v>
      </c>
      <c r="K255" s="233" t="n"/>
      <c r="L255" s="233">
        <f>IF(K255&lt;&gt;"",4700+K255,4700)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FORMOSOA 6058</t>
        </is>
      </c>
      <c r="C256" s="239" t="n">
        <v>1</v>
      </c>
      <c r="D256" s="239" t="n"/>
      <c r="E256" s="239" t="n"/>
      <c r="F256" s="240" t="n"/>
      <c r="G256" s="240" t="n">
        <v>3</v>
      </c>
      <c r="H256" s="241" t="n">
        <v>37900</v>
      </c>
      <c r="I256" s="242" t="n">
        <v>37900</v>
      </c>
      <c r="J256" s="242" t="n"/>
      <c r="K256" s="233" t="n"/>
      <c r="L256" s="233">
        <f>IF(K256&lt;&gt;"",25000+K256,25000)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PANA VIEYTES GISELA</t>
        </is>
      </c>
      <c r="C257" s="229" t="n">
        <v>1</v>
      </c>
      <c r="D257" s="229" t="n"/>
      <c r="E257" s="229" t="n"/>
      <c r="F257" s="230" t="n">
        <v>1</v>
      </c>
      <c r="G257" s="230" t="n"/>
      <c r="H257" s="231" t="n">
        <v>21200</v>
      </c>
      <c r="I257" s="232" t="n"/>
      <c r="J257" s="232" t="n">
        <v>21200</v>
      </c>
      <c r="K257" s="233" t="n"/>
      <c r="L257" s="233">
        <f>IF(K257&lt;&gt;"",8375+K257,8375)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LA MADRID 4736</t>
        </is>
      </c>
      <c r="C258" s="239" t="n">
        <v>1</v>
      </c>
      <c r="D258" s="239" t="n"/>
      <c r="E258" s="239" t="n"/>
      <c r="F258" s="240" t="n"/>
      <c r="G258" s="240" t="n"/>
      <c r="H258" s="241" t="n">
        <v>21000</v>
      </c>
      <c r="I258" s="242" t="n">
        <v>21000</v>
      </c>
      <c r="J258" s="242" t="n"/>
      <c r="K258" s="233" t="n"/>
      <c r="L258" s="233">
        <f>IF(K258&lt;&gt;"",10500+K258,10500)</f>
        <v/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LUCHO</t>
        </is>
      </c>
      <c r="C259" s="229" t="n">
        <v>1</v>
      </c>
      <c r="D259" s="229" t="n"/>
      <c r="E259" s="229" t="n"/>
      <c r="F259" s="230" t="n"/>
      <c r="G259" s="230" t="n"/>
      <c r="H259" s="231" t="n">
        <v>14500</v>
      </c>
      <c r="I259" s="232" t="n">
        <v>14500</v>
      </c>
      <c r="J259" s="232" t="n"/>
      <c r="K259" s="233" t="n"/>
      <c r="L259" s="233">
        <f>IF(K259&lt;&gt;"",4000+K259,4000)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AZCUENAGA 5023</t>
        </is>
      </c>
      <c r="C260" s="239" t="n">
        <v>1</v>
      </c>
      <c r="D260" s="239" t="n"/>
      <c r="E260" s="239" t="n"/>
      <c r="F260" s="240" t="n"/>
      <c r="G260" s="240" t="n"/>
      <c r="H260" s="241" t="n">
        <v>14500</v>
      </c>
      <c r="I260" s="242" t="n"/>
      <c r="J260" s="242" t="n">
        <v>14500</v>
      </c>
      <c r="K260" s="233" t="n"/>
      <c r="L260" s="233">
        <f>IF(K260&lt;&gt;"",4000+K260,4000)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PENALOZA 6438</t>
        </is>
      </c>
      <c r="C261" s="229" t="n">
        <v>1</v>
      </c>
      <c r="D261" s="229" t="n"/>
      <c r="E261" s="229" t="n"/>
      <c r="F261" s="230" t="n"/>
      <c r="G261" s="230" t="n"/>
      <c r="H261" s="231" t="n">
        <v>21000</v>
      </c>
      <c r="I261" s="232" t="n">
        <v>21000</v>
      </c>
      <c r="J261" s="232" t="n"/>
      <c r="K261" s="233" t="n"/>
      <c r="L261" s="233">
        <f>IF(K261&lt;&gt;"",10500+K261,10500)</f>
        <v/>
      </c>
      <c r="M261" s="156" t="n"/>
      <c r="N261" s="156" t="n"/>
      <c r="O261" s="156" t="n"/>
    </row>
    <row r="262" ht="18.75" customHeight="1" s="153">
      <c r="A262" s="237" t="n"/>
      <c r="B262" s="238" t="inlineStr">
        <is>
          <t>GUANELLA 4543</t>
        </is>
      </c>
      <c r="C262" s="239" t="n">
        <v>1</v>
      </c>
      <c r="D262" s="239" t="n"/>
      <c r="E262" s="239" t="n"/>
      <c r="F262" s="240" t="n"/>
      <c r="G262" s="240" t="n"/>
      <c r="H262" s="241" t="n">
        <v>21000</v>
      </c>
      <c r="I262" s="242" t="n"/>
      <c r="J262" s="242" t="n">
        <v>21000</v>
      </c>
      <c r="K262" s="233" t="n"/>
      <c r="L262" s="233">
        <f>IF(K262&lt;&gt;"",10500+K262,10500)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FILOMENA</t>
        </is>
      </c>
      <c r="C263" s="229" t="n">
        <v>2</v>
      </c>
      <c r="D263" s="229" t="n"/>
      <c r="E263" s="229" t="n"/>
      <c r="F263" s="230" t="n"/>
      <c r="G263" s="230" t="n"/>
      <c r="H263" s="231" t="n">
        <v>36000</v>
      </c>
      <c r="I263" s="232" t="n">
        <v>36000</v>
      </c>
      <c r="J263" s="232" t="n"/>
      <c r="K263" s="233" t="n"/>
      <c r="L263" s="233">
        <f>IF(K263&lt;&gt;"",15000+K263,15000)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LARGUIA 6924</t>
        </is>
      </c>
      <c r="C264" s="239" t="n">
        <v>1</v>
      </c>
      <c r="D264" s="239" t="n"/>
      <c r="E264" s="239" t="n"/>
      <c r="F264" s="240" t="n"/>
      <c r="G264" s="240" t="n"/>
      <c r="H264" s="241" t="n">
        <v>21000</v>
      </c>
      <c r="I264" s="242" t="n">
        <v>21000</v>
      </c>
      <c r="J264" s="242" t="n"/>
      <c r="K264" s="233" t="n"/>
      <c r="L264" s="233">
        <f>IF(K264&lt;&gt;"",10500+K264,10500)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SABOREAR</t>
        </is>
      </c>
      <c r="C265" s="229" t="n">
        <v>1</v>
      </c>
      <c r="D265" s="229" t="n"/>
      <c r="E265" s="229" t="n"/>
      <c r="F265" s="230" t="n"/>
      <c r="G265" s="230" t="n"/>
      <c r="H265" s="231" t="n">
        <v>18000</v>
      </c>
      <c r="I265" s="232" t="n"/>
      <c r="J265" s="232" t="n">
        <v>18000</v>
      </c>
      <c r="K265" s="233" t="n"/>
      <c r="L265" s="233">
        <f>IF(K265&lt;&gt;"",7500+K265,7500)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EXE</t>
        </is>
      </c>
      <c r="C266" s="239" t="n"/>
      <c r="D266" s="239" t="n"/>
      <c r="E266" s="239" t="n">
        <v>1</v>
      </c>
      <c r="F266" s="240" t="n"/>
      <c r="G266" s="240" t="n"/>
      <c r="H266" s="241" t="n">
        <v>69000</v>
      </c>
      <c r="I266" s="242" t="n"/>
      <c r="J266" s="242" t="n">
        <v>69000</v>
      </c>
      <c r="K266" s="233" t="n"/>
      <c r="L266" s="233">
        <f>IF(K266&lt;&gt;"",22000+K266,22000)</f>
        <v/>
      </c>
      <c r="M266" s="156" t="n"/>
      <c r="N266" s="156" t="n"/>
      <c r="O266" s="156" t="n"/>
    </row>
    <row r="267" ht="18.75" customHeight="1" s="153">
      <c r="A267" s="227" t="n">
        <v>46053</v>
      </c>
      <c r="B267" s="228" t="inlineStr">
        <is>
          <t>DOMINGO SILVA 4217</t>
        </is>
      </c>
      <c r="C267" s="229" t="n">
        <v>5</v>
      </c>
      <c r="D267" s="229" t="n">
        <v>1</v>
      </c>
      <c r="E267" s="229" t="n"/>
      <c r="F267" s="230" t="n"/>
      <c r="G267" s="230" t="n"/>
      <c r="H267" s="231" t="n">
        <v>95000</v>
      </c>
      <c r="I267" s="232" t="n"/>
      <c r="J267" s="232" t="n">
        <v>95000</v>
      </c>
      <c r="K267" s="233" t="n"/>
      <c r="L267" s="233">
        <f>IF(K267&lt;&gt;"",26750+K267,26750)</f>
        <v/>
      </c>
      <c r="M267" s="156" t="n"/>
      <c r="N267" s="156" t="n"/>
      <c r="O267" s="156" t="n"/>
    </row>
    <row r="268" ht="18.75" customHeight="1" s="153">
      <c r="A268" s="237" t="n"/>
      <c r="B268" s="238" t="inlineStr">
        <is>
          <t>GORRITI 4600</t>
        </is>
      </c>
      <c r="C268" s="239" t="n"/>
      <c r="D268" s="239" t="n"/>
      <c r="E268" s="239" t="n">
        <v>1</v>
      </c>
      <c r="F268" s="240" t="n"/>
      <c r="G268" s="240" t="n"/>
      <c r="H268" s="241" t="n">
        <v>72000</v>
      </c>
      <c r="I268" s="242" t="n">
        <v>72000</v>
      </c>
      <c r="J268" s="242" t="n"/>
      <c r="K268" s="233" t="n"/>
      <c r="L268" s="233">
        <f>IF(K268&lt;&gt;"",25000+K268,25000)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BRASERIA</t>
        </is>
      </c>
      <c r="C269" s="229" t="n"/>
      <c r="D269" s="229" t="n"/>
      <c r="E269" s="229" t="n">
        <v>1</v>
      </c>
      <c r="F269" s="230" t="n"/>
      <c r="G269" s="230" t="n"/>
      <c r="H269" s="231" t="n">
        <v>72000</v>
      </c>
      <c r="I269" s="232" t="n"/>
      <c r="J269" s="232" t="n">
        <v>72000</v>
      </c>
      <c r="K269" s="233" t="n"/>
      <c r="L269" s="233">
        <f>IF(K269&lt;&gt;"",25000+K269,25000)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OTNIEL</t>
        </is>
      </c>
      <c r="C270" s="239" t="n"/>
      <c r="D270" s="239" t="n"/>
      <c r="E270" s="239" t="n"/>
      <c r="F270" s="240" t="n"/>
      <c r="G270" s="240" t="n">
        <v>1</v>
      </c>
      <c r="H270" s="241" t="n">
        <v>5000</v>
      </c>
      <c r="I270" s="242" t="n"/>
      <c r="J270" s="242" t="n">
        <v>5000</v>
      </c>
      <c r="K270" s="233" t="n"/>
      <c r="L270" s="233">
        <f>IF(K270&lt;&gt;"",4200+K270,4200)</f>
        <v/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 xml:space="preserve">MOLINERO </t>
        </is>
      </c>
      <c r="C271" s="229" t="n">
        <v>1</v>
      </c>
      <c r="D271" s="229" t="n"/>
      <c r="E271" s="229" t="n"/>
      <c r="F271" s="230" t="n"/>
      <c r="G271" s="230" t="n"/>
      <c r="H271" s="231" t="n">
        <v>21000</v>
      </c>
      <c r="I271" s="232" t="n">
        <v>21000</v>
      </c>
      <c r="J271" s="232" t="n"/>
      <c r="K271" s="233" t="n"/>
      <c r="L271" s="233">
        <f>IF(K271&lt;&gt;"",10500+K271,10500)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PARRI BLAS PARERA</t>
        </is>
      </c>
      <c r="C272" s="239" t="n">
        <v>1</v>
      </c>
      <c r="D272" s="239" t="n"/>
      <c r="E272" s="239" t="n"/>
      <c r="F272" s="240" t="n"/>
      <c r="G272" s="240" t="n"/>
      <c r="H272" s="241" t="n">
        <v>17000</v>
      </c>
      <c r="I272" s="242" t="n"/>
      <c r="J272" s="242" t="n">
        <v>17000</v>
      </c>
      <c r="K272" s="233" t="n"/>
      <c r="L272" s="233">
        <f>IF(K272&lt;&gt;"",6500+K272,6500)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PAULO</t>
        </is>
      </c>
      <c r="C273" s="229" t="n">
        <v>2</v>
      </c>
      <c r="D273" s="229" t="n"/>
      <c r="E273" s="229" t="n"/>
      <c r="F273" s="230" t="n"/>
      <c r="G273" s="230" t="n"/>
      <c r="H273" s="231" t="n">
        <v>29000</v>
      </c>
      <c r="I273" s="232" t="n"/>
      <c r="J273" s="232" t="n">
        <v>29000</v>
      </c>
      <c r="K273" s="233" t="n"/>
      <c r="L273" s="233">
        <f>IF(K273&lt;&gt;"",8000+K273,8000)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FILOMENA</t>
        </is>
      </c>
      <c r="C274" s="239" t="n">
        <v>1</v>
      </c>
      <c r="D274" s="239" t="n"/>
      <c r="E274" s="239" t="n"/>
      <c r="F274" s="240" t="n"/>
      <c r="G274" s="240" t="n"/>
      <c r="H274" s="241" t="n">
        <v>18000</v>
      </c>
      <c r="I274" s="242" t="n"/>
      <c r="J274" s="242" t="n">
        <v>18000</v>
      </c>
      <c r="K274" s="233" t="n"/>
      <c r="L274" s="233">
        <f>IF(K274&lt;&gt;"",7500+K274,7500)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NAMUNCURA 4436</t>
        </is>
      </c>
      <c r="C275" s="229" t="n"/>
      <c r="D275" s="229" t="n"/>
      <c r="E275" s="229" t="n">
        <v>1</v>
      </c>
      <c r="F275" s="230" t="n"/>
      <c r="G275" s="230" t="n"/>
      <c r="H275" s="231" t="n">
        <v>75000</v>
      </c>
      <c r="I275" s="232" t="n"/>
      <c r="J275" s="232" t="n">
        <v>75000</v>
      </c>
      <c r="K275" s="233" t="n"/>
      <c r="L275" s="233">
        <f>IF(K275&lt;&gt;"",28000+K275,28000)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27" t="n">
        <v>46054</v>
      </c>
      <c r="B5" s="228" t="inlineStr">
        <is>
          <t>GENERAL PAZ 7989</t>
        </is>
      </c>
      <c r="C5" s="229" t="n">
        <v>1</v>
      </c>
      <c r="D5" s="229" t="n"/>
      <c r="E5" s="229" t="n"/>
      <c r="F5" s="230" t="n"/>
      <c r="G5" s="230" t="n"/>
      <c r="H5" s="231" t="n">
        <v>22000</v>
      </c>
      <c r="I5" s="232" t="n">
        <v>22000</v>
      </c>
      <c r="J5" s="232" t="n"/>
      <c r="K5" s="233" t="n"/>
      <c r="L5" s="233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POLLERIA BLAS PARERA</t>
        </is>
      </c>
      <c r="C6" s="239" t="n">
        <v>1</v>
      </c>
      <c r="D6" s="239" t="n"/>
      <c r="E6" s="239" t="n"/>
      <c r="F6" s="240" t="n"/>
      <c r="G6" s="240" t="n"/>
      <c r="H6" s="241" t="n">
        <v>17000</v>
      </c>
      <c r="I6" s="242" t="n">
        <v>17000</v>
      </c>
      <c r="J6" s="242" t="n"/>
      <c r="K6" s="233" t="n"/>
      <c r="L6" s="233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27" t="n"/>
      <c r="B7" s="228" t="inlineStr">
        <is>
          <t>SAVEDRA 1683</t>
        </is>
      </c>
      <c r="C7" s="229" t="n">
        <v>1</v>
      </c>
      <c r="D7" s="229" t="n"/>
      <c r="E7" s="229" t="n"/>
      <c r="F7" s="230" t="n"/>
      <c r="G7" s="230" t="n"/>
      <c r="H7" s="231" t="n">
        <v>22000</v>
      </c>
      <c r="I7" s="232" t="n">
        <v>22000</v>
      </c>
      <c r="J7" s="232" t="n"/>
      <c r="K7" s="233" t="n"/>
      <c r="L7" s="233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37" t="n"/>
      <c r="B8" s="238" t="inlineStr">
        <is>
          <t>OTNIEL</t>
        </is>
      </c>
      <c r="C8" s="239" t="n">
        <v>1</v>
      </c>
      <c r="D8" s="239" t="n">
        <v>1</v>
      </c>
      <c r="E8" s="239" t="n">
        <v>1</v>
      </c>
      <c r="F8" s="240" t="n"/>
      <c r="G8" s="240" t="n">
        <v>1</v>
      </c>
      <c r="H8" s="241" t="n">
        <v>123500</v>
      </c>
      <c r="I8" s="242" t="n">
        <v>120000</v>
      </c>
      <c r="J8" s="242" t="n">
        <v>3500</v>
      </c>
      <c r="K8" s="233" t="n"/>
      <c r="L8" s="233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27" t="n"/>
      <c r="B9" s="228" t="inlineStr">
        <is>
          <t>PARRI GABOTO</t>
        </is>
      </c>
      <c r="C9" s="229" t="n">
        <v>1</v>
      </c>
      <c r="D9" s="229" t="n"/>
      <c r="E9" s="229" t="n"/>
      <c r="F9" s="230" t="n"/>
      <c r="G9" s="230" t="n"/>
      <c r="H9" s="231" t="n">
        <v>19500</v>
      </c>
      <c r="I9" s="232" t="n"/>
      <c r="J9" s="232" t="n">
        <v>19500</v>
      </c>
      <c r="K9" s="233" t="n"/>
      <c r="L9" s="233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37" t="n"/>
      <c r="B10" s="238" t="inlineStr">
        <is>
          <t>SABORERARTE</t>
        </is>
      </c>
      <c r="C10" s="239" t="n">
        <v>1</v>
      </c>
      <c r="D10" s="239" t="n"/>
      <c r="E10" s="239" t="n">
        <v>1</v>
      </c>
      <c r="F10" s="240" t="n"/>
      <c r="G10" s="240" t="n"/>
      <c r="H10" s="241" t="n">
        <v>88000</v>
      </c>
      <c r="I10" s="242" t="n"/>
      <c r="J10" s="242" t="n">
        <v>88000</v>
      </c>
      <c r="K10" s="233" t="n"/>
      <c r="L10" s="233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27" t="n">
        <v>46055</v>
      </c>
      <c r="B11" s="228" t="inlineStr">
        <is>
          <t>FABIO PARISI</t>
        </is>
      </c>
      <c r="C11" s="229" t="n"/>
      <c r="D11" s="229" t="n"/>
      <c r="E11" s="229" t="n"/>
      <c r="F11" s="230" t="n">
        <v>20</v>
      </c>
      <c r="G11" s="230" t="n"/>
      <c r="H11" s="231" t="n">
        <v>67200</v>
      </c>
      <c r="I11" s="232" t="n">
        <v>67200</v>
      </c>
      <c r="J11" s="232" t="n"/>
      <c r="K11" s="233" t="n"/>
      <c r="L11" s="233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37" t="n"/>
      <c r="B12" s="238" t="inlineStr">
        <is>
          <t>SERBNADO BAY0 7165</t>
        </is>
      </c>
      <c r="C12" s="239" t="n">
        <v>1</v>
      </c>
      <c r="D12" s="239" t="n"/>
      <c r="E12" s="239" t="n"/>
      <c r="F12" s="240" t="n"/>
      <c r="G12" s="240" t="n"/>
      <c r="H12" s="241" t="n">
        <v>20500</v>
      </c>
      <c r="I12" s="242" t="n">
        <v>20500</v>
      </c>
      <c r="J12" s="242" t="n"/>
      <c r="K12" s="233" t="n"/>
      <c r="L12" s="233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27" t="n"/>
      <c r="B13" s="228" t="inlineStr">
        <is>
          <t>MAXI HERMANO</t>
        </is>
      </c>
      <c r="C13" s="229" t="n"/>
      <c r="D13" s="229" t="n"/>
      <c r="E13" s="229" t="n"/>
      <c r="F13" s="230" t="n"/>
      <c r="G13" s="230" t="n">
        <v>1</v>
      </c>
      <c r="H13" s="231" t="n">
        <v>5000</v>
      </c>
      <c r="I13" s="232" t="n"/>
      <c r="J13" s="232" t="n">
        <v>5000</v>
      </c>
      <c r="K13" s="233" t="n"/>
      <c r="L13" s="233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37" t="n"/>
      <c r="B14" s="238" t="inlineStr">
        <is>
          <t>PALLARES 8200</t>
        </is>
      </c>
      <c r="C14" s="239" t="n">
        <v>2</v>
      </c>
      <c r="D14" s="239" t="n"/>
      <c r="E14" s="239" t="n"/>
      <c r="F14" s="240" t="n"/>
      <c r="G14" s="240" t="n"/>
      <c r="H14" s="241" t="n">
        <v>42000</v>
      </c>
      <c r="I14" s="242" t="n"/>
      <c r="J14" s="242" t="n">
        <v>42000</v>
      </c>
      <c r="K14" s="233" t="n"/>
      <c r="L14" s="233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27" t="n"/>
      <c r="B15" s="228" t="inlineStr">
        <is>
          <t>FILOMENA</t>
        </is>
      </c>
      <c r="C15" s="229" t="n">
        <v>2</v>
      </c>
      <c r="D15" s="229" t="n"/>
      <c r="E15" s="229" t="n"/>
      <c r="F15" s="230" t="n"/>
      <c r="G15" s="230" t="n"/>
      <c r="H15" s="231" t="n">
        <v>36000</v>
      </c>
      <c r="I15" s="232" t="n"/>
      <c r="J15" s="232" t="n">
        <v>36000</v>
      </c>
      <c r="K15" s="233" t="n"/>
      <c r="L15" s="233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37" t="n"/>
      <c r="B16" s="238" t="inlineStr">
        <is>
          <t>LUCHO</t>
        </is>
      </c>
      <c r="C16" s="239" t="n">
        <v>1</v>
      </c>
      <c r="D16" s="239" t="n"/>
      <c r="E16" s="239" t="n"/>
      <c r="F16" s="240" t="n"/>
      <c r="G16" s="240" t="n"/>
      <c r="H16" s="241" t="n">
        <v>14500</v>
      </c>
      <c r="I16" s="242" t="n">
        <v>14500</v>
      </c>
      <c r="J16" s="242" t="n"/>
      <c r="K16" s="233" t="n"/>
      <c r="L16" s="233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27" t="n"/>
      <c r="B17" s="228" t="inlineStr">
        <is>
          <t>BRAILE 7173</t>
        </is>
      </c>
      <c r="C17" s="229" t="n">
        <v>1</v>
      </c>
      <c r="D17" s="229" t="n"/>
      <c r="E17" s="229" t="n"/>
      <c r="F17" s="230" t="n"/>
      <c r="G17" s="230" t="n"/>
      <c r="H17" s="231" t="n">
        <v>21000</v>
      </c>
      <c r="I17" s="232" t="n">
        <v>21000</v>
      </c>
      <c r="J17" s="232" t="n"/>
      <c r="K17" s="233" t="n"/>
      <c r="L17" s="233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37" t="n"/>
      <c r="B18" s="238" t="inlineStr">
        <is>
          <t>AZCUENAGA 5023</t>
        </is>
      </c>
      <c r="C18" s="239" t="n">
        <v>1</v>
      </c>
      <c r="D18" s="239" t="n"/>
      <c r="E18" s="239" t="n"/>
      <c r="F18" s="240" t="n"/>
      <c r="G18" s="240" t="n"/>
      <c r="H18" s="241" t="n">
        <v>14500</v>
      </c>
      <c r="I18" s="242" t="n"/>
      <c r="J18" s="242" t="n">
        <v>14500</v>
      </c>
      <c r="K18" s="233" t="n"/>
      <c r="L18" s="233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27" t="n">
        <v>46056</v>
      </c>
      <c r="B19" s="228" t="inlineStr">
        <is>
          <t xml:space="preserve">VICTOR CAPE </t>
        </is>
      </c>
      <c r="C19" s="229" t="n">
        <v>1</v>
      </c>
      <c r="D19" s="229" t="n"/>
      <c r="E19" s="229" t="n"/>
      <c r="F19" s="230" t="n"/>
      <c r="G19" s="230" t="n"/>
      <c r="H19" s="231" t="n">
        <v>20500</v>
      </c>
      <c r="I19" s="232" t="n"/>
      <c r="J19" s="232" t="n">
        <v>20500</v>
      </c>
      <c r="K19" s="233" t="n"/>
      <c r="L19" s="233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37" t="n"/>
      <c r="B20" s="238" t="inlineStr">
        <is>
          <t>PANA VIEYTES GISELA</t>
        </is>
      </c>
      <c r="C20" s="239" t="n">
        <v>1</v>
      </c>
      <c r="D20" s="239" t="n"/>
      <c r="E20" s="239" t="n"/>
      <c r="F20" s="240" t="n"/>
      <c r="G20" s="240" t="n"/>
      <c r="H20" s="241" t="n">
        <v>17500</v>
      </c>
      <c r="I20" s="242" t="n"/>
      <c r="J20" s="242" t="n">
        <v>17500</v>
      </c>
      <c r="K20" s="233" t="n"/>
      <c r="L20" s="233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27" t="n"/>
      <c r="B21" s="228" t="inlineStr">
        <is>
          <t>RUPERTO GODOY 1278</t>
        </is>
      </c>
      <c r="C21" s="229" t="n"/>
      <c r="D21" s="229" t="n"/>
      <c r="E21" s="229" t="n">
        <v>1</v>
      </c>
      <c r="F21" s="230" t="n"/>
      <c r="G21" s="230" t="n"/>
      <c r="H21" s="231" t="n">
        <v>72500</v>
      </c>
      <c r="I21" s="232" t="n">
        <v>72500</v>
      </c>
      <c r="J21" s="232" t="n"/>
      <c r="K21" s="233" t="n"/>
      <c r="L21" s="233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37" t="n"/>
      <c r="B22" s="238" t="inlineStr">
        <is>
          <t>LUCHO</t>
        </is>
      </c>
      <c r="C22" s="239" t="n">
        <v>1</v>
      </c>
      <c r="D22" s="239" t="n"/>
      <c r="E22" s="239" t="n"/>
      <c r="F22" s="240" t="n"/>
      <c r="G22" s="240" t="n"/>
      <c r="H22" s="241" t="n">
        <v>14500</v>
      </c>
      <c r="I22" s="242" t="n">
        <v>14500</v>
      </c>
      <c r="J22" s="242" t="n"/>
      <c r="K22" s="233" t="n"/>
      <c r="L22" s="233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27" t="n"/>
      <c r="B23" s="228" t="inlineStr">
        <is>
          <t>BEATRIZ</t>
        </is>
      </c>
      <c r="C23" s="229" t="n"/>
      <c r="D23" s="229" t="n"/>
      <c r="E23" s="229" t="n"/>
      <c r="F23" s="230" t="n"/>
      <c r="G23" s="230" t="n">
        <v>1</v>
      </c>
      <c r="H23" s="231" t="n">
        <v>5000</v>
      </c>
      <c r="I23" s="232" t="n">
        <v>5000</v>
      </c>
      <c r="J23" s="232" t="n"/>
      <c r="K23" s="233" t="n"/>
      <c r="L23" s="233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37" t="n"/>
      <c r="B24" s="238" t="inlineStr">
        <is>
          <t>EX COMBATIENTES 5220</t>
        </is>
      </c>
      <c r="C24" s="239" t="n">
        <v>2</v>
      </c>
      <c r="D24" s="239" t="n"/>
      <c r="E24" s="239" t="n"/>
      <c r="F24" s="240" t="n"/>
      <c r="G24" s="240" t="n"/>
      <c r="H24" s="241" t="n">
        <v>42000</v>
      </c>
      <c r="I24" s="242" t="n"/>
      <c r="J24" s="242" t="n">
        <v>42000</v>
      </c>
      <c r="K24" s="233" t="n"/>
      <c r="L24" s="233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27" t="n"/>
      <c r="B25" s="228" t="inlineStr">
        <is>
          <t>MOLINA FLORES 1</t>
        </is>
      </c>
      <c r="C25" s="229" t="n"/>
      <c r="D25" s="229" t="n"/>
      <c r="E25" s="229" t="n">
        <v>1</v>
      </c>
      <c r="F25" s="230" t="n"/>
      <c r="G25" s="230" t="n"/>
      <c r="H25" s="231" t="n">
        <v>75000</v>
      </c>
      <c r="I25" s="232" t="n">
        <v>75000</v>
      </c>
      <c r="J25" s="232" t="n"/>
      <c r="K25" s="233" t="n"/>
      <c r="L25" s="233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37" t="n"/>
      <c r="B26" s="238" t="inlineStr">
        <is>
          <t>PANA VIEYTES 3800</t>
        </is>
      </c>
      <c r="C26" s="239" t="n"/>
      <c r="D26" s="239" t="n"/>
      <c r="E26" s="239" t="n">
        <v>1</v>
      </c>
      <c r="F26" s="240" t="n"/>
      <c r="G26" s="240" t="n"/>
      <c r="H26" s="241" t="n">
        <v>71000</v>
      </c>
      <c r="I26" s="242" t="n"/>
      <c r="J26" s="242" t="n">
        <v>71000</v>
      </c>
      <c r="K26" s="233" t="n"/>
      <c r="L26" s="233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27" t="n"/>
      <c r="B27" s="228" t="inlineStr">
        <is>
          <t>LA SALLE 3151</t>
        </is>
      </c>
      <c r="C27" s="229" t="n"/>
      <c r="D27" s="229" t="n"/>
      <c r="E27" s="229" t="n">
        <v>1</v>
      </c>
      <c r="F27" s="230" t="n"/>
      <c r="G27" s="230" t="n"/>
      <c r="H27" s="231" t="n">
        <v>73500</v>
      </c>
      <c r="I27" s="232" t="n">
        <v>73500</v>
      </c>
      <c r="J27" s="232" t="n"/>
      <c r="K27" s="233" t="n"/>
      <c r="L27" s="233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37" t="n"/>
      <c r="B28" s="238" t="inlineStr">
        <is>
          <t>GENERAL PAZ 6050</t>
        </is>
      </c>
      <c r="C28" s="239" t="n">
        <v>1</v>
      </c>
      <c r="D28" s="239" t="n"/>
      <c r="E28" s="239" t="n"/>
      <c r="F28" s="240" t="n"/>
      <c r="G28" s="240" t="n"/>
      <c r="H28" s="241" t="n">
        <v>22000</v>
      </c>
      <c r="I28" s="242" t="n"/>
      <c r="J28" s="242" t="n">
        <v>22000</v>
      </c>
      <c r="K28" s="233" t="n"/>
      <c r="L28" s="233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27" t="n"/>
      <c r="B29" s="228" t="inlineStr">
        <is>
          <t>ESMERALDA 2376</t>
        </is>
      </c>
      <c r="C29" s="229" t="n"/>
      <c r="D29" s="229" t="n"/>
      <c r="E29" s="229" t="n">
        <v>1</v>
      </c>
      <c r="F29" s="230" t="n"/>
      <c r="G29" s="230" t="n"/>
      <c r="H29" s="231" t="n">
        <v>75000</v>
      </c>
      <c r="I29" s="232" t="n"/>
      <c r="J29" s="232" t="n">
        <v>75000</v>
      </c>
      <c r="K29" s="233" t="n"/>
      <c r="L29" s="233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37" t="n"/>
      <c r="B30" s="238" t="inlineStr">
        <is>
          <t xml:space="preserve">FABIAN BLAS PARERA </t>
        </is>
      </c>
      <c r="C30" s="239" t="n">
        <v>1</v>
      </c>
      <c r="D30" s="239" t="n">
        <v>1</v>
      </c>
      <c r="E30" s="239" t="n"/>
      <c r="F30" s="240" t="n"/>
      <c r="G30" s="240" t="n"/>
      <c r="H30" s="241" t="n">
        <v>50000</v>
      </c>
      <c r="I30" s="242" t="n">
        <v>50000</v>
      </c>
      <c r="J30" s="242" t="n"/>
      <c r="K30" s="233" t="n"/>
      <c r="L30" s="233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27" t="n"/>
      <c r="B31" s="228" t="inlineStr">
        <is>
          <t>PANA VIEYTES 4500</t>
        </is>
      </c>
      <c r="C31" s="229" t="n"/>
      <c r="D31" s="229" t="n"/>
      <c r="E31" s="229" t="n">
        <v>1</v>
      </c>
      <c r="F31" s="230" t="n"/>
      <c r="G31" s="230" t="n"/>
      <c r="H31" s="231" t="n">
        <v>66000</v>
      </c>
      <c r="I31" s="232" t="n">
        <v>66000</v>
      </c>
      <c r="J31" s="232" t="n"/>
      <c r="K31" s="233" t="n"/>
      <c r="L31" s="233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37" t="n"/>
      <c r="B32" s="238" t="inlineStr">
        <is>
          <t>SANDRA</t>
        </is>
      </c>
      <c r="C32" s="239" t="n">
        <v>2</v>
      </c>
      <c r="D32" s="239" t="n"/>
      <c r="E32" s="239" t="n"/>
      <c r="F32" s="240" t="n"/>
      <c r="G32" s="240" t="n"/>
      <c r="H32" s="241" t="n">
        <v>29000</v>
      </c>
      <c r="I32" s="242" t="n">
        <v>29000</v>
      </c>
      <c r="J32" s="242" t="n"/>
      <c r="K32" s="233" t="n"/>
      <c r="L32" s="233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27" t="n"/>
      <c r="B33" s="228" t="inlineStr">
        <is>
          <t>AYACUCHO 5370</t>
        </is>
      </c>
      <c r="C33" s="229" t="n"/>
      <c r="D33" s="229" t="n"/>
      <c r="E33" s="229" t="n"/>
      <c r="F33" s="230" t="n"/>
      <c r="G33" s="230" t="n">
        <v>2</v>
      </c>
      <c r="H33" s="231" t="n">
        <v>10000</v>
      </c>
      <c r="I33" s="232" t="n"/>
      <c r="J33" s="232" t="n">
        <v>10000</v>
      </c>
      <c r="K33" s="233" t="n"/>
      <c r="L33" s="233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37" t="n"/>
      <c r="B34" s="238" t="inlineStr">
        <is>
          <t xml:space="preserve">FILOMENA </t>
        </is>
      </c>
      <c r="C34" s="239" t="n">
        <v>1</v>
      </c>
      <c r="D34" s="239" t="n"/>
      <c r="E34" s="239" t="n"/>
      <c r="F34" s="240" t="n"/>
      <c r="G34" s="240" t="n"/>
      <c r="H34" s="241" t="n">
        <v>18000</v>
      </c>
      <c r="I34" s="242" t="n"/>
      <c r="J34" s="242" t="n">
        <v>18000</v>
      </c>
      <c r="K34" s="233" t="n"/>
      <c r="L34" s="233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27" t="n">
        <v>46057</v>
      </c>
      <c r="B35" s="228" t="inlineStr">
        <is>
          <t>COGORNO 5520</t>
        </is>
      </c>
      <c r="C35" s="229" t="n">
        <v>5</v>
      </c>
      <c r="D35" s="229" t="n"/>
      <c r="E35" s="229" t="n"/>
      <c r="F35" s="230" t="n"/>
      <c r="G35" s="230" t="n"/>
      <c r="H35" s="231" t="n">
        <v>72500</v>
      </c>
      <c r="I35" s="232" t="n">
        <v>72500</v>
      </c>
      <c r="J35" s="232" t="n"/>
      <c r="K35" s="233" t="n"/>
      <c r="L35" s="233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37" t="n"/>
      <c r="B36" s="238" t="inlineStr">
        <is>
          <t>OTNIEL</t>
        </is>
      </c>
      <c r="C36" s="239" t="n"/>
      <c r="D36" s="239" t="n"/>
      <c r="E36" s="239" t="n"/>
      <c r="F36" s="240" t="n"/>
      <c r="G36" s="240" t="n">
        <v>4</v>
      </c>
      <c r="H36" s="241" t="n">
        <v>20000</v>
      </c>
      <c r="I36" s="242" t="n">
        <v>20000</v>
      </c>
      <c r="J36" s="242" t="n"/>
      <c r="K36" s="233" t="n"/>
      <c r="L36" s="233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27" t="n"/>
      <c r="B37" s="228" t="inlineStr">
        <is>
          <t>LAVADERO</t>
        </is>
      </c>
      <c r="C37" s="229" t="n"/>
      <c r="D37" s="229" t="n">
        <v>1</v>
      </c>
      <c r="E37" s="229" t="n"/>
      <c r="F37" s="230" t="n"/>
      <c r="G37" s="230" t="n"/>
      <c r="H37" s="231" t="n">
        <v>22000</v>
      </c>
      <c r="I37" s="232" t="n"/>
      <c r="J37" s="232" t="n">
        <v>22000</v>
      </c>
      <c r="K37" s="233" t="n"/>
      <c r="L37" s="233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37" t="n"/>
      <c r="B38" s="238" t="inlineStr">
        <is>
          <t>ALBERTI 5122</t>
        </is>
      </c>
      <c r="C38" s="239" t="n"/>
      <c r="D38" s="239" t="n"/>
      <c r="E38" s="239" t="n">
        <v>1</v>
      </c>
      <c r="F38" s="240" t="n"/>
      <c r="G38" s="240" t="n"/>
      <c r="H38" s="241" t="n">
        <v>75000</v>
      </c>
      <c r="I38" s="242" t="n"/>
      <c r="J38" s="242" t="n">
        <v>75000</v>
      </c>
      <c r="K38" s="233" t="n"/>
      <c r="L38" s="233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27" t="n"/>
      <c r="B39" s="228" t="inlineStr">
        <is>
          <t>NACHO</t>
        </is>
      </c>
      <c r="C39" s="229" t="n"/>
      <c r="D39" s="229" t="n">
        <v>1</v>
      </c>
      <c r="E39" s="229" t="n"/>
      <c r="F39" s="230" t="n"/>
      <c r="G39" s="230" t="n"/>
      <c r="H39" s="231" t="n">
        <v>27000</v>
      </c>
      <c r="I39" s="232" t="n"/>
      <c r="J39" s="232" t="n">
        <v>27000</v>
      </c>
      <c r="K39" s="233" t="n"/>
      <c r="L39" s="233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37" t="n"/>
      <c r="B40" s="238" t="inlineStr">
        <is>
          <t>ALBERTI 5303</t>
        </is>
      </c>
      <c r="C40" s="239" t="n">
        <v>1</v>
      </c>
      <c r="D40" s="239" t="n"/>
      <c r="E40" s="239" t="n"/>
      <c r="F40" s="240" t="n"/>
      <c r="G40" s="240" t="n"/>
      <c r="H40" s="241" t="n">
        <v>21000</v>
      </c>
      <c r="I40" s="242" t="n">
        <v>21000</v>
      </c>
      <c r="J40" s="242" t="n"/>
      <c r="K40" s="233" t="n"/>
      <c r="L40" s="233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27" t="n"/>
      <c r="B41" s="228" t="inlineStr">
        <is>
          <t>GENERAL PAZ 7826</t>
        </is>
      </c>
      <c r="C41" s="229" t="n">
        <v>1</v>
      </c>
      <c r="D41" s="229" t="n"/>
      <c r="E41" s="229" t="n"/>
      <c r="F41" s="230" t="n"/>
      <c r="G41" s="230" t="n"/>
      <c r="H41" s="231" t="n">
        <v>22000</v>
      </c>
      <c r="I41" s="232" t="n">
        <v>22000</v>
      </c>
      <c r="J41" s="232" t="n"/>
      <c r="K41" s="233" t="n"/>
      <c r="L41" s="233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37" t="n"/>
      <c r="B42" s="238" t="inlineStr">
        <is>
          <t xml:space="preserve">PANA GENESIO </t>
        </is>
      </c>
      <c r="C42" s="239" t="n"/>
      <c r="D42" s="239" t="n"/>
      <c r="E42" s="239" t="n">
        <v>1</v>
      </c>
      <c r="F42" s="240" t="n"/>
      <c r="G42" s="240" t="n"/>
      <c r="H42" s="241" t="n">
        <v>69000</v>
      </c>
      <c r="I42" s="242" t="n">
        <v>69000</v>
      </c>
      <c r="J42" s="242" t="n"/>
      <c r="K42" s="233" t="n"/>
      <c r="L42" s="233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27" t="n"/>
      <c r="B43" s="228" t="inlineStr">
        <is>
          <t xml:space="preserve">PANA ALBERTI </t>
        </is>
      </c>
      <c r="C43" s="229" t="n"/>
      <c r="D43" s="229" t="n"/>
      <c r="E43" s="229" t="n">
        <v>1</v>
      </c>
      <c r="F43" s="230" t="n"/>
      <c r="G43" s="230" t="n"/>
      <c r="H43" s="231" t="n">
        <v>71000</v>
      </c>
      <c r="I43" s="232" t="n">
        <v>71000</v>
      </c>
      <c r="J43" s="232" t="n"/>
      <c r="K43" s="233" t="n"/>
      <c r="L43" s="233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37" t="n">
        <v>46058</v>
      </c>
      <c r="B44" s="238" t="inlineStr">
        <is>
          <t>DAMIANOVICH 6212</t>
        </is>
      </c>
      <c r="C44" s="239" t="n"/>
      <c r="D44" s="239" t="n"/>
      <c r="E44" s="239" t="n">
        <v>1</v>
      </c>
      <c r="F44" s="240" t="n"/>
      <c r="G44" s="240" t="n"/>
      <c r="H44" s="241" t="n">
        <v>75000</v>
      </c>
      <c r="I44" s="242" t="n"/>
      <c r="J44" s="242" t="n">
        <v>75000</v>
      </c>
      <c r="K44" s="233" t="n"/>
      <c r="L44" s="233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27" t="n"/>
      <c r="B45" s="228" t="inlineStr">
        <is>
          <t>OTNIEL</t>
        </is>
      </c>
      <c r="C45" s="229" t="n"/>
      <c r="D45" s="229" t="n"/>
      <c r="E45" s="229" t="n">
        <v>1</v>
      </c>
      <c r="F45" s="230" t="n"/>
      <c r="G45" s="230" t="n"/>
      <c r="H45" s="231" t="n">
        <v>71000</v>
      </c>
      <c r="I45" s="232" t="n"/>
      <c r="J45" s="232" t="n">
        <v>71000</v>
      </c>
      <c r="K45" s="233" t="n"/>
      <c r="L45" s="233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37" t="n"/>
      <c r="B46" s="238" t="inlineStr">
        <is>
          <t>ROTI AGUADO</t>
        </is>
      </c>
      <c r="C46" s="239" t="n"/>
      <c r="D46" s="239" t="n">
        <v>2</v>
      </c>
      <c r="E46" s="239" t="n"/>
      <c r="F46" s="240" t="n"/>
      <c r="G46" s="240" t="n"/>
      <c r="H46" s="241" t="n">
        <v>49000</v>
      </c>
      <c r="I46" s="242" t="n"/>
      <c r="J46" s="242" t="n">
        <v>49000</v>
      </c>
      <c r="K46" s="233" t="n"/>
      <c r="L46" s="233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27" t="n"/>
      <c r="B47" s="228" t="inlineStr">
        <is>
          <t>PEDRO CEBALLOS 8134</t>
        </is>
      </c>
      <c r="C47" s="229" t="n">
        <v>2</v>
      </c>
      <c r="D47" s="229" t="n"/>
      <c r="E47" s="229" t="n"/>
      <c r="F47" s="230" t="n"/>
      <c r="G47" s="230" t="n"/>
      <c r="H47" s="231" t="n">
        <v>29000</v>
      </c>
      <c r="I47" s="232" t="n">
        <v>29000</v>
      </c>
      <c r="J47" s="232" t="n"/>
      <c r="K47" s="233" t="n"/>
      <c r="L47" s="233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37" t="n"/>
      <c r="B48" s="238" t="inlineStr">
        <is>
          <t xml:space="preserve">ROTI VIEYTES </t>
        </is>
      </c>
      <c r="C48" s="239" t="n"/>
      <c r="D48" s="239" t="n">
        <v>2</v>
      </c>
      <c r="E48" s="239" t="n"/>
      <c r="F48" s="240" t="n"/>
      <c r="G48" s="240" t="n"/>
      <c r="H48" s="241" t="n">
        <v>44000</v>
      </c>
      <c r="I48" s="242" t="n"/>
      <c r="J48" s="242" t="n">
        <v>44000</v>
      </c>
      <c r="K48" s="233" t="n"/>
      <c r="L48" s="233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27" t="n"/>
      <c r="B49" s="228" t="inlineStr">
        <is>
          <t>PANA VIEYTES GISELA</t>
        </is>
      </c>
      <c r="C49" s="229" t="n">
        <v>1</v>
      </c>
      <c r="D49" s="229" t="n"/>
      <c r="E49" s="229" t="n"/>
      <c r="F49" s="230" t="n">
        <v>1</v>
      </c>
      <c r="G49" s="230" t="n"/>
      <c r="H49" s="231" t="n">
        <v>21200</v>
      </c>
      <c r="I49" s="232" t="n"/>
      <c r="J49" s="232" t="n">
        <v>21200</v>
      </c>
      <c r="K49" s="233" t="n"/>
      <c r="L49" s="233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37" t="n"/>
      <c r="B50" s="238" t="inlineStr">
        <is>
          <t>FILOMENA</t>
        </is>
      </c>
      <c r="C50" s="239" t="n">
        <v>2</v>
      </c>
      <c r="D50" s="239" t="n"/>
      <c r="E50" s="239" t="n"/>
      <c r="F50" s="240" t="n"/>
      <c r="G50" s="240" t="n"/>
      <c r="H50" s="241" t="n">
        <v>36000</v>
      </c>
      <c r="I50" s="242" t="n"/>
      <c r="J50" s="242" t="n">
        <v>36000</v>
      </c>
      <c r="K50" s="233" t="n"/>
      <c r="L50" s="233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27" t="n"/>
      <c r="B51" s="228" t="inlineStr">
        <is>
          <t>SABOREAR</t>
        </is>
      </c>
      <c r="C51" s="229" t="n"/>
      <c r="D51" s="229" t="n">
        <v>1</v>
      </c>
      <c r="E51" s="229" t="n"/>
      <c r="F51" s="230" t="n"/>
      <c r="G51" s="230" t="n"/>
      <c r="H51" s="231" t="n">
        <v>28000</v>
      </c>
      <c r="I51" s="232" t="n"/>
      <c r="J51" s="232" t="n">
        <v>28000</v>
      </c>
      <c r="K51" s="233" t="n"/>
      <c r="L51" s="233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37" t="n">
        <v>46059</v>
      </c>
      <c r="B52" s="238" t="inlineStr">
        <is>
          <t>MARCIAL CANDIOTI 8968</t>
        </is>
      </c>
      <c r="C52" s="239" t="n"/>
      <c r="D52" s="239" t="n"/>
      <c r="E52" s="239" t="n">
        <v>1</v>
      </c>
      <c r="F52" s="240" t="n"/>
      <c r="G52" s="240" t="n"/>
      <c r="H52" s="241" t="n">
        <v>77000</v>
      </c>
      <c r="I52" s="242" t="n"/>
      <c r="J52" s="242" t="n">
        <v>77000</v>
      </c>
      <c r="K52" s="233" t="n"/>
      <c r="L52" s="233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27" t="n"/>
      <c r="B53" s="228" t="inlineStr">
        <is>
          <t>DAMIANOVICH 3190</t>
        </is>
      </c>
      <c r="C53" s="229" t="n"/>
      <c r="D53" s="229" t="n">
        <v>1</v>
      </c>
      <c r="E53" s="229" t="n"/>
      <c r="F53" s="230" t="n"/>
      <c r="G53" s="230" t="n"/>
      <c r="H53" s="231" t="n">
        <v>31500</v>
      </c>
      <c r="I53" s="232" t="n">
        <v>31500</v>
      </c>
      <c r="J53" s="232" t="n"/>
      <c r="K53" s="233" t="n"/>
      <c r="L53" s="233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37" t="n"/>
      <c r="B54" s="238" t="inlineStr">
        <is>
          <t>LUCIANO LEIVA Y ABLERTI</t>
        </is>
      </c>
      <c r="C54" s="239" t="n">
        <v>1</v>
      </c>
      <c r="D54" s="239" t="n"/>
      <c r="E54" s="239" t="n"/>
      <c r="F54" s="240" t="n"/>
      <c r="G54" s="240" t="n"/>
      <c r="H54" s="241" t="n">
        <v>20000</v>
      </c>
      <c r="I54" s="242" t="n">
        <v>20000</v>
      </c>
      <c r="J54" s="242" t="n"/>
      <c r="K54" s="233" t="n"/>
      <c r="L54" s="233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27" t="n"/>
      <c r="B55" s="228" t="inlineStr">
        <is>
          <t>ESTANISLAO ZEBALLOS 4560</t>
        </is>
      </c>
      <c r="C55" s="229" t="n"/>
      <c r="D55" s="229" t="n">
        <v>1</v>
      </c>
      <c r="E55" s="229" t="n"/>
      <c r="F55" s="230" t="n"/>
      <c r="G55" s="230" t="n"/>
      <c r="H55" s="231" t="n">
        <v>33000</v>
      </c>
      <c r="I55" s="232" t="n">
        <v>33000</v>
      </c>
      <c r="J55" s="232" t="n"/>
      <c r="K55" s="233" t="n"/>
      <c r="L55" s="233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37" t="n"/>
      <c r="B56" s="238" t="inlineStr">
        <is>
          <t>EUROPA 7251</t>
        </is>
      </c>
      <c r="C56" s="239" t="n">
        <v>1</v>
      </c>
      <c r="D56" s="239" t="n"/>
      <c r="E56" s="239" t="n"/>
      <c r="F56" s="240" t="n"/>
      <c r="G56" s="240" t="n"/>
      <c r="H56" s="241" t="n">
        <v>22000</v>
      </c>
      <c r="I56" s="242" t="n"/>
      <c r="J56" s="242" t="n">
        <v>22000</v>
      </c>
      <c r="K56" s="233" t="n"/>
      <c r="L56" s="233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27" t="n"/>
      <c r="B57" s="228" t="inlineStr">
        <is>
          <t>AZCUENAGA 5023</t>
        </is>
      </c>
      <c r="C57" s="229" t="n">
        <v>6</v>
      </c>
      <c r="D57" s="229" t="n"/>
      <c r="E57" s="229" t="n"/>
      <c r="F57" s="230" t="n"/>
      <c r="G57" s="230" t="n"/>
      <c r="H57" s="231" t="n">
        <v>87000</v>
      </c>
      <c r="I57" s="232" t="n"/>
      <c r="J57" s="232" t="n">
        <v>87000</v>
      </c>
      <c r="K57" s="233" t="n"/>
      <c r="L57" s="233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37" t="n"/>
      <c r="B58" s="238" t="inlineStr">
        <is>
          <t>SIR LAKI F5</t>
        </is>
      </c>
      <c r="C58" s="239" t="n"/>
      <c r="D58" s="239" t="n"/>
      <c r="E58" s="239" t="n">
        <v>1</v>
      </c>
      <c r="F58" s="240" t="n"/>
      <c r="G58" s="240" t="n"/>
      <c r="H58" s="241" t="n">
        <v>75000</v>
      </c>
      <c r="I58" s="242" t="n">
        <v>75000</v>
      </c>
      <c r="J58" s="242" t="n"/>
      <c r="K58" s="233" t="n"/>
      <c r="L58" s="233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27" t="n"/>
      <c r="B59" s="228" t="inlineStr">
        <is>
          <t>LUCHO</t>
        </is>
      </c>
      <c r="C59" s="229" t="n"/>
      <c r="D59" s="229" t="n"/>
      <c r="E59" s="229" t="n"/>
      <c r="F59" s="230" t="n"/>
      <c r="G59" s="230" t="n">
        <v>1</v>
      </c>
      <c r="H59" s="231" t="n">
        <v>5000</v>
      </c>
      <c r="I59" s="232" t="n"/>
      <c r="J59" s="232" t="n">
        <v>5000</v>
      </c>
      <c r="K59" s="233" t="n"/>
      <c r="L59" s="233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37" t="n"/>
      <c r="B60" s="238" t="inlineStr">
        <is>
          <t>LAVAISE 1074</t>
        </is>
      </c>
      <c r="C60" s="239" t="n"/>
      <c r="D60" s="239" t="n"/>
      <c r="E60" s="239" t="n"/>
      <c r="F60" s="240" t="n"/>
      <c r="G60" s="240" t="n">
        <v>2</v>
      </c>
      <c r="H60" s="241" t="n">
        <v>11600</v>
      </c>
      <c r="I60" s="242" t="n"/>
      <c r="J60" s="242" t="n">
        <v>11600</v>
      </c>
      <c r="K60" s="233" t="n"/>
      <c r="L60" s="233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27" t="n"/>
      <c r="B61" s="228" t="inlineStr">
        <is>
          <t>FILOMENA</t>
        </is>
      </c>
      <c r="C61" s="229" t="n">
        <v>1</v>
      </c>
      <c r="D61" s="229" t="n"/>
      <c r="E61" s="229" t="n"/>
      <c r="F61" s="230" t="n"/>
      <c r="G61" s="230" t="n"/>
      <c r="H61" s="231" t="n">
        <v>18000</v>
      </c>
      <c r="I61" s="232" t="n"/>
      <c r="J61" s="232" t="n">
        <v>18000</v>
      </c>
      <c r="K61" s="233" t="n"/>
      <c r="L61" s="233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37" t="n"/>
      <c r="B62" s="238" t="inlineStr">
        <is>
          <t>BRASERIA</t>
        </is>
      </c>
      <c r="C62" s="239" t="n"/>
      <c r="D62" s="239" t="n"/>
      <c r="E62" s="239" t="n">
        <v>1</v>
      </c>
      <c r="F62" s="240" t="n"/>
      <c r="G62" s="240" t="n"/>
      <c r="H62" s="241" t="n">
        <v>72000</v>
      </c>
      <c r="I62" s="242" t="n"/>
      <c r="J62" s="242" t="n">
        <v>72000</v>
      </c>
      <c r="K62" s="233" t="n"/>
      <c r="L62" s="233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27" t="n"/>
      <c r="B63" s="228" t="inlineStr">
        <is>
          <t>CAREN</t>
        </is>
      </c>
      <c r="C63" s="229" t="n"/>
      <c r="D63" s="229" t="n"/>
      <c r="E63" s="229" t="n">
        <v>1</v>
      </c>
      <c r="F63" s="230" t="n"/>
      <c r="G63" s="230" t="n"/>
      <c r="H63" s="231" t="n">
        <v>69000</v>
      </c>
      <c r="I63" s="232" t="n"/>
      <c r="J63" s="232" t="n">
        <v>69000</v>
      </c>
      <c r="K63" s="233" t="n"/>
      <c r="L63" s="233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37" t="n"/>
      <c r="B64" s="238" t="inlineStr">
        <is>
          <t>ARGENTA PIZZAS</t>
        </is>
      </c>
      <c r="C64" s="239" t="n">
        <v>1</v>
      </c>
      <c r="D64" s="239" t="n"/>
      <c r="E64" s="239" t="n"/>
      <c r="F64" s="240" t="n"/>
      <c r="G64" s="240" t="n"/>
      <c r="H64" s="241" t="n">
        <v>21000</v>
      </c>
      <c r="I64" s="242" t="n"/>
      <c r="J64" s="242" t="n">
        <v>21000</v>
      </c>
      <c r="K64" s="233" t="n"/>
      <c r="L64" s="233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27" t="n"/>
      <c r="B65" s="228" t="inlineStr">
        <is>
          <t>PADRE GENESIO 4501</t>
        </is>
      </c>
      <c r="C65" s="229" t="n">
        <v>1</v>
      </c>
      <c r="D65" s="229" t="n"/>
      <c r="E65" s="229" t="n"/>
      <c r="F65" s="230" t="n"/>
      <c r="G65" s="230" t="n"/>
      <c r="H65" s="231" t="n">
        <v>21000</v>
      </c>
      <c r="I65" s="232" t="n"/>
      <c r="J65" s="232" t="n">
        <v>21000</v>
      </c>
      <c r="K65" s="233" t="n"/>
      <c r="L65" s="233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37" t="n"/>
      <c r="B66" s="238" t="inlineStr">
        <is>
          <t>PORKIS</t>
        </is>
      </c>
      <c r="C66" s="239" t="n">
        <v>1</v>
      </c>
      <c r="D66" s="239" t="n"/>
      <c r="E66" s="239" t="n"/>
      <c r="F66" s="240" t="n"/>
      <c r="G66" s="240" t="n"/>
      <c r="H66" s="241" t="n">
        <v>18500</v>
      </c>
      <c r="I66" s="242" t="n"/>
      <c r="J66" s="242" t="n">
        <v>18500</v>
      </c>
      <c r="K66" s="233" t="n"/>
      <c r="L66" s="233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27" t="n">
        <v>46060</v>
      </c>
      <c r="B67" s="228" t="inlineStr">
        <is>
          <t>AZCUENAGA 5023</t>
        </is>
      </c>
      <c r="C67" s="229" t="n">
        <v>2</v>
      </c>
      <c r="D67" s="229" t="n"/>
      <c r="E67" s="229" t="n"/>
      <c r="F67" s="230" t="n"/>
      <c r="G67" s="230" t="n"/>
      <c r="H67" s="231" t="n">
        <v>29000</v>
      </c>
      <c r="I67" s="232" t="n"/>
      <c r="J67" s="232" t="n">
        <v>29000</v>
      </c>
      <c r="K67" s="233" t="n"/>
      <c r="L67" s="233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37" t="n"/>
      <c r="B68" s="238" t="inlineStr">
        <is>
          <t>SAVEDRA 2799</t>
        </is>
      </c>
      <c r="C68" s="239" t="n">
        <v>1</v>
      </c>
      <c r="D68" s="239" t="n"/>
      <c r="E68" s="239" t="n"/>
      <c r="F68" s="240" t="n"/>
      <c r="G68" s="240" t="n"/>
      <c r="H68" s="241" t="n">
        <v>23000</v>
      </c>
      <c r="I68" s="242" t="n">
        <v>23000</v>
      </c>
      <c r="J68" s="242" t="n"/>
      <c r="K68" s="233" t="n"/>
      <c r="L68" s="233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27" t="n"/>
      <c r="B69" s="228" t="inlineStr">
        <is>
          <t>SABOREAR</t>
        </is>
      </c>
      <c r="C69" s="229" t="n">
        <v>2</v>
      </c>
      <c r="D69" s="229" t="n"/>
      <c r="E69" s="229" t="n"/>
      <c r="F69" s="230" t="n"/>
      <c r="G69" s="230" t="n"/>
      <c r="H69" s="231" t="n">
        <v>38000</v>
      </c>
      <c r="I69" s="232" t="n"/>
      <c r="J69" s="232" t="n">
        <v>38000</v>
      </c>
      <c r="K69" s="233" t="n"/>
      <c r="L69" s="233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37" t="n"/>
      <c r="B70" s="238" t="inlineStr">
        <is>
          <t>9 DE JULIO 1144</t>
        </is>
      </c>
      <c r="C70" s="239" t="n"/>
      <c r="D70" s="239" t="n"/>
      <c r="E70" s="239" t="n">
        <v>2</v>
      </c>
      <c r="F70" s="240" t="n"/>
      <c r="G70" s="240" t="n"/>
      <c r="H70" s="241" t="n">
        <v>154000</v>
      </c>
      <c r="I70" s="242" t="n"/>
      <c r="J70" s="242" t="n">
        <v>154000</v>
      </c>
      <c r="K70" s="233" t="n"/>
      <c r="L70" s="233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27" t="n"/>
      <c r="B71" s="228" t="inlineStr">
        <is>
          <t>CASTELLI 4320</t>
        </is>
      </c>
      <c r="C71" s="229" t="n">
        <v>1</v>
      </c>
      <c r="D71" s="229" t="n"/>
      <c r="E71" s="229" t="n"/>
      <c r="F71" s="230" t="n"/>
      <c r="G71" s="230" t="n"/>
      <c r="H71" s="231" t="n">
        <v>22000</v>
      </c>
      <c r="I71" s="232" t="n">
        <v>22000</v>
      </c>
      <c r="J71" s="232" t="n"/>
      <c r="K71" s="233" t="n"/>
      <c r="L71" s="233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37" t="n"/>
      <c r="B72" s="238" t="inlineStr">
        <is>
          <t>ROTI AGUADO</t>
        </is>
      </c>
      <c r="C72" s="239" t="n"/>
      <c r="D72" s="239" t="n">
        <v>1</v>
      </c>
      <c r="E72" s="239" t="n">
        <v>1</v>
      </c>
      <c r="F72" s="240" t="n"/>
      <c r="G72" s="240" t="n"/>
      <c r="H72" s="241" t="n">
        <v>96500</v>
      </c>
      <c r="I72" s="242" t="n"/>
      <c r="J72" s="242" t="n">
        <v>96500</v>
      </c>
      <c r="K72" s="233" t="n"/>
      <c r="L72" s="233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27" t="n"/>
      <c r="B73" s="228" t="inlineStr">
        <is>
          <t>FLORES 2 TORRE 8</t>
        </is>
      </c>
      <c r="C73" s="229" t="n">
        <v>1</v>
      </c>
      <c r="D73" s="229" t="n"/>
      <c r="E73" s="229" t="n"/>
      <c r="F73" s="230" t="n"/>
      <c r="G73" s="230" t="n"/>
      <c r="H73" s="231" t="n">
        <v>22000</v>
      </c>
      <c r="I73" s="232" t="n">
        <v>22000</v>
      </c>
      <c r="J73" s="232" t="n"/>
      <c r="K73" s="233" t="n"/>
      <c r="L73" s="233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37" t="n"/>
      <c r="B74" s="238" t="inlineStr">
        <is>
          <t>EXE</t>
        </is>
      </c>
      <c r="C74" s="239" t="n"/>
      <c r="D74" s="239" t="n"/>
      <c r="E74" s="239" t="n">
        <v>1</v>
      </c>
      <c r="F74" s="240" t="n"/>
      <c r="G74" s="240" t="n"/>
      <c r="H74" s="241" t="n">
        <v>69000</v>
      </c>
      <c r="I74" s="242" t="n"/>
      <c r="J74" s="242" t="n">
        <v>69000</v>
      </c>
      <c r="K74" s="233" t="n"/>
      <c r="L74" s="233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27" t="n"/>
      <c r="B75" s="228" t="inlineStr">
        <is>
          <t>NACHO</t>
        </is>
      </c>
      <c r="C75" s="229" t="n">
        <v>1</v>
      </c>
      <c r="D75" s="229" t="n"/>
      <c r="E75" s="229" t="n"/>
      <c r="F75" s="230" t="n"/>
      <c r="G75" s="230" t="n"/>
      <c r="H75" s="231" t="n">
        <v>18000</v>
      </c>
      <c r="I75" s="232" t="n"/>
      <c r="J75" s="232" t="n">
        <v>18000</v>
      </c>
      <c r="K75" s="233" t="n"/>
      <c r="L75" s="233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37" t="n"/>
      <c r="B76" s="238" t="inlineStr">
        <is>
          <t>TACUARI</t>
        </is>
      </c>
      <c r="C76" s="239" t="n">
        <v>1</v>
      </c>
      <c r="D76" s="239" t="n"/>
      <c r="E76" s="239" t="n"/>
      <c r="F76" s="240" t="n"/>
      <c r="G76" s="240" t="n"/>
      <c r="H76" s="241" t="n">
        <v>20000</v>
      </c>
      <c r="I76" s="242" t="n"/>
      <c r="J76" s="242" t="n">
        <v>20000</v>
      </c>
      <c r="K76" s="233" t="n"/>
      <c r="L76" s="233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27" t="n"/>
      <c r="B77" s="228" t="inlineStr">
        <is>
          <t>FILOMENA</t>
        </is>
      </c>
      <c r="C77" s="229" t="n">
        <v>1</v>
      </c>
      <c r="D77" s="229" t="n"/>
      <c r="E77" s="229" t="n"/>
      <c r="F77" s="230" t="n"/>
      <c r="G77" s="230" t="n"/>
      <c r="H77" s="231" t="n">
        <v>18000</v>
      </c>
      <c r="I77" s="232" t="n"/>
      <c r="J77" s="232" t="n">
        <v>18000</v>
      </c>
      <c r="K77" s="233" t="n"/>
      <c r="L77" s="233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37" t="n"/>
      <c r="B78" s="238" t="inlineStr">
        <is>
          <t>PANA GENESIO</t>
        </is>
      </c>
      <c r="C78" s="239" t="n"/>
      <c r="D78" s="239" t="n"/>
      <c r="E78" s="239" t="n">
        <v>1</v>
      </c>
      <c r="F78" s="240" t="n"/>
      <c r="G78" s="240" t="n"/>
      <c r="H78" s="241" t="n">
        <v>69000</v>
      </c>
      <c r="I78" s="242" t="n"/>
      <c r="J78" s="242" t="n">
        <v>69000</v>
      </c>
      <c r="K78" s="233" t="n"/>
      <c r="L78" s="233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27" t="n"/>
      <c r="B79" s="228" t="inlineStr">
        <is>
          <t>LUCHO</t>
        </is>
      </c>
      <c r="C79" s="229" t="n">
        <v>2</v>
      </c>
      <c r="D79" s="229" t="n"/>
      <c r="E79" s="229" t="n"/>
      <c r="F79" s="230" t="n"/>
      <c r="G79" s="230" t="n"/>
      <c r="H79" s="231" t="n">
        <v>29000</v>
      </c>
      <c r="I79" s="232" t="n">
        <v>29000</v>
      </c>
      <c r="J79" s="232" t="n"/>
      <c r="K79" s="233" t="n"/>
      <c r="L79" s="233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37" t="n"/>
      <c r="B80" s="238" t="inlineStr">
        <is>
          <t>ROTI VIEYTES</t>
        </is>
      </c>
      <c r="C80" s="239" t="n"/>
      <c r="D80" s="239" t="n">
        <v>2</v>
      </c>
      <c r="E80" s="239" t="n"/>
      <c r="F80" s="240" t="n"/>
      <c r="G80" s="240" t="n"/>
      <c r="H80" s="241" t="n">
        <v>44000</v>
      </c>
      <c r="I80" s="242" t="n"/>
      <c r="J80" s="242" t="n">
        <v>44000</v>
      </c>
      <c r="K80" s="233" t="n"/>
      <c r="L80" s="233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27" t="n">
        <v>46061</v>
      </c>
      <c r="B81" s="228" t="inlineStr">
        <is>
          <t>GENEIRO 8264</t>
        </is>
      </c>
      <c r="C81" s="229" t="n"/>
      <c r="D81" s="229" t="n">
        <v>1</v>
      </c>
      <c r="E81" s="229" t="n"/>
      <c r="F81" s="230" t="n"/>
      <c r="G81" s="230" t="n"/>
      <c r="H81" s="231" t="n">
        <v>33000</v>
      </c>
      <c r="I81" s="232" t="n">
        <v>33000</v>
      </c>
      <c r="J81" s="232" t="n"/>
      <c r="K81" s="233" t="n"/>
      <c r="L81" s="233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37" t="n"/>
      <c r="B82" s="238" t="inlineStr">
        <is>
          <t>SAN JOSE 8494</t>
        </is>
      </c>
      <c r="C82" s="239" t="n"/>
      <c r="D82" s="239" t="n"/>
      <c r="E82" s="239" t="n">
        <v>1</v>
      </c>
      <c r="F82" s="240" t="n"/>
      <c r="G82" s="240" t="n"/>
      <c r="H82" s="241" t="n">
        <v>79000</v>
      </c>
      <c r="I82" s="242" t="n"/>
      <c r="J82" s="242" t="n">
        <v>79000</v>
      </c>
      <c r="K82" s="233" t="n"/>
      <c r="L82" s="233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27" t="n"/>
      <c r="B83" s="228" t="inlineStr">
        <is>
          <t>GRINGO ILGATO</t>
        </is>
      </c>
      <c r="C83" s="229" t="n">
        <v>1</v>
      </c>
      <c r="D83" s="229" t="n"/>
      <c r="E83" s="229" t="n">
        <v>1</v>
      </c>
      <c r="F83" s="230" t="n"/>
      <c r="G83" s="230" t="n"/>
      <c r="H83" s="231" t="n">
        <v>99000</v>
      </c>
      <c r="I83" s="232" t="n">
        <v>99000</v>
      </c>
      <c r="J83" s="232" t="n"/>
      <c r="K83" s="233" t="n"/>
      <c r="L83" s="233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37" t="n"/>
      <c r="B84" s="238" t="inlineStr">
        <is>
          <t>OTNIEL</t>
        </is>
      </c>
      <c r="C84" s="239" t="n">
        <v>1</v>
      </c>
      <c r="D84" s="239" t="n"/>
      <c r="E84" s="239" t="n"/>
      <c r="F84" s="240" t="n"/>
      <c r="G84" s="240" t="n">
        <v>1</v>
      </c>
      <c r="H84" s="241" t="n">
        <v>24000</v>
      </c>
      <c r="I84" s="242" t="n"/>
      <c r="J84" s="242" t="n">
        <v>24000</v>
      </c>
      <c r="K84" s="233" t="n"/>
      <c r="L84" s="233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27" t="n"/>
      <c r="B85" s="228" t="inlineStr">
        <is>
          <t>LUCHO</t>
        </is>
      </c>
      <c r="C85" s="229" t="n"/>
      <c r="D85" s="229" t="n">
        <v>1</v>
      </c>
      <c r="E85" s="229" t="n"/>
      <c r="F85" s="230" t="n"/>
      <c r="G85" s="230" t="n"/>
      <c r="H85" s="231" t="n">
        <v>22500</v>
      </c>
      <c r="I85" s="232" t="n">
        <v>22500</v>
      </c>
      <c r="J85" s="232" t="n"/>
      <c r="K85" s="233" t="n"/>
      <c r="L85" s="233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37" t="n"/>
      <c r="B86" s="238" t="inlineStr">
        <is>
          <t>ROQUE SAENZ PENA 7744</t>
        </is>
      </c>
      <c r="C86" s="239" t="n">
        <v>1</v>
      </c>
      <c r="D86" s="239" t="n"/>
      <c r="E86" s="239" t="n"/>
      <c r="F86" s="240" t="n"/>
      <c r="G86" s="240" t="n"/>
      <c r="H86" s="241" t="n">
        <v>22000</v>
      </c>
      <c r="I86" s="242" t="n"/>
      <c r="J86" s="242" t="n">
        <v>22000</v>
      </c>
      <c r="K86" s="233" t="n"/>
      <c r="L86" s="233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27" t="n"/>
      <c r="B87" s="228" t="inlineStr">
        <is>
          <t>SALTA 2709</t>
        </is>
      </c>
      <c r="C87" s="229" t="n">
        <v>1</v>
      </c>
      <c r="D87" s="229" t="n"/>
      <c r="E87" s="229" t="n"/>
      <c r="F87" s="230" t="n"/>
      <c r="G87" s="230" t="n"/>
      <c r="H87" s="231" t="n">
        <v>22000</v>
      </c>
      <c r="I87" s="232" t="n">
        <v>22000</v>
      </c>
      <c r="J87" s="232" t="n"/>
      <c r="K87" s="233" t="n"/>
      <c r="L87" s="233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37" t="n"/>
      <c r="B88" s="238" t="inlineStr">
        <is>
          <t>CLUB NACIONAL</t>
        </is>
      </c>
      <c r="C88" s="239" t="n">
        <v>1</v>
      </c>
      <c r="D88" s="239" t="n"/>
      <c r="E88" s="239" t="n"/>
      <c r="F88" s="240" t="n"/>
      <c r="G88" s="240" t="n"/>
      <c r="H88" s="241" t="n">
        <v>22000</v>
      </c>
      <c r="I88" s="242" t="n">
        <v>22000</v>
      </c>
      <c r="J88" s="242" t="n"/>
      <c r="K88" s="233" t="n"/>
      <c r="L88" s="233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27" t="n"/>
      <c r="B89" s="228" t="inlineStr">
        <is>
          <t>PAULO</t>
        </is>
      </c>
      <c r="C89" s="229" t="n">
        <v>2</v>
      </c>
      <c r="D89" s="229" t="n"/>
      <c r="E89" s="229" t="n"/>
      <c r="F89" s="230" t="n"/>
      <c r="G89" s="230" t="n"/>
      <c r="H89" s="231" t="n">
        <v>29000</v>
      </c>
      <c r="I89" s="232" t="n">
        <v>29000</v>
      </c>
      <c r="J89" s="232" t="n"/>
      <c r="K89" s="233" t="n"/>
      <c r="L89" s="233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37" t="n">
        <v>46062</v>
      </c>
      <c r="B90" s="238" t="inlineStr">
        <is>
          <t>GOLD BURGUER</t>
        </is>
      </c>
      <c r="C90" s="239" t="n"/>
      <c r="D90" s="239" t="n"/>
      <c r="E90" s="239" t="n">
        <v>2</v>
      </c>
      <c r="F90" s="240" t="n"/>
      <c r="G90" s="240" t="n"/>
      <c r="H90" s="241" t="n">
        <v>164000</v>
      </c>
      <c r="I90" s="242" t="n">
        <v>164000</v>
      </c>
      <c r="J90" s="242" t="n"/>
      <c r="K90" s="233" t="n"/>
      <c r="L90" s="233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27" t="n"/>
      <c r="B91" s="228" t="inlineStr">
        <is>
          <t>ABUELA LUCAS</t>
        </is>
      </c>
      <c r="C91" s="229" t="n">
        <v>1</v>
      </c>
      <c r="D91" s="229" t="n"/>
      <c r="E91" s="229" t="n"/>
      <c r="F91" s="230" t="n"/>
      <c r="G91" s="230" t="n"/>
      <c r="H91" s="231" t="n">
        <v>22000</v>
      </c>
      <c r="I91" s="232" t="n">
        <v>22000</v>
      </c>
      <c r="J91" s="232" t="n"/>
      <c r="K91" s="233" t="n"/>
      <c r="L91" s="233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37" t="n"/>
      <c r="B92" s="238" t="inlineStr">
        <is>
          <t>FILOMENA</t>
        </is>
      </c>
      <c r="C92" s="239" t="n">
        <v>1</v>
      </c>
      <c r="D92" s="239" t="n"/>
      <c r="E92" s="239" t="n"/>
      <c r="F92" s="240" t="n"/>
      <c r="G92" s="240" t="n"/>
      <c r="H92" s="241" t="n">
        <v>18000</v>
      </c>
      <c r="I92" s="242" t="n"/>
      <c r="J92" s="242" t="n">
        <v>18000</v>
      </c>
      <c r="K92" s="233" t="n"/>
      <c r="L92" s="233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27" t="n"/>
      <c r="B93" s="228" t="inlineStr">
        <is>
          <t>BEATRIZ</t>
        </is>
      </c>
      <c r="C93" s="229" t="n"/>
      <c r="D93" s="229" t="n"/>
      <c r="E93" s="229" t="n"/>
      <c r="F93" s="230" t="n"/>
      <c r="G93" s="230" t="n">
        <v>1</v>
      </c>
      <c r="H93" s="231" t="n">
        <v>5000</v>
      </c>
      <c r="I93" s="232" t="n">
        <v>5000</v>
      </c>
      <c r="J93" s="232" t="n"/>
      <c r="K93" s="233" t="n"/>
      <c r="L93" s="233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37" t="n"/>
      <c r="B94" s="238" t="inlineStr">
        <is>
          <t>MARTINEZ 3221</t>
        </is>
      </c>
      <c r="C94" s="239" t="n">
        <v>2</v>
      </c>
      <c r="D94" s="239" t="n"/>
      <c r="E94" s="239" t="n">
        <v>1</v>
      </c>
      <c r="F94" s="240" t="n"/>
      <c r="G94" s="240" t="n"/>
      <c r="H94" s="241" t="n">
        <v>119000</v>
      </c>
      <c r="I94" s="242" t="n"/>
      <c r="J94" s="242" t="n">
        <v>119000</v>
      </c>
      <c r="K94" s="233" t="n"/>
      <c r="L94" s="233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27" t="n"/>
      <c r="B95" s="228" t="inlineStr">
        <is>
          <t>SERBANDO BAYO 7250</t>
        </is>
      </c>
      <c r="C95" s="229" t="n">
        <v>1</v>
      </c>
      <c r="D95" s="229" t="n"/>
      <c r="E95" s="229" t="n"/>
      <c r="F95" s="230" t="n"/>
      <c r="G95" s="230" t="n"/>
      <c r="H95" s="231" t="n">
        <v>21000</v>
      </c>
      <c r="I95" s="232" t="n">
        <v>21000</v>
      </c>
      <c r="J95" s="232" t="n"/>
      <c r="K95" s="233" t="n"/>
      <c r="L95" s="233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37" t="n"/>
      <c r="B96" s="238" t="inlineStr">
        <is>
          <t>LAVAISE 3786</t>
        </is>
      </c>
      <c r="C96" s="239" t="n">
        <v>1</v>
      </c>
      <c r="D96" s="239" t="n">
        <v>1</v>
      </c>
      <c r="E96" s="239" t="n"/>
      <c r="F96" s="240" t="n"/>
      <c r="G96" s="240" t="n"/>
      <c r="H96" s="241" t="n">
        <v>51500</v>
      </c>
      <c r="I96" s="242" t="n">
        <v>51500</v>
      </c>
      <c r="J96" s="242" t="n"/>
      <c r="K96" s="233" t="n"/>
      <c r="L96" s="233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27" t="n"/>
      <c r="B97" s="228" t="inlineStr">
        <is>
          <t>ALBERTI 4930</t>
        </is>
      </c>
      <c r="C97" s="229" t="n"/>
      <c r="D97" s="229" t="n"/>
      <c r="E97" s="229" t="n"/>
      <c r="F97" s="230" t="n"/>
      <c r="G97" s="230" t="n">
        <v>2</v>
      </c>
      <c r="H97" s="231" t="n">
        <v>10000</v>
      </c>
      <c r="I97" s="232" t="n">
        <v>10000</v>
      </c>
      <c r="J97" s="232" t="n"/>
      <c r="K97" s="233" t="n"/>
      <c r="L97" s="233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37" t="n">
        <v>46063</v>
      </c>
      <c r="B98" s="238" t="inlineStr">
        <is>
          <t>ALE RUIZ</t>
        </is>
      </c>
      <c r="C98" s="239" t="n"/>
      <c r="D98" s="239" t="n"/>
      <c r="E98" s="239" t="n"/>
      <c r="F98" s="240" t="n"/>
      <c r="G98" s="240" t="n">
        <v>1</v>
      </c>
      <c r="H98" s="241" t="n">
        <v>5000</v>
      </c>
      <c r="I98" s="242" t="n">
        <v>5000</v>
      </c>
      <c r="J98" s="242" t="n"/>
      <c r="K98" s="233" t="n"/>
      <c r="L98" s="233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27" t="n"/>
      <c r="B99" s="228" t="inlineStr">
        <is>
          <t>PANA GORRITI 4600</t>
        </is>
      </c>
      <c r="C99" s="229" t="n"/>
      <c r="D99" s="229" t="n"/>
      <c r="E99" s="229" t="n">
        <v>1</v>
      </c>
      <c r="F99" s="230" t="n"/>
      <c r="G99" s="230" t="n"/>
      <c r="H99" s="231" t="n">
        <v>74000</v>
      </c>
      <c r="I99" s="232" t="n">
        <v>74000</v>
      </c>
      <c r="J99" s="232" t="n"/>
      <c r="K99" s="233" t="n"/>
      <c r="L99" s="233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37" t="n"/>
      <c r="B100" s="238" t="inlineStr">
        <is>
          <t>ARISTOBULO 5879</t>
        </is>
      </c>
      <c r="C100" s="239" t="n"/>
      <c r="D100" s="239" t="n">
        <v>1</v>
      </c>
      <c r="E100" s="239" t="n"/>
      <c r="F100" s="240" t="n"/>
      <c r="G100" s="240" t="n"/>
      <c r="H100" s="241" t="n">
        <v>34500</v>
      </c>
      <c r="I100" s="242" t="n">
        <v>34500</v>
      </c>
      <c r="J100" s="242" t="n"/>
      <c r="K100" s="233" t="n"/>
      <c r="L100" s="233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27" t="n">
        <v>46064</v>
      </c>
      <c r="B101" s="228" t="inlineStr">
        <is>
          <t>PANA GORRITI 4600</t>
        </is>
      </c>
      <c r="C101" s="229" t="n"/>
      <c r="D101" s="229" t="n"/>
      <c r="E101" s="229" t="n">
        <v>1</v>
      </c>
      <c r="F101" s="230" t="n"/>
      <c r="G101" s="230" t="n"/>
      <c r="H101" s="231" t="n">
        <v>74000</v>
      </c>
      <c r="I101" s="232" t="n">
        <v>74000</v>
      </c>
      <c r="J101" s="232" t="n"/>
      <c r="K101" s="233" t="n"/>
      <c r="L101" s="233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37" t="n"/>
      <c r="B102" s="238" t="inlineStr">
        <is>
          <t>ANA ABDALA</t>
        </is>
      </c>
      <c r="C102" s="239" t="n">
        <v>1</v>
      </c>
      <c r="D102" s="239" t="n"/>
      <c r="E102" s="239" t="n"/>
      <c r="F102" s="240" t="n"/>
      <c r="G102" s="240" t="n"/>
      <c r="H102" s="241" t="n">
        <v>22000</v>
      </c>
      <c r="I102" s="242" t="n"/>
      <c r="J102" s="242" t="n">
        <v>22000</v>
      </c>
      <c r="K102" s="233" t="n"/>
      <c r="L102" s="233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27" t="n"/>
      <c r="B103" s="228" t="inlineStr">
        <is>
          <t>BARRETO 9261</t>
        </is>
      </c>
      <c r="C103" s="229" t="n"/>
      <c r="D103" s="229" t="n">
        <v>1</v>
      </c>
      <c r="E103" s="229" t="n"/>
      <c r="F103" s="230" t="n"/>
      <c r="G103" s="230" t="n"/>
      <c r="H103" s="231" t="n">
        <v>33500</v>
      </c>
      <c r="I103" s="232" t="n"/>
      <c r="J103" s="232" t="n">
        <v>33500</v>
      </c>
      <c r="K103" s="233" t="n"/>
      <c r="L103" s="233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37" t="n"/>
      <c r="B104" s="238" t="inlineStr">
        <is>
          <t>NACHO</t>
        </is>
      </c>
      <c r="C104" s="239" t="n">
        <v>1</v>
      </c>
      <c r="D104" s="239" t="n"/>
      <c r="E104" s="239" t="n"/>
      <c r="F104" s="240" t="n"/>
      <c r="G104" s="240" t="n"/>
      <c r="H104" s="241" t="n">
        <v>18000</v>
      </c>
      <c r="I104" s="242" t="n"/>
      <c r="J104" s="242" t="n">
        <v>18000</v>
      </c>
      <c r="K104" s="233" t="n"/>
      <c r="L104" s="233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27" t="n"/>
      <c r="B105" s="228" t="inlineStr">
        <is>
          <t>SABOREAR</t>
        </is>
      </c>
      <c r="C105" s="229" t="n">
        <v>1</v>
      </c>
      <c r="D105" s="229" t="n"/>
      <c r="E105" s="229" t="n"/>
      <c r="F105" s="230" t="n"/>
      <c r="G105" s="230" t="n"/>
      <c r="H105" s="231" t="n">
        <v>19000</v>
      </c>
      <c r="I105" s="232" t="n"/>
      <c r="J105" s="232" t="n">
        <v>19000</v>
      </c>
      <c r="K105" s="233" t="n"/>
      <c r="L105" s="233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37" t="n"/>
      <c r="B106" s="238" t="inlineStr">
        <is>
          <t>PEDRO FERRE 2213</t>
        </is>
      </c>
      <c r="C106" s="239" t="n">
        <v>1</v>
      </c>
      <c r="D106" s="239" t="n"/>
      <c r="E106" s="239" t="n"/>
      <c r="F106" s="240" t="n"/>
      <c r="G106" s="240" t="n"/>
      <c r="H106" s="241" t="n">
        <v>22000</v>
      </c>
      <c r="I106" s="242" t="n">
        <v>22000</v>
      </c>
      <c r="J106" s="242" t="n"/>
      <c r="K106" s="233" t="n"/>
      <c r="L106" s="233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27" t="n"/>
      <c r="B107" s="228" t="inlineStr">
        <is>
          <t>PANA ALBERTI</t>
        </is>
      </c>
      <c r="C107" s="229" t="n"/>
      <c r="D107" s="229" t="n"/>
      <c r="E107" s="229" t="n">
        <v>1</v>
      </c>
      <c r="F107" s="230" t="n"/>
      <c r="G107" s="230" t="n"/>
      <c r="H107" s="231" t="n">
        <v>72000</v>
      </c>
      <c r="I107" s="232" t="n">
        <v>72000</v>
      </c>
      <c r="J107" s="232" t="n"/>
      <c r="K107" s="233" t="n"/>
      <c r="L107" s="233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37" t="n"/>
      <c r="B108" s="238" t="inlineStr">
        <is>
          <t>PUBLICO 2550</t>
        </is>
      </c>
      <c r="C108" s="239" t="n"/>
      <c r="D108" s="239" t="n"/>
      <c r="E108" s="239" t="n">
        <v>1</v>
      </c>
      <c r="F108" s="240" t="n"/>
      <c r="G108" s="240" t="n"/>
      <c r="H108" s="241" t="n">
        <v>74000</v>
      </c>
      <c r="I108" s="242" t="n"/>
      <c r="J108" s="242" t="n">
        <v>74000</v>
      </c>
      <c r="K108" s="233" t="n"/>
      <c r="L108" s="233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27" t="n"/>
      <c r="B109" s="228" t="inlineStr">
        <is>
          <t>PANA VIEYTES 4500</t>
        </is>
      </c>
      <c r="C109" s="229" t="n"/>
      <c r="D109" s="229" t="n"/>
      <c r="E109" s="229" t="n">
        <v>1</v>
      </c>
      <c r="F109" s="230" t="n"/>
      <c r="G109" s="230" t="n"/>
      <c r="H109" s="231" t="n">
        <v>66000</v>
      </c>
      <c r="I109" s="232" t="n"/>
      <c r="J109" s="232" t="n">
        <v>66000</v>
      </c>
      <c r="K109" s="233" t="n"/>
      <c r="L109" s="233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37" t="n"/>
      <c r="B110" s="238" t="inlineStr">
        <is>
          <t>FILOMENA</t>
        </is>
      </c>
      <c r="C110" s="239" t="n">
        <v>1</v>
      </c>
      <c r="D110" s="239" t="n"/>
      <c r="E110" s="239" t="n"/>
      <c r="F110" s="240" t="n"/>
      <c r="G110" s="240" t="n"/>
      <c r="H110" s="241" t="n">
        <v>18000</v>
      </c>
      <c r="I110" s="242" t="n"/>
      <c r="J110" s="242" t="n">
        <v>18000</v>
      </c>
      <c r="K110" s="233" t="n"/>
      <c r="L110" s="233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27" t="n"/>
      <c r="B111" s="228" t="inlineStr">
        <is>
          <t>EXE</t>
        </is>
      </c>
      <c r="C111" s="229" t="n"/>
      <c r="D111" s="229" t="n"/>
      <c r="E111" s="229" t="n">
        <v>1</v>
      </c>
      <c r="F111" s="230" t="n"/>
      <c r="G111" s="230" t="n"/>
      <c r="H111" s="231" t="n">
        <v>69000</v>
      </c>
      <c r="I111" s="232" t="n"/>
      <c r="J111" s="232" t="n">
        <v>69000</v>
      </c>
      <c r="K111" s="233" t="n"/>
      <c r="L111" s="233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37" t="n"/>
      <c r="B112" s="238" t="inlineStr">
        <is>
          <t>CAREN</t>
        </is>
      </c>
      <c r="C112" s="239" t="n"/>
      <c r="D112" s="239" t="n"/>
      <c r="E112" s="239" t="n">
        <v>1</v>
      </c>
      <c r="F112" s="240" t="n"/>
      <c r="G112" s="240" t="n"/>
      <c r="H112" s="241" t="n">
        <v>69000</v>
      </c>
      <c r="I112" s="242" t="n"/>
      <c r="J112" s="242" t="n">
        <v>69000</v>
      </c>
      <c r="K112" s="233" t="n"/>
      <c r="L112" s="233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27" t="n"/>
      <c r="B113" s="228" t="inlineStr">
        <is>
          <t>FRANCAI 2247</t>
        </is>
      </c>
      <c r="C113" s="229" t="n">
        <v>1</v>
      </c>
      <c r="D113" s="229" t="n"/>
      <c r="E113" s="229" t="n"/>
      <c r="F113" s="230" t="n"/>
      <c r="G113" s="230" t="n"/>
      <c r="H113" s="231" t="n">
        <v>22000</v>
      </c>
      <c r="I113" s="232" t="n"/>
      <c r="J113" s="232" t="n">
        <v>22000</v>
      </c>
      <c r="K113" s="233" t="n"/>
      <c r="L113" s="233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37" t="n"/>
      <c r="B114" s="238" t="inlineStr">
        <is>
          <t>PANA VIEYTES 3800</t>
        </is>
      </c>
      <c r="C114" s="239" t="n"/>
      <c r="D114" s="239" t="n"/>
      <c r="E114" s="239" t="n">
        <v>1</v>
      </c>
      <c r="F114" s="240" t="n"/>
      <c r="G114" s="240" t="n"/>
      <c r="H114" s="241" t="n">
        <v>72000</v>
      </c>
      <c r="I114" s="242" t="n"/>
      <c r="J114" s="242" t="n">
        <v>72000</v>
      </c>
      <c r="K114" s="233" t="n"/>
      <c r="L114" s="233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27" t="n"/>
      <c r="B115" s="228" t="inlineStr">
        <is>
          <t>RIVADAVIA JUNIORS</t>
        </is>
      </c>
      <c r="C115" s="229" t="n">
        <v>1</v>
      </c>
      <c r="D115" s="229" t="n"/>
      <c r="E115" s="229" t="n"/>
      <c r="F115" s="230" t="n"/>
      <c r="G115" s="230" t="n"/>
      <c r="H115" s="231" t="n">
        <v>22000</v>
      </c>
      <c r="I115" s="232" t="n">
        <v>22000</v>
      </c>
      <c r="J115" s="232" t="n"/>
      <c r="K115" s="233" t="n"/>
      <c r="L115" s="233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37" t="n"/>
      <c r="B116" s="238" t="inlineStr">
        <is>
          <t>PANA GENESIO</t>
        </is>
      </c>
      <c r="C116" s="239" t="n"/>
      <c r="D116" s="239" t="n"/>
      <c r="E116" s="239" t="n">
        <v>1</v>
      </c>
      <c r="F116" s="240" t="n"/>
      <c r="G116" s="240" t="n"/>
      <c r="H116" s="241" t="n">
        <v>69000</v>
      </c>
      <c r="I116" s="242" t="n"/>
      <c r="J116" s="242" t="n">
        <v>69000</v>
      </c>
      <c r="K116" s="233" t="n"/>
      <c r="L116" s="233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27" t="n"/>
      <c r="B117" s="228" t="inlineStr">
        <is>
          <t>PANA BERUTI 6400</t>
        </is>
      </c>
      <c r="C117" s="229" t="n"/>
      <c r="D117" s="229" t="n"/>
      <c r="E117" s="229" t="n">
        <v>1</v>
      </c>
      <c r="F117" s="230" t="n"/>
      <c r="G117" s="230" t="n"/>
      <c r="H117" s="231" t="n">
        <v>65000</v>
      </c>
      <c r="I117" s="232" t="n">
        <v>65000</v>
      </c>
      <c r="J117" s="232" t="n"/>
      <c r="K117" s="233" t="n"/>
      <c r="L117" s="233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37" t="n">
        <v>46065</v>
      </c>
      <c r="B118" s="238" t="inlineStr">
        <is>
          <t>OTNIEL</t>
        </is>
      </c>
      <c r="C118" s="239" t="n">
        <v>1</v>
      </c>
      <c r="D118" s="239" t="n">
        <v>1</v>
      </c>
      <c r="E118" s="239" t="n"/>
      <c r="F118" s="240" t="n"/>
      <c r="G118" s="240" t="n"/>
      <c r="H118" s="241" t="n">
        <v>47500</v>
      </c>
      <c r="I118" s="242" t="n"/>
      <c r="J118" s="242" t="n">
        <v>47500</v>
      </c>
      <c r="K118" s="233" t="n"/>
      <c r="L118" s="233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27" t="n"/>
      <c r="B119" s="228" t="inlineStr">
        <is>
          <t>CALLEJON AGUIRRE 5255</t>
        </is>
      </c>
      <c r="C119" s="229" t="n">
        <v>1</v>
      </c>
      <c r="D119" s="229" t="n"/>
      <c r="E119" s="229" t="n"/>
      <c r="F119" s="230" t="n"/>
      <c r="G119" s="230" t="n"/>
      <c r="H119" s="231" t="n">
        <v>22000</v>
      </c>
      <c r="I119" s="232" t="n"/>
      <c r="J119" s="232" t="n">
        <v>22000</v>
      </c>
      <c r="K119" s="233" t="n"/>
      <c r="L119" s="233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37" t="n"/>
      <c r="B120" s="238" t="inlineStr">
        <is>
          <t>MISIONES 6381 PANA</t>
        </is>
      </c>
      <c r="C120" s="239" t="n">
        <v>1</v>
      </c>
      <c r="D120" s="239" t="n"/>
      <c r="E120" s="239" t="n">
        <v>1</v>
      </c>
      <c r="F120" s="240" t="n"/>
      <c r="G120" s="240" t="n"/>
      <c r="H120" s="241" t="n">
        <v>93000</v>
      </c>
      <c r="I120" s="242" t="n"/>
      <c r="J120" s="242" t="n">
        <v>93000</v>
      </c>
      <c r="K120" s="233" t="n"/>
      <c r="L120" s="233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27" t="n"/>
      <c r="B121" s="228" t="inlineStr">
        <is>
          <t>LUCHO</t>
        </is>
      </c>
      <c r="C121" s="229" t="n">
        <v>3</v>
      </c>
      <c r="D121" s="229" t="n"/>
      <c r="E121" s="229" t="n"/>
      <c r="F121" s="230" t="n"/>
      <c r="G121" s="230" t="n"/>
      <c r="H121" s="231" t="n">
        <v>43500</v>
      </c>
      <c r="I121" s="232" t="n"/>
      <c r="J121" s="232" t="n">
        <v>43500</v>
      </c>
      <c r="K121" s="233" t="n"/>
      <c r="L121" s="233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37" t="n"/>
      <c r="B122" s="238" t="inlineStr">
        <is>
          <t>AZCUENAGA 5023</t>
        </is>
      </c>
      <c r="C122" s="239" t="n">
        <v>3</v>
      </c>
      <c r="D122" s="239" t="n">
        <v>2</v>
      </c>
      <c r="E122" s="239" t="n"/>
      <c r="F122" s="240" t="n"/>
      <c r="G122" s="240" t="n"/>
      <c r="H122" s="241" t="n">
        <v>87500</v>
      </c>
      <c r="I122" s="242" t="n"/>
      <c r="J122" s="242" t="n">
        <v>87500</v>
      </c>
      <c r="K122" s="233" t="n"/>
      <c r="L122" s="233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27" t="n"/>
      <c r="B123" s="228" t="inlineStr">
        <is>
          <t>SANDRA</t>
        </is>
      </c>
      <c r="C123" s="229" t="n">
        <v>3</v>
      </c>
      <c r="D123" s="229" t="n"/>
      <c r="E123" s="229" t="n"/>
      <c r="F123" s="230" t="n"/>
      <c r="G123" s="230" t="n"/>
      <c r="H123" s="231" t="n">
        <v>43500</v>
      </c>
      <c r="I123" s="232" t="n">
        <v>43500</v>
      </c>
      <c r="J123" s="232" t="n"/>
      <c r="K123" s="233" t="n"/>
      <c r="L123" s="233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37" t="n"/>
      <c r="B124" s="238" t="inlineStr">
        <is>
          <t>CINDI</t>
        </is>
      </c>
      <c r="C124" s="239" t="n"/>
      <c r="D124" s="239" t="n"/>
      <c r="E124" s="239" t="n"/>
      <c r="F124" s="240" t="n">
        <v>2</v>
      </c>
      <c r="G124" s="240" t="n"/>
      <c r="H124" s="241" t="n">
        <v>7000</v>
      </c>
      <c r="I124" s="242" t="n"/>
      <c r="J124" s="242" t="n">
        <v>7000</v>
      </c>
      <c r="K124" s="233" t="n"/>
      <c r="L124" s="233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27" t="n"/>
      <c r="B125" s="228" t="inlineStr">
        <is>
          <t>PASAJE ROCA 6371</t>
        </is>
      </c>
      <c r="C125" s="229" t="n">
        <v>1</v>
      </c>
      <c r="D125" s="229" t="n"/>
      <c r="E125" s="229" t="n"/>
      <c r="F125" s="230" t="n"/>
      <c r="G125" s="230" t="n"/>
      <c r="H125" s="231" t="n">
        <v>22000</v>
      </c>
      <c r="I125" s="232" t="n"/>
      <c r="J125" s="232" t="n">
        <v>22000</v>
      </c>
      <c r="K125" s="233" t="n"/>
      <c r="L125" s="233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37" t="n"/>
      <c r="B126" s="238" t="inlineStr">
        <is>
          <t>SERBANDO BAYO 6840</t>
        </is>
      </c>
      <c r="C126" s="239" t="n">
        <v>1</v>
      </c>
      <c r="D126" s="239" t="n"/>
      <c r="E126" s="239" t="n"/>
      <c r="F126" s="240" t="n"/>
      <c r="G126" s="240" t="n"/>
      <c r="H126" s="241" t="n">
        <v>22000</v>
      </c>
      <c r="I126" s="242" t="n">
        <v>22000</v>
      </c>
      <c r="J126" s="242" t="n"/>
      <c r="K126" s="233" t="n"/>
      <c r="L126" s="233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27" t="n">
        <v>46066</v>
      </c>
      <c r="B127" s="228" t="inlineStr">
        <is>
          <t>LUCHO</t>
        </is>
      </c>
      <c r="C127" s="229" t="n">
        <v>4</v>
      </c>
      <c r="D127" s="229" t="n">
        <v>1</v>
      </c>
      <c r="E127" s="229" t="n"/>
      <c r="F127" s="230" t="n"/>
      <c r="G127" s="230" t="n"/>
      <c r="H127" s="231" t="n">
        <v>80500</v>
      </c>
      <c r="I127" s="232" t="n">
        <v>80500</v>
      </c>
      <c r="J127" s="232" t="n"/>
      <c r="K127" s="233" t="n"/>
      <c r="L127" s="233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37" t="n"/>
      <c r="B128" s="238" t="inlineStr">
        <is>
          <t>HOTEL ROYAL</t>
        </is>
      </c>
      <c r="C128" s="239" t="n"/>
      <c r="D128" s="239" t="n"/>
      <c r="E128" s="239" t="n">
        <v>1</v>
      </c>
      <c r="F128" s="240" t="n"/>
      <c r="G128" s="240" t="n"/>
      <c r="H128" s="241" t="n">
        <v>77000</v>
      </c>
      <c r="I128" s="242" t="n">
        <v>77000</v>
      </c>
      <c r="J128" s="242" t="n"/>
      <c r="K128" s="233" t="n"/>
      <c r="L128" s="233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27" t="n"/>
      <c r="B129" s="228" t="inlineStr">
        <is>
          <t>PANA VIEYTES GISE</t>
        </is>
      </c>
      <c r="C129" s="229" t="n">
        <v>1</v>
      </c>
      <c r="D129" s="229" t="n"/>
      <c r="E129" s="229" t="n"/>
      <c r="F129" s="230" t="n"/>
      <c r="G129" s="230" t="n"/>
      <c r="H129" s="231" t="n">
        <v>17500</v>
      </c>
      <c r="I129" s="232" t="n"/>
      <c r="J129" s="232" t="n">
        <v>17500</v>
      </c>
      <c r="K129" s="233" t="n"/>
      <c r="L129" s="233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37" t="n"/>
      <c r="B130" s="238" t="inlineStr">
        <is>
          <t>GENERAL PAZ 7826</t>
        </is>
      </c>
      <c r="C130" s="239" t="n">
        <v>1</v>
      </c>
      <c r="D130" s="239" t="n"/>
      <c r="E130" s="239" t="n">
        <v>1</v>
      </c>
      <c r="F130" s="240" t="n"/>
      <c r="G130" s="240" t="n"/>
      <c r="H130" s="241" t="n">
        <v>96000</v>
      </c>
      <c r="I130" s="242" t="n">
        <v>96000</v>
      </c>
      <c r="J130" s="242" t="n"/>
      <c r="K130" s="233" t="n"/>
      <c r="L130" s="233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27" t="n"/>
      <c r="B131" s="228" t="inlineStr">
        <is>
          <t>CASTELLI 5406</t>
        </is>
      </c>
      <c r="C131" s="229" t="n">
        <v>1</v>
      </c>
      <c r="D131" s="229" t="n"/>
      <c r="E131" s="229" t="n"/>
      <c r="F131" s="230" t="n"/>
      <c r="G131" s="230" t="n"/>
      <c r="H131" s="231" t="n">
        <v>22000</v>
      </c>
      <c r="I131" s="232" t="n">
        <v>22000</v>
      </c>
      <c r="J131" s="232" t="n"/>
      <c r="K131" s="233" t="n"/>
      <c r="L131" s="233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37" t="n"/>
      <c r="B132" s="238" t="inlineStr">
        <is>
          <t>ESPORA 4321</t>
        </is>
      </c>
      <c r="C132" s="239" t="n">
        <v>1</v>
      </c>
      <c r="D132" s="239" t="n"/>
      <c r="E132" s="239" t="n"/>
      <c r="F132" s="240" t="n"/>
      <c r="G132" s="240" t="n"/>
      <c r="H132" s="241" t="n">
        <v>22000</v>
      </c>
      <c r="I132" s="242" t="n">
        <v>22000</v>
      </c>
      <c r="J132" s="242" t="n"/>
      <c r="K132" s="233" t="n"/>
      <c r="L132" s="233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27" t="n"/>
      <c r="B133" s="228" t="inlineStr">
        <is>
          <t>VIEYTES 4476</t>
        </is>
      </c>
      <c r="C133" s="229" t="n">
        <v>1</v>
      </c>
      <c r="D133" s="229" t="n"/>
      <c r="E133" s="229" t="n"/>
      <c r="F133" s="230" t="n"/>
      <c r="G133" s="230" t="n"/>
      <c r="H133" s="231" t="n">
        <v>22000</v>
      </c>
      <c r="I133" s="232" t="n">
        <v>22000</v>
      </c>
      <c r="J133" s="232" t="n"/>
      <c r="K133" s="233" t="n"/>
      <c r="L133" s="233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37" t="n"/>
      <c r="B134" s="238" t="inlineStr">
        <is>
          <t>PEDRO ZENTENO 2744</t>
        </is>
      </c>
      <c r="C134" s="239" t="n">
        <v>1</v>
      </c>
      <c r="D134" s="239" t="n"/>
      <c r="E134" s="239" t="n"/>
      <c r="F134" s="240" t="n"/>
      <c r="G134" s="240" t="n"/>
      <c r="H134" s="241" t="n">
        <v>22000</v>
      </c>
      <c r="I134" s="242" t="n">
        <v>22000</v>
      </c>
      <c r="J134" s="242" t="n"/>
      <c r="K134" s="233" t="n"/>
      <c r="L134" s="233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27" t="n"/>
      <c r="B135" s="228" t="inlineStr">
        <is>
          <t>DUSSO 7678</t>
        </is>
      </c>
      <c r="C135" s="229" t="n"/>
      <c r="D135" s="229" t="n">
        <v>1</v>
      </c>
      <c r="E135" s="229" t="n"/>
      <c r="F135" s="230" t="n"/>
      <c r="G135" s="230" t="n"/>
      <c r="H135" s="231" t="n">
        <v>22000</v>
      </c>
      <c r="I135" s="232" t="n">
        <v>22000</v>
      </c>
      <c r="J135" s="232" t="n"/>
      <c r="K135" s="233" t="n"/>
      <c r="L135" s="233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37" t="n"/>
      <c r="B136" s="238" t="inlineStr">
        <is>
          <t>RIO NEGRO 6558</t>
        </is>
      </c>
      <c r="C136" s="239" t="n"/>
      <c r="D136" s="239" t="n"/>
      <c r="E136" s="239" t="n">
        <v>1</v>
      </c>
      <c r="F136" s="240" t="n"/>
      <c r="G136" s="240" t="n"/>
      <c r="H136" s="241" t="n">
        <v>77000</v>
      </c>
      <c r="I136" s="242" t="n">
        <v>77000</v>
      </c>
      <c r="J136" s="242" t="n"/>
      <c r="K136" s="233" t="n"/>
      <c r="L136" s="233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27" t="n"/>
      <c r="B137" s="228" t="inlineStr">
        <is>
          <t>FILOMENA</t>
        </is>
      </c>
      <c r="C137" s="229" t="n">
        <v>3</v>
      </c>
      <c r="D137" s="229" t="n"/>
      <c r="E137" s="229" t="n"/>
      <c r="F137" s="230" t="n"/>
      <c r="G137" s="230" t="n"/>
      <c r="H137" s="231" t="n">
        <v>54000</v>
      </c>
      <c r="I137" s="232" t="n"/>
      <c r="J137" s="232" t="n">
        <v>54000</v>
      </c>
      <c r="K137" s="233" t="n"/>
      <c r="L137" s="233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37" t="n"/>
      <c r="B138" s="238" t="inlineStr">
        <is>
          <t>ALSINA 9251</t>
        </is>
      </c>
      <c r="C138" s="239" t="n"/>
      <c r="D138" s="239" t="n"/>
      <c r="E138" s="239" t="n">
        <v>1</v>
      </c>
      <c r="F138" s="240" t="n"/>
      <c r="G138" s="240" t="n"/>
      <c r="H138" s="241" t="n">
        <v>77000</v>
      </c>
      <c r="I138" s="242" t="n">
        <v>77000</v>
      </c>
      <c r="J138" s="242" t="n"/>
      <c r="K138" s="233" t="n"/>
      <c r="L138" s="233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27" t="n"/>
      <c r="B139" s="228" t="inlineStr">
        <is>
          <t>SABOREAR</t>
        </is>
      </c>
      <c r="C139" s="229" t="n"/>
      <c r="D139" s="229" t="n">
        <v>1</v>
      </c>
      <c r="E139" s="229" t="n">
        <v>1</v>
      </c>
      <c r="F139" s="230" t="n"/>
      <c r="G139" s="230" t="n"/>
      <c r="H139" s="231" t="n">
        <v>97000</v>
      </c>
      <c r="I139" s="232" t="n"/>
      <c r="J139" s="232" t="n">
        <v>97000</v>
      </c>
      <c r="K139" s="233" t="n"/>
      <c r="L139" s="233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37" t="n"/>
      <c r="B140" s="238" t="inlineStr">
        <is>
          <t>ROTI VIEYTES</t>
        </is>
      </c>
      <c r="C140" s="239" t="n"/>
      <c r="D140" s="239" t="n">
        <v>2</v>
      </c>
      <c r="E140" s="239" t="n"/>
      <c r="F140" s="240" t="n"/>
      <c r="G140" s="240" t="n"/>
      <c r="H140" s="241" t="n">
        <v>44000</v>
      </c>
      <c r="I140" s="242" t="n"/>
      <c r="J140" s="242" t="n">
        <v>44000</v>
      </c>
      <c r="K140" s="233" t="n"/>
      <c r="L140" s="233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27" t="n"/>
      <c r="B141" s="228" t="inlineStr">
        <is>
          <t>NACHO</t>
        </is>
      </c>
      <c r="C141" s="229" t="n"/>
      <c r="D141" s="229" t="n">
        <v>1</v>
      </c>
      <c r="E141" s="229" t="n"/>
      <c r="F141" s="230" t="n"/>
      <c r="G141" s="230" t="n"/>
      <c r="H141" s="231" t="n">
        <v>27000</v>
      </c>
      <c r="I141" s="232" t="n"/>
      <c r="J141" s="232" t="n">
        <v>27000</v>
      </c>
      <c r="K141" s="233" t="n"/>
      <c r="L141" s="233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37" t="n"/>
      <c r="B142" s="238" t="inlineStr">
        <is>
          <t>BRASERIA</t>
        </is>
      </c>
      <c r="C142" s="239" t="n"/>
      <c r="D142" s="239" t="n"/>
      <c r="E142" s="239" t="n">
        <v>1</v>
      </c>
      <c r="F142" s="240" t="n"/>
      <c r="G142" s="240" t="n"/>
      <c r="H142" s="241" t="n">
        <v>71000</v>
      </c>
      <c r="I142" s="242" t="n"/>
      <c r="J142" s="242" t="n">
        <v>71000</v>
      </c>
      <c r="K142" s="233" t="n"/>
      <c r="L142" s="233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27" t="n">
        <v>46067</v>
      </c>
      <c r="B143" s="228" t="inlineStr">
        <is>
          <t>OTNIEL</t>
        </is>
      </c>
      <c r="C143" s="229" t="n"/>
      <c r="D143" s="229" t="n"/>
      <c r="E143" s="229" t="n">
        <v>1</v>
      </c>
      <c r="F143" s="230" t="n"/>
      <c r="G143" s="230" t="n">
        <v>2</v>
      </c>
      <c r="H143" s="231" t="n">
        <v>81000</v>
      </c>
      <c r="I143" s="232" t="n"/>
      <c r="J143" s="232" t="n">
        <v>81000</v>
      </c>
      <c r="K143" s="233" t="n"/>
      <c r="L143" s="233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37" t="n"/>
      <c r="B144" s="238" t="inlineStr">
        <is>
          <t>LUCHO</t>
        </is>
      </c>
      <c r="C144" s="239" t="n">
        <v>1</v>
      </c>
      <c r="D144" s="239" t="n"/>
      <c r="E144" s="239" t="n"/>
      <c r="F144" s="240" t="n"/>
      <c r="G144" s="240" t="n"/>
      <c r="H144" s="241" t="n">
        <v>14500</v>
      </c>
      <c r="I144" s="242" t="n">
        <v>14500</v>
      </c>
      <c r="J144" s="242" t="n"/>
      <c r="K144" s="233" t="n"/>
      <c r="L144" s="233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27" t="n"/>
      <c r="B145" s="228" t="inlineStr">
        <is>
          <t>MARTIN ZAPATA 2101</t>
        </is>
      </c>
      <c r="C145" s="229" t="n">
        <v>3</v>
      </c>
      <c r="D145" s="229" t="n"/>
      <c r="E145" s="229" t="n"/>
      <c r="F145" s="230" t="n"/>
      <c r="G145" s="230" t="n"/>
      <c r="H145" s="231" t="n">
        <v>45000</v>
      </c>
      <c r="I145" s="232" t="n"/>
      <c r="J145" s="232" t="n">
        <v>45000</v>
      </c>
      <c r="K145" s="233" t="n"/>
      <c r="L145" s="233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37" t="n"/>
      <c r="B146" s="238" t="inlineStr">
        <is>
          <t>LARREA 3339</t>
        </is>
      </c>
      <c r="C146" s="239" t="n">
        <v>2</v>
      </c>
      <c r="D146" s="239" t="n"/>
      <c r="E146" s="239" t="n"/>
      <c r="F146" s="240" t="n"/>
      <c r="G146" s="240" t="n"/>
      <c r="H146" s="241" t="n">
        <v>30000</v>
      </c>
      <c r="I146" s="242" t="n">
        <v>30000</v>
      </c>
      <c r="J146" s="242" t="n"/>
      <c r="K146" s="233" t="n"/>
      <c r="L146" s="233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27" t="n"/>
      <c r="B147" s="228" t="inlineStr">
        <is>
          <t>4 DE ENERO 3526</t>
        </is>
      </c>
      <c r="C147" s="229" t="n">
        <v>1</v>
      </c>
      <c r="D147" s="229" t="n"/>
      <c r="E147" s="229" t="n"/>
      <c r="F147" s="230" t="n"/>
      <c r="G147" s="230" t="n"/>
      <c r="H147" s="231" t="n">
        <v>22000</v>
      </c>
      <c r="I147" s="232" t="n">
        <v>22000</v>
      </c>
      <c r="J147" s="232" t="n"/>
      <c r="K147" s="233" t="n"/>
      <c r="L147" s="233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37" t="n"/>
      <c r="B148" s="238" t="inlineStr">
        <is>
          <t>AYACUCHO 5370</t>
        </is>
      </c>
      <c r="C148" s="239" t="n"/>
      <c r="D148" s="239" t="n">
        <v>1</v>
      </c>
      <c r="E148" s="239" t="n"/>
      <c r="F148" s="240" t="n"/>
      <c r="G148" s="240" t="n"/>
      <c r="H148" s="241" t="n">
        <v>33500</v>
      </c>
      <c r="I148" s="242" t="n">
        <v>33500</v>
      </c>
      <c r="J148" s="242" t="n"/>
      <c r="K148" s="233" t="n"/>
      <c r="L148" s="233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27" t="n"/>
      <c r="B149" s="228" t="inlineStr">
        <is>
          <t>CAREN</t>
        </is>
      </c>
      <c r="C149" s="229" t="n"/>
      <c r="D149" s="229" t="n"/>
      <c r="E149" s="229" t="n">
        <v>1</v>
      </c>
      <c r="F149" s="230" t="n"/>
      <c r="G149" s="230" t="n"/>
      <c r="H149" s="231" t="n">
        <v>69000</v>
      </c>
      <c r="I149" s="232" t="n"/>
      <c r="J149" s="232" t="n">
        <v>69000</v>
      </c>
      <c r="K149" s="233" t="n"/>
      <c r="L149" s="233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37" t="n">
        <v>46068</v>
      </c>
      <c r="B150" s="238" t="inlineStr">
        <is>
          <t xml:space="preserve">ESTELA PARAGUAY </t>
        </is>
      </c>
      <c r="C150" s="239" t="n">
        <v>3</v>
      </c>
      <c r="D150" s="239" t="n"/>
      <c r="E150" s="239" t="n"/>
      <c r="F150" s="240" t="n"/>
      <c r="G150" s="240" t="n"/>
      <c r="H150" s="241" t="n">
        <v>42000</v>
      </c>
      <c r="I150" s="242" t="n">
        <v>42000</v>
      </c>
      <c r="J150" s="242" t="n"/>
      <c r="K150" s="233" t="n"/>
      <c r="L150" s="233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27" t="n"/>
      <c r="B151" s="228" t="inlineStr">
        <is>
          <t>PANA GENESIO</t>
        </is>
      </c>
      <c r="C151" s="229" t="n"/>
      <c r="D151" s="229" t="n"/>
      <c r="E151" s="229" t="n">
        <v>1</v>
      </c>
      <c r="F151" s="230" t="n"/>
      <c r="G151" s="230" t="n"/>
      <c r="H151" s="231" t="n">
        <v>69000</v>
      </c>
      <c r="I151" s="232" t="n">
        <v>40000</v>
      </c>
      <c r="J151" s="232" t="n">
        <v>29000</v>
      </c>
      <c r="K151" s="233" t="n"/>
      <c r="L151" s="233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37" t="n"/>
      <c r="B152" s="238" t="inlineStr">
        <is>
          <t>AYACUCHO 5370</t>
        </is>
      </c>
      <c r="C152" s="239" t="n"/>
      <c r="D152" s="239" t="n"/>
      <c r="E152" s="239" t="n"/>
      <c r="F152" s="240" t="n"/>
      <c r="G152" s="240" t="n">
        <v>2</v>
      </c>
      <c r="H152" s="241" t="n">
        <v>10000</v>
      </c>
      <c r="I152" s="242" t="n"/>
      <c r="J152" s="242" t="n">
        <v>10000</v>
      </c>
      <c r="K152" s="233" t="n"/>
      <c r="L152" s="233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27" t="n"/>
      <c r="B153" s="228" t="inlineStr">
        <is>
          <t>POLLERIA BLAS PARERA</t>
        </is>
      </c>
      <c r="C153" s="229" t="n">
        <v>1</v>
      </c>
      <c r="D153" s="229" t="n"/>
      <c r="E153" s="229" t="n"/>
      <c r="F153" s="230" t="n"/>
      <c r="G153" s="230" t="n"/>
      <c r="H153" s="231" t="n">
        <v>17000</v>
      </c>
      <c r="I153" s="232" t="n">
        <v>17000</v>
      </c>
      <c r="J153" s="232" t="n"/>
      <c r="K153" s="233" t="n"/>
      <c r="L153" s="233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37" t="n"/>
      <c r="B154" s="238" t="inlineStr">
        <is>
          <t>PAULO</t>
        </is>
      </c>
      <c r="C154" s="239" t="n">
        <v>3</v>
      </c>
      <c r="D154" s="239" t="n"/>
      <c r="E154" s="239" t="n"/>
      <c r="F154" s="240" t="n"/>
      <c r="G154" s="240" t="n"/>
      <c r="H154" s="241" t="n">
        <v>43500</v>
      </c>
      <c r="I154" s="242" t="n">
        <v>43500</v>
      </c>
      <c r="J154" s="242" t="n"/>
      <c r="K154" s="233" t="n"/>
      <c r="L154" s="233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27" t="n"/>
      <c r="B155" s="228" t="inlineStr">
        <is>
          <t>SANDRA</t>
        </is>
      </c>
      <c r="C155" s="229" t="n">
        <v>2</v>
      </c>
      <c r="D155" s="229" t="n"/>
      <c r="E155" s="229" t="n"/>
      <c r="F155" s="230" t="n"/>
      <c r="G155" s="230" t="n">
        <v>1</v>
      </c>
      <c r="H155" s="231" t="n">
        <v>33000</v>
      </c>
      <c r="I155" s="232" t="n">
        <v>33000</v>
      </c>
      <c r="J155" s="232" t="n"/>
      <c r="K155" s="233" t="n"/>
      <c r="L155" s="233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37" t="n"/>
      <c r="B156" s="238" t="inlineStr">
        <is>
          <t>MISIONES 5780</t>
        </is>
      </c>
      <c r="C156" s="239" t="n">
        <v>1</v>
      </c>
      <c r="D156" s="239" t="n"/>
      <c r="E156" s="239" t="n"/>
      <c r="F156" s="240" t="n"/>
      <c r="G156" s="240" t="n"/>
      <c r="H156" s="241" t="n">
        <v>22000</v>
      </c>
      <c r="I156" s="242" t="n">
        <v>22000</v>
      </c>
      <c r="J156" s="242" t="n"/>
      <c r="K156" s="233" t="n"/>
      <c r="L156" s="233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27" t="n"/>
      <c r="B157" s="228" t="inlineStr">
        <is>
          <t>AZOPARDO 8505</t>
        </is>
      </c>
      <c r="C157" s="229" t="n">
        <v>1</v>
      </c>
      <c r="D157" s="229" t="n"/>
      <c r="E157" s="229" t="n"/>
      <c r="F157" s="230" t="n"/>
      <c r="G157" s="230" t="n"/>
      <c r="H157" s="231" t="n">
        <v>22000</v>
      </c>
      <c r="I157" s="232" t="n"/>
      <c r="J157" s="232" t="n">
        <v>22000</v>
      </c>
      <c r="K157" s="233" t="n"/>
      <c r="L157" s="233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37" t="n"/>
      <c r="B158" s="238" t="inlineStr">
        <is>
          <t>PARRI GABOTO</t>
        </is>
      </c>
      <c r="C158" s="239" t="n">
        <v>1</v>
      </c>
      <c r="D158" s="239" t="n"/>
      <c r="E158" s="239" t="n"/>
      <c r="F158" s="240" t="n"/>
      <c r="G158" s="240" t="n"/>
      <c r="H158" s="241" t="n">
        <v>18500</v>
      </c>
      <c r="I158" s="242" t="n"/>
      <c r="J158" s="242" t="n">
        <v>18500</v>
      </c>
      <c r="K158" s="233" t="n"/>
      <c r="L158" s="233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27" t="n"/>
      <c r="B159" s="228" t="inlineStr">
        <is>
          <t>PANA GENESIO</t>
        </is>
      </c>
      <c r="C159" s="229" t="n">
        <v>1</v>
      </c>
      <c r="D159" s="229" t="n"/>
      <c r="E159" s="229" t="n"/>
      <c r="F159" s="230" t="n"/>
      <c r="G159" s="230" t="n"/>
      <c r="H159" s="231" t="n">
        <v>19000</v>
      </c>
      <c r="I159" s="232" t="n"/>
      <c r="J159" s="232" t="n">
        <v>19000</v>
      </c>
      <c r="K159" s="233" t="n"/>
      <c r="L159" s="233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37" t="n"/>
      <c r="B160" s="238" t="inlineStr">
        <is>
          <t>FILOMENA</t>
        </is>
      </c>
      <c r="C160" s="239" t="n">
        <v>1</v>
      </c>
      <c r="D160" s="239" t="n"/>
      <c r="E160" s="239" t="n"/>
      <c r="F160" s="240" t="n"/>
      <c r="G160" s="240" t="n"/>
      <c r="H160" s="241" t="n">
        <v>18000</v>
      </c>
      <c r="I160" s="242" t="n"/>
      <c r="J160" s="242" t="n">
        <v>18000</v>
      </c>
      <c r="K160" s="233" t="n"/>
      <c r="L160" s="233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27" t="n"/>
      <c r="B161" s="228" t="inlineStr">
        <is>
          <t>EXE</t>
        </is>
      </c>
      <c r="C161" s="229" t="n"/>
      <c r="D161" s="229" t="n"/>
      <c r="E161" s="229" t="n">
        <v>1</v>
      </c>
      <c r="F161" s="230" t="n"/>
      <c r="G161" s="230" t="n"/>
      <c r="H161" s="231" t="n">
        <v>69000</v>
      </c>
      <c r="I161" s="232" t="n"/>
      <c r="J161" s="232" t="n">
        <v>69000</v>
      </c>
      <c r="K161" s="233" t="n"/>
      <c r="L161" s="233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37" t="n"/>
      <c r="B162" s="238" t="inlineStr">
        <is>
          <t>SAN JOSE 7369</t>
        </is>
      </c>
      <c r="C162" s="239" t="n">
        <v>1</v>
      </c>
      <c r="D162" s="239" t="n"/>
      <c r="E162" s="239" t="n"/>
      <c r="F162" s="240" t="n"/>
      <c r="G162" s="240" t="n"/>
      <c r="H162" s="241" t="n">
        <v>22000</v>
      </c>
      <c r="I162" s="242" t="n">
        <v>22000</v>
      </c>
      <c r="J162" s="242" t="n"/>
      <c r="K162" s="233" t="n"/>
      <c r="L162" s="233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27" t="n">
        <v>46069</v>
      </c>
      <c r="B163" s="228" t="inlineStr">
        <is>
          <t>DOMINGO SIVLA 4217</t>
        </is>
      </c>
      <c r="C163" s="229" t="n">
        <v>4</v>
      </c>
      <c r="D163" s="229" t="n">
        <v>1</v>
      </c>
      <c r="E163" s="229" t="n"/>
      <c r="F163" s="230" t="n"/>
      <c r="G163" s="230" t="n"/>
      <c r="H163" s="231" t="n">
        <v>80500</v>
      </c>
      <c r="I163" s="232" t="n">
        <v>80500</v>
      </c>
      <c r="J163" s="232" t="n"/>
      <c r="K163" s="233" t="n"/>
      <c r="L163" s="233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37" t="n"/>
      <c r="B164" s="238" t="inlineStr">
        <is>
          <t xml:space="preserve">PANA BONEO </t>
        </is>
      </c>
      <c r="C164" s="239" t="n">
        <v>1</v>
      </c>
      <c r="D164" s="239" t="n"/>
      <c r="E164" s="239" t="n">
        <v>1</v>
      </c>
      <c r="F164" s="240" t="n"/>
      <c r="G164" s="240" t="n"/>
      <c r="H164" s="241" t="n">
        <v>82500</v>
      </c>
      <c r="I164" s="242" t="n">
        <v>82500</v>
      </c>
      <c r="J164" s="242" t="n"/>
      <c r="K164" s="233" t="n"/>
      <c r="L164" s="233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27" t="n"/>
      <c r="B165" s="228" t="inlineStr">
        <is>
          <t>BEATRIZ</t>
        </is>
      </c>
      <c r="C165" s="229" t="n">
        <v>1</v>
      </c>
      <c r="D165" s="229" t="n"/>
      <c r="E165" s="229" t="n"/>
      <c r="F165" s="230" t="n"/>
      <c r="G165" s="230" t="n"/>
      <c r="H165" s="231" t="n">
        <v>5000</v>
      </c>
      <c r="I165" s="232" t="n">
        <v>5000</v>
      </c>
      <c r="J165" s="232" t="n"/>
      <c r="K165" s="233" t="n"/>
      <c r="L165" s="233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37" t="n"/>
      <c r="B166" s="238" t="inlineStr">
        <is>
          <t>LUCHO</t>
        </is>
      </c>
      <c r="C166" s="239" t="n">
        <v>1</v>
      </c>
      <c r="D166" s="239" t="n"/>
      <c r="E166" s="239" t="n"/>
      <c r="F166" s="240" t="n"/>
      <c r="G166" s="240" t="n">
        <v>1</v>
      </c>
      <c r="H166" s="241" t="n">
        <v>19500</v>
      </c>
      <c r="I166" s="242" t="n">
        <v>19500</v>
      </c>
      <c r="J166" s="242" t="n"/>
      <c r="K166" s="233" t="n"/>
      <c r="L166" s="233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27" t="n"/>
      <c r="B167" s="228" t="inlineStr">
        <is>
          <t>JUAN AZUAGA</t>
        </is>
      </c>
      <c r="C167" s="229" t="n">
        <v>1</v>
      </c>
      <c r="D167" s="229" t="n"/>
      <c r="E167" s="229" t="n"/>
      <c r="F167" s="230" t="n"/>
      <c r="G167" s="230" t="n"/>
      <c r="H167" s="231" t="n">
        <v>17000</v>
      </c>
      <c r="I167" s="232" t="n">
        <v>17000</v>
      </c>
      <c r="J167" s="232" t="n"/>
      <c r="K167" s="233" t="n"/>
      <c r="L167" s="233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37" t="n"/>
      <c r="B168" s="238" t="inlineStr">
        <is>
          <t>SABOREAR</t>
        </is>
      </c>
      <c r="C168" s="239" t="n">
        <v>1</v>
      </c>
      <c r="D168" s="239" t="n"/>
      <c r="E168" s="239" t="n"/>
      <c r="F168" s="240" t="n"/>
      <c r="G168" s="240" t="n"/>
      <c r="H168" s="241" t="n">
        <v>19000</v>
      </c>
      <c r="I168" s="242" t="n">
        <v>19000</v>
      </c>
      <c r="J168" s="242" t="n"/>
      <c r="K168" s="233" t="n"/>
      <c r="L168" s="233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27" t="n">
        <v>46070</v>
      </c>
      <c r="B169" s="228" t="inlineStr">
        <is>
          <t>OTNIEL</t>
        </is>
      </c>
      <c r="C169" s="229" t="n"/>
      <c r="D169" s="229" t="n"/>
      <c r="E169" s="229" t="n"/>
      <c r="F169" s="230" t="n"/>
      <c r="G169" s="230" t="n">
        <v>2</v>
      </c>
      <c r="H169" s="231" t="n">
        <v>10000</v>
      </c>
      <c r="I169" s="232" t="n"/>
      <c r="J169" s="232" t="n">
        <v>10000</v>
      </c>
      <c r="K169" s="233" t="n"/>
      <c r="L169" s="233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37" t="n"/>
      <c r="B170" s="238" t="inlineStr">
        <is>
          <t>20 DE JUNIO Y 9 DE JULIO</t>
        </is>
      </c>
      <c r="C170" s="239" t="n"/>
      <c r="D170" s="239" t="n"/>
      <c r="E170" s="239" t="n">
        <v>2</v>
      </c>
      <c r="F170" s="240" t="n"/>
      <c r="G170" s="240" t="n"/>
      <c r="H170" s="241" t="n">
        <v>156000</v>
      </c>
      <c r="I170" s="242" t="n"/>
      <c r="J170" s="242" t="n">
        <v>156000</v>
      </c>
      <c r="K170" s="233" t="n"/>
      <c r="L170" s="233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27" t="n"/>
      <c r="B171" s="228" t="inlineStr">
        <is>
          <t>IL GATO PEPE</t>
        </is>
      </c>
      <c r="C171" s="229" t="n"/>
      <c r="D171" s="229" t="n"/>
      <c r="E171" s="229" t="n">
        <v>1</v>
      </c>
      <c r="F171" s="230" t="n"/>
      <c r="G171" s="230" t="n"/>
      <c r="H171" s="231" t="n">
        <v>78000</v>
      </c>
      <c r="I171" s="232" t="n"/>
      <c r="J171" s="232" t="n">
        <v>78000</v>
      </c>
      <c r="K171" s="233" t="n"/>
      <c r="L171" s="233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37" t="n"/>
      <c r="B172" s="238" t="inlineStr">
        <is>
          <t>ACASIAS 9788</t>
        </is>
      </c>
      <c r="C172" s="239" t="n"/>
      <c r="D172" s="239" t="n"/>
      <c r="E172" s="239" t="n">
        <v>1</v>
      </c>
      <c r="F172" s="240" t="n"/>
      <c r="G172" s="240" t="n"/>
      <c r="H172" s="241" t="n">
        <v>76000</v>
      </c>
      <c r="I172" s="242" t="n"/>
      <c r="J172" s="242" t="n">
        <v>76000</v>
      </c>
      <c r="K172" s="233" t="n"/>
      <c r="L172" s="233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27" t="n"/>
      <c r="B173" s="228" t="inlineStr">
        <is>
          <t>LA MADRID 2059</t>
        </is>
      </c>
      <c r="C173" s="229" t="n">
        <v>1</v>
      </c>
      <c r="D173" s="229" t="n"/>
      <c r="E173" s="229" t="n"/>
      <c r="F173" s="230" t="n"/>
      <c r="G173" s="230" t="n"/>
      <c r="H173" s="231" t="n">
        <v>22000</v>
      </c>
      <c r="I173" s="232" t="n">
        <v>22000</v>
      </c>
      <c r="J173" s="232" t="n"/>
      <c r="K173" s="233" t="n"/>
      <c r="L173" s="233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37" t="n"/>
      <c r="B174" s="238" t="inlineStr">
        <is>
          <t>BONEO 4646</t>
        </is>
      </c>
      <c r="C174" s="239" t="n">
        <v>1</v>
      </c>
      <c r="D174" s="239" t="n"/>
      <c r="E174" s="239" t="n"/>
      <c r="F174" s="240" t="n"/>
      <c r="G174" s="240" t="n"/>
      <c r="H174" s="241" t="n">
        <v>19000</v>
      </c>
      <c r="I174" s="242" t="n">
        <v>19000</v>
      </c>
      <c r="J174" s="242" t="n"/>
      <c r="K174" s="233" t="n"/>
      <c r="L174" s="233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27" t="n"/>
      <c r="B175" s="228" t="inlineStr">
        <is>
          <t>PICHI</t>
        </is>
      </c>
      <c r="C175" s="229" t="n">
        <v>1</v>
      </c>
      <c r="D175" s="229" t="n"/>
      <c r="E175" s="229" t="n"/>
      <c r="F175" s="230" t="n"/>
      <c r="G175" s="230" t="n"/>
      <c r="H175" s="231" t="n">
        <v>18000</v>
      </c>
      <c r="I175" s="232" t="n">
        <v>18000</v>
      </c>
      <c r="J175" s="232" t="n"/>
      <c r="K175" s="233" t="n"/>
      <c r="L175" s="233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37" t="n"/>
      <c r="B176" s="238" t="inlineStr">
        <is>
          <t>ALBERTI 5477</t>
        </is>
      </c>
      <c r="C176" s="239" t="n"/>
      <c r="D176" s="239" t="n"/>
      <c r="E176" s="239" t="n">
        <v>1</v>
      </c>
      <c r="F176" s="240" t="n"/>
      <c r="G176" s="240" t="n"/>
      <c r="H176" s="241" t="n">
        <v>72000</v>
      </c>
      <c r="I176" s="242" t="n"/>
      <c r="J176" s="242" t="n">
        <v>72000</v>
      </c>
      <c r="K176" s="233" t="n"/>
      <c r="L176" s="233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27" t="n"/>
      <c r="B177" s="228" t="inlineStr">
        <is>
          <t>COGORNO 5520</t>
        </is>
      </c>
      <c r="C177" s="229" t="n">
        <v>4</v>
      </c>
      <c r="D177" s="229" t="n"/>
      <c r="E177" s="229" t="n"/>
      <c r="F177" s="230" t="n"/>
      <c r="G177" s="230" t="n"/>
      <c r="H177" s="231" t="n">
        <v>58000</v>
      </c>
      <c r="I177" s="232" t="n">
        <v>58000</v>
      </c>
      <c r="J177" s="232" t="n"/>
      <c r="K177" s="233" t="n"/>
      <c r="L177" s="233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37" t="n"/>
      <c r="B178" s="238" t="inlineStr">
        <is>
          <t>BERUTI 6400 CASA 88</t>
        </is>
      </c>
      <c r="C178" s="239" t="n"/>
      <c r="D178" s="239" t="n"/>
      <c r="E178" s="239" t="n">
        <v>1</v>
      </c>
      <c r="F178" s="240" t="n"/>
      <c r="G178" s="240" t="n"/>
      <c r="H178" s="241" t="n">
        <v>76000</v>
      </c>
      <c r="I178" s="242" t="n">
        <v>76000</v>
      </c>
      <c r="J178" s="242" t="n"/>
      <c r="K178" s="233" t="n"/>
      <c r="L178" s="233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27" t="n"/>
      <c r="B179" s="228" t="inlineStr">
        <is>
          <t>25 DE MAYO 3771</t>
        </is>
      </c>
      <c r="C179" s="229" t="n">
        <v>1</v>
      </c>
      <c r="D179" s="229" t="n"/>
      <c r="E179" s="229" t="n"/>
      <c r="F179" s="230" t="n"/>
      <c r="G179" s="230" t="n"/>
      <c r="H179" s="231" t="n">
        <v>19500</v>
      </c>
      <c r="I179" s="232" t="n">
        <v>19500</v>
      </c>
      <c r="J179" s="232" t="n"/>
      <c r="K179" s="233" t="n"/>
      <c r="L179" s="233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37" t="n"/>
      <c r="B180" s="238" t="inlineStr">
        <is>
          <t xml:space="preserve">GISE PANA </t>
        </is>
      </c>
      <c r="C180" s="239" t="n">
        <v>1</v>
      </c>
      <c r="D180" s="239" t="n"/>
      <c r="E180" s="239" t="n"/>
      <c r="F180" s="240" t="n">
        <v>1</v>
      </c>
      <c r="G180" s="240" t="n"/>
      <c r="H180" s="241" t="n">
        <v>21300</v>
      </c>
      <c r="I180" s="242" t="n"/>
      <c r="J180" s="242" t="n">
        <v>21300</v>
      </c>
      <c r="K180" s="233" t="n"/>
      <c r="L180" s="233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27" t="n"/>
      <c r="B181" s="228" t="inlineStr">
        <is>
          <t>FILOMENA</t>
        </is>
      </c>
      <c r="C181" s="229" t="n">
        <v>2</v>
      </c>
      <c r="D181" s="229" t="n"/>
      <c r="E181" s="229" t="n"/>
      <c r="F181" s="230" t="n"/>
      <c r="G181" s="230" t="n"/>
      <c r="H181" s="231" t="n">
        <v>36000</v>
      </c>
      <c r="I181" s="232" t="n"/>
      <c r="J181" s="232" t="n">
        <v>36000</v>
      </c>
      <c r="K181" s="233" t="n"/>
      <c r="L181" s="233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37" t="n"/>
      <c r="B182" s="238" t="inlineStr">
        <is>
          <t>DANI PAPA BRUNO</t>
        </is>
      </c>
      <c r="C182" s="239" t="n"/>
      <c r="D182" s="239" t="n">
        <v>1</v>
      </c>
      <c r="E182" s="239" t="n"/>
      <c r="F182" s="240" t="n"/>
      <c r="G182" s="240" t="n"/>
      <c r="H182" s="241" t="n">
        <v>28500</v>
      </c>
      <c r="I182" s="242" t="n"/>
      <c r="J182" s="242" t="n">
        <v>28500</v>
      </c>
      <c r="K182" s="233" t="n"/>
      <c r="L182" s="233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27" t="n">
        <v>46071</v>
      </c>
      <c r="B183" s="228" t="inlineStr">
        <is>
          <t>PANA ALBERTI</t>
        </is>
      </c>
      <c r="C183" s="229" t="n"/>
      <c r="D183" s="229" t="n">
        <v>1</v>
      </c>
      <c r="E183" s="229" t="n"/>
      <c r="F183" s="230" t="n"/>
      <c r="G183" s="230" t="n"/>
      <c r="H183" s="231" t="n">
        <v>28500</v>
      </c>
      <c r="I183" s="232" t="n">
        <v>28500</v>
      </c>
      <c r="J183" s="232" t="n"/>
      <c r="K183" s="233" t="n"/>
      <c r="L183" s="233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37" t="n"/>
      <c r="B184" s="238" t="inlineStr">
        <is>
          <t>ARISTOBULO 4471</t>
        </is>
      </c>
      <c r="C184" s="239" t="n"/>
      <c r="D184" s="239" t="n"/>
      <c r="E184" s="239" t="n">
        <v>1</v>
      </c>
      <c r="F184" s="240" t="n"/>
      <c r="G184" s="240" t="n"/>
      <c r="H184" s="241" t="n">
        <v>75000</v>
      </c>
      <c r="I184" s="242" t="n">
        <v>75000</v>
      </c>
      <c r="J184" s="242" t="n"/>
      <c r="K184" s="233" t="n"/>
      <c r="L184" s="233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27" t="n"/>
      <c r="B185" s="228" t="inlineStr">
        <is>
          <t>MONTIEL 9165</t>
        </is>
      </c>
      <c r="C185" s="229" t="n"/>
      <c r="D185" s="229" t="n"/>
      <c r="E185" s="229" t="n">
        <v>1</v>
      </c>
      <c r="F185" s="230" t="n"/>
      <c r="G185" s="230" t="n"/>
      <c r="H185" s="231" t="n">
        <v>72000</v>
      </c>
      <c r="I185" s="232" t="n"/>
      <c r="J185" s="232" t="n">
        <v>72000</v>
      </c>
      <c r="K185" s="233" t="n"/>
      <c r="L185" s="233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37" t="n"/>
      <c r="B186" s="238" t="inlineStr">
        <is>
          <t>PAULO</t>
        </is>
      </c>
      <c r="C186" s="239" t="n">
        <v>2</v>
      </c>
      <c r="D186" s="239" t="n"/>
      <c r="E186" s="239" t="n"/>
      <c r="F186" s="240" t="n"/>
      <c r="G186" s="240" t="n"/>
      <c r="H186" s="241" t="n">
        <v>29000</v>
      </c>
      <c r="I186" s="242" t="n">
        <v>29000</v>
      </c>
      <c r="J186" s="242" t="n"/>
      <c r="K186" s="233" t="n"/>
      <c r="L186" s="233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27" t="n"/>
      <c r="B187" s="228" t="inlineStr">
        <is>
          <t>SANDRA</t>
        </is>
      </c>
      <c r="C187" s="229" t="n">
        <v>1</v>
      </c>
      <c r="D187" s="229" t="n"/>
      <c r="E187" s="229" t="n"/>
      <c r="F187" s="230" t="n"/>
      <c r="G187" s="230" t="n"/>
      <c r="H187" s="231" t="n">
        <v>14500</v>
      </c>
      <c r="I187" s="232" t="n">
        <v>14500</v>
      </c>
      <c r="J187" s="232" t="n"/>
      <c r="K187" s="233" t="n"/>
      <c r="L187" s="233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37" t="n"/>
      <c r="B188" s="238" t="inlineStr">
        <is>
          <t>PUBLICO 5712</t>
        </is>
      </c>
      <c r="C188" s="239" t="n"/>
      <c r="D188" s="239" t="n">
        <v>1</v>
      </c>
      <c r="E188" s="239" t="n"/>
      <c r="F188" s="240" t="n"/>
      <c r="G188" s="240" t="n"/>
      <c r="H188" s="241" t="n">
        <v>33500</v>
      </c>
      <c r="I188" s="242" t="n">
        <v>33500</v>
      </c>
      <c r="J188" s="242" t="n"/>
      <c r="K188" s="233" t="n"/>
      <c r="L188" s="233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27" t="n"/>
      <c r="B189" s="228" t="inlineStr">
        <is>
          <t>RIVADAVIA 6746</t>
        </is>
      </c>
      <c r="C189" s="229" t="n">
        <v>1</v>
      </c>
      <c r="D189" s="229" t="n"/>
      <c r="E189" s="229" t="n"/>
      <c r="F189" s="230" t="n"/>
      <c r="G189" s="230" t="n"/>
      <c r="H189" s="231" t="n">
        <v>22000</v>
      </c>
      <c r="I189" s="232" t="n">
        <v>22000</v>
      </c>
      <c r="J189" s="232" t="n"/>
      <c r="K189" s="233" t="n"/>
      <c r="L189" s="233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37" t="n"/>
      <c r="B190" s="238" t="inlineStr">
        <is>
          <t>AZOPARDO 7263</t>
        </is>
      </c>
      <c r="C190" s="239" t="n">
        <v>1</v>
      </c>
      <c r="D190" s="239" t="n"/>
      <c r="E190" s="239" t="n"/>
      <c r="F190" s="240" t="n"/>
      <c r="G190" s="240" t="n"/>
      <c r="H190" s="241" t="n">
        <v>22000</v>
      </c>
      <c r="I190" s="242" t="n"/>
      <c r="J190" s="242" t="n">
        <v>22000</v>
      </c>
      <c r="K190" s="233" t="n"/>
      <c r="L190" s="233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27" t="n"/>
      <c r="B191" s="228" t="inlineStr">
        <is>
          <t>PAMPA 5745</t>
        </is>
      </c>
      <c r="C191" s="229" t="n">
        <v>1</v>
      </c>
      <c r="D191" s="229" t="n"/>
      <c r="E191" s="229" t="n"/>
      <c r="F191" s="230" t="n"/>
      <c r="G191" s="230" t="n"/>
      <c r="H191" s="231" t="n">
        <v>22000</v>
      </c>
      <c r="I191" s="232" t="n">
        <v>22000</v>
      </c>
      <c r="J191" s="232" t="n"/>
      <c r="K191" s="233" t="n"/>
      <c r="L191" s="233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37" t="n"/>
      <c r="B192" s="238" t="inlineStr">
        <is>
          <t>SAN JOSE 5160</t>
        </is>
      </c>
      <c r="C192" s="239" t="n">
        <v>1</v>
      </c>
      <c r="D192" s="239" t="n"/>
      <c r="E192" s="239" t="n"/>
      <c r="F192" s="240" t="n"/>
      <c r="G192" s="240" t="n"/>
      <c r="H192" s="241" t="n">
        <v>22000</v>
      </c>
      <c r="I192" s="242" t="n"/>
      <c r="J192" s="242" t="n">
        <v>22000</v>
      </c>
      <c r="K192" s="233" t="n"/>
      <c r="L192" s="233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27" t="n"/>
      <c r="B193" s="228" t="inlineStr">
        <is>
          <t xml:space="preserve">FRATERNIDAD </t>
        </is>
      </c>
      <c r="C193" s="229" t="n">
        <v>1</v>
      </c>
      <c r="D193" s="229" t="n"/>
      <c r="E193" s="229" t="n"/>
      <c r="F193" s="230" t="n"/>
      <c r="G193" s="230" t="n"/>
      <c r="H193" s="231" t="n">
        <v>21000</v>
      </c>
      <c r="I193" s="232" t="n">
        <v>21000</v>
      </c>
      <c r="J193" s="232" t="n"/>
      <c r="K193" s="233" t="n"/>
      <c r="L193" s="233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37" t="n"/>
      <c r="B194" s="238" t="inlineStr">
        <is>
          <t>NACHO</t>
        </is>
      </c>
      <c r="C194" s="239" t="n">
        <v>1</v>
      </c>
      <c r="D194" s="239" t="n"/>
      <c r="E194" s="239" t="n"/>
      <c r="F194" s="240" t="n"/>
      <c r="G194" s="240" t="n"/>
      <c r="H194" s="241" t="n">
        <v>18000</v>
      </c>
      <c r="I194" s="242" t="n">
        <v>18000</v>
      </c>
      <c r="J194" s="242" t="n"/>
      <c r="K194" s="233" t="n"/>
      <c r="L194" s="233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27" t="n"/>
      <c r="B195" s="228" t="inlineStr">
        <is>
          <t>AZCUENAGA 5023</t>
        </is>
      </c>
      <c r="C195" s="229" t="n">
        <v>6</v>
      </c>
      <c r="D195" s="229" t="n"/>
      <c r="E195" s="229" t="n"/>
      <c r="F195" s="230" t="n"/>
      <c r="G195" s="230" t="n"/>
      <c r="H195" s="231" t="n">
        <v>87000</v>
      </c>
      <c r="I195" s="232" t="n"/>
      <c r="J195" s="232" t="n">
        <v>87000</v>
      </c>
      <c r="K195" s="233" t="n"/>
      <c r="L195" s="233">
        <f>IF(K195&lt;&gt;"",24000+K195,24000)</f>
        <v/>
      </c>
      <c r="M195" s="156" t="n"/>
      <c r="N195" s="156" t="n"/>
      <c r="O195" s="156" t="n"/>
    </row>
    <row r="196" ht="18.75" customHeight="1" s="153">
      <c r="A196" s="237" t="n"/>
      <c r="B196" s="238" t="inlineStr">
        <is>
          <t>ECUADOR 3626</t>
        </is>
      </c>
      <c r="C196" s="239" t="n">
        <v>1</v>
      </c>
      <c r="D196" s="239" t="n"/>
      <c r="E196" s="239" t="n"/>
      <c r="F196" s="240" t="n"/>
      <c r="G196" s="240" t="n"/>
      <c r="H196" s="241" t="n">
        <v>22000</v>
      </c>
      <c r="I196" s="242" t="n"/>
      <c r="J196" s="242" t="n">
        <v>22000</v>
      </c>
      <c r="K196" s="233" t="n"/>
      <c r="L196" s="233">
        <f>IF(K196&lt;&gt;"",11500+K196,11500)</f>
        <v/>
      </c>
      <c r="M196" s="156" t="n"/>
      <c r="N196" s="156" t="n"/>
      <c r="O196" s="156" t="n"/>
    </row>
    <row r="197" ht="18.75" customHeight="1" s="153">
      <c r="A197" s="227" t="n">
        <v>46041</v>
      </c>
      <c r="B197" s="228" t="inlineStr">
        <is>
          <t xml:space="preserve">PEDRO ZENTENO </t>
        </is>
      </c>
      <c r="C197" s="229" t="n">
        <v>1</v>
      </c>
      <c r="D197" s="229" t="n"/>
      <c r="E197" s="229" t="n"/>
      <c r="F197" s="230" t="n"/>
      <c r="G197" s="230" t="n"/>
      <c r="H197" s="231" t="n">
        <v>22000</v>
      </c>
      <c r="I197" s="232" t="n">
        <v>22000</v>
      </c>
      <c r="J197" s="232" t="n"/>
      <c r="K197" s="233" t="n"/>
      <c r="L197" s="233">
        <f>IF(K197&lt;&gt;"",11500+K197,11500)</f>
        <v/>
      </c>
      <c r="M197" s="156" t="n"/>
      <c r="N197" s="156" t="n"/>
      <c r="O197" s="156" t="n"/>
    </row>
    <row r="198" ht="18.75" customHeight="1" s="153">
      <c r="A198" s="237" t="n"/>
      <c r="B198" s="238" t="inlineStr">
        <is>
          <t>NACHO</t>
        </is>
      </c>
      <c r="C198" s="239" t="n">
        <v>1</v>
      </c>
      <c r="D198" s="239" t="n"/>
      <c r="E198" s="239" t="n"/>
      <c r="F198" s="240" t="n"/>
      <c r="G198" s="240" t="n"/>
      <c r="H198" s="241" t="n">
        <v>19000</v>
      </c>
      <c r="I198" s="242" t="n">
        <v>19000</v>
      </c>
      <c r="J198" s="242" t="n"/>
      <c r="K198" s="233" t="n"/>
      <c r="L198" s="233">
        <f>IF(K198&lt;&gt;"",8500+K198,8500)</f>
        <v/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>1 DE MAYO 8361</t>
        </is>
      </c>
      <c r="C199" s="229" t="n">
        <v>1</v>
      </c>
      <c r="D199" s="229" t="n"/>
      <c r="E199" s="229" t="n"/>
      <c r="F199" s="230" t="n"/>
      <c r="G199" s="230" t="n"/>
      <c r="H199" s="231" t="n">
        <v>22000</v>
      </c>
      <c r="I199" s="232" t="n">
        <v>22000</v>
      </c>
      <c r="J199" s="232" t="n"/>
      <c r="K199" s="233" t="n"/>
      <c r="L199" s="233">
        <f>IF(K199&lt;&gt;"",11500+K199,11500)</f>
        <v/>
      </c>
      <c r="M199" s="156" t="n"/>
      <c r="N199" s="156" t="n"/>
      <c r="O199" s="156" t="n"/>
    </row>
    <row r="200" ht="18.75" customHeight="1" s="153">
      <c r="A200" s="237" t="n"/>
      <c r="B200" s="238" t="inlineStr">
        <is>
          <t>PANA GENESIO</t>
        </is>
      </c>
      <c r="C200" s="239" t="n"/>
      <c r="D200" s="239" t="n"/>
      <c r="E200" s="239" t="n">
        <v>1</v>
      </c>
      <c r="F200" s="240" t="n"/>
      <c r="G200" s="240" t="n"/>
      <c r="H200" s="241" t="n">
        <v>69000</v>
      </c>
      <c r="I200" s="242" t="n">
        <v>69000</v>
      </c>
      <c r="J200" s="242" t="n"/>
      <c r="K200" s="233" t="n"/>
      <c r="L200" s="233">
        <f>IF(K200&lt;&gt;"",22000+K200,22000)</f>
        <v/>
      </c>
      <c r="M200" s="156" t="n"/>
      <c r="N200" s="156" t="n"/>
      <c r="O200" s="156" t="n"/>
    </row>
    <row r="201" ht="18.75" customHeight="1" s="153">
      <c r="A201" s="227" t="n"/>
      <c r="B201" s="228" t="inlineStr">
        <is>
          <t>NOGALES 2426</t>
        </is>
      </c>
      <c r="C201" s="229" t="n">
        <v>1</v>
      </c>
      <c r="D201" s="229" t="n"/>
      <c r="E201" s="229" t="n"/>
      <c r="F201" s="230" t="n"/>
      <c r="G201" s="230" t="n"/>
      <c r="H201" s="231" t="n">
        <v>22000</v>
      </c>
      <c r="I201" s="232" t="n">
        <v>22000</v>
      </c>
      <c r="J201" s="232" t="n"/>
      <c r="K201" s="233" t="n"/>
      <c r="L201" s="233">
        <f>IF(K201&lt;&gt;"",11500+K201,11500)</f>
        <v/>
      </c>
      <c r="M201" s="156" t="n"/>
      <c r="N201" s="156" t="n"/>
      <c r="O201" s="156" t="n"/>
    </row>
    <row r="202" ht="18.75" customHeight="1" s="153">
      <c r="A202" s="237" t="n"/>
      <c r="B202" s="238" t="inlineStr">
        <is>
          <t>ALSINA 7980</t>
        </is>
      </c>
      <c r="C202" s="239" t="n">
        <v>1</v>
      </c>
      <c r="D202" s="239" t="n"/>
      <c r="E202" s="239" t="n"/>
      <c r="F202" s="240" t="n"/>
      <c r="G202" s="240" t="n"/>
      <c r="H202" s="241" t="n">
        <v>22000</v>
      </c>
      <c r="I202" s="242" t="n">
        <v>22000</v>
      </c>
      <c r="J202" s="242" t="n"/>
      <c r="K202" s="233" t="n"/>
      <c r="L202" s="233">
        <f>IF(K202&lt;&gt;"",11500+K202,11500)</f>
        <v/>
      </c>
      <c r="M202" s="156" t="n"/>
      <c r="N202" s="156" t="n"/>
      <c r="O202" s="156" t="n"/>
    </row>
    <row r="203" ht="18.75" customHeight="1" s="153">
      <c r="A203" s="227" t="n"/>
      <c r="B203" s="228" t="inlineStr">
        <is>
          <t>ALBERTI 5177</t>
        </is>
      </c>
      <c r="C203" s="229" t="n"/>
      <c r="D203" s="229" t="n">
        <v>1</v>
      </c>
      <c r="E203" s="229" t="n"/>
      <c r="F203" s="230" t="n"/>
      <c r="G203" s="230" t="n"/>
      <c r="H203" s="231" t="n">
        <v>31000</v>
      </c>
      <c r="I203" s="232" t="n"/>
      <c r="J203" s="232" t="n">
        <v>31000</v>
      </c>
      <c r="K203" s="233" t="n"/>
      <c r="L203" s="233">
        <f>IF(K203&lt;&gt;"",15250+K203,15250)</f>
        <v/>
      </c>
      <c r="M203" s="156" t="n"/>
      <c r="N203" s="156" t="n"/>
      <c r="O203" s="156" t="n"/>
    </row>
    <row r="204" ht="18.75" customHeight="1" s="153">
      <c r="A204" s="237" t="n">
        <v>46073</v>
      </c>
      <c r="B204" s="238" t="inlineStr">
        <is>
          <t>MAXI HNO OTNIEL</t>
        </is>
      </c>
      <c r="C204" s="239" t="n"/>
      <c r="D204" s="239" t="n"/>
      <c r="E204" s="239" t="n"/>
      <c r="F204" s="240" t="n"/>
      <c r="G204" s="240" t="n">
        <v>1</v>
      </c>
      <c r="H204" s="241" t="n">
        <v>5500</v>
      </c>
      <c r="I204" s="242" t="n"/>
      <c r="J204" s="242" t="n">
        <v>5500</v>
      </c>
      <c r="K204" s="233" t="n"/>
      <c r="L204" s="233">
        <f>IF(K204&lt;&gt;"",4700+K204,4700)</f>
        <v/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 xml:space="preserve">GOLD BURGUER </t>
        </is>
      </c>
      <c r="C205" s="229" t="n"/>
      <c r="D205" s="229" t="n"/>
      <c r="E205" s="229" t="n">
        <v>2</v>
      </c>
      <c r="F205" s="230" t="n"/>
      <c r="G205" s="230" t="n"/>
      <c r="H205" s="231" t="n">
        <v>164000</v>
      </c>
      <c r="I205" s="232" t="n">
        <v>164000</v>
      </c>
      <c r="J205" s="232" t="n"/>
      <c r="K205" s="233" t="n"/>
      <c r="L205" s="233">
        <f>IF(K205&lt;&gt;"",70000+K205,70000)</f>
        <v/>
      </c>
      <c r="M205" s="156" t="n"/>
      <c r="N205" s="156" t="n"/>
      <c r="O205" s="156" t="n"/>
    </row>
    <row r="206" ht="18.75" customHeight="1" s="153">
      <c r="A206" s="237" t="n"/>
      <c r="B206" s="238" t="inlineStr">
        <is>
          <t>PEDRO CEBALLOS 8134</t>
        </is>
      </c>
      <c r="C206" s="239" t="n">
        <v>2</v>
      </c>
      <c r="D206" s="239" t="n"/>
      <c r="E206" s="239" t="n"/>
      <c r="F206" s="240" t="n"/>
      <c r="G206" s="240" t="n"/>
      <c r="H206" s="241" t="n">
        <v>29000</v>
      </c>
      <c r="I206" s="242" t="n">
        <v>29000</v>
      </c>
      <c r="J206" s="242" t="n"/>
      <c r="K206" s="233" t="n"/>
      <c r="L206" s="233">
        <f>IF(K206&lt;&gt;"",8000+K206,8000)</f>
        <v/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PEDRO DE VERGA 1428</t>
        </is>
      </c>
      <c r="C207" s="229" t="n">
        <v>1</v>
      </c>
      <c r="D207" s="229" t="n"/>
      <c r="E207" s="229" t="n"/>
      <c r="F207" s="230" t="n"/>
      <c r="G207" s="230" t="n"/>
      <c r="H207" s="231" t="n">
        <v>22000</v>
      </c>
      <c r="I207" s="232" t="n"/>
      <c r="J207" s="232" t="n">
        <v>22000</v>
      </c>
      <c r="K207" s="233" t="n"/>
      <c r="L207" s="233">
        <f>IF(K207&lt;&gt;"",11500+K207,11500)</f>
        <v/>
      </c>
      <c r="M207" s="156" t="n"/>
      <c r="N207" s="156" t="n"/>
      <c r="O207" s="156" t="n"/>
    </row>
    <row r="208" ht="18.75" customHeight="1" s="153">
      <c r="A208" s="237" t="n"/>
      <c r="B208" s="238" t="inlineStr">
        <is>
          <t>FILOMENA</t>
        </is>
      </c>
      <c r="C208" s="239" t="n">
        <v>1</v>
      </c>
      <c r="D208" s="239" t="n"/>
      <c r="E208" s="239" t="n"/>
      <c r="F208" s="240" t="n"/>
      <c r="G208" s="240" t="n"/>
      <c r="H208" s="241" t="n">
        <v>19000</v>
      </c>
      <c r="I208" s="242" t="n"/>
      <c r="J208" s="242" t="n">
        <v>19000</v>
      </c>
      <c r="K208" s="233" t="n"/>
      <c r="L208" s="233">
        <f>IF(K208&lt;&gt;"",8500+K208,8500)</f>
        <v/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SANDRA</t>
        </is>
      </c>
      <c r="C209" s="229" t="n"/>
      <c r="D209" s="229" t="n">
        <v>1</v>
      </c>
      <c r="E209" s="229" t="n"/>
      <c r="F209" s="230" t="n"/>
      <c r="G209" s="230" t="n"/>
      <c r="H209" s="231" t="n">
        <v>23500</v>
      </c>
      <c r="I209" s="232" t="n">
        <v>23500</v>
      </c>
      <c r="J209" s="232" t="n"/>
      <c r="K209" s="233" t="n"/>
      <c r="L209" s="233">
        <f>IF(K209&lt;&gt;"",7750+K209,7750)</f>
        <v/>
      </c>
      <c r="M209" s="156" t="n"/>
      <c r="N209" s="156" t="n"/>
      <c r="O209" s="156" t="n"/>
    </row>
    <row r="210" ht="18.75" customHeight="1" s="153">
      <c r="A210" s="237" t="n"/>
      <c r="B210" s="238" t="inlineStr">
        <is>
          <t>1 DE MAYO 1605</t>
        </is>
      </c>
      <c r="C210" s="239" t="n"/>
      <c r="D210" s="239" t="n">
        <v>1</v>
      </c>
      <c r="E210" s="239" t="n"/>
      <c r="F210" s="240" t="n"/>
      <c r="G210" s="240" t="n"/>
      <c r="H210" s="241" t="n">
        <v>33000</v>
      </c>
      <c r="I210" s="242" t="n"/>
      <c r="J210" s="242" t="n">
        <v>33000</v>
      </c>
      <c r="K210" s="233" t="n"/>
      <c r="L210" s="233">
        <f>IF(K210&lt;&gt;"",17250+K210,17250)</f>
        <v/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NACHO</t>
        </is>
      </c>
      <c r="C211" s="229" t="n">
        <v>1</v>
      </c>
      <c r="D211" s="229" t="n"/>
      <c r="E211" s="229" t="n"/>
      <c r="F211" s="230" t="n"/>
      <c r="G211" s="230" t="n"/>
      <c r="H211" s="231" t="n">
        <v>19000</v>
      </c>
      <c r="I211" s="232" t="n"/>
      <c r="J211" s="232" t="n">
        <v>19000</v>
      </c>
      <c r="K211" s="233" t="n"/>
      <c r="L211" s="233">
        <f>IF(K211&lt;&gt;"",8500+K211,8500)</f>
        <v/>
      </c>
      <c r="M211" s="156" t="n"/>
      <c r="N211" s="156" t="n"/>
      <c r="O211" s="156" t="n"/>
    </row>
    <row r="212" ht="18.75" customHeight="1" s="153">
      <c r="A212" s="237" t="n"/>
      <c r="B212" s="238" t="inlineStr">
        <is>
          <t>SABOREAR</t>
        </is>
      </c>
      <c r="C212" s="239" t="n">
        <v>1</v>
      </c>
      <c r="D212" s="239" t="n"/>
      <c r="E212" s="239" t="n"/>
      <c r="F212" s="240" t="n"/>
      <c r="G212" s="240" t="n"/>
      <c r="H212" s="241" t="n">
        <v>19500</v>
      </c>
      <c r="I212" s="242" t="n"/>
      <c r="J212" s="242" t="n">
        <v>19500</v>
      </c>
      <c r="K212" s="233" t="n"/>
      <c r="L212" s="233">
        <f>IF(K212&lt;&gt;"",9000+K212,9000)</f>
        <v/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EXE</t>
        </is>
      </c>
      <c r="C213" s="229" t="n"/>
      <c r="D213" s="229" t="n"/>
      <c r="E213" s="229" t="n">
        <v>1</v>
      </c>
      <c r="F213" s="230" t="n"/>
      <c r="G213" s="230" t="n"/>
      <c r="H213" s="231" t="n">
        <v>72000</v>
      </c>
      <c r="I213" s="232" t="n"/>
      <c r="J213" s="232" t="n">
        <v>72000</v>
      </c>
      <c r="K213" s="233" t="n"/>
      <c r="L213" s="233">
        <f>IF(K213&lt;&gt;"",25000+K213,25000)</f>
        <v/>
      </c>
      <c r="M213" s="156" t="n"/>
      <c r="N213" s="156" t="n"/>
      <c r="O213" s="156" t="n"/>
    </row>
    <row r="214" ht="18.75" customHeight="1" s="153">
      <c r="A214" s="237" t="n"/>
      <c r="B214" s="238" t="inlineStr">
        <is>
          <t>PANA ALBERTI</t>
        </is>
      </c>
      <c r="C214" s="239" t="n">
        <v>1</v>
      </c>
      <c r="D214" s="239" t="n"/>
      <c r="E214" s="239" t="n"/>
      <c r="F214" s="240" t="n"/>
      <c r="G214" s="240" t="n"/>
      <c r="H214" s="241" t="n">
        <v>20000</v>
      </c>
      <c r="I214" s="242" t="n">
        <v>20000</v>
      </c>
      <c r="J214" s="242" t="n"/>
      <c r="K214" s="233" t="n"/>
      <c r="L214" s="233">
        <f>IF(K214&lt;&gt;"",9500+K214,9500)</f>
        <v/>
      </c>
      <c r="M214" s="156" t="n"/>
      <c r="N214" s="156" t="n"/>
      <c r="O214" s="156" t="n"/>
    </row>
    <row r="215" ht="18.75" customHeight="1" s="153">
      <c r="A215" s="227" t="n">
        <v>46074</v>
      </c>
      <c r="B215" s="228" t="inlineStr">
        <is>
          <t>SANDRA</t>
        </is>
      </c>
      <c r="C215" s="229" t="n"/>
      <c r="D215" s="229" t="n"/>
      <c r="E215" s="229" t="n"/>
      <c r="F215" s="230" t="n">
        <v>2</v>
      </c>
      <c r="G215" s="230" t="n">
        <v>1</v>
      </c>
      <c r="H215" s="231" t="n">
        <v>9000</v>
      </c>
      <c r="I215" s="232" t="n">
        <v>9000</v>
      </c>
      <c r="J215" s="232" t="n"/>
      <c r="K215" s="233" t="n"/>
      <c r="L215" s="233">
        <f>IF(K215&lt;&gt;"",3550+K215,3550)</f>
        <v/>
      </c>
      <c r="M215" s="156" t="n"/>
      <c r="N215" s="156" t="n"/>
      <c r="O215" s="156" t="n"/>
    </row>
    <row r="216" ht="18.75" customHeight="1" s="153">
      <c r="A216" s="237" t="n"/>
      <c r="B216" s="238" t="inlineStr">
        <is>
          <t>RUPERTO GODOY 4484</t>
        </is>
      </c>
      <c r="C216" s="239" t="n"/>
      <c r="D216" s="239" t="n"/>
      <c r="E216" s="239" t="n">
        <v>1</v>
      </c>
      <c r="F216" s="240" t="n"/>
      <c r="G216" s="240" t="n"/>
      <c r="H216" s="241" t="n">
        <v>76000</v>
      </c>
      <c r="I216" s="242" t="n"/>
      <c r="J216" s="242" t="n">
        <v>76000</v>
      </c>
      <c r="K216" s="233" t="n"/>
      <c r="L216" s="233">
        <f>IF(K216&lt;&gt;"",29000+K216,29000)</f>
        <v/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>ROTI AGUADO</t>
        </is>
      </c>
      <c r="C217" s="229" t="n">
        <v>1</v>
      </c>
      <c r="D217" s="229" t="n">
        <v>1</v>
      </c>
      <c r="E217" s="229" t="n"/>
      <c r="F217" s="230" t="n"/>
      <c r="G217" s="230" t="n"/>
      <c r="H217" s="231" t="n">
        <v>45000</v>
      </c>
      <c r="I217" s="232" t="n"/>
      <c r="J217" s="232" t="n">
        <v>45000</v>
      </c>
      <c r="K217" s="233" t="n"/>
      <c r="L217" s="233">
        <f>IF(K217&lt;&gt;"",18750+K217,18750)</f>
        <v/>
      </c>
      <c r="M217" s="156" t="n"/>
      <c r="N217" s="156" t="n"/>
      <c r="O217" s="156" t="n"/>
    </row>
    <row r="218" ht="18.75" customHeight="1" s="153">
      <c r="A218" s="237" t="n"/>
      <c r="B218" s="238" t="inlineStr">
        <is>
          <t>ROTI VIEYTES</t>
        </is>
      </c>
      <c r="C218" s="239" t="n"/>
      <c r="D218" s="239" t="n">
        <v>2</v>
      </c>
      <c r="E218" s="239" t="n"/>
      <c r="F218" s="240" t="n"/>
      <c r="G218" s="240" t="n"/>
      <c r="H218" s="241" t="n">
        <v>45000</v>
      </c>
      <c r="I218" s="242" t="n"/>
      <c r="J218" s="242" t="n">
        <v>45000</v>
      </c>
      <c r="K218" s="233" t="n"/>
      <c r="L218" s="233">
        <f>IF(K218&lt;&gt;"",13500+K218,13500)</f>
        <v/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OTNIEL</t>
        </is>
      </c>
      <c r="C219" s="229" t="n"/>
      <c r="D219" s="229" t="n">
        <v>2</v>
      </c>
      <c r="E219" s="229" t="n">
        <v>1</v>
      </c>
      <c r="F219" s="230" t="n"/>
      <c r="G219" s="230" t="n"/>
      <c r="H219" s="231" t="n">
        <v>132000</v>
      </c>
      <c r="I219" s="232" t="n">
        <v>132000</v>
      </c>
      <c r="J219" s="232" t="n"/>
      <c r="K219" s="233" t="n"/>
      <c r="L219" s="233">
        <f>IF(K219&lt;&gt;"",53500+K219,53500)</f>
        <v/>
      </c>
      <c r="M219" s="156" t="n"/>
      <c r="N219" s="156" t="n"/>
      <c r="O219" s="156" t="n"/>
    </row>
    <row r="220" ht="18.75" customHeight="1" s="153">
      <c r="A220" s="237" t="n"/>
      <c r="B220" s="238" t="inlineStr">
        <is>
          <t>NOGALES2651</t>
        </is>
      </c>
      <c r="C220" s="239" t="n"/>
      <c r="D220" s="239" t="n"/>
      <c r="E220" s="239" t="n">
        <v>1</v>
      </c>
      <c r="F220" s="240" t="n"/>
      <c r="G220" s="240" t="n"/>
      <c r="H220" s="241" t="n">
        <v>76000</v>
      </c>
      <c r="I220" s="242" t="n"/>
      <c r="J220" s="242" t="n">
        <v>76000</v>
      </c>
      <c r="K220" s="233" t="n"/>
      <c r="L220" s="233">
        <f>IF(K220&lt;&gt;"",29000+K220,29000)</f>
        <v/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BRASERIA</t>
        </is>
      </c>
      <c r="C221" s="229" t="n"/>
      <c r="D221" s="229" t="n"/>
      <c r="E221" s="229" t="n">
        <v>1</v>
      </c>
      <c r="F221" s="230" t="n"/>
      <c r="G221" s="230" t="n"/>
      <c r="H221" s="231" t="n">
        <v>73000</v>
      </c>
      <c r="I221" s="232" t="n"/>
      <c r="J221" s="232" t="n">
        <v>73000</v>
      </c>
      <c r="K221" s="233" t="n"/>
      <c r="L221" s="233">
        <f>IF(K221&lt;&gt;"",26000+K221,26000)</f>
        <v/>
      </c>
      <c r="M221" s="156" t="n"/>
      <c r="N221" s="156" t="n"/>
      <c r="O221" s="156" t="n"/>
    </row>
    <row r="222" ht="18.75" customHeight="1" s="153">
      <c r="A222" s="237" t="n"/>
      <c r="B222" s="238" t="inlineStr">
        <is>
          <t>BEATRIZ</t>
        </is>
      </c>
      <c r="C222" s="239" t="n"/>
      <c r="D222" s="239" t="n">
        <v>1</v>
      </c>
      <c r="E222" s="239" t="n"/>
      <c r="F222" s="240" t="n"/>
      <c r="G222" s="240" t="n">
        <v>1</v>
      </c>
      <c r="H222" s="241" t="n">
        <v>38000</v>
      </c>
      <c r="I222" s="242" t="n"/>
      <c r="J222" s="242" t="n">
        <v>38000</v>
      </c>
      <c r="K222" s="233" t="n"/>
      <c r="L222" s="233">
        <f>IF(K222&lt;&gt;"",21450+K222,21450)</f>
        <v/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12 DE INFANTERIA 2148</t>
        </is>
      </c>
      <c r="C223" s="229" t="n">
        <v>1</v>
      </c>
      <c r="D223" s="229" t="n"/>
      <c r="E223" s="229" t="n"/>
      <c r="F223" s="230" t="n"/>
      <c r="G223" s="230" t="n"/>
      <c r="H223" s="231" t="n">
        <v>22500</v>
      </c>
      <c r="I223" s="232" t="n"/>
      <c r="J223" s="232" t="n">
        <v>22500</v>
      </c>
      <c r="K223" s="233" t="n"/>
      <c r="L223" s="233">
        <f>IF(K223&lt;&gt;"",12000+K223,12000)</f>
        <v/>
      </c>
      <c r="M223" s="156" t="n"/>
      <c r="N223" s="156" t="n"/>
      <c r="O223" s="156" t="n"/>
    </row>
    <row r="224" ht="18.75" customHeight="1" s="153">
      <c r="A224" s="237" t="n"/>
      <c r="B224" s="238" t="inlineStr">
        <is>
          <t>CHICLANA 7325</t>
        </is>
      </c>
      <c r="C224" s="239" t="n">
        <v>3</v>
      </c>
      <c r="D224" s="239" t="n"/>
      <c r="E224" s="239" t="n"/>
      <c r="F224" s="240" t="n"/>
      <c r="G224" s="240" t="n"/>
      <c r="H224" s="241" t="n">
        <v>43500</v>
      </c>
      <c r="I224" s="242" t="n">
        <v>43500</v>
      </c>
      <c r="J224" s="242" t="n"/>
      <c r="K224" s="233" t="n"/>
      <c r="L224" s="233">
        <f>IF(K224&lt;&gt;"",12000+K224,12000)</f>
        <v/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>SABOREAR</t>
        </is>
      </c>
      <c r="C225" s="229" t="n"/>
      <c r="D225" s="229" t="n">
        <v>1</v>
      </c>
      <c r="E225" s="229" t="n"/>
      <c r="F225" s="230" t="n"/>
      <c r="G225" s="230" t="n"/>
      <c r="H225" s="231" t="n">
        <v>29000</v>
      </c>
      <c r="I225" s="232" t="n"/>
      <c r="J225" s="232" t="n">
        <v>29000</v>
      </c>
      <c r="K225" s="233" t="n"/>
      <c r="L225" s="233">
        <f>IF(K225&lt;&gt;"",13250+K225,13250)</f>
        <v/>
      </c>
      <c r="M225" s="156" t="n"/>
      <c r="N225" s="156" t="n"/>
      <c r="O225" s="156" t="n"/>
    </row>
    <row r="226" ht="18.75" customHeight="1" s="153">
      <c r="A226" s="237" t="n"/>
      <c r="B226" s="238" t="inlineStr">
        <is>
          <t>FILOMENA</t>
        </is>
      </c>
      <c r="C226" s="239" t="n">
        <v>2</v>
      </c>
      <c r="D226" s="239" t="n"/>
      <c r="E226" s="239" t="n"/>
      <c r="F226" s="240" t="n"/>
      <c r="G226" s="240" t="n"/>
      <c r="H226" s="241" t="n">
        <v>38000</v>
      </c>
      <c r="I226" s="242" t="n"/>
      <c r="J226" s="242" t="n">
        <v>38000</v>
      </c>
      <c r="K226" s="233" t="n"/>
      <c r="L226" s="233">
        <f>IF(K226&lt;&gt;"",17000+K226,17000)</f>
        <v/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CAREN</t>
        </is>
      </c>
      <c r="C227" s="229" t="n"/>
      <c r="D227" s="229" t="n"/>
      <c r="E227" s="229" t="n">
        <v>1</v>
      </c>
      <c r="F227" s="230" t="n"/>
      <c r="G227" s="230" t="n"/>
      <c r="H227" s="231" t="n">
        <v>72000</v>
      </c>
      <c r="I227" s="232" t="n"/>
      <c r="J227" s="232" t="n">
        <v>72000</v>
      </c>
      <c r="K227" s="233" t="n"/>
      <c r="L227" s="233">
        <f>IF(K227&lt;&gt;"",25000+K227,25000)</f>
        <v/>
      </c>
      <c r="M227" s="156" t="n"/>
      <c r="N227" s="156" t="n"/>
      <c r="O227" s="156" t="n"/>
    </row>
    <row r="228" ht="18.75" customHeight="1" s="153">
      <c r="A228" s="237" t="n"/>
      <c r="B228" s="238" t="inlineStr">
        <is>
          <t>PENALOZA 9757</t>
        </is>
      </c>
      <c r="C228" s="239" t="n">
        <v>1</v>
      </c>
      <c r="D228" s="239" t="n"/>
      <c r="E228" s="239" t="n"/>
      <c r="F228" s="240" t="n"/>
      <c r="G228" s="240" t="n"/>
      <c r="H228" s="241" t="n">
        <v>22000</v>
      </c>
      <c r="I228" s="242" t="n"/>
      <c r="J228" s="242" t="n">
        <v>22000</v>
      </c>
      <c r="K228" s="233" t="n"/>
      <c r="L228" s="233">
        <f>IF(K228&lt;&gt;"",11500+K228,11500)</f>
        <v/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RIVADAVIA 8280</t>
        </is>
      </c>
      <c r="C229" s="229" t="n"/>
      <c r="D229" s="229" t="n"/>
      <c r="E229" s="229" t="n">
        <v>1</v>
      </c>
      <c r="F229" s="230" t="n"/>
      <c r="G229" s="230" t="n"/>
      <c r="H229" s="231" t="n">
        <v>76000</v>
      </c>
      <c r="I229" s="232" t="n"/>
      <c r="J229" s="232" t="n">
        <v>76000</v>
      </c>
      <c r="K229" s="233" t="n"/>
      <c r="L229" s="233">
        <f>IF(K229&lt;&gt;"",29000+K229,29000)</f>
        <v/>
      </c>
      <c r="M229" s="156" t="n"/>
      <c r="N229" s="156" t="n"/>
      <c r="O229" s="156" t="n"/>
    </row>
    <row r="230" ht="18.75" customHeight="1" s="153">
      <c r="A230" s="237" t="n"/>
      <c r="B230" s="238" t="inlineStr">
        <is>
          <t>PAVON 2612</t>
        </is>
      </c>
      <c r="C230" s="239" t="n"/>
      <c r="D230" s="239" t="n"/>
      <c r="E230" s="239" t="n">
        <v>1</v>
      </c>
      <c r="F230" s="240" t="n"/>
      <c r="G230" s="240" t="n"/>
      <c r="H230" s="241" t="n">
        <v>68000</v>
      </c>
      <c r="I230" s="242" t="n"/>
      <c r="J230" s="242" t="n">
        <v>68000</v>
      </c>
      <c r="K230" s="233" t="n"/>
      <c r="L230" s="233">
        <f>IF(K230&lt;&gt;"",21000+K230,21000)</f>
        <v/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GENEIRO 8164</t>
        </is>
      </c>
      <c r="C231" s="229" t="n">
        <v>1</v>
      </c>
      <c r="D231" s="229" t="n"/>
      <c r="E231" s="229" t="n"/>
      <c r="F231" s="230" t="n"/>
      <c r="G231" s="230" t="n"/>
      <c r="H231" s="231" t="n">
        <v>22000</v>
      </c>
      <c r="I231" s="232" t="n"/>
      <c r="J231" s="232" t="n">
        <v>22000</v>
      </c>
      <c r="K231" s="233" t="n"/>
      <c r="L231" s="233">
        <f>IF(K231&lt;&gt;"",11500+K231,11500)</f>
        <v/>
      </c>
      <c r="M231" s="156" t="n"/>
      <c r="N231" s="156" t="n"/>
      <c r="O231" s="156" t="n"/>
    </row>
    <row r="232" ht="18.75" customHeight="1" s="153">
      <c r="A232" s="237" t="n"/>
      <c r="B232" s="238" t="inlineStr">
        <is>
          <t>LUCHO</t>
        </is>
      </c>
      <c r="C232" s="239" t="n">
        <v>3</v>
      </c>
      <c r="D232" s="239" t="n"/>
      <c r="E232" s="239" t="n"/>
      <c r="F232" s="240" t="n"/>
      <c r="G232" s="240" t="n"/>
      <c r="H232" s="241" t="n">
        <v>45000</v>
      </c>
      <c r="I232" s="242" t="n">
        <v>45000</v>
      </c>
      <c r="J232" s="242" t="n"/>
      <c r="K232" s="233" t="n"/>
      <c r="L232" s="233">
        <f>IF(K232&lt;&gt;"",13500+K232,13500)</f>
        <v/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 xml:space="preserve">ESTELA PALZA </t>
        </is>
      </c>
      <c r="C233" s="229" t="n">
        <v>3</v>
      </c>
      <c r="D233" s="229" t="n"/>
      <c r="E233" s="229" t="n"/>
      <c r="F233" s="230" t="n"/>
      <c r="G233" s="230" t="n"/>
      <c r="H233" s="231" t="n">
        <v>45000</v>
      </c>
      <c r="I233" s="232" t="n">
        <v>45000</v>
      </c>
      <c r="J233" s="232" t="n"/>
      <c r="K233" s="233" t="n"/>
      <c r="L233" s="233">
        <f>IF(K233&lt;&gt;"",13500+K233,13500)</f>
        <v/>
      </c>
      <c r="M233" s="156" t="n"/>
      <c r="N233" s="156" t="n"/>
      <c r="O233" s="156" t="n"/>
    </row>
    <row r="234" ht="18.75" customHeight="1" s="153">
      <c r="A234" s="237" t="n">
        <v>46075</v>
      </c>
      <c r="B234" s="238" t="inlineStr">
        <is>
          <t>PAULO</t>
        </is>
      </c>
      <c r="C234" s="239" t="n">
        <v>3</v>
      </c>
      <c r="D234" s="239" t="n"/>
      <c r="E234" s="239" t="n"/>
      <c r="F234" s="240" t="n"/>
      <c r="G234" s="240" t="n"/>
      <c r="H234" s="241" t="n">
        <v>43500</v>
      </c>
      <c r="I234" s="242" t="n">
        <v>43500</v>
      </c>
      <c r="J234" s="242" t="n"/>
      <c r="K234" s="233" t="n"/>
      <c r="L234" s="233">
        <f>IF(K234&lt;&gt;"",12000+K234,12000)</f>
        <v/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CANDIDO PUJATO 2444</t>
        </is>
      </c>
      <c r="C235" s="229" t="n">
        <v>1</v>
      </c>
      <c r="D235" s="229" t="n"/>
      <c r="E235" s="229" t="n"/>
      <c r="F235" s="230" t="n"/>
      <c r="G235" s="230" t="n"/>
      <c r="H235" s="231" t="n">
        <v>23000</v>
      </c>
      <c r="I235" s="232" t="n"/>
      <c r="J235" s="232" t="n">
        <v>23000</v>
      </c>
      <c r="K235" s="233" t="n"/>
      <c r="L235" s="233">
        <f>IF(K235&lt;&gt;"",12500+K235,12500)</f>
        <v/>
      </c>
      <c r="M235" s="156" t="n"/>
      <c r="N235" s="156" t="n"/>
      <c r="O235" s="156" t="n"/>
    </row>
    <row r="236" ht="18.75" customHeight="1" s="153">
      <c r="A236" s="237" t="n"/>
      <c r="B236" s="238" t="inlineStr">
        <is>
          <t>PARRI BLAS PARERA</t>
        </is>
      </c>
      <c r="C236" s="239" t="n">
        <v>1</v>
      </c>
      <c r="D236" s="239" t="n"/>
      <c r="E236" s="239" t="n"/>
      <c r="F236" s="240" t="n"/>
      <c r="G236" s="240" t="n"/>
      <c r="H236" s="241" t="n">
        <v>17000</v>
      </c>
      <c r="I236" s="242" t="n"/>
      <c r="J236" s="242" t="n">
        <v>17000</v>
      </c>
      <c r="K236" s="233" t="n"/>
      <c r="L236" s="233">
        <f>IF(K236&lt;&gt;"",6500+K236,6500)</f>
        <v/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GABOTO 7102</t>
        </is>
      </c>
      <c r="C237" s="229" t="n"/>
      <c r="D237" s="229" t="n">
        <v>1</v>
      </c>
      <c r="E237" s="229" t="n"/>
      <c r="F237" s="230" t="n"/>
      <c r="G237" s="230" t="n"/>
      <c r="H237" s="231" t="n">
        <v>33000</v>
      </c>
      <c r="I237" s="232" t="n"/>
      <c r="J237" s="232" t="n">
        <v>33000</v>
      </c>
      <c r="K237" s="233" t="n"/>
      <c r="L237" s="233">
        <f>IF(K237&lt;&gt;"",17250+K237,17250)</f>
        <v/>
      </c>
      <c r="M237" s="156" t="n"/>
      <c r="N237" s="156" t="n"/>
      <c r="O237" s="156" t="n"/>
    </row>
    <row r="238" ht="18.75" customHeight="1" s="153">
      <c r="A238" s="237" t="n"/>
      <c r="B238" s="238" t="inlineStr">
        <is>
          <t>FACUNDO ZUVIRIA 10235</t>
        </is>
      </c>
      <c r="C238" s="239" t="n">
        <v>1</v>
      </c>
      <c r="D238" s="239" t="n"/>
      <c r="E238" s="239" t="n"/>
      <c r="F238" s="240" t="n"/>
      <c r="G238" s="240" t="n"/>
      <c r="H238" s="241" t="n">
        <v>23000</v>
      </c>
      <c r="I238" s="242" t="n"/>
      <c r="J238" s="242" t="n">
        <v>23000</v>
      </c>
      <c r="K238" s="233" t="n"/>
      <c r="L238" s="233">
        <f>IF(K238&lt;&gt;"",12500+K238,12500)</f>
        <v/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JP LOPEZ 2045</t>
        </is>
      </c>
      <c r="C239" s="229" t="n">
        <v>1</v>
      </c>
      <c r="D239" s="229" t="n"/>
      <c r="E239" s="229" t="n"/>
      <c r="F239" s="230" t="n"/>
      <c r="G239" s="230" t="n"/>
      <c r="H239" s="231" t="n">
        <v>22000</v>
      </c>
      <c r="I239" s="232" t="n">
        <v>22000</v>
      </c>
      <c r="J239" s="232" t="n"/>
      <c r="K239" s="233" t="n"/>
      <c r="L239" s="233">
        <f>IF(K239&lt;&gt;"",11500+K239,11500)</f>
        <v/>
      </c>
      <c r="M239" s="156" t="n"/>
      <c r="N239" s="156" t="n"/>
      <c r="O239" s="156" t="n"/>
    </row>
    <row r="240" ht="18.75" customHeight="1" s="153">
      <c r="A240" s="237" t="n"/>
      <c r="B240" s="238" t="inlineStr">
        <is>
          <t>M CANDIOTI 5256</t>
        </is>
      </c>
      <c r="C240" s="239" t="n">
        <v>1</v>
      </c>
      <c r="D240" s="239" t="n"/>
      <c r="E240" s="239" t="n"/>
      <c r="F240" s="240" t="n"/>
      <c r="G240" s="240" t="n"/>
      <c r="H240" s="241" t="n">
        <v>22000</v>
      </c>
      <c r="I240" s="242" t="n">
        <v>22000</v>
      </c>
      <c r="J240" s="242" t="n"/>
      <c r="K240" s="233" t="n"/>
      <c r="L240" s="233">
        <f>IF(K240&lt;&gt;"",11500+K240,11500)</f>
        <v/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PUBLICO 5727</t>
        </is>
      </c>
      <c r="C241" s="229" t="n">
        <v>1</v>
      </c>
      <c r="D241" s="229" t="n">
        <v>1</v>
      </c>
      <c r="E241" s="229" t="n"/>
      <c r="F241" s="230" t="n"/>
      <c r="G241" s="230" t="n"/>
      <c r="H241" s="231" t="n">
        <v>55000</v>
      </c>
      <c r="I241" s="232" t="n"/>
      <c r="J241" s="232" t="n">
        <v>55000</v>
      </c>
      <c r="K241" s="233" t="n"/>
      <c r="L241" s="233">
        <f>IF(K241&lt;&gt;"",28750+K241,28750)</f>
        <v/>
      </c>
      <c r="M241" s="156" t="n"/>
      <c r="N241" s="156" t="n"/>
      <c r="O241" s="156" t="n"/>
    </row>
    <row r="242" ht="18.75" customHeight="1" s="153">
      <c r="A242" s="237" t="n"/>
      <c r="B242" s="238" t="inlineStr">
        <is>
          <t>D SILVA 4217</t>
        </is>
      </c>
      <c r="C242" s="239" t="n">
        <v>3</v>
      </c>
      <c r="D242" s="239" t="n"/>
      <c r="E242" s="239" t="n"/>
      <c r="F242" s="240" t="n"/>
      <c r="G242" s="240" t="n"/>
      <c r="H242" s="241" t="n">
        <v>43500</v>
      </c>
      <c r="I242" s="242" t="n"/>
      <c r="J242" s="242" t="n">
        <v>43500</v>
      </c>
      <c r="K242" s="233" t="n"/>
      <c r="L242" s="233">
        <f>IF(K242&lt;&gt;"",12000+K242,12000)</f>
        <v/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TACUARI 5727</t>
        </is>
      </c>
      <c r="C243" s="229" t="n">
        <v>1</v>
      </c>
      <c r="D243" s="229" t="n"/>
      <c r="E243" s="229" t="n"/>
      <c r="F243" s="230" t="n"/>
      <c r="G243" s="230" t="n"/>
      <c r="H243" s="231" t="n">
        <v>19500</v>
      </c>
      <c r="I243" s="232" t="n"/>
      <c r="J243" s="232" t="n">
        <v>19500</v>
      </c>
      <c r="K243" s="233" t="n"/>
      <c r="L243" s="233">
        <f>IF(K243&lt;&gt;"",9000+K243,9000)</f>
        <v/>
      </c>
      <c r="M243" s="156" t="n"/>
      <c r="N243" s="156" t="n"/>
      <c r="O243" s="156" t="n"/>
    </row>
    <row r="244" ht="18.75" customHeight="1" s="153">
      <c r="A244" s="237" t="n"/>
      <c r="B244" s="238" t="inlineStr">
        <is>
          <t>FILOMENA</t>
        </is>
      </c>
      <c r="C244" s="239" t="n">
        <v>1</v>
      </c>
      <c r="D244" s="239" t="n"/>
      <c r="E244" s="239" t="n"/>
      <c r="F244" s="240" t="n"/>
      <c r="G244" s="240" t="n"/>
      <c r="H244" s="241" t="n">
        <v>19000</v>
      </c>
      <c r="I244" s="242" t="n"/>
      <c r="J244" s="242" t="n">
        <v>19000</v>
      </c>
      <c r="K244" s="233" t="n"/>
      <c r="L244" s="233">
        <f>IF(K244&lt;&gt;"",8500+K244,8500)</f>
        <v/>
      </c>
      <c r="M244" s="156" t="n"/>
      <c r="N244" s="156" t="n"/>
      <c r="O244" s="156" t="n"/>
    </row>
    <row r="245" ht="18.75" customHeight="1" s="153">
      <c r="A245" s="227" t="n">
        <v>46076</v>
      </c>
      <c r="B245" s="228" t="inlineStr">
        <is>
          <t>E ZEBALLOS 4875 VIANDA</t>
        </is>
      </c>
      <c r="C245" s="229" t="n">
        <v>1</v>
      </c>
      <c r="D245" s="229" t="n"/>
      <c r="E245" s="229" t="n"/>
      <c r="F245" s="230" t="n"/>
      <c r="G245" s="230" t="n"/>
      <c r="H245" s="231" t="n">
        <v>19000</v>
      </c>
      <c r="I245" s="232" t="n">
        <v>19000</v>
      </c>
      <c r="J245" s="232" t="n"/>
      <c r="K245" s="233" t="n"/>
      <c r="L245" s="233">
        <f>IF(K245&lt;&gt;"",8500+K245,8500)</f>
        <v/>
      </c>
      <c r="M245" s="156" t="n"/>
      <c r="N245" s="156" t="n"/>
      <c r="O245" s="156" t="n"/>
    </row>
    <row r="246" ht="18.75" customHeight="1" s="153">
      <c r="A246" s="237" t="n"/>
      <c r="B246" s="238" t="inlineStr">
        <is>
          <t>LUCHO</t>
        </is>
      </c>
      <c r="C246" s="239" t="n">
        <v>1</v>
      </c>
      <c r="D246" s="239" t="n">
        <v>1</v>
      </c>
      <c r="E246" s="239" t="n"/>
      <c r="F246" s="240" t="n"/>
      <c r="G246" s="240" t="n"/>
      <c r="H246" s="241" t="n">
        <v>38500</v>
      </c>
      <c r="I246" s="242" t="n">
        <v>38500</v>
      </c>
      <c r="J246" s="242" t="n"/>
      <c r="K246" s="233" t="n"/>
      <c r="L246" s="233">
        <f>IF(K246&lt;&gt;"",12250+K246,12250)</f>
        <v/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AGUADP 6970</t>
        </is>
      </c>
      <c r="C247" s="229" t="n"/>
      <c r="D247" s="229" t="n">
        <v>1</v>
      </c>
      <c r="E247" s="229" t="n"/>
      <c r="F247" s="230" t="n"/>
      <c r="G247" s="230" t="n"/>
      <c r="H247" s="231" t="n">
        <v>32000</v>
      </c>
      <c r="I247" s="232" t="n">
        <v>32000</v>
      </c>
      <c r="J247" s="232" t="n"/>
      <c r="K247" s="233" t="n"/>
      <c r="L247" s="233">
        <f>IF(K247&lt;&gt;"",16250+K247,16250)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>EUROPA 9396</t>
        </is>
      </c>
      <c r="C248" s="239" t="n"/>
      <c r="D248" s="239" t="n"/>
      <c r="E248" s="239" t="n">
        <v>1</v>
      </c>
      <c r="F248" s="240" t="n"/>
      <c r="G248" s="240" t="n"/>
      <c r="H248" s="241" t="n">
        <v>76000</v>
      </c>
      <c r="I248" s="242" t="n">
        <v>76000</v>
      </c>
      <c r="J248" s="242" t="n"/>
      <c r="K248" s="233" t="n"/>
      <c r="L248" s="233">
        <f>IF(K248&lt;&gt;"",29000+K248,29000)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SANDRA</t>
        </is>
      </c>
      <c r="C249" s="229" t="n">
        <v>1</v>
      </c>
      <c r="D249" s="229" t="n"/>
      <c r="E249" s="229" t="n"/>
      <c r="F249" s="230" t="n"/>
      <c r="G249" s="230" t="n"/>
      <c r="H249" s="231" t="n">
        <v>15500</v>
      </c>
      <c r="I249" s="232" t="n">
        <v>15500</v>
      </c>
      <c r="J249" s="232" t="n"/>
      <c r="K249" s="233" t="n"/>
      <c r="L249" s="233">
        <f>IF(K249&lt;&gt;"",5000+K249,5000)</f>
        <v/>
      </c>
      <c r="M249" s="156" t="n"/>
      <c r="N249" s="156" t="n"/>
      <c r="O249" s="156" t="n"/>
    </row>
    <row r="250" ht="18.75" customHeight="1" s="153">
      <c r="A250" s="237" t="n">
        <v>46077</v>
      </c>
      <c r="B250" s="238" t="inlineStr">
        <is>
          <t>DOMINGO SILVA 4217</t>
        </is>
      </c>
      <c r="C250" s="239" t="n">
        <v>2</v>
      </c>
      <c r="D250" s="239" t="n">
        <v>1</v>
      </c>
      <c r="E250" s="239" t="n"/>
      <c r="F250" s="240" t="n"/>
      <c r="G250" s="240" t="n"/>
      <c r="H250" s="241" t="n">
        <v>51500</v>
      </c>
      <c r="I250" s="242" t="n">
        <v>51500</v>
      </c>
      <c r="J250" s="242" t="n"/>
      <c r="K250" s="233" t="n"/>
      <c r="L250" s="233">
        <f>IF(K250&lt;&gt;"",14750+K250,14750)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PANA GISE</t>
        </is>
      </c>
      <c r="C251" s="229" t="n"/>
      <c r="D251" s="229" t="n"/>
      <c r="E251" s="229" t="n"/>
      <c r="F251" s="230" t="n">
        <v>2</v>
      </c>
      <c r="G251" s="230" t="n"/>
      <c r="H251" s="231" t="n">
        <v>6800</v>
      </c>
      <c r="I251" s="232" t="n"/>
      <c r="J251" s="232" t="n">
        <v>6800</v>
      </c>
      <c r="K251" s="233" t="n"/>
      <c r="L251" s="233">
        <f>IF(K251&lt;&gt;"",2150+K251,2150)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PANA GENESIO</t>
        </is>
      </c>
      <c r="C252" s="239" t="n"/>
      <c r="D252" s="239" t="n"/>
      <c r="E252" s="239" t="n">
        <v>1</v>
      </c>
      <c r="F252" s="240" t="n"/>
      <c r="G252" s="240" t="n"/>
      <c r="H252" s="241" t="n">
        <v>69000</v>
      </c>
      <c r="I252" s="242" t="n"/>
      <c r="J252" s="242" t="n">
        <v>69000</v>
      </c>
      <c r="K252" s="233" t="n"/>
      <c r="L252" s="233">
        <f>IF(K252&lt;&gt;"",22000+K252,22000)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ROTI SAN LORENZO</t>
        </is>
      </c>
      <c r="C253" s="229" t="n">
        <v>3</v>
      </c>
      <c r="D253" s="229" t="n">
        <v>1</v>
      </c>
      <c r="E253" s="229" t="n"/>
      <c r="F253" s="230" t="n"/>
      <c r="G253" s="230" t="n"/>
      <c r="H253" s="231" t="n">
        <v>91000</v>
      </c>
      <c r="I253" s="232" t="n">
        <v>91000</v>
      </c>
      <c r="J253" s="232" t="n"/>
      <c r="K253" s="233" t="n"/>
      <c r="L253" s="233">
        <f>IF(K253&lt;&gt;"",43750+K253,43750)</f>
        <v/>
      </c>
      <c r="M253" s="156" t="n"/>
      <c r="N253" s="156" t="n"/>
      <c r="O253" s="156" t="n"/>
    </row>
    <row r="254" ht="18.75" customHeight="1" s="153">
      <c r="A254" s="237" t="n"/>
      <c r="B254" s="238" t="inlineStr">
        <is>
          <t>FORMOSA 6058</t>
        </is>
      </c>
      <c r="C254" s="239" t="n">
        <v>1</v>
      </c>
      <c r="D254" s="239" t="n"/>
      <c r="E254" s="239" t="n"/>
      <c r="F254" s="240" t="n"/>
      <c r="G254" s="240" t="n">
        <v>3</v>
      </c>
      <c r="H254" s="241" t="n">
        <v>41000</v>
      </c>
      <c r="I254" s="242" t="n">
        <v>41000</v>
      </c>
      <c r="J254" s="242" t="n"/>
      <c r="K254" s="233" t="n"/>
      <c r="L254" s="233">
        <f>IF(K254&lt;&gt;"",28100+K254,28100)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BONEO5315</t>
        </is>
      </c>
      <c r="C255" s="229" t="n">
        <v>1</v>
      </c>
      <c r="D255" s="229" t="n"/>
      <c r="E255" s="229" t="n"/>
      <c r="F255" s="230" t="n"/>
      <c r="G255" s="230" t="n"/>
      <c r="H255" s="231" t="n">
        <v>21000</v>
      </c>
      <c r="I255" s="232" t="n"/>
      <c r="J255" s="232" t="n">
        <v>21000</v>
      </c>
      <c r="K255" s="233" t="n"/>
      <c r="L255" s="233">
        <f>IF(K255&lt;&gt;"",10500+K255,10500)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AYACUCHO 6201</t>
        </is>
      </c>
      <c r="C256" s="239" t="n">
        <v>1</v>
      </c>
      <c r="D256" s="239" t="n"/>
      <c r="E256" s="239" t="n"/>
      <c r="F256" s="240" t="n"/>
      <c r="G256" s="240" t="n"/>
      <c r="H256" s="241" t="n">
        <v>21000</v>
      </c>
      <c r="I256" s="242" t="n"/>
      <c r="J256" s="242" t="n">
        <v>21000</v>
      </c>
      <c r="K256" s="233" t="n"/>
      <c r="L256" s="233">
        <f>IF(K256&lt;&gt;"",10500+K256,10500)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BAIGORRIA 9350</t>
        </is>
      </c>
      <c r="C257" s="229" t="n"/>
      <c r="D257" s="229" t="n"/>
      <c r="E257" s="229" t="n">
        <v>1</v>
      </c>
      <c r="F257" s="230" t="n"/>
      <c r="G257" s="230" t="n"/>
      <c r="H257" s="231" t="n">
        <v>77000</v>
      </c>
      <c r="I257" s="232" t="n">
        <v>77000</v>
      </c>
      <c r="J257" s="232" t="n"/>
      <c r="K257" s="233" t="n"/>
      <c r="L257" s="233">
        <f>IF(K257&lt;&gt;"",30000+K257,30000)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GORRITI 6742</t>
        </is>
      </c>
      <c r="C258" s="239" t="n">
        <v>1</v>
      </c>
      <c r="D258" s="239" t="n"/>
      <c r="E258" s="239" t="n"/>
      <c r="F258" s="240" t="n"/>
      <c r="G258" s="240" t="n"/>
      <c r="H258" s="241" t="n">
        <v>21000</v>
      </c>
      <c r="I258" s="242" t="n">
        <v>21000</v>
      </c>
      <c r="J258" s="242" t="n"/>
      <c r="K258" s="233" t="n"/>
      <c r="L258" s="233">
        <f>IF(K258&lt;&gt;"",10500+K258,10500)</f>
        <v/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ALBERTI 5298</t>
        </is>
      </c>
      <c r="C259" s="229" t="n">
        <v>2</v>
      </c>
      <c r="D259" s="229" t="n"/>
      <c r="E259" s="229" t="n"/>
      <c r="F259" s="230" t="n"/>
      <c r="G259" s="230" t="n"/>
      <c r="H259" s="231" t="n">
        <v>34000</v>
      </c>
      <c r="I259" s="232" t="n"/>
      <c r="J259" s="232" t="n">
        <v>34000</v>
      </c>
      <c r="K259" s="233" t="n"/>
      <c r="L259" s="233">
        <f>IF(K259&lt;&gt;"",13000+K259,13000)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FILOMENA</t>
        </is>
      </c>
      <c r="C260" s="239" t="n">
        <v>1</v>
      </c>
      <c r="D260" s="239" t="n"/>
      <c r="E260" s="239" t="n"/>
      <c r="F260" s="240" t="n"/>
      <c r="G260" s="240" t="n"/>
      <c r="H260" s="241" t="n">
        <v>19000</v>
      </c>
      <c r="I260" s="242" t="n"/>
      <c r="J260" s="242" t="n">
        <v>19000</v>
      </c>
      <c r="K260" s="233" t="n"/>
      <c r="L260" s="233">
        <f>IF(K260&lt;&gt;"",8500+K260,8500)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CAREN</t>
        </is>
      </c>
      <c r="C261" s="229" t="n"/>
      <c r="D261" s="229" t="n"/>
      <c r="E261" s="229" t="n">
        <v>1</v>
      </c>
      <c r="F261" s="230" t="n"/>
      <c r="G261" s="230" t="n"/>
      <c r="H261" s="231" t="n">
        <v>72000</v>
      </c>
      <c r="I261" s="232" t="n"/>
      <c r="J261" s="232" t="n">
        <v>72000</v>
      </c>
      <c r="K261" s="233" t="n"/>
      <c r="L261" s="233">
        <f>IF(K261&lt;&gt;"",25000+K261,25000)</f>
        <v/>
      </c>
      <c r="M261" s="156" t="n"/>
      <c r="N261" s="156" t="n"/>
      <c r="O261" s="156" t="n"/>
    </row>
    <row r="262" ht="18.75" customHeight="1" s="153">
      <c r="A262" s="237" t="n">
        <v>46078</v>
      </c>
      <c r="B262" s="238" t="inlineStr">
        <is>
          <t>SAN JERONIMO 6421</t>
        </is>
      </c>
      <c r="C262" s="239" t="n">
        <v>1</v>
      </c>
      <c r="D262" s="239" t="n"/>
      <c r="E262" s="239" t="n"/>
      <c r="F262" s="240" t="n"/>
      <c r="G262" s="240" t="n"/>
      <c r="H262" s="241" t="n">
        <v>22000</v>
      </c>
      <c r="I262" s="242" t="n">
        <v>22000</v>
      </c>
      <c r="J262" s="242" t="n"/>
      <c r="K262" s="233" t="n"/>
      <c r="L262" s="233">
        <f>IF(K262&lt;&gt;"",11500+K262,11500)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MARCIAL CANDIOTI 6141</t>
        </is>
      </c>
      <c r="C263" s="229" t="n">
        <v>1</v>
      </c>
      <c r="D263" s="229" t="n"/>
      <c r="E263" s="229" t="n"/>
      <c r="F263" s="230" t="n"/>
      <c r="G263" s="230" t="n"/>
      <c r="H263" s="231" t="n">
        <v>22000</v>
      </c>
      <c r="I263" s="232" t="n">
        <v>22000</v>
      </c>
      <c r="J263" s="232" t="n"/>
      <c r="K263" s="233" t="n"/>
      <c r="L263" s="233">
        <f>IF(K263&lt;&gt;"",11500+K263,11500)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ROTI SAN LORENZO</t>
        </is>
      </c>
      <c r="C264" s="239" t="n"/>
      <c r="D264" s="239" t="n"/>
      <c r="E264" s="239" t="n">
        <v>1</v>
      </c>
      <c r="F264" s="240" t="n"/>
      <c r="G264" s="240" t="n"/>
      <c r="H264" s="241" t="n">
        <v>72000</v>
      </c>
      <c r="I264" s="242" t="n">
        <v>72000</v>
      </c>
      <c r="J264" s="242" t="n"/>
      <c r="K264" s="233" t="n"/>
      <c r="L264" s="233">
        <f>IF(K264&lt;&gt;"",25000+K264,25000)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LAVADERO</t>
        </is>
      </c>
      <c r="C265" s="229" t="n">
        <v>1</v>
      </c>
      <c r="D265" s="229" t="n"/>
      <c r="E265" s="229" t="n"/>
      <c r="F265" s="230" t="n"/>
      <c r="G265" s="230" t="n"/>
      <c r="H265" s="231" t="n">
        <v>14500</v>
      </c>
      <c r="I265" s="232" t="n"/>
      <c r="J265" s="232" t="n">
        <v>14500</v>
      </c>
      <c r="K265" s="233" t="n"/>
      <c r="L265" s="233">
        <f>IF(K265&lt;&gt;"",4000+K265,4000)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NACHO</t>
        </is>
      </c>
      <c r="C266" s="239" t="n"/>
      <c r="D266" s="239" t="n">
        <v>1</v>
      </c>
      <c r="E266" s="239" t="n"/>
      <c r="F266" s="240" t="n"/>
      <c r="G266" s="240" t="n"/>
      <c r="H266" s="241" t="n">
        <v>28500</v>
      </c>
      <c r="I266" s="242" t="n"/>
      <c r="J266" s="242" t="n">
        <v>28500</v>
      </c>
      <c r="K266" s="233" t="n"/>
      <c r="L266" s="233">
        <f>IF(K266&lt;&gt;"",12750+K266,12750)</f>
        <v/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DUSSOP 7678</t>
        </is>
      </c>
      <c r="C267" s="229" t="n">
        <v>2</v>
      </c>
      <c r="D267" s="229" t="n">
        <v>1</v>
      </c>
      <c r="E267" s="229" t="n"/>
      <c r="F267" s="230" t="n"/>
      <c r="G267" s="230" t="n"/>
      <c r="H267" s="231" t="n">
        <v>51500</v>
      </c>
      <c r="I267" s="232" t="n">
        <v>51500</v>
      </c>
      <c r="J267" s="232" t="n"/>
      <c r="K267" s="233" t="n"/>
      <c r="L267" s="233">
        <f>IF(K267&lt;&gt;"",14750+K267,14750)</f>
        <v/>
      </c>
      <c r="M267" s="156" t="n"/>
      <c r="N267" s="156" t="n"/>
      <c r="O267" s="156" t="n"/>
    </row>
    <row r="268" ht="18.75" customHeight="1" s="153">
      <c r="A268" s="237" t="n"/>
      <c r="B268" s="238" t="inlineStr">
        <is>
          <t>ROTI VIEYTES</t>
        </is>
      </c>
      <c r="C268" s="239" t="n"/>
      <c r="D268" s="239" t="n">
        <v>2</v>
      </c>
      <c r="E268" s="239" t="n"/>
      <c r="F268" s="240" t="n"/>
      <c r="G268" s="240" t="n"/>
      <c r="H268" s="241" t="n">
        <v>45000</v>
      </c>
      <c r="I268" s="242" t="n"/>
      <c r="J268" s="242" t="n">
        <v>45000</v>
      </c>
      <c r="K268" s="233" t="n"/>
      <c r="L268" s="233">
        <f>IF(K268&lt;&gt;"",13500+K268,13500)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AYACUCHO 4057</t>
        </is>
      </c>
      <c r="C269" s="229" t="n"/>
      <c r="D269" s="229" t="n"/>
      <c r="E269" s="229" t="n">
        <v>1</v>
      </c>
      <c r="F269" s="230" t="n"/>
      <c r="G269" s="230" t="n"/>
      <c r="H269" s="231" t="n">
        <v>76000</v>
      </c>
      <c r="I269" s="232" t="n"/>
      <c r="J269" s="232" t="n">
        <v>76000</v>
      </c>
      <c r="K269" s="233" t="n"/>
      <c r="L269" s="233">
        <f>IF(K269&lt;&gt;"",29000+K269,29000)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SABOREAR</t>
        </is>
      </c>
      <c r="C270" s="239" t="n"/>
      <c r="D270" s="239" t="n"/>
      <c r="E270" s="239" t="n">
        <v>1</v>
      </c>
      <c r="F270" s="240" t="n"/>
      <c r="G270" s="240" t="n"/>
      <c r="H270" s="241" t="n">
        <v>71000</v>
      </c>
      <c r="I270" s="242" t="n"/>
      <c r="J270" s="242" t="n">
        <v>71000</v>
      </c>
      <c r="K270" s="233" t="n"/>
      <c r="L270" s="233">
        <f>IF(K270&lt;&gt;"",24000+K270,24000)</f>
        <v/>
      </c>
      <c r="M270" s="156" t="n"/>
      <c r="N270" s="156" t="n"/>
      <c r="O270" s="156" t="n"/>
    </row>
    <row r="271" ht="18.75" customHeight="1" s="153">
      <c r="A271" s="227" t="n">
        <v>46079</v>
      </c>
      <c r="B271" s="228" t="inlineStr">
        <is>
          <t>GISE PANA</t>
        </is>
      </c>
      <c r="C271" s="229" t="n">
        <v>1</v>
      </c>
      <c r="D271" s="229" t="n"/>
      <c r="E271" s="229" t="n"/>
      <c r="F271" s="230" t="n"/>
      <c r="G271" s="230" t="n"/>
      <c r="H271" s="231" t="n">
        <v>18500</v>
      </c>
      <c r="I271" s="232" t="n"/>
      <c r="J271" s="232" t="n">
        <v>18500</v>
      </c>
      <c r="K271" s="233" t="n"/>
      <c r="L271" s="233">
        <f>IF(K271&lt;&gt;"",8000+K271,8000)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ALBERDI 6533</t>
        </is>
      </c>
      <c r="C272" s="239" t="n">
        <v>1</v>
      </c>
      <c r="D272" s="239" t="n"/>
      <c r="E272" s="239" t="n"/>
      <c r="F272" s="240" t="n"/>
      <c r="G272" s="240" t="n"/>
      <c r="H272" s="241" t="n">
        <v>23000</v>
      </c>
      <c r="I272" s="242" t="n"/>
      <c r="J272" s="242" t="n">
        <v>23000</v>
      </c>
      <c r="K272" s="233" t="n"/>
      <c r="L272" s="233">
        <f>IF(K272&lt;&gt;"",12500+K272,12500)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LUCHO</t>
        </is>
      </c>
      <c r="C273" s="229" t="n"/>
      <c r="D273" s="229" t="n"/>
      <c r="E273" s="229" t="n"/>
      <c r="F273" s="230" t="n"/>
      <c r="G273" s="230" t="n">
        <v>1</v>
      </c>
      <c r="H273" s="231" t="n">
        <v>5000</v>
      </c>
      <c r="I273" s="232" t="n"/>
      <c r="J273" s="232" t="n">
        <v>5000</v>
      </c>
      <c r="K273" s="233" t="n"/>
      <c r="L273" s="233">
        <f>IF(K273&lt;&gt;"",4200+K273,4200)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ESTADO ISTRAEL 5370</t>
        </is>
      </c>
      <c r="C274" s="239" t="n">
        <v>1</v>
      </c>
      <c r="D274" s="239" t="n"/>
      <c r="E274" s="239" t="n"/>
      <c r="F274" s="240" t="n"/>
      <c r="G274" s="240" t="n"/>
      <c r="H274" s="241" t="n">
        <v>22000</v>
      </c>
      <c r="I274" s="242" t="n">
        <v>22000</v>
      </c>
      <c r="J274" s="242" t="n"/>
      <c r="K274" s="233" t="n"/>
      <c r="L274" s="233">
        <f>IF(K274&lt;&gt;"",11500+K274,11500)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VIANDAS ZEBALLOS</t>
        </is>
      </c>
      <c r="C275" s="229" t="n">
        <v>1</v>
      </c>
      <c r="D275" s="229" t="n"/>
      <c r="E275" s="229" t="n"/>
      <c r="F275" s="230" t="n"/>
      <c r="G275" s="230" t="n"/>
      <c r="H275" s="231" t="n">
        <v>19000</v>
      </c>
      <c r="I275" s="232" t="n">
        <v>19000</v>
      </c>
      <c r="J275" s="232" t="n"/>
      <c r="K275" s="233" t="n"/>
      <c r="L275" s="233">
        <f>IF(K275&lt;&gt;"",8500+K275,8500)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INGENIEROS 5511</t>
        </is>
      </c>
      <c r="C276" s="239" t="n">
        <v>1</v>
      </c>
      <c r="D276" s="239" t="n"/>
      <c r="E276" s="239" t="n"/>
      <c r="F276" s="240" t="n"/>
      <c r="G276" s="240" t="n"/>
      <c r="H276" s="241" t="n">
        <v>22000</v>
      </c>
      <c r="I276" s="242" t="n"/>
      <c r="J276" s="242" t="n">
        <v>22000</v>
      </c>
      <c r="K276" s="233" t="n"/>
      <c r="L276" s="233">
        <f>IF(K276&lt;&gt;"",11500+K276,11500)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SANDRA</t>
        </is>
      </c>
      <c r="C277" s="229" t="n">
        <v>2</v>
      </c>
      <c r="D277" s="229" t="n"/>
      <c r="E277" s="229" t="n"/>
      <c r="F277" s="230" t="n"/>
      <c r="G277" s="230" t="n"/>
      <c r="H277" s="231" t="n">
        <v>31000</v>
      </c>
      <c r="I277" s="232" t="n">
        <v>31000</v>
      </c>
      <c r="J277" s="232" t="n"/>
      <c r="K277" s="233" t="n"/>
      <c r="L277" s="233">
        <f>IF(K277&lt;&gt;"",10000+K277,10000)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SERBANDO BAYO 6840</t>
        </is>
      </c>
      <c r="C278" s="239" t="n"/>
      <c r="D278" s="239" t="n">
        <v>1</v>
      </c>
      <c r="E278" s="239" t="n"/>
      <c r="F278" s="240" t="n"/>
      <c r="G278" s="240" t="n"/>
      <c r="H278" s="241" t="n">
        <v>33000</v>
      </c>
      <c r="I278" s="242" t="n">
        <v>33000</v>
      </c>
      <c r="J278" s="242" t="n"/>
      <c r="K278" s="233" t="n"/>
      <c r="L278" s="233">
        <f>IF(K278&lt;&gt;"",17250+K278,17250)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PAPA BRUNO</t>
        </is>
      </c>
      <c r="C279" s="229" t="n"/>
      <c r="D279" s="229" t="n">
        <v>1</v>
      </c>
      <c r="E279" s="229" t="n"/>
      <c r="F279" s="230" t="n"/>
      <c r="G279" s="230" t="n"/>
      <c r="H279" s="231" t="n">
        <v>29000</v>
      </c>
      <c r="I279" s="232" t="n"/>
      <c r="J279" s="232" t="n">
        <v>29000</v>
      </c>
      <c r="K279" s="233" t="n"/>
      <c r="L279" s="233">
        <f>IF(K279&lt;&gt;"",13250+K279,13250)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PANA VIEYTES 4500</t>
        </is>
      </c>
      <c r="C280" s="239" t="n"/>
      <c r="D280" s="239" t="n"/>
      <c r="E280" s="239" t="n">
        <v>1</v>
      </c>
      <c r="F280" s="240" t="n"/>
      <c r="G280" s="240" t="n"/>
      <c r="H280" s="241" t="n">
        <v>68000</v>
      </c>
      <c r="I280" s="242" t="n">
        <v>68000</v>
      </c>
      <c r="J280" s="242" t="n"/>
      <c r="K280" s="233" t="n"/>
      <c r="L280" s="233">
        <f>IF(K280&lt;&gt;"",21000+K280,21000)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CASTAÑADUY 6687</t>
        </is>
      </c>
      <c r="C281" s="229" t="n"/>
      <c r="D281" s="229" t="n"/>
      <c r="E281" s="229" t="n">
        <v>1</v>
      </c>
      <c r="F281" s="230" t="n"/>
      <c r="G281" s="230" t="n"/>
      <c r="H281" s="231" t="n">
        <v>74000</v>
      </c>
      <c r="I281" s="232" t="n"/>
      <c r="J281" s="232" t="n">
        <v>74000</v>
      </c>
      <c r="K281" s="233" t="n"/>
      <c r="L281" s="233">
        <f>IF(K281&lt;&gt;"",27000+K281,27000)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SABORERARTE</t>
        </is>
      </c>
      <c r="C282" s="239" t="n">
        <v>1</v>
      </c>
      <c r="D282" s="239" t="n"/>
      <c r="E282" s="239" t="n"/>
      <c r="F282" s="240" t="n"/>
      <c r="G282" s="240" t="n"/>
      <c r="H282" s="241" t="n">
        <v>19500</v>
      </c>
      <c r="I282" s="242" t="n"/>
      <c r="J282" s="242" t="n">
        <v>19500</v>
      </c>
      <c r="K282" s="233" t="n"/>
      <c r="L282" s="233">
        <f>IF(K282&lt;&gt;"",9000+K282,9000)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EXE</t>
        </is>
      </c>
      <c r="C283" s="229" t="n"/>
      <c r="D283" s="229" t="n"/>
      <c r="E283" s="229" t="n">
        <v>1</v>
      </c>
      <c r="F283" s="230" t="n"/>
      <c r="G283" s="230" t="n"/>
      <c r="H283" s="231" t="n">
        <v>72000</v>
      </c>
      <c r="I283" s="232" t="n"/>
      <c r="J283" s="232" t="n">
        <v>72000</v>
      </c>
      <c r="K283" s="233" t="n"/>
      <c r="L283" s="233">
        <f>IF(K283&lt;&gt;"",25000+K283,25000)</f>
        <v/>
      </c>
      <c r="M283" s="156" t="n"/>
      <c r="N283" s="156" t="n"/>
      <c r="O283" s="156" t="n"/>
    </row>
    <row r="284" ht="18.75" customHeight="1" s="153">
      <c r="A284" s="237" t="n">
        <v>46080</v>
      </c>
      <c r="B284" s="238" t="inlineStr">
        <is>
          <t>CHICLANA 7325</t>
        </is>
      </c>
      <c r="C284" s="239" t="n">
        <v>2</v>
      </c>
      <c r="D284" s="239" t="n"/>
      <c r="E284" s="239" t="n"/>
      <c r="F284" s="240" t="n"/>
      <c r="G284" s="240" t="n"/>
      <c r="H284" s="241" t="n">
        <v>29000</v>
      </c>
      <c r="I284" s="242" t="n">
        <v>29000</v>
      </c>
      <c r="J284" s="242" t="n"/>
      <c r="K284" s="233" t="n"/>
      <c r="L284" s="233">
        <f>IF(K284&lt;&gt;"",8000+K284,8000)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AYACUCHO 5370</t>
        </is>
      </c>
      <c r="C285" s="229" t="n"/>
      <c r="D285" s="229" t="n"/>
      <c r="E285" s="229" t="n"/>
      <c r="F285" s="230" t="n"/>
      <c r="G285" s="230" t="n">
        <v>2</v>
      </c>
      <c r="H285" s="231" t="n">
        <v>10000</v>
      </c>
      <c r="I285" s="232" t="n"/>
      <c r="J285" s="232" t="n">
        <v>10000</v>
      </c>
      <c r="K285" s="233" t="n"/>
      <c r="L285" s="233">
        <f>IF(K285&lt;&gt;"",8400+K285,8400)</f>
        <v/>
      </c>
      <c r="M285" s="156" t="n"/>
      <c r="N285" s="156" t="n"/>
      <c r="O285" s="156" t="n"/>
    </row>
    <row r="286" ht="18.75" customHeight="1" s="153">
      <c r="A286" s="237" t="n"/>
      <c r="B286" s="238" t="inlineStr">
        <is>
          <t>ESTADO ISRAEL 5370</t>
        </is>
      </c>
      <c r="C286" s="239" t="n">
        <v>1</v>
      </c>
      <c r="D286" s="239" t="n"/>
      <c r="E286" s="239" t="n"/>
      <c r="F286" s="240" t="n"/>
      <c r="G286" s="240" t="n"/>
      <c r="H286" s="241" t="n">
        <v>22000</v>
      </c>
      <c r="I286" s="242" t="n">
        <v>22000</v>
      </c>
      <c r="J286" s="242" t="n"/>
      <c r="K286" s="233" t="n"/>
      <c r="L286" s="233">
        <f>IF(K286&lt;&gt;"",11500+K286,11500)</f>
        <v/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PIO PANDOLFO 9061</t>
        </is>
      </c>
      <c r="C287" s="229" t="n">
        <v>1</v>
      </c>
      <c r="D287" s="229" t="n"/>
      <c r="E287" s="229" t="n"/>
      <c r="F287" s="230" t="n"/>
      <c r="G287" s="230" t="n"/>
      <c r="H287" s="231" t="n">
        <v>23000</v>
      </c>
      <c r="I287" s="232" t="n">
        <v>23000</v>
      </c>
      <c r="J287" s="232" t="n"/>
      <c r="K287" s="233" t="n"/>
      <c r="L287" s="233">
        <f>IF(K287&lt;&gt;"",12500+K287,12500)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LOPEZ Y PLANES 4069 CLUB</t>
        </is>
      </c>
      <c r="C288" s="239" t="n">
        <v>1</v>
      </c>
      <c r="D288" s="239" t="n"/>
      <c r="E288" s="239" t="n"/>
      <c r="F288" s="240" t="n"/>
      <c r="G288" s="240" t="n"/>
      <c r="H288" s="241" t="n">
        <v>21000</v>
      </c>
      <c r="I288" s="242" t="n">
        <v>21000</v>
      </c>
      <c r="J288" s="242" t="n"/>
      <c r="K288" s="233" t="n"/>
      <c r="L288" s="233">
        <f>IF(K288&lt;&gt;"",10500+K288,10500)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RUPERTO GODOY 1676</t>
        </is>
      </c>
      <c r="C289" s="229" t="n">
        <v>1</v>
      </c>
      <c r="D289" s="229" t="n"/>
      <c r="E289" s="229" t="n"/>
      <c r="F289" s="230" t="n"/>
      <c r="G289" s="230" t="n"/>
      <c r="H289" s="231" t="n">
        <v>23000</v>
      </c>
      <c r="I289" s="232" t="n">
        <v>23000</v>
      </c>
      <c r="J289" s="232" t="n"/>
      <c r="K289" s="233" t="n"/>
      <c r="L289" s="233">
        <f>IF(K289&lt;&gt;"",12500+K289,12500)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 xml:space="preserve">ORREGO Y MENDIETA </t>
        </is>
      </c>
      <c r="C290" s="239" t="n"/>
      <c r="D290" s="239" t="n"/>
      <c r="E290" s="239" t="n">
        <v>1</v>
      </c>
      <c r="F290" s="240" t="n"/>
      <c r="G290" s="240" t="n"/>
      <c r="H290" s="241" t="n">
        <v>79000</v>
      </c>
      <c r="I290" s="242" t="n">
        <v>79000</v>
      </c>
      <c r="J290" s="242" t="n"/>
      <c r="K290" s="233" t="n"/>
      <c r="L290" s="233">
        <f>IF(K290&lt;&gt;"",32000+K290,32000)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CARCARAES 5820</t>
        </is>
      </c>
      <c r="C291" s="229" t="n"/>
      <c r="D291" s="229" t="n"/>
      <c r="E291" s="229" t="n">
        <v>1</v>
      </c>
      <c r="F291" s="230" t="n"/>
      <c r="G291" s="230" t="n"/>
      <c r="H291" s="231" t="n">
        <v>73000</v>
      </c>
      <c r="I291" s="232" t="n">
        <v>73000</v>
      </c>
      <c r="J291" s="232" t="n"/>
      <c r="K291" s="233" t="n"/>
      <c r="L291" s="233">
        <f>IF(K291&lt;&gt;"",26000+K291,26000)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LUCHO</t>
        </is>
      </c>
      <c r="C292" s="239" t="n"/>
      <c r="D292" s="239" t="n">
        <v>1</v>
      </c>
      <c r="E292" s="239" t="n"/>
      <c r="F292" s="240" t="n"/>
      <c r="G292" s="240" t="n"/>
      <c r="H292" s="241" t="n">
        <v>23000</v>
      </c>
      <c r="I292" s="242" t="n">
        <v>23000</v>
      </c>
      <c r="J292" s="242" t="n"/>
      <c r="K292" s="233" t="n"/>
      <c r="L292" s="233">
        <f>IF(K292&lt;&gt;"",7250+K292,7250)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AZCUEJAGA 5023</t>
        </is>
      </c>
      <c r="C293" s="229" t="n">
        <v>6</v>
      </c>
      <c r="D293" s="229" t="n"/>
      <c r="E293" s="229" t="n"/>
      <c r="F293" s="230" t="n"/>
      <c r="G293" s="230" t="n"/>
      <c r="H293" s="231" t="n">
        <v>90000</v>
      </c>
      <c r="I293" s="232" t="n"/>
      <c r="J293" s="232" t="n">
        <v>90000</v>
      </c>
      <c r="K293" s="233" t="n"/>
      <c r="L293" s="233">
        <f>IF(K293&lt;&gt;"",27000+K293,27000)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 xml:space="preserve">BEATRIZ </t>
        </is>
      </c>
      <c r="C294" s="239" t="n"/>
      <c r="D294" s="239" t="n"/>
      <c r="E294" s="239" t="n"/>
      <c r="F294" s="240" t="n"/>
      <c r="G294" s="240" t="n">
        <v>1</v>
      </c>
      <c r="H294" s="241" t="n">
        <v>5000</v>
      </c>
      <c r="I294" s="242" t="n">
        <v>5000</v>
      </c>
      <c r="J294" s="242" t="n"/>
      <c r="K294" s="233" t="n"/>
      <c r="L294" s="233">
        <f>IF(K294&lt;&gt;"",4200+K294,4200)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 xml:space="preserve">PANA GENESIO </t>
        </is>
      </c>
      <c r="C295" s="229" t="n"/>
      <c r="D295" s="229" t="n"/>
      <c r="E295" s="229" t="n">
        <v>1</v>
      </c>
      <c r="F295" s="230" t="n"/>
      <c r="G295" s="230" t="n"/>
      <c r="H295" s="231" t="n">
        <v>69000</v>
      </c>
      <c r="I295" s="232" t="n">
        <v>69000</v>
      </c>
      <c r="J295" s="232" t="n"/>
      <c r="K295" s="233" t="n"/>
      <c r="L295" s="233">
        <f>IF(K295&lt;&gt;"",22000+K295,22000)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PANA BERUTI 6400</t>
        </is>
      </c>
      <c r="C296" s="239" t="n"/>
      <c r="D296" s="239" t="n"/>
      <c r="E296" s="239" t="n">
        <v>1</v>
      </c>
      <c r="F296" s="240" t="n"/>
      <c r="G296" s="240" t="n"/>
      <c r="H296" s="241" t="n">
        <v>67000</v>
      </c>
      <c r="I296" s="242" t="n">
        <v>67000</v>
      </c>
      <c r="J296" s="242" t="n"/>
      <c r="K296" s="233" t="n"/>
      <c r="L296" s="233">
        <f>IF(K296&lt;&gt;"",20000+K296,20000)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LALO</t>
        </is>
      </c>
      <c r="C297" s="229" t="n"/>
      <c r="D297" s="229" t="n"/>
      <c r="E297" s="229" t="n">
        <v>1</v>
      </c>
      <c r="F297" s="230" t="n"/>
      <c r="G297" s="230" t="n"/>
      <c r="H297" s="231" t="n">
        <v>76000</v>
      </c>
      <c r="I297" s="232" t="n">
        <v>76000</v>
      </c>
      <c r="J297" s="232" t="n"/>
      <c r="K297" s="233" t="n"/>
      <c r="L297" s="233">
        <f>IF(K297&lt;&gt;"",29000+K297,29000)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ROTI AGUADO</t>
        </is>
      </c>
      <c r="C298" s="239" t="n"/>
      <c r="D298" s="239" t="n"/>
      <c r="E298" s="239" t="n">
        <v>1</v>
      </c>
      <c r="F298" s="240" t="n"/>
      <c r="G298" s="240" t="n"/>
      <c r="H298" s="241" t="n">
        <v>74000</v>
      </c>
      <c r="I298" s="242" t="n"/>
      <c r="J298" s="242" t="n">
        <v>74000</v>
      </c>
      <c r="K298" s="233" t="n"/>
      <c r="L298" s="233">
        <f>IF(K298&lt;&gt;"",27000+K298,27000)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SABOREAR</t>
        </is>
      </c>
      <c r="C299" s="229" t="n">
        <v>2</v>
      </c>
      <c r="D299" s="229" t="n"/>
      <c r="E299" s="229" t="n"/>
      <c r="F299" s="230" t="n"/>
      <c r="G299" s="230" t="n"/>
      <c r="H299" s="231" t="n">
        <v>39000</v>
      </c>
      <c r="I299" s="232" t="n"/>
      <c r="J299" s="232" t="n">
        <v>39000</v>
      </c>
      <c r="K299" s="233" t="n"/>
      <c r="L299" s="233">
        <f>IF(K299&lt;&gt;"",18000+K299,18000)</f>
        <v/>
      </c>
      <c r="M299" s="156" t="n"/>
      <c r="N299" s="156" t="n"/>
      <c r="O299" s="156" t="n"/>
    </row>
    <row r="300" ht="18.75" customHeight="1" s="153">
      <c r="A300" s="237" t="n">
        <v>46081</v>
      </c>
      <c r="B300" s="238" t="inlineStr">
        <is>
          <t>OTNIEL</t>
        </is>
      </c>
      <c r="C300" s="239" t="n"/>
      <c r="D300" s="239" t="n"/>
      <c r="E300" s="239" t="n">
        <v>1</v>
      </c>
      <c r="F300" s="240" t="n"/>
      <c r="G300" s="240" t="n">
        <v>1</v>
      </c>
      <c r="H300" s="241" t="n">
        <v>77000</v>
      </c>
      <c r="I300" s="242" t="n"/>
      <c r="J300" s="242" t="n">
        <v>77000</v>
      </c>
      <c r="K300" s="233" t="n"/>
      <c r="L300" s="233">
        <f>IF(K300&lt;&gt;"",29200+K300,29200)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COGORNO 5520</t>
        </is>
      </c>
      <c r="C301" s="229" t="n">
        <v>4</v>
      </c>
      <c r="D301" s="229" t="n"/>
      <c r="E301" s="229" t="n"/>
      <c r="F301" s="230" t="n"/>
      <c r="G301" s="230" t="n"/>
      <c r="H301" s="231" t="n">
        <v>60000</v>
      </c>
      <c r="I301" s="232" t="n"/>
      <c r="J301" s="232" t="n">
        <v>60000</v>
      </c>
      <c r="K301" s="233" t="n"/>
      <c r="L301" s="233">
        <f>IF(K301&lt;&gt;"",18000+K301,18000)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>AZOPARDO 8443</t>
        </is>
      </c>
      <c r="C302" s="239" t="n">
        <v>1</v>
      </c>
      <c r="D302" s="239" t="n"/>
      <c r="E302" s="239" t="n"/>
      <c r="F302" s="240" t="n"/>
      <c r="G302" s="240" t="n"/>
      <c r="H302" s="241" t="n">
        <v>21000</v>
      </c>
      <c r="I302" s="242" t="n">
        <v>21000</v>
      </c>
      <c r="J302" s="242" t="n"/>
      <c r="K302" s="233" t="n"/>
      <c r="L302" s="233">
        <f>IF(K302&lt;&gt;"",10500+K302,10500)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ALVEAR 5259</t>
        </is>
      </c>
      <c r="C303" s="229" t="n">
        <v>1</v>
      </c>
      <c r="D303" s="229" t="n"/>
      <c r="E303" s="229" t="n"/>
      <c r="F303" s="230" t="n"/>
      <c r="G303" s="230" t="n"/>
      <c r="H303" s="231" t="n">
        <v>21000</v>
      </c>
      <c r="I303" s="232" t="n">
        <v>21000</v>
      </c>
      <c r="J303" s="232" t="n"/>
      <c r="K303" s="233" t="n"/>
      <c r="L303" s="233">
        <f>IF(K303&lt;&gt;"",10500+K303,10500)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 xml:space="preserve">BRASERIA </t>
        </is>
      </c>
      <c r="C304" s="239" t="n"/>
      <c r="D304" s="239" t="n"/>
      <c r="E304" s="239" t="n">
        <v>1</v>
      </c>
      <c r="F304" s="240" t="n"/>
      <c r="G304" s="240" t="n"/>
      <c r="H304" s="241" t="n">
        <v>73000</v>
      </c>
      <c r="I304" s="242" t="n"/>
      <c r="J304" s="242" t="n">
        <v>73000</v>
      </c>
      <c r="K304" s="233" t="n"/>
      <c r="L304" s="233">
        <f>IF(K304&lt;&gt;"",26000+K304,26000)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CASTELLI 946</t>
        </is>
      </c>
      <c r="C305" s="229" t="n">
        <v>1</v>
      </c>
      <c r="D305" s="229" t="n"/>
      <c r="E305" s="229" t="n"/>
      <c r="F305" s="230" t="n"/>
      <c r="G305" s="230" t="n"/>
      <c r="H305" s="231" t="n">
        <v>23000</v>
      </c>
      <c r="I305" s="232" t="n">
        <v>23000</v>
      </c>
      <c r="J305" s="232" t="n"/>
      <c r="K305" s="233" t="n"/>
      <c r="L305" s="233">
        <f>IF(K305&lt;&gt;"",12500+K305,12500)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LAVADERO</t>
        </is>
      </c>
      <c r="C306" s="239" t="n">
        <v>1</v>
      </c>
      <c r="D306" s="239" t="n">
        <v>1</v>
      </c>
      <c r="E306" s="239" t="n"/>
      <c r="F306" s="240" t="n"/>
      <c r="G306" s="240" t="n"/>
      <c r="H306" s="241" t="n">
        <v>36500</v>
      </c>
      <c r="I306" s="242" t="n">
        <v>36500</v>
      </c>
      <c r="J306" s="242" t="n"/>
      <c r="K306" s="233" t="n"/>
      <c r="L306" s="233">
        <f>IF(K306&lt;&gt;"",10250+K306,10250)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LUCHO</t>
        </is>
      </c>
      <c r="C307" s="229" t="n">
        <v>1</v>
      </c>
      <c r="D307" s="229" t="n"/>
      <c r="E307" s="229" t="n"/>
      <c r="F307" s="230" t="n"/>
      <c r="G307" s="230" t="n"/>
      <c r="H307" s="231" t="n">
        <v>15000</v>
      </c>
      <c r="I307" s="232" t="n"/>
      <c r="J307" s="232" t="n">
        <v>15000</v>
      </c>
      <c r="K307" s="233" t="n"/>
      <c r="L307" s="233">
        <f>IF(K307&lt;&gt;"",4500+K307,4500)</f>
        <v/>
      </c>
      <c r="M307" s="156" t="n"/>
      <c r="N307" s="156" t="n"/>
      <c r="O307" s="156" t="n"/>
    </row>
    <row r="308" ht="18.75" customHeight="1" s="153">
      <c r="A308" s="237" t="n"/>
      <c r="B308" s="238" t="inlineStr">
        <is>
          <t>FILOMENA</t>
        </is>
      </c>
      <c r="C308" s="239" t="n">
        <v>2</v>
      </c>
      <c r="D308" s="239" t="n"/>
      <c r="E308" s="239" t="n"/>
      <c r="F308" s="240" t="n"/>
      <c r="G308" s="240" t="n"/>
      <c r="H308" s="241" t="n">
        <v>38000</v>
      </c>
      <c r="I308" s="242" t="n"/>
      <c r="J308" s="242" t="n">
        <v>38000</v>
      </c>
      <c r="K308" s="233" t="n"/>
      <c r="L308" s="233">
        <f>IF(K308&lt;&gt;"",17000+K308,17000)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ABUELA TUYA</t>
        </is>
      </c>
      <c r="C309" s="229" t="n">
        <v>1</v>
      </c>
      <c r="D309" s="229" t="n"/>
      <c r="E309" s="229" t="n"/>
      <c r="F309" s="230" t="n"/>
      <c r="G309" s="230" t="n"/>
      <c r="H309" s="231" t="n">
        <v>22000</v>
      </c>
      <c r="I309" s="232" t="n">
        <v>22000</v>
      </c>
      <c r="J309" s="232" t="n"/>
      <c r="K309" s="233" t="n"/>
      <c r="L309" s="233">
        <f>IF(K309&lt;&gt;"",11500+K309,11500)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VIVERO</t>
        </is>
      </c>
      <c r="C310" s="239" t="n">
        <v>1</v>
      </c>
      <c r="D310" s="239" t="n"/>
      <c r="E310" s="239" t="n"/>
      <c r="F310" s="240" t="n"/>
      <c r="G310" s="240" t="n"/>
      <c r="H310" s="241" t="n">
        <v>22000</v>
      </c>
      <c r="I310" s="242" t="n">
        <v>22000</v>
      </c>
      <c r="J310" s="242" t="n"/>
      <c r="K310" s="233" t="n"/>
      <c r="L310" s="233">
        <f>IF(K310&lt;&gt;"",11500+K310,11500)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MARTIN ZPATA 2101</t>
        </is>
      </c>
      <c r="C311" s="229" t="n">
        <v>1</v>
      </c>
      <c r="D311" s="229" t="n"/>
      <c r="E311" s="229" t="n"/>
      <c r="F311" s="230" t="n"/>
      <c r="G311" s="230" t="n"/>
      <c r="H311" s="231" t="n">
        <v>15000</v>
      </c>
      <c r="I311" s="232" t="n"/>
      <c r="J311" s="232" t="n">
        <v>15000</v>
      </c>
      <c r="K311" s="233" t="n"/>
      <c r="L311" s="233">
        <f>IF(K311&lt;&gt;"",4500+K311,4500)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GORRIT 6638</t>
        </is>
      </c>
      <c r="C312" s="239" t="n">
        <v>1</v>
      </c>
      <c r="D312" s="239" t="n"/>
      <c r="E312" s="239" t="n"/>
      <c r="F312" s="240" t="n"/>
      <c r="G312" s="240" t="n"/>
      <c r="H312" s="241" t="n">
        <v>21000</v>
      </c>
      <c r="I312" s="242" t="n">
        <v>21000</v>
      </c>
      <c r="J312" s="242" t="n"/>
      <c r="K312" s="233" t="n"/>
      <c r="L312" s="233">
        <f>IF(K312&lt;&gt;"",10500+K312,10500)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LA RIOJA 3552</t>
        </is>
      </c>
      <c r="C313" s="229" t="n">
        <v>1</v>
      </c>
      <c r="D313" s="229" t="n"/>
      <c r="E313" s="229" t="n"/>
      <c r="F313" s="230" t="n"/>
      <c r="G313" s="230" t="n"/>
      <c r="H313" s="231" t="n">
        <v>23000</v>
      </c>
      <c r="I313" s="232" t="n">
        <v>23000</v>
      </c>
      <c r="J313" s="232" t="n"/>
      <c r="K313" s="233" t="n"/>
      <c r="L313" s="233">
        <f>IF(K313&lt;&gt;"",12500+K313,12500)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RIO NEGRO 6570</t>
        </is>
      </c>
      <c r="C314" s="239" t="n"/>
      <c r="D314" s="239" t="n"/>
      <c r="E314" s="239" t="n">
        <v>1</v>
      </c>
      <c r="F314" s="240" t="n"/>
      <c r="G314" s="240" t="n"/>
      <c r="H314" s="241" t="n">
        <v>79000</v>
      </c>
      <c r="I314" s="242" t="n"/>
      <c r="J314" s="242" t="n">
        <v>79000</v>
      </c>
      <c r="K314" s="233" t="n"/>
      <c r="L314" s="233">
        <f>IF(K314&lt;&gt;"",32000+K314,32000)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CAREN</t>
        </is>
      </c>
      <c r="C315" s="229" t="n"/>
      <c r="D315" s="229" t="n"/>
      <c r="E315" s="229" t="n">
        <v>1</v>
      </c>
      <c r="F315" s="230" t="n"/>
      <c r="G315" s="230" t="n"/>
      <c r="H315" s="231" t="n">
        <v>72000</v>
      </c>
      <c r="I315" s="232" t="n"/>
      <c r="J315" s="232" t="n">
        <v>72000</v>
      </c>
      <c r="K315" s="233" t="n"/>
      <c r="L315" s="233">
        <f>IF(K315&lt;&gt;"",25000+K315,25000)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SABOREAR</t>
        </is>
      </c>
      <c r="C316" s="239" t="n"/>
      <c r="D316" s="239" t="n">
        <v>1</v>
      </c>
      <c r="E316" s="239" t="n"/>
      <c r="F316" s="240" t="n"/>
      <c r="G316" s="240" t="n"/>
      <c r="H316" s="241" t="n">
        <v>29000</v>
      </c>
      <c r="I316" s="242" t="n"/>
      <c r="J316" s="242" t="n">
        <v>29000</v>
      </c>
      <c r="K316" s="233" t="n"/>
      <c r="L316" s="233">
        <f>IF(K316&lt;&gt;"",13250+K316,13250)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27" t="n">
        <v>46082</v>
      </c>
      <c r="B5" s="228" t="inlineStr">
        <is>
          <t>JOSE CIBILS</t>
        </is>
      </c>
      <c r="C5" s="229" t="n"/>
      <c r="D5" s="229" t="n"/>
      <c r="E5" s="229" t="n">
        <v>1</v>
      </c>
      <c r="F5" s="230" t="n"/>
      <c r="G5" s="230" t="n"/>
      <c r="H5" s="231" t="n">
        <v>76000</v>
      </c>
      <c r="I5" s="232" t="n"/>
      <c r="J5" s="232" t="n">
        <v>76000</v>
      </c>
      <c r="K5" s="233" t="n"/>
      <c r="L5" s="233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37" t="n"/>
      <c r="B6" s="238" t="inlineStr">
        <is>
          <t>ALSINA 6550</t>
        </is>
      </c>
      <c r="C6" s="239" t="n"/>
      <c r="D6" s="239" t="n">
        <v>1</v>
      </c>
      <c r="E6" s="239" t="n"/>
      <c r="F6" s="240" t="n"/>
      <c r="G6" s="240" t="n"/>
      <c r="H6" s="241" t="n">
        <v>33000</v>
      </c>
      <c r="I6" s="242" t="n">
        <v>33000</v>
      </c>
      <c r="J6" s="242" t="n"/>
      <c r="K6" s="233" t="n"/>
      <c r="L6" s="233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27" t="n"/>
      <c r="B7" s="228" t="inlineStr">
        <is>
          <t>LAS HERAS Y GORRITI</t>
        </is>
      </c>
      <c r="C7" s="229" t="n"/>
      <c r="D7" s="229" t="n"/>
      <c r="E7" s="229" t="n">
        <v>1</v>
      </c>
      <c r="F7" s="230" t="n"/>
      <c r="G7" s="230" t="n"/>
      <c r="H7" s="231" t="n">
        <v>75000</v>
      </c>
      <c r="I7" s="232" t="n"/>
      <c r="J7" s="232" t="n">
        <v>75000</v>
      </c>
      <c r="K7" s="233" t="n"/>
      <c r="L7" s="233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37" t="n"/>
      <c r="B8" s="238" t="inlineStr">
        <is>
          <t>RIVADAVIA 6330</t>
        </is>
      </c>
      <c r="C8" s="239" t="n"/>
      <c r="D8" s="239" t="n">
        <v>1</v>
      </c>
      <c r="E8" s="239" t="n"/>
      <c r="F8" s="240" t="n"/>
      <c r="G8" s="240" t="n"/>
      <c r="H8" s="241" t="n">
        <v>33000</v>
      </c>
      <c r="I8" s="242" t="n"/>
      <c r="J8" s="242" t="n">
        <v>33000</v>
      </c>
      <c r="K8" s="233" t="n"/>
      <c r="L8" s="233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27" t="n"/>
      <c r="B9" s="228" t="inlineStr">
        <is>
          <t>BERUTI 4075</t>
        </is>
      </c>
      <c r="C9" s="229" t="n"/>
      <c r="D9" s="229" t="n"/>
      <c r="E9" s="229" t="n">
        <v>2</v>
      </c>
      <c r="F9" s="230" t="n"/>
      <c r="G9" s="230" t="n"/>
      <c r="H9" s="231" t="n">
        <v>152000</v>
      </c>
      <c r="I9" s="232" t="n"/>
      <c r="J9" s="232" t="n">
        <v>152000</v>
      </c>
      <c r="K9" s="233" t="n"/>
      <c r="L9" s="233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37" t="n"/>
      <c r="B10" s="238" t="inlineStr">
        <is>
          <t>9 DE JULIO 2109</t>
        </is>
      </c>
      <c r="C10" s="239" t="n">
        <v>1</v>
      </c>
      <c r="D10" s="239" t="n"/>
      <c r="E10" s="239" t="n"/>
      <c r="F10" s="240" t="n"/>
      <c r="G10" s="240" t="n"/>
      <c r="H10" s="241" t="n">
        <v>23000</v>
      </c>
      <c r="I10" s="242" t="n"/>
      <c r="J10" s="242" t="n">
        <v>23000</v>
      </c>
      <c r="K10" s="233" t="n"/>
      <c r="L10" s="233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27" t="n"/>
      <c r="B11" s="228" t="inlineStr">
        <is>
          <t>NACHO</t>
        </is>
      </c>
      <c r="C11" s="229" t="n">
        <v>1</v>
      </c>
      <c r="D11" s="229" t="n"/>
      <c r="E11" s="229" t="n"/>
      <c r="F11" s="230" t="n"/>
      <c r="G11" s="230" t="n"/>
      <c r="H11" s="231" t="n">
        <v>19000</v>
      </c>
      <c r="I11" s="232" t="n"/>
      <c r="J11" s="232" t="n">
        <v>19000</v>
      </c>
      <c r="K11" s="233" t="n"/>
      <c r="L11" s="233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37" t="n">
        <v>46083</v>
      </c>
      <c r="B12" s="238" t="inlineStr">
        <is>
          <t>IRMA INGENIEROS 5501</t>
        </is>
      </c>
      <c r="C12" s="239" t="n">
        <v>1</v>
      </c>
      <c r="D12" s="239" t="n"/>
      <c r="E12" s="239" t="n"/>
      <c r="F12" s="240" t="n"/>
      <c r="G12" s="240" t="n"/>
      <c r="H12" s="241" t="n">
        <v>23000</v>
      </c>
      <c r="I12" s="242" t="n">
        <v>23000</v>
      </c>
      <c r="J12" s="242" t="n"/>
      <c r="K12" s="233" t="n"/>
      <c r="L12" s="233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27" t="n"/>
      <c r="B13" s="228" t="inlineStr">
        <is>
          <t>GENEIRO 8249</t>
        </is>
      </c>
      <c r="C13" s="229" t="n">
        <v>1</v>
      </c>
      <c r="D13" s="229" t="n"/>
      <c r="E13" s="229" t="n"/>
      <c r="F13" s="230" t="n"/>
      <c r="G13" s="230" t="n"/>
      <c r="H13" s="231" t="n">
        <v>21000</v>
      </c>
      <c r="I13" s="232" t="n"/>
      <c r="J13" s="232" t="n">
        <v>21000</v>
      </c>
      <c r="K13" s="233" t="n"/>
      <c r="L13" s="233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37" t="n"/>
      <c r="B14" s="238" t="inlineStr">
        <is>
          <t>VIANDAS JORGE</t>
        </is>
      </c>
      <c r="C14" s="239" t="n">
        <v>1</v>
      </c>
      <c r="D14" s="239" t="n"/>
      <c r="E14" s="239" t="n"/>
      <c r="F14" s="240" t="n"/>
      <c r="G14" s="240" t="n"/>
      <c r="H14" s="241" t="n">
        <v>19000</v>
      </c>
      <c r="I14" s="242" t="n">
        <v>19000</v>
      </c>
      <c r="J14" s="242" t="n"/>
      <c r="K14" s="233" t="n"/>
      <c r="L14" s="233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27" t="n"/>
      <c r="B15" s="228" t="inlineStr">
        <is>
          <t>25 DE MAYO 8347</t>
        </is>
      </c>
      <c r="C15" s="229" t="n">
        <v>1</v>
      </c>
      <c r="D15" s="229" t="n"/>
      <c r="E15" s="229" t="n"/>
      <c r="F15" s="230" t="n"/>
      <c r="G15" s="230" t="n"/>
      <c r="H15" s="231" t="n">
        <v>21000</v>
      </c>
      <c r="I15" s="232" t="n">
        <v>21000</v>
      </c>
      <c r="J15" s="232" t="n"/>
      <c r="K15" s="233" t="n"/>
      <c r="L15" s="233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37" t="n"/>
      <c r="B16" s="238" t="inlineStr">
        <is>
          <t>RICARDO ALDAO 3082</t>
        </is>
      </c>
      <c r="C16" s="239" t="n">
        <v>1</v>
      </c>
      <c r="D16" s="239" t="n"/>
      <c r="E16" s="239" t="n"/>
      <c r="F16" s="240" t="n"/>
      <c r="G16" s="240" t="n"/>
      <c r="H16" s="241" t="n">
        <v>22000</v>
      </c>
      <c r="I16" s="242" t="n">
        <v>22000</v>
      </c>
      <c r="J16" s="242" t="n"/>
      <c r="K16" s="233" t="n"/>
      <c r="L16" s="233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27" t="n"/>
      <c r="B17" s="228" t="inlineStr">
        <is>
          <t>B IRIGOYEN 6634</t>
        </is>
      </c>
      <c r="C17" s="229" t="n">
        <v>1</v>
      </c>
      <c r="D17" s="229" t="n"/>
      <c r="E17" s="229" t="n"/>
      <c r="F17" s="230" t="n"/>
      <c r="G17" s="230" t="n"/>
      <c r="H17" s="231" t="n">
        <v>22000</v>
      </c>
      <c r="I17" s="232" t="n">
        <v>22000</v>
      </c>
      <c r="J17" s="232" t="n"/>
      <c r="K17" s="233" t="n"/>
      <c r="L17" s="233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37" t="n"/>
      <c r="B18" s="238" t="inlineStr">
        <is>
          <t>CAMELI 4860</t>
        </is>
      </c>
      <c r="C18" s="239" t="n">
        <v>2</v>
      </c>
      <c r="D18" s="239" t="n"/>
      <c r="E18" s="239" t="n"/>
      <c r="F18" s="240" t="n"/>
      <c r="G18" s="240" t="n"/>
      <c r="H18" s="241" t="n">
        <v>42000</v>
      </c>
      <c r="I18" s="242" t="n"/>
      <c r="J18" s="242" t="n">
        <v>42000</v>
      </c>
      <c r="K18" s="233" t="n"/>
      <c r="L18" s="233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27" t="n"/>
      <c r="B19" s="228" t="inlineStr">
        <is>
          <t>VICTOR CAPE</t>
        </is>
      </c>
      <c r="C19" s="229" t="n"/>
      <c r="D19" s="229" t="n">
        <v>1</v>
      </c>
      <c r="E19" s="229" t="n"/>
      <c r="F19" s="230" t="n"/>
      <c r="G19" s="230" t="n"/>
      <c r="H19" s="231" t="n">
        <v>32000</v>
      </c>
      <c r="I19" s="232" t="n"/>
      <c r="J19" s="232" t="n">
        <v>32000</v>
      </c>
      <c r="K19" s="233" t="n"/>
      <c r="L19" s="233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37" t="n"/>
      <c r="B20" s="238" t="inlineStr">
        <is>
          <t>FILOMENA</t>
        </is>
      </c>
      <c r="C20" s="239" t="n">
        <v>2</v>
      </c>
      <c r="D20" s="239" t="n"/>
      <c r="E20" s="239" t="n"/>
      <c r="F20" s="240" t="n"/>
      <c r="G20" s="240" t="n"/>
      <c r="H20" s="241" t="n">
        <v>38000</v>
      </c>
      <c r="I20" s="242" t="n">
        <v>38000</v>
      </c>
      <c r="J20" s="242" t="n"/>
      <c r="K20" s="233" t="n"/>
      <c r="L20" s="233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27" t="n">
        <v>46084</v>
      </c>
      <c r="B21" s="228" t="inlineStr">
        <is>
          <t>OTNIEL</t>
        </is>
      </c>
      <c r="C21" s="229" t="n">
        <v>1</v>
      </c>
      <c r="D21" s="229" t="n">
        <v>1</v>
      </c>
      <c r="E21" s="229" t="n">
        <v>1</v>
      </c>
      <c r="F21" s="230" t="n"/>
      <c r="G21" s="230" t="n">
        <v>1</v>
      </c>
      <c r="H21" s="231" t="n">
        <v>127500</v>
      </c>
      <c r="I21" s="232" t="n"/>
      <c r="J21" s="232" t="n">
        <v>127500</v>
      </c>
      <c r="K21" s="233" t="n"/>
      <c r="L21" s="233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37" t="n"/>
      <c r="B22" s="238" t="inlineStr">
        <is>
          <t>ALBERTI 5251</t>
        </is>
      </c>
      <c r="C22" s="239" t="n">
        <v>1</v>
      </c>
      <c r="D22" s="239" t="n"/>
      <c r="E22" s="239" t="n"/>
      <c r="F22" s="240" t="n"/>
      <c r="G22" s="240" t="n"/>
      <c r="H22" s="241" t="n">
        <v>21000</v>
      </c>
      <c r="I22" s="242" t="n">
        <v>21000</v>
      </c>
      <c r="J22" s="242" t="n"/>
      <c r="K22" s="233" t="n"/>
      <c r="L22" s="233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27" t="n"/>
      <c r="B23" s="228" t="inlineStr">
        <is>
          <t>LUCHO</t>
        </is>
      </c>
      <c r="C23" s="229" t="n">
        <v>1</v>
      </c>
      <c r="D23" s="229" t="n"/>
      <c r="E23" s="229" t="n"/>
      <c r="F23" s="230" t="n"/>
      <c r="G23" s="230" t="n"/>
      <c r="H23" s="231" t="n">
        <v>15000</v>
      </c>
      <c r="I23" s="232" t="n">
        <v>15000</v>
      </c>
      <c r="J23" s="232" t="n"/>
      <c r="K23" s="233" t="n"/>
      <c r="L23" s="233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37" t="n"/>
      <c r="B24" s="238" t="inlineStr">
        <is>
          <t>PIEDRABUENA 4506</t>
        </is>
      </c>
      <c r="C24" s="239" t="n"/>
      <c r="D24" s="239" t="n"/>
      <c r="E24" s="239" t="n">
        <v>1</v>
      </c>
      <c r="F24" s="240" t="n"/>
      <c r="G24" s="240" t="n"/>
      <c r="H24" s="241" t="n">
        <v>77000</v>
      </c>
      <c r="I24" s="242" t="n">
        <v>77000</v>
      </c>
      <c r="J24" s="242" t="n"/>
      <c r="K24" s="233" t="n"/>
      <c r="L24" s="233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27" t="n"/>
      <c r="B25" s="228" t="inlineStr">
        <is>
          <t>EX COMBATIENTES 6532</t>
        </is>
      </c>
      <c r="C25" s="229" t="n"/>
      <c r="D25" s="229" t="n">
        <v>1</v>
      </c>
      <c r="E25" s="229" t="n"/>
      <c r="F25" s="230" t="n"/>
      <c r="G25" s="230" t="n"/>
      <c r="H25" s="231" t="n">
        <v>32000</v>
      </c>
      <c r="I25" s="232" t="n">
        <v>32000</v>
      </c>
      <c r="J25" s="232" t="n"/>
      <c r="K25" s="233" t="n"/>
      <c r="L25" s="233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37" t="n"/>
      <c r="B26" s="238" t="inlineStr">
        <is>
          <t>AZOPARD0 10560</t>
        </is>
      </c>
      <c r="C26" s="239" t="n">
        <v>1</v>
      </c>
      <c r="D26" s="239" t="n"/>
      <c r="E26" s="239" t="n"/>
      <c r="F26" s="240" t="n"/>
      <c r="G26" s="240" t="n"/>
      <c r="H26" s="241" t="n">
        <v>21000</v>
      </c>
      <c r="I26" s="242" t="n">
        <v>21000</v>
      </c>
      <c r="J26" s="242" t="n"/>
      <c r="K26" s="233" t="n"/>
      <c r="L26" s="233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27" t="n"/>
      <c r="B27" s="228" t="inlineStr">
        <is>
          <t>PANA GENESIO</t>
        </is>
      </c>
      <c r="C27" s="229" t="n"/>
      <c r="D27" s="229" t="n"/>
      <c r="E27" s="229" t="n">
        <v>1</v>
      </c>
      <c r="F27" s="230" t="n"/>
      <c r="G27" s="230" t="n"/>
      <c r="H27" s="231" t="n">
        <v>69000</v>
      </c>
      <c r="I27" s="232" t="n"/>
      <c r="J27" s="232" t="n">
        <v>69000</v>
      </c>
      <c r="K27" s="233" t="n"/>
      <c r="L27" s="233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37" t="n"/>
      <c r="B28" s="238" t="inlineStr">
        <is>
          <t>POLLERIA BLASPA</t>
        </is>
      </c>
      <c r="C28" s="239" t="n">
        <v>1</v>
      </c>
      <c r="D28" s="239" t="n"/>
      <c r="E28" s="239" t="n"/>
      <c r="F28" s="240" t="n"/>
      <c r="G28" s="240" t="n"/>
      <c r="H28" s="241" t="n">
        <v>18000</v>
      </c>
      <c r="I28" s="242" t="n">
        <v>18000</v>
      </c>
      <c r="J28" s="242" t="n"/>
      <c r="K28" s="233" t="n"/>
      <c r="L28" s="233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27" t="n"/>
      <c r="B29" s="228" t="inlineStr">
        <is>
          <t>SANDRA</t>
        </is>
      </c>
      <c r="C29" s="229" t="n">
        <v>1</v>
      </c>
      <c r="D29" s="229" t="n"/>
      <c r="E29" s="229" t="n"/>
      <c r="F29" s="230" t="n"/>
      <c r="G29" s="230" t="n"/>
      <c r="H29" s="231" t="n">
        <v>15500</v>
      </c>
      <c r="I29" s="232" t="n">
        <v>15500</v>
      </c>
      <c r="J29" s="232" t="n"/>
      <c r="K29" s="233" t="n"/>
      <c r="L29" s="233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37" t="n"/>
      <c r="B30" s="238" t="inlineStr">
        <is>
          <t>F5 GABOTO</t>
        </is>
      </c>
      <c r="C30" s="239" t="n">
        <v>1</v>
      </c>
      <c r="D30" s="239" t="n"/>
      <c r="E30" s="239" t="n"/>
      <c r="F30" s="240" t="n"/>
      <c r="G30" s="240" t="n"/>
      <c r="H30" s="241" t="n">
        <v>20000</v>
      </c>
      <c r="I30" s="242" t="n">
        <v>20000</v>
      </c>
      <c r="J30" s="242" t="n"/>
      <c r="K30" s="233" t="n"/>
      <c r="L30" s="233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27" t="n"/>
      <c r="B31" s="228" t="inlineStr">
        <is>
          <t>SARSOTI 6567</t>
        </is>
      </c>
      <c r="C31" s="229" t="n"/>
      <c r="D31" s="229" t="n">
        <v>1</v>
      </c>
      <c r="E31" s="229" t="n"/>
      <c r="F31" s="230" t="n"/>
      <c r="G31" s="230" t="n"/>
      <c r="H31" s="231" t="n">
        <v>30000</v>
      </c>
      <c r="I31" s="232" t="n"/>
      <c r="J31" s="232" t="n">
        <v>30000</v>
      </c>
      <c r="K31" s="233" t="n"/>
      <c r="L31" s="233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37" t="n"/>
      <c r="B32" s="238" t="inlineStr">
        <is>
          <t>ALBERTI 4930</t>
        </is>
      </c>
      <c r="C32" s="239" t="n"/>
      <c r="D32" s="239" t="n"/>
      <c r="E32" s="239" t="n">
        <v>1</v>
      </c>
      <c r="F32" s="240" t="n"/>
      <c r="G32" s="240" t="n">
        <v>1</v>
      </c>
      <c r="H32" s="241" t="n">
        <v>86000</v>
      </c>
      <c r="I32" s="242" t="n"/>
      <c r="J32" s="242" t="n">
        <v>86000</v>
      </c>
      <c r="K32" s="233" t="n"/>
      <c r="L32" s="233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27" t="n"/>
      <c r="B33" s="228" t="inlineStr">
        <is>
          <t>ROQUE S PENA 7668</t>
        </is>
      </c>
      <c r="C33" s="229" t="n"/>
      <c r="D33" s="229" t="n"/>
      <c r="E33" s="229" t="n">
        <v>1</v>
      </c>
      <c r="F33" s="230" t="n"/>
      <c r="G33" s="230" t="n"/>
      <c r="H33" s="231" t="n">
        <v>73000</v>
      </c>
      <c r="I33" s="232" t="n"/>
      <c r="J33" s="232" t="n">
        <v>73000</v>
      </c>
      <c r="K33" s="233" t="n"/>
      <c r="L33" s="233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37" t="n"/>
      <c r="B34" s="238" t="inlineStr">
        <is>
          <t>CHICLANA 72325</t>
        </is>
      </c>
      <c r="C34" s="239" t="n">
        <v>2</v>
      </c>
      <c r="D34" s="239" t="n"/>
      <c r="E34" s="239" t="n"/>
      <c r="F34" s="240" t="n"/>
      <c r="G34" s="240" t="n"/>
      <c r="H34" s="241" t="n">
        <v>29000</v>
      </c>
      <c r="I34" s="242" t="n">
        <v>29000</v>
      </c>
      <c r="J34" s="242" t="n"/>
      <c r="K34" s="233" t="n"/>
      <c r="L34" s="233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27" t="n"/>
      <c r="B35" s="228" t="inlineStr">
        <is>
          <t>ALMONACID 3637</t>
        </is>
      </c>
      <c r="C35" s="229" t="n">
        <v>1</v>
      </c>
      <c r="D35" s="229" t="n"/>
      <c r="E35" s="229" t="n"/>
      <c r="F35" s="230" t="n"/>
      <c r="G35" s="230" t="n"/>
      <c r="H35" s="231" t="n">
        <v>21000</v>
      </c>
      <c r="I35" s="232" t="n">
        <v>21000</v>
      </c>
      <c r="J35" s="232" t="n"/>
      <c r="K35" s="233" t="n"/>
      <c r="L35" s="233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37" t="n"/>
      <c r="B36" s="238" t="inlineStr">
        <is>
          <t>PANA ALBERTI</t>
        </is>
      </c>
      <c r="C36" s="239" t="n"/>
      <c r="D36" s="239" t="n"/>
      <c r="E36" s="239" t="n">
        <v>1</v>
      </c>
      <c r="F36" s="240" t="n"/>
      <c r="G36" s="240" t="n"/>
      <c r="H36" s="241" t="n">
        <v>72000</v>
      </c>
      <c r="I36" s="242" t="n">
        <v>72000</v>
      </c>
      <c r="J36" s="242" t="n"/>
      <c r="K36" s="233" t="n"/>
      <c r="L36" s="233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27" t="n"/>
      <c r="B37" s="228" t="inlineStr">
        <is>
          <t>ALBERTI 5200</t>
        </is>
      </c>
      <c r="C37" s="229" t="n">
        <v>1</v>
      </c>
      <c r="D37" s="229" t="n"/>
      <c r="E37" s="229" t="n"/>
      <c r="F37" s="230" t="n"/>
      <c r="G37" s="230" t="n"/>
      <c r="H37" s="231" t="n">
        <v>20000</v>
      </c>
      <c r="I37" s="232" t="n"/>
      <c r="J37" s="232" t="n">
        <v>20000</v>
      </c>
      <c r="K37" s="233" t="n"/>
      <c r="L37" s="233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37" t="n">
        <v>46085</v>
      </c>
      <c r="B38" s="238" t="inlineStr">
        <is>
          <t>PANA GORRITI 4600</t>
        </is>
      </c>
      <c r="C38" s="239" t="n"/>
      <c r="D38" s="239" t="n"/>
      <c r="E38" s="239" t="n">
        <v>1</v>
      </c>
      <c r="F38" s="240" t="n"/>
      <c r="G38" s="240" t="n"/>
      <c r="H38" s="241" t="n">
        <v>74000</v>
      </c>
      <c r="I38" s="242" t="n">
        <v>74000</v>
      </c>
      <c r="J38" s="242" t="n"/>
      <c r="K38" s="233" t="n"/>
      <c r="L38" s="233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27" t="n"/>
      <c r="B39" s="228" t="inlineStr">
        <is>
          <t>SAVEDRA 10125</t>
        </is>
      </c>
      <c r="C39" s="229" t="n"/>
      <c r="D39" s="229" t="n"/>
      <c r="E39" s="229" t="n">
        <v>1</v>
      </c>
      <c r="F39" s="230" t="n"/>
      <c r="G39" s="230" t="n"/>
      <c r="H39" s="231" t="n">
        <v>79000</v>
      </c>
      <c r="I39" s="232" t="n"/>
      <c r="J39" s="232" t="n">
        <v>79000</v>
      </c>
      <c r="K39" s="233" t="n"/>
      <c r="L39" s="233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37" t="n"/>
      <c r="B40" s="238" t="inlineStr">
        <is>
          <t xml:space="preserve">ROTI ZEBALLOS </t>
        </is>
      </c>
      <c r="C40" s="239" t="n">
        <v>2</v>
      </c>
      <c r="D40" s="239" t="n"/>
      <c r="E40" s="239" t="n"/>
      <c r="F40" s="240" t="n"/>
      <c r="G40" s="240" t="n"/>
      <c r="H40" s="241" t="n">
        <v>38000</v>
      </c>
      <c r="I40" s="242" t="n">
        <v>38000</v>
      </c>
      <c r="J40" s="242" t="n"/>
      <c r="K40" s="233" t="n"/>
      <c r="L40" s="233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27" t="n"/>
      <c r="B41" s="228" t="inlineStr">
        <is>
          <t>ESPORA 4874</t>
        </is>
      </c>
      <c r="C41" s="229" t="n"/>
      <c r="D41" s="229" t="n">
        <v>1</v>
      </c>
      <c r="E41" s="229" t="n"/>
      <c r="F41" s="230" t="n"/>
      <c r="G41" s="230" t="n"/>
      <c r="H41" s="231" t="n">
        <v>32000</v>
      </c>
      <c r="I41" s="232" t="n"/>
      <c r="J41" s="232" t="n">
        <v>32000</v>
      </c>
      <c r="K41" s="233" t="n"/>
      <c r="L41" s="233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37" t="n"/>
      <c r="B42" s="238" t="inlineStr">
        <is>
          <t>D SILVA 4217</t>
        </is>
      </c>
      <c r="C42" s="239" t="n">
        <v>3</v>
      </c>
      <c r="D42" s="239" t="n"/>
      <c r="E42" s="239" t="n"/>
      <c r="F42" s="240" t="n"/>
      <c r="G42" s="240" t="n"/>
      <c r="H42" s="241" t="n">
        <v>43500</v>
      </c>
      <c r="I42" s="242" t="n"/>
      <c r="J42" s="242" t="n">
        <v>43500</v>
      </c>
      <c r="K42" s="233" t="n"/>
      <c r="L42" s="233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27" t="n"/>
      <c r="B43" s="228" t="inlineStr">
        <is>
          <t>P CEBALLOS 8134</t>
        </is>
      </c>
      <c r="C43" s="229" t="n">
        <v>3</v>
      </c>
      <c r="D43" s="229" t="n">
        <v>1</v>
      </c>
      <c r="E43" s="229" t="n"/>
      <c r="F43" s="230" t="n"/>
      <c r="G43" s="230" t="n"/>
      <c r="H43" s="231" t="n">
        <v>68000</v>
      </c>
      <c r="I43" s="232" t="n"/>
      <c r="J43" s="232" t="n">
        <v>68000</v>
      </c>
      <c r="K43" s="233" t="n"/>
      <c r="L43" s="233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37" t="n"/>
      <c r="B44" s="238" t="inlineStr">
        <is>
          <t>GENEIRO 8200 CASA 2</t>
        </is>
      </c>
      <c r="C44" s="239" t="n">
        <v>1</v>
      </c>
      <c r="D44" s="239" t="n"/>
      <c r="E44" s="239" t="n"/>
      <c r="F44" s="240" t="n"/>
      <c r="G44" s="240" t="n"/>
      <c r="H44" s="241" t="n">
        <v>21000</v>
      </c>
      <c r="I44" s="242" t="n">
        <v>21000</v>
      </c>
      <c r="J44" s="242" t="n"/>
      <c r="K44" s="233" t="n"/>
      <c r="L44" s="233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27" t="n"/>
      <c r="B45" s="228" t="inlineStr">
        <is>
          <t>LUCHO</t>
        </is>
      </c>
      <c r="C45" s="229" t="n">
        <v>3</v>
      </c>
      <c r="D45" s="229" t="n"/>
      <c r="E45" s="229" t="n"/>
      <c r="F45" s="230" t="n"/>
      <c r="G45" s="230" t="n"/>
      <c r="H45" s="231" t="n">
        <v>45000</v>
      </c>
      <c r="I45" s="232" t="n">
        <v>45000</v>
      </c>
      <c r="J45" s="232" t="n"/>
      <c r="K45" s="233" t="n"/>
      <c r="L45" s="233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37" t="n"/>
      <c r="B46" s="238" t="inlineStr">
        <is>
          <t>LEMAN 7856</t>
        </is>
      </c>
      <c r="C46" s="239" t="n">
        <v>1</v>
      </c>
      <c r="D46" s="239" t="n"/>
      <c r="E46" s="239" t="n"/>
      <c r="F46" s="240" t="n"/>
      <c r="G46" s="240" t="n"/>
      <c r="H46" s="241" t="n">
        <v>20000</v>
      </c>
      <c r="I46" s="242" t="n">
        <v>20000</v>
      </c>
      <c r="J46" s="242" t="n"/>
      <c r="K46" s="233" t="n"/>
      <c r="L46" s="233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27" t="n"/>
      <c r="B47" s="228" t="inlineStr">
        <is>
          <t>CARRI FILOMENA</t>
        </is>
      </c>
      <c r="C47" s="229" t="n">
        <v>1</v>
      </c>
      <c r="D47" s="229" t="n"/>
      <c r="E47" s="229" t="n"/>
      <c r="F47" s="230" t="n"/>
      <c r="G47" s="230" t="n"/>
      <c r="H47" s="231" t="n">
        <v>19000</v>
      </c>
      <c r="I47" s="232" t="n"/>
      <c r="J47" s="232" t="n">
        <v>19000</v>
      </c>
      <c r="K47" s="233" t="n"/>
      <c r="L47" s="233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37" t="n"/>
      <c r="B48" s="238" t="inlineStr">
        <is>
          <t>PANA GENESIO</t>
        </is>
      </c>
      <c r="C48" s="239" t="n">
        <v>1</v>
      </c>
      <c r="D48" s="239" t="n"/>
      <c r="E48" s="239" t="n"/>
      <c r="F48" s="240" t="n"/>
      <c r="G48" s="240" t="n"/>
      <c r="H48" s="241" t="n">
        <v>19000</v>
      </c>
      <c r="I48" s="242" t="n"/>
      <c r="J48" s="242" t="n">
        <v>19000</v>
      </c>
      <c r="K48" s="233" t="n"/>
      <c r="L48" s="233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27" t="n"/>
      <c r="B49" s="228" t="inlineStr">
        <is>
          <t>J CAMPILLO 1637</t>
        </is>
      </c>
      <c r="C49" s="229" t="n"/>
      <c r="D49" s="229" t="n">
        <v>1</v>
      </c>
      <c r="E49" s="229" t="n"/>
      <c r="F49" s="230" t="n"/>
      <c r="G49" s="230" t="n"/>
      <c r="H49" s="231" t="n">
        <v>33000</v>
      </c>
      <c r="I49" s="232" t="n">
        <v>33000</v>
      </c>
      <c r="J49" s="232" t="n"/>
      <c r="K49" s="233" t="n"/>
      <c r="L49" s="233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37" t="n"/>
      <c r="B50" s="238" t="inlineStr">
        <is>
          <t>EMIR</t>
        </is>
      </c>
      <c r="C50" s="239" t="n">
        <v>1</v>
      </c>
      <c r="D50" s="239" t="n"/>
      <c r="E50" s="239" t="n"/>
      <c r="F50" s="240" t="n"/>
      <c r="G50" s="240" t="n"/>
      <c r="H50" s="241" t="n">
        <v>22000</v>
      </c>
      <c r="I50" s="242" t="n"/>
      <c r="J50" s="242" t="n">
        <v>22000</v>
      </c>
      <c r="K50" s="233" t="n"/>
      <c r="L50" s="233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27" t="n"/>
      <c r="B51" s="228" t="inlineStr">
        <is>
          <t>AZCUENAGA 5023</t>
        </is>
      </c>
      <c r="C51" s="229" t="n">
        <v>7</v>
      </c>
      <c r="D51" s="229" t="n">
        <v>2</v>
      </c>
      <c r="E51" s="229" t="n"/>
      <c r="F51" s="230" t="n"/>
      <c r="G51" s="230" t="n"/>
      <c r="H51" s="231" t="n">
        <v>150000</v>
      </c>
      <c r="I51" s="232" t="n">
        <v>150000</v>
      </c>
      <c r="J51" s="232" t="n"/>
      <c r="K51" s="233" t="n"/>
      <c r="L51" s="233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37" t="n"/>
      <c r="B52" s="238" t="inlineStr">
        <is>
          <t>PIRU</t>
        </is>
      </c>
      <c r="C52" s="239" t="n"/>
      <c r="D52" s="239" t="n">
        <v>1</v>
      </c>
      <c r="E52" s="239" t="n"/>
      <c r="F52" s="240" t="n"/>
      <c r="G52" s="240" t="n"/>
      <c r="H52" s="241" t="n">
        <v>31500</v>
      </c>
      <c r="I52" s="242" t="n">
        <v>31500</v>
      </c>
      <c r="J52" s="242" t="n"/>
      <c r="K52" s="233" t="n"/>
      <c r="L52" s="233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27" t="n">
        <v>46086</v>
      </c>
      <c r="B53" s="228" t="inlineStr">
        <is>
          <t>FABIAN LUBRICENTRO</t>
        </is>
      </c>
      <c r="C53" s="229" t="n">
        <v>1</v>
      </c>
      <c r="D53" s="229" t="n"/>
      <c r="E53" s="229" t="n"/>
      <c r="F53" s="230" t="n"/>
      <c r="G53" s="230" t="n"/>
      <c r="H53" s="231" t="n">
        <v>21000</v>
      </c>
      <c r="I53" s="232" t="n">
        <v>21000</v>
      </c>
      <c r="J53" s="232" t="n"/>
      <c r="K53" s="233" t="n"/>
      <c r="L53" s="233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37" t="n"/>
      <c r="B54" s="238" t="inlineStr">
        <is>
          <t>CHICLANA 7325</t>
        </is>
      </c>
      <c r="C54" s="239" t="n">
        <v>1</v>
      </c>
      <c r="D54" s="239" t="n"/>
      <c r="E54" s="239" t="n"/>
      <c r="F54" s="240" t="n"/>
      <c r="G54" s="240" t="n"/>
      <c r="H54" s="241" t="n">
        <v>14500</v>
      </c>
      <c r="I54" s="242" t="n">
        <v>14500</v>
      </c>
      <c r="J54" s="242" t="n"/>
      <c r="K54" s="233" t="n"/>
      <c r="L54" s="233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27" t="n"/>
      <c r="B55" s="228" t="inlineStr">
        <is>
          <t>PARAGUAY 10333</t>
        </is>
      </c>
      <c r="C55" s="229" t="n"/>
      <c r="D55" s="229" t="n"/>
      <c r="E55" s="229" t="n">
        <v>1</v>
      </c>
      <c r="F55" s="230" t="n"/>
      <c r="G55" s="230" t="n"/>
      <c r="H55" s="231" t="n">
        <v>75000</v>
      </c>
      <c r="I55" s="232" t="n">
        <v>75000</v>
      </c>
      <c r="J55" s="232" t="n"/>
      <c r="K55" s="233" t="n"/>
      <c r="L55" s="233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37" t="n"/>
      <c r="B56" s="238" t="inlineStr">
        <is>
          <t>GOROSTIAGA 4659</t>
        </is>
      </c>
      <c r="C56" s="239" t="n"/>
      <c r="D56" s="239" t="n"/>
      <c r="E56" s="239" t="n">
        <v>1</v>
      </c>
      <c r="F56" s="240" t="n"/>
      <c r="G56" s="240" t="n"/>
      <c r="H56" s="241" t="n">
        <v>76000</v>
      </c>
      <c r="I56" s="242" t="n"/>
      <c r="J56" s="242" t="n">
        <v>76000</v>
      </c>
      <c r="K56" s="233" t="n"/>
      <c r="L56" s="233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27" t="n"/>
      <c r="B57" s="228" t="inlineStr">
        <is>
          <t>GUEMES 4421</t>
        </is>
      </c>
      <c r="C57" s="229" t="n">
        <v>1</v>
      </c>
      <c r="D57" s="229" t="n"/>
      <c r="E57" s="229" t="n"/>
      <c r="F57" s="230" t="n"/>
      <c r="G57" s="230" t="n"/>
      <c r="H57" s="231" t="n">
        <v>21000</v>
      </c>
      <c r="I57" s="232" t="n"/>
      <c r="J57" s="232" t="n">
        <v>21000</v>
      </c>
      <c r="K57" s="233" t="n"/>
      <c r="L57" s="233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37" t="n"/>
      <c r="B58" s="238" t="inlineStr">
        <is>
          <t>RIOJA 2934</t>
        </is>
      </c>
      <c r="C58" s="239" t="n">
        <v>1</v>
      </c>
      <c r="D58" s="239" t="n"/>
      <c r="E58" s="239" t="n"/>
      <c r="F58" s="240" t="n"/>
      <c r="G58" s="240" t="n"/>
      <c r="H58" s="241" t="n">
        <v>23000</v>
      </c>
      <c r="I58" s="242" t="n"/>
      <c r="J58" s="242" t="n">
        <v>23000</v>
      </c>
      <c r="K58" s="233" t="n"/>
      <c r="L58" s="233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27" t="n"/>
      <c r="B59" s="228" t="inlineStr">
        <is>
          <t>LARGUIA 6924</t>
        </is>
      </c>
      <c r="C59" s="229" t="n">
        <v>1</v>
      </c>
      <c r="D59" s="229" t="n"/>
      <c r="E59" s="229" t="n"/>
      <c r="F59" s="230" t="n"/>
      <c r="G59" s="230" t="n"/>
      <c r="H59" s="231" t="n">
        <v>22500</v>
      </c>
      <c r="I59" s="232" t="n"/>
      <c r="J59" s="232" t="n">
        <v>22500</v>
      </c>
      <c r="K59" s="233" t="n"/>
      <c r="L59" s="233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37" t="n"/>
      <c r="B60" s="238" t="inlineStr">
        <is>
          <t>IGUALDAD</t>
        </is>
      </c>
      <c r="C60" s="239" t="n">
        <v>1</v>
      </c>
      <c r="D60" s="239" t="n"/>
      <c r="E60" s="239" t="n"/>
      <c r="F60" s="240" t="n"/>
      <c r="G60" s="240" t="n"/>
      <c r="H60" s="241" t="n">
        <v>20000</v>
      </c>
      <c r="I60" s="242" t="n">
        <v>20000</v>
      </c>
      <c r="J60" s="242" t="n"/>
      <c r="K60" s="233" t="n"/>
      <c r="L60" s="233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27" t="n"/>
      <c r="B61" s="228" t="inlineStr">
        <is>
          <t>SAN LORENZO 1987</t>
        </is>
      </c>
      <c r="C61" s="229" t="n"/>
      <c r="D61" s="229" t="n"/>
      <c r="E61" s="229" t="n">
        <v>1</v>
      </c>
      <c r="F61" s="230" t="n"/>
      <c r="G61" s="230" t="n"/>
      <c r="H61" s="231" t="n">
        <v>75000</v>
      </c>
      <c r="I61" s="232" t="n">
        <v>75000</v>
      </c>
      <c r="J61" s="232" t="n"/>
      <c r="K61" s="233" t="n"/>
      <c r="L61" s="233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37" t="n"/>
      <c r="B62" s="238" t="inlineStr">
        <is>
          <t>FILOMENA</t>
        </is>
      </c>
      <c r="C62" s="239" t="n">
        <v>1</v>
      </c>
      <c r="D62" s="239" t="n"/>
      <c r="E62" s="239" t="n"/>
      <c r="F62" s="240" t="n"/>
      <c r="G62" s="240" t="n"/>
      <c r="H62" s="241" t="n">
        <v>19000</v>
      </c>
      <c r="I62" s="242" t="n"/>
      <c r="J62" s="242" t="n">
        <v>19000</v>
      </c>
      <c r="K62" s="233" t="n"/>
      <c r="L62" s="233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27" t="n"/>
      <c r="B63" s="228" t="inlineStr">
        <is>
          <t>BERUTI 4057</t>
        </is>
      </c>
      <c r="C63" s="229" t="n"/>
      <c r="D63" s="229" t="n"/>
      <c r="E63" s="229" t="n">
        <v>1</v>
      </c>
      <c r="F63" s="230" t="n"/>
      <c r="G63" s="230" t="n"/>
      <c r="H63" s="231" t="n">
        <v>75000</v>
      </c>
      <c r="I63" s="232" t="n"/>
      <c r="J63" s="232" t="n">
        <v>75000</v>
      </c>
      <c r="K63" s="233" t="n"/>
      <c r="L63" s="233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37" t="n"/>
      <c r="B64" s="238" t="inlineStr">
        <is>
          <t>LAVAISE 1074</t>
        </is>
      </c>
      <c r="C64" s="239" t="n"/>
      <c r="D64" s="239" t="n"/>
      <c r="E64" s="239" t="n"/>
      <c r="F64" s="240" t="n"/>
      <c r="G64" s="240" t="n">
        <v>2</v>
      </c>
      <c r="H64" s="241" t="n">
        <v>12000</v>
      </c>
      <c r="I64" s="242" t="n"/>
      <c r="J64" s="242" t="n">
        <v>12000</v>
      </c>
      <c r="K64" s="233" t="n"/>
      <c r="L64" s="233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27" t="n"/>
      <c r="B65" s="228" t="inlineStr">
        <is>
          <t>PANA VOEYTES 4500</t>
        </is>
      </c>
      <c r="C65" s="229" t="n"/>
      <c r="D65" s="229" t="n"/>
      <c r="E65" s="229" t="n">
        <v>1</v>
      </c>
      <c r="F65" s="230" t="n"/>
      <c r="G65" s="230" t="n"/>
      <c r="H65" s="231" t="n">
        <v>68000</v>
      </c>
      <c r="I65" s="232" t="n"/>
      <c r="J65" s="232" t="n">
        <v>68000</v>
      </c>
      <c r="K65" s="233" t="n"/>
      <c r="L65" s="233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37" t="n"/>
      <c r="B66" s="238" t="inlineStr">
        <is>
          <t>EXE</t>
        </is>
      </c>
      <c r="C66" s="239" t="n"/>
      <c r="D66" s="239" t="n"/>
      <c r="E66" s="239" t="n">
        <v>1</v>
      </c>
      <c r="F66" s="240" t="n"/>
      <c r="G66" s="240" t="n"/>
      <c r="H66" s="241" t="n">
        <v>72000</v>
      </c>
      <c r="I66" s="242" t="n"/>
      <c r="J66" s="242" t="n">
        <v>72000</v>
      </c>
      <c r="K66" s="233" t="n"/>
      <c r="L66" s="233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27" t="n"/>
      <c r="B67" s="228" t="inlineStr">
        <is>
          <t>CAFERATA 9416</t>
        </is>
      </c>
      <c r="C67" s="229" t="n"/>
      <c r="D67" s="229" t="n">
        <v>1</v>
      </c>
      <c r="E67" s="229" t="n"/>
      <c r="F67" s="230" t="n"/>
      <c r="G67" s="230" t="n"/>
      <c r="H67" s="231" t="n">
        <v>33000</v>
      </c>
      <c r="I67" s="232" t="n">
        <v>33000</v>
      </c>
      <c r="J67" s="232" t="n"/>
      <c r="K67" s="233" t="n"/>
      <c r="L67" s="233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37" t="n"/>
      <c r="B68" s="238" t="inlineStr">
        <is>
          <t>PANA VIEYTE 3800</t>
        </is>
      </c>
      <c r="C68" s="239" t="n"/>
      <c r="D68" s="239" t="n"/>
      <c r="E68" s="239" t="n">
        <v>2</v>
      </c>
      <c r="F68" s="240" t="n"/>
      <c r="G68" s="240" t="n"/>
      <c r="H68" s="241" t="n">
        <v>148000</v>
      </c>
      <c r="I68" s="242" t="n"/>
      <c r="J68" s="242" t="n">
        <v>148000</v>
      </c>
      <c r="K68" s="233" t="n"/>
      <c r="L68" s="233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27" t="n"/>
      <c r="B69" s="228" t="inlineStr">
        <is>
          <t>CAREN</t>
        </is>
      </c>
      <c r="C69" s="229" t="n"/>
      <c r="D69" s="229" t="n"/>
      <c r="E69" s="229" t="n">
        <v>1</v>
      </c>
      <c r="F69" s="230" t="n"/>
      <c r="G69" s="230" t="n"/>
      <c r="H69" s="231" t="n">
        <v>72000</v>
      </c>
      <c r="I69" s="232" t="n"/>
      <c r="J69" s="232" t="n">
        <v>72000</v>
      </c>
      <c r="K69" s="233" t="n"/>
      <c r="L69" s="233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37" t="n"/>
      <c r="B70" s="238" t="inlineStr">
        <is>
          <t>LAVADERO</t>
        </is>
      </c>
      <c r="C70" s="239" t="n">
        <v>1</v>
      </c>
      <c r="D70" s="239" t="n"/>
      <c r="E70" s="239" t="n"/>
      <c r="F70" s="240" t="n"/>
      <c r="G70" s="240" t="n"/>
      <c r="H70" s="241" t="n">
        <v>14500</v>
      </c>
      <c r="I70" s="242" t="n"/>
      <c r="J70" s="242" t="n">
        <v>14500</v>
      </c>
      <c r="K70" s="233" t="n"/>
      <c r="L70" s="233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27" t="n">
        <v>46087</v>
      </c>
      <c r="B71" s="228" t="inlineStr">
        <is>
          <t>PANA ALBERTI</t>
        </is>
      </c>
      <c r="C71" s="229" t="n"/>
      <c r="D71" s="229" t="n"/>
      <c r="E71" s="229" t="n">
        <v>1</v>
      </c>
      <c r="F71" s="230" t="n"/>
      <c r="G71" s="230" t="n"/>
      <c r="H71" s="231" t="n">
        <v>72000</v>
      </c>
      <c r="I71" s="232" t="n">
        <v>72000</v>
      </c>
      <c r="J71" s="232" t="n"/>
      <c r="K71" s="233" t="n"/>
      <c r="L71" s="233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37" t="n"/>
      <c r="B72" s="238" t="inlineStr">
        <is>
          <t xml:space="preserve">ALE RUIZ </t>
        </is>
      </c>
      <c r="C72" s="239" t="n"/>
      <c r="D72" s="239" t="n"/>
      <c r="E72" s="239" t="n"/>
      <c r="F72" s="240" t="n"/>
      <c r="G72" s="240" t="n">
        <v>1</v>
      </c>
      <c r="H72" s="241" t="n">
        <v>5000</v>
      </c>
      <c r="I72" s="242" t="n">
        <v>5000</v>
      </c>
      <c r="J72" s="242" t="n"/>
      <c r="K72" s="233" t="n"/>
      <c r="L72" s="233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27" t="n"/>
      <c r="B73" s="228" t="inlineStr">
        <is>
          <t>CHICLANA 7325</t>
        </is>
      </c>
      <c r="C73" s="229" t="n">
        <v>1</v>
      </c>
      <c r="D73" s="229" t="n"/>
      <c r="E73" s="229" t="n"/>
      <c r="F73" s="230" t="n"/>
      <c r="G73" s="230" t="n"/>
      <c r="H73" s="231" t="n">
        <v>14500</v>
      </c>
      <c r="I73" s="232" t="n">
        <v>14500</v>
      </c>
      <c r="J73" s="232" t="n"/>
      <c r="K73" s="233" t="n"/>
      <c r="L73" s="233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37" t="n"/>
      <c r="B74" s="238" t="inlineStr">
        <is>
          <t>PANA GENESIO</t>
        </is>
      </c>
      <c r="C74" s="239" t="n"/>
      <c r="D74" s="239" t="n"/>
      <c r="E74" s="239" t="n">
        <v>1</v>
      </c>
      <c r="F74" s="240" t="n"/>
      <c r="G74" s="240" t="n"/>
      <c r="H74" s="241" t="n">
        <v>69000</v>
      </c>
      <c r="I74" s="242" t="n"/>
      <c r="J74" s="242" t="n">
        <v>69000</v>
      </c>
      <c r="K74" s="233" t="n"/>
      <c r="L74" s="233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27" t="n"/>
      <c r="B75" s="228" t="inlineStr">
        <is>
          <t>AGUADO 8432</t>
        </is>
      </c>
      <c r="C75" s="229" t="n">
        <v>1</v>
      </c>
      <c r="D75" s="229" t="n"/>
      <c r="E75" s="229" t="n"/>
      <c r="F75" s="230" t="n"/>
      <c r="G75" s="230" t="n"/>
      <c r="H75" s="231" t="n">
        <v>21000</v>
      </c>
      <c r="I75" s="232" t="n">
        <v>21000</v>
      </c>
      <c r="J75" s="232" t="n"/>
      <c r="K75" s="233" t="n"/>
      <c r="L75" s="233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37" t="n"/>
      <c r="B76" s="238" t="inlineStr">
        <is>
          <t>SANDRA</t>
        </is>
      </c>
      <c r="C76" s="239" t="n">
        <v>1</v>
      </c>
      <c r="D76" s="239" t="n"/>
      <c r="E76" s="239" t="n"/>
      <c r="F76" s="240" t="n"/>
      <c r="G76" s="240" t="n"/>
      <c r="H76" s="241" t="n">
        <v>15000</v>
      </c>
      <c r="I76" s="242" t="n">
        <v>15000</v>
      </c>
      <c r="J76" s="242" t="n"/>
      <c r="K76" s="233" t="n"/>
      <c r="L76" s="233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27" t="n"/>
      <c r="B77" s="228" t="inlineStr">
        <is>
          <t>SAVEDRA 7701</t>
        </is>
      </c>
      <c r="C77" s="229" t="n"/>
      <c r="D77" s="229" t="n"/>
      <c r="E77" s="229" t="n">
        <v>1</v>
      </c>
      <c r="F77" s="230" t="n"/>
      <c r="G77" s="230" t="n"/>
      <c r="H77" s="231" t="n">
        <v>75000</v>
      </c>
      <c r="I77" s="232" t="n">
        <v>75000</v>
      </c>
      <c r="J77" s="232" t="n"/>
      <c r="K77" s="233" t="n"/>
      <c r="L77" s="233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37" t="n"/>
      <c r="B78" s="238" t="inlineStr">
        <is>
          <t>BEATRIZ</t>
        </is>
      </c>
      <c r="C78" s="239" t="n"/>
      <c r="D78" s="239" t="n"/>
      <c r="E78" s="239" t="n"/>
      <c r="F78" s="240" t="n"/>
      <c r="G78" s="240" t="n">
        <v>1</v>
      </c>
      <c r="H78" s="241" t="n">
        <v>5500</v>
      </c>
      <c r="I78" s="242" t="n"/>
      <c r="J78" s="242" t="n">
        <v>5500</v>
      </c>
      <c r="K78" s="233" t="n"/>
      <c r="L78" s="233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27" t="n"/>
      <c r="B79" s="228" t="inlineStr">
        <is>
          <t>MANTOVANI 6537</t>
        </is>
      </c>
      <c r="C79" s="229" t="n">
        <v>1</v>
      </c>
      <c r="D79" s="229" t="n"/>
      <c r="E79" s="229" t="n"/>
      <c r="F79" s="230" t="n"/>
      <c r="G79" s="230" t="n"/>
      <c r="H79" s="231" t="n">
        <v>21000</v>
      </c>
      <c r="I79" s="232" t="n">
        <v>21000</v>
      </c>
      <c r="J79" s="232" t="n"/>
      <c r="K79" s="233" t="n"/>
      <c r="L79" s="233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37" t="n"/>
      <c r="B80" s="238" t="inlineStr">
        <is>
          <t>MATEU 3378</t>
        </is>
      </c>
      <c r="C80" s="239" t="n">
        <v>1</v>
      </c>
      <c r="D80" s="239" t="n"/>
      <c r="E80" s="239" t="n"/>
      <c r="F80" s="240" t="n"/>
      <c r="G80" s="240" t="n"/>
      <c r="H80" s="241" t="n">
        <v>20000</v>
      </c>
      <c r="I80" s="242" t="n">
        <v>20000</v>
      </c>
      <c r="J80" s="242" t="n"/>
      <c r="K80" s="233" t="n"/>
      <c r="L80" s="233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27" t="n"/>
      <c r="B81" s="228" t="inlineStr">
        <is>
          <t>BRASERIA</t>
        </is>
      </c>
      <c r="C81" s="229" t="n"/>
      <c r="D81" s="229" t="n"/>
      <c r="E81" s="229" t="n">
        <v>1</v>
      </c>
      <c r="F81" s="230" t="n"/>
      <c r="G81" s="230" t="n"/>
      <c r="H81" s="231" t="n">
        <v>73000</v>
      </c>
      <c r="I81" s="232" t="n">
        <v>50000</v>
      </c>
      <c r="J81" s="232" t="n">
        <v>23000</v>
      </c>
      <c r="K81" s="233" t="n"/>
      <c r="L81" s="233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37" t="n"/>
      <c r="B82" s="238" t="inlineStr">
        <is>
          <t>SABOREAR</t>
        </is>
      </c>
      <c r="C82" s="239" t="n">
        <v>2</v>
      </c>
      <c r="D82" s="239" t="n"/>
      <c r="E82" s="239" t="n"/>
      <c r="F82" s="240" t="n"/>
      <c r="G82" s="240" t="n"/>
      <c r="H82" s="241" t="n">
        <v>39000</v>
      </c>
      <c r="I82" s="242" t="n"/>
      <c r="J82" s="242" t="n">
        <v>39000</v>
      </c>
      <c r="K82" s="233" t="n"/>
      <c r="L82" s="233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27" t="n"/>
      <c r="B83" s="228" t="inlineStr">
        <is>
          <t>FILOMENA</t>
        </is>
      </c>
      <c r="C83" s="229" t="n">
        <v>1</v>
      </c>
      <c r="D83" s="229" t="n"/>
      <c r="E83" s="229" t="n"/>
      <c r="F83" s="230" t="n"/>
      <c r="G83" s="230" t="n"/>
      <c r="H83" s="231" t="n">
        <v>19000</v>
      </c>
      <c r="I83" s="232" t="n"/>
      <c r="J83" s="232" t="n">
        <v>19000</v>
      </c>
      <c r="K83" s="233" t="n"/>
      <c r="L83" s="233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37" t="n"/>
      <c r="B84" s="238" t="inlineStr">
        <is>
          <t>OTNIEL</t>
        </is>
      </c>
      <c r="C84" s="239" t="n"/>
      <c r="D84" s="239" t="n"/>
      <c r="E84" s="239" t="n"/>
      <c r="F84" s="240" t="n"/>
      <c r="G84" s="240" t="n">
        <v>1</v>
      </c>
      <c r="H84" s="241" t="n">
        <v>5500</v>
      </c>
      <c r="I84" s="242" t="n"/>
      <c r="J84" s="242" t="n">
        <v>5500</v>
      </c>
      <c r="K84" s="233" t="n"/>
      <c r="L84" s="233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27" t="n"/>
      <c r="B85" s="228" t="inlineStr">
        <is>
          <t xml:space="preserve">ABUELA MARGA </t>
        </is>
      </c>
      <c r="C85" s="229" t="n">
        <v>2</v>
      </c>
      <c r="D85" s="229" t="n"/>
      <c r="E85" s="229" t="n"/>
      <c r="F85" s="230" t="n"/>
      <c r="G85" s="230" t="n"/>
      <c r="H85" s="231" t="n">
        <v>39000</v>
      </c>
      <c r="I85" s="232" t="n">
        <v>39000</v>
      </c>
      <c r="J85" s="232" t="n"/>
      <c r="K85" s="233" t="n"/>
      <c r="L85" s="233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37" t="n"/>
      <c r="B86" s="238" t="inlineStr">
        <is>
          <t>NACHO</t>
        </is>
      </c>
      <c r="C86" s="239" t="n">
        <v>1</v>
      </c>
      <c r="D86" s="239" t="n"/>
      <c r="E86" s="239" t="n"/>
      <c r="F86" s="240" t="n"/>
      <c r="G86" s="240" t="n"/>
      <c r="H86" s="241" t="n">
        <v>19000</v>
      </c>
      <c r="I86" s="242" t="n"/>
      <c r="J86" s="242" t="n">
        <v>19000</v>
      </c>
      <c r="K86" s="233" t="n"/>
      <c r="L86" s="233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27" t="n"/>
      <c r="B87" s="228" t="inlineStr">
        <is>
          <t>PUBLICO 1829</t>
        </is>
      </c>
      <c r="C87" s="229" t="n"/>
      <c r="D87" s="229" t="n"/>
      <c r="E87" s="229" t="n">
        <v>1</v>
      </c>
      <c r="F87" s="230" t="n"/>
      <c r="G87" s="230" t="n"/>
      <c r="H87" s="231" t="n">
        <v>76000</v>
      </c>
      <c r="I87" s="232" t="n"/>
      <c r="J87" s="232" t="n">
        <v>76000</v>
      </c>
      <c r="K87" s="233" t="n"/>
      <c r="L87" s="233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37" t="n"/>
      <c r="B88" s="238" t="inlineStr">
        <is>
          <t>M CANDIOTI 5759</t>
        </is>
      </c>
      <c r="C88" s="239" t="n">
        <v>1</v>
      </c>
      <c r="D88" s="239" t="n"/>
      <c r="E88" s="239" t="n"/>
      <c r="F88" s="240" t="n"/>
      <c r="G88" s="240" t="n"/>
      <c r="H88" s="241" t="n">
        <v>23000</v>
      </c>
      <c r="I88" s="242" t="n">
        <v>23000</v>
      </c>
      <c r="J88" s="242" t="n"/>
      <c r="K88" s="233" t="n"/>
      <c r="L88" s="233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27" t="n"/>
      <c r="B89" s="228" t="inlineStr">
        <is>
          <t xml:space="preserve">9 DE JULIO 1144 </t>
        </is>
      </c>
      <c r="C89" s="229" t="n"/>
      <c r="D89" s="229" t="n"/>
      <c r="E89" s="229" t="n">
        <v>2</v>
      </c>
      <c r="F89" s="230" t="n"/>
      <c r="G89" s="230" t="n"/>
      <c r="H89" s="231" t="n">
        <v>158000</v>
      </c>
      <c r="I89" s="232" t="n"/>
      <c r="J89" s="232" t="n">
        <v>158000</v>
      </c>
      <c r="K89" s="233" t="n"/>
      <c r="L89" s="233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37" t="n">
        <v>46088</v>
      </c>
      <c r="B90" s="238" t="inlineStr">
        <is>
          <t>FRAY CAYETANO 3823</t>
        </is>
      </c>
      <c r="C90" s="239" t="n"/>
      <c r="D90" s="239" t="n"/>
      <c r="E90" s="239" t="n">
        <v>1</v>
      </c>
      <c r="F90" s="240" t="n"/>
      <c r="G90" s="240" t="n"/>
      <c r="H90" s="241" t="n">
        <v>79000</v>
      </c>
      <c r="I90" s="242" t="n">
        <v>79000</v>
      </c>
      <c r="J90" s="242" t="n"/>
      <c r="K90" s="233" t="n"/>
      <c r="L90" s="233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27" t="n"/>
      <c r="B91" s="228" t="inlineStr">
        <is>
          <t>J P LOPEZ 1875</t>
        </is>
      </c>
      <c r="C91" s="229" t="n"/>
      <c r="D91" s="229" t="n">
        <v>1</v>
      </c>
      <c r="E91" s="229" t="n"/>
      <c r="F91" s="230" t="n"/>
      <c r="G91" s="230" t="n"/>
      <c r="H91" s="231" t="n">
        <v>33000</v>
      </c>
      <c r="I91" s="232" t="n">
        <v>33000</v>
      </c>
      <c r="J91" s="232" t="n"/>
      <c r="K91" s="233" t="n"/>
      <c r="L91" s="233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37" t="n"/>
      <c r="B92" s="238" t="inlineStr">
        <is>
          <t xml:space="preserve">DANI TALLER </t>
        </is>
      </c>
      <c r="C92" s="239" t="n">
        <v>1</v>
      </c>
      <c r="D92" s="239" t="n"/>
      <c r="E92" s="239" t="n"/>
      <c r="F92" s="240" t="n"/>
      <c r="G92" s="240" t="n"/>
      <c r="H92" s="241" t="n">
        <v>17000</v>
      </c>
      <c r="I92" s="242" t="n">
        <v>17000</v>
      </c>
      <c r="J92" s="242" t="n"/>
      <c r="K92" s="233" t="n"/>
      <c r="L92" s="233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27" t="n"/>
      <c r="B93" s="228" t="inlineStr">
        <is>
          <t>FRENCH BIS 2000 GONZA TORRI</t>
        </is>
      </c>
      <c r="C93" s="229" t="n"/>
      <c r="D93" s="229" t="n"/>
      <c r="E93" s="229" t="n">
        <v>1</v>
      </c>
      <c r="F93" s="230" t="n"/>
      <c r="G93" s="230" t="n"/>
      <c r="H93" s="231" t="n">
        <v>97000</v>
      </c>
      <c r="I93" s="232" t="n"/>
      <c r="J93" s="232" t="n">
        <v>97000</v>
      </c>
      <c r="K93" s="233" t="n"/>
      <c r="L93" s="233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37" t="n"/>
      <c r="B94" s="238" t="inlineStr">
        <is>
          <t xml:space="preserve">LAVADERO </t>
        </is>
      </c>
      <c r="C94" s="239" t="n">
        <v>1</v>
      </c>
      <c r="D94" s="239" t="n"/>
      <c r="E94" s="239" t="n"/>
      <c r="F94" s="240" t="n"/>
      <c r="G94" s="240" t="n"/>
      <c r="H94" s="241" t="n">
        <v>14500</v>
      </c>
      <c r="I94" s="242" t="n">
        <v>14500</v>
      </c>
      <c r="J94" s="242" t="n"/>
      <c r="K94" s="233" t="n"/>
      <c r="L94" s="233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27" t="n"/>
      <c r="B95" s="228" t="inlineStr">
        <is>
          <t>R GODOY 1614</t>
        </is>
      </c>
      <c r="C95" s="229" t="n">
        <v>1</v>
      </c>
      <c r="D95" s="229" t="n"/>
      <c r="E95" s="229" t="n"/>
      <c r="F95" s="230" t="n"/>
      <c r="G95" s="230" t="n"/>
      <c r="H95" s="231" t="n">
        <v>21000</v>
      </c>
      <c r="I95" s="232" t="n"/>
      <c r="J95" s="232" t="n">
        <v>21000</v>
      </c>
      <c r="K95" s="233" t="n"/>
      <c r="L95" s="233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37" t="n"/>
      <c r="B96" s="238" t="inlineStr">
        <is>
          <t>LOBOS</t>
        </is>
      </c>
      <c r="C96" s="239" t="n"/>
      <c r="D96" s="239" t="n"/>
      <c r="E96" s="239" t="n">
        <v>1</v>
      </c>
      <c r="F96" s="240" t="n"/>
      <c r="G96" s="240" t="n"/>
      <c r="H96" s="241" t="n">
        <v>79000</v>
      </c>
      <c r="I96" s="242" t="n">
        <v>79000</v>
      </c>
      <c r="J96" s="242" t="n"/>
      <c r="K96" s="233" t="n"/>
      <c r="L96" s="233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27" t="n"/>
      <c r="B97" s="228" t="inlineStr">
        <is>
          <t>LUCHO</t>
        </is>
      </c>
      <c r="C97" s="229" t="n">
        <v>2</v>
      </c>
      <c r="D97" s="229" t="n"/>
      <c r="E97" s="229" t="n"/>
      <c r="F97" s="230" t="n"/>
      <c r="G97" s="230" t="n"/>
      <c r="H97" s="231" t="n">
        <v>30000</v>
      </c>
      <c r="I97" s="232" t="n"/>
      <c r="J97" s="232" t="n">
        <v>30000</v>
      </c>
      <c r="K97" s="233" t="n"/>
      <c r="L97" s="233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37" t="n"/>
      <c r="B98" s="238" t="inlineStr">
        <is>
          <t>GABOTO 7445</t>
        </is>
      </c>
      <c r="C98" s="239" t="n">
        <v>1</v>
      </c>
      <c r="D98" s="239" t="n"/>
      <c r="E98" s="239" t="n"/>
      <c r="F98" s="240" t="n"/>
      <c r="G98" s="240" t="n"/>
      <c r="H98" s="241" t="n">
        <v>20000</v>
      </c>
      <c r="I98" s="242" t="n">
        <v>20000</v>
      </c>
      <c r="J98" s="242" t="n"/>
      <c r="K98" s="233" t="n"/>
      <c r="L98" s="233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27" t="n"/>
      <c r="B99" s="228" t="inlineStr">
        <is>
          <t>AZCUENAGA 5023</t>
        </is>
      </c>
      <c r="C99" s="229" t="n">
        <v>2</v>
      </c>
      <c r="D99" s="229" t="n">
        <v>1</v>
      </c>
      <c r="E99" s="229" t="n"/>
      <c r="F99" s="230" t="n"/>
      <c r="G99" s="230" t="n"/>
      <c r="H99" s="231" t="n">
        <v>52500</v>
      </c>
      <c r="I99" s="232" t="n"/>
      <c r="J99" s="232" t="n">
        <v>52500</v>
      </c>
      <c r="K99" s="233" t="n"/>
      <c r="L99" s="233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37" t="n"/>
      <c r="B100" s="238" t="inlineStr">
        <is>
          <t>HNO OTNIEL</t>
        </is>
      </c>
      <c r="C100" s="239" t="n"/>
      <c r="D100" s="239" t="n"/>
      <c r="E100" s="239" t="n"/>
      <c r="F100" s="240" t="n"/>
      <c r="G100" s="240" t="n">
        <v>1</v>
      </c>
      <c r="H100" s="241" t="n">
        <v>5500</v>
      </c>
      <c r="I100" s="242" t="n"/>
      <c r="J100" s="242" t="n">
        <v>5500</v>
      </c>
      <c r="K100" s="233" t="n"/>
      <c r="L100" s="233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27" t="n"/>
      <c r="B101" s="228" t="inlineStr">
        <is>
          <t>LUCHO</t>
        </is>
      </c>
      <c r="C101" s="229" t="n"/>
      <c r="D101" s="229" t="n"/>
      <c r="E101" s="229" t="n"/>
      <c r="F101" s="230" t="n"/>
      <c r="G101" s="230" t="n">
        <v>1</v>
      </c>
      <c r="H101" s="231" t="n">
        <v>5500</v>
      </c>
      <c r="I101" s="232" t="n">
        <v>5500</v>
      </c>
      <c r="J101" s="232" t="n"/>
      <c r="K101" s="233" t="n"/>
      <c r="L101" s="233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37" t="n"/>
      <c r="B102" s="238" t="inlineStr">
        <is>
          <t>P DE VEGA 1428</t>
        </is>
      </c>
      <c r="C102" s="239" t="n">
        <v>1</v>
      </c>
      <c r="D102" s="239" t="n"/>
      <c r="E102" s="239" t="n"/>
      <c r="F102" s="240" t="n"/>
      <c r="G102" s="240" t="n"/>
      <c r="H102" s="241" t="n">
        <v>22000</v>
      </c>
      <c r="I102" s="242" t="n">
        <v>22000</v>
      </c>
      <c r="J102" s="242" t="n"/>
      <c r="K102" s="233" t="n"/>
      <c r="L102" s="233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27" t="n"/>
      <c r="B103" s="228" t="inlineStr">
        <is>
          <t>LOLI</t>
        </is>
      </c>
      <c r="C103" s="229" t="n"/>
      <c r="D103" s="229" t="n">
        <v>1</v>
      </c>
      <c r="E103" s="229" t="n"/>
      <c r="F103" s="230" t="n">
        <v>6</v>
      </c>
      <c r="G103" s="230" t="n"/>
      <c r="H103" s="231" t="n">
        <v>54000</v>
      </c>
      <c r="I103" s="232" t="n">
        <v>54000</v>
      </c>
      <c r="J103" s="232" t="n"/>
      <c r="K103" s="233" t="n"/>
      <c r="L103" s="233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37" t="n"/>
      <c r="B104" s="238" t="inlineStr">
        <is>
          <t>LAVAISE 4366</t>
        </is>
      </c>
      <c r="C104" s="239" t="n"/>
      <c r="D104" s="239" t="n">
        <v>1</v>
      </c>
      <c r="E104" s="239" t="n"/>
      <c r="F104" s="240" t="n"/>
      <c r="G104" s="240" t="n"/>
      <c r="H104" s="241" t="n">
        <v>31500</v>
      </c>
      <c r="I104" s="242" t="n">
        <v>31500</v>
      </c>
      <c r="J104" s="242" t="n"/>
      <c r="K104" s="233" t="n"/>
      <c r="L104" s="233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27" t="n"/>
      <c r="B105" s="228" t="inlineStr">
        <is>
          <t>A DELGADO 1737</t>
        </is>
      </c>
      <c r="C105" s="229" t="n">
        <v>1</v>
      </c>
      <c r="D105" s="229" t="n"/>
      <c r="E105" s="229" t="n"/>
      <c r="F105" s="230" t="n"/>
      <c r="G105" s="230" t="n"/>
      <c r="H105" s="231" t="n">
        <v>23000</v>
      </c>
      <c r="I105" s="232" t="n">
        <v>23000</v>
      </c>
      <c r="J105" s="232" t="n"/>
      <c r="K105" s="233" t="n"/>
      <c r="L105" s="233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37" t="n"/>
      <c r="B106" s="238" t="inlineStr">
        <is>
          <t>SABOREAR</t>
        </is>
      </c>
      <c r="C106" s="239" t="n"/>
      <c r="D106" s="239" t="n">
        <v>1</v>
      </c>
      <c r="E106" s="239" t="n"/>
      <c r="F106" s="240" t="n"/>
      <c r="G106" s="240" t="n"/>
      <c r="H106" s="241" t="n">
        <v>29000</v>
      </c>
      <c r="I106" s="242" t="n"/>
      <c r="J106" s="242" t="n">
        <v>29000</v>
      </c>
      <c r="K106" s="233" t="n"/>
      <c r="L106" s="233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27" t="n"/>
      <c r="B107" s="228" t="inlineStr">
        <is>
          <t>FILOMENA</t>
        </is>
      </c>
      <c r="C107" s="229" t="n">
        <v>2</v>
      </c>
      <c r="D107" s="229" t="n"/>
      <c r="E107" s="229" t="n"/>
      <c r="F107" s="230" t="n"/>
      <c r="G107" s="230" t="n"/>
      <c r="H107" s="231" t="n">
        <v>38000</v>
      </c>
      <c r="I107" s="232" t="n"/>
      <c r="J107" s="232" t="n">
        <v>38000</v>
      </c>
      <c r="K107" s="233" t="n"/>
      <c r="L107" s="233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37" t="n"/>
      <c r="B108" s="238" t="inlineStr">
        <is>
          <t>ROTI AGUADO</t>
        </is>
      </c>
      <c r="C108" s="239" t="n"/>
      <c r="D108" s="239" t="n">
        <v>1</v>
      </c>
      <c r="E108" s="239" t="n"/>
      <c r="F108" s="240" t="n"/>
      <c r="G108" s="240" t="n"/>
      <c r="H108" s="241" t="n">
        <v>28000</v>
      </c>
      <c r="I108" s="242" t="n"/>
      <c r="J108" s="242" t="n">
        <v>28000</v>
      </c>
      <c r="K108" s="233" t="n"/>
      <c r="L108" s="233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27" t="n"/>
      <c r="B109" s="228" t="inlineStr">
        <is>
          <t>ANA ABDALA</t>
        </is>
      </c>
      <c r="C109" s="229" t="n">
        <v>1</v>
      </c>
      <c r="D109" s="229" t="n"/>
      <c r="E109" s="229" t="n"/>
      <c r="F109" s="230" t="n"/>
      <c r="G109" s="230" t="n"/>
      <c r="H109" s="231" t="n">
        <v>23000</v>
      </c>
      <c r="I109" s="232" t="n">
        <v>23000</v>
      </c>
      <c r="J109" s="232" t="n"/>
      <c r="K109" s="233" t="n"/>
      <c r="L109" s="233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37" t="n"/>
      <c r="B110" s="238" t="inlineStr">
        <is>
          <t>ROTI VIEYTES</t>
        </is>
      </c>
      <c r="C110" s="239" t="n"/>
      <c r="D110" s="239" t="n">
        <v>2</v>
      </c>
      <c r="E110" s="239" t="n"/>
      <c r="F110" s="240" t="n"/>
      <c r="G110" s="240" t="n"/>
      <c r="H110" s="241" t="n">
        <v>45000</v>
      </c>
      <c r="I110" s="242" t="n"/>
      <c r="J110" s="242" t="n">
        <v>45000</v>
      </c>
      <c r="K110" s="233" t="n"/>
      <c r="L110" s="233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27" t="n"/>
      <c r="B111" s="228" t="inlineStr">
        <is>
          <t>PANA VIEYTES 4500</t>
        </is>
      </c>
      <c r="C111" s="229" t="n"/>
      <c r="D111" s="229" t="n"/>
      <c r="E111" s="229" t="n">
        <v>1</v>
      </c>
      <c r="F111" s="230" t="n"/>
      <c r="G111" s="230" t="n"/>
      <c r="H111" s="231" t="n">
        <v>68000</v>
      </c>
      <c r="I111" s="232" t="n"/>
      <c r="J111" s="232" t="n">
        <v>68000</v>
      </c>
      <c r="K111" s="233" t="n"/>
      <c r="L111" s="233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37" t="n"/>
      <c r="B112" s="238" t="inlineStr">
        <is>
          <t>NAMUNCURA 4436</t>
        </is>
      </c>
      <c r="C112" s="239" t="n"/>
      <c r="D112" s="239" t="n"/>
      <c r="E112" s="239" t="n">
        <v>1</v>
      </c>
      <c r="F112" s="240" t="n"/>
      <c r="G112" s="240" t="n"/>
      <c r="H112" s="241" t="n">
        <v>76000</v>
      </c>
      <c r="I112" s="242" t="n"/>
      <c r="J112" s="242" t="n">
        <v>76000</v>
      </c>
      <c r="K112" s="233" t="n"/>
      <c r="L112" s="233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27" t="n"/>
      <c r="B113" s="228" t="inlineStr">
        <is>
          <t>NACHO</t>
        </is>
      </c>
      <c r="C113" s="229" t="n"/>
      <c r="D113" s="229" t="n">
        <v>2</v>
      </c>
      <c r="E113" s="229" t="n"/>
      <c r="F113" s="230" t="n"/>
      <c r="G113" s="230" t="n"/>
      <c r="H113" s="231" t="n">
        <v>28500</v>
      </c>
      <c r="I113" s="232" t="n"/>
      <c r="J113" s="232" t="n">
        <v>28500</v>
      </c>
      <c r="K113" s="233" t="n"/>
      <c r="L113" s="233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37" t="n">
        <v>46090</v>
      </c>
      <c r="B114" s="238" t="inlineStr">
        <is>
          <t>DOMINGO SIVLA 4217</t>
        </is>
      </c>
      <c r="C114" s="239" t="n">
        <v>3</v>
      </c>
      <c r="D114" s="239" t="n"/>
      <c r="E114" s="239" t="n"/>
      <c r="F114" s="240" t="n"/>
      <c r="G114" s="240" t="n"/>
      <c r="H114" s="241" t="n">
        <v>43500</v>
      </c>
      <c r="I114" s="242" t="n"/>
      <c r="J114" s="242" t="n">
        <v>43500</v>
      </c>
      <c r="K114" s="233" t="n"/>
      <c r="L114" s="233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27" t="n"/>
      <c r="B115" s="228" t="inlineStr">
        <is>
          <t xml:space="preserve">VIANDA JORGE </t>
        </is>
      </c>
      <c r="C115" s="229" t="n">
        <v>1</v>
      </c>
      <c r="D115" s="229" t="n"/>
      <c r="E115" s="229" t="n"/>
      <c r="F115" s="230" t="n"/>
      <c r="G115" s="230" t="n"/>
      <c r="H115" s="231" t="n">
        <v>19000</v>
      </c>
      <c r="I115" s="232" t="n">
        <v>19000</v>
      </c>
      <c r="J115" s="232" t="n"/>
      <c r="K115" s="233" t="n"/>
      <c r="L115" s="233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37" t="n"/>
      <c r="B116" s="238" t="inlineStr">
        <is>
          <t>OTNIEL</t>
        </is>
      </c>
      <c r="C116" s="239" t="n"/>
      <c r="D116" s="239" t="n"/>
      <c r="E116" s="239" t="n"/>
      <c r="F116" s="240" t="n">
        <v>4</v>
      </c>
      <c r="G116" s="240" t="n"/>
      <c r="H116" s="241" t="n">
        <v>14000</v>
      </c>
      <c r="I116" s="242" t="n"/>
      <c r="J116" s="242" t="n">
        <v>14000</v>
      </c>
      <c r="K116" s="233" t="n"/>
      <c r="L116" s="233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27" t="n"/>
      <c r="B117" s="228" t="inlineStr">
        <is>
          <t>CHICLAMNA 7325</t>
        </is>
      </c>
      <c r="C117" s="229" t="n">
        <v>1</v>
      </c>
      <c r="D117" s="229" t="n"/>
      <c r="E117" s="229" t="n"/>
      <c r="F117" s="230" t="n"/>
      <c r="G117" s="230" t="n"/>
      <c r="H117" s="231" t="n">
        <v>15500</v>
      </c>
      <c r="I117" s="232" t="n">
        <v>15500</v>
      </c>
      <c r="J117" s="232" t="n"/>
      <c r="K117" s="233" t="n"/>
      <c r="L117" s="233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37" t="n"/>
      <c r="B118" s="238" t="inlineStr">
        <is>
          <t>EX COMBATIENTES 5583</t>
        </is>
      </c>
      <c r="C118" s="239" t="n">
        <v>1</v>
      </c>
      <c r="D118" s="239" t="n"/>
      <c r="E118" s="239" t="n"/>
      <c r="F118" s="240" t="n"/>
      <c r="G118" s="240" t="n"/>
      <c r="H118" s="241" t="n">
        <v>21000</v>
      </c>
      <c r="I118" s="242" t="n">
        <v>21000</v>
      </c>
      <c r="J118" s="242" t="n"/>
      <c r="K118" s="233" t="n"/>
      <c r="L118" s="233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27" t="n"/>
      <c r="B119" s="228" t="inlineStr">
        <is>
          <t>SAN MARTIN 1925</t>
        </is>
      </c>
      <c r="C119" s="229" t="n">
        <v>1</v>
      </c>
      <c r="D119" s="229" t="n"/>
      <c r="E119" s="229" t="n"/>
      <c r="F119" s="230" t="n"/>
      <c r="G119" s="230" t="n"/>
      <c r="H119" s="231" t="n">
        <v>22000</v>
      </c>
      <c r="I119" s="232" t="n">
        <v>22000</v>
      </c>
      <c r="J119" s="232" t="n"/>
      <c r="K119" s="233" t="n"/>
      <c r="L119" s="233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37" t="n"/>
      <c r="B120" s="238" t="inlineStr">
        <is>
          <t>LARREA 5068</t>
        </is>
      </c>
      <c r="C120" s="239" t="n">
        <v>1</v>
      </c>
      <c r="D120" s="239" t="n"/>
      <c r="E120" s="239" t="n"/>
      <c r="F120" s="240" t="n"/>
      <c r="G120" s="240" t="n"/>
      <c r="H120" s="241" t="n">
        <v>22000</v>
      </c>
      <c r="I120" s="242" t="n">
        <v>22000</v>
      </c>
      <c r="J120" s="242" t="n"/>
      <c r="K120" s="233" t="n"/>
      <c r="L120" s="233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27" t="n"/>
      <c r="B121" s="228" t="inlineStr">
        <is>
          <t>RISSO 5454</t>
        </is>
      </c>
      <c r="C121" s="229" t="n">
        <v>1</v>
      </c>
      <c r="D121" s="229" t="n"/>
      <c r="E121" s="229" t="n"/>
      <c r="F121" s="230" t="n"/>
      <c r="G121" s="230" t="n"/>
      <c r="H121" s="231" t="n">
        <v>21000</v>
      </c>
      <c r="I121" s="232" t="n">
        <v>21000</v>
      </c>
      <c r="J121" s="232" t="n"/>
      <c r="K121" s="233" t="n"/>
      <c r="L121" s="233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37" t="n"/>
      <c r="B122" s="238" t="inlineStr">
        <is>
          <t>SANDRA</t>
        </is>
      </c>
      <c r="C122" s="239" t="n">
        <v>1</v>
      </c>
      <c r="D122" s="239" t="n"/>
      <c r="E122" s="239" t="n"/>
      <c r="F122" s="240" t="n"/>
      <c r="G122" s="240" t="n"/>
      <c r="H122" s="241" t="n">
        <v>15500</v>
      </c>
      <c r="I122" s="242" t="n">
        <v>15500</v>
      </c>
      <c r="J122" s="242" t="n"/>
      <c r="K122" s="233" t="n"/>
      <c r="L122" s="233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27" t="n"/>
      <c r="B123" s="228" t="inlineStr">
        <is>
          <t>F FERNANDEZ Y VIÑAS</t>
        </is>
      </c>
      <c r="C123" s="229" t="n">
        <v>1</v>
      </c>
      <c r="D123" s="229" t="n"/>
      <c r="E123" s="229" t="n"/>
      <c r="F123" s="230" t="n"/>
      <c r="G123" s="230" t="n"/>
      <c r="H123" s="231" t="n">
        <v>21000</v>
      </c>
      <c r="I123" s="232" t="n">
        <v>21000</v>
      </c>
      <c r="J123" s="232" t="n"/>
      <c r="K123" s="233" t="n"/>
      <c r="L123" s="233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37" t="n"/>
      <c r="B124" s="238" t="inlineStr">
        <is>
          <t>PENALOZA 7220</t>
        </is>
      </c>
      <c r="C124" s="239" t="n"/>
      <c r="D124" s="239" t="n"/>
      <c r="E124" s="239" t="n">
        <v>1</v>
      </c>
      <c r="F124" s="240" t="n"/>
      <c r="G124" s="240" t="n"/>
      <c r="H124" s="241" t="n">
        <v>74000</v>
      </c>
      <c r="I124" s="242" t="n"/>
      <c r="J124" s="242" t="n">
        <v>74000</v>
      </c>
      <c r="K124" s="233" t="n"/>
      <c r="L124" s="233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27" t="n"/>
      <c r="B125" s="228" t="inlineStr">
        <is>
          <t>AZOPARDO 7218</t>
        </is>
      </c>
      <c r="C125" s="229" t="n">
        <v>1</v>
      </c>
      <c r="D125" s="229" t="n"/>
      <c r="E125" s="229" t="n"/>
      <c r="F125" s="230" t="n"/>
      <c r="G125" s="230" t="n"/>
      <c r="H125" s="231" t="n">
        <v>21000</v>
      </c>
      <c r="I125" s="232" t="n">
        <v>21000</v>
      </c>
      <c r="J125" s="232" t="n"/>
      <c r="K125" s="233" t="n"/>
      <c r="L125" s="233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37" t="n"/>
      <c r="B126" s="238" t="inlineStr">
        <is>
          <t>PANA GENESIO</t>
        </is>
      </c>
      <c r="C126" s="239" t="n">
        <v>1</v>
      </c>
      <c r="D126" s="239" t="n"/>
      <c r="E126" s="239" t="n"/>
      <c r="F126" s="240" t="n"/>
      <c r="G126" s="240" t="n"/>
      <c r="H126" s="241" t="n">
        <v>19000</v>
      </c>
      <c r="I126" s="242" t="n"/>
      <c r="J126" s="242" t="n">
        <v>19000</v>
      </c>
      <c r="K126" s="233" t="n"/>
      <c r="L126" s="233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27" t="n">
        <v>46091</v>
      </c>
      <c r="B127" s="228" t="inlineStr">
        <is>
          <t>SAN AMRTIN 3939</t>
        </is>
      </c>
      <c r="C127" s="229" t="n">
        <v>1</v>
      </c>
      <c r="D127" s="229" t="n"/>
      <c r="E127" s="229" t="n"/>
      <c r="F127" s="230" t="n"/>
      <c r="G127" s="230" t="n"/>
      <c r="H127" s="231" t="n">
        <v>23000</v>
      </c>
      <c r="I127" s="232" t="n">
        <v>23000</v>
      </c>
      <c r="J127" s="232" t="n"/>
      <c r="K127" s="233" t="n"/>
      <c r="L127" s="233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37" t="n"/>
      <c r="B128" s="238" t="inlineStr">
        <is>
          <t>PANA VIEYTES GISELA</t>
        </is>
      </c>
      <c r="C128" s="239" t="n"/>
      <c r="D128" s="239" t="n"/>
      <c r="E128" s="239" t="n"/>
      <c r="F128" s="240" t="n">
        <v>2</v>
      </c>
      <c r="G128" s="240" t="n"/>
      <c r="H128" s="241" t="n">
        <v>7000</v>
      </c>
      <c r="I128" s="242" t="n"/>
      <c r="J128" s="242" t="n">
        <v>7000</v>
      </c>
      <c r="K128" s="233" t="n"/>
      <c r="L128" s="233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27" t="n"/>
      <c r="B129" s="228" t="inlineStr">
        <is>
          <t>PAULO</t>
        </is>
      </c>
      <c r="C129" s="229" t="n">
        <v>3</v>
      </c>
      <c r="D129" s="229" t="n"/>
      <c r="E129" s="229" t="n"/>
      <c r="F129" s="230" t="n"/>
      <c r="G129" s="230" t="n"/>
      <c r="H129" s="231" t="n">
        <v>46500</v>
      </c>
      <c r="I129" s="232" t="n">
        <v>46500</v>
      </c>
      <c r="J129" s="232" t="n"/>
      <c r="K129" s="233" t="n"/>
      <c r="L129" s="233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37" t="n"/>
      <c r="B130" s="238" t="inlineStr">
        <is>
          <t>LUCHO</t>
        </is>
      </c>
      <c r="C130" s="239" t="n">
        <v>1</v>
      </c>
      <c r="D130" s="239" t="n"/>
      <c r="E130" s="239" t="n"/>
      <c r="F130" s="240" t="n"/>
      <c r="G130" s="240" t="n"/>
      <c r="H130" s="241" t="n">
        <v>15500</v>
      </c>
      <c r="I130" s="242" t="n">
        <v>15500</v>
      </c>
      <c r="J130" s="242" t="n"/>
      <c r="K130" s="233" t="n"/>
      <c r="L130" s="233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27" t="n"/>
      <c r="B131" s="228" t="inlineStr">
        <is>
          <t>AGUADP 6970</t>
        </is>
      </c>
      <c r="C131" s="229" t="n">
        <v>1</v>
      </c>
      <c r="D131" s="229" t="n"/>
      <c r="E131" s="229" t="n"/>
      <c r="F131" s="230" t="n"/>
      <c r="G131" s="230" t="n"/>
      <c r="H131" s="231" t="n">
        <v>22000</v>
      </c>
      <c r="I131" s="232" t="n">
        <v>22000</v>
      </c>
      <c r="J131" s="232" t="n"/>
      <c r="K131" s="233" t="n"/>
      <c r="L131" s="233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37" t="n"/>
      <c r="B132" s="238" t="inlineStr">
        <is>
          <t>AYACUCHO 4878</t>
        </is>
      </c>
      <c r="C132" s="239" t="n"/>
      <c r="D132" s="239" t="n">
        <v>1</v>
      </c>
      <c r="E132" s="239" t="n"/>
      <c r="F132" s="240" t="n"/>
      <c r="G132" s="240" t="n"/>
      <c r="H132" s="241" t="n">
        <v>33000</v>
      </c>
      <c r="I132" s="242" t="n">
        <v>33000</v>
      </c>
      <c r="J132" s="242" t="n"/>
      <c r="K132" s="233" t="n"/>
      <c r="L132" s="233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27" t="n"/>
      <c r="B133" s="228" t="inlineStr">
        <is>
          <t>BRAZIL 4117</t>
        </is>
      </c>
      <c r="C133" s="229" t="n"/>
      <c r="D133" s="229" t="n"/>
      <c r="E133" s="229" t="n">
        <v>1</v>
      </c>
      <c r="F133" s="230" t="n"/>
      <c r="G133" s="230" t="n"/>
      <c r="H133" s="231" t="n">
        <v>76000</v>
      </c>
      <c r="I133" s="232" t="n"/>
      <c r="J133" s="232" t="n">
        <v>76000</v>
      </c>
      <c r="K133" s="233" t="n"/>
      <c r="L133" s="233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37" t="n"/>
      <c r="B134" s="238" t="inlineStr">
        <is>
          <t>LASAGA 7023</t>
        </is>
      </c>
      <c r="C134" s="239" t="n"/>
      <c r="D134" s="239" t="n">
        <v>1</v>
      </c>
      <c r="E134" s="239" t="n"/>
      <c r="F134" s="240" t="n"/>
      <c r="G134" s="240" t="n"/>
      <c r="H134" s="241" t="n">
        <v>33000</v>
      </c>
      <c r="I134" s="242" t="n">
        <v>33000</v>
      </c>
      <c r="J134" s="242" t="n"/>
      <c r="K134" s="233" t="n"/>
      <c r="L134" s="233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27" t="n"/>
      <c r="B135" s="228" t="inlineStr">
        <is>
          <t>MARCE DUSSO</t>
        </is>
      </c>
      <c r="C135" s="229" t="n">
        <v>4</v>
      </c>
      <c r="D135" s="229" t="n"/>
      <c r="E135" s="229" t="n">
        <v>1</v>
      </c>
      <c r="F135" s="230" t="n"/>
      <c r="G135" s="230" t="n"/>
      <c r="H135" s="231" t="n">
        <v>132000</v>
      </c>
      <c r="I135" s="232" t="n"/>
      <c r="J135" s="232" t="n">
        <v>132000</v>
      </c>
      <c r="K135" s="233" t="n"/>
      <c r="L135" s="233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37" t="n"/>
      <c r="B136" s="238" t="inlineStr">
        <is>
          <t>RIVADAVIA JUNIOR</t>
        </is>
      </c>
      <c r="C136" s="239" t="n">
        <v>1</v>
      </c>
      <c r="D136" s="239" t="n"/>
      <c r="E136" s="239" t="n"/>
      <c r="F136" s="240" t="n"/>
      <c r="G136" s="240" t="n"/>
      <c r="H136" s="241" t="n">
        <v>23000</v>
      </c>
      <c r="I136" s="242" t="n">
        <v>23000</v>
      </c>
      <c r="J136" s="242" t="n"/>
      <c r="K136" s="233" t="n"/>
      <c r="L136" s="233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27" t="n"/>
      <c r="B137" s="228" t="inlineStr">
        <is>
          <t>PIEDRABUENA 4599</t>
        </is>
      </c>
      <c r="C137" s="229" t="n"/>
      <c r="D137" s="229" t="n"/>
      <c r="E137" s="229" t="n">
        <v>1</v>
      </c>
      <c r="F137" s="230" t="n"/>
      <c r="G137" s="230" t="n"/>
      <c r="H137" s="231" t="n">
        <v>76000</v>
      </c>
      <c r="I137" s="232" t="n"/>
      <c r="J137" s="232" t="n">
        <v>76000</v>
      </c>
      <c r="K137" s="233" t="n"/>
      <c r="L137" s="233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37" t="n"/>
      <c r="B138" s="238" t="inlineStr">
        <is>
          <t>FILOMENA</t>
        </is>
      </c>
      <c r="C138" s="239" t="n">
        <v>2</v>
      </c>
      <c r="D138" s="239" t="n"/>
      <c r="E138" s="239" t="n"/>
      <c r="F138" s="240" t="n"/>
      <c r="G138" s="240" t="n"/>
      <c r="H138" s="241" t="n">
        <v>38000</v>
      </c>
      <c r="I138" s="242" t="n"/>
      <c r="J138" s="242" t="n">
        <v>38000</v>
      </c>
      <c r="K138" s="233" t="n"/>
      <c r="L138" s="233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27" t="n"/>
      <c r="B139" s="228" t="inlineStr">
        <is>
          <t>CORDOBA 2753</t>
        </is>
      </c>
      <c r="C139" s="229" t="n"/>
      <c r="D139" s="229" t="n"/>
      <c r="E139" s="229" t="n">
        <v>1</v>
      </c>
      <c r="F139" s="230" t="n"/>
      <c r="G139" s="230" t="n"/>
      <c r="H139" s="231" t="n">
        <v>75000</v>
      </c>
      <c r="I139" s="232" t="n"/>
      <c r="J139" s="232" t="n">
        <v>75000</v>
      </c>
      <c r="K139" s="233" t="n"/>
      <c r="L139" s="233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37" t="n"/>
      <c r="B140" s="238" t="inlineStr">
        <is>
          <t>EXE</t>
        </is>
      </c>
      <c r="C140" s="239" t="n">
        <v>2</v>
      </c>
      <c r="D140" s="239" t="n"/>
      <c r="E140" s="239" t="n">
        <v>1</v>
      </c>
      <c r="F140" s="240" t="n"/>
      <c r="G140" s="240" t="n"/>
      <c r="H140" s="241" t="n">
        <v>116000</v>
      </c>
      <c r="I140" s="242" t="n"/>
      <c r="J140" s="242" t="n">
        <v>116000</v>
      </c>
      <c r="K140" s="233" t="n"/>
      <c r="L140" s="233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27" t="n"/>
      <c r="B141" s="228" t="inlineStr">
        <is>
          <t>ROTI SAN LORENZO</t>
        </is>
      </c>
      <c r="C141" s="229" t="n">
        <v>2</v>
      </c>
      <c r="D141" s="229" t="n">
        <v>2</v>
      </c>
      <c r="E141" s="229" t="n"/>
      <c r="F141" s="230" t="n"/>
      <c r="G141" s="230" t="n"/>
      <c r="H141" s="231" t="n">
        <v>98000</v>
      </c>
      <c r="I141" s="232" t="n"/>
      <c r="J141" s="232" t="n">
        <v>98000</v>
      </c>
      <c r="K141" s="233" t="n"/>
      <c r="L141" s="233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37" t="n">
        <v>46092</v>
      </c>
      <c r="B142" s="238" t="inlineStr">
        <is>
          <t>VERA MUJICA 420</t>
        </is>
      </c>
      <c r="C142" s="239" t="n"/>
      <c r="D142" s="239" t="n">
        <v>1</v>
      </c>
      <c r="E142" s="239" t="n"/>
      <c r="F142" s="240" t="n"/>
      <c r="G142" s="240" t="n"/>
      <c r="H142" s="241" t="n">
        <v>33000</v>
      </c>
      <c r="I142" s="242" t="n">
        <v>33000</v>
      </c>
      <c r="J142" s="242" t="n"/>
      <c r="K142" s="233" t="n"/>
      <c r="L142" s="233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27" t="n"/>
      <c r="B143" s="228" t="inlineStr">
        <is>
          <t>MADAME CHEESE</t>
        </is>
      </c>
      <c r="C143" s="229" t="n"/>
      <c r="D143" s="229" t="n">
        <v>1</v>
      </c>
      <c r="E143" s="229" t="n"/>
      <c r="F143" s="230" t="n"/>
      <c r="G143" s="230" t="n"/>
      <c r="H143" s="231" t="n">
        <v>30000</v>
      </c>
      <c r="I143" s="232" t="n"/>
      <c r="J143" s="232" t="n">
        <v>30000</v>
      </c>
      <c r="K143" s="233" t="n"/>
      <c r="L143" s="233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37" t="n"/>
      <c r="B144" s="238" t="inlineStr">
        <is>
          <t>OTNIEL</t>
        </is>
      </c>
      <c r="C144" s="239" t="n"/>
      <c r="D144" s="239" t="n">
        <v>2</v>
      </c>
      <c r="E144" s="239" t="n"/>
      <c r="F144" s="240" t="n"/>
      <c r="G144" s="240" t="n"/>
      <c r="H144" s="241" t="n">
        <v>60000</v>
      </c>
      <c r="I144" s="242" t="n"/>
      <c r="J144" s="242" t="n">
        <v>60000</v>
      </c>
      <c r="K144" s="233" t="n"/>
      <c r="L144" s="233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27" t="n"/>
      <c r="B145" s="228" t="inlineStr">
        <is>
          <t>AZCUENAGA 5023</t>
        </is>
      </c>
      <c r="C145" s="229" t="n">
        <v>7</v>
      </c>
      <c r="D145" s="229" t="n"/>
      <c r="E145" s="229" t="n"/>
      <c r="F145" s="230" t="n"/>
      <c r="G145" s="230" t="n"/>
      <c r="H145" s="231" t="n">
        <v>108500</v>
      </c>
      <c r="I145" s="232" t="n"/>
      <c r="J145" s="232" t="n">
        <v>108500</v>
      </c>
      <c r="K145" s="233" t="n"/>
      <c r="L145" s="233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37" t="n"/>
      <c r="B146" s="238" t="inlineStr">
        <is>
          <t>LUCHO</t>
        </is>
      </c>
      <c r="C146" s="239" t="n">
        <v>1</v>
      </c>
      <c r="D146" s="239" t="n"/>
      <c r="E146" s="239" t="n"/>
      <c r="F146" s="240" t="n"/>
      <c r="G146" s="240" t="n"/>
      <c r="H146" s="241" t="n">
        <v>15500</v>
      </c>
      <c r="I146" s="242" t="n">
        <v>15500</v>
      </c>
      <c r="J146" s="242" t="n"/>
      <c r="K146" s="233" t="n"/>
      <c r="L146" s="233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27" t="n"/>
      <c r="B147" s="228" t="inlineStr">
        <is>
          <t>CAREN</t>
        </is>
      </c>
      <c r="C147" s="229" t="n"/>
      <c r="D147" s="229" t="n"/>
      <c r="E147" s="229" t="n">
        <v>1</v>
      </c>
      <c r="F147" s="230" t="n"/>
      <c r="G147" s="230" t="n"/>
      <c r="H147" s="231" t="n">
        <v>72000</v>
      </c>
      <c r="I147" s="232" t="n"/>
      <c r="J147" s="232" t="n">
        <v>72000</v>
      </c>
      <c r="K147" s="233" t="n"/>
      <c r="L147" s="233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37" t="n"/>
      <c r="B148" s="238" t="inlineStr">
        <is>
          <t>SEDLASEK 5347</t>
        </is>
      </c>
      <c r="C148" s="239" t="n">
        <v>1</v>
      </c>
      <c r="D148" s="239" t="n"/>
      <c r="E148" s="239" t="n"/>
      <c r="F148" s="240" t="n"/>
      <c r="G148" s="240" t="n"/>
      <c r="H148" s="241" t="n">
        <v>22000</v>
      </c>
      <c r="I148" s="242" t="n">
        <v>22000</v>
      </c>
      <c r="J148" s="242" t="n"/>
      <c r="K148" s="233" t="n"/>
      <c r="L148" s="233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27" t="n"/>
      <c r="B149" s="228" t="inlineStr">
        <is>
          <t>ALSINA 9348</t>
        </is>
      </c>
      <c r="C149" s="229" t="n">
        <v>2</v>
      </c>
      <c r="D149" s="229" t="n"/>
      <c r="E149" s="229" t="n"/>
      <c r="F149" s="230" t="n"/>
      <c r="G149" s="230" t="n"/>
      <c r="H149" s="231" t="n">
        <v>44000</v>
      </c>
      <c r="I149" s="232" t="n"/>
      <c r="J149" s="232" t="n">
        <v>44000</v>
      </c>
      <c r="K149" s="233" t="n"/>
      <c r="L149" s="233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37" t="n"/>
      <c r="B150" s="238" t="inlineStr">
        <is>
          <t>SERBANDO BAYO 7166</t>
        </is>
      </c>
      <c r="C150" s="239" t="n"/>
      <c r="D150" s="239" t="n">
        <v>1</v>
      </c>
      <c r="E150" s="239" t="n"/>
      <c r="F150" s="240" t="n"/>
      <c r="G150" s="240" t="n"/>
      <c r="H150" s="241" t="n">
        <v>30000</v>
      </c>
      <c r="I150" s="242" t="n"/>
      <c r="J150" s="242" t="n">
        <v>30000</v>
      </c>
      <c r="K150" s="233" t="n"/>
      <c r="L150" s="233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27" t="n"/>
      <c r="B151" s="228" t="inlineStr">
        <is>
          <t xml:space="preserve">PANAALBERTI </t>
        </is>
      </c>
      <c r="C151" s="229" t="n">
        <v>1</v>
      </c>
      <c r="D151" s="229" t="n"/>
      <c r="E151" s="229" t="n"/>
      <c r="F151" s="230" t="n"/>
      <c r="G151" s="230" t="n"/>
      <c r="H151" s="231" t="n">
        <v>20000</v>
      </c>
      <c r="I151" s="232" t="n">
        <v>20000</v>
      </c>
      <c r="J151" s="232" t="n"/>
      <c r="K151" s="233" t="n"/>
      <c r="L151" s="233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37" t="n"/>
      <c r="B152" s="238" t="inlineStr">
        <is>
          <t>PUBLICO 2383</t>
        </is>
      </c>
      <c r="C152" s="239" t="n">
        <v>1</v>
      </c>
      <c r="D152" s="239" t="n"/>
      <c r="E152" s="239" t="n">
        <v>1</v>
      </c>
      <c r="F152" s="240" t="n"/>
      <c r="G152" s="240" t="n"/>
      <c r="H152" s="241" t="n">
        <v>104000</v>
      </c>
      <c r="I152" s="242" t="n"/>
      <c r="J152" s="242" t="n">
        <v>104000</v>
      </c>
      <c r="K152" s="233" t="n"/>
      <c r="L152" s="233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27" t="n">
        <v>46093</v>
      </c>
      <c r="B153" s="228" t="inlineStr">
        <is>
          <t>QUINTANA 2950</t>
        </is>
      </c>
      <c r="C153" s="229" t="n">
        <v>1</v>
      </c>
      <c r="D153" s="229" t="n"/>
      <c r="E153" s="229" t="n"/>
      <c r="F153" s="230" t="n"/>
      <c r="G153" s="230" t="n"/>
      <c r="H153" s="231" t="n">
        <v>22000</v>
      </c>
      <c r="I153" s="232" t="n"/>
      <c r="J153" s="232" t="n">
        <v>22000</v>
      </c>
      <c r="K153" s="233" t="n"/>
      <c r="L153" s="233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37" t="n"/>
      <c r="B154" s="238" t="inlineStr">
        <is>
          <t>CANCHAS GRINGO</t>
        </is>
      </c>
      <c r="C154" s="239" t="n"/>
      <c r="D154" s="239" t="n">
        <v>1</v>
      </c>
      <c r="E154" s="239" t="n"/>
      <c r="F154" s="240" t="n"/>
      <c r="G154" s="240" t="n"/>
      <c r="H154" s="241" t="n">
        <v>30000</v>
      </c>
      <c r="I154" s="242" t="n">
        <v>30000</v>
      </c>
      <c r="J154" s="242" t="n"/>
      <c r="K154" s="233" t="n"/>
      <c r="L154" s="233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27" t="n"/>
      <c r="B155" s="228" t="inlineStr">
        <is>
          <t>LUCHO</t>
        </is>
      </c>
      <c r="C155" s="229" t="n">
        <v>1</v>
      </c>
      <c r="D155" s="229" t="n"/>
      <c r="E155" s="229" t="n"/>
      <c r="F155" s="230" t="n"/>
      <c r="G155" s="230" t="n"/>
      <c r="H155" s="231" t="n">
        <v>15500</v>
      </c>
      <c r="I155" s="232" t="n">
        <v>15500</v>
      </c>
      <c r="J155" s="232" t="n"/>
      <c r="K155" s="233" t="n"/>
      <c r="L155" s="233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37" t="n"/>
      <c r="B156" s="238" t="inlineStr">
        <is>
          <t>SANDRA</t>
        </is>
      </c>
      <c r="C156" s="239" t="n"/>
      <c r="D156" s="239" t="n"/>
      <c r="E156" s="239" t="n"/>
      <c r="F156" s="240" t="n"/>
      <c r="G156" s="240" t="n">
        <v>2</v>
      </c>
      <c r="H156" s="241" t="n">
        <v>8000</v>
      </c>
      <c r="I156" s="242" t="n">
        <v>8000</v>
      </c>
      <c r="J156" s="242" t="n"/>
      <c r="K156" s="233" t="n"/>
      <c r="L156" s="233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27" t="n"/>
      <c r="B157" s="228" t="inlineStr">
        <is>
          <t>FILOMEN A</t>
        </is>
      </c>
      <c r="C157" s="229" t="n">
        <v>2</v>
      </c>
      <c r="D157" s="229" t="n"/>
      <c r="E157" s="229" t="n"/>
      <c r="F157" s="230" t="n"/>
      <c r="G157" s="230" t="n"/>
      <c r="H157" s="231" t="n">
        <v>38000</v>
      </c>
      <c r="I157" s="232" t="n"/>
      <c r="J157" s="232" t="n">
        <v>38000</v>
      </c>
      <c r="K157" s="233" t="n"/>
      <c r="L157" s="233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37" t="n"/>
      <c r="B158" s="238" t="inlineStr">
        <is>
          <t>CASTELLI 5364</t>
        </is>
      </c>
      <c r="C158" s="239" t="n"/>
      <c r="D158" s="239" t="n"/>
      <c r="E158" s="239" t="n">
        <v>1</v>
      </c>
      <c r="F158" s="240" t="n"/>
      <c r="G158" s="240" t="n"/>
      <c r="H158" s="241" t="n">
        <v>75000</v>
      </c>
      <c r="I158" s="242" t="n">
        <v>75000</v>
      </c>
      <c r="J158" s="242" t="n"/>
      <c r="K158" s="233" t="n"/>
      <c r="L158" s="233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27" t="n"/>
      <c r="B159" s="228" t="inlineStr">
        <is>
          <t>IGUALDAD</t>
        </is>
      </c>
      <c r="C159" s="229" t="n">
        <v>1</v>
      </c>
      <c r="D159" s="229" t="n"/>
      <c r="E159" s="229" t="n"/>
      <c r="F159" s="230" t="n"/>
      <c r="G159" s="230" t="n"/>
      <c r="H159" s="231" t="n">
        <v>21000</v>
      </c>
      <c r="I159" s="232" t="n">
        <v>21000</v>
      </c>
      <c r="J159" s="232" t="n"/>
      <c r="K159" s="233" t="n"/>
      <c r="L159" s="233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37" t="n"/>
      <c r="B160" s="238" t="inlineStr">
        <is>
          <t>COGORNO 5520</t>
        </is>
      </c>
      <c r="C160" s="239" t="n">
        <v>6</v>
      </c>
      <c r="D160" s="239" t="n"/>
      <c r="E160" s="239" t="n"/>
      <c r="F160" s="240" t="n"/>
      <c r="G160" s="240" t="n"/>
      <c r="H160" s="241" t="n">
        <v>102000</v>
      </c>
      <c r="I160" s="242" t="n"/>
      <c r="J160" s="242" t="n">
        <v>102000</v>
      </c>
      <c r="K160" s="233" t="n"/>
      <c r="L160" s="233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27" t="n"/>
      <c r="B161" s="228" t="inlineStr">
        <is>
          <t>SABOREAR</t>
        </is>
      </c>
      <c r="C161" s="229" t="n">
        <v>1</v>
      </c>
      <c r="D161" s="229" t="n"/>
      <c r="E161" s="229" t="n">
        <v>1</v>
      </c>
      <c r="F161" s="230" t="n"/>
      <c r="G161" s="230" t="n"/>
      <c r="H161" s="231" t="n">
        <v>90500</v>
      </c>
      <c r="I161" s="232" t="n"/>
      <c r="J161" s="232" t="n">
        <v>90500</v>
      </c>
      <c r="K161" s="233" t="n"/>
      <c r="L161" s="233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37" t="n">
        <v>46094</v>
      </c>
      <c r="B162" s="238" t="inlineStr">
        <is>
          <t>D SILVA 4217</t>
        </is>
      </c>
      <c r="C162" s="239" t="n">
        <v>3</v>
      </c>
      <c r="D162" s="239" t="n"/>
      <c r="E162" s="239" t="n"/>
      <c r="F162" s="240" t="n"/>
      <c r="G162" s="240" t="n"/>
      <c r="H162" s="241" t="n">
        <v>51000</v>
      </c>
      <c r="I162" s="242" t="n"/>
      <c r="J162" s="242" t="n">
        <v>51000</v>
      </c>
      <c r="K162" s="233" t="n"/>
      <c r="L162" s="233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27" t="n"/>
      <c r="B163" s="228" t="inlineStr">
        <is>
          <t>CHICLANA 7325</t>
        </is>
      </c>
      <c r="C163" s="229" t="n">
        <v>1</v>
      </c>
      <c r="D163" s="229" t="n"/>
      <c r="E163" s="229" t="n"/>
      <c r="F163" s="230" t="n"/>
      <c r="G163" s="230" t="n"/>
      <c r="H163" s="231" t="n">
        <v>17000</v>
      </c>
      <c r="I163" s="232" t="n"/>
      <c r="J163" s="232" t="n">
        <v>17000</v>
      </c>
      <c r="K163" s="233" t="n"/>
      <c r="L163" s="233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37" t="n"/>
      <c r="B164" s="238" t="inlineStr">
        <is>
          <t>4 DE ENERO 6625</t>
        </is>
      </c>
      <c r="C164" s="239" t="n">
        <v>1</v>
      </c>
      <c r="D164" s="239" t="n"/>
      <c r="E164" s="239" t="n"/>
      <c r="F164" s="240" t="n"/>
      <c r="G164" s="240" t="n"/>
      <c r="H164" s="241" t="n">
        <v>22000</v>
      </c>
      <c r="I164" s="242" t="n">
        <v>22000</v>
      </c>
      <c r="J164" s="242" t="n"/>
      <c r="K164" s="233" t="n"/>
      <c r="L164" s="233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27" t="n"/>
      <c r="B165" s="228" t="inlineStr">
        <is>
          <t>AZCUENAGA 5023</t>
        </is>
      </c>
      <c r="C165" s="229" t="n">
        <v>2</v>
      </c>
      <c r="D165" s="229" t="n"/>
      <c r="E165" s="229" t="n"/>
      <c r="F165" s="230" t="n"/>
      <c r="G165" s="230" t="n"/>
      <c r="H165" s="231" t="n">
        <v>34000</v>
      </c>
      <c r="I165" s="232" t="n"/>
      <c r="J165" s="232" t="n">
        <v>34000</v>
      </c>
      <c r="K165" s="233" t="n"/>
      <c r="L165" s="233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37" t="n"/>
      <c r="B166" s="238" t="inlineStr">
        <is>
          <t>OTNIEL</t>
        </is>
      </c>
      <c r="C166" s="239" t="n"/>
      <c r="D166" s="239" t="n"/>
      <c r="E166" s="239" t="n"/>
      <c r="F166" s="240" t="n"/>
      <c r="G166" s="240" t="n">
        <v>2</v>
      </c>
      <c r="H166" s="241" t="n">
        <v>11000</v>
      </c>
      <c r="I166" s="242" t="n"/>
      <c r="J166" s="242" t="n">
        <v>11000</v>
      </c>
      <c r="K166" s="233" t="n"/>
      <c r="L166" s="233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27" t="n"/>
      <c r="B167" s="228" t="inlineStr">
        <is>
          <t>JORGE VIANDAS</t>
        </is>
      </c>
      <c r="C167" s="229" t="n">
        <v>1</v>
      </c>
      <c r="D167" s="229" t="n"/>
      <c r="E167" s="229" t="n"/>
      <c r="F167" s="230" t="n"/>
      <c r="G167" s="230" t="n"/>
      <c r="H167" s="231" t="n">
        <v>20000</v>
      </c>
      <c r="I167" s="232" t="n">
        <v>20000</v>
      </c>
      <c r="J167" s="232" t="n"/>
      <c r="K167" s="233" t="n"/>
      <c r="L167" s="233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37" t="n"/>
      <c r="B168" s="238" t="inlineStr">
        <is>
          <t>LUCHO3</t>
        </is>
      </c>
      <c r="C168" s="239" t="n">
        <v>3</v>
      </c>
      <c r="D168" s="239" t="n"/>
      <c r="E168" s="239" t="n"/>
      <c r="F168" s="240" t="n"/>
      <c r="G168" s="240" t="n"/>
      <c r="H168" s="241" t="n">
        <v>51000</v>
      </c>
      <c r="I168" s="242" t="n">
        <v>51000</v>
      </c>
      <c r="J168" s="242" t="n"/>
      <c r="K168" s="233" t="n"/>
      <c r="L168" s="233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27" t="n"/>
      <c r="B169" s="228" t="inlineStr">
        <is>
          <t>PANA HNO FIGUEROA</t>
        </is>
      </c>
      <c r="C169" s="229" t="n"/>
      <c r="D169" s="229" t="n"/>
      <c r="E169" s="229" t="n">
        <v>1</v>
      </c>
      <c r="F169" s="230" t="n"/>
      <c r="G169" s="230" t="n"/>
      <c r="H169" s="231" t="n">
        <v>70000</v>
      </c>
      <c r="I169" s="232" t="n">
        <v>70000</v>
      </c>
      <c r="J169" s="232" t="n"/>
      <c r="K169" s="233" t="n"/>
      <c r="L169" s="233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37" t="n"/>
      <c r="B170" s="238" t="inlineStr">
        <is>
          <t>I CRESPO 7337</t>
        </is>
      </c>
      <c r="C170" s="239" t="n"/>
      <c r="D170" s="239" t="n">
        <v>1</v>
      </c>
      <c r="E170" s="239" t="n"/>
      <c r="F170" s="240" t="n"/>
      <c r="G170" s="240" t="n"/>
      <c r="H170" s="241" t="n">
        <v>36000</v>
      </c>
      <c r="I170" s="242" t="n"/>
      <c r="J170" s="242" t="n">
        <v>36000</v>
      </c>
      <c r="K170" s="233" t="n"/>
      <c r="L170" s="233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27" t="n"/>
      <c r="B171" s="228" t="inlineStr">
        <is>
          <t xml:space="preserve">ROTI VIEYTES </t>
        </is>
      </c>
      <c r="C171" s="229" t="n"/>
      <c r="D171" s="229" t="n">
        <v>2</v>
      </c>
      <c r="E171" s="229" t="n"/>
      <c r="F171" s="230" t="n"/>
      <c r="G171" s="230" t="n"/>
      <c r="H171" s="231" t="n">
        <v>50000</v>
      </c>
      <c r="I171" s="232" t="n"/>
      <c r="J171" s="232" t="n">
        <v>50000</v>
      </c>
      <c r="K171" s="233" t="n"/>
      <c r="L171" s="233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37" t="n"/>
      <c r="B172" s="238" t="inlineStr">
        <is>
          <t>DAVID LEIVA Y ALBERTI</t>
        </is>
      </c>
      <c r="C172" s="239" t="n">
        <v>1</v>
      </c>
      <c r="D172" s="239" t="n"/>
      <c r="E172" s="239" t="n"/>
      <c r="F172" s="240" t="n"/>
      <c r="G172" s="240" t="n"/>
      <c r="H172" s="241" t="n">
        <v>23000</v>
      </c>
      <c r="I172" s="242" t="n">
        <v>23000</v>
      </c>
      <c r="J172" s="242" t="n"/>
      <c r="K172" s="233" t="n"/>
      <c r="L172" s="233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27" t="n"/>
      <c r="B173" s="228" t="inlineStr">
        <is>
          <t>GABOTO 7484</t>
        </is>
      </c>
      <c r="C173" s="229" t="n"/>
      <c r="D173" s="229" t="n"/>
      <c r="E173" s="229" t="n">
        <v>1</v>
      </c>
      <c r="F173" s="230" t="n"/>
      <c r="G173" s="230" t="n"/>
      <c r="H173" s="231" t="n">
        <v>79900</v>
      </c>
      <c r="I173" s="232" t="n">
        <v>79900</v>
      </c>
      <c r="J173" s="232" t="n"/>
      <c r="K173" s="233" t="n"/>
      <c r="L173" s="233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37" t="n"/>
      <c r="B174" s="238" t="inlineStr">
        <is>
          <t>ESPORA 4858</t>
        </is>
      </c>
      <c r="C174" s="239" t="n"/>
      <c r="D174" s="239" t="n">
        <v>2</v>
      </c>
      <c r="E174" s="239" t="n"/>
      <c r="F174" s="240" t="n"/>
      <c r="G174" s="240" t="n"/>
      <c r="H174" s="241" t="n">
        <v>62000</v>
      </c>
      <c r="I174" s="242" t="n"/>
      <c r="J174" s="242" t="n">
        <v>62000</v>
      </c>
      <c r="K174" s="233" t="n"/>
      <c r="L174" s="233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27" t="n"/>
      <c r="B175" s="228" t="inlineStr">
        <is>
          <t>FRATERNIDAD</t>
        </is>
      </c>
      <c r="C175" s="229" t="n">
        <v>1</v>
      </c>
      <c r="D175" s="229" t="n"/>
      <c r="E175" s="229" t="n"/>
      <c r="F175" s="230" t="n"/>
      <c r="G175" s="230" t="n"/>
      <c r="H175" s="231" t="n">
        <v>22000</v>
      </c>
      <c r="I175" s="232" t="n">
        <v>22000</v>
      </c>
      <c r="J175" s="232" t="n"/>
      <c r="K175" s="233" t="n"/>
      <c r="L175" s="233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37" t="n"/>
      <c r="B176" s="238" t="inlineStr">
        <is>
          <t>NACHO</t>
        </is>
      </c>
      <c r="C176" s="239" t="n">
        <v>1</v>
      </c>
      <c r="D176" s="239" t="n"/>
      <c r="E176" s="239" t="n"/>
      <c r="F176" s="240" t="n"/>
      <c r="G176" s="240" t="n"/>
      <c r="H176" s="241" t="n">
        <v>20500</v>
      </c>
      <c r="I176" s="242" t="n">
        <v>20500</v>
      </c>
      <c r="J176" s="242" t="n"/>
      <c r="K176" s="233" t="n"/>
      <c r="L176" s="233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27" t="n"/>
      <c r="B177" s="228" t="inlineStr">
        <is>
          <t>EUROPA 6851</t>
        </is>
      </c>
      <c r="C177" s="229" t="n">
        <v>1</v>
      </c>
      <c r="D177" s="229" t="n"/>
      <c r="E177" s="229" t="n"/>
      <c r="F177" s="230" t="n"/>
      <c r="G177" s="230" t="n"/>
      <c r="H177" s="231" t="n">
        <v>21000</v>
      </c>
      <c r="I177" s="232" t="n">
        <v>21000</v>
      </c>
      <c r="J177" s="232" t="n"/>
      <c r="K177" s="233" t="n"/>
      <c r="L177" s="233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37" t="n"/>
      <c r="B178" s="238" t="inlineStr">
        <is>
          <t>L Y PLANES 3884</t>
        </is>
      </c>
      <c r="C178" s="239" t="n"/>
      <c r="D178" s="239" t="n"/>
      <c r="E178" s="239" t="n">
        <v>1</v>
      </c>
      <c r="F178" s="240" t="n"/>
      <c r="G178" s="240" t="n"/>
      <c r="H178" s="241" t="n">
        <v>79900</v>
      </c>
      <c r="I178" s="242" t="n"/>
      <c r="J178" s="242" t="n">
        <v>79900</v>
      </c>
      <c r="K178" s="233" t="n"/>
      <c r="L178" s="233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27" t="n"/>
      <c r="B179" s="228" t="inlineStr">
        <is>
          <t>OTNIEL</t>
        </is>
      </c>
      <c r="C179" s="229" t="n"/>
      <c r="D179" s="229" t="n"/>
      <c r="E179" s="229" t="n">
        <v>1</v>
      </c>
      <c r="F179" s="230" t="n"/>
      <c r="G179" s="230" t="n"/>
      <c r="H179" s="231" t="n">
        <v>77000</v>
      </c>
      <c r="I179" s="232" t="n"/>
      <c r="J179" s="232" t="n">
        <v>77000</v>
      </c>
      <c r="K179" s="233" t="n"/>
      <c r="L179" s="233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37" t="n"/>
      <c r="B180" s="238" t="inlineStr">
        <is>
          <t>E ZEVALLOS 4881</t>
        </is>
      </c>
      <c r="C180" s="239" t="n">
        <v>1</v>
      </c>
      <c r="D180" s="239" t="n"/>
      <c r="E180" s="239" t="n"/>
      <c r="F180" s="240" t="n"/>
      <c r="G180" s="240" t="n"/>
      <c r="H180" s="241" t="n">
        <v>23000</v>
      </c>
      <c r="I180" s="242" t="n">
        <v>23000</v>
      </c>
      <c r="J180" s="242" t="n"/>
      <c r="K180" s="233" t="n"/>
      <c r="L180" s="233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27" t="n">
        <v>46095</v>
      </c>
      <c r="B181" s="228" t="inlineStr">
        <is>
          <t>GORRITI 5376</t>
        </is>
      </c>
      <c r="C181" s="229" t="n">
        <v>1</v>
      </c>
      <c r="D181" s="229" t="n"/>
      <c r="E181" s="229" t="n"/>
      <c r="F181" s="230" t="n"/>
      <c r="G181" s="230" t="n"/>
      <c r="H181" s="231" t="n">
        <v>23000</v>
      </c>
      <c r="I181" s="232" t="n">
        <v>23000</v>
      </c>
      <c r="J181" s="232" t="n"/>
      <c r="K181" s="233" t="n"/>
      <c r="L181" s="233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37" t="n"/>
      <c r="B182" s="238" t="inlineStr">
        <is>
          <t>ARISTOBULO 5879</t>
        </is>
      </c>
      <c r="C182" s="239" t="n"/>
      <c r="D182" s="239" t="n">
        <v>1</v>
      </c>
      <c r="E182" s="239" t="n"/>
      <c r="F182" s="240" t="n"/>
      <c r="G182" s="240" t="n"/>
      <c r="H182" s="241" t="n">
        <v>36000</v>
      </c>
      <c r="I182" s="242" t="n">
        <v>36000</v>
      </c>
      <c r="J182" s="242" t="n"/>
      <c r="K182" s="233" t="n"/>
      <c r="L182" s="233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27" t="n"/>
      <c r="B183" s="228" t="inlineStr">
        <is>
          <t>GRAL PAZ 7826</t>
        </is>
      </c>
      <c r="C183" s="229" t="n"/>
      <c r="D183" s="229" t="n"/>
      <c r="E183" s="229" t="n">
        <v>2</v>
      </c>
      <c r="F183" s="230" t="n"/>
      <c r="G183" s="230" t="n"/>
      <c r="H183" s="231" t="n">
        <v>156000</v>
      </c>
      <c r="I183" s="232" t="n"/>
      <c r="J183" s="232" t="n">
        <v>156000</v>
      </c>
      <c r="K183" s="233" t="n"/>
      <c r="L183" s="233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37" t="n"/>
      <c r="B184" s="238" t="inlineStr">
        <is>
          <t>PJE ROCA 6371</t>
        </is>
      </c>
      <c r="C184" s="239" t="n"/>
      <c r="D184" s="239" t="n"/>
      <c r="E184" s="239" t="n">
        <v>1</v>
      </c>
      <c r="F184" s="240" t="n"/>
      <c r="G184" s="240" t="n"/>
      <c r="H184" s="241" t="n">
        <v>77000</v>
      </c>
      <c r="I184" s="242" t="n">
        <v>77000</v>
      </c>
      <c r="J184" s="242" t="n"/>
      <c r="K184" s="233" t="n"/>
      <c r="L184" s="233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27" t="n"/>
      <c r="B185" s="228" t="inlineStr">
        <is>
          <t>PENALOZA 9757</t>
        </is>
      </c>
      <c r="C185" s="229" t="n">
        <v>1</v>
      </c>
      <c r="D185" s="229" t="n"/>
      <c r="E185" s="229" t="n"/>
      <c r="F185" s="230" t="n"/>
      <c r="G185" s="230" t="n"/>
      <c r="H185" s="231" t="n">
        <v>23000</v>
      </c>
      <c r="I185" s="232" t="n">
        <v>23000</v>
      </c>
      <c r="J185" s="232" t="n"/>
      <c r="K185" s="233" t="n"/>
      <c r="L185" s="233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37" t="n"/>
      <c r="B186" s="238" t="inlineStr">
        <is>
          <t xml:space="preserve">BRASERIA </t>
        </is>
      </c>
      <c r="C186" s="239" t="n"/>
      <c r="D186" s="239" t="n"/>
      <c r="E186" s="239" t="n">
        <v>1</v>
      </c>
      <c r="F186" s="240" t="n"/>
      <c r="G186" s="240" t="n"/>
      <c r="H186" s="241" t="n">
        <v>78000</v>
      </c>
      <c r="I186" s="242" t="n"/>
      <c r="J186" s="242" t="n">
        <v>78000</v>
      </c>
      <c r="K186" s="233" t="n"/>
      <c r="L186" s="233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27" t="n"/>
      <c r="B187" s="228" t="inlineStr">
        <is>
          <t>J DE LA ROSA 459</t>
        </is>
      </c>
      <c r="C187" s="229" t="n">
        <v>1</v>
      </c>
      <c r="D187" s="229" t="n"/>
      <c r="E187" s="229" t="n"/>
      <c r="F187" s="230" t="n"/>
      <c r="G187" s="230" t="n"/>
      <c r="H187" s="231" t="n">
        <v>23000</v>
      </c>
      <c r="I187" s="232" t="n"/>
      <c r="J187" s="232" t="n">
        <v>23000</v>
      </c>
      <c r="K187" s="233" t="n"/>
      <c r="L187" s="233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37" t="n"/>
      <c r="B188" s="238" t="inlineStr">
        <is>
          <t>FILOMENA</t>
        </is>
      </c>
      <c r="C188" s="239" t="n">
        <v>1</v>
      </c>
      <c r="D188" s="239" t="n"/>
      <c r="E188" s="239" t="n"/>
      <c r="F188" s="240" t="n"/>
      <c r="G188" s="240" t="n"/>
      <c r="H188" s="241" t="n">
        <v>20500</v>
      </c>
      <c r="I188" s="242" t="n"/>
      <c r="J188" s="242" t="n">
        <v>20500</v>
      </c>
      <c r="K188" s="233" t="n"/>
      <c r="L188" s="233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27" t="n"/>
      <c r="B189" s="228" t="inlineStr">
        <is>
          <t>BLAS PARERA 9777</t>
        </is>
      </c>
      <c r="C189" s="229" t="n"/>
      <c r="D189" s="229" t="n"/>
      <c r="E189" s="229" t="n">
        <v>1</v>
      </c>
      <c r="F189" s="230" t="n"/>
      <c r="G189" s="230" t="n"/>
      <c r="H189" s="231" t="n">
        <v>80000</v>
      </c>
      <c r="I189" s="232" t="n">
        <v>80000</v>
      </c>
      <c r="J189" s="232" t="n"/>
      <c r="K189" s="233" t="n"/>
      <c r="L189" s="233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37" t="n"/>
      <c r="B190" s="238" t="inlineStr">
        <is>
          <t>J D SOLIS 10529</t>
        </is>
      </c>
      <c r="C190" s="239" t="n"/>
      <c r="D190" s="239" t="n"/>
      <c r="E190" s="239" t="n">
        <v>2</v>
      </c>
      <c r="F190" s="240" t="n"/>
      <c r="G190" s="240" t="n"/>
      <c r="H190" s="241" t="n">
        <v>166000</v>
      </c>
      <c r="I190" s="242" t="n"/>
      <c r="J190" s="242" t="n">
        <v>166000</v>
      </c>
      <c r="K190" s="233" t="n"/>
      <c r="L190" s="233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27" t="n"/>
      <c r="B191" s="228" t="inlineStr">
        <is>
          <t>AYACUCHO 5284</t>
        </is>
      </c>
      <c r="C191" s="229" t="n">
        <v>1</v>
      </c>
      <c r="D191" s="229" t="n"/>
      <c r="E191" s="229" t="n"/>
      <c r="F191" s="230" t="n"/>
      <c r="G191" s="230" t="n"/>
      <c r="H191" s="231" t="n">
        <v>22500</v>
      </c>
      <c r="I191" s="232" t="n"/>
      <c r="J191" s="232" t="n">
        <v>22500</v>
      </c>
      <c r="K191" s="233" t="n"/>
      <c r="L191" s="233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37" t="n"/>
      <c r="B192" s="238" t="inlineStr">
        <is>
          <t>PJE LUIS BELTRAN 4362</t>
        </is>
      </c>
      <c r="C192" s="239" t="n"/>
      <c r="D192" s="239" t="n"/>
      <c r="E192" s="239" t="n">
        <v>1</v>
      </c>
      <c r="F192" s="240" t="n"/>
      <c r="G192" s="240" t="n"/>
      <c r="H192" s="241" t="n">
        <v>79900</v>
      </c>
      <c r="I192" s="242" t="n">
        <v>79900</v>
      </c>
      <c r="J192" s="242" t="n"/>
      <c r="K192" s="233" t="n"/>
      <c r="L192" s="233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27" t="n"/>
      <c r="B193" s="228" t="inlineStr">
        <is>
          <t>SABOREAR</t>
        </is>
      </c>
      <c r="C193" s="229" t="n">
        <v>2</v>
      </c>
      <c r="D193" s="229" t="n"/>
      <c r="E193" s="229" t="n"/>
      <c r="F193" s="230" t="n"/>
      <c r="G193" s="230" t="n"/>
      <c r="H193" s="231" t="n">
        <v>42000</v>
      </c>
      <c r="I193" s="232" t="n">
        <v>42000</v>
      </c>
      <c r="J193" s="232" t="n"/>
      <c r="K193" s="233" t="n"/>
      <c r="L193" s="233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37" t="n"/>
      <c r="B194" s="238" t="inlineStr">
        <is>
          <t>BOEDO 1637</t>
        </is>
      </c>
      <c r="C194" s="239" t="n">
        <v>1</v>
      </c>
      <c r="D194" s="239" t="n"/>
      <c r="E194" s="239" t="n"/>
      <c r="F194" s="240" t="n"/>
      <c r="G194" s="240" t="n"/>
      <c r="H194" s="241" t="n">
        <v>23000</v>
      </c>
      <c r="I194" s="242" t="n">
        <v>23000</v>
      </c>
      <c r="J194" s="242" t="n"/>
      <c r="K194" s="233" t="n"/>
      <c r="L194" s="233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27" t="n"/>
      <c r="B195" s="228" t="inlineStr">
        <is>
          <t>CALLE</t>
        </is>
      </c>
      <c r="C195" s="229" t="n">
        <v>1</v>
      </c>
      <c r="D195" s="229" t="n"/>
      <c r="E195" s="229" t="n"/>
      <c r="F195" s="230" t="n"/>
      <c r="G195" s="230" t="n"/>
      <c r="H195" s="231" t="n">
        <v>20000</v>
      </c>
      <c r="I195" s="232" t="n"/>
      <c r="J195" s="232" t="n">
        <v>20000</v>
      </c>
      <c r="K195" s="233" t="n"/>
      <c r="L195" s="233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37" t="n"/>
      <c r="B196" s="238" t="inlineStr">
        <is>
          <t>D SILVA 4217</t>
        </is>
      </c>
      <c r="C196" s="239" t="n">
        <v>3</v>
      </c>
      <c r="D196" s="239" t="n"/>
      <c r="E196" s="239" t="n"/>
      <c r="F196" s="240" t="n"/>
      <c r="G196" s="240" t="n"/>
      <c r="H196" s="241" t="n">
        <v>51000</v>
      </c>
      <c r="I196" s="242" t="n">
        <v>51000</v>
      </c>
      <c r="J196" s="242" t="n"/>
      <c r="K196" s="233" t="n"/>
      <c r="L196" s="233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27" t="n"/>
      <c r="B197" s="228" t="inlineStr">
        <is>
          <t>1 DE MAYO 8361</t>
        </is>
      </c>
      <c r="C197" s="229" t="n">
        <v>1</v>
      </c>
      <c r="D197" s="229" t="n"/>
      <c r="E197" s="229" t="n"/>
      <c r="F197" s="230" t="n"/>
      <c r="G197" s="230" t="n"/>
      <c r="H197" s="231" t="n">
        <v>23000</v>
      </c>
      <c r="I197" s="232" t="n">
        <v>23000</v>
      </c>
      <c r="J197" s="232" t="n"/>
      <c r="K197" s="233" t="n"/>
      <c r="L197" s="233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37" t="n"/>
      <c r="B198" s="238" t="inlineStr">
        <is>
          <t>POLLERIA ARISTOBULO</t>
        </is>
      </c>
      <c r="C198" s="239" t="n">
        <v>2</v>
      </c>
      <c r="D198" s="239" t="n"/>
      <c r="E198" s="239" t="n"/>
      <c r="F198" s="240" t="n"/>
      <c r="G198" s="240" t="n"/>
      <c r="H198" s="241" t="n">
        <v>32000</v>
      </c>
      <c r="I198" s="242" t="n">
        <v>32000</v>
      </c>
      <c r="J198" s="242" t="n"/>
      <c r="K198" s="233" t="n"/>
      <c r="L198" s="233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27" t="n"/>
      <c r="B199" s="228" t="inlineStr">
        <is>
          <t>PUBLICO 2527</t>
        </is>
      </c>
      <c r="C199" s="229" t="n">
        <v>1</v>
      </c>
      <c r="D199" s="229" t="n">
        <v>1</v>
      </c>
      <c r="E199" s="229" t="n"/>
      <c r="F199" s="230" t="n"/>
      <c r="G199" s="230" t="n"/>
      <c r="H199" s="231" t="n">
        <v>55500</v>
      </c>
      <c r="I199" s="232" t="n">
        <v>55500</v>
      </c>
      <c r="J199" s="232" t="n"/>
      <c r="K199" s="233" t="n"/>
      <c r="L199" s="233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37" t="n"/>
      <c r="B200" s="238" t="inlineStr">
        <is>
          <t>CASANELLO 3463</t>
        </is>
      </c>
      <c r="C200" s="239" t="n">
        <v>1</v>
      </c>
      <c r="D200" s="239" t="n">
        <v>1</v>
      </c>
      <c r="E200" s="239" t="n"/>
      <c r="F200" s="240" t="n"/>
      <c r="G200" s="240" t="n"/>
      <c r="H200" s="241" t="n">
        <v>56500</v>
      </c>
      <c r="I200" s="242" t="n">
        <v>56500</v>
      </c>
      <c r="J200" s="242" t="n"/>
      <c r="K200" s="233" t="n"/>
      <c r="L200" s="233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27" t="n">
        <v>46096</v>
      </c>
      <c r="B201" s="228" t="inlineStr">
        <is>
          <t>P GENESIO 2128</t>
        </is>
      </c>
      <c r="C201" s="229" t="n"/>
      <c r="D201" s="229" t="n"/>
      <c r="E201" s="229" t="n">
        <v>1</v>
      </c>
      <c r="F201" s="230" t="n"/>
      <c r="G201" s="230" t="n"/>
      <c r="H201" s="231" t="n">
        <v>82000</v>
      </c>
      <c r="I201" s="232" t="n"/>
      <c r="J201" s="232" t="n">
        <v>82000</v>
      </c>
      <c r="K201" s="233" t="n"/>
      <c r="L201" s="233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37" t="n"/>
      <c r="B202" s="238" t="inlineStr">
        <is>
          <t>FRANCIA 1872</t>
        </is>
      </c>
      <c r="C202" s="239" t="n"/>
      <c r="D202" s="239" t="n"/>
      <c r="E202" s="239" t="n">
        <v>1</v>
      </c>
      <c r="F202" s="240" t="n"/>
      <c r="G202" s="240" t="n"/>
      <c r="H202" s="241" t="n">
        <v>80000</v>
      </c>
      <c r="I202" s="242" t="n">
        <v>80000</v>
      </c>
      <c r="J202" s="242" t="n"/>
      <c r="K202" s="233" t="n"/>
      <c r="L202" s="233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27" t="n"/>
      <c r="B203" s="228" t="inlineStr">
        <is>
          <t>LARREA 3164</t>
        </is>
      </c>
      <c r="C203" s="229" t="n"/>
      <c r="D203" s="229" t="n"/>
      <c r="E203" s="229" t="n">
        <v>1</v>
      </c>
      <c r="F203" s="230" t="n"/>
      <c r="G203" s="230" t="n"/>
      <c r="H203" s="231" t="n">
        <v>79900</v>
      </c>
      <c r="I203" s="232" t="n"/>
      <c r="J203" s="232" t="n">
        <v>79900</v>
      </c>
      <c r="K203" s="233" t="n"/>
      <c r="L203" s="233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37" t="n"/>
      <c r="B204" s="238" t="inlineStr">
        <is>
          <t>CASTELLI 5406</t>
        </is>
      </c>
      <c r="C204" s="239" t="n"/>
      <c r="D204" s="239" t="n">
        <v>1</v>
      </c>
      <c r="E204" s="239" t="n"/>
      <c r="F204" s="240" t="n"/>
      <c r="G204" s="240" t="n"/>
      <c r="H204" s="241" t="n">
        <v>35000</v>
      </c>
      <c r="I204" s="242" t="n">
        <v>35000</v>
      </c>
      <c r="J204" s="242" t="n"/>
      <c r="K204" s="233" t="n"/>
      <c r="L204" s="233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27" t="n"/>
      <c r="B205" s="228" t="inlineStr">
        <is>
          <t>FILOMENA</t>
        </is>
      </c>
      <c r="C205" s="229" t="n">
        <v>2</v>
      </c>
      <c r="D205" s="229" t="n"/>
      <c r="E205" s="229" t="n"/>
      <c r="F205" s="230" t="n"/>
      <c r="G205" s="230" t="n"/>
      <c r="H205" s="231" t="n">
        <v>41000</v>
      </c>
      <c r="I205" s="232" t="n"/>
      <c r="J205" s="232" t="n">
        <v>41000</v>
      </c>
      <c r="K205" s="233" t="n"/>
      <c r="L205" s="233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37" t="n"/>
      <c r="B206" s="238" t="inlineStr">
        <is>
          <t>BLAS PARERA 6372</t>
        </is>
      </c>
      <c r="C206" s="239" t="n"/>
      <c r="D206" s="239" t="n"/>
      <c r="E206" s="239" t="n">
        <v>1</v>
      </c>
      <c r="F206" s="240" t="n"/>
      <c r="G206" s="240" t="n"/>
      <c r="H206" s="241" t="n">
        <v>78000</v>
      </c>
      <c r="I206" s="242" t="n"/>
      <c r="J206" s="242" t="n">
        <v>78000</v>
      </c>
      <c r="K206" s="233" t="n"/>
      <c r="L206" s="233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27" t="n"/>
      <c r="B207" s="228" t="inlineStr">
        <is>
          <t>ELI CARRIBAR</t>
        </is>
      </c>
      <c r="C207" s="229" t="n">
        <v>1</v>
      </c>
      <c r="D207" s="229" t="n"/>
      <c r="E207" s="229" t="n"/>
      <c r="F207" s="230" t="n"/>
      <c r="G207" s="230" t="n"/>
      <c r="H207" s="231" t="n">
        <v>20500</v>
      </c>
      <c r="I207" s="232" t="n">
        <v>20500</v>
      </c>
      <c r="J207" s="232" t="n"/>
      <c r="K207" s="233" t="n"/>
      <c r="L207" s="233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37" t="n"/>
      <c r="B208" s="238" t="inlineStr">
        <is>
          <t>ALBERTI 2865</t>
        </is>
      </c>
      <c r="C208" s="239" t="n">
        <v>1</v>
      </c>
      <c r="D208" s="239" t="n"/>
      <c r="E208" s="239" t="n"/>
      <c r="F208" s="240" t="n"/>
      <c r="G208" s="240" t="n"/>
      <c r="H208" s="241" t="n">
        <v>22500</v>
      </c>
      <c r="I208" s="242" t="n"/>
      <c r="J208" s="242" t="n">
        <v>22500</v>
      </c>
      <c r="K208" s="233" t="n"/>
      <c r="L208" s="233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27" t="n"/>
      <c r="B209" s="228" t="inlineStr">
        <is>
          <t>SANDRA</t>
        </is>
      </c>
      <c r="C209" s="229" t="n">
        <v>1</v>
      </c>
      <c r="D209" s="229" t="n"/>
      <c r="E209" s="229" t="n"/>
      <c r="F209" s="230" t="n"/>
      <c r="G209" s="230" t="n"/>
      <c r="H209" s="231" t="n">
        <v>17000</v>
      </c>
      <c r="I209" s="232" t="n">
        <v>17000</v>
      </c>
      <c r="J209" s="232" t="n"/>
      <c r="K209" s="233" t="n"/>
      <c r="L209" s="233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37" t="n"/>
      <c r="B210" s="238" t="inlineStr">
        <is>
          <t>D SILVA4217</t>
        </is>
      </c>
      <c r="C210" s="239" t="n">
        <v>3</v>
      </c>
      <c r="D210" s="239" t="n"/>
      <c r="E210" s="239" t="n"/>
      <c r="F210" s="240" t="n"/>
      <c r="G210" s="240" t="n"/>
      <c r="H210" s="241" t="n">
        <v>51000</v>
      </c>
      <c r="I210" s="242" t="n"/>
      <c r="J210" s="242" t="n">
        <v>51000</v>
      </c>
      <c r="K210" s="233" t="n"/>
      <c r="L210" s="233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27" t="n"/>
      <c r="B211" s="228" t="inlineStr">
        <is>
          <t>SABOREAR</t>
        </is>
      </c>
      <c r="C211" s="229" t="n"/>
      <c r="D211" s="229" t="n">
        <v>1</v>
      </c>
      <c r="E211" s="229" t="n"/>
      <c r="F211" s="230" t="n"/>
      <c r="G211" s="230" t="n"/>
      <c r="H211" s="231" t="n">
        <v>31500</v>
      </c>
      <c r="I211" s="232" t="n"/>
      <c r="J211" s="232" t="n">
        <v>31500</v>
      </c>
      <c r="K211" s="233" t="n"/>
      <c r="L211" s="233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37" t="n"/>
      <c r="B212" s="238" t="inlineStr">
        <is>
          <t>TACUARI 57171</t>
        </is>
      </c>
      <c r="C212" s="239" t="n">
        <v>1</v>
      </c>
      <c r="D212" s="239" t="n"/>
      <c r="E212" s="239" t="n"/>
      <c r="F212" s="240" t="n"/>
      <c r="G212" s="240" t="n"/>
      <c r="H212" s="241" t="n">
        <v>22000</v>
      </c>
      <c r="I212" s="242" t="n"/>
      <c r="J212" s="242" t="n">
        <v>22000</v>
      </c>
      <c r="K212" s="233" t="n"/>
      <c r="L212" s="233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27" t="n">
        <v>46097</v>
      </c>
      <c r="B213" s="228" t="inlineStr">
        <is>
          <t>ESTANIS DEL CAMPO 1625</t>
        </is>
      </c>
      <c r="C213" s="229" t="n">
        <v>1</v>
      </c>
      <c r="D213" s="229" t="n"/>
      <c r="E213" s="229" t="n"/>
      <c r="F213" s="230" t="n"/>
      <c r="G213" s="230" t="n"/>
      <c r="H213" s="231" t="n">
        <v>23000</v>
      </c>
      <c r="I213" s="232" t="n"/>
      <c r="J213" s="232" t="n">
        <v>23000</v>
      </c>
      <c r="K213" s="233" t="n"/>
      <c r="L213" s="233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37" t="n"/>
      <c r="B214" s="238" t="inlineStr">
        <is>
          <t>LA SALLE 4625</t>
        </is>
      </c>
      <c r="C214" s="239" t="n"/>
      <c r="D214" s="239" t="n"/>
      <c r="E214" s="239" t="n">
        <v>1</v>
      </c>
      <c r="F214" s="240" t="n"/>
      <c r="G214" s="240" t="n"/>
      <c r="H214" s="241" t="n">
        <v>83000</v>
      </c>
      <c r="I214" s="242" t="n"/>
      <c r="J214" s="242" t="n">
        <v>83000</v>
      </c>
      <c r="K214" s="233" t="n"/>
      <c r="L214" s="233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27" t="n"/>
      <c r="B215" s="228" t="inlineStr">
        <is>
          <t>OTNIEL</t>
        </is>
      </c>
      <c r="C215" s="229" t="n">
        <v>1</v>
      </c>
      <c r="D215" s="229" t="n"/>
      <c r="E215" s="229" t="n">
        <v>1</v>
      </c>
      <c r="F215" s="230" t="n"/>
      <c r="G215" s="230" t="n"/>
      <c r="H215" s="231" t="n">
        <v>98000</v>
      </c>
      <c r="I215" s="232" t="n"/>
      <c r="J215" s="232" t="n">
        <v>98000</v>
      </c>
      <c r="K215" s="233" t="n"/>
      <c r="L215" s="233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37" t="n"/>
      <c r="B216" s="238" t="inlineStr">
        <is>
          <t>VIANDAS ZEBALLOS</t>
        </is>
      </c>
      <c r="C216" s="239" t="n">
        <v>1</v>
      </c>
      <c r="D216" s="239" t="n"/>
      <c r="E216" s="239" t="n"/>
      <c r="F216" s="240" t="n"/>
      <c r="G216" s="240" t="n"/>
      <c r="H216" s="241" t="n">
        <v>20000</v>
      </c>
      <c r="I216" s="242" t="n">
        <v>20000</v>
      </c>
      <c r="J216" s="242" t="n"/>
      <c r="K216" s="233" t="n"/>
      <c r="L216" s="233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27" t="n"/>
      <c r="B217" s="228" t="inlineStr">
        <is>
          <t>S BAYO 7250</t>
        </is>
      </c>
      <c r="C217" s="229" t="n">
        <v>1</v>
      </c>
      <c r="D217" s="229" t="n"/>
      <c r="E217" s="229" t="n"/>
      <c r="F217" s="230" t="n"/>
      <c r="G217" s="230" t="n"/>
      <c r="H217" s="231" t="n">
        <v>22500</v>
      </c>
      <c r="I217" s="232" t="n"/>
      <c r="J217" s="232" t="n">
        <v>22500</v>
      </c>
      <c r="K217" s="233" t="n"/>
      <c r="L217" s="233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37" t="n"/>
      <c r="B218" s="238" t="inlineStr">
        <is>
          <t>EUROPA 8762</t>
        </is>
      </c>
      <c r="C218" s="239" t="n">
        <v>1</v>
      </c>
      <c r="D218" s="239" t="n"/>
      <c r="E218" s="239" t="n"/>
      <c r="F218" s="240" t="n"/>
      <c r="G218" s="240" t="n"/>
      <c r="H218" s="241" t="n">
        <v>24500</v>
      </c>
      <c r="I218" s="242" t="n">
        <v>24500</v>
      </c>
      <c r="J218" s="242" t="n"/>
      <c r="K218" s="233" t="n"/>
      <c r="L218" s="233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27" t="n"/>
      <c r="B219" s="228" t="inlineStr">
        <is>
          <t>ANDRE</t>
        </is>
      </c>
      <c r="C219" s="229" t="n"/>
      <c r="D219" s="229" t="n"/>
      <c r="E219" s="229" t="n"/>
      <c r="F219" s="230" t="n">
        <v>20</v>
      </c>
      <c r="G219" s="230" t="n"/>
      <c r="H219" s="231" t="n">
        <v>68000</v>
      </c>
      <c r="I219" s="232" t="n"/>
      <c r="J219" s="232" t="n">
        <v>68000</v>
      </c>
      <c r="K219" s="233" t="n"/>
      <c r="L219" s="233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37" t="n"/>
      <c r="B220" s="238" t="inlineStr">
        <is>
          <t>EXE</t>
        </is>
      </c>
      <c r="C220" s="239" t="n"/>
      <c r="D220" s="239" t="n"/>
      <c r="E220" s="239" t="n">
        <v>1</v>
      </c>
      <c r="F220" s="240" t="n"/>
      <c r="G220" s="240" t="n"/>
      <c r="H220" s="241" t="n">
        <v>77000</v>
      </c>
      <c r="I220" s="242" t="n"/>
      <c r="J220" s="242" t="n">
        <v>77000</v>
      </c>
      <c r="K220" s="233" t="n"/>
      <c r="L220" s="233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27" t="n"/>
      <c r="B221" s="228" t="inlineStr">
        <is>
          <t>BONEO 2625</t>
        </is>
      </c>
      <c r="C221" s="229" t="n"/>
      <c r="D221" s="229" t="n"/>
      <c r="E221" s="229" t="n">
        <v>1</v>
      </c>
      <c r="F221" s="230" t="n"/>
      <c r="G221" s="230" t="n"/>
      <c r="H221" s="231" t="n">
        <v>80000</v>
      </c>
      <c r="I221" s="232" t="n">
        <v>80000</v>
      </c>
      <c r="J221" s="232" t="n"/>
      <c r="K221" s="233" t="n"/>
      <c r="L221" s="233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37" t="n">
        <v>46098</v>
      </c>
      <c r="B222" s="238" t="inlineStr">
        <is>
          <t>INGENIERO 8364</t>
        </is>
      </c>
      <c r="C222" s="239" t="n"/>
      <c r="D222" s="239" t="n"/>
      <c r="E222" s="239" t="n">
        <v>1</v>
      </c>
      <c r="F222" s="240" t="n"/>
      <c r="G222" s="240" t="n"/>
      <c r="H222" s="241" t="n">
        <v>83000</v>
      </c>
      <c r="I222" s="242" t="n"/>
      <c r="J222" s="242" t="n">
        <v>83000</v>
      </c>
      <c r="K222" s="233" t="n"/>
      <c r="L222" s="233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27" t="n"/>
      <c r="B223" s="228" t="inlineStr">
        <is>
          <t>P CEBALLOS 8134</t>
        </is>
      </c>
      <c r="C223" s="229" t="n">
        <v>2</v>
      </c>
      <c r="D223" s="229" t="n"/>
      <c r="E223" s="229" t="n"/>
      <c r="F223" s="230" t="n"/>
      <c r="G223" s="230" t="n"/>
      <c r="H223" s="231" t="n">
        <v>34000</v>
      </c>
      <c r="I223" s="232" t="n">
        <v>34000</v>
      </c>
      <c r="J223" s="232" t="n"/>
      <c r="K223" s="233" t="n"/>
      <c r="L223" s="233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37" t="n"/>
      <c r="B224" s="238" t="inlineStr">
        <is>
          <t>RIO NEGRO 4464</t>
        </is>
      </c>
      <c r="C224" s="239" t="n">
        <v>2</v>
      </c>
      <c r="D224" s="239" t="n"/>
      <c r="E224" s="239" t="n"/>
      <c r="F224" s="240" t="n"/>
      <c r="G224" s="240" t="n"/>
      <c r="H224" s="241" t="n">
        <v>49000</v>
      </c>
      <c r="I224" s="242" t="n"/>
      <c r="J224" s="242" t="n">
        <v>49000</v>
      </c>
      <c r="K224" s="233" t="n"/>
      <c r="L224" s="233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27" t="n"/>
      <c r="B225" s="228" t="inlineStr">
        <is>
          <t>LUCHOI</t>
        </is>
      </c>
      <c r="C225" s="229" t="n">
        <v>1</v>
      </c>
      <c r="D225" s="229" t="n"/>
      <c r="E225" s="229" t="n"/>
      <c r="F225" s="230" t="n"/>
      <c r="G225" s="230" t="n">
        <v>2</v>
      </c>
      <c r="H225" s="231" t="n">
        <v>29000</v>
      </c>
      <c r="I225" s="232" t="n"/>
      <c r="J225" s="232" t="n">
        <v>29000</v>
      </c>
      <c r="K225" s="233" t="n"/>
      <c r="L225" s="233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37" t="n"/>
      <c r="B226" s="238" t="inlineStr">
        <is>
          <t>CAREN</t>
        </is>
      </c>
      <c r="C226" s="239" t="n"/>
      <c r="D226" s="239" t="n"/>
      <c r="E226" s="239" t="n">
        <v>1</v>
      </c>
      <c r="F226" s="240" t="n"/>
      <c r="G226" s="240" t="n"/>
      <c r="H226" s="241" t="n">
        <v>77000</v>
      </c>
      <c r="I226" s="242" t="n"/>
      <c r="J226" s="242" t="n">
        <v>77000</v>
      </c>
      <c r="K226" s="233" t="n"/>
      <c r="L226" s="233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27" t="n"/>
      <c r="B227" s="228" t="inlineStr">
        <is>
          <t>NECOCHEA 5587</t>
        </is>
      </c>
      <c r="C227" s="229" t="n">
        <v>2</v>
      </c>
      <c r="D227" s="229" t="n"/>
      <c r="E227" s="229" t="n"/>
      <c r="F227" s="230" t="n"/>
      <c r="G227" s="230" t="n"/>
      <c r="H227" s="231" t="n">
        <v>49000</v>
      </c>
      <c r="I227" s="232" t="n"/>
      <c r="J227" s="232" t="n">
        <v>49000</v>
      </c>
      <c r="K227" s="233" t="n"/>
      <c r="L227" s="233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37" t="n"/>
      <c r="B228" s="238" t="inlineStr">
        <is>
          <t>BELGRANO 7972</t>
        </is>
      </c>
      <c r="C228" s="239" t="n">
        <v>1</v>
      </c>
      <c r="D228" s="239" t="n"/>
      <c r="E228" s="239" t="n"/>
      <c r="F228" s="240" t="n"/>
      <c r="G228" s="240" t="n"/>
      <c r="H228" s="241" t="n">
        <v>24500</v>
      </c>
      <c r="I228" s="242" t="n"/>
      <c r="J228" s="242" t="n">
        <v>24500</v>
      </c>
      <c r="K228" s="233" t="n"/>
      <c r="L228" s="233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27" t="n"/>
      <c r="B229" s="228" t="inlineStr">
        <is>
          <t>SAN MARTIN 3518</t>
        </is>
      </c>
      <c r="C229" s="229" t="n">
        <v>1</v>
      </c>
      <c r="D229" s="229" t="n"/>
      <c r="E229" s="229" t="n"/>
      <c r="F229" s="230" t="n"/>
      <c r="G229" s="230" t="n"/>
      <c r="H229" s="231" t="n">
        <v>25500</v>
      </c>
      <c r="I229" s="232" t="n"/>
      <c r="J229" s="232" t="n">
        <v>25500</v>
      </c>
      <c r="K229" s="233" t="n"/>
      <c r="L229" s="233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37" t="n">
        <v>46099</v>
      </c>
      <c r="B230" s="238" t="inlineStr">
        <is>
          <t>JOSE MONTEVERA</t>
        </is>
      </c>
      <c r="C230" s="239" t="n"/>
      <c r="D230" s="239" t="n"/>
      <c r="E230" s="239" t="n">
        <v>1</v>
      </c>
      <c r="F230" s="240" t="n"/>
      <c r="G230" s="240" t="n"/>
      <c r="H230" s="241" t="n">
        <v>83000</v>
      </c>
      <c r="I230" s="242" t="n">
        <v>83000</v>
      </c>
      <c r="J230" s="242" t="n"/>
      <c r="K230" s="233" t="n"/>
      <c r="L230" s="233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27" t="n"/>
      <c r="B231" s="228" t="inlineStr">
        <is>
          <t>PANA GORRITI 4600</t>
        </is>
      </c>
      <c r="C231" s="229" t="n"/>
      <c r="D231" s="229" t="n"/>
      <c r="E231" s="229" t="n">
        <v>1</v>
      </c>
      <c r="F231" s="230" t="n"/>
      <c r="G231" s="230" t="n"/>
      <c r="H231" s="231" t="n">
        <v>79000</v>
      </c>
      <c r="I231" s="232" t="n"/>
      <c r="J231" s="232" t="n">
        <v>79000</v>
      </c>
      <c r="K231" s="233" t="n"/>
      <c r="L231" s="233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37" t="n"/>
      <c r="B232" s="238" t="inlineStr">
        <is>
          <t>CHICLANA 7325</t>
        </is>
      </c>
      <c r="C232" s="239" t="n">
        <v>1</v>
      </c>
      <c r="D232" s="239" t="n"/>
      <c r="E232" s="239" t="n"/>
      <c r="F232" s="240" t="n"/>
      <c r="G232" s="240" t="n"/>
      <c r="H232" s="241" t="n">
        <v>17000</v>
      </c>
      <c r="I232" s="242" t="n"/>
      <c r="J232" s="242" t="n">
        <v>17000</v>
      </c>
      <c r="K232" s="233" t="n"/>
      <c r="L232" s="233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27" t="n"/>
      <c r="B233" s="228" t="inlineStr">
        <is>
          <t>FILOMENA</t>
        </is>
      </c>
      <c r="C233" s="229" t="n">
        <v>2</v>
      </c>
      <c r="D233" s="229" t="n"/>
      <c r="E233" s="229" t="n"/>
      <c r="F233" s="230" t="n"/>
      <c r="G233" s="230" t="n"/>
      <c r="H233" s="231" t="n">
        <v>41000</v>
      </c>
      <c r="I233" s="232" t="n"/>
      <c r="J233" s="232" t="n">
        <v>41000</v>
      </c>
      <c r="K233" s="233" t="n"/>
      <c r="L233" s="233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37" t="n"/>
      <c r="B234" s="238" t="inlineStr">
        <is>
          <t>PANA VIEYTES 4500</t>
        </is>
      </c>
      <c r="C234" s="239" t="n"/>
      <c r="D234" s="239" t="n"/>
      <c r="E234" s="239" t="n">
        <v>1</v>
      </c>
      <c r="F234" s="240" t="n"/>
      <c r="G234" s="240" t="n"/>
      <c r="H234" s="241" t="n">
        <v>73000</v>
      </c>
      <c r="I234" s="242" t="n">
        <v>73000</v>
      </c>
      <c r="J234" s="242" t="n"/>
      <c r="K234" s="233" t="n"/>
      <c r="L234" s="233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27" t="n"/>
      <c r="B235" s="228" t="inlineStr">
        <is>
          <t>B IRIGOYRN 6848</t>
        </is>
      </c>
      <c r="C235" s="229" t="n">
        <v>1</v>
      </c>
      <c r="D235" s="229" t="n"/>
      <c r="E235" s="229" t="n"/>
      <c r="F235" s="230" t="n"/>
      <c r="G235" s="230" t="n"/>
      <c r="H235" s="231" t="n">
        <v>24000</v>
      </c>
      <c r="I235" s="232" t="n">
        <v>24000</v>
      </c>
      <c r="J235" s="232" t="n"/>
      <c r="K235" s="233" t="n"/>
      <c r="L235" s="233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37" t="n"/>
      <c r="B236" s="238" t="inlineStr">
        <is>
          <t>AYACUCHO 5370</t>
        </is>
      </c>
      <c r="C236" s="239" t="n"/>
      <c r="D236" s="239" t="n"/>
      <c r="E236" s="239" t="n"/>
      <c r="F236" s="240" t="n"/>
      <c r="G236" s="240" t="n">
        <v>2</v>
      </c>
      <c r="H236" s="241" t="n">
        <v>11000</v>
      </c>
      <c r="I236" s="242" t="n"/>
      <c r="J236" s="242" t="n">
        <v>11000</v>
      </c>
      <c r="K236" s="233" t="n"/>
      <c r="L236" s="233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27" t="n"/>
      <c r="B237" s="228" t="inlineStr">
        <is>
          <t xml:space="preserve">LAS FLORES 1 Y MILLAN MEDINA </t>
        </is>
      </c>
      <c r="C237" s="229" t="n">
        <v>1</v>
      </c>
      <c r="D237" s="229" t="n"/>
      <c r="E237" s="229" t="n"/>
      <c r="F237" s="230" t="n"/>
      <c r="G237" s="230" t="n"/>
      <c r="H237" s="231" t="n">
        <v>24500</v>
      </c>
      <c r="I237" s="232" t="n"/>
      <c r="J237" s="232" t="n">
        <v>24500</v>
      </c>
      <c r="K237" s="233" t="n"/>
      <c r="L237" s="233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37" t="n"/>
      <c r="B238" s="238" t="inlineStr">
        <is>
          <t xml:space="preserve">NINGO HIJA </t>
        </is>
      </c>
      <c r="C238" s="239" t="n"/>
      <c r="D238" s="239" t="n">
        <v>1</v>
      </c>
      <c r="E238" s="239" t="n"/>
      <c r="F238" s="240" t="n"/>
      <c r="G238" s="240" t="n"/>
      <c r="H238" s="241" t="n">
        <v>34000</v>
      </c>
      <c r="I238" s="242" t="n"/>
      <c r="J238" s="242" t="n">
        <v>34000</v>
      </c>
      <c r="K238" s="233" t="n"/>
      <c r="L238" s="233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27" t="n"/>
      <c r="B239" s="228" t="inlineStr">
        <is>
          <t>BERUTI 5199</t>
        </is>
      </c>
      <c r="C239" s="229" t="n"/>
      <c r="D239" s="229" t="n"/>
      <c r="E239" s="229" t="n">
        <v>1</v>
      </c>
      <c r="F239" s="230" t="n"/>
      <c r="G239" s="230" t="n"/>
      <c r="H239" s="231" t="n">
        <v>80000</v>
      </c>
      <c r="I239" s="232" t="n">
        <v>80000</v>
      </c>
      <c r="J239" s="232" t="n"/>
      <c r="K239" s="233" t="n"/>
      <c r="L239" s="233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37" t="n"/>
      <c r="B240" s="238" t="inlineStr">
        <is>
          <t xml:space="preserve">LAVADERO </t>
        </is>
      </c>
      <c r="C240" s="239" t="n">
        <v>1</v>
      </c>
      <c r="D240" s="239" t="n"/>
      <c r="E240" s="239" t="n"/>
      <c r="F240" s="240" t="n"/>
      <c r="G240" s="240" t="n"/>
      <c r="H240" s="241" t="n">
        <v>17000</v>
      </c>
      <c r="I240" s="242" t="n"/>
      <c r="J240" s="242" t="n">
        <v>17000</v>
      </c>
      <c r="K240" s="233" t="n"/>
      <c r="L240" s="233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27" t="n"/>
      <c r="B241" s="228" t="inlineStr">
        <is>
          <t>TERCER PJE 4771</t>
        </is>
      </c>
      <c r="C241" s="229" t="n"/>
      <c r="D241" s="229" t="n"/>
      <c r="E241" s="229" t="n">
        <v>1</v>
      </c>
      <c r="F241" s="230" t="n"/>
      <c r="G241" s="230" t="n"/>
      <c r="H241" s="231" t="n">
        <v>78000</v>
      </c>
      <c r="I241" s="232" t="n"/>
      <c r="J241" s="232" t="n">
        <v>78000</v>
      </c>
      <c r="K241" s="233" t="n"/>
      <c r="L241" s="233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37" t="n"/>
      <c r="B242" s="238" t="inlineStr">
        <is>
          <t>NACHO</t>
        </is>
      </c>
      <c r="C242" s="239" t="n">
        <v>2</v>
      </c>
      <c r="D242" s="239" t="n"/>
      <c r="E242" s="239" t="n"/>
      <c r="F242" s="240" t="n"/>
      <c r="G242" s="240" t="n"/>
      <c r="H242" s="241" t="n">
        <v>41000</v>
      </c>
      <c r="I242" s="242" t="n">
        <v>41000</v>
      </c>
      <c r="J242" s="242" t="n"/>
      <c r="K242" s="233" t="n"/>
      <c r="L242" s="233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27" t="n">
        <v>46100</v>
      </c>
      <c r="B243" s="228" t="inlineStr">
        <is>
          <t>LUCHO</t>
        </is>
      </c>
      <c r="C243" s="229" t="n"/>
      <c r="D243" s="229" t="n">
        <v>1</v>
      </c>
      <c r="E243" s="229" t="n"/>
      <c r="F243" s="230" t="n"/>
      <c r="G243" s="230" t="n"/>
      <c r="H243" s="231" t="n">
        <v>25500</v>
      </c>
      <c r="I243" s="232" t="n"/>
      <c r="J243" s="232" t="n">
        <v>25500</v>
      </c>
      <c r="K243" s="233" t="n"/>
      <c r="L243" s="233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37" t="n"/>
      <c r="B244" s="238" t="inlineStr">
        <is>
          <t>LAVADERO</t>
        </is>
      </c>
      <c r="C244" s="239" t="n">
        <v>1</v>
      </c>
      <c r="D244" s="239" t="n"/>
      <c r="E244" s="239" t="n"/>
      <c r="F244" s="240" t="n"/>
      <c r="G244" s="240" t="n"/>
      <c r="H244" s="241" t="n">
        <v>17000</v>
      </c>
      <c r="I244" s="242" t="n"/>
      <c r="J244" s="242" t="n">
        <v>17000</v>
      </c>
      <c r="K244" s="233" t="n"/>
      <c r="L244" s="233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27" t="n"/>
      <c r="B245" s="228" t="inlineStr">
        <is>
          <t>SANDRA</t>
        </is>
      </c>
      <c r="C245" s="229" t="n">
        <v>1</v>
      </c>
      <c r="D245" s="229" t="n">
        <v>1</v>
      </c>
      <c r="E245" s="229" t="n"/>
      <c r="F245" s="230" t="n"/>
      <c r="G245" s="230" t="n"/>
      <c r="H245" s="231" t="n">
        <v>42500</v>
      </c>
      <c r="I245" s="232" t="n">
        <v>42500</v>
      </c>
      <c r="J245" s="232" t="n"/>
      <c r="K245" s="233" t="n"/>
      <c r="L245" s="233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37" t="n"/>
      <c r="B246" s="238" t="inlineStr">
        <is>
          <t>PANA ALBERTI</t>
        </is>
      </c>
      <c r="C246" s="239" t="n"/>
      <c r="D246" s="239" t="n"/>
      <c r="E246" s="239" t="n">
        <v>1</v>
      </c>
      <c r="F246" s="240" t="n"/>
      <c r="G246" s="240" t="n"/>
      <c r="H246" s="241" t="n">
        <v>77000</v>
      </c>
      <c r="I246" s="242" t="n">
        <v>77000</v>
      </c>
      <c r="J246" s="242" t="n"/>
      <c r="K246" s="233" t="n"/>
      <c r="L246" s="233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27" t="n"/>
      <c r="B247" s="228" t="inlineStr">
        <is>
          <t>VIANDAS JORGE 1</t>
        </is>
      </c>
      <c r="C247" s="229" t="n">
        <v>1</v>
      </c>
      <c r="D247" s="229" t="n"/>
      <c r="E247" s="229" t="n"/>
      <c r="F247" s="230" t="n"/>
      <c r="G247" s="230" t="n"/>
      <c r="H247" s="231" t="n">
        <v>20000</v>
      </c>
      <c r="I247" s="232" t="n">
        <v>20000</v>
      </c>
      <c r="J247" s="232" t="n"/>
      <c r="K247" s="233" t="n"/>
      <c r="L247" s="233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37" t="n"/>
      <c r="B248" s="238" t="inlineStr">
        <is>
          <t>NEUQUEN 7046</t>
        </is>
      </c>
      <c r="C248" s="239" t="n">
        <v>1</v>
      </c>
      <c r="D248" s="239" t="n"/>
      <c r="E248" s="239" t="n"/>
      <c r="F248" s="240" t="n"/>
      <c r="G248" s="240" t="n"/>
      <c r="H248" s="241" t="n">
        <v>24500</v>
      </c>
      <c r="I248" s="242" t="n">
        <v>24500</v>
      </c>
      <c r="J248" s="242" t="n"/>
      <c r="K248" s="233" t="n"/>
      <c r="L248" s="233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27" t="n"/>
      <c r="B249" s="228" t="inlineStr">
        <is>
          <t>GORRITI 4661</t>
        </is>
      </c>
      <c r="C249" s="229" t="n">
        <v>1</v>
      </c>
      <c r="D249" s="229" t="n"/>
      <c r="E249" s="229" t="n"/>
      <c r="F249" s="230" t="n"/>
      <c r="G249" s="230" t="n"/>
      <c r="H249" s="231" t="n">
        <v>24500</v>
      </c>
      <c r="I249" s="232" t="n"/>
      <c r="J249" s="232" t="n">
        <v>24500</v>
      </c>
      <c r="K249" s="233" t="n"/>
      <c r="L249" s="233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37" t="n"/>
      <c r="B250" s="238" t="inlineStr">
        <is>
          <t>LOPEZ Y PLANES 4630</t>
        </is>
      </c>
      <c r="C250" s="239" t="n"/>
      <c r="D250" s="239" t="n"/>
      <c r="E250" s="239" t="n">
        <v>1</v>
      </c>
      <c r="F250" s="240" t="n"/>
      <c r="G250" s="240" t="n"/>
      <c r="H250" s="241" t="n">
        <v>80000</v>
      </c>
      <c r="I250" s="242" t="n">
        <v>80000</v>
      </c>
      <c r="J250" s="242" t="n"/>
      <c r="K250" s="233" t="n"/>
      <c r="L250" s="233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27" t="n"/>
      <c r="B251" s="228" t="inlineStr">
        <is>
          <t>FLORES 1 MON 5 ADENTRO</t>
        </is>
      </c>
      <c r="C251" s="229" t="n">
        <v>1</v>
      </c>
      <c r="D251" s="229" t="n"/>
      <c r="E251" s="229" t="n"/>
      <c r="F251" s="230" t="n"/>
      <c r="G251" s="230" t="n"/>
      <c r="H251" s="231" t="n">
        <v>24500</v>
      </c>
      <c r="I251" s="232" t="n">
        <v>24500</v>
      </c>
      <c r="J251" s="232" t="n"/>
      <c r="K251" s="233" t="n"/>
      <c r="L251" s="233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37" t="n"/>
      <c r="B252" s="238" t="inlineStr">
        <is>
          <t>ROTI VIYTES</t>
        </is>
      </c>
      <c r="C252" s="239" t="n"/>
      <c r="D252" s="239" t="n">
        <v>2</v>
      </c>
      <c r="E252" s="239" t="n"/>
      <c r="F252" s="240" t="n"/>
      <c r="G252" s="240" t="n"/>
      <c r="H252" s="241" t="n">
        <v>50000</v>
      </c>
      <c r="I252" s="242" t="n"/>
      <c r="J252" s="242" t="n">
        <v>50000</v>
      </c>
      <c r="K252" s="233" t="n"/>
      <c r="L252" s="233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27" t="n"/>
      <c r="B253" s="228" t="inlineStr">
        <is>
          <t>CHICLANA 7849</t>
        </is>
      </c>
      <c r="C253" s="229" t="n"/>
      <c r="D253" s="229" t="n">
        <v>1</v>
      </c>
      <c r="E253" s="229" t="n"/>
      <c r="F253" s="230" t="n"/>
      <c r="G253" s="230" t="n"/>
      <c r="H253" s="231" t="n">
        <v>36500</v>
      </c>
      <c r="I253" s="232" t="n">
        <v>36500</v>
      </c>
      <c r="J253" s="232" t="n"/>
      <c r="K253" s="233" t="n"/>
      <c r="L253" s="233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37" t="n">
        <v>46101</v>
      </c>
      <c r="B254" s="238" t="inlineStr">
        <is>
          <t>M ZAPATA 2101</t>
        </is>
      </c>
      <c r="C254" s="239" t="n">
        <v>3</v>
      </c>
      <c r="D254" s="239" t="n"/>
      <c r="E254" s="239" t="n"/>
      <c r="F254" s="240" t="n"/>
      <c r="G254" s="240" t="n"/>
      <c r="H254" s="241" t="n">
        <v>52500</v>
      </c>
      <c r="I254" s="242" t="n">
        <v>40000</v>
      </c>
      <c r="J254" s="242" t="n">
        <v>12500</v>
      </c>
      <c r="K254" s="233" t="n"/>
      <c r="L254" s="233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27" t="n"/>
      <c r="B255" s="228" t="inlineStr">
        <is>
          <t>BONEO 4821</t>
        </is>
      </c>
      <c r="C255" s="229" t="n"/>
      <c r="D255" s="229" t="n"/>
      <c r="E255" s="229" t="n"/>
      <c r="F255" s="230" t="n"/>
      <c r="G255" s="230" t="n">
        <v>2</v>
      </c>
      <c r="H255" s="231" t="n">
        <v>12000</v>
      </c>
      <c r="I255" s="232" t="n">
        <v>12000</v>
      </c>
      <c r="J255" s="232" t="n"/>
      <c r="K255" s="233" t="n"/>
      <c r="L255" s="233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37" t="n"/>
      <c r="B256" s="238" t="inlineStr">
        <is>
          <t>LAVAISE 3786</t>
        </is>
      </c>
      <c r="C256" s="239" t="n">
        <v>1</v>
      </c>
      <c r="D256" s="239" t="n">
        <v>1</v>
      </c>
      <c r="E256" s="239" t="n"/>
      <c r="F256" s="240" t="n"/>
      <c r="G256" s="240" t="n"/>
      <c r="H256" s="241" t="n">
        <v>58000</v>
      </c>
      <c r="I256" s="242" t="n"/>
      <c r="J256" s="242" t="n">
        <v>58000</v>
      </c>
      <c r="K256" s="233" t="n"/>
      <c r="L256" s="233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27" t="n"/>
      <c r="B257" s="228" t="inlineStr">
        <is>
          <t>FILOMENA</t>
        </is>
      </c>
      <c r="C257" s="229" t="n">
        <v>2</v>
      </c>
      <c r="D257" s="229" t="n"/>
      <c r="E257" s="229" t="n"/>
      <c r="F257" s="230" t="n"/>
      <c r="G257" s="230" t="n"/>
      <c r="H257" s="231" t="n">
        <v>41000</v>
      </c>
      <c r="I257" s="232" t="n"/>
      <c r="J257" s="232" t="n">
        <v>41000</v>
      </c>
      <c r="K257" s="233" t="n"/>
      <c r="L257" s="233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37" t="n"/>
      <c r="B258" s="238" t="inlineStr">
        <is>
          <t>NOGALES 2651</t>
        </is>
      </c>
      <c r="C258" s="239" t="n"/>
      <c r="D258" s="239" t="n"/>
      <c r="E258" s="239" t="n">
        <v>1</v>
      </c>
      <c r="F258" s="240" t="n"/>
      <c r="G258" s="240" t="n"/>
      <c r="H258" s="241" t="n">
        <v>80000</v>
      </c>
      <c r="I258" s="242" t="n">
        <v>80000</v>
      </c>
      <c r="J258" s="242" t="n"/>
      <c r="K258" s="233" t="n"/>
      <c r="L258" s="233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27" t="n">
        <v>46102</v>
      </c>
      <c r="B259" s="228" t="inlineStr">
        <is>
          <t>TATU</t>
        </is>
      </c>
      <c r="C259" s="229" t="n"/>
      <c r="D259" s="229" t="n"/>
      <c r="E259" s="229" t="n">
        <v>1</v>
      </c>
      <c r="F259" s="230" t="n"/>
      <c r="G259" s="230" t="n"/>
      <c r="H259" s="231" t="n">
        <v>83000</v>
      </c>
      <c r="I259" s="232" t="n"/>
      <c r="J259" s="232" t="n">
        <v>83000</v>
      </c>
      <c r="K259" s="233" t="n"/>
      <c r="L259" s="233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37" t="n"/>
      <c r="B260" s="238" t="inlineStr">
        <is>
          <t>OTNIEL</t>
        </is>
      </c>
      <c r="C260" s="239" t="n"/>
      <c r="D260" s="239" t="n"/>
      <c r="E260" s="239" t="n"/>
      <c r="F260" s="240" t="n"/>
      <c r="G260" s="240" t="n">
        <v>2</v>
      </c>
      <c r="H260" s="241" t="n">
        <v>11000</v>
      </c>
      <c r="I260" s="242" t="n"/>
      <c r="J260" s="242" t="n">
        <v>11000</v>
      </c>
      <c r="K260" s="233" t="n"/>
      <c r="L260" s="233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27" t="n"/>
      <c r="B261" s="228" t="inlineStr">
        <is>
          <t>BRASERIA</t>
        </is>
      </c>
      <c r="C261" s="229" t="n"/>
      <c r="D261" s="229" t="n"/>
      <c r="E261" s="229" t="n">
        <v>1</v>
      </c>
      <c r="F261" s="230" t="n"/>
      <c r="G261" s="230" t="n"/>
      <c r="H261" s="231" t="n">
        <v>78000</v>
      </c>
      <c r="I261" s="232" t="n"/>
      <c r="J261" s="232" t="n">
        <v>78000</v>
      </c>
      <c r="K261" s="233" t="n"/>
      <c r="L261" s="233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37" t="n"/>
      <c r="B262" s="238" t="inlineStr">
        <is>
          <t>DOMINGO SILVA 4217</t>
        </is>
      </c>
      <c r="C262" s="239" t="n">
        <v>3</v>
      </c>
      <c r="D262" s="239" t="n"/>
      <c r="E262" s="239" t="n"/>
      <c r="F262" s="240" t="n"/>
      <c r="G262" s="240" t="n"/>
      <c r="H262" s="241" t="n">
        <v>51000</v>
      </c>
      <c r="I262" s="242" t="n"/>
      <c r="J262" s="242" t="n">
        <v>51000</v>
      </c>
      <c r="K262" s="233" t="n"/>
      <c r="L262" s="233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27" t="n"/>
      <c r="B263" s="228" t="inlineStr">
        <is>
          <t>VELEZ SARFIELD 5632</t>
        </is>
      </c>
      <c r="C263" s="229" t="n"/>
      <c r="D263" s="229" t="n">
        <v>1</v>
      </c>
      <c r="E263" s="229" t="n"/>
      <c r="F263" s="230" t="n"/>
      <c r="G263" s="230" t="n"/>
      <c r="H263" s="231" t="n">
        <v>35000</v>
      </c>
      <c r="I263" s="232" t="n">
        <v>35000</v>
      </c>
      <c r="J263" s="232" t="n"/>
      <c r="K263" s="233" t="n"/>
      <c r="L263" s="233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37" t="n"/>
      <c r="B264" s="238" t="inlineStr">
        <is>
          <t>BONEO 5315</t>
        </is>
      </c>
      <c r="C264" s="239" t="n">
        <v>1</v>
      </c>
      <c r="D264" s="239" t="n"/>
      <c r="E264" s="239" t="n"/>
      <c r="F264" s="240" t="n"/>
      <c r="G264" s="240" t="n"/>
      <c r="H264" s="241" t="n">
        <v>23500</v>
      </c>
      <c r="I264" s="242" t="n">
        <v>23500</v>
      </c>
      <c r="J264" s="242" t="n"/>
      <c r="K264" s="233" t="n"/>
      <c r="L264" s="233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27" t="n"/>
      <c r="B265" s="228" t="inlineStr">
        <is>
          <t>AYACUCHO 3817</t>
        </is>
      </c>
      <c r="C265" s="229" t="n">
        <v>2</v>
      </c>
      <c r="D265" s="229" t="n"/>
      <c r="E265" s="229" t="n"/>
      <c r="F265" s="230" t="n"/>
      <c r="G265" s="230" t="n"/>
      <c r="H265" s="231" t="n">
        <v>42000</v>
      </c>
      <c r="I265" s="232" t="n">
        <v>42000</v>
      </c>
      <c r="J265" s="232" t="n"/>
      <c r="K265" s="233" t="n"/>
      <c r="L265" s="233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37" t="n"/>
      <c r="B266" s="238" t="inlineStr">
        <is>
          <t>ARISTOBULO 8998</t>
        </is>
      </c>
      <c r="C266" s="239" t="n"/>
      <c r="D266" s="239" t="n"/>
      <c r="E266" s="239" t="n">
        <v>1</v>
      </c>
      <c r="F266" s="240" t="n"/>
      <c r="G266" s="240" t="n"/>
      <c r="H266" s="241" t="n">
        <v>79000</v>
      </c>
      <c r="I266" s="242" t="n"/>
      <c r="J266" s="242" t="n">
        <v>79000</v>
      </c>
      <c r="K266" s="233" t="n"/>
      <c r="L266" s="233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27" t="n"/>
      <c r="B267" s="228" t="inlineStr">
        <is>
          <t>NACHO</t>
        </is>
      </c>
      <c r="C267" s="229" t="n">
        <v>1</v>
      </c>
      <c r="D267" s="229" t="n"/>
      <c r="E267" s="229" t="n"/>
      <c r="F267" s="230" t="n"/>
      <c r="G267" s="230" t="n"/>
      <c r="H267" s="231" t="n">
        <v>20500</v>
      </c>
      <c r="I267" s="232" t="n"/>
      <c r="J267" s="232" t="n">
        <v>20500</v>
      </c>
      <c r="K267" s="233" t="n"/>
      <c r="L267" s="233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37" t="n"/>
      <c r="B268" s="238" t="inlineStr">
        <is>
          <t>SABOREAR</t>
        </is>
      </c>
      <c r="C268" s="239" t="n">
        <v>1</v>
      </c>
      <c r="D268" s="239" t="n"/>
      <c r="E268" s="239" t="n"/>
      <c r="F268" s="240" t="n"/>
      <c r="G268" s="240" t="n"/>
      <c r="H268" s="241" t="n">
        <v>21000</v>
      </c>
      <c r="I268" s="242" t="n"/>
      <c r="J268" s="242" t="n">
        <v>21000</v>
      </c>
      <c r="K268" s="233" t="n"/>
      <c r="L268" s="233">
        <f>IF(K268&lt;&gt;"",7500+K268,7500)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CAREN</t>
        </is>
      </c>
      <c r="C269" s="229" t="n"/>
      <c r="D269" s="229" t="n"/>
      <c r="E269" s="229" t="n">
        <v>1</v>
      </c>
      <c r="F269" s="230" t="n"/>
      <c r="G269" s="230" t="n"/>
      <c r="H269" s="231" t="n">
        <v>77000</v>
      </c>
      <c r="I269" s="232" t="n"/>
      <c r="J269" s="232" t="n">
        <v>77000</v>
      </c>
      <c r="K269" s="233" t="n"/>
      <c r="L269" s="233">
        <f>IF(K269&lt;&gt;"",28000+K269,28000)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 xml:space="preserve">ARGENTA </t>
        </is>
      </c>
      <c r="C270" s="239" t="n">
        <v>1</v>
      </c>
      <c r="D270" s="239" t="n"/>
      <c r="E270" s="239" t="n"/>
      <c r="F270" s="240" t="n"/>
      <c r="G270" s="240" t="n"/>
      <c r="H270" s="241" t="n">
        <v>24500</v>
      </c>
      <c r="I270" s="242" t="n"/>
      <c r="J270" s="242" t="n">
        <v>24500</v>
      </c>
      <c r="K270" s="233" t="n"/>
      <c r="L270" s="233">
        <f>IF(K270&lt;&gt;"",11000+K270,11000)</f>
        <v/>
      </c>
      <c r="M270" s="156" t="n"/>
      <c r="N270" s="156" t="n"/>
      <c r="O270" s="156" t="n"/>
    </row>
    <row r="271" ht="18.75" customHeight="1" s="153">
      <c r="A271" s="227" t="n">
        <v>46103</v>
      </c>
      <c r="B271" s="228" t="inlineStr">
        <is>
          <t>MOLINA FLORES 1</t>
        </is>
      </c>
      <c r="C271" s="229" t="n"/>
      <c r="D271" s="229" t="n"/>
      <c r="E271" s="229" t="n">
        <v>1</v>
      </c>
      <c r="F271" s="230" t="n"/>
      <c r="G271" s="230" t="n"/>
      <c r="H271" s="231" t="n">
        <v>80000</v>
      </c>
      <c r="I271" s="232" t="n">
        <v>80000</v>
      </c>
      <c r="J271" s="232" t="n"/>
      <c r="K271" s="233" t="n"/>
      <c r="L271" s="233">
        <f>IF(K271&lt;&gt;"",31000+K271,31000)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>PARRI GABOTO</t>
        </is>
      </c>
      <c r="C272" s="239" t="n">
        <v>2</v>
      </c>
      <c r="D272" s="239" t="n"/>
      <c r="E272" s="239" t="n"/>
      <c r="F272" s="240" t="n"/>
      <c r="G272" s="240" t="n"/>
      <c r="H272" s="241" t="n">
        <v>42000</v>
      </c>
      <c r="I272" s="242" t="n"/>
      <c r="J272" s="242" t="n">
        <v>42000</v>
      </c>
      <c r="K272" s="233" t="n"/>
      <c r="L272" s="233">
        <f>IF(K272&lt;&gt;"",15000+K272,15000)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REIANARES 8257</t>
        </is>
      </c>
      <c r="C273" s="229" t="n"/>
      <c r="D273" s="229" t="n"/>
      <c r="E273" s="229" t="n">
        <v>1</v>
      </c>
      <c r="F273" s="230" t="n"/>
      <c r="G273" s="230" t="n"/>
      <c r="H273" s="231" t="n">
        <v>79000</v>
      </c>
      <c r="I273" s="232" t="n"/>
      <c r="J273" s="232" t="n">
        <v>79000</v>
      </c>
      <c r="K273" s="233" t="n"/>
      <c r="L273" s="233">
        <f>IF(K273&lt;&gt;"",30000+K273,30000)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DUSO 7678</t>
        </is>
      </c>
      <c r="C274" s="239" t="n">
        <v>9</v>
      </c>
      <c r="D274" s="239" t="n">
        <v>1</v>
      </c>
      <c r="E274" s="239" t="n"/>
      <c r="F274" s="240" t="n"/>
      <c r="G274" s="240" t="n"/>
      <c r="H274" s="241" t="n">
        <v>178500</v>
      </c>
      <c r="I274" s="242" t="n">
        <v>100000</v>
      </c>
      <c r="J274" s="242" t="n">
        <v>78500</v>
      </c>
      <c r="K274" s="233" t="n"/>
      <c r="L274" s="233">
        <f>IF(K274&lt;&gt;"",36750+K274,36750)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9 DE JULIO 6543</t>
        </is>
      </c>
      <c r="C275" s="229" t="n">
        <v>1</v>
      </c>
      <c r="D275" s="229" t="n"/>
      <c r="E275" s="229" t="n"/>
      <c r="F275" s="230" t="n"/>
      <c r="G275" s="230" t="n"/>
      <c r="H275" s="231" t="n">
        <v>25500</v>
      </c>
      <c r="I275" s="232" t="n">
        <v>25500</v>
      </c>
      <c r="J275" s="232" t="n"/>
      <c r="K275" s="233" t="n"/>
      <c r="L275" s="233">
        <f>IF(K275&lt;&gt;"",12000+K275,12000)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BERUTI 3850 PANA</t>
        </is>
      </c>
      <c r="C276" s="239" t="n"/>
      <c r="D276" s="239" t="n"/>
      <c r="E276" s="239" t="n">
        <v>1</v>
      </c>
      <c r="F276" s="240" t="n"/>
      <c r="G276" s="240" t="n"/>
      <c r="H276" s="241" t="n">
        <v>74000</v>
      </c>
      <c r="I276" s="242" t="n">
        <v>74000</v>
      </c>
      <c r="J276" s="242" t="n"/>
      <c r="K276" s="233" t="n"/>
      <c r="L276" s="233">
        <f>IF(K276&lt;&gt;"",25000+K276,25000)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FLORENCIO SANCHEZ 4699</t>
        </is>
      </c>
      <c r="C277" s="229" t="n">
        <v>1</v>
      </c>
      <c r="D277" s="229" t="n"/>
      <c r="E277" s="229" t="n"/>
      <c r="F277" s="230" t="n"/>
      <c r="G277" s="230" t="n"/>
      <c r="H277" s="231" t="n">
        <v>23500</v>
      </c>
      <c r="I277" s="232" t="n">
        <v>23500</v>
      </c>
      <c r="J277" s="232" t="n"/>
      <c r="K277" s="233" t="n"/>
      <c r="L277" s="233">
        <f>IF(K277&lt;&gt;"",10000+K277,10000)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BELGRANO 3295</t>
        </is>
      </c>
      <c r="C278" s="239" t="n">
        <v>1</v>
      </c>
      <c r="D278" s="239" t="n"/>
      <c r="E278" s="239" t="n"/>
      <c r="F278" s="240" t="n"/>
      <c r="G278" s="240" t="n"/>
      <c r="H278" s="241" t="n">
        <v>24500</v>
      </c>
      <c r="I278" s="242" t="n">
        <v>24500</v>
      </c>
      <c r="J278" s="242" t="n"/>
      <c r="K278" s="233" t="n"/>
      <c r="L278" s="233">
        <f>IF(K278&lt;&gt;"",11000+K278,11000)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TERRAZAS DANTE</t>
        </is>
      </c>
      <c r="C279" s="229" t="n">
        <v>2</v>
      </c>
      <c r="D279" s="229" t="n"/>
      <c r="E279" s="229" t="n"/>
      <c r="F279" s="230" t="n"/>
      <c r="G279" s="230" t="n"/>
      <c r="H279" s="231" t="n">
        <v>51000</v>
      </c>
      <c r="I279" s="232" t="n">
        <v>51000</v>
      </c>
      <c r="J279" s="232" t="n"/>
      <c r="K279" s="233" t="n"/>
      <c r="L279" s="233">
        <f>IF(K279&lt;&gt;"",24000+K279,24000)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SABOREAR</t>
        </is>
      </c>
      <c r="C280" s="239" t="n">
        <v>1</v>
      </c>
      <c r="D280" s="239" t="n"/>
      <c r="E280" s="239" t="n"/>
      <c r="F280" s="240" t="n"/>
      <c r="G280" s="240" t="n"/>
      <c r="H280" s="241" t="n">
        <v>21000</v>
      </c>
      <c r="I280" s="242" t="n"/>
      <c r="J280" s="242" t="n">
        <v>21000</v>
      </c>
      <c r="K280" s="233" t="n"/>
      <c r="L280" s="233">
        <f>IF(K280&lt;&gt;"",7500+K280,7500)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NACHO</t>
        </is>
      </c>
      <c r="C281" s="229" t="n"/>
      <c r="D281" s="229" t="n">
        <v>1</v>
      </c>
      <c r="E281" s="229" t="n"/>
      <c r="F281" s="230" t="n"/>
      <c r="G281" s="230" t="n"/>
      <c r="H281" s="231" t="n">
        <v>31000</v>
      </c>
      <c r="I281" s="232" t="n"/>
      <c r="J281" s="232" t="n">
        <v>31000</v>
      </c>
      <c r="K281" s="233" t="n"/>
      <c r="L281" s="233">
        <f>IF(K281&lt;&gt;"",10750+K281,10750)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DOMINGO SILVA 4217</t>
        </is>
      </c>
      <c r="C282" s="239" t="n">
        <v>3</v>
      </c>
      <c r="D282" s="239" t="n"/>
      <c r="E282" s="239" t="n"/>
      <c r="F282" s="240" t="n"/>
      <c r="G282" s="240" t="n"/>
      <c r="H282" s="241" t="n">
        <v>51000</v>
      </c>
      <c r="I282" s="242" t="n"/>
      <c r="J282" s="242" t="n">
        <v>51000</v>
      </c>
      <c r="K282" s="233" t="n"/>
      <c r="L282" s="233">
        <f>IF(K282&lt;&gt;"",10500+K282,10500)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FILOMENA</t>
        </is>
      </c>
      <c r="C283" s="229" t="n">
        <v>1</v>
      </c>
      <c r="D283" s="229" t="n"/>
      <c r="E283" s="229" t="n"/>
      <c r="F283" s="230" t="n"/>
      <c r="G283" s="230" t="n"/>
      <c r="H283" s="231" t="n">
        <v>20500</v>
      </c>
      <c r="I283" s="232" t="n"/>
      <c r="J283" s="232" t="n">
        <v>20500</v>
      </c>
      <c r="K283" s="233" t="n"/>
      <c r="L283" s="233">
        <f>IF(K283&lt;&gt;"",7000+K283,7000)</f>
        <v/>
      </c>
      <c r="M283" s="156" t="n"/>
      <c r="N283" s="156" t="n"/>
      <c r="O283" s="156" t="n"/>
    </row>
    <row r="284" ht="18.75" customHeight="1" s="153">
      <c r="A284" s="237" t="n"/>
      <c r="B284" s="238" t="inlineStr">
        <is>
          <t>OTNIEL</t>
        </is>
      </c>
      <c r="C284" s="239" t="n"/>
      <c r="D284" s="239" t="n"/>
      <c r="E284" s="239" t="n"/>
      <c r="F284" s="240" t="n"/>
      <c r="G284" s="240" t="n">
        <v>2</v>
      </c>
      <c r="H284" s="241" t="n">
        <v>11000</v>
      </c>
      <c r="I284" s="242" t="n"/>
      <c r="J284" s="242" t="n">
        <v>11000</v>
      </c>
      <c r="K284" s="233" t="n"/>
      <c r="L284" s="233">
        <f>IF(K284&lt;&gt;"",9300+K284,9300)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SANDRA</t>
        </is>
      </c>
      <c r="C285" s="229" t="n">
        <v>2</v>
      </c>
      <c r="D285" s="229" t="n"/>
      <c r="E285" s="229" t="n"/>
      <c r="F285" s="230" t="n"/>
      <c r="G285" s="230" t="n"/>
      <c r="H285" s="231" t="n">
        <v>34000</v>
      </c>
      <c r="I285" s="232" t="n">
        <v>34000</v>
      </c>
      <c r="J285" s="232" t="n"/>
      <c r="K285" s="233" t="n"/>
      <c r="L285" s="233">
        <f>IF(K285&lt;&gt;"",7000+K285,7000)</f>
        <v/>
      </c>
      <c r="M285" s="156" t="n"/>
      <c r="N285" s="156" t="n"/>
      <c r="O285" s="156" t="n"/>
    </row>
    <row r="286" ht="18.75" customHeight="1" s="153">
      <c r="A286" s="237" t="n">
        <v>46104</v>
      </c>
      <c r="B286" s="238" t="inlineStr">
        <is>
          <t>SANDRA</t>
        </is>
      </c>
      <c r="C286" s="239" t="n">
        <v>1</v>
      </c>
      <c r="D286" s="239" t="n"/>
      <c r="E286" s="239" t="n"/>
      <c r="F286" s="240" t="n"/>
      <c r="G286" s="240" t="n"/>
      <c r="H286" s="241" t="n">
        <v>17000</v>
      </c>
      <c r="I286" s="242" t="n">
        <v>17000</v>
      </c>
      <c r="J286" s="242" t="n"/>
      <c r="K286" s="233" t="n"/>
      <c r="L286" s="233">
        <f>IF(K286&lt;&gt;"",3500+K286,3500)</f>
        <v/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ANGEL</t>
        </is>
      </c>
      <c r="C287" s="229" t="n">
        <v>1</v>
      </c>
      <c r="D287" s="229" t="n">
        <v>1</v>
      </c>
      <c r="E287" s="229" t="n"/>
      <c r="F287" s="230" t="n"/>
      <c r="G287" s="230" t="n"/>
      <c r="H287" s="231" t="n">
        <v>42500</v>
      </c>
      <c r="I287" s="232" t="n">
        <v>42500</v>
      </c>
      <c r="J287" s="232" t="n"/>
      <c r="K287" s="233" t="n"/>
      <c r="L287" s="233">
        <f>IF(K287&lt;&gt;"",8750+K287,8750)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OTNIEL</t>
        </is>
      </c>
      <c r="C288" s="239" t="n"/>
      <c r="D288" s="239" t="n">
        <v>2</v>
      </c>
      <c r="E288" s="239" t="n">
        <v>1</v>
      </c>
      <c r="F288" s="240" t="n"/>
      <c r="G288" s="240" t="n"/>
      <c r="H288" s="241" t="n">
        <v>141000</v>
      </c>
      <c r="I288" s="242" t="n">
        <v>141000</v>
      </c>
      <c r="J288" s="242" t="n"/>
      <c r="K288" s="233" t="n"/>
      <c r="L288" s="233">
        <f>IF(K288&lt;&gt;"",51500+K288,51500)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PANA BERUTI</t>
        </is>
      </c>
      <c r="C289" s="229" t="n"/>
      <c r="D289" s="229" t="n"/>
      <c r="E289" s="229" t="n">
        <v>1</v>
      </c>
      <c r="F289" s="230" t="n"/>
      <c r="G289" s="230" t="n"/>
      <c r="H289" s="231" t="n">
        <v>73000</v>
      </c>
      <c r="I289" s="232" t="n"/>
      <c r="J289" s="232" t="n">
        <v>73000</v>
      </c>
      <c r="K289" s="233" t="n"/>
      <c r="L289" s="233">
        <f>IF(K289&lt;&gt;"",24000+K289,24000)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>P GENESIO 5799</t>
        </is>
      </c>
      <c r="C290" s="239" t="n">
        <v>1</v>
      </c>
      <c r="D290" s="239" t="n"/>
      <c r="E290" s="239" t="n"/>
      <c r="F290" s="240" t="n"/>
      <c r="G290" s="240" t="n"/>
      <c r="H290" s="241" t="n">
        <v>24000</v>
      </c>
      <c r="I290" s="242" t="n">
        <v>24000</v>
      </c>
      <c r="J290" s="242" t="n"/>
      <c r="K290" s="233" t="n"/>
      <c r="L290" s="233">
        <f>IF(K290&lt;&gt;"",10500+K290,10500)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COCO ABUELO FACU CACERE</t>
        </is>
      </c>
      <c r="C291" s="229" t="n"/>
      <c r="D291" s="229" t="n">
        <v>1</v>
      </c>
      <c r="E291" s="229" t="n"/>
      <c r="F291" s="230" t="n"/>
      <c r="G291" s="230" t="n"/>
      <c r="H291" s="231" t="n">
        <v>34000</v>
      </c>
      <c r="I291" s="232" t="n">
        <v>34000</v>
      </c>
      <c r="J291" s="232" t="n"/>
      <c r="K291" s="233" t="n"/>
      <c r="L291" s="233">
        <f>IF(K291&lt;&gt;"",13750+K291,13750)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NOGALES 2412</t>
        </is>
      </c>
      <c r="C292" s="239" t="n"/>
      <c r="D292" s="239" t="n"/>
      <c r="E292" s="239" t="n">
        <v>1</v>
      </c>
      <c r="F292" s="240" t="n"/>
      <c r="G292" s="240" t="n"/>
      <c r="H292" s="241" t="n">
        <v>83000</v>
      </c>
      <c r="I292" s="242" t="n"/>
      <c r="J292" s="242" t="n">
        <v>83000</v>
      </c>
      <c r="K292" s="233" t="n"/>
      <c r="L292" s="233">
        <f>IF(K292&lt;&gt;"",34000+K292,34000)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CERVERA 7037</t>
        </is>
      </c>
      <c r="C293" s="229" t="n">
        <v>1</v>
      </c>
      <c r="D293" s="229" t="n"/>
      <c r="E293" s="229" t="n"/>
      <c r="F293" s="230" t="n"/>
      <c r="G293" s="230" t="n"/>
      <c r="H293" s="231" t="n">
        <v>25000</v>
      </c>
      <c r="I293" s="232" t="n">
        <v>25000</v>
      </c>
      <c r="J293" s="232" t="n"/>
      <c r="K293" s="233" t="n"/>
      <c r="L293" s="233">
        <f>IF(K293&lt;&gt;"",11500+K293,11500)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>ALVEAR 5135</t>
        </is>
      </c>
      <c r="C294" s="239" t="n"/>
      <c r="D294" s="239" t="n"/>
      <c r="E294" s="239" t="n">
        <v>1</v>
      </c>
      <c r="F294" s="240" t="n"/>
      <c r="G294" s="240" t="n"/>
      <c r="H294" s="241" t="n">
        <v>83000</v>
      </c>
      <c r="I294" s="242" t="n"/>
      <c r="J294" s="242" t="n">
        <v>83000</v>
      </c>
      <c r="K294" s="233" t="n"/>
      <c r="L294" s="233">
        <f>IF(K294&lt;&gt;"",34000+K294,34000)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SAVEDRA 6545</t>
        </is>
      </c>
      <c r="C295" s="229" t="n"/>
      <c r="D295" s="229" t="n">
        <v>1</v>
      </c>
      <c r="E295" s="229" t="n"/>
      <c r="F295" s="230" t="n"/>
      <c r="G295" s="230" t="n"/>
      <c r="H295" s="231" t="n">
        <v>33500</v>
      </c>
      <c r="I295" s="232" t="n">
        <v>33500</v>
      </c>
      <c r="J295" s="232" t="n"/>
      <c r="K295" s="233" t="n"/>
      <c r="L295" s="233">
        <f>IF(K295&lt;&gt;"",13250+K295,13250)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P GENESIO 4501</t>
        </is>
      </c>
      <c r="C296" s="239" t="n">
        <v>1</v>
      </c>
      <c r="D296" s="239" t="n"/>
      <c r="E296" s="239" t="n"/>
      <c r="F296" s="240" t="n"/>
      <c r="G296" s="240" t="n"/>
      <c r="H296" s="241" t="n">
        <v>24500</v>
      </c>
      <c r="I296" s="242" t="n">
        <v>24500</v>
      </c>
      <c r="J296" s="242" t="n"/>
      <c r="K296" s="233" t="n"/>
      <c r="L296" s="233">
        <f>IF(K296&lt;&gt;"",11000+K296,11000)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ALSINA 9251</t>
        </is>
      </c>
      <c r="C297" s="229" t="n">
        <v>1</v>
      </c>
      <c r="D297" s="229" t="n"/>
      <c r="E297" s="229" t="n">
        <v>1</v>
      </c>
      <c r="F297" s="230" t="n"/>
      <c r="G297" s="230" t="n"/>
      <c r="H297" s="231" t="n">
        <v>103000</v>
      </c>
      <c r="I297" s="232" t="n">
        <v>103000</v>
      </c>
      <c r="J297" s="232" t="n"/>
      <c r="K297" s="233" t="n"/>
      <c r="L297" s="233">
        <f>IF(K297&lt;&gt;"",40500+K297,40500)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LOS PORKI</t>
        </is>
      </c>
      <c r="C298" s="239" t="n"/>
      <c r="D298" s="239" t="n"/>
      <c r="E298" s="239" t="n">
        <v>1</v>
      </c>
      <c r="F298" s="240" t="n"/>
      <c r="G298" s="240" t="n"/>
      <c r="H298" s="241" t="n">
        <v>77000</v>
      </c>
      <c r="I298" s="242" t="n"/>
      <c r="J298" s="242" t="n">
        <v>77000</v>
      </c>
      <c r="K298" s="233" t="n"/>
      <c r="L298" s="233">
        <f>IF(K298&lt;&gt;"",28000+K298,28000)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EXE</t>
        </is>
      </c>
      <c r="C299" s="229" t="n"/>
      <c r="D299" s="229" t="n"/>
      <c r="E299" s="229" t="n">
        <v>1</v>
      </c>
      <c r="F299" s="230" t="n"/>
      <c r="G299" s="230" t="n"/>
      <c r="H299" s="231" t="n">
        <v>77000</v>
      </c>
      <c r="I299" s="232" t="n"/>
      <c r="J299" s="232" t="n">
        <v>77000</v>
      </c>
      <c r="K299" s="233" t="n"/>
      <c r="L299" s="233">
        <f>IF(K299&lt;&gt;"",28000+K299,28000)</f>
        <v/>
      </c>
      <c r="M299" s="156" t="n"/>
      <c r="N299" s="156" t="n"/>
      <c r="O299" s="156" t="n"/>
    </row>
    <row r="300" ht="18.75" customHeight="1" s="153">
      <c r="A300" s="237" t="n"/>
      <c r="B300" s="238" t="inlineStr">
        <is>
          <t>GDOR FREIRE 1055</t>
        </is>
      </c>
      <c r="C300" s="239" t="n">
        <v>1</v>
      </c>
      <c r="D300" s="239" t="n"/>
      <c r="E300" s="239" t="n"/>
      <c r="F300" s="240" t="n"/>
      <c r="G300" s="240" t="n"/>
      <c r="H300" s="241" t="n">
        <v>25000</v>
      </c>
      <c r="I300" s="242" t="n">
        <v>25000</v>
      </c>
      <c r="J300" s="242" t="n"/>
      <c r="K300" s="233" t="n"/>
      <c r="L300" s="233">
        <f>IF(K300&lt;&gt;"",11500+K300,11500)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LUCHO</t>
        </is>
      </c>
      <c r="C301" s="229" t="n">
        <v>1</v>
      </c>
      <c r="D301" s="229" t="n"/>
      <c r="E301" s="229" t="n"/>
      <c r="F301" s="230" t="n"/>
      <c r="G301" s="230" t="n"/>
      <c r="H301" s="231" t="n">
        <v>17000</v>
      </c>
      <c r="I301" s="232" t="n">
        <v>17000</v>
      </c>
      <c r="J301" s="232" t="n"/>
      <c r="K301" s="233" t="n"/>
      <c r="L301" s="233">
        <f>IF(K301&lt;&gt;"",3500+K301,3500)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>LARGUIA 7824</t>
        </is>
      </c>
      <c r="C302" s="239" t="n"/>
      <c r="D302" s="239" t="n"/>
      <c r="E302" s="239" t="n">
        <v>1</v>
      </c>
      <c r="F302" s="240" t="n"/>
      <c r="G302" s="240" t="n"/>
      <c r="H302" s="241" t="n">
        <v>80000</v>
      </c>
      <c r="I302" s="242" t="n"/>
      <c r="J302" s="242" t="n">
        <v>80000</v>
      </c>
      <c r="K302" s="233" t="n"/>
      <c r="L302" s="233">
        <f>IF(K302&lt;&gt;"",31000+K302,31000)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25 DE MAYO 2617</t>
        </is>
      </c>
      <c r="C303" s="229" t="n"/>
      <c r="D303" s="229" t="n">
        <v>1</v>
      </c>
      <c r="E303" s="229" t="n"/>
      <c r="F303" s="230" t="n"/>
      <c r="G303" s="230" t="n"/>
      <c r="H303" s="231" t="n">
        <v>35500</v>
      </c>
      <c r="I303" s="232" t="n">
        <v>35500</v>
      </c>
      <c r="J303" s="232" t="n"/>
      <c r="K303" s="233" t="n"/>
      <c r="L303" s="233">
        <f>IF(K303&lt;&gt;"",15250+K303,15250)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>ECUADOR 4117</t>
        </is>
      </c>
      <c r="C304" s="239" t="n"/>
      <c r="D304" s="239" t="n"/>
      <c r="E304" s="239" t="n">
        <v>1</v>
      </c>
      <c r="F304" s="240" t="n"/>
      <c r="G304" s="240" t="n"/>
      <c r="H304" s="241" t="n">
        <v>80000</v>
      </c>
      <c r="I304" s="242" t="n"/>
      <c r="J304" s="242" t="n">
        <v>80000</v>
      </c>
      <c r="K304" s="233" t="n"/>
      <c r="L304" s="233">
        <f>IF(K304&lt;&gt;"",31000+K304,31000)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LARREA 3339</t>
        </is>
      </c>
      <c r="C305" s="229" t="n">
        <v>4</v>
      </c>
      <c r="D305" s="229" t="n"/>
      <c r="E305" s="229" t="n"/>
      <c r="F305" s="230" t="n"/>
      <c r="G305" s="230" t="n"/>
      <c r="H305" s="231" t="n">
        <v>68000</v>
      </c>
      <c r="I305" s="232" t="n">
        <v>68000</v>
      </c>
      <c r="J305" s="232" t="n"/>
      <c r="K305" s="233" t="n"/>
      <c r="L305" s="233">
        <f>IF(K305&lt;&gt;"",14000+K305,14000)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BLAS PARERA 7162</t>
        </is>
      </c>
      <c r="C306" s="239" t="n">
        <v>1</v>
      </c>
      <c r="D306" s="239" t="n"/>
      <c r="E306" s="239" t="n"/>
      <c r="F306" s="240" t="n"/>
      <c r="G306" s="240" t="n"/>
      <c r="H306" s="241" t="n">
        <v>23500</v>
      </c>
      <c r="I306" s="242" t="n">
        <v>23500</v>
      </c>
      <c r="J306" s="242" t="n"/>
      <c r="K306" s="233" t="n"/>
      <c r="L306" s="233">
        <f>IF(K306&lt;&gt;"",10000+K306,10000)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SANDRA</t>
        </is>
      </c>
      <c r="C307" s="229" t="n"/>
      <c r="D307" s="229" t="n">
        <v>1</v>
      </c>
      <c r="E307" s="229" t="n"/>
      <c r="F307" s="230" t="n"/>
      <c r="G307" s="230" t="n"/>
      <c r="H307" s="231" t="n">
        <v>25500</v>
      </c>
      <c r="I307" s="232" t="n">
        <v>25500</v>
      </c>
      <c r="J307" s="232" t="n"/>
      <c r="K307" s="233" t="n"/>
      <c r="L307" s="233">
        <f>IF(K307&lt;&gt;"",5250+K307,5250)</f>
        <v/>
      </c>
      <c r="M307" s="156" t="n"/>
      <c r="N307" s="156" t="n"/>
      <c r="O307" s="156" t="n"/>
    </row>
    <row r="308" ht="18.75" customHeight="1" s="153">
      <c r="A308" s="237" t="n">
        <v>46105</v>
      </c>
      <c r="B308" s="238" t="inlineStr">
        <is>
          <t>PJE PAEZ Y 25 MAYO</t>
        </is>
      </c>
      <c r="C308" s="239" t="n"/>
      <c r="D308" s="239" t="n">
        <v>1</v>
      </c>
      <c r="E308" s="239" t="n"/>
      <c r="F308" s="240" t="n"/>
      <c r="G308" s="240" t="n"/>
      <c r="H308" s="241" t="n">
        <v>37500</v>
      </c>
      <c r="I308" s="242" t="n"/>
      <c r="J308" s="242" t="n">
        <v>37500</v>
      </c>
      <c r="K308" s="233" t="n"/>
      <c r="L308" s="233">
        <f>IF(K308&lt;&gt;"",17250+K308,17250)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JM ZUVIRIA 3439</t>
        </is>
      </c>
      <c r="C309" s="229" t="n">
        <v>1</v>
      </c>
      <c r="D309" s="229" t="n"/>
      <c r="E309" s="229" t="n"/>
      <c r="F309" s="230" t="n"/>
      <c r="G309" s="230" t="n"/>
      <c r="H309" s="231" t="n">
        <v>24000</v>
      </c>
      <c r="I309" s="232" t="n"/>
      <c r="J309" s="232" t="n">
        <v>24000</v>
      </c>
      <c r="K309" s="233" t="n"/>
      <c r="L309" s="233">
        <f>IF(K309&lt;&gt;"",10500+K309,10500)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ANREALES 10512</t>
        </is>
      </c>
      <c r="C310" s="239" t="n"/>
      <c r="D310" s="239" t="n"/>
      <c r="E310" s="239" t="n">
        <v>1</v>
      </c>
      <c r="F310" s="240" t="n"/>
      <c r="G310" s="240" t="n"/>
      <c r="H310" s="241" t="n">
        <v>79000</v>
      </c>
      <c r="I310" s="242" t="n"/>
      <c r="J310" s="242" t="n">
        <v>79000</v>
      </c>
      <c r="K310" s="233" t="n"/>
      <c r="L310" s="233">
        <f>IF(K310&lt;&gt;"",30000+K310,30000)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GORRITI 5019</t>
        </is>
      </c>
      <c r="C311" s="229" t="n">
        <v>4</v>
      </c>
      <c r="D311" s="229" t="n"/>
      <c r="E311" s="229" t="n"/>
      <c r="F311" s="230" t="n"/>
      <c r="G311" s="230" t="n"/>
      <c r="H311" s="231" t="n">
        <v>64000</v>
      </c>
      <c r="I311" s="232" t="n"/>
      <c r="J311" s="232" t="n">
        <v>64000</v>
      </c>
      <c r="K311" s="233" t="n"/>
      <c r="L311" s="233">
        <f>IF(K311&lt;&gt;"",10000+K311,10000)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JORGE VIANDA</t>
        </is>
      </c>
      <c r="C312" s="239" t="n">
        <v>1</v>
      </c>
      <c r="D312" s="239" t="n"/>
      <c r="E312" s="239" t="n"/>
      <c r="F312" s="240" t="n"/>
      <c r="G312" s="240" t="n"/>
      <c r="H312" s="241" t="n">
        <v>20000</v>
      </c>
      <c r="I312" s="242" t="n">
        <v>20000</v>
      </c>
      <c r="J312" s="242" t="n"/>
      <c r="K312" s="233" t="n"/>
      <c r="L312" s="233">
        <f>IF(K312&lt;&gt;"",6500+K312,6500)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PJE PUBLICO 2035</t>
        </is>
      </c>
      <c r="C313" s="229" t="n"/>
      <c r="D313" s="229" t="n"/>
      <c r="E313" s="229" t="n">
        <v>1</v>
      </c>
      <c r="F313" s="230" t="n"/>
      <c r="G313" s="230" t="n"/>
      <c r="H313" s="231" t="n">
        <v>80000</v>
      </c>
      <c r="I313" s="232" t="n"/>
      <c r="J313" s="232" t="n">
        <v>80000</v>
      </c>
      <c r="K313" s="233" t="n"/>
      <c r="L313" s="233">
        <f>IF(K313&lt;&gt;"",31000+K313,31000)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LA MADRID 6330</t>
        </is>
      </c>
      <c r="C314" s="239" t="n">
        <v>1</v>
      </c>
      <c r="D314" s="239" t="n"/>
      <c r="E314" s="239" t="n"/>
      <c r="F314" s="240" t="n"/>
      <c r="G314" s="240" t="n"/>
      <c r="H314" s="241" t="n">
        <v>16500</v>
      </c>
      <c r="I314" s="242" t="n">
        <v>16500</v>
      </c>
      <c r="J314" s="242" t="n"/>
      <c r="K314" s="233" t="n"/>
      <c r="L314" s="233">
        <f>IF(K314&lt;&gt;"",3000+K314,3000)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PANA VIEYTES 4500</t>
        </is>
      </c>
      <c r="C315" s="229" t="n"/>
      <c r="D315" s="229" t="n"/>
      <c r="E315" s="229" t="n">
        <v>1</v>
      </c>
      <c r="F315" s="230" t="n"/>
      <c r="G315" s="230" t="n"/>
      <c r="H315" s="231" t="n">
        <v>73000</v>
      </c>
      <c r="I315" s="232" t="n">
        <v>73000</v>
      </c>
      <c r="J315" s="232" t="n"/>
      <c r="K315" s="233" t="n"/>
      <c r="L315" s="233">
        <f>IF(K315&lt;&gt;"",24000+K315,24000)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PUBLICO 2550</t>
        </is>
      </c>
      <c r="C316" s="239" t="n"/>
      <c r="D316" s="239" t="n"/>
      <c r="E316" s="239" t="n">
        <v>1</v>
      </c>
      <c r="F316" s="240" t="n"/>
      <c r="G316" s="240" t="n"/>
      <c r="H316" s="241" t="n">
        <v>79000</v>
      </c>
      <c r="I316" s="242" t="n"/>
      <c r="J316" s="242" t="n">
        <v>79000</v>
      </c>
      <c r="K316" s="233" t="n"/>
      <c r="L316" s="233">
        <f>IF(K316&lt;&gt;"",30000+K316,30000)</f>
        <v/>
      </c>
      <c r="M316" s="156" t="n"/>
      <c r="N316" s="156" t="n"/>
      <c r="O316" s="156" t="n"/>
    </row>
    <row r="317" ht="18.75" customHeight="1" s="153">
      <c r="A317" s="227" t="n"/>
      <c r="B317" s="228" t="inlineStr">
        <is>
          <t>AZOPARDO 10529</t>
        </is>
      </c>
      <c r="C317" s="229" t="n">
        <v>1</v>
      </c>
      <c r="D317" s="229" t="n"/>
      <c r="E317" s="229" t="n"/>
      <c r="F317" s="230" t="n"/>
      <c r="G317" s="230" t="n"/>
      <c r="H317" s="231" t="n">
        <v>25000</v>
      </c>
      <c r="I317" s="232" t="n">
        <v>25000</v>
      </c>
      <c r="J317" s="232" t="n"/>
      <c r="K317" s="233" t="n"/>
      <c r="L317" s="233">
        <f>IF(K317&lt;&gt;"",11500+K317,11500)</f>
        <v/>
      </c>
      <c r="M317" s="156" t="n"/>
      <c r="N317" s="156" t="n"/>
      <c r="O317" s="156" t="n"/>
    </row>
    <row r="318" ht="18.75" customHeight="1" s="153">
      <c r="A318" s="237" t="n"/>
      <c r="B318" s="238" t="inlineStr">
        <is>
          <t>GDOR FREIRE 6445</t>
        </is>
      </c>
      <c r="C318" s="239" t="n">
        <v>1</v>
      </c>
      <c r="D318" s="239" t="n"/>
      <c r="E318" s="239" t="n"/>
      <c r="F318" s="240" t="n"/>
      <c r="G318" s="240" t="n"/>
      <c r="H318" s="241" t="n">
        <v>25000</v>
      </c>
      <c r="I318" s="242" t="n"/>
      <c r="J318" s="242" t="n">
        <v>25000</v>
      </c>
      <c r="K318" s="233" t="n"/>
      <c r="L318" s="233">
        <f>IF(K318&lt;&gt;"",11500+K318,11500)</f>
        <v/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GDOR FREIRE 1047</t>
        </is>
      </c>
      <c r="C319" s="229" t="n">
        <v>1</v>
      </c>
      <c r="D319" s="229" t="n"/>
      <c r="E319" s="229" t="n"/>
      <c r="F319" s="230" t="n"/>
      <c r="G319" s="230" t="n"/>
      <c r="H319" s="231" t="n">
        <v>24500</v>
      </c>
      <c r="I319" s="232" t="n">
        <v>24500</v>
      </c>
      <c r="J319" s="232" t="n"/>
      <c r="K319" s="233" t="n"/>
      <c r="L319" s="233">
        <f>IF(K319&lt;&gt;"",11000+K319,11000)</f>
        <v/>
      </c>
      <c r="M319" s="156" t="n"/>
      <c r="N319" s="156" t="n"/>
      <c r="O319" s="156" t="n"/>
    </row>
    <row r="320" ht="18.75" customHeight="1" s="153">
      <c r="A320" s="237" t="n"/>
      <c r="B320" s="238" t="inlineStr">
        <is>
          <t>ALBERTI 4930</t>
        </is>
      </c>
      <c r="C320" s="239" t="n"/>
      <c r="D320" s="239" t="n"/>
      <c r="E320" s="239" t="n"/>
      <c r="F320" s="240" t="n"/>
      <c r="G320" s="240" t="n">
        <v>1</v>
      </c>
      <c r="H320" s="241" t="n">
        <v>5000</v>
      </c>
      <c r="I320" s="242" t="n">
        <v>5000</v>
      </c>
      <c r="J320" s="242" t="n"/>
      <c r="K320" s="233" t="n"/>
      <c r="L320" s="233">
        <f>IF(K320&lt;&gt;"",4150+K320,4150)</f>
        <v/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ULRICO SCHMIT</t>
        </is>
      </c>
      <c r="C321" s="229" t="n"/>
      <c r="D321" s="229" t="n"/>
      <c r="E321" s="229" t="n">
        <v>1</v>
      </c>
      <c r="F321" s="230" t="n"/>
      <c r="G321" s="230" t="n"/>
      <c r="H321" s="231" t="n">
        <v>80000</v>
      </c>
      <c r="I321" s="232" t="n"/>
      <c r="J321" s="232" t="n">
        <v>80000</v>
      </c>
      <c r="K321" s="233" t="n"/>
      <c r="L321" s="233">
        <f>IF(K321&lt;&gt;"",31000+K321,31000)</f>
        <v/>
      </c>
      <c r="M321" s="156" t="n"/>
      <c r="N321" s="156" t="n"/>
      <c r="O321" s="156" t="n"/>
    </row>
    <row r="322" ht="18.75" customHeight="1" s="153">
      <c r="A322" s="237" t="n"/>
      <c r="B322" s="238" t="inlineStr">
        <is>
          <t>I CRESPO 8180</t>
        </is>
      </c>
      <c r="C322" s="239" t="n">
        <v>1</v>
      </c>
      <c r="D322" s="239" t="n"/>
      <c r="E322" s="239" t="n"/>
      <c r="F322" s="240" t="n"/>
      <c r="G322" s="240" t="n"/>
      <c r="H322" s="241" t="n">
        <v>25000</v>
      </c>
      <c r="I322" s="242" t="n">
        <v>25000</v>
      </c>
      <c r="J322" s="242" t="n"/>
      <c r="K322" s="233" t="n"/>
      <c r="L322" s="233">
        <f>IF(K322&lt;&gt;"",11500+K322,11500)</f>
        <v/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ZAVALLA 10319</t>
        </is>
      </c>
      <c r="C323" s="229" t="n">
        <v>1</v>
      </c>
      <c r="D323" s="229" t="n"/>
      <c r="E323" s="229" t="n"/>
      <c r="F323" s="230" t="n"/>
      <c r="G323" s="230" t="n"/>
      <c r="H323" s="231" t="n">
        <v>24000</v>
      </c>
      <c r="I323" s="232" t="n"/>
      <c r="J323" s="232" t="n">
        <v>24000</v>
      </c>
      <c r="K323" s="233" t="n"/>
      <c r="L323" s="233">
        <f>IF(K323&lt;&gt;"",10500+K323,10500)</f>
        <v/>
      </c>
      <c r="M323" s="156" t="n"/>
      <c r="N323" s="156" t="n"/>
      <c r="O323" s="156" t="n"/>
    </row>
    <row r="324" ht="18.75" customHeight="1" s="153">
      <c r="A324" s="237" t="n"/>
      <c r="B324" s="238" t="inlineStr">
        <is>
          <t>BELGRANO 6382</t>
        </is>
      </c>
      <c r="C324" s="239" t="n">
        <v>1</v>
      </c>
      <c r="D324" s="239" t="n"/>
      <c r="E324" s="239" t="n"/>
      <c r="F324" s="240" t="n"/>
      <c r="G324" s="240" t="n"/>
      <c r="H324" s="241" t="n">
        <v>25000</v>
      </c>
      <c r="I324" s="242" t="n"/>
      <c r="J324" s="242" t="n">
        <v>25000</v>
      </c>
      <c r="K324" s="233" t="n"/>
      <c r="L324" s="233">
        <f>IF(K324&lt;&gt;"",11500+K324,11500)</f>
        <v/>
      </c>
      <c r="M324" s="156" t="n"/>
      <c r="N324" s="156" t="n"/>
      <c r="O324" s="156" t="n"/>
    </row>
    <row r="325" ht="18.75" customHeight="1" s="153">
      <c r="A325" s="227" t="n"/>
      <c r="B325" s="228" t="inlineStr">
        <is>
          <t>FILOMENA</t>
        </is>
      </c>
      <c r="C325" s="229" t="n">
        <v>2</v>
      </c>
      <c r="D325" s="229" t="n"/>
      <c r="E325" s="229" t="n"/>
      <c r="F325" s="230" t="n"/>
      <c r="G325" s="230" t="n"/>
      <c r="H325" s="231" t="n">
        <v>41000</v>
      </c>
      <c r="I325" s="232" t="n"/>
      <c r="J325" s="232" t="n">
        <v>41000</v>
      </c>
      <c r="K325" s="233" t="n"/>
      <c r="L325" s="233">
        <f>IF(K325&lt;&gt;"",14000+K325,14000)</f>
        <v/>
      </c>
      <c r="M325" s="156" t="n"/>
      <c r="N325" s="156" t="n"/>
      <c r="O325" s="156" t="n"/>
    </row>
    <row r="326" ht="18.75" customHeight="1" s="153">
      <c r="A326" s="237" t="n"/>
      <c r="B326" s="238" t="inlineStr">
        <is>
          <t>RICARDO ALDAO 369</t>
        </is>
      </c>
      <c r="C326" s="239" t="n"/>
      <c r="D326" s="239" t="n"/>
      <c r="E326" s="239" t="n">
        <v>1</v>
      </c>
      <c r="F326" s="240" t="n"/>
      <c r="G326" s="240" t="n"/>
      <c r="H326" s="241" t="n">
        <v>83000</v>
      </c>
      <c r="I326" s="242" t="n"/>
      <c r="J326" s="242" t="n">
        <v>83000</v>
      </c>
      <c r="K326" s="233" t="n"/>
      <c r="L326" s="233">
        <f>IF(K326&lt;&gt;"",34000+K326,34000)</f>
        <v/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SANDRA</t>
        </is>
      </c>
      <c r="C327" s="229" t="n">
        <v>1</v>
      </c>
      <c r="D327" s="229" t="n"/>
      <c r="E327" s="229" t="n"/>
      <c r="F327" s="230" t="n"/>
      <c r="G327" s="230" t="n"/>
      <c r="H327" s="231" t="n">
        <v>17000</v>
      </c>
      <c r="I327" s="232" t="n">
        <v>17000</v>
      </c>
      <c r="J327" s="232" t="n"/>
      <c r="K327" s="233" t="n"/>
      <c r="L327" s="233">
        <f>IF(K327&lt;&gt;"",3500+K327,3500)</f>
        <v/>
      </c>
      <c r="M327" s="156" t="n"/>
      <c r="N327" s="156" t="n"/>
      <c r="O327" s="156" t="n"/>
    </row>
    <row r="328" ht="18.75" customHeight="1" s="153">
      <c r="A328" s="237" t="n">
        <v>46106</v>
      </c>
      <c r="B328" s="238" t="inlineStr">
        <is>
          <t>MARTINEZ 3221</t>
        </is>
      </c>
      <c r="C328" s="239" t="n">
        <v>1</v>
      </c>
      <c r="D328" s="239" t="n"/>
      <c r="E328" s="239" t="n">
        <v>1</v>
      </c>
      <c r="F328" s="240" t="n"/>
      <c r="G328" s="240" t="n"/>
      <c r="H328" s="241" t="n">
        <v>108000</v>
      </c>
      <c r="I328" s="242" t="n"/>
      <c r="J328" s="242" t="n">
        <v>108000</v>
      </c>
      <c r="K328" s="233" t="n"/>
      <c r="L328" s="233">
        <f>IF(K328&lt;&gt;"",33000+K328,33000)</f>
        <v/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COGORNO 5520</t>
        </is>
      </c>
      <c r="C329" s="229" t="n">
        <v>4</v>
      </c>
      <c r="D329" s="229" t="n"/>
      <c r="E329" s="229" t="n"/>
      <c r="F329" s="230" t="n"/>
      <c r="G329" s="230" t="n"/>
      <c r="H329" s="231" t="n">
        <v>68000</v>
      </c>
      <c r="I329" s="232" t="n"/>
      <c r="J329" s="232" t="n">
        <v>68000</v>
      </c>
      <c r="K329" s="233" t="n"/>
      <c r="L329" s="233">
        <f>IF(K329&lt;&gt;"",8000+K329,8000)</f>
        <v/>
      </c>
      <c r="M329" s="156" t="n"/>
      <c r="N329" s="156" t="n"/>
      <c r="O329" s="156" t="n"/>
    </row>
    <row r="330" ht="18.75" customHeight="1" s="153">
      <c r="A330" s="237" t="n"/>
      <c r="B330" s="238" t="inlineStr">
        <is>
          <t>ROTI AGUADO</t>
        </is>
      </c>
      <c r="C330" s="239" t="n"/>
      <c r="D330" s="239" t="n">
        <v>1</v>
      </c>
      <c r="E330" s="239" t="n">
        <v>1</v>
      </c>
      <c r="F330" s="240" t="n"/>
      <c r="G330" s="240" t="n"/>
      <c r="H330" s="241" t="n">
        <v>107000</v>
      </c>
      <c r="I330" s="242" t="n"/>
      <c r="J330" s="242" t="n">
        <v>107000</v>
      </c>
      <c r="K330" s="233" t="n"/>
      <c r="L330" s="233">
        <f>IF(K330&lt;&gt;"",24500+K330,24500)</f>
        <v/>
      </c>
      <c r="M330" s="156" t="n"/>
      <c r="N330" s="156" t="n"/>
      <c r="O330" s="156" t="n"/>
    </row>
    <row r="331" ht="18.75" customHeight="1" s="153">
      <c r="A331" s="227" t="n"/>
      <c r="B331" s="228" t="inlineStr">
        <is>
          <t>PAULO</t>
        </is>
      </c>
      <c r="C331" s="229" t="n">
        <v>2</v>
      </c>
      <c r="D331" s="229" t="n"/>
      <c r="E331" s="229" t="n"/>
      <c r="F331" s="230" t="n"/>
      <c r="G331" s="230" t="n"/>
      <c r="H331" s="231" t="n">
        <v>34000</v>
      </c>
      <c r="I331" s="232" t="n">
        <v>34000</v>
      </c>
      <c r="J331" s="232" t="n"/>
      <c r="K331" s="233" t="n"/>
      <c r="L331" s="233">
        <f>IF(K331&lt;&gt;"",4000+K331,4000)</f>
        <v/>
      </c>
      <c r="M331" s="156" t="n"/>
      <c r="N331" s="156" t="n"/>
      <c r="O331" s="156" t="n"/>
    </row>
    <row r="332" ht="18.75" customHeight="1" s="153">
      <c r="A332" s="237" t="n"/>
      <c r="B332" s="238" t="inlineStr">
        <is>
          <t>SEGUI 1680</t>
        </is>
      </c>
      <c r="C332" s="239" t="n"/>
      <c r="D332" s="239" t="n">
        <v>1</v>
      </c>
      <c r="E332" s="239" t="n"/>
      <c r="F332" s="240" t="n"/>
      <c r="G332" s="240" t="n"/>
      <c r="H332" s="241" t="n">
        <v>37500</v>
      </c>
      <c r="I332" s="242" t="n"/>
      <c r="J332" s="242" t="n">
        <v>37500</v>
      </c>
      <c r="K332" s="233" t="n"/>
      <c r="L332" s="233">
        <f>IF(K332&lt;&gt;"",15000+K332,15000)</f>
        <v/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MARIELA</t>
        </is>
      </c>
      <c r="C333" s="229" t="n"/>
      <c r="D333" s="229" t="n"/>
      <c r="E333" s="229" t="n">
        <v>2</v>
      </c>
      <c r="F333" s="230" t="n">
        <v>20</v>
      </c>
      <c r="G333" s="230" t="n"/>
      <c r="H333" s="231" t="n">
        <v>219000</v>
      </c>
      <c r="I333" s="232" t="n"/>
      <c r="J333" s="232" t="n">
        <v>219000</v>
      </c>
      <c r="K333" s="233" t="n"/>
      <c r="L333" s="233">
        <f>IF(K333&lt;&gt;"",53000+K333,53000)</f>
        <v/>
      </c>
      <c r="M333" s="156" t="n"/>
      <c r="N333" s="156" t="n"/>
      <c r="O333" s="156" t="n"/>
    </row>
    <row r="334" ht="18.75" customHeight="1" s="153">
      <c r="A334" s="237" t="n"/>
      <c r="B334" s="238" t="inlineStr">
        <is>
          <t>VIEYTES 5168</t>
        </is>
      </c>
      <c r="C334" s="239" t="n"/>
      <c r="D334" s="239" t="n"/>
      <c r="E334" s="239" t="n">
        <v>1</v>
      </c>
      <c r="F334" s="240" t="n"/>
      <c r="G334" s="240" t="n"/>
      <c r="H334" s="241" t="n">
        <v>80000</v>
      </c>
      <c r="I334" s="242" t="n"/>
      <c r="J334" s="242" t="n">
        <v>80000</v>
      </c>
      <c r="K334" s="233" t="n"/>
      <c r="L334" s="233">
        <f>IF(K334&lt;&gt;"",20000+K334,20000)</f>
        <v/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EUROPA 9186</t>
        </is>
      </c>
      <c r="C335" s="229" t="n"/>
      <c r="D335" s="229" t="n">
        <v>1</v>
      </c>
      <c r="E335" s="229" t="n"/>
      <c r="F335" s="230" t="n"/>
      <c r="G335" s="230" t="n"/>
      <c r="H335" s="231" t="n">
        <v>35500</v>
      </c>
      <c r="I335" s="232" t="n">
        <v>35500</v>
      </c>
      <c r="J335" s="232" t="n"/>
      <c r="K335" s="233" t="n"/>
      <c r="L335" s="233">
        <f>IF(K335&lt;&gt;"",13000+K335,13000)</f>
        <v/>
      </c>
      <c r="M335" s="156" t="n"/>
      <c r="N335" s="156" t="n"/>
      <c r="O335" s="156" t="n"/>
    </row>
    <row r="336" ht="18.75" customHeight="1" s="153">
      <c r="A336" s="237" t="n"/>
      <c r="B336" s="238" t="inlineStr">
        <is>
          <t>PAMPA 4751</t>
        </is>
      </c>
      <c r="C336" s="239" t="n">
        <v>1</v>
      </c>
      <c r="D336" s="239" t="n"/>
      <c r="E336" s="239" t="n"/>
      <c r="F336" s="240" t="n"/>
      <c r="G336" s="240" t="n"/>
      <c r="H336" s="241" t="n">
        <v>25000</v>
      </c>
      <c r="I336" s="242" t="n">
        <v>25000</v>
      </c>
      <c r="J336" s="242" t="n"/>
      <c r="K336" s="233" t="n"/>
      <c r="L336" s="233">
        <f>IF(K336&lt;&gt;"",10000+K336,10000)</f>
        <v/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P GENESIO 5851</t>
        </is>
      </c>
      <c r="C337" s="229" t="n">
        <v>1</v>
      </c>
      <c r="D337" s="229" t="n"/>
      <c r="E337" s="229" t="n"/>
      <c r="F337" s="230" t="n"/>
      <c r="G337" s="230" t="n"/>
      <c r="H337" s="231" t="n">
        <v>24500</v>
      </c>
      <c r="I337" s="232" t="n">
        <v>24500</v>
      </c>
      <c r="J337" s="232" t="n"/>
      <c r="K337" s="233" t="n"/>
      <c r="L337" s="233">
        <f>IF(K337&lt;&gt;"",9500+K337,9500)</f>
        <v/>
      </c>
      <c r="M337" s="156" t="n"/>
      <c r="N337" s="156" t="n"/>
      <c r="O337" s="156" t="n"/>
    </row>
    <row r="338" ht="18.75" customHeight="1" s="153">
      <c r="A338" s="237" t="n"/>
      <c r="B338" s="238" t="inlineStr">
        <is>
          <t>AVELLANEDA 7745</t>
        </is>
      </c>
      <c r="C338" s="239" t="n">
        <v>1</v>
      </c>
      <c r="D338" s="239" t="n"/>
      <c r="E338" s="239" t="n"/>
      <c r="F338" s="240" t="n"/>
      <c r="G338" s="240" t="n"/>
      <c r="H338" s="241" t="n">
        <v>25000</v>
      </c>
      <c r="I338" s="242" t="n"/>
      <c r="J338" s="242" t="n">
        <v>25000</v>
      </c>
      <c r="K338" s="233" t="n"/>
      <c r="L338" s="233">
        <f>IF(K338&lt;&gt;"",10000+K338,10000)</f>
        <v/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ALBERTI 4538</t>
        </is>
      </c>
      <c r="C339" s="229" t="n"/>
      <c r="D339" s="229" t="n">
        <v>1</v>
      </c>
      <c r="E339" s="229" t="n"/>
      <c r="F339" s="230" t="n"/>
      <c r="G339" s="230" t="n"/>
      <c r="H339" s="231" t="n">
        <v>37500</v>
      </c>
      <c r="I339" s="232" t="n">
        <v>37500</v>
      </c>
      <c r="J339" s="232" t="n"/>
      <c r="K339" s="233" t="n"/>
      <c r="L339" s="233">
        <f>IF(K339&lt;&gt;"",15000+K339,15000)</f>
        <v/>
      </c>
      <c r="M339" s="156" t="n"/>
      <c r="N339" s="156" t="n"/>
      <c r="O339" s="156" t="n"/>
    </row>
    <row r="340" ht="18.75" customHeight="1" s="153">
      <c r="A340" s="237" t="n"/>
      <c r="B340" s="238" t="inlineStr">
        <is>
          <t>LUCHO</t>
        </is>
      </c>
      <c r="C340" s="239" t="n">
        <v>2</v>
      </c>
      <c r="D340" s="239" t="n"/>
      <c r="E340" s="239" t="n"/>
      <c r="F340" s="240" t="n"/>
      <c r="G340" s="240" t="n"/>
      <c r="H340" s="241" t="n">
        <v>34000</v>
      </c>
      <c r="I340" s="242" t="n"/>
      <c r="J340" s="242" t="n">
        <v>34000</v>
      </c>
      <c r="K340" s="233" t="n"/>
      <c r="L340" s="233">
        <f>IF(K340&lt;&gt;"",4000+K340,4000)</f>
        <v/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PAVON 4712</t>
        </is>
      </c>
      <c r="C341" s="229" t="n"/>
      <c r="D341" s="229" t="n">
        <v>1</v>
      </c>
      <c r="E341" s="229" t="n"/>
      <c r="F341" s="230" t="n"/>
      <c r="G341" s="230" t="n"/>
      <c r="H341" s="231" t="n">
        <v>33500</v>
      </c>
      <c r="I341" s="232" t="n">
        <v>33500</v>
      </c>
      <c r="J341" s="232" t="n"/>
      <c r="K341" s="233" t="n"/>
      <c r="L341" s="233">
        <f>IF(K341&lt;&gt;"",11000+K341,11000)</f>
        <v/>
      </c>
      <c r="M341" s="156" t="n"/>
      <c r="N341" s="156" t="n"/>
      <c r="O341" s="156" t="n"/>
    </row>
    <row r="342" ht="18.75" customHeight="1" s="153">
      <c r="A342" s="237" t="n"/>
      <c r="B342" s="238" t="inlineStr">
        <is>
          <t>PERU 3841</t>
        </is>
      </c>
      <c r="C342" s="239" t="n">
        <v>1</v>
      </c>
      <c r="D342" s="239" t="n"/>
      <c r="E342" s="239" t="n"/>
      <c r="F342" s="240" t="n"/>
      <c r="G342" s="240" t="n"/>
      <c r="H342" s="241" t="n">
        <v>24500</v>
      </c>
      <c r="I342" s="242" t="n"/>
      <c r="J342" s="242" t="n">
        <v>24500</v>
      </c>
      <c r="K342" s="233" t="n"/>
      <c r="L342" s="233">
        <f>IF(K342&lt;&gt;"",9500+K342,9500)</f>
        <v/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LARGUIA 7186</t>
        </is>
      </c>
      <c r="C343" s="229" t="n"/>
      <c r="D343" s="229" t="n"/>
      <c r="E343" s="229" t="n">
        <v>1</v>
      </c>
      <c r="F343" s="230" t="n"/>
      <c r="G343" s="230" t="n"/>
      <c r="H343" s="231" t="n">
        <v>80000</v>
      </c>
      <c r="I343" s="232" t="n"/>
      <c r="J343" s="232" t="n">
        <v>80000</v>
      </c>
      <c r="K343" s="233" t="n"/>
      <c r="L343" s="233">
        <f>IF(K343&lt;&gt;"",20000+K343,20000)</f>
        <v/>
      </c>
      <c r="M343" s="156" t="n"/>
      <c r="N343" s="156" t="n"/>
      <c r="O343" s="156" t="n"/>
    </row>
    <row r="344" ht="18.75" customHeight="1" s="153">
      <c r="A344" s="237" t="n"/>
      <c r="B344" s="238" t="inlineStr">
        <is>
          <t>LARGUIA 7150</t>
        </is>
      </c>
      <c r="C344" s="239" t="n"/>
      <c r="D344" s="239" t="n">
        <v>1</v>
      </c>
      <c r="E344" s="239" t="n"/>
      <c r="F344" s="240" t="n"/>
      <c r="G344" s="240" t="n"/>
      <c r="H344" s="241" t="n">
        <v>33500</v>
      </c>
      <c r="I344" s="242" t="n">
        <v>33500</v>
      </c>
      <c r="J344" s="242" t="n"/>
      <c r="K344" s="233" t="n"/>
      <c r="L344" s="233">
        <f>IF(K344&lt;&gt;"",11000+K344,11000)</f>
        <v/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PUBLICO 2454</t>
        </is>
      </c>
      <c r="C345" s="229" t="n"/>
      <c r="D345" s="229" t="n">
        <v>1</v>
      </c>
      <c r="E345" s="229" t="n"/>
      <c r="F345" s="230" t="n"/>
      <c r="G345" s="230" t="n"/>
      <c r="H345" s="231" t="n">
        <v>37500</v>
      </c>
      <c r="I345" s="232" t="n">
        <v>37500</v>
      </c>
      <c r="J345" s="232" t="n"/>
      <c r="K345" s="233" t="n"/>
      <c r="L345" s="233">
        <f>IF(K345&lt;&gt;"",15000+K345,15000)</f>
        <v/>
      </c>
      <c r="M345" s="156" t="n"/>
      <c r="N345" s="156" t="n"/>
      <c r="O345" s="156" t="n"/>
    </row>
    <row r="346" ht="18.75" customHeight="1" s="153">
      <c r="A346" s="237" t="n"/>
      <c r="B346" s="238" t="inlineStr">
        <is>
          <t>LUCHO</t>
        </is>
      </c>
      <c r="C346" s="239" t="n">
        <v>2</v>
      </c>
      <c r="D346" s="239" t="n"/>
      <c r="E346" s="239" t="n"/>
      <c r="F346" s="240" t="n"/>
      <c r="G346" s="240" t="n"/>
      <c r="H346" s="241" t="n">
        <v>34000</v>
      </c>
      <c r="I346" s="242" t="n">
        <v>34000</v>
      </c>
      <c r="J346" s="242" t="n"/>
      <c r="K346" s="233" t="n"/>
      <c r="L346" s="233">
        <f>IF(K346&lt;&gt;"",4000+K346,4000)</f>
        <v/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ANGEL</t>
        </is>
      </c>
      <c r="C347" s="229" t="n">
        <v>1</v>
      </c>
      <c r="D347" s="229" t="n"/>
      <c r="E347" s="229" t="n"/>
      <c r="F347" s="230" t="n"/>
      <c r="G347" s="230" t="n"/>
      <c r="H347" s="231" t="n">
        <v>17000</v>
      </c>
      <c r="I347" s="232" t="n">
        <v>17000</v>
      </c>
      <c r="J347" s="232" t="n"/>
      <c r="K347" s="233" t="n"/>
      <c r="L347" s="233">
        <f>IF(K347&lt;&gt;"",2000+K347,2000)</f>
        <v/>
      </c>
      <c r="M347" s="156" t="n"/>
      <c r="N347" s="156" t="n"/>
      <c r="O347" s="156" t="n"/>
    </row>
    <row r="348" ht="18.75" customHeight="1" s="153">
      <c r="A348" s="237" t="n"/>
      <c r="B348" s="238" t="inlineStr">
        <is>
          <t>ALMOMACID 4615</t>
        </is>
      </c>
      <c r="C348" s="239" t="n"/>
      <c r="D348" s="239" t="n">
        <v>1</v>
      </c>
      <c r="E348" s="239" t="n"/>
      <c r="F348" s="240" t="n"/>
      <c r="G348" s="240" t="n"/>
      <c r="H348" s="241" t="n">
        <v>37500</v>
      </c>
      <c r="I348" s="242" t="n"/>
      <c r="J348" s="242" t="n">
        <v>37500</v>
      </c>
      <c r="K348" s="233" t="n"/>
      <c r="L348" s="233">
        <f>IF(K348&lt;&gt;"",15000+K348,15000)</f>
        <v/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DANA</t>
        </is>
      </c>
      <c r="C349" s="229" t="n">
        <v>4</v>
      </c>
      <c r="D349" s="229" t="n"/>
      <c r="E349" s="229" t="n"/>
      <c r="F349" s="230" t="n"/>
      <c r="G349" s="230" t="n"/>
      <c r="H349" s="231" t="n">
        <v>68000</v>
      </c>
      <c r="I349" s="232" t="n"/>
      <c r="J349" s="232" t="n">
        <v>68000</v>
      </c>
      <c r="K349" s="233" t="n"/>
      <c r="L349" s="233">
        <f>IF(K349&lt;&gt;"",8000+K349,8000)</f>
        <v/>
      </c>
      <c r="M349" s="156" t="n"/>
      <c r="N349" s="156" t="n"/>
      <c r="O349" s="156" t="n"/>
    </row>
    <row r="350" ht="18.75" customHeight="1" s="153">
      <c r="A350" s="237" t="n">
        <v>46107</v>
      </c>
      <c r="B350" s="238" t="inlineStr">
        <is>
          <t>ECUADOR 3735</t>
        </is>
      </c>
      <c r="C350" s="239" t="n">
        <v>1</v>
      </c>
      <c r="D350" s="239" t="n"/>
      <c r="E350" s="239" t="n"/>
      <c r="F350" s="240" t="n"/>
      <c r="G350" s="240" t="n"/>
      <c r="H350" s="241" t="n">
        <v>24500</v>
      </c>
      <c r="I350" s="242" t="n"/>
      <c r="J350" s="242" t="n">
        <v>24500</v>
      </c>
      <c r="K350" s="233" t="n"/>
      <c r="L350" s="233">
        <f>IF(K350&lt;&gt;"",9500+K350,9500)</f>
        <v/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BERUTI 3850</t>
        </is>
      </c>
      <c r="C351" s="229" t="n">
        <v>1</v>
      </c>
      <c r="D351" s="229" t="n"/>
      <c r="E351" s="229" t="n">
        <v>1</v>
      </c>
      <c r="F351" s="230" t="n"/>
      <c r="G351" s="230" t="n"/>
      <c r="H351" s="231" t="n">
        <v>91500</v>
      </c>
      <c r="I351" s="232" t="n"/>
      <c r="J351" s="232" t="n">
        <v>91500</v>
      </c>
      <c r="K351" s="233" t="n"/>
      <c r="L351" s="233">
        <f>IF(K351&lt;&gt;"",16500+K351,16500)</f>
        <v/>
      </c>
      <c r="M351" s="156" t="n"/>
      <c r="N351" s="156" t="n"/>
      <c r="O351" s="156" t="n"/>
    </row>
    <row r="352" ht="18.75" customHeight="1" s="153">
      <c r="A352" s="237" t="n"/>
      <c r="B352" s="238" t="inlineStr">
        <is>
          <t>PANA FIGUEROA</t>
        </is>
      </c>
      <c r="C352" s="239" t="n"/>
      <c r="D352" s="239" t="n"/>
      <c r="E352" s="239" t="n">
        <v>1</v>
      </c>
      <c r="F352" s="240" t="n"/>
      <c r="G352" s="240" t="n"/>
      <c r="H352" s="241" t="n">
        <v>70000</v>
      </c>
      <c r="I352" s="242" t="n">
        <v>40000</v>
      </c>
      <c r="J352" s="242" t="n">
        <v>30000</v>
      </c>
      <c r="K352" s="233" t="n"/>
      <c r="L352" s="233">
        <f>IF(K352&lt;&gt;"",10000+K352,10000)</f>
        <v/>
      </c>
      <c r="M352" s="156" t="n"/>
      <c r="N352" s="156" t="n"/>
      <c r="O352" s="156" t="n"/>
    </row>
    <row r="353" ht="18.75" customHeight="1" s="153">
      <c r="A353" s="227" t="n"/>
      <c r="B353" s="228" t="inlineStr">
        <is>
          <t>GABOTO 7320</t>
        </is>
      </c>
      <c r="C353" s="229" t="n">
        <v>1</v>
      </c>
      <c r="D353" s="229" t="n"/>
      <c r="E353" s="229" t="n">
        <v>1</v>
      </c>
      <c r="F353" s="230" t="n"/>
      <c r="G353" s="230" t="n"/>
      <c r="H353" s="231" t="n">
        <v>105000</v>
      </c>
      <c r="I353" s="232" t="n">
        <v>105000</v>
      </c>
      <c r="J353" s="232" t="n"/>
      <c r="K353" s="233" t="n"/>
      <c r="L353" s="233">
        <f>IF(K353&lt;&gt;"",30000+K353,30000)</f>
        <v/>
      </c>
      <c r="M353" s="156" t="n"/>
      <c r="N353" s="156" t="n"/>
      <c r="O353" s="156" t="n"/>
    </row>
    <row r="354" ht="18.75" customHeight="1" s="153">
      <c r="A354" s="237" t="n"/>
      <c r="B354" s="238" t="inlineStr">
        <is>
          <t>AZCUENAGA 5023</t>
        </is>
      </c>
      <c r="C354" s="239" t="n">
        <v>4</v>
      </c>
      <c r="D354" s="239" t="n"/>
      <c r="E354" s="239" t="n"/>
      <c r="F354" s="240" t="n"/>
      <c r="G354" s="240" t="n"/>
      <c r="H354" s="241" t="n">
        <v>68000</v>
      </c>
      <c r="I354" s="242" t="n"/>
      <c r="J354" s="242" t="n">
        <v>68000</v>
      </c>
      <c r="K354" s="233" t="n"/>
      <c r="L354" s="233">
        <f>IF(K354&lt;&gt;"",8000+K354,8000)</f>
        <v/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ESMERALDA 2376</t>
        </is>
      </c>
      <c r="C355" s="229" t="n"/>
      <c r="D355" s="229" t="n"/>
      <c r="E355" s="229" t="n">
        <v>1</v>
      </c>
      <c r="F355" s="230" t="n"/>
      <c r="G355" s="230" t="n"/>
      <c r="H355" s="257" t="n">
        <v>80000</v>
      </c>
      <c r="I355" s="258" t="n"/>
      <c r="J355" s="258" t="n">
        <v>80000</v>
      </c>
      <c r="K355" s="233" t="n"/>
      <c r="L355" s="233">
        <f>IF(K355&lt;&gt;"",20000+K355,20000)</f>
        <v/>
      </c>
      <c r="M355" s="156" t="n"/>
      <c r="N355" s="156" t="n"/>
      <c r="O355" s="156" t="n"/>
    </row>
    <row r="356" ht="15.75" customHeight="1" s="153">
      <c r="A356" s="237" t="n"/>
      <c r="B356" s="238" t="inlineStr">
        <is>
          <t>CHICLANA 7325</t>
        </is>
      </c>
      <c r="C356" s="239" t="n">
        <v>1</v>
      </c>
      <c r="D356" s="239" t="n"/>
      <c r="E356" s="239" t="n"/>
      <c r="F356" s="240" t="n"/>
      <c r="G356" s="240" t="n"/>
      <c r="H356" s="259" t="n">
        <v>19000</v>
      </c>
      <c r="I356" s="260" t="n"/>
      <c r="J356" s="260" t="n">
        <v>19000</v>
      </c>
      <c r="K356" s="233" t="n"/>
      <c r="L356" s="233">
        <f>IF(K356&lt;&gt;"",4000+K356,4000)</f>
        <v/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PEDRO ESPINOSA 5609</t>
        </is>
      </c>
      <c r="C357" s="229" t="n">
        <v>1</v>
      </c>
      <c r="D357" s="229" t="n"/>
      <c r="E357" s="229" t="n"/>
      <c r="F357" s="230" t="n"/>
      <c r="G357" s="230" t="n"/>
      <c r="H357" s="257" t="n">
        <v>25000</v>
      </c>
      <c r="I357" s="258" t="n">
        <v>25000</v>
      </c>
      <c r="J357" s="258" t="n"/>
      <c r="K357" s="233" t="n"/>
      <c r="L357" s="233">
        <f>IF(K357&lt;&gt;"",10000+K357,10000)</f>
        <v/>
      </c>
      <c r="M357" s="156" t="n"/>
      <c r="N357" s="156" t="n"/>
      <c r="O357" s="156" t="n"/>
    </row>
    <row r="358" ht="15.75" customHeight="1" s="153">
      <c r="A358" s="237" t="n"/>
      <c r="B358" s="238" t="inlineStr">
        <is>
          <t>ESTANISLAO ZEBALLOS 5278</t>
        </is>
      </c>
      <c r="C358" s="239" t="n"/>
      <c r="D358" s="239" t="n"/>
      <c r="E358" s="239" t="n">
        <v>1</v>
      </c>
      <c r="F358" s="240" t="n"/>
      <c r="G358" s="240" t="n"/>
      <c r="H358" s="259" t="n">
        <v>80000</v>
      </c>
      <c r="I358" s="260" t="n">
        <v>80000</v>
      </c>
      <c r="J358" s="260" t="n"/>
      <c r="K358" s="233" t="n"/>
      <c r="L358" s="233">
        <f>IF(K358&lt;&gt;"",20000+K358,20000)</f>
        <v/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AGUAYO 3617</t>
        </is>
      </c>
      <c r="C359" s="229" t="n">
        <v>1</v>
      </c>
      <c r="D359" s="229" t="n"/>
      <c r="E359" s="229" t="n"/>
      <c r="F359" s="230" t="n"/>
      <c r="G359" s="230" t="n"/>
      <c r="H359" s="257" t="n">
        <v>25000</v>
      </c>
      <c r="I359" s="258" t="n">
        <v>25000</v>
      </c>
      <c r="J359" s="258" t="n"/>
      <c r="K359" s="233" t="n"/>
      <c r="L359" s="233">
        <f>IF(K359&lt;&gt;"",10000+K359,10000)</f>
        <v/>
      </c>
      <c r="M359" s="156" t="n"/>
      <c r="N359" s="156" t="n"/>
      <c r="O359" s="156" t="n"/>
    </row>
    <row r="360" ht="15.75" customHeight="1" s="153">
      <c r="A360" s="237" t="n"/>
      <c r="B360" s="238" t="inlineStr">
        <is>
          <t>SABOREAR</t>
        </is>
      </c>
      <c r="C360" s="239" t="n"/>
      <c r="D360" s="239" t="n">
        <v>1</v>
      </c>
      <c r="E360" s="239" t="n"/>
      <c r="F360" s="240" t="n"/>
      <c r="G360" s="240" t="n"/>
      <c r="H360" s="259" t="n">
        <v>31500</v>
      </c>
      <c r="I360" s="260" t="n"/>
      <c r="J360" s="260" t="n">
        <v>31500</v>
      </c>
      <c r="K360" s="233" t="n"/>
      <c r="L360" s="233">
        <f>IF(K360&lt;&gt;"",9000+K360,9000)</f>
        <v/>
      </c>
      <c r="M360" s="156" t="n"/>
      <c r="N360" s="156" t="n"/>
      <c r="O360" s="156" t="n"/>
    </row>
    <row r="361" ht="15.75" customHeight="1" s="153">
      <c r="A361" s="227" t="n">
        <v>46108</v>
      </c>
      <c r="B361" s="228" t="inlineStr">
        <is>
          <t>ANGEL</t>
        </is>
      </c>
      <c r="C361" s="229" t="n">
        <v>1</v>
      </c>
      <c r="D361" s="229" t="n"/>
      <c r="E361" s="229" t="n"/>
      <c r="F361" s="230" t="n"/>
      <c r="G361" s="230" t="n"/>
      <c r="H361" s="257" t="n">
        <v>17000</v>
      </c>
      <c r="I361" s="258" t="n">
        <v>17000</v>
      </c>
      <c r="J361" s="258" t="n"/>
      <c r="K361" s="233" t="n"/>
      <c r="L361" s="233">
        <f>IF(K361&lt;&gt;"",2000+K361,2000)</f>
        <v/>
      </c>
      <c r="M361" s="156" t="n"/>
      <c r="N361" s="156" t="n"/>
      <c r="O361" s="156" t="n"/>
    </row>
    <row r="362" ht="15.75" customHeight="1" s="153">
      <c r="A362" s="237" t="n"/>
      <c r="B362" s="238" t="inlineStr">
        <is>
          <t>CINDI</t>
        </is>
      </c>
      <c r="C362" s="239" t="n"/>
      <c r="D362" s="239" t="n"/>
      <c r="E362" s="239" t="n"/>
      <c r="F362" s="240" t="n">
        <v>2</v>
      </c>
      <c r="G362" s="240" t="n"/>
      <c r="H362" s="259" t="n">
        <v>7000</v>
      </c>
      <c r="I362" s="260" t="n"/>
      <c r="J362" s="260" t="n">
        <v>7000</v>
      </c>
      <c r="K362" s="233" t="n"/>
      <c r="L362" s="233">
        <f>IF(K362&lt;&gt;"",2400+K362,2400)</f>
        <v/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JORGE VIANDA</t>
        </is>
      </c>
      <c r="C363" s="229" t="n">
        <v>1</v>
      </c>
      <c r="D363" s="229" t="n"/>
      <c r="E363" s="229" t="n"/>
      <c r="F363" s="230" t="n"/>
      <c r="G363" s="230" t="n"/>
      <c r="H363" s="257" t="n">
        <v>20000</v>
      </c>
      <c r="I363" s="258" t="n">
        <v>20000</v>
      </c>
      <c r="J363" s="258" t="n"/>
      <c r="K363" s="233" t="n"/>
      <c r="L363" s="233">
        <f>IF(K363&lt;&gt;"",5000+K363,5000)</f>
        <v/>
      </c>
      <c r="M363" s="156" t="n"/>
      <c r="N363" s="156" t="n"/>
      <c r="O363" s="156" t="n"/>
    </row>
    <row r="364" ht="15.75" customHeight="1" s="153">
      <c r="A364" s="237" t="n"/>
      <c r="B364" s="238" t="inlineStr">
        <is>
          <t>LUCHO</t>
        </is>
      </c>
      <c r="C364" s="239" t="n">
        <v>2</v>
      </c>
      <c r="D364" s="239" t="n"/>
      <c r="E364" s="239" t="n"/>
      <c r="F364" s="240" t="n"/>
      <c r="G364" s="240" t="n"/>
      <c r="H364" s="259" t="n">
        <v>34000</v>
      </c>
      <c r="I364" s="260" t="n"/>
      <c r="J364" s="260" t="n">
        <v>34000</v>
      </c>
      <c r="K364" s="233" t="n"/>
      <c r="L364" s="233">
        <f>IF(K364&lt;&gt;"",4000+K364,4000)</f>
        <v/>
      </c>
      <c r="M364" s="156" t="n"/>
      <c r="N364" s="156" t="n"/>
      <c r="O364" s="156" t="n"/>
    </row>
    <row r="365" ht="15.75" customHeight="1" s="153">
      <c r="A365" s="227" t="n"/>
      <c r="B365" s="228" t="inlineStr">
        <is>
          <t>PASAJE RODRIGUEZ 4461</t>
        </is>
      </c>
      <c r="C365" s="229" t="n"/>
      <c r="D365" s="229" t="n">
        <v>1</v>
      </c>
      <c r="E365" s="229" t="n"/>
      <c r="F365" s="230" t="n"/>
      <c r="G365" s="230" t="n"/>
      <c r="H365" s="257" t="n">
        <v>37500</v>
      </c>
      <c r="I365" s="258" t="n"/>
      <c r="J365" s="258" t="n">
        <v>37500</v>
      </c>
      <c r="K365" s="233" t="n"/>
      <c r="L365" s="233">
        <f>IF(K365&lt;&gt;"",15000+K365,15000)</f>
        <v/>
      </c>
      <c r="M365" s="156" t="n"/>
      <c r="N365" s="156" t="n"/>
      <c r="O365" s="156" t="n"/>
    </row>
    <row r="366" ht="15.75" customHeight="1" s="153">
      <c r="A366" s="237" t="n"/>
      <c r="B366" s="238" t="inlineStr">
        <is>
          <t>ARISTOBULO 5401</t>
        </is>
      </c>
      <c r="C366" s="239" t="n"/>
      <c r="D366" s="239" t="n">
        <v>1</v>
      </c>
      <c r="E366" s="239" t="n"/>
      <c r="F366" s="240" t="n"/>
      <c r="G366" s="240" t="n"/>
      <c r="H366" s="259" t="n">
        <v>27000</v>
      </c>
      <c r="I366" s="260" t="n">
        <v>27000</v>
      </c>
      <c r="J366" s="260" t="n"/>
      <c r="K366" s="233" t="n"/>
      <c r="L366" s="233">
        <f>IF(K366&lt;&gt;"",4500+K366,4500)</f>
        <v/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12 INFANTERIA 3982</t>
        </is>
      </c>
      <c r="C367" s="229" t="n"/>
      <c r="D367" s="229" t="n"/>
      <c r="E367" s="229" t="n">
        <v>1</v>
      </c>
      <c r="F367" s="230" t="n"/>
      <c r="G367" s="230" t="n"/>
      <c r="H367" s="257" t="n">
        <v>80000</v>
      </c>
      <c r="I367" s="258" t="n"/>
      <c r="J367" s="258" t="n">
        <v>80000</v>
      </c>
      <c r="K367" s="233" t="n"/>
      <c r="L367" s="233">
        <f>IF(K367&lt;&gt;"",20000+K367,20000)</f>
        <v/>
      </c>
      <c r="M367" s="156" t="n"/>
      <c r="N367" s="156" t="n"/>
      <c r="O367" s="156" t="n"/>
    </row>
    <row r="368" ht="15.75" customHeight="1" s="153">
      <c r="A368" s="237" t="n"/>
      <c r="B368" s="238" t="inlineStr">
        <is>
          <t>FORMOSA 5746</t>
        </is>
      </c>
      <c r="C368" s="239" t="n">
        <v>1</v>
      </c>
      <c r="D368" s="239" t="n"/>
      <c r="E368" s="239" t="n"/>
      <c r="F368" s="240" t="n"/>
      <c r="G368" s="240" t="n"/>
      <c r="H368" s="259" t="n">
        <v>23500</v>
      </c>
      <c r="I368" s="260" t="n">
        <v>23500</v>
      </c>
      <c r="J368" s="260" t="n"/>
      <c r="K368" s="233" t="n"/>
      <c r="L368" s="233">
        <f>IF(K368&lt;&gt;"",8500+K368,8500)</f>
        <v/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9 DE JULIO 1144</t>
        </is>
      </c>
      <c r="C369" s="229" t="n"/>
      <c r="D369" s="229" t="n"/>
      <c r="E369" s="229" t="n">
        <v>2</v>
      </c>
      <c r="F369" s="230" t="n"/>
      <c r="G369" s="230" t="n"/>
      <c r="H369" s="257" t="n">
        <v>172000</v>
      </c>
      <c r="I369" s="258" t="n"/>
      <c r="J369" s="258" t="n">
        <v>172000</v>
      </c>
      <c r="K369" s="233" t="n"/>
      <c r="L369" s="233">
        <f>IF(K369&lt;&gt;"",52000+K369,52000)</f>
        <v/>
      </c>
      <c r="M369" s="156" t="n"/>
      <c r="N369" s="156" t="n"/>
      <c r="O369" s="156" t="n"/>
    </row>
    <row r="370" ht="15.75" customHeight="1" s="153">
      <c r="A370" s="237" t="n"/>
      <c r="B370" s="238" t="inlineStr">
        <is>
          <t>ROTI VIEYTES</t>
        </is>
      </c>
      <c r="C370" s="239" t="n"/>
      <c r="D370" s="239" t="n">
        <v>1</v>
      </c>
      <c r="E370" s="239" t="n"/>
      <c r="F370" s="240" t="n"/>
      <c r="G370" s="240" t="n"/>
      <c r="H370" s="259" t="n">
        <v>25000</v>
      </c>
      <c r="I370" s="260" t="n"/>
      <c r="J370" s="260" t="n">
        <v>25000</v>
      </c>
      <c r="K370" s="233" t="n"/>
      <c r="L370" s="233">
        <f>IF(K370&lt;&gt;"",2500+K370,2500)</f>
        <v/>
      </c>
      <c r="M370" s="156" t="n"/>
      <c r="N370" s="156" t="n"/>
      <c r="O370" s="156" t="n"/>
    </row>
    <row r="371" ht="15.75" customHeight="1" s="153">
      <c r="A371" s="227" t="n"/>
      <c r="B371" s="228" t="inlineStr">
        <is>
          <t>ALE</t>
        </is>
      </c>
      <c r="C371" s="229" t="n"/>
      <c r="D371" s="229" t="n"/>
      <c r="E371" s="229" t="n"/>
      <c r="F371" s="230" t="n"/>
      <c r="G371" s="230" t="n">
        <v>1</v>
      </c>
      <c r="H371" s="257" t="n">
        <v>5500</v>
      </c>
      <c r="I371" s="258" t="n">
        <v>5500</v>
      </c>
      <c r="J371" s="258" t="n"/>
      <c r="K371" s="233" t="n"/>
      <c r="L371" s="233">
        <f>IF(K371&lt;&gt;"",4650+K371,4650)</f>
        <v/>
      </c>
      <c r="M371" s="156" t="n"/>
      <c r="N371" s="156" t="n"/>
      <c r="O371" s="156" t="n"/>
    </row>
    <row r="372" ht="15.75" customHeight="1" s="153">
      <c r="A372" s="237" t="n"/>
      <c r="B372" s="238" t="inlineStr">
        <is>
          <t>CAREN</t>
        </is>
      </c>
      <c r="C372" s="239" t="n"/>
      <c r="D372" s="239" t="n"/>
      <c r="E372" s="239" t="n">
        <v>1</v>
      </c>
      <c r="F372" s="240" t="n"/>
      <c r="G372" s="240" t="n"/>
      <c r="H372" s="259" t="n">
        <v>77000</v>
      </c>
      <c r="I372" s="260" t="n"/>
      <c r="J372" s="260" t="n">
        <v>77000</v>
      </c>
      <c r="K372" s="233" t="n"/>
      <c r="L372" s="233">
        <f>IF(K372&lt;&gt;"",17000+K372,17000)</f>
        <v/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SABOREAR</t>
        </is>
      </c>
      <c r="C373" s="229" t="n"/>
      <c r="D373" s="229" t="n"/>
      <c r="E373" s="229" t="n">
        <v>1</v>
      </c>
      <c r="F373" s="230" t="n"/>
      <c r="G373" s="230" t="n"/>
      <c r="H373" s="257" t="n">
        <v>77000</v>
      </c>
      <c r="I373" s="258" t="n"/>
      <c r="J373" s="258" t="n">
        <v>77000</v>
      </c>
      <c r="K373" s="233" t="n"/>
      <c r="L373" s="233">
        <f>IF(K373&lt;&gt;"",17000+K373,17000)</f>
        <v/>
      </c>
      <c r="M373" s="156" t="n"/>
      <c r="N373" s="156" t="n"/>
      <c r="O373" s="156" t="n"/>
    </row>
    <row r="374" ht="15.75" customHeight="1" s="153">
      <c r="A374" s="237" t="n"/>
      <c r="B374" s="238" t="inlineStr">
        <is>
          <t>TACUARI 5717</t>
        </is>
      </c>
      <c r="C374" s="239" t="n">
        <v>1</v>
      </c>
      <c r="D374" s="239" t="n"/>
      <c r="E374" s="239" t="n"/>
      <c r="F374" s="240" t="n"/>
      <c r="G374" s="240" t="n"/>
      <c r="H374" s="259" t="n">
        <v>23000</v>
      </c>
      <c r="I374" s="260" t="n"/>
      <c r="J374" s="260" t="n">
        <v>23000</v>
      </c>
      <c r="K374" s="233" t="n"/>
      <c r="L374" s="233">
        <f>IF(K374&lt;&gt;"",8000+K374,8000)</f>
        <v/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FILOMENA</t>
        </is>
      </c>
      <c r="C375" s="229" t="n">
        <v>2</v>
      </c>
      <c r="D375" s="229" t="n"/>
      <c r="E375" s="229" t="n"/>
      <c r="F375" s="230" t="n"/>
      <c r="G375" s="230" t="n"/>
      <c r="H375" s="257" t="n">
        <v>41000</v>
      </c>
      <c r="I375" s="258" t="n"/>
      <c r="J375" s="258" t="n">
        <v>41000</v>
      </c>
      <c r="K375" s="233" t="n"/>
      <c r="L375" s="233">
        <f>IF(K375&lt;&gt;"",11000+K375,11000)</f>
        <v/>
      </c>
      <c r="M375" s="156" t="n"/>
      <c r="N375" s="156" t="n"/>
      <c r="O375" s="156" t="n"/>
    </row>
    <row r="376" ht="15.75" customHeight="1" s="153">
      <c r="A376" s="237" t="n"/>
      <c r="B376" s="238" t="inlineStr">
        <is>
          <t>VIEYTES 4361</t>
        </is>
      </c>
      <c r="C376" s="239" t="n">
        <v>2</v>
      </c>
      <c r="D376" s="239" t="n"/>
      <c r="E376" s="239" t="n"/>
      <c r="F376" s="240" t="n"/>
      <c r="G376" s="240" t="n"/>
      <c r="H376" s="259" t="n">
        <v>50000</v>
      </c>
      <c r="I376" s="260" t="n"/>
      <c r="J376" s="260" t="n"/>
      <c r="K376" s="233" t="n"/>
      <c r="L376" s="233">
        <f>IF(K376&lt;&gt;"",20000+K376,20000)</f>
        <v/>
      </c>
      <c r="M376" s="156" t="n"/>
      <c r="N376" s="156" t="n"/>
      <c r="O376" s="156" t="n"/>
    </row>
    <row r="377" ht="15.75" customHeight="1" s="153">
      <c r="A377" s="227" t="n">
        <v>46109</v>
      </c>
      <c r="B377" s="228" t="inlineStr">
        <is>
          <t>PANA ALBERTI</t>
        </is>
      </c>
      <c r="C377" s="229" t="n"/>
      <c r="D377" s="229" t="n"/>
      <c r="E377" s="229" t="n">
        <v>1</v>
      </c>
      <c r="F377" s="230" t="n"/>
      <c r="G377" s="230" t="n"/>
      <c r="H377" s="257" t="n">
        <v>77000</v>
      </c>
      <c r="I377" s="258" t="n">
        <v>77000</v>
      </c>
      <c r="J377" s="258" t="n"/>
      <c r="K377" s="233" t="n"/>
      <c r="L377" s="233">
        <f>IF(K377&lt;&gt;"",17000+K377,17000)</f>
        <v/>
      </c>
      <c r="M377" s="156" t="n"/>
      <c r="N377" s="156" t="n"/>
      <c r="O377" s="156" t="n"/>
    </row>
    <row r="378" ht="15.75" customHeight="1" s="153">
      <c r="A378" s="237" t="n"/>
      <c r="B378" s="238" t="inlineStr">
        <is>
          <t>PANA GORRITI 4600</t>
        </is>
      </c>
      <c r="C378" s="239" t="n"/>
      <c r="D378" s="239" t="n"/>
      <c r="E378" s="239" t="n">
        <v>1</v>
      </c>
      <c r="F378" s="240" t="n"/>
      <c r="G378" s="240" t="n"/>
      <c r="H378" s="259" t="n">
        <v>79000</v>
      </c>
      <c r="I378" s="260" t="n">
        <v>79000</v>
      </c>
      <c r="J378" s="260" t="n"/>
      <c r="K378" s="233" t="n"/>
      <c r="L378" s="233">
        <f>IF(K378&lt;&gt;"",19000+K378,19000)</f>
        <v/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BRASERIA</t>
        </is>
      </c>
      <c r="C379" s="229" t="n"/>
      <c r="D379" s="229" t="n"/>
      <c r="E379" s="229" t="n">
        <v>1</v>
      </c>
      <c r="F379" s="230" t="n"/>
      <c r="G379" s="230" t="n"/>
      <c r="H379" s="257" t="n">
        <v>78000</v>
      </c>
      <c r="I379" s="258" t="n"/>
      <c r="J379" s="258" t="n">
        <v>78000</v>
      </c>
      <c r="K379" s="233" t="n"/>
      <c r="L379" s="233">
        <f>IF(K379&lt;&gt;"",18000+K379,18000)</f>
        <v/>
      </c>
      <c r="M379" s="156" t="n"/>
      <c r="N379" s="156" t="n"/>
      <c r="O379" s="156" t="n"/>
    </row>
    <row r="380" ht="15.75" customHeight="1" s="153">
      <c r="A380" s="237" t="n"/>
      <c r="B380" s="238" t="inlineStr">
        <is>
          <t>AZCUENAGA 5023</t>
        </is>
      </c>
      <c r="C380" s="239" t="n">
        <v>2</v>
      </c>
      <c r="D380" s="239" t="n">
        <v>1</v>
      </c>
      <c r="E380" s="239" t="n"/>
      <c r="F380" s="240" t="n"/>
      <c r="G380" s="240" t="n"/>
      <c r="H380" s="259" t="n">
        <v>59500</v>
      </c>
      <c r="I380" s="260" t="n"/>
      <c r="J380" s="260" t="n"/>
      <c r="K380" s="233" t="n"/>
      <c r="L380" s="233">
        <f>IF(K380&lt;&gt;"",7000+K380,7000)</f>
        <v/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VIANDAS JORGE</t>
        </is>
      </c>
      <c r="C381" s="229" t="n">
        <v>1</v>
      </c>
      <c r="D381" s="229" t="n"/>
      <c r="E381" s="229" t="n"/>
      <c r="F381" s="230" t="n"/>
      <c r="G381" s="230" t="n"/>
      <c r="H381" s="257" t="n">
        <v>20000</v>
      </c>
      <c r="I381" s="258" t="n">
        <v>20000</v>
      </c>
      <c r="J381" s="258" t="n"/>
      <c r="K381" s="233" t="n"/>
      <c r="L381" s="233">
        <f>IF(K381&lt;&gt;"",5000+K381,5000)</f>
        <v/>
      </c>
      <c r="M381" s="156" t="n"/>
      <c r="N381" s="156" t="n"/>
      <c r="O381" s="156" t="n"/>
    </row>
    <row r="382" ht="15.75" customHeight="1" s="153">
      <c r="A382" s="237" t="n"/>
      <c r="B382" s="238" t="inlineStr">
        <is>
          <t>EXE</t>
        </is>
      </c>
      <c r="C382" s="239" t="n"/>
      <c r="D382" s="239" t="n"/>
      <c r="E382" s="239" t="n">
        <v>1</v>
      </c>
      <c r="F382" s="240" t="n"/>
      <c r="G382" s="240" t="n"/>
      <c r="H382" s="259" t="n">
        <v>77000</v>
      </c>
      <c r="I382" s="260" t="n"/>
      <c r="J382" s="260" t="n">
        <v>77000</v>
      </c>
      <c r="K382" s="233" t="n"/>
      <c r="L382" s="233">
        <f>IF(K382&lt;&gt;"",17000+K382,17000)</f>
        <v/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PAULO</t>
        </is>
      </c>
      <c r="C383" s="229" t="n">
        <v>2</v>
      </c>
      <c r="D383" s="229" t="n"/>
      <c r="E383" s="229" t="n"/>
      <c r="F383" s="230" t="n"/>
      <c r="G383" s="230" t="n"/>
      <c r="H383" s="257" t="n">
        <v>33000</v>
      </c>
      <c r="I383" s="258" t="n">
        <v>33000</v>
      </c>
      <c r="J383" s="258" t="n"/>
      <c r="K383" s="233" t="n"/>
      <c r="L383" s="233">
        <f>IF(K383&lt;&gt;"",3000+K383,3000)</f>
        <v/>
      </c>
      <c r="M383" s="156" t="n"/>
      <c r="N383" s="156" t="n"/>
      <c r="O383" s="156" t="n"/>
    </row>
    <row r="384" ht="15.75" customHeight="1" s="153">
      <c r="A384" s="237" t="n"/>
      <c r="B384" s="238" t="inlineStr">
        <is>
          <t>NEUQUEN 2531</t>
        </is>
      </c>
      <c r="C384" s="239" t="n"/>
      <c r="D384" s="239" t="n"/>
      <c r="E384" s="239" t="n">
        <v>1</v>
      </c>
      <c r="F384" s="240" t="n"/>
      <c r="G384" s="240" t="n"/>
      <c r="H384" s="259" t="n">
        <v>82000</v>
      </c>
      <c r="I384" s="260" t="n"/>
      <c r="J384" s="260" t="n">
        <v>82000</v>
      </c>
      <c r="K384" s="233" t="n"/>
      <c r="L384" s="233">
        <f>IF(K384&lt;&gt;"",22000+K384,22000)</f>
        <v/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TUYA ABUELA</t>
        </is>
      </c>
      <c r="C385" s="229" t="n"/>
      <c r="D385" s="229" t="n">
        <v>1</v>
      </c>
      <c r="E385" s="229" t="n"/>
      <c r="F385" s="230" t="n"/>
      <c r="G385" s="230" t="n"/>
      <c r="H385" s="257" t="n">
        <v>39000</v>
      </c>
      <c r="I385" s="258" t="n">
        <v>39000</v>
      </c>
      <c r="J385" s="258" t="n"/>
      <c r="K385" s="233" t="n"/>
      <c r="L385" s="233">
        <f>IF(K385&lt;&gt;"",16500+K385,16500)</f>
        <v/>
      </c>
      <c r="M385" s="156" t="n"/>
      <c r="N385" s="156" t="n"/>
      <c r="O385" s="156" t="n"/>
    </row>
    <row r="386" ht="15.75" customHeight="1" s="153">
      <c r="A386" s="237" t="n"/>
      <c r="B386" s="238" t="inlineStr">
        <is>
          <t>BERNARDO IRIGOYEN 6854</t>
        </is>
      </c>
      <c r="C386" s="239" t="n">
        <v>1</v>
      </c>
      <c r="D386" s="239" t="n"/>
      <c r="E386" s="239" t="n"/>
      <c r="F386" s="240" t="n"/>
      <c r="G386" s="240" t="n"/>
      <c r="H386" s="259" t="n">
        <v>23500</v>
      </c>
      <c r="I386" s="260" t="n">
        <v>23500</v>
      </c>
      <c r="J386" s="260" t="n"/>
      <c r="K386" s="233" t="n"/>
      <c r="L386" s="233">
        <f>IF(K386&lt;&gt;"",8500+K386,8500)</f>
        <v/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SAN MARTIN 8515</t>
        </is>
      </c>
      <c r="C387" s="229" t="n"/>
      <c r="D387" s="229" t="n"/>
      <c r="E387" s="229" t="n">
        <v>1</v>
      </c>
      <c r="F387" s="230" t="n"/>
      <c r="G387" s="230" t="n"/>
      <c r="H387" s="257" t="n">
        <v>82000</v>
      </c>
      <c r="I387" s="258" t="n">
        <v>82000</v>
      </c>
      <c r="J387" s="258" t="n"/>
      <c r="K387" s="233" t="n"/>
      <c r="L387" s="233">
        <f>IF(K387&lt;&gt;"",22000+K387,22000)</f>
        <v/>
      </c>
      <c r="M387" s="156" t="n"/>
      <c r="N387" s="156" t="n"/>
      <c r="O387" s="156" t="n"/>
    </row>
    <row r="388" ht="15.75" customHeight="1" s="153">
      <c r="A388" s="237" t="n">
        <v>46110</v>
      </c>
      <c r="B388" s="238" t="inlineStr">
        <is>
          <t>PASTELERIA GLADYS</t>
        </is>
      </c>
      <c r="C388" s="239" t="n"/>
      <c r="D388" s="239" t="n"/>
      <c r="E388" s="239" t="n">
        <v>2</v>
      </c>
      <c r="F388" s="240" t="n"/>
      <c r="G388" s="240" t="n"/>
      <c r="H388" s="259" t="n">
        <v>140000</v>
      </c>
      <c r="I388" s="260" t="n">
        <v>140000</v>
      </c>
      <c r="J388" s="260" t="n"/>
      <c r="K388" s="233" t="n"/>
      <c r="L388" s="233">
        <f>IF(K388&lt;&gt;"",20000+K388,20000)</f>
        <v/>
      </c>
      <c r="M388" s="156" t="n"/>
      <c r="N388" s="156" t="n"/>
      <c r="O388" s="156" t="n"/>
    </row>
    <row r="389" ht="15.75" customHeight="1" s="153">
      <c r="A389" s="227" t="n"/>
      <c r="B389" s="228" t="inlineStr">
        <is>
          <t>PEDRO CENTENO</t>
        </is>
      </c>
      <c r="C389" s="229" t="n">
        <v>1</v>
      </c>
      <c r="D389" s="229" t="n"/>
      <c r="E389" s="229" t="n"/>
      <c r="F389" s="230" t="n"/>
      <c r="G389" s="230" t="n"/>
      <c r="H389" s="257" t="n">
        <v>27000</v>
      </c>
      <c r="I389" s="258" t="n">
        <v>27000</v>
      </c>
      <c r="J389" s="258" t="n"/>
      <c r="K389" s="233" t="n"/>
      <c r="L389" s="233">
        <f>IF(K389&lt;&gt;"",12000+K389,12000)</f>
        <v/>
      </c>
      <c r="M389" s="156" t="n"/>
      <c r="N389" s="156" t="n"/>
      <c r="O389" s="156" t="n"/>
    </row>
    <row r="390" ht="15.75" customHeight="1" s="153">
      <c r="A390" s="237" t="n"/>
      <c r="B390" s="238" t="inlineStr">
        <is>
          <t>PAULO</t>
        </is>
      </c>
      <c r="C390" s="239" t="n">
        <v>2</v>
      </c>
      <c r="D390" s="239" t="n"/>
      <c r="E390" s="239" t="n"/>
      <c r="F390" s="240" t="n"/>
      <c r="G390" s="240" t="n"/>
      <c r="H390" s="259" t="n">
        <v>33000</v>
      </c>
      <c r="I390" s="260" t="n">
        <v>33000</v>
      </c>
      <c r="J390" s="260" t="n"/>
      <c r="K390" s="233" t="n"/>
      <c r="L390" s="233">
        <f>IF(K390&lt;&gt;"",3000+K390,3000)</f>
        <v/>
      </c>
      <c r="M390" s="156" t="n"/>
      <c r="N390" s="156" t="n"/>
      <c r="O390" s="156" t="n"/>
    </row>
    <row r="391" ht="15.75" customHeight="1" s="153">
      <c r="A391" s="227" t="n"/>
      <c r="B391" s="228" t="inlineStr">
        <is>
          <t>DANA</t>
        </is>
      </c>
      <c r="C391" s="229" t="n">
        <v>3</v>
      </c>
      <c r="D391" s="229" t="n"/>
      <c r="E391" s="229" t="n"/>
      <c r="F391" s="230" t="n"/>
      <c r="G391" s="230" t="n"/>
      <c r="H391" s="257" t="n">
        <v>51000</v>
      </c>
      <c r="I391" s="258" t="n">
        <v>51000</v>
      </c>
      <c r="J391" s="258" t="n"/>
      <c r="K391" s="233" t="n"/>
      <c r="L391" s="233">
        <f>IF(K391&lt;&gt;"",6000+K391,6000)</f>
        <v/>
      </c>
      <c r="M391" s="156" t="n"/>
      <c r="N391" s="156" t="n"/>
      <c r="O391" s="156" t="n"/>
    </row>
    <row r="392" ht="15.75" customHeight="1" s="153">
      <c r="A392" s="237" t="n"/>
      <c r="B392" s="238" t="inlineStr">
        <is>
          <t>CHICLANA 7325</t>
        </is>
      </c>
      <c r="C392" s="239" t="n">
        <v>1</v>
      </c>
      <c r="D392" s="239" t="n"/>
      <c r="E392" s="239" t="n"/>
      <c r="F392" s="240" t="n"/>
      <c r="G392" s="240" t="n"/>
      <c r="H392" s="259" t="n">
        <v>17000</v>
      </c>
      <c r="I392" s="260" t="n">
        <v>17000</v>
      </c>
      <c r="J392" s="260" t="n"/>
      <c r="K392" s="233" t="n"/>
      <c r="L392" s="233">
        <f>IF(K392&lt;&gt;"",2000+K392,2000)</f>
        <v/>
      </c>
      <c r="M392" s="156" t="n"/>
      <c r="N392" s="156" t="n"/>
      <c r="O392" s="156" t="n"/>
    </row>
    <row r="393" ht="15.75" customHeight="1" s="153">
      <c r="A393" s="227" t="n"/>
      <c r="B393" s="228" t="inlineStr">
        <is>
          <t>ROTI AGUADO</t>
        </is>
      </c>
      <c r="C393" s="229" t="n">
        <v>1</v>
      </c>
      <c r="D393" s="229" t="n">
        <v>1</v>
      </c>
      <c r="E393" s="229" t="n"/>
      <c r="F393" s="230" t="n"/>
      <c r="G393" s="230" t="n"/>
      <c r="H393" s="257" t="n">
        <v>51500</v>
      </c>
      <c r="I393" s="258" t="n"/>
      <c r="J393" s="258" t="n">
        <v>51500</v>
      </c>
      <c r="K393" s="233" t="n"/>
      <c r="L393" s="233">
        <f>IF(K393&lt;&gt;"",14000+K393,14000)</f>
        <v/>
      </c>
      <c r="M393" s="156" t="n"/>
      <c r="N393" s="156" t="n"/>
      <c r="O393" s="156" t="n"/>
    </row>
    <row r="394" ht="15.75" customHeight="1" s="153">
      <c r="A394" s="237" t="n"/>
      <c r="B394" s="238" t="inlineStr">
        <is>
          <t>JUAN JOSE VALLE 5573</t>
        </is>
      </c>
      <c r="C394" s="239" t="n">
        <v>1</v>
      </c>
      <c r="D394" s="239" t="n"/>
      <c r="E394" s="239" t="n"/>
      <c r="F394" s="240" t="n"/>
      <c r="G394" s="240" t="n"/>
      <c r="H394" s="259" t="n">
        <v>27000</v>
      </c>
      <c r="I394" s="260" t="n">
        <v>27000</v>
      </c>
      <c r="J394" s="260" t="n"/>
      <c r="K394" s="233" t="n"/>
      <c r="L394" s="233">
        <f>IF(K394&lt;&gt;"",12000+K394,12000)</f>
        <v/>
      </c>
      <c r="M394" s="156" t="n"/>
      <c r="N394" s="156" t="n"/>
      <c r="O394" s="156" t="n"/>
    </row>
    <row r="395" ht="15.75" customHeight="1" s="153">
      <c r="A395" s="227" t="n"/>
      <c r="B395" s="228" t="inlineStr">
        <is>
          <t>MONSEÑOR RODRIGUEZ</t>
        </is>
      </c>
      <c r="C395" s="229" t="n">
        <v>1</v>
      </c>
      <c r="D395" s="229" t="n"/>
      <c r="E395" s="229" t="n"/>
      <c r="F395" s="230" t="n"/>
      <c r="G395" s="230" t="n"/>
      <c r="H395" s="257" t="n">
        <v>27000</v>
      </c>
      <c r="I395" s="258" t="n"/>
      <c r="J395" s="258" t="n">
        <v>27000</v>
      </c>
      <c r="K395" s="233" t="n"/>
      <c r="L395" s="233">
        <f>IF(K395&lt;&gt;"",12000+K395,12000)</f>
        <v/>
      </c>
      <c r="M395" s="156" t="n"/>
      <c r="N395" s="156" t="n"/>
      <c r="O395" s="156" t="n"/>
    </row>
    <row r="396" ht="15.75" customHeight="1" s="153">
      <c r="A396" s="237" t="n"/>
      <c r="B396" s="238" t="inlineStr">
        <is>
          <t>NOGALES 3419</t>
        </is>
      </c>
      <c r="C396" s="239" t="n"/>
      <c r="D396" s="239" t="n"/>
      <c r="E396" s="239" t="n">
        <v>1</v>
      </c>
      <c r="F396" s="240" t="n"/>
      <c r="G396" s="240" t="n"/>
      <c r="H396" s="259" t="n">
        <v>85000</v>
      </c>
      <c r="I396" s="260" t="n"/>
      <c r="J396" s="260" t="n">
        <v>85000</v>
      </c>
      <c r="K396" s="233" t="n"/>
      <c r="L396" s="233">
        <f>IF(K396&lt;&gt;"",25000+K396,25000)</f>
        <v/>
      </c>
      <c r="M396" s="156" t="n"/>
      <c r="N396" s="156" t="n"/>
      <c r="O396" s="156" t="n"/>
    </row>
    <row r="397" ht="15.75" customHeight="1" s="153">
      <c r="A397" s="227" t="n"/>
      <c r="B397" s="228" t="inlineStr">
        <is>
          <t>PORKIS</t>
        </is>
      </c>
      <c r="C397" s="229" t="n">
        <v>1</v>
      </c>
      <c r="D397" s="229" t="n"/>
      <c r="E397" s="229" t="n"/>
      <c r="F397" s="230" t="n"/>
      <c r="G397" s="230" t="n"/>
      <c r="H397" s="257" t="n">
        <v>23000</v>
      </c>
      <c r="I397" s="258" t="n"/>
      <c r="J397" s="258" t="n">
        <v>23000</v>
      </c>
      <c r="K397" s="233" t="n"/>
      <c r="L397" s="233">
        <f>IF(K397&lt;&gt;"",8000+K397,8000)</f>
        <v/>
      </c>
      <c r="M397" s="156" t="n"/>
      <c r="N397" s="156" t="n"/>
      <c r="O397" s="156" t="n"/>
    </row>
    <row r="398" ht="15.75" customHeight="1" s="153">
      <c r="A398" s="237" t="n"/>
      <c r="B398" s="238" t="inlineStr">
        <is>
          <t>NACHO</t>
        </is>
      </c>
      <c r="C398" s="239" t="n">
        <v>1</v>
      </c>
      <c r="D398" s="239" t="n"/>
      <c r="E398" s="239" t="n"/>
      <c r="F398" s="240" t="n"/>
      <c r="G398" s="240" t="n"/>
      <c r="H398" s="259" t="n">
        <v>20500</v>
      </c>
      <c r="I398" s="260" t="n"/>
      <c r="J398" s="260" t="n">
        <v>20500</v>
      </c>
      <c r="K398" s="233" t="n"/>
      <c r="L398" s="233">
        <f>IF(K398&lt;&gt;"",5500+K398,5500)</f>
        <v/>
      </c>
      <c r="M398" s="156" t="n"/>
      <c r="N398" s="156" t="n"/>
      <c r="O398" s="156" t="n"/>
    </row>
    <row r="399" ht="15.75" customHeight="1" s="153">
      <c r="A399" s="227" t="n"/>
      <c r="B399" s="228" t="inlineStr">
        <is>
          <t>FILOMENA</t>
        </is>
      </c>
      <c r="C399" s="229" t="n">
        <v>2</v>
      </c>
      <c r="D399" s="229" t="n"/>
      <c r="E399" s="229" t="n"/>
      <c r="F399" s="230" t="n"/>
      <c r="G399" s="230" t="n"/>
      <c r="H399" s="257" t="n">
        <v>41000</v>
      </c>
      <c r="I399" s="258" t="n"/>
      <c r="J399" s="258" t="n">
        <v>41000</v>
      </c>
      <c r="K399" s="233" t="n"/>
      <c r="L399" s="233">
        <f>IF(K399&lt;&gt;"",11000+K399,11000)</f>
        <v/>
      </c>
      <c r="M399" s="156" t="n"/>
      <c r="N399" s="156" t="n"/>
      <c r="O399" s="156" t="n"/>
    </row>
    <row r="400" ht="15.75" customHeight="1" s="153">
      <c r="A400" s="237" t="n"/>
      <c r="B400" s="238" t="inlineStr">
        <is>
          <t>SABOREAR</t>
        </is>
      </c>
      <c r="C400" s="239" t="n">
        <v>1</v>
      </c>
      <c r="D400" s="239" t="n"/>
      <c r="E400" s="239" t="n"/>
      <c r="F400" s="240" t="n"/>
      <c r="G400" s="240" t="n"/>
      <c r="H400" s="259" t="n">
        <v>21000</v>
      </c>
      <c r="I400" s="260" t="n"/>
      <c r="J400" s="260" t="n">
        <v>21000</v>
      </c>
      <c r="K400" s="233" t="n"/>
      <c r="L400" s="233">
        <f>IF(K400&lt;&gt;"",6000+K400,6000)</f>
        <v/>
      </c>
    </row>
    <row r="401" ht="15.75" customHeight="1" s="153">
      <c r="A401" s="227" t="n">
        <v>46111</v>
      </c>
      <c r="B401" s="228" t="inlineStr">
        <is>
          <t>ALSINA 7980</t>
        </is>
      </c>
      <c r="C401" s="229" t="n">
        <v>1</v>
      </c>
      <c r="D401" s="229" t="n"/>
      <c r="E401" s="229" t="n"/>
      <c r="F401" s="230" t="n"/>
      <c r="G401" s="230" t="n"/>
      <c r="H401" s="257" t="n">
        <v>27000</v>
      </c>
      <c r="I401" s="258" t="n">
        <v>27000</v>
      </c>
      <c r="J401" s="258" t="n"/>
      <c r="K401" s="233" t="n"/>
      <c r="L401" s="233">
        <f>IF(K401&lt;&gt;"",12000+K401,12000)</f>
        <v/>
      </c>
    </row>
    <row r="402" ht="15.75" customHeight="1" s="153">
      <c r="A402" s="237" t="n"/>
      <c r="B402" s="238" t="inlineStr">
        <is>
          <t>PANA BERUTI 3850</t>
        </is>
      </c>
      <c r="C402" s="239" t="n"/>
      <c r="D402" s="239" t="n"/>
      <c r="E402" s="239" t="n">
        <v>1</v>
      </c>
      <c r="F402" s="240" t="n"/>
      <c r="G402" s="240" t="n"/>
      <c r="H402" s="259" t="n">
        <v>76000</v>
      </c>
      <c r="I402" s="260" t="n"/>
      <c r="J402" s="260" t="n">
        <v>76000</v>
      </c>
      <c r="K402" s="233" t="n"/>
      <c r="L402" s="233">
        <f>IF(K402&lt;&gt;"",16000+K402,16000)</f>
        <v/>
      </c>
    </row>
    <row r="403" ht="15.75" customHeight="1" s="153">
      <c r="A403" s="227" t="n"/>
      <c r="B403" s="228" t="inlineStr">
        <is>
          <t>BEATRIZ</t>
        </is>
      </c>
      <c r="C403" s="229" t="n"/>
      <c r="D403" s="229" t="n"/>
      <c r="E403" s="229" t="n"/>
      <c r="F403" s="230" t="n"/>
      <c r="G403" s="230" t="n">
        <v>2</v>
      </c>
      <c r="H403" s="257" t="n">
        <v>11000</v>
      </c>
      <c r="I403" s="258" t="n"/>
      <c r="J403" s="258" t="n">
        <v>11000</v>
      </c>
      <c r="K403" s="233" t="n"/>
      <c r="L403" s="233">
        <f>IF(K403&lt;&gt;"",9300+K403,9300)</f>
        <v/>
      </c>
    </row>
    <row r="404" ht="15.75" customHeight="1" s="153">
      <c r="A404" s="237" t="n"/>
      <c r="B404" s="238" t="inlineStr">
        <is>
          <t>AZCUENAGA 5023</t>
        </is>
      </c>
      <c r="C404" s="239" t="n">
        <v>3</v>
      </c>
      <c r="D404" s="239" t="n"/>
      <c r="E404" s="239" t="n"/>
      <c r="F404" s="240" t="n"/>
      <c r="G404" s="240" t="n"/>
      <c r="H404" s="259" t="n">
        <v>57000</v>
      </c>
      <c r="I404" s="260" t="n"/>
      <c r="J404" s="260" t="n">
        <v>57000</v>
      </c>
      <c r="K404" s="233" t="n"/>
      <c r="L404" s="233">
        <f>IF(K404&lt;&gt;"",12000+K404,12000)</f>
        <v/>
      </c>
    </row>
    <row r="405" ht="15.75" customHeight="1" s="153">
      <c r="A405" s="227" t="n"/>
      <c r="B405" s="228" t="inlineStr">
        <is>
          <t>LUCHO</t>
        </is>
      </c>
      <c r="C405" s="229" t="n">
        <v>2</v>
      </c>
      <c r="D405" s="229" t="n"/>
      <c r="E405" s="229" t="n"/>
      <c r="F405" s="230" t="n"/>
      <c r="G405" s="230" t="n"/>
      <c r="H405" s="257" t="n">
        <v>38000</v>
      </c>
      <c r="I405" s="258" t="n"/>
      <c r="J405" s="258" t="n">
        <v>38000</v>
      </c>
      <c r="K405" s="233" t="n"/>
      <c r="L405" s="233">
        <f>IF(K405&lt;&gt;"",8000+K405,8000)</f>
        <v/>
      </c>
    </row>
    <row r="406" ht="15.75" customHeight="1" s="153">
      <c r="A406" s="237" t="n"/>
      <c r="B406" s="238" t="inlineStr">
        <is>
          <t>SANTA CRUZ 3051</t>
        </is>
      </c>
      <c r="C406" s="239" t="n"/>
      <c r="D406" s="239" t="n"/>
      <c r="E406" s="239" t="n">
        <v>1</v>
      </c>
      <c r="F406" s="240" t="n"/>
      <c r="G406" s="240" t="n"/>
      <c r="H406" s="259" t="n">
        <v>75000</v>
      </c>
      <c r="I406" s="260" t="n">
        <v>75000</v>
      </c>
      <c r="J406" s="260" t="n"/>
      <c r="K406" s="233" t="n"/>
      <c r="L406" s="233">
        <f>IF(K406&lt;&gt;"",15000+K406,15000)</f>
        <v/>
      </c>
    </row>
    <row r="407" ht="15.75" customHeight="1" s="153">
      <c r="A407" s="227" t="n"/>
      <c r="B407" s="228" t="inlineStr">
        <is>
          <t>AZCUENAGA 5800 CASA 13</t>
        </is>
      </c>
      <c r="C407" s="229" t="n"/>
      <c r="D407" s="229" t="n"/>
      <c r="E407" s="229" t="n">
        <v>1</v>
      </c>
      <c r="F407" s="230" t="n"/>
      <c r="G407" s="230" t="n"/>
      <c r="H407" s="257" t="n">
        <v>86000</v>
      </c>
      <c r="I407" s="258" t="n"/>
      <c r="J407" s="258" t="n">
        <v>86000</v>
      </c>
      <c r="K407" s="233" t="n"/>
      <c r="L407" s="233">
        <f>IF(K407&lt;&gt;"",26000+K407,26000)</f>
        <v/>
      </c>
    </row>
    <row r="408" ht="15.75" customHeight="1" s="153">
      <c r="A408" s="237" t="n"/>
      <c r="B408" s="238" t="inlineStr">
        <is>
          <t>SANDRA</t>
        </is>
      </c>
      <c r="C408" s="239" t="n">
        <v>2</v>
      </c>
      <c r="D408" s="239" t="n"/>
      <c r="E408" s="239" t="n"/>
      <c r="F408" s="240" t="n"/>
      <c r="G408" s="240" t="n"/>
      <c r="H408" s="259" t="n">
        <v>38000</v>
      </c>
      <c r="I408" s="260" t="n">
        <v>38000</v>
      </c>
      <c r="J408" s="260" t="n"/>
      <c r="K408" s="233" t="n"/>
      <c r="L408" s="233">
        <f>IF(K408&lt;&gt;"",8000+K408,8000)</f>
        <v/>
      </c>
    </row>
    <row r="409" ht="15.75" customHeight="1" s="153">
      <c r="A409" s="227" t="n"/>
      <c r="B409" s="228" t="inlineStr">
        <is>
          <t>ALMONACID 4485</t>
        </is>
      </c>
      <c r="C409" s="229" t="n"/>
      <c r="D409" s="229" t="n"/>
      <c r="E409" s="229" t="n">
        <v>1</v>
      </c>
      <c r="F409" s="230" t="n"/>
      <c r="G409" s="230" t="n"/>
      <c r="H409" s="257" t="n">
        <v>89000</v>
      </c>
      <c r="I409" s="258" t="n"/>
      <c r="J409" s="258" t="n">
        <v>89000</v>
      </c>
      <c r="K409" s="233" t="n"/>
      <c r="L409" s="233">
        <f>IF(K409&lt;&gt;"",29000+K409,29000)</f>
        <v/>
      </c>
    </row>
    <row r="410" ht="15.75" customHeight="1" s="153">
      <c r="A410" s="237" t="n"/>
      <c r="B410" s="238" t="inlineStr">
        <is>
          <t>4 DE ENERO 6034</t>
        </is>
      </c>
      <c r="C410" s="239" t="n">
        <v>1</v>
      </c>
      <c r="D410" s="239" t="n"/>
      <c r="E410" s="239" t="n"/>
      <c r="F410" s="240" t="n"/>
      <c r="G410" s="240" t="n"/>
      <c r="H410" s="259" t="n">
        <v>27000</v>
      </c>
      <c r="I410" s="260" t="n">
        <v>27000</v>
      </c>
      <c r="J410" s="260" t="n"/>
      <c r="K410" s="233" t="n"/>
      <c r="L410" s="233">
        <f>IF(K410&lt;&gt;"",12000+K410,12000)</f>
        <v/>
      </c>
    </row>
    <row r="411" ht="15.75" customHeight="1" s="153">
      <c r="A411" s="227" t="n">
        <v>46112</v>
      </c>
      <c r="B411" s="228" t="inlineStr">
        <is>
          <t>RICARDO ALDAO 2400</t>
        </is>
      </c>
      <c r="C411" s="229" t="n"/>
      <c r="D411" s="229" t="n"/>
      <c r="E411" s="229" t="n"/>
      <c r="F411" s="230" t="n"/>
      <c r="G411" s="230" t="n">
        <v>1</v>
      </c>
      <c r="H411" s="257" t="n">
        <v>6900</v>
      </c>
      <c r="I411" s="258" t="n"/>
      <c r="J411" s="258" t="n">
        <v>6900</v>
      </c>
      <c r="K411" s="233" t="n"/>
      <c r="L411" s="233">
        <f>IF(K411&lt;&gt;"",6050+K411,6050)</f>
        <v/>
      </c>
    </row>
    <row r="412" ht="15.75" customHeight="1" s="153">
      <c r="A412" s="237" t="n"/>
      <c r="B412" s="238" t="inlineStr">
        <is>
          <t>OTNIEL</t>
        </is>
      </c>
      <c r="C412" s="239" t="n"/>
      <c r="D412" s="239" t="n"/>
      <c r="E412" s="239" t="n">
        <v>1</v>
      </c>
      <c r="F412" s="240" t="n"/>
      <c r="G412" s="240" t="n"/>
      <c r="H412" s="259" t="n">
        <v>81000</v>
      </c>
      <c r="I412" s="260" t="n">
        <v>81000</v>
      </c>
      <c r="J412" s="260" t="n"/>
      <c r="K412" s="233" t="n"/>
      <c r="L412" s="233">
        <f>IF(K412&lt;&gt;"",21000+K412,21000)</f>
        <v/>
      </c>
    </row>
    <row r="413" ht="15.75" customHeight="1" s="153">
      <c r="A413" s="227" t="n"/>
      <c r="B413" s="228" t="inlineStr">
        <is>
          <t>NERUDA Y GANDHI</t>
        </is>
      </c>
      <c r="C413" s="229" t="n"/>
      <c r="D413" s="229" t="n"/>
      <c r="E413" s="229" t="n">
        <v>1</v>
      </c>
      <c r="F413" s="230" t="n"/>
      <c r="G413" s="230" t="n"/>
      <c r="H413" s="257" t="n">
        <v>90000</v>
      </c>
      <c r="I413" s="258" t="n"/>
      <c r="J413" s="258" t="n">
        <v>90000</v>
      </c>
      <c r="K413" s="233" t="n"/>
      <c r="L413" s="233">
        <f>IF(K413&lt;&gt;"",30000+K413,30000)</f>
        <v/>
      </c>
    </row>
    <row r="414" ht="15.75" customHeight="1" s="153">
      <c r="A414" s="237" t="n"/>
      <c r="B414" s="238" t="inlineStr">
        <is>
          <t>EUROPA 8841</t>
        </is>
      </c>
      <c r="C414" s="239" t="n">
        <v>1</v>
      </c>
      <c r="D414" s="239" t="n"/>
      <c r="E414" s="239" t="n"/>
      <c r="F414" s="240" t="n"/>
      <c r="G414" s="240" t="n"/>
      <c r="H414" s="259" t="n">
        <v>27000</v>
      </c>
      <c r="I414" s="260" t="n">
        <v>27000</v>
      </c>
      <c r="J414" s="260" t="n"/>
      <c r="K414" s="233" t="n"/>
      <c r="L414" s="233">
        <f>IF(K414&lt;&gt;"",12000+K414,12000)</f>
        <v/>
      </c>
    </row>
    <row r="415" ht="15.75" customHeight="1" s="153">
      <c r="A415" s="227" t="n"/>
      <c r="B415" s="228" t="inlineStr">
        <is>
          <t>URQUIZA 5456</t>
        </is>
      </c>
      <c r="C415" s="229" t="n">
        <v>1</v>
      </c>
      <c r="D415" s="229" t="n"/>
      <c r="E415" s="229" t="n"/>
      <c r="F415" s="230" t="n"/>
      <c r="G415" s="230" t="n"/>
      <c r="H415" s="257" t="n">
        <v>27000</v>
      </c>
      <c r="I415" s="258" t="n">
        <v>27000</v>
      </c>
      <c r="J415" s="258" t="n"/>
      <c r="K415" s="233" t="n"/>
      <c r="L415" s="233">
        <f>IF(K415&lt;&gt;"",12000+K415,12000)</f>
        <v/>
      </c>
    </row>
    <row r="416" ht="15.75" customHeight="1" s="153">
      <c r="A416" s="237" t="n"/>
      <c r="B416" s="238" t="inlineStr">
        <is>
          <t>AYACUCHO 5370</t>
        </is>
      </c>
      <c r="C416" s="239" t="n"/>
      <c r="D416" s="239" t="n"/>
      <c r="E416" s="239" t="n"/>
      <c r="F416" s="240" t="n"/>
      <c r="G416" s="240" t="n">
        <v>2</v>
      </c>
      <c r="H416" s="259" t="n">
        <v>12000</v>
      </c>
      <c r="I416" s="260" t="n"/>
      <c r="J416" s="260" t="n">
        <v>12000</v>
      </c>
      <c r="K416" s="233" t="n"/>
      <c r="L416" s="233">
        <f>IF(K416&lt;&gt;"",10300+K416,10300)</f>
        <v/>
      </c>
    </row>
    <row r="417" ht="15.75" customHeight="1" s="153">
      <c r="A417" s="227" t="n"/>
      <c r="B417" s="228" t="inlineStr">
        <is>
          <t>TAMBOR TACUARI</t>
        </is>
      </c>
      <c r="C417" s="229" t="n"/>
      <c r="D417" s="229" t="n"/>
      <c r="E417" s="229" t="n">
        <v>1</v>
      </c>
      <c r="F417" s="230" t="n"/>
      <c r="G417" s="230" t="n"/>
      <c r="H417" s="257" t="n">
        <v>90000</v>
      </c>
      <c r="I417" s="258" t="n"/>
      <c r="J417" s="258" t="n">
        <v>90000</v>
      </c>
      <c r="K417" s="233" t="n"/>
      <c r="L417" s="233">
        <f>IF(K417&lt;&gt;"",30000+K417,30000)</f>
        <v/>
      </c>
    </row>
    <row r="418" ht="15.75" customHeight="1" s="153">
      <c r="A418" s="237" t="n"/>
      <c r="B418" s="238" t="inlineStr">
        <is>
          <t>4TO PASAJE 3782</t>
        </is>
      </c>
      <c r="C418" s="239" t="n">
        <v>1</v>
      </c>
      <c r="D418" s="239" t="n"/>
      <c r="E418" s="239" t="n"/>
      <c r="F418" s="240" t="n"/>
      <c r="G418" s="240" t="n"/>
      <c r="H418" s="259" t="n">
        <v>27000</v>
      </c>
      <c r="I418" s="260" t="n"/>
      <c r="J418" s="260" t="n">
        <v>27000</v>
      </c>
      <c r="K418" s="233" t="n"/>
      <c r="L418" s="233">
        <f>IF(K418&lt;&gt;"",12000+K418,12000)</f>
        <v/>
      </c>
    </row>
    <row r="419" ht="15.75" customHeight="1" s="153">
      <c r="A419" s="227" t="n"/>
      <c r="B419" s="228" t="inlineStr">
        <is>
          <t>CACO</t>
        </is>
      </c>
      <c r="C419" s="229" t="n">
        <v>1</v>
      </c>
      <c r="D419" s="229" t="n"/>
      <c r="E419" s="229" t="n"/>
      <c r="F419" s="230" t="n"/>
      <c r="G419" s="230" t="n"/>
      <c r="H419" s="257" t="n">
        <v>27000</v>
      </c>
      <c r="I419" s="258" t="n"/>
      <c r="J419" s="258" t="n">
        <v>27000</v>
      </c>
      <c r="K419" s="233" t="n"/>
      <c r="L419" s="233">
        <f>IF(K419&lt;&gt;"",12000+K419,12000)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27" t="n">
        <v>46113</v>
      </c>
      <c r="B5" s="228" t="inlineStr">
        <is>
          <t>DOMINGO SILVA 4217</t>
        </is>
      </c>
      <c r="C5" s="229" t="n">
        <v>2</v>
      </c>
      <c r="D5" s="229" t="n">
        <v>1</v>
      </c>
      <c r="E5" s="229" t="n"/>
      <c r="F5" s="230" t="n"/>
      <c r="G5" s="230" t="n"/>
      <c r="H5" s="231" t="n">
        <v>66500</v>
      </c>
      <c r="I5" s="232" t="n"/>
      <c r="J5" s="232" t="n">
        <v>66500</v>
      </c>
      <c r="K5" s="233" t="n"/>
      <c r="L5" s="233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37" t="n"/>
      <c r="B6" s="238" t="inlineStr">
        <is>
          <t>MAMA NICO BUSTO</t>
        </is>
      </c>
      <c r="C6" s="239" t="n">
        <v>1</v>
      </c>
      <c r="D6" s="239" t="n"/>
      <c r="E6" s="239" t="n"/>
      <c r="F6" s="240" t="n">
        <v>10</v>
      </c>
      <c r="G6" s="240" t="n"/>
      <c r="H6" s="241" t="n">
        <v>61000</v>
      </c>
      <c r="I6" s="242" t="n"/>
      <c r="J6" s="242" t="n">
        <v>61000</v>
      </c>
      <c r="K6" s="233" t="n"/>
      <c r="L6" s="233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27" t="n"/>
      <c r="B7" s="228" t="inlineStr">
        <is>
          <t>PANA VIEYTES 4500</t>
        </is>
      </c>
      <c r="C7" s="229" t="n"/>
      <c r="D7" s="229" t="n"/>
      <c r="E7" s="229" t="n">
        <v>1</v>
      </c>
      <c r="F7" s="230" t="n"/>
      <c r="G7" s="230" t="n"/>
      <c r="H7" s="231" t="n">
        <v>78000</v>
      </c>
      <c r="I7" s="232" t="n"/>
      <c r="J7" s="232" t="n">
        <v>78000</v>
      </c>
      <c r="K7" s="233" t="n"/>
      <c r="L7" s="233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37" t="n"/>
      <c r="B8" s="238" t="inlineStr">
        <is>
          <t>OTNIEL</t>
        </is>
      </c>
      <c r="C8" s="239" t="n"/>
      <c r="D8" s="239" t="n"/>
      <c r="E8" s="239" t="n"/>
      <c r="F8" s="240" t="n"/>
      <c r="G8" s="240" t="n">
        <v>3</v>
      </c>
      <c r="H8" s="241" t="n">
        <v>16500</v>
      </c>
      <c r="I8" s="242" t="n"/>
      <c r="J8" s="242" t="n">
        <v>16500</v>
      </c>
      <c r="K8" s="233" t="n"/>
      <c r="L8" s="233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27" t="n"/>
      <c r="B9" s="228" t="inlineStr">
        <is>
          <t>M ZAPATA 2101</t>
        </is>
      </c>
      <c r="C9" s="229" t="n">
        <v>2</v>
      </c>
      <c r="D9" s="229" t="n"/>
      <c r="E9" s="229" t="n"/>
      <c r="F9" s="230" t="n"/>
      <c r="G9" s="230" t="n"/>
      <c r="H9" s="231" t="n">
        <v>39000</v>
      </c>
      <c r="I9" s="232" t="n">
        <v>39000</v>
      </c>
      <c r="J9" s="232" t="n"/>
      <c r="K9" s="233" t="n"/>
      <c r="L9" s="233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37" t="n"/>
      <c r="B10" s="238" t="inlineStr">
        <is>
          <t>LUCHO</t>
        </is>
      </c>
      <c r="C10" s="239" t="n">
        <v>1</v>
      </c>
      <c r="D10" s="239" t="n"/>
      <c r="E10" s="239" t="n"/>
      <c r="F10" s="240" t="n"/>
      <c r="G10" s="240" t="n"/>
      <c r="H10" s="241" t="n">
        <v>19000</v>
      </c>
      <c r="I10" s="242" t="n"/>
      <c r="J10" s="242" t="n">
        <v>19000</v>
      </c>
      <c r="K10" s="233" t="n"/>
      <c r="L10" s="233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27" t="n"/>
      <c r="B11" s="228" t="inlineStr">
        <is>
          <t>ALBERTI 5570</t>
        </is>
      </c>
      <c r="C11" s="229" t="n"/>
      <c r="D11" s="229" t="n"/>
      <c r="E11" s="229" t="n">
        <v>2</v>
      </c>
      <c r="F11" s="230" t="n"/>
      <c r="G11" s="230" t="n"/>
      <c r="H11" s="231" t="n">
        <v>166000</v>
      </c>
      <c r="I11" s="232" t="n"/>
      <c r="J11" s="232" t="n">
        <v>166000</v>
      </c>
      <c r="K11" s="233" t="n"/>
      <c r="L11" s="233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37" t="n"/>
      <c r="B12" s="238" t="inlineStr">
        <is>
          <t>ROTI SAN LORENZO</t>
        </is>
      </c>
      <c r="C12" s="239" t="n">
        <v>2</v>
      </c>
      <c r="D12" s="239" t="n">
        <v>1</v>
      </c>
      <c r="E12" s="239" t="n"/>
      <c r="F12" s="240" t="n"/>
      <c r="G12" s="240" t="n"/>
      <c r="H12" s="241" t="n">
        <v>84000</v>
      </c>
      <c r="I12" s="242" t="n"/>
      <c r="J12" s="242" t="n">
        <v>84000</v>
      </c>
      <c r="K12" s="233" t="n"/>
      <c r="L12" s="233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27" t="n"/>
      <c r="B13" s="228" t="inlineStr">
        <is>
          <t>LUCHIO</t>
        </is>
      </c>
      <c r="C13" s="229" t="n"/>
      <c r="D13" s="229" t="n"/>
      <c r="E13" s="229" t="n"/>
      <c r="F13" s="230" t="n"/>
      <c r="G13" s="230" t="n">
        <v>1</v>
      </c>
      <c r="H13" s="231" t="n">
        <v>6000</v>
      </c>
      <c r="I13" s="232" t="n"/>
      <c r="J13" s="232" t="n">
        <v>6000</v>
      </c>
      <c r="K13" s="233" t="n"/>
      <c r="L13" s="233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37" t="n"/>
      <c r="B14" s="238" t="inlineStr">
        <is>
          <t>GENEIRO 8200</t>
        </is>
      </c>
      <c r="C14" s="239" t="n"/>
      <c r="D14" s="239" t="n">
        <v>1</v>
      </c>
      <c r="E14" s="239" t="n"/>
      <c r="F14" s="240" t="n"/>
      <c r="G14" s="240" t="n"/>
      <c r="H14" s="241" t="n">
        <v>39000</v>
      </c>
      <c r="I14" s="242" t="n">
        <v>39000</v>
      </c>
      <c r="J14" s="242" t="n"/>
      <c r="K14" s="233" t="n"/>
      <c r="L14" s="233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27" t="n"/>
      <c r="B15" s="228" t="inlineStr">
        <is>
          <t xml:space="preserve">FILOMENA </t>
        </is>
      </c>
      <c r="C15" s="229" t="n">
        <v>2</v>
      </c>
      <c r="D15" s="229" t="n"/>
      <c r="E15" s="229" t="n"/>
      <c r="F15" s="230" t="n"/>
      <c r="G15" s="230" t="n"/>
      <c r="H15" s="231" t="n">
        <v>46000</v>
      </c>
      <c r="I15" s="232" t="n"/>
      <c r="J15" s="232" t="n">
        <v>46000</v>
      </c>
      <c r="K15" s="233" t="n"/>
      <c r="L15" s="233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37" t="n"/>
      <c r="B16" s="238" t="inlineStr">
        <is>
          <t>SABOREAR</t>
        </is>
      </c>
      <c r="C16" s="239" t="n">
        <v>1</v>
      </c>
      <c r="D16" s="239" t="n"/>
      <c r="E16" s="239" t="n"/>
      <c r="F16" s="240" t="n"/>
      <c r="G16" s="240" t="n"/>
      <c r="H16" s="241" t="n">
        <v>22500</v>
      </c>
      <c r="I16" s="242" t="n"/>
      <c r="J16" s="242" t="n">
        <v>22500</v>
      </c>
      <c r="K16" s="233" t="n"/>
      <c r="L16" s="233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27" t="n"/>
      <c r="B17" s="228" t="inlineStr">
        <is>
          <t>MITRE 4930</t>
        </is>
      </c>
      <c r="C17" s="229" t="n">
        <v>1</v>
      </c>
      <c r="D17" s="229" t="n"/>
      <c r="E17" s="229" t="n"/>
      <c r="F17" s="230" t="n"/>
      <c r="G17" s="230" t="n"/>
      <c r="H17" s="231" t="n">
        <v>27000</v>
      </c>
      <c r="I17" s="232" t="n">
        <v>27000</v>
      </c>
      <c r="J17" s="232" t="n"/>
      <c r="K17" s="233" t="n"/>
      <c r="L17" s="233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37" t="n"/>
      <c r="B18" s="238" t="inlineStr">
        <is>
          <t>POSTA EL TORO</t>
        </is>
      </c>
      <c r="C18" s="239" t="n">
        <v>2</v>
      </c>
      <c r="D18" s="239" t="n"/>
      <c r="E18" s="239" t="n"/>
      <c r="F18" s="240" t="n"/>
      <c r="G18" s="240" t="n"/>
      <c r="H18" s="241" t="n">
        <v>38000</v>
      </c>
      <c r="I18" s="242" t="n">
        <v>38000</v>
      </c>
      <c r="J18" s="242" t="n"/>
      <c r="K18" s="233" t="n"/>
      <c r="L18" s="233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27" t="n"/>
      <c r="B19" s="228" t="inlineStr">
        <is>
          <t>LUCHO</t>
        </is>
      </c>
      <c r="C19" s="229" t="n">
        <v>1</v>
      </c>
      <c r="D19" s="229" t="n">
        <v>1</v>
      </c>
      <c r="E19" s="229" t="n"/>
      <c r="F19" s="230" t="n"/>
      <c r="G19" s="230" t="n"/>
      <c r="H19" s="231" t="n">
        <v>47500</v>
      </c>
      <c r="I19" s="232" t="n"/>
      <c r="J19" s="232" t="n">
        <v>47500</v>
      </c>
      <c r="K19" s="233" t="n"/>
      <c r="L19" s="233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37" t="n"/>
      <c r="B20" s="238" t="inlineStr">
        <is>
          <t>LA MADRID 7175</t>
        </is>
      </c>
      <c r="C20" s="239" t="n"/>
      <c r="D20" s="239" t="n">
        <v>1</v>
      </c>
      <c r="E20" s="239" t="n"/>
      <c r="F20" s="240" t="n"/>
      <c r="G20" s="240" t="n"/>
      <c r="H20" s="241" t="n">
        <v>39000</v>
      </c>
      <c r="I20" s="242" t="n"/>
      <c r="J20" s="242" t="n">
        <v>39000</v>
      </c>
      <c r="K20" s="233" t="n"/>
      <c r="L20" s="233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27" t="n"/>
      <c r="B21" s="228" t="inlineStr">
        <is>
          <t>ROTI ARISTOBULO 5401</t>
        </is>
      </c>
      <c r="C21" s="229" t="n"/>
      <c r="D21" s="229" t="n">
        <v>1</v>
      </c>
      <c r="E21" s="229" t="n"/>
      <c r="F21" s="230" t="n"/>
      <c r="G21" s="230" t="n"/>
      <c r="H21" s="231" t="n">
        <v>33500</v>
      </c>
      <c r="I21" s="232" t="n">
        <v>33500</v>
      </c>
      <c r="J21" s="232" t="n"/>
      <c r="K21" s="233" t="n"/>
      <c r="L21" s="233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37" t="n">
        <v>46114</v>
      </c>
      <c r="B22" s="238" t="inlineStr">
        <is>
          <t>GABOTO 8168</t>
        </is>
      </c>
      <c r="C22" s="239" t="n"/>
      <c r="D22" s="239" t="n"/>
      <c r="E22" s="239" t="n">
        <v>1</v>
      </c>
      <c r="F22" s="240" t="n"/>
      <c r="G22" s="240" t="n"/>
      <c r="H22" s="241" t="n">
        <v>83000</v>
      </c>
      <c r="I22" s="242" t="n"/>
      <c r="J22" s="242" t="n">
        <v>83000</v>
      </c>
      <c r="K22" s="233" t="n"/>
      <c r="L22" s="233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27" t="n"/>
      <c r="B23" s="228" t="inlineStr">
        <is>
          <t>AZCUENAGA 5023</t>
        </is>
      </c>
      <c r="C23" s="229" t="n">
        <v>7</v>
      </c>
      <c r="D23" s="229" t="n"/>
      <c r="E23" s="229" t="n"/>
      <c r="F23" s="230" t="n"/>
      <c r="G23" s="230" t="n"/>
      <c r="H23" s="231" t="n">
        <v>133000</v>
      </c>
      <c r="I23" s="232" t="n"/>
      <c r="J23" s="232" t="n">
        <v>133000</v>
      </c>
      <c r="K23" s="233" t="n"/>
      <c r="L23" s="233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37" t="n"/>
      <c r="B24" s="238" t="inlineStr">
        <is>
          <t>OTNIEL</t>
        </is>
      </c>
      <c r="C24" s="239" t="n">
        <v>1</v>
      </c>
      <c r="D24" s="239" t="n">
        <v>1</v>
      </c>
      <c r="E24" s="239" t="n"/>
      <c r="F24" s="240" t="n"/>
      <c r="G24" s="240" t="n"/>
      <c r="H24" s="241" t="n">
        <v>57000</v>
      </c>
      <c r="I24" s="242" t="n"/>
      <c r="J24" s="242" t="n">
        <v>57000</v>
      </c>
      <c r="K24" s="233" t="n"/>
      <c r="L24" s="233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27" t="n"/>
      <c r="B25" s="228" t="inlineStr">
        <is>
          <t>LINIERS 3735</t>
        </is>
      </c>
      <c r="C25" s="229" t="n">
        <v>1</v>
      </c>
      <c r="D25" s="229" t="n"/>
      <c r="E25" s="229" t="n"/>
      <c r="F25" s="230" t="n"/>
      <c r="G25" s="230" t="n"/>
      <c r="H25" s="231" t="n">
        <v>26000</v>
      </c>
      <c r="I25" s="232" t="n">
        <v>26000</v>
      </c>
      <c r="J25" s="232" t="n"/>
      <c r="K25" s="233" t="n"/>
      <c r="L25" s="233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37" t="n"/>
      <c r="B26" s="238" t="inlineStr">
        <is>
          <t>SIRLAKI</t>
        </is>
      </c>
      <c r="C26" s="239" t="n"/>
      <c r="D26" s="239" t="n"/>
      <c r="E26" s="239" t="n">
        <v>1</v>
      </c>
      <c r="F26" s="240" t="n"/>
      <c r="G26" s="240" t="n"/>
      <c r="H26" s="241" t="n">
        <v>80000</v>
      </c>
      <c r="I26" s="242" t="n"/>
      <c r="J26" s="242" t="n">
        <v>80000</v>
      </c>
      <c r="K26" s="233" t="n"/>
      <c r="L26" s="233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27" t="n"/>
      <c r="B27" s="228" t="inlineStr">
        <is>
          <t>DANA</t>
        </is>
      </c>
      <c r="C27" s="229" t="n">
        <v>3</v>
      </c>
      <c r="D27" s="229" t="n"/>
      <c r="E27" s="229" t="n"/>
      <c r="F27" s="230" t="n"/>
      <c r="G27" s="230" t="n"/>
      <c r="H27" s="231" t="n">
        <v>57000</v>
      </c>
      <c r="I27" s="232" t="n">
        <v>57000</v>
      </c>
      <c r="J27" s="232" t="n"/>
      <c r="K27" s="233" t="n"/>
      <c r="L27" s="233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37" t="n"/>
      <c r="B28" s="238" t="inlineStr">
        <is>
          <t>CASTELLI 2219</t>
        </is>
      </c>
      <c r="C28" s="239" t="n">
        <v>1</v>
      </c>
      <c r="D28" s="239" t="n"/>
      <c r="E28" s="239" t="n"/>
      <c r="F28" s="240" t="n"/>
      <c r="G28" s="240" t="n"/>
      <c r="H28" s="241" t="n">
        <v>27000</v>
      </c>
      <c r="I28" s="242" t="n"/>
      <c r="J28" s="242" t="n">
        <v>27000</v>
      </c>
      <c r="K28" s="233" t="n"/>
      <c r="L28" s="233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27" t="n"/>
      <c r="B29" s="228" t="inlineStr">
        <is>
          <t>TERE</t>
        </is>
      </c>
      <c r="C29" s="229" t="n"/>
      <c r="D29" s="229" t="n"/>
      <c r="E29" s="229" t="n">
        <v>2</v>
      </c>
      <c r="F29" s="230" t="n"/>
      <c r="G29" s="230" t="n"/>
      <c r="H29" s="231" t="n">
        <v>172000</v>
      </c>
      <c r="I29" s="232" t="n">
        <v>86000</v>
      </c>
      <c r="J29" s="232" t="n">
        <v>86000</v>
      </c>
      <c r="K29" s="233" t="n"/>
      <c r="L29" s="233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37" t="n"/>
      <c r="B30" s="238" t="inlineStr">
        <is>
          <t>TACUARI 5717</t>
        </is>
      </c>
      <c r="C30" s="239" t="n">
        <v>1</v>
      </c>
      <c r="D30" s="239" t="n"/>
      <c r="E30" s="239" t="n"/>
      <c r="F30" s="240" t="n"/>
      <c r="G30" s="240" t="n"/>
      <c r="H30" s="241" t="n">
        <v>25000</v>
      </c>
      <c r="I30" s="242" t="n"/>
      <c r="J30" s="242" t="n">
        <v>25000</v>
      </c>
      <c r="K30" s="233" t="n"/>
      <c r="L30" s="233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27" t="n"/>
      <c r="B31" s="228" t="inlineStr">
        <is>
          <t>BAIGORRIA 9351</t>
        </is>
      </c>
      <c r="C31" s="229" t="n"/>
      <c r="D31" s="229" t="n"/>
      <c r="E31" s="229" t="n">
        <v>1</v>
      </c>
      <c r="F31" s="230" t="n"/>
      <c r="G31" s="230" t="n"/>
      <c r="H31" s="231" t="n">
        <v>90000</v>
      </c>
      <c r="I31" s="232" t="n">
        <v>90000</v>
      </c>
      <c r="J31" s="232" t="n"/>
      <c r="K31" s="233" t="n"/>
      <c r="L31" s="233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37" t="n"/>
      <c r="B32" s="238" t="inlineStr">
        <is>
          <t>EXE</t>
        </is>
      </c>
      <c r="C32" s="239" t="n"/>
      <c r="D32" s="239" t="n"/>
      <c r="E32" s="239" t="n">
        <v>1</v>
      </c>
      <c r="F32" s="240" t="n"/>
      <c r="G32" s="240" t="n"/>
      <c r="H32" s="241" t="n">
        <v>82000</v>
      </c>
      <c r="I32" s="242" t="n"/>
      <c r="J32" s="242" t="n">
        <v>82000</v>
      </c>
      <c r="K32" s="233" t="n"/>
      <c r="L32" s="233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27" t="n"/>
      <c r="B33" s="228" t="inlineStr">
        <is>
          <t>NACHO</t>
        </is>
      </c>
      <c r="C33" s="229" t="n">
        <v>1</v>
      </c>
      <c r="D33" s="229" t="n">
        <v>1</v>
      </c>
      <c r="E33" s="229" t="n"/>
      <c r="F33" s="230" t="n"/>
      <c r="G33" s="230" t="n"/>
      <c r="H33" s="231" t="n">
        <v>56500</v>
      </c>
      <c r="I33" s="232" t="n">
        <v>56500</v>
      </c>
      <c r="J33" s="232" t="n"/>
      <c r="K33" s="233" t="n"/>
      <c r="L33" s="233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37" t="n"/>
      <c r="B34" s="238" t="inlineStr">
        <is>
          <t>GABOTO 7298</t>
        </is>
      </c>
      <c r="C34" s="239" t="n"/>
      <c r="D34" s="239" t="n">
        <v>1</v>
      </c>
      <c r="E34" s="239" t="n"/>
      <c r="F34" s="240" t="n"/>
      <c r="G34" s="240" t="n"/>
      <c r="H34" s="241" t="n">
        <v>39000</v>
      </c>
      <c r="I34" s="242" t="n">
        <v>39000</v>
      </c>
      <c r="J34" s="242" t="n"/>
      <c r="K34" s="233" t="n"/>
      <c r="L34" s="233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27" t="n"/>
      <c r="B35" s="228" t="inlineStr">
        <is>
          <t>GOROSTIAGA 4619</t>
        </is>
      </c>
      <c r="C35" s="229" t="n"/>
      <c r="D35" s="229" t="n"/>
      <c r="E35" s="229" t="n">
        <v>1</v>
      </c>
      <c r="F35" s="230" t="n"/>
      <c r="G35" s="230" t="n"/>
      <c r="H35" s="231" t="n">
        <v>88000</v>
      </c>
      <c r="I35" s="232" t="n"/>
      <c r="J35" s="232" t="n">
        <v>88000</v>
      </c>
      <c r="K35" s="233" t="n"/>
      <c r="L35" s="233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37" t="n"/>
      <c r="B36" s="238" t="inlineStr">
        <is>
          <t>LARGUIA 6924</t>
        </is>
      </c>
      <c r="C36" s="239" t="n">
        <v>1</v>
      </c>
      <c r="D36" s="239" t="n"/>
      <c r="E36" s="239" t="n"/>
      <c r="F36" s="240" t="n"/>
      <c r="G36" s="240" t="n"/>
      <c r="H36" s="241" t="n">
        <v>25000</v>
      </c>
      <c r="I36" s="242" t="n">
        <v>25000</v>
      </c>
      <c r="J36" s="242" t="n"/>
      <c r="K36" s="233" t="n"/>
      <c r="L36" s="233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27" t="n"/>
      <c r="B37" s="228" t="inlineStr">
        <is>
          <t>BELNGRANO 3881</t>
        </is>
      </c>
      <c r="C37" s="229" t="n">
        <v>2</v>
      </c>
      <c r="D37" s="229" t="n"/>
      <c r="E37" s="229" t="n"/>
      <c r="F37" s="230" t="n"/>
      <c r="G37" s="230" t="n"/>
      <c r="H37" s="231" t="n">
        <v>54000</v>
      </c>
      <c r="I37" s="232" t="n"/>
      <c r="J37" s="232" t="n">
        <v>54000</v>
      </c>
      <c r="K37" s="233" t="n"/>
      <c r="L37" s="233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37" t="n">
        <v>46115</v>
      </c>
      <c r="B38" s="238" t="inlineStr">
        <is>
          <t>PAVON 2124</t>
        </is>
      </c>
      <c r="C38" s="239" t="n"/>
      <c r="D38" s="239" t="n">
        <v>1</v>
      </c>
      <c r="E38" s="239" t="n"/>
      <c r="F38" s="240" t="n"/>
      <c r="G38" s="240" t="n"/>
      <c r="H38" s="241" t="n">
        <v>39000</v>
      </c>
      <c r="I38" s="242" t="n">
        <v>39000</v>
      </c>
      <c r="J38" s="242" t="n"/>
      <c r="K38" s="233" t="n"/>
      <c r="L38" s="233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27" t="n"/>
      <c r="B39" s="228" t="inlineStr">
        <is>
          <t>D SILVA 4217</t>
        </is>
      </c>
      <c r="C39" s="229" t="n">
        <v>2</v>
      </c>
      <c r="D39" s="229" t="n"/>
      <c r="E39" s="229" t="n"/>
      <c r="F39" s="230" t="n"/>
      <c r="G39" s="230" t="n"/>
      <c r="H39" s="231" t="n">
        <v>38000</v>
      </c>
      <c r="I39" s="232" t="n"/>
      <c r="J39" s="232" t="n">
        <v>38000</v>
      </c>
      <c r="K39" s="233" t="n"/>
      <c r="L39" s="233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37" t="n"/>
      <c r="B40" s="238" t="inlineStr">
        <is>
          <t>ROTI ROCA 6371</t>
        </is>
      </c>
      <c r="C40" s="239" t="n">
        <v>1</v>
      </c>
      <c r="D40" s="239" t="n"/>
      <c r="E40" s="239" t="n"/>
      <c r="F40" s="240" t="n"/>
      <c r="G40" s="240" t="n"/>
      <c r="H40" s="241" t="n">
        <v>25000</v>
      </c>
      <c r="I40" s="242" t="n"/>
      <c r="J40" s="242" t="n">
        <v>25000</v>
      </c>
      <c r="K40" s="233" t="n"/>
      <c r="L40" s="233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27" t="n"/>
      <c r="B41" s="228" t="inlineStr">
        <is>
          <t>BLS PARERA 8380</t>
        </is>
      </c>
      <c r="C41" s="229" t="n"/>
      <c r="D41" s="229" t="n">
        <v>1</v>
      </c>
      <c r="E41" s="229" t="n"/>
      <c r="F41" s="230" t="n"/>
      <c r="G41" s="230" t="n"/>
      <c r="H41" s="231" t="n">
        <v>39000</v>
      </c>
      <c r="I41" s="232" t="n">
        <v>39000</v>
      </c>
      <c r="J41" s="232" t="n"/>
      <c r="K41" s="233" t="n"/>
      <c r="L41" s="233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37" t="n"/>
      <c r="B42" s="238" t="inlineStr">
        <is>
          <t>M CANDIOTI 6141</t>
        </is>
      </c>
      <c r="C42" s="239" t="n">
        <v>1</v>
      </c>
      <c r="D42" s="239" t="n"/>
      <c r="E42" s="239" t="n"/>
      <c r="F42" s="240" t="n"/>
      <c r="G42" s="240" t="n"/>
      <c r="H42" s="241" t="n">
        <v>26000</v>
      </c>
      <c r="I42" s="242" t="n">
        <v>26000</v>
      </c>
      <c r="J42" s="242" t="n"/>
      <c r="K42" s="233" t="n"/>
      <c r="L42" s="233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27" t="n"/>
      <c r="B43" s="228" t="inlineStr">
        <is>
          <t>DANA</t>
        </is>
      </c>
      <c r="C43" s="229" t="n">
        <v>3</v>
      </c>
      <c r="D43" s="229" t="n">
        <v>1</v>
      </c>
      <c r="E43" s="229" t="n"/>
      <c r="F43" s="230" t="n"/>
      <c r="G43" s="230" t="n"/>
      <c r="H43" s="231" t="n">
        <v>86000</v>
      </c>
      <c r="I43" s="232" t="n"/>
      <c r="J43" s="232" t="n">
        <v>86000</v>
      </c>
      <c r="K43" s="233" t="n"/>
      <c r="L43" s="233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37" t="n"/>
      <c r="B44" s="238" t="inlineStr">
        <is>
          <t>SAN LORENZO 5949</t>
        </is>
      </c>
      <c r="C44" s="239" t="n">
        <v>1</v>
      </c>
      <c r="D44" s="239" t="n"/>
      <c r="E44" s="239" t="n"/>
      <c r="F44" s="240" t="n"/>
      <c r="G44" s="240" t="n"/>
      <c r="H44" s="241" t="n">
        <v>25000</v>
      </c>
      <c r="I44" s="242" t="n">
        <v>25000</v>
      </c>
      <c r="J44" s="242" t="n"/>
      <c r="K44" s="233" t="n"/>
      <c r="L44" s="233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27" t="n"/>
      <c r="B45" s="228" t="inlineStr">
        <is>
          <t>SABORERAR</t>
        </is>
      </c>
      <c r="C45" s="229" t="n">
        <v>1</v>
      </c>
      <c r="D45" s="229" t="n"/>
      <c r="E45" s="229" t="n"/>
      <c r="F45" s="230" t="n"/>
      <c r="G45" s="230" t="n"/>
      <c r="H45" s="231" t="n">
        <v>22500</v>
      </c>
      <c r="I45" s="232" t="n"/>
      <c r="J45" s="232" t="n">
        <v>22500</v>
      </c>
      <c r="K45" s="233" t="n"/>
      <c r="L45" s="233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37" t="n"/>
      <c r="B46" s="238" t="inlineStr">
        <is>
          <t>BLAS PARERA 9129</t>
        </is>
      </c>
      <c r="C46" s="239" t="n">
        <v>1</v>
      </c>
      <c r="D46" s="239" t="n"/>
      <c r="E46" s="239" t="n"/>
      <c r="F46" s="240" t="n"/>
      <c r="G46" s="240" t="n"/>
      <c r="H46" s="241" t="n">
        <v>27000</v>
      </c>
      <c r="I46" s="242" t="n">
        <v>27000</v>
      </c>
      <c r="J46" s="242" t="n"/>
      <c r="K46" s="233" t="n"/>
      <c r="L46" s="233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27" t="n">
        <v>46116</v>
      </c>
      <c r="B47" s="228" t="inlineStr">
        <is>
          <t>CHICLANA 7325</t>
        </is>
      </c>
      <c r="C47" s="229" t="n">
        <v>1</v>
      </c>
      <c r="D47" s="229" t="n"/>
      <c r="E47" s="229" t="n"/>
      <c r="F47" s="230" t="n"/>
      <c r="G47" s="230" t="n"/>
      <c r="H47" s="231" t="n">
        <v>19000</v>
      </c>
      <c r="I47" s="232" t="n"/>
      <c r="J47" s="232" t="n">
        <v>19000</v>
      </c>
      <c r="K47" s="233" t="n"/>
      <c r="L47" s="233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37" t="n"/>
      <c r="B48" s="238" t="inlineStr">
        <is>
          <t>DUSSO 7678</t>
        </is>
      </c>
      <c r="C48" s="239" t="n">
        <v>4</v>
      </c>
      <c r="D48" s="239" t="n">
        <v>2</v>
      </c>
      <c r="E48" s="239" t="n"/>
      <c r="F48" s="240" t="n"/>
      <c r="G48" s="240" t="n"/>
      <c r="H48" s="241" t="n">
        <v>133000</v>
      </c>
      <c r="I48" s="242" t="n">
        <v>60000</v>
      </c>
      <c r="J48" s="242" t="n">
        <v>73000</v>
      </c>
      <c r="K48" s="233" t="n"/>
      <c r="L48" s="233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27" t="n"/>
      <c r="B49" s="228" t="inlineStr">
        <is>
          <t>FILOMENA</t>
        </is>
      </c>
      <c r="C49" s="229" t="n">
        <v>2</v>
      </c>
      <c r="D49" s="229" t="n"/>
      <c r="E49" s="229" t="n"/>
      <c r="F49" s="230" t="n"/>
      <c r="G49" s="230" t="n"/>
      <c r="H49" s="231" t="n">
        <v>46000</v>
      </c>
      <c r="I49" s="232" t="n"/>
      <c r="J49" s="232" t="n">
        <v>46000</v>
      </c>
      <c r="K49" s="233" t="n"/>
      <c r="L49" s="233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37" t="n"/>
      <c r="B50" s="238" t="inlineStr">
        <is>
          <t>EUROPA 9186</t>
        </is>
      </c>
      <c r="C50" s="239" t="n"/>
      <c r="D50" s="239" t="n"/>
      <c r="E50" s="239" t="n">
        <v>1</v>
      </c>
      <c r="F50" s="240" t="n"/>
      <c r="G50" s="240" t="n"/>
      <c r="H50" s="241" t="n">
        <v>90000</v>
      </c>
      <c r="I50" s="242" t="n"/>
      <c r="J50" s="242" t="n">
        <v>90000</v>
      </c>
      <c r="K50" s="233" t="n"/>
      <c r="L50" s="233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27" t="n"/>
      <c r="B51" s="228" t="inlineStr">
        <is>
          <t>LAPACHOS 1840</t>
        </is>
      </c>
      <c r="C51" s="229" t="n"/>
      <c r="D51" s="229" t="n"/>
      <c r="E51" s="229" t="n">
        <v>1</v>
      </c>
      <c r="F51" s="230" t="n"/>
      <c r="G51" s="230" t="n"/>
      <c r="H51" s="231" t="n">
        <v>86000</v>
      </c>
      <c r="I51" s="232" t="n"/>
      <c r="J51" s="232" t="n">
        <v>86000</v>
      </c>
      <c r="K51" s="233" t="n"/>
      <c r="L51" s="233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37" t="n"/>
      <c r="B52" s="238" t="inlineStr">
        <is>
          <t>BEATRIZ</t>
        </is>
      </c>
      <c r="C52" s="239" t="n"/>
      <c r="D52" s="239" t="n"/>
      <c r="E52" s="239" t="n"/>
      <c r="F52" s="240" t="n"/>
      <c r="G52" s="240" t="n">
        <v>1</v>
      </c>
      <c r="H52" s="241" t="n">
        <v>6000</v>
      </c>
      <c r="I52" s="242" t="n"/>
      <c r="J52" s="242" t="n">
        <v>6000</v>
      </c>
      <c r="K52" s="233" t="n"/>
      <c r="L52" s="233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27" t="n"/>
      <c r="B53" s="228" t="inlineStr">
        <is>
          <t xml:space="preserve">POSTA COLASTINE </t>
        </is>
      </c>
      <c r="C53" s="229" t="n">
        <v>5</v>
      </c>
      <c r="D53" s="229" t="n"/>
      <c r="E53" s="229" t="n"/>
      <c r="F53" s="230" t="n"/>
      <c r="G53" s="230" t="n"/>
      <c r="H53" s="231" t="n">
        <v>100000</v>
      </c>
      <c r="I53" s="232" t="n">
        <v>100000</v>
      </c>
      <c r="J53" s="232" t="n"/>
      <c r="K53" s="233" t="n"/>
      <c r="L53" s="233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37" t="n"/>
      <c r="B54" s="238" t="inlineStr">
        <is>
          <t>LARGUIA 7251</t>
        </is>
      </c>
      <c r="C54" s="239" t="n">
        <v>1</v>
      </c>
      <c r="D54" s="239" t="n"/>
      <c r="E54" s="239" t="n"/>
      <c r="F54" s="240" t="n"/>
      <c r="G54" s="240" t="n"/>
      <c r="H54" s="241" t="n">
        <v>27000</v>
      </c>
      <c r="I54" s="242" t="n">
        <v>27000</v>
      </c>
      <c r="J54" s="242" t="n"/>
      <c r="K54" s="233" t="n"/>
      <c r="L54" s="233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27" t="n"/>
      <c r="B55" s="228" t="inlineStr">
        <is>
          <t>PANA VOEYTES 4500</t>
        </is>
      </c>
      <c r="C55" s="229" t="n"/>
      <c r="D55" s="229" t="n"/>
      <c r="E55" s="229" t="n">
        <v>1</v>
      </c>
      <c r="F55" s="230" t="n"/>
      <c r="G55" s="230" t="n"/>
      <c r="H55" s="231" t="n">
        <v>78000</v>
      </c>
      <c r="I55" s="232" t="n"/>
      <c r="J55" s="232" t="n">
        <v>78000</v>
      </c>
      <c r="K55" s="233" t="n"/>
      <c r="L55" s="233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37" t="n"/>
      <c r="B56" s="238" t="inlineStr">
        <is>
          <t>GUANELA 4543</t>
        </is>
      </c>
      <c r="C56" s="239" t="n">
        <v>1</v>
      </c>
      <c r="D56" s="239" t="n"/>
      <c r="E56" s="239" t="n"/>
      <c r="F56" s="240" t="n"/>
      <c r="G56" s="240" t="n"/>
      <c r="H56" s="241" t="n">
        <v>25000</v>
      </c>
      <c r="I56" s="242" t="n"/>
      <c r="J56" s="242" t="n">
        <v>25000</v>
      </c>
      <c r="K56" s="233" t="n"/>
      <c r="L56" s="233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27" t="n"/>
      <c r="B57" s="228" t="inlineStr">
        <is>
          <t>FRANCIA 1047</t>
        </is>
      </c>
      <c r="C57" s="229" t="n">
        <v>1</v>
      </c>
      <c r="D57" s="229" t="n"/>
      <c r="E57" s="229" t="n"/>
      <c r="F57" s="230" t="n"/>
      <c r="G57" s="230" t="n"/>
      <c r="H57" s="231" t="n">
        <v>26000</v>
      </c>
      <c r="I57" s="232" t="n">
        <v>26000</v>
      </c>
      <c r="J57" s="232" t="n"/>
      <c r="K57" s="233" t="n"/>
      <c r="L57" s="233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37" t="n"/>
      <c r="B58" s="238" t="inlineStr">
        <is>
          <t>ZAVALIA 779</t>
        </is>
      </c>
      <c r="C58" s="239" t="n"/>
      <c r="D58" s="239" t="n">
        <v>1</v>
      </c>
      <c r="E58" s="239" t="n"/>
      <c r="F58" s="240" t="n"/>
      <c r="G58" s="240" t="n"/>
      <c r="H58" s="241" t="n">
        <v>39000</v>
      </c>
      <c r="I58" s="242" t="n">
        <v>39000</v>
      </c>
      <c r="J58" s="242" t="n"/>
      <c r="K58" s="233" t="n"/>
      <c r="L58" s="233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27" t="n"/>
      <c r="B59" s="228" t="inlineStr">
        <is>
          <t xml:space="preserve">ROTI VIEYTES </t>
        </is>
      </c>
      <c r="C59" s="229" t="n"/>
      <c r="D59" s="229" t="n">
        <v>2</v>
      </c>
      <c r="E59" s="229" t="n"/>
      <c r="F59" s="230" t="n"/>
      <c r="G59" s="230" t="n"/>
      <c r="H59" s="231" t="n">
        <v>61000</v>
      </c>
      <c r="I59" s="232" t="n"/>
      <c r="J59" s="232" t="n">
        <v>61000</v>
      </c>
      <c r="K59" s="233" t="n"/>
      <c r="L59" s="233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37" t="n"/>
      <c r="B60" s="238" t="inlineStr">
        <is>
          <t>JOSE CIBILS 2467</t>
        </is>
      </c>
      <c r="C60" s="239" t="n"/>
      <c r="D60" s="239" t="n"/>
      <c r="E60" s="239" t="n">
        <v>1</v>
      </c>
      <c r="F60" s="240" t="n"/>
      <c r="G60" s="240" t="n"/>
      <c r="H60" s="241" t="n">
        <v>84000</v>
      </c>
      <c r="I60" s="242" t="n"/>
      <c r="J60" s="242" t="n">
        <v>84000</v>
      </c>
      <c r="K60" s="233" t="n"/>
      <c r="L60" s="233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27" t="n"/>
      <c r="B61" s="228" t="inlineStr">
        <is>
          <t>FLORES 2 CAS A75</t>
        </is>
      </c>
      <c r="C61" s="229" t="n">
        <v>1</v>
      </c>
      <c r="D61" s="229" t="n"/>
      <c r="E61" s="229" t="n"/>
      <c r="F61" s="230" t="n"/>
      <c r="G61" s="230" t="n"/>
      <c r="H61" s="231" t="n">
        <v>27000</v>
      </c>
      <c r="I61" s="232" t="n">
        <v>27000</v>
      </c>
      <c r="J61" s="232" t="n"/>
      <c r="K61" s="233" t="n"/>
      <c r="L61" s="233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37" t="n"/>
      <c r="B62" s="238" t="inlineStr">
        <is>
          <t>SAVEDRA 2799</t>
        </is>
      </c>
      <c r="C62" s="239" t="n">
        <v>1</v>
      </c>
      <c r="D62" s="239" t="n"/>
      <c r="E62" s="239" t="n"/>
      <c r="F62" s="240" t="n"/>
      <c r="G62" s="240" t="n"/>
      <c r="H62" s="241" t="n">
        <v>27000</v>
      </c>
      <c r="I62" s="242" t="n">
        <v>27000</v>
      </c>
      <c r="J62" s="242" t="n"/>
      <c r="K62" s="233" t="n"/>
      <c r="L62" s="233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27" t="n"/>
      <c r="B63" s="228" t="inlineStr">
        <is>
          <t>TERRAZAS</t>
        </is>
      </c>
      <c r="C63" s="229" t="n">
        <v>2</v>
      </c>
      <c r="D63" s="229" t="n"/>
      <c r="E63" s="229" t="n"/>
      <c r="F63" s="230" t="n"/>
      <c r="G63" s="230" t="n"/>
      <c r="H63" s="231" t="n">
        <v>54000</v>
      </c>
      <c r="I63" s="232" t="n">
        <v>54000</v>
      </c>
      <c r="J63" s="232" t="n"/>
      <c r="K63" s="233" t="n"/>
      <c r="L63" s="233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37" t="n"/>
      <c r="B64" s="238" t="inlineStr">
        <is>
          <t xml:space="preserve">BRASERIA </t>
        </is>
      </c>
      <c r="C64" s="239" t="n"/>
      <c r="D64" s="239" t="n"/>
      <c r="E64" s="239" t="n">
        <v>1</v>
      </c>
      <c r="F64" s="240" t="n"/>
      <c r="G64" s="240" t="n"/>
      <c r="H64" s="241" t="n">
        <v>83000</v>
      </c>
      <c r="I64" s="242" t="n"/>
      <c r="J64" s="242" t="n">
        <v>83000</v>
      </c>
      <c r="K64" s="233" t="n"/>
      <c r="L64" s="233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27" t="n"/>
      <c r="B65" s="228" t="inlineStr">
        <is>
          <t>LUCHO</t>
        </is>
      </c>
      <c r="C65" s="229" t="n">
        <v>1</v>
      </c>
      <c r="D65" s="229" t="n"/>
      <c r="E65" s="229" t="n"/>
      <c r="F65" s="230" t="n"/>
      <c r="G65" s="230" t="n"/>
      <c r="H65" s="231" t="n">
        <v>19000</v>
      </c>
      <c r="I65" s="232" t="n"/>
      <c r="J65" s="232" t="n">
        <v>19000</v>
      </c>
      <c r="K65" s="233" t="n"/>
      <c r="L65" s="233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37" t="n"/>
      <c r="B66" s="238" t="inlineStr">
        <is>
          <t>GOLRD BURGER</t>
        </is>
      </c>
      <c r="C66" s="239" t="n">
        <v>5</v>
      </c>
      <c r="D66" s="239" t="n"/>
      <c r="E66" s="239" t="n"/>
      <c r="F66" s="240" t="n"/>
      <c r="G66" s="240" t="n"/>
      <c r="H66" s="241" t="n">
        <v>115000</v>
      </c>
      <c r="I66" s="242" t="n">
        <v>115000</v>
      </c>
      <c r="J66" s="242" t="n"/>
      <c r="K66" s="233" t="n"/>
      <c r="L66" s="233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27" t="n"/>
      <c r="B67" s="228" t="inlineStr">
        <is>
          <t>ALBERTI 5315</t>
        </is>
      </c>
      <c r="C67" s="229" t="n"/>
      <c r="D67" s="229" t="n"/>
      <c r="E67" s="229" t="n">
        <v>1</v>
      </c>
      <c r="F67" s="230" t="n"/>
      <c r="G67" s="230" t="n"/>
      <c r="H67" s="231" t="n">
        <v>80000</v>
      </c>
      <c r="I67" s="232" t="n"/>
      <c r="J67" s="232" t="n">
        <v>80000</v>
      </c>
      <c r="K67" s="233" t="n"/>
      <c r="L67" s="233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37" t="n"/>
      <c r="B68" s="238" t="inlineStr">
        <is>
          <t>LA SALLE Y PUBLICO</t>
        </is>
      </c>
      <c r="C68" s="239" t="n"/>
      <c r="D68" s="239" t="n"/>
      <c r="E68" s="239" t="n">
        <v>1</v>
      </c>
      <c r="F68" s="240" t="n"/>
      <c r="G68" s="240" t="n"/>
      <c r="H68" s="241" t="n">
        <v>84000</v>
      </c>
      <c r="I68" s="242" t="n"/>
      <c r="J68" s="242" t="n">
        <v>84000</v>
      </c>
      <c r="K68" s="233" t="n"/>
      <c r="L68" s="233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27" t="n"/>
      <c r="B69" s="228" t="inlineStr">
        <is>
          <t>JAURETCHE 10100</t>
        </is>
      </c>
      <c r="C69" s="229" t="n">
        <v>1</v>
      </c>
      <c r="D69" s="229" t="n"/>
      <c r="E69" s="229" t="n"/>
      <c r="F69" s="230" t="n"/>
      <c r="G69" s="230" t="n"/>
      <c r="H69" s="231" t="n">
        <v>25000</v>
      </c>
      <c r="I69" s="232" t="n">
        <v>20000</v>
      </c>
      <c r="J69" s="232" t="n">
        <v>5000</v>
      </c>
      <c r="K69" s="233" t="n"/>
      <c r="L69" s="233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37" t="n"/>
      <c r="B70" s="238" t="inlineStr">
        <is>
          <t>CHICLANA 6668</t>
        </is>
      </c>
      <c r="C70" s="239" t="n"/>
      <c r="D70" s="239" t="n">
        <v>1</v>
      </c>
      <c r="E70" s="239" t="n"/>
      <c r="F70" s="240" t="n"/>
      <c r="G70" s="240" t="n"/>
      <c r="H70" s="241" t="n">
        <v>34500</v>
      </c>
      <c r="I70" s="242" t="n"/>
      <c r="J70" s="242" t="n">
        <v>34500</v>
      </c>
      <c r="K70" s="233" t="n"/>
      <c r="L70" s="233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27" t="n">
        <v>46058</v>
      </c>
      <c r="B71" s="228" t="inlineStr">
        <is>
          <t>CERVERA 4748</t>
        </is>
      </c>
      <c r="C71" s="229" t="n">
        <v>1</v>
      </c>
      <c r="D71" s="229" t="n"/>
      <c r="E71" s="229" t="n"/>
      <c r="F71" s="230" t="n"/>
      <c r="G71" s="230" t="n"/>
      <c r="H71" s="231" t="n">
        <v>27000</v>
      </c>
      <c r="I71" s="232" t="n"/>
      <c r="J71" s="232" t="n">
        <v>27000</v>
      </c>
      <c r="K71" s="233" t="n"/>
      <c r="L71" s="233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37" t="n"/>
      <c r="B72" s="238" t="inlineStr">
        <is>
          <t>CHACO 2843</t>
        </is>
      </c>
      <c r="C72" s="239" t="n"/>
      <c r="D72" s="239" t="n"/>
      <c r="E72" s="239" t="n">
        <v>1</v>
      </c>
      <c r="F72" s="240" t="n"/>
      <c r="G72" s="240" t="n"/>
      <c r="H72" s="241" t="n">
        <v>83000</v>
      </c>
      <c r="I72" s="242" t="n">
        <v>83000</v>
      </c>
      <c r="J72" s="242" t="n"/>
      <c r="K72" s="233" t="n"/>
      <c r="L72" s="233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27" t="n"/>
      <c r="B73" s="228" t="inlineStr">
        <is>
          <t>LAS HERAS 5471</t>
        </is>
      </c>
      <c r="C73" s="229" t="n">
        <v>2</v>
      </c>
      <c r="D73" s="229" t="n"/>
      <c r="E73" s="229" t="n"/>
      <c r="F73" s="230" t="n"/>
      <c r="G73" s="230" t="n"/>
      <c r="H73" s="231" t="n">
        <v>50000</v>
      </c>
      <c r="I73" s="232" t="n"/>
      <c r="J73" s="232" t="n">
        <v>50000</v>
      </c>
      <c r="K73" s="233" t="n"/>
      <c r="L73" s="233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37" t="n"/>
      <c r="B74" s="238" t="inlineStr">
        <is>
          <t>VIEYTES 4587</t>
        </is>
      </c>
      <c r="C74" s="239" t="n"/>
      <c r="D74" s="239" t="n">
        <v>1</v>
      </c>
      <c r="E74" s="239" t="n"/>
      <c r="F74" s="240" t="n"/>
      <c r="G74" s="240" t="n"/>
      <c r="H74" s="241" t="n">
        <v>39000</v>
      </c>
      <c r="I74" s="242" t="n">
        <v>39000</v>
      </c>
      <c r="J74" s="242" t="n"/>
      <c r="K74" s="233" t="n"/>
      <c r="L74" s="233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27" t="n"/>
      <c r="B75" s="228" t="inlineStr">
        <is>
          <t>GORRITI 1418</t>
        </is>
      </c>
      <c r="C75" s="229" t="n"/>
      <c r="D75" s="229" t="n"/>
      <c r="E75" s="229" t="n">
        <v>1</v>
      </c>
      <c r="F75" s="230" t="n"/>
      <c r="G75" s="230" t="n"/>
      <c r="H75" s="231" t="n">
        <v>90000</v>
      </c>
      <c r="I75" s="232" t="n"/>
      <c r="J75" s="232" t="n">
        <v>90000</v>
      </c>
      <c r="K75" s="233" t="n"/>
      <c r="L75" s="233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37" t="n"/>
      <c r="B76" s="238" t="inlineStr">
        <is>
          <t>BARRETO 9261</t>
        </is>
      </c>
      <c r="C76" s="239" t="n"/>
      <c r="D76" s="239" t="n">
        <v>1</v>
      </c>
      <c r="E76" s="239" t="n"/>
      <c r="F76" s="240" t="n"/>
      <c r="G76" s="240" t="n"/>
      <c r="H76" s="241" t="n">
        <v>39000</v>
      </c>
      <c r="I76" s="242" t="n"/>
      <c r="J76" s="242" t="n">
        <v>39000</v>
      </c>
      <c r="K76" s="233" t="n"/>
      <c r="L76" s="233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27" t="n"/>
      <c r="B77" s="228" t="inlineStr">
        <is>
          <t>CERVERA 6885</t>
        </is>
      </c>
      <c r="C77" s="229" t="n">
        <v>1</v>
      </c>
      <c r="D77" s="229" t="n"/>
      <c r="E77" s="229" t="n"/>
      <c r="F77" s="230" t="n"/>
      <c r="G77" s="230" t="n"/>
      <c r="H77" s="231" t="n">
        <v>27000</v>
      </c>
      <c r="I77" s="232" t="n">
        <v>27000</v>
      </c>
      <c r="J77" s="232" t="n"/>
      <c r="K77" s="233" t="n"/>
      <c r="L77" s="233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37" t="n"/>
      <c r="B78" s="238" t="inlineStr">
        <is>
          <t>PANA VIEYTES GISELA</t>
        </is>
      </c>
      <c r="C78" s="239" t="n">
        <v>1</v>
      </c>
      <c r="D78" s="239" t="n"/>
      <c r="E78" s="239" t="n"/>
      <c r="F78" s="240" t="n"/>
      <c r="G78" s="240" t="n"/>
      <c r="H78" s="241" t="n">
        <v>22000</v>
      </c>
      <c r="I78" s="242" t="n"/>
      <c r="J78" s="242" t="n">
        <v>22000</v>
      </c>
      <c r="K78" s="233" t="n"/>
      <c r="L78" s="233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27" t="n"/>
      <c r="B79" s="228" t="inlineStr">
        <is>
          <t>PARRI GABOTO</t>
        </is>
      </c>
      <c r="C79" s="229" t="n">
        <v>1</v>
      </c>
      <c r="D79" s="229" t="n"/>
      <c r="E79" s="229" t="n"/>
      <c r="F79" s="230" t="n"/>
      <c r="G79" s="230" t="n"/>
      <c r="H79" s="231" t="n">
        <v>23000</v>
      </c>
      <c r="I79" s="232" t="n"/>
      <c r="J79" s="232" t="n">
        <v>23000</v>
      </c>
      <c r="K79" s="233" t="n"/>
      <c r="L79" s="233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37" t="n"/>
      <c r="B80" s="238" t="inlineStr">
        <is>
          <t>LA PLATA 2834</t>
        </is>
      </c>
      <c r="C80" s="239" t="n"/>
      <c r="D80" s="239" t="n"/>
      <c r="E80" s="239" t="n">
        <v>1</v>
      </c>
      <c r="F80" s="240" t="n"/>
      <c r="G80" s="240" t="n"/>
      <c r="H80" s="241" t="n">
        <v>90000</v>
      </c>
      <c r="I80" s="242" t="n"/>
      <c r="J80" s="242" t="n">
        <v>90000</v>
      </c>
      <c r="K80" s="233" t="n"/>
      <c r="L80" s="233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27" t="n"/>
      <c r="B81" s="228" t="inlineStr">
        <is>
          <t>LAVAISE 2118</t>
        </is>
      </c>
      <c r="C81" s="229" t="n"/>
      <c r="D81" s="229" t="n"/>
      <c r="E81" s="229" t="n">
        <v>1</v>
      </c>
      <c r="F81" s="230" t="n"/>
      <c r="G81" s="230" t="n"/>
      <c r="H81" s="231" t="n">
        <v>87000</v>
      </c>
      <c r="I81" s="232" t="n"/>
      <c r="J81" s="232" t="n">
        <v>87000</v>
      </c>
      <c r="K81" s="233" t="n"/>
      <c r="L81" s="233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37" t="n"/>
      <c r="B82" s="238" t="inlineStr">
        <is>
          <t>LOS PARAISOS 3422</t>
        </is>
      </c>
      <c r="C82" s="239" t="n"/>
      <c r="D82" s="239" t="n"/>
      <c r="E82" s="239" t="n">
        <v>1</v>
      </c>
      <c r="F82" s="240" t="n"/>
      <c r="G82" s="240" t="n"/>
      <c r="H82" s="241" t="n">
        <v>86000</v>
      </c>
      <c r="I82" s="242" t="n"/>
      <c r="J82" s="242" t="n">
        <v>86000</v>
      </c>
      <c r="K82" s="233" t="n"/>
      <c r="L82" s="233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27" t="n"/>
      <c r="B83" s="228" t="inlineStr">
        <is>
          <t>MANTOVANI 6752</t>
        </is>
      </c>
      <c r="C83" s="229" t="n">
        <v>1</v>
      </c>
      <c r="D83" s="229" t="n"/>
      <c r="E83" s="229" t="n"/>
      <c r="F83" s="230" t="n"/>
      <c r="G83" s="230" t="n"/>
      <c r="H83" s="231" t="n">
        <v>25000</v>
      </c>
      <c r="I83" s="232" t="n"/>
      <c r="J83" s="232" t="n">
        <v>25000</v>
      </c>
      <c r="K83" s="233" t="n"/>
      <c r="L83" s="233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37" t="n"/>
      <c r="B84" s="238" t="inlineStr">
        <is>
          <t>PENALOZA 9757</t>
        </is>
      </c>
      <c r="C84" s="239" t="n">
        <v>1</v>
      </c>
      <c r="D84" s="239" t="n"/>
      <c r="E84" s="239" t="n"/>
      <c r="F84" s="240" t="n"/>
      <c r="G84" s="240" t="n"/>
      <c r="H84" s="241" t="n">
        <v>25500</v>
      </c>
      <c r="I84" s="242" t="n"/>
      <c r="J84" s="242" t="n">
        <v>25500</v>
      </c>
      <c r="K84" s="233" t="n"/>
      <c r="L84" s="233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27" t="n"/>
      <c r="B85" s="228" t="inlineStr">
        <is>
          <t>TACUARI 5717</t>
        </is>
      </c>
      <c r="C85" s="229" t="n">
        <v>1</v>
      </c>
      <c r="D85" s="229" t="n"/>
      <c r="E85" s="229" t="n"/>
      <c r="F85" s="230" t="n"/>
      <c r="G85" s="230" t="n"/>
      <c r="H85" s="231" t="n">
        <v>25000</v>
      </c>
      <c r="I85" s="232" t="n"/>
      <c r="J85" s="232" t="n">
        <v>25000</v>
      </c>
      <c r="K85" s="233" t="n"/>
      <c r="L85" s="233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37" t="n"/>
      <c r="B86" s="238" t="inlineStr">
        <is>
          <t>SANDRA</t>
        </is>
      </c>
      <c r="C86" s="239" t="n">
        <v>2</v>
      </c>
      <c r="D86" s="239" t="n"/>
      <c r="E86" s="239" t="n"/>
      <c r="F86" s="240" t="n"/>
      <c r="G86" s="240" t="n"/>
      <c r="H86" s="241" t="n">
        <v>38000</v>
      </c>
      <c r="I86" s="242" t="n">
        <v>10000</v>
      </c>
      <c r="J86" s="242" t="n">
        <v>28000</v>
      </c>
      <c r="K86" s="233" t="n"/>
      <c r="L86" s="233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27" t="n"/>
      <c r="B87" s="228" t="inlineStr">
        <is>
          <t>PIRU</t>
        </is>
      </c>
      <c r="C87" s="229" t="n"/>
      <c r="D87" s="229" t="n">
        <v>1</v>
      </c>
      <c r="E87" s="229" t="n"/>
      <c r="F87" s="230" t="n"/>
      <c r="G87" s="230" t="n"/>
      <c r="H87" s="231" t="n">
        <v>35500</v>
      </c>
      <c r="I87" s="232" t="n"/>
      <c r="J87" s="232" t="n">
        <v>35500</v>
      </c>
      <c r="K87" s="233" t="n"/>
      <c r="L87" s="233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37" t="n">
        <v>46118</v>
      </c>
      <c r="B88" s="238" t="inlineStr">
        <is>
          <t>FREIRE 6181</t>
        </is>
      </c>
      <c r="C88" s="239" t="n"/>
      <c r="D88" s="239" t="n"/>
      <c r="E88" s="239" t="n">
        <v>1</v>
      </c>
      <c r="F88" s="240" t="n"/>
      <c r="G88" s="240" t="n"/>
      <c r="H88" s="241" t="n">
        <v>96000</v>
      </c>
      <c r="I88" s="242" t="n">
        <v>96000</v>
      </c>
      <c r="J88" s="242" t="n"/>
      <c r="K88" s="233" t="n"/>
      <c r="L88" s="233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27" t="n"/>
      <c r="B89" s="228" t="inlineStr">
        <is>
          <t>VIANDAS JORGE</t>
        </is>
      </c>
      <c r="C89" s="229" t="n">
        <v>1</v>
      </c>
      <c r="D89" s="229" t="n"/>
      <c r="E89" s="229" t="n"/>
      <c r="F89" s="230" t="n"/>
      <c r="G89" s="230" t="n"/>
      <c r="H89" s="231" t="n">
        <v>22000</v>
      </c>
      <c r="I89" s="232" t="n">
        <v>22000</v>
      </c>
      <c r="J89" s="232" t="n"/>
      <c r="K89" s="233" t="n"/>
      <c r="L89" s="233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37" t="n"/>
      <c r="B90" s="238" t="inlineStr">
        <is>
          <t>HUERGO 2487</t>
        </is>
      </c>
      <c r="C90" s="239" t="n">
        <v>1</v>
      </c>
      <c r="D90" s="239" t="n"/>
      <c r="E90" s="239" t="n"/>
      <c r="F90" s="240" t="n"/>
      <c r="G90" s="240" t="n"/>
      <c r="H90" s="241" t="n">
        <v>25000</v>
      </c>
      <c r="I90" s="242" t="n"/>
      <c r="J90" s="242" t="n">
        <v>25000</v>
      </c>
      <c r="K90" s="233" t="n"/>
      <c r="L90" s="233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27" t="n"/>
      <c r="B91" s="228" t="inlineStr">
        <is>
          <t>PJE MANUE LEIVA 4230</t>
        </is>
      </c>
      <c r="C91" s="229" t="n">
        <v>1</v>
      </c>
      <c r="D91" s="229" t="n"/>
      <c r="E91" s="229" t="n"/>
      <c r="F91" s="230" t="n"/>
      <c r="G91" s="230" t="n"/>
      <c r="H91" s="231" t="n">
        <v>26000</v>
      </c>
      <c r="I91" s="232" t="n">
        <v>26000</v>
      </c>
      <c r="J91" s="232" t="n"/>
      <c r="K91" s="233" t="n"/>
      <c r="L91" s="233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37" t="n"/>
      <c r="B92" s="238" t="inlineStr">
        <is>
          <t>OTNIEL</t>
        </is>
      </c>
      <c r="C92" s="239" t="n"/>
      <c r="D92" s="239" t="n">
        <v>2</v>
      </c>
      <c r="E92" s="239" t="n"/>
      <c r="F92" s="240" t="n"/>
      <c r="G92" s="240" t="n"/>
      <c r="H92" s="241" t="n">
        <v>68000</v>
      </c>
      <c r="I92" s="242" t="n"/>
      <c r="J92" s="242" t="n">
        <v>68000</v>
      </c>
      <c r="K92" s="233" t="n"/>
      <c r="L92" s="233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27" t="n"/>
      <c r="B93" s="228" t="inlineStr">
        <is>
          <t>PJE GIMNASIA 5186</t>
        </is>
      </c>
      <c r="C93" s="229" t="n">
        <v>1</v>
      </c>
      <c r="D93" s="229" t="n"/>
      <c r="E93" s="229" t="n"/>
      <c r="F93" s="230" t="n"/>
      <c r="G93" s="230" t="n"/>
      <c r="H93" s="231" t="n">
        <v>27000</v>
      </c>
      <c r="I93" s="232" t="n">
        <v>27000</v>
      </c>
      <c r="J93" s="232" t="n"/>
      <c r="K93" s="233" t="n"/>
      <c r="L93" s="233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37" t="n"/>
      <c r="B94" s="238" t="inlineStr">
        <is>
          <t>LA SALLE 6030</t>
        </is>
      </c>
      <c r="C94" s="239" t="n"/>
      <c r="D94" s="239" t="n"/>
      <c r="E94" s="239" t="n">
        <v>1</v>
      </c>
      <c r="F94" s="240" t="n"/>
      <c r="G94" s="240" t="n"/>
      <c r="H94" s="241" t="n">
        <v>86000</v>
      </c>
      <c r="I94" s="242" t="n">
        <v>86000</v>
      </c>
      <c r="J94" s="242" t="n"/>
      <c r="K94" s="233" t="n"/>
      <c r="L94" s="233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27" t="n"/>
      <c r="B95" s="228" t="inlineStr">
        <is>
          <t>NAMUNCURA 4439</t>
        </is>
      </c>
      <c r="C95" s="229" t="n"/>
      <c r="D95" s="229" t="n">
        <v>1</v>
      </c>
      <c r="E95" s="229" t="n"/>
      <c r="F95" s="230" t="n"/>
      <c r="G95" s="230" t="n"/>
      <c r="H95" s="231" t="n">
        <v>36500</v>
      </c>
      <c r="I95" s="232" t="n">
        <v>36500</v>
      </c>
      <c r="J95" s="232" t="n"/>
      <c r="K95" s="233" t="n"/>
      <c r="L95" s="233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37" t="n"/>
      <c r="B96" s="238" t="inlineStr">
        <is>
          <t>PANA COLODRERO 1258</t>
        </is>
      </c>
      <c r="C96" s="239" t="n"/>
      <c r="D96" s="239" t="n"/>
      <c r="E96" s="239" t="n">
        <v>1</v>
      </c>
      <c r="F96" s="240" t="n"/>
      <c r="G96" s="240" t="n"/>
      <c r="H96" s="241" t="n">
        <v>78000</v>
      </c>
      <c r="I96" s="242" t="n"/>
      <c r="J96" s="242" t="n">
        <v>78000</v>
      </c>
      <c r="K96" s="233" t="n"/>
      <c r="L96" s="233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27" t="n"/>
      <c r="B97" s="228" t="inlineStr">
        <is>
          <t>CAREN</t>
        </is>
      </c>
      <c r="C97" s="229" t="n"/>
      <c r="D97" s="229" t="n"/>
      <c r="E97" s="229" t="n">
        <v>1</v>
      </c>
      <c r="F97" s="230" t="n"/>
      <c r="G97" s="230" t="n"/>
      <c r="H97" s="231" t="n">
        <v>82000</v>
      </c>
      <c r="I97" s="232" t="n"/>
      <c r="J97" s="232" t="n">
        <v>82000</v>
      </c>
      <c r="K97" s="233" t="n"/>
      <c r="L97" s="233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37" t="n">
        <v>46119</v>
      </c>
      <c r="B98" s="238" t="inlineStr">
        <is>
          <t>PANA ALBERTI</t>
        </is>
      </c>
      <c r="C98" s="239" t="n"/>
      <c r="D98" s="239" t="n"/>
      <c r="E98" s="239" t="n">
        <v>1</v>
      </c>
      <c r="F98" s="240" t="n"/>
      <c r="G98" s="240" t="n"/>
      <c r="H98" s="241" t="n">
        <v>82000</v>
      </c>
      <c r="I98" s="242" t="n">
        <v>82000</v>
      </c>
      <c r="J98" s="242" t="n"/>
      <c r="K98" s="233" t="n"/>
      <c r="L98" s="233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27" t="n"/>
      <c r="B99" s="228" t="inlineStr">
        <is>
          <t>LUCHO</t>
        </is>
      </c>
      <c r="C99" s="229" t="n">
        <v>3</v>
      </c>
      <c r="D99" s="229" t="n"/>
      <c r="E99" s="229" t="n"/>
      <c r="F99" s="230" t="n"/>
      <c r="G99" s="230" t="n"/>
      <c r="H99" s="231" t="n">
        <v>57000</v>
      </c>
      <c r="I99" s="232" t="n">
        <v>57000</v>
      </c>
      <c r="J99" s="232" t="n"/>
      <c r="K99" s="233" t="n"/>
      <c r="L99" s="233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37" t="n"/>
      <c r="B100" s="238" t="inlineStr">
        <is>
          <t>AZCUENAGA 5023</t>
        </is>
      </c>
      <c r="C100" s="239" t="n">
        <v>6</v>
      </c>
      <c r="D100" s="239" t="n"/>
      <c r="E100" s="239" t="n"/>
      <c r="F100" s="240" t="n"/>
      <c r="G100" s="240" t="n"/>
      <c r="H100" s="241" t="n">
        <v>114000</v>
      </c>
      <c r="I100" s="242" t="n"/>
      <c r="J100" s="242" t="n">
        <v>114000</v>
      </c>
      <c r="K100" s="233" t="n"/>
      <c r="L100" s="233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27" t="n"/>
      <c r="B101" s="228" t="inlineStr">
        <is>
          <t>PUESTO TORTAS M ZAPATA</t>
        </is>
      </c>
      <c r="C101" s="229" t="n">
        <v>1</v>
      </c>
      <c r="D101" s="229" t="n"/>
      <c r="E101" s="229" t="n"/>
      <c r="F101" s="230" t="n"/>
      <c r="G101" s="230" t="n"/>
      <c r="H101" s="231" t="n">
        <v>23500</v>
      </c>
      <c r="I101" s="232" t="n">
        <v>23500</v>
      </c>
      <c r="J101" s="232" t="n"/>
      <c r="K101" s="233" t="n"/>
      <c r="L101" s="233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37" t="n"/>
      <c r="B102" s="238" t="inlineStr">
        <is>
          <t>F ZUVIRIA 7757</t>
        </is>
      </c>
      <c r="C102" s="239" t="n"/>
      <c r="D102" s="239" t="n"/>
      <c r="E102" s="239" t="n">
        <v>1</v>
      </c>
      <c r="F102" s="240" t="n"/>
      <c r="G102" s="240" t="n"/>
      <c r="H102" s="241" t="n">
        <v>85000</v>
      </c>
      <c r="I102" s="242" t="n"/>
      <c r="J102" s="242" t="n">
        <v>85000</v>
      </c>
      <c r="K102" s="233" t="n"/>
      <c r="L102" s="233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27" t="n"/>
      <c r="B103" s="228" t="inlineStr">
        <is>
          <t>PUBLICO 3640</t>
        </is>
      </c>
      <c r="C103" s="229" t="n">
        <v>1</v>
      </c>
      <c r="D103" s="229" t="n"/>
      <c r="E103" s="229" t="n"/>
      <c r="F103" s="230" t="n"/>
      <c r="G103" s="230" t="n"/>
      <c r="H103" s="231" t="n">
        <v>27000</v>
      </c>
      <c r="I103" s="232" t="n">
        <v>27000</v>
      </c>
      <c r="J103" s="232" t="n"/>
      <c r="K103" s="233" t="n"/>
      <c r="L103" s="233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37" t="n"/>
      <c r="B104" s="238" t="inlineStr">
        <is>
          <t>JP LOPE 2580</t>
        </is>
      </c>
      <c r="C104" s="239" t="n">
        <v>1</v>
      </c>
      <c r="D104" s="239" t="n"/>
      <c r="E104" s="239" t="n"/>
      <c r="F104" s="240" t="n"/>
      <c r="G104" s="240" t="n"/>
      <c r="H104" s="241" t="n">
        <v>26000</v>
      </c>
      <c r="I104" s="242" t="n">
        <v>26000</v>
      </c>
      <c r="J104" s="242" t="n"/>
      <c r="K104" s="233" t="n"/>
      <c r="L104" s="233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27" t="n"/>
      <c r="B105" s="228" t="inlineStr">
        <is>
          <t>PUBLICO 8193</t>
        </is>
      </c>
      <c r="C105" s="229" t="n"/>
      <c r="D105" s="229" t="n"/>
      <c r="E105" s="229" t="n">
        <v>1</v>
      </c>
      <c r="F105" s="230" t="n"/>
      <c r="G105" s="230" t="n"/>
      <c r="H105" s="231" t="n">
        <v>84000</v>
      </c>
      <c r="I105" s="232" t="n"/>
      <c r="J105" s="232" t="n">
        <v>84000</v>
      </c>
      <c r="K105" s="233" t="n"/>
      <c r="L105" s="233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37" t="n"/>
      <c r="B106" s="238" t="inlineStr">
        <is>
          <t>LARGUIA 9655</t>
        </is>
      </c>
      <c r="C106" s="239" t="n"/>
      <c r="D106" s="239" t="n">
        <v>1</v>
      </c>
      <c r="E106" s="239" t="n"/>
      <c r="F106" s="240" t="n"/>
      <c r="G106" s="240" t="n"/>
      <c r="H106" s="241" t="n">
        <v>39000</v>
      </c>
      <c r="I106" s="242" t="n"/>
      <c r="J106" s="242" t="n">
        <v>39000</v>
      </c>
      <c r="K106" s="233" t="n"/>
      <c r="L106" s="233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27" t="n"/>
      <c r="B107" s="228" t="inlineStr">
        <is>
          <t>NAMUNCURA 4436</t>
        </is>
      </c>
      <c r="C107" s="229" t="n"/>
      <c r="D107" s="229" t="n"/>
      <c r="E107" s="229" t="n">
        <v>1</v>
      </c>
      <c r="F107" s="230" t="n"/>
      <c r="G107" s="230" t="n"/>
      <c r="H107" s="231" t="n">
        <v>86000</v>
      </c>
      <c r="I107" s="232" t="n"/>
      <c r="J107" s="232" t="n">
        <v>86000</v>
      </c>
      <c r="K107" s="233" t="n"/>
      <c r="L107" s="233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37" t="n"/>
      <c r="B108" s="238" t="inlineStr">
        <is>
          <t>HERNANDARIAS 5356</t>
        </is>
      </c>
      <c r="C108" s="239" t="n">
        <v>1</v>
      </c>
      <c r="D108" s="239" t="n"/>
      <c r="E108" s="239" t="n"/>
      <c r="F108" s="240" t="n"/>
      <c r="G108" s="240" t="n"/>
      <c r="H108" s="241" t="n">
        <v>25000</v>
      </c>
      <c r="I108" s="242" t="n">
        <v>25000</v>
      </c>
      <c r="J108" s="242" t="n"/>
      <c r="K108" s="233" t="n"/>
      <c r="L108" s="233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27" t="n"/>
      <c r="B109" s="228" t="inlineStr">
        <is>
          <t>FILOMENA</t>
        </is>
      </c>
      <c r="C109" s="229" t="n">
        <v>1</v>
      </c>
      <c r="D109" s="229" t="n"/>
      <c r="E109" s="229" t="n"/>
      <c r="F109" s="230" t="n"/>
      <c r="G109" s="230" t="n"/>
      <c r="H109" s="231" t="n">
        <v>23000</v>
      </c>
      <c r="I109" s="232" t="n"/>
      <c r="J109" s="232" t="n">
        <v>23000</v>
      </c>
      <c r="K109" s="233" t="n"/>
      <c r="L109" s="233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37" t="n"/>
      <c r="B110" s="238" t="inlineStr">
        <is>
          <t>LUCHO</t>
        </is>
      </c>
      <c r="C110" s="239" t="n">
        <v>2</v>
      </c>
      <c r="D110" s="239" t="n"/>
      <c r="E110" s="239" t="n"/>
      <c r="F110" s="240" t="n"/>
      <c r="G110" s="240" t="n"/>
      <c r="H110" s="241" t="n">
        <v>38000</v>
      </c>
      <c r="I110" s="242" t="n">
        <v>38000</v>
      </c>
      <c r="J110" s="242" t="n"/>
      <c r="K110" s="233" t="n"/>
      <c r="L110" s="233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27" t="n"/>
      <c r="B111" s="228" t="inlineStr">
        <is>
          <t>EX COMBATIENTES 5433</t>
        </is>
      </c>
      <c r="C111" s="229" t="n"/>
      <c r="D111" s="229" t="n"/>
      <c r="E111" s="229" t="n">
        <v>1</v>
      </c>
      <c r="F111" s="230" t="n"/>
      <c r="G111" s="230" t="n"/>
      <c r="H111" s="231" t="n">
        <v>85000</v>
      </c>
      <c r="I111" s="232" t="n">
        <v>85000</v>
      </c>
      <c r="J111" s="232" t="n"/>
      <c r="K111" s="233" t="n"/>
      <c r="L111" s="233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37" t="n">
        <v>46120</v>
      </c>
      <c r="B112" s="238" t="inlineStr">
        <is>
          <t>CALLE 12 3856</t>
        </is>
      </c>
      <c r="C112" s="239" t="n"/>
      <c r="D112" s="239" t="n"/>
      <c r="E112" s="239" t="n">
        <v>1</v>
      </c>
      <c r="F112" s="240" t="n"/>
      <c r="G112" s="240" t="n"/>
      <c r="H112" s="241" t="n">
        <v>83000</v>
      </c>
      <c r="I112" s="242" t="n"/>
      <c r="J112" s="242" t="n">
        <v>83000</v>
      </c>
      <c r="K112" s="233" t="n"/>
      <c r="L112" s="233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27" t="n"/>
      <c r="B113" s="228" t="inlineStr">
        <is>
          <t>MARIANA</t>
        </is>
      </c>
      <c r="C113" s="229" t="n"/>
      <c r="D113" s="229" t="n"/>
      <c r="E113" s="229" t="n">
        <v>1</v>
      </c>
      <c r="F113" s="230" t="n"/>
      <c r="G113" s="230" t="n"/>
      <c r="H113" s="231" t="n">
        <v>90000</v>
      </c>
      <c r="I113" s="232" t="n">
        <v>90000</v>
      </c>
      <c r="J113" s="232" t="n"/>
      <c r="K113" s="233" t="n"/>
      <c r="L113" s="233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37" t="n"/>
      <c r="B114" s="238" t="inlineStr">
        <is>
          <t>NECOCHEA 3837</t>
        </is>
      </c>
      <c r="C114" s="239" t="n">
        <v>2</v>
      </c>
      <c r="D114" s="239" t="n"/>
      <c r="E114" s="239" t="n"/>
      <c r="F114" s="240" t="n"/>
      <c r="G114" s="240" t="n"/>
      <c r="H114" s="241" t="n">
        <v>52000</v>
      </c>
      <c r="I114" s="242" t="n">
        <v>52000</v>
      </c>
      <c r="J114" s="242" t="n"/>
      <c r="K114" s="233" t="n"/>
      <c r="L114" s="233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27" t="n"/>
      <c r="B115" s="228" t="inlineStr">
        <is>
          <t>BLAS PARERA 7062</t>
        </is>
      </c>
      <c r="C115" s="229" t="n"/>
      <c r="D115" s="229" t="n">
        <v>1</v>
      </c>
      <c r="E115" s="229" t="n"/>
      <c r="F115" s="230" t="n"/>
      <c r="G115" s="230" t="n"/>
      <c r="H115" s="231" t="n">
        <v>36500</v>
      </c>
      <c r="I115" s="232" t="n"/>
      <c r="J115" s="232" t="n">
        <v>36500</v>
      </c>
      <c r="K115" s="233" t="n"/>
      <c r="L115" s="233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37" t="n"/>
      <c r="B116" s="238" t="inlineStr">
        <is>
          <t>PANA BERUTI 3850</t>
        </is>
      </c>
      <c r="C116" s="239" t="n">
        <v>3</v>
      </c>
      <c r="D116" s="239" t="n"/>
      <c r="E116" s="239" t="n">
        <v>1</v>
      </c>
      <c r="F116" s="240" t="n"/>
      <c r="G116" s="240" t="n"/>
      <c r="H116" s="241" t="n">
        <v>142000</v>
      </c>
      <c r="I116" s="242" t="n">
        <v>66000</v>
      </c>
      <c r="J116" s="242" t="n">
        <v>76000</v>
      </c>
      <c r="K116" s="233" t="n"/>
      <c r="L116" s="233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27" t="n"/>
      <c r="B117" s="228" t="inlineStr">
        <is>
          <t>PANA GORRITI 4600</t>
        </is>
      </c>
      <c r="C117" s="229" t="n"/>
      <c r="D117" s="229" t="n"/>
      <c r="E117" s="229" t="n">
        <v>1</v>
      </c>
      <c r="F117" s="230" t="n"/>
      <c r="G117" s="230" t="n"/>
      <c r="H117" s="231" t="n">
        <v>82000</v>
      </c>
      <c r="I117" s="232" t="n">
        <v>82000</v>
      </c>
      <c r="J117" s="232" t="n"/>
      <c r="K117" s="233" t="n"/>
      <c r="L117" s="233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37" t="n"/>
      <c r="B118" s="238" t="inlineStr">
        <is>
          <t>PANA BERUTI 6400</t>
        </is>
      </c>
      <c r="C118" s="239" t="n"/>
      <c r="D118" s="239" t="n"/>
      <c r="E118" s="239" t="n">
        <v>1</v>
      </c>
      <c r="F118" s="240" t="n"/>
      <c r="G118" s="240" t="n"/>
      <c r="H118" s="241" t="n">
        <v>75000</v>
      </c>
      <c r="I118" s="242" t="n"/>
      <c r="J118" s="242" t="n">
        <v>75000</v>
      </c>
      <c r="K118" s="233" t="n"/>
      <c r="L118" s="233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27" t="n"/>
      <c r="B119" s="228" t="inlineStr">
        <is>
          <t>EX COMBATIENTE 5550</t>
        </is>
      </c>
      <c r="C119" s="229" t="n">
        <v>1</v>
      </c>
      <c r="D119" s="229" t="n"/>
      <c r="E119" s="229" t="n"/>
      <c r="F119" s="230" t="n"/>
      <c r="G119" s="230" t="n"/>
      <c r="H119" s="231" t="n">
        <v>26000</v>
      </c>
      <c r="I119" s="232" t="n"/>
      <c r="J119" s="232" t="n">
        <v>26000</v>
      </c>
      <c r="K119" s="233" t="n"/>
      <c r="L119" s="233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37" t="n"/>
      <c r="B120" s="238" t="inlineStr">
        <is>
          <t>LAVAISE 3786</t>
        </is>
      </c>
      <c r="C120" s="239" t="n">
        <v>1</v>
      </c>
      <c r="D120" s="239" t="n"/>
      <c r="E120" s="239" t="n"/>
      <c r="F120" s="240" t="n"/>
      <c r="G120" s="240" t="n"/>
      <c r="H120" s="241" t="n">
        <v>25000</v>
      </c>
      <c r="I120" s="242" t="n"/>
      <c r="J120" s="242" t="n">
        <v>25000</v>
      </c>
      <c r="K120" s="233" t="n"/>
      <c r="L120" s="233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27" t="n"/>
      <c r="B121" s="228" t="inlineStr">
        <is>
          <t xml:space="preserve">SANDRA </t>
        </is>
      </c>
      <c r="C121" s="229" t="n">
        <v>2</v>
      </c>
      <c r="D121" s="229" t="n">
        <v>2</v>
      </c>
      <c r="E121" s="229" t="n"/>
      <c r="F121" s="230" t="n"/>
      <c r="G121" s="230" t="n"/>
      <c r="H121" s="231" t="n">
        <v>95000</v>
      </c>
      <c r="I121" s="232" t="n">
        <v>40000</v>
      </c>
      <c r="J121" s="232" t="n">
        <v>55000</v>
      </c>
      <c r="K121" s="233" t="n"/>
      <c r="L121" s="233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37" t="n"/>
      <c r="B122" s="238" t="inlineStr">
        <is>
          <t>FRATERNIDAD GUANELLA</t>
        </is>
      </c>
      <c r="C122" s="239" t="n">
        <v>1</v>
      </c>
      <c r="D122" s="239" t="n"/>
      <c r="E122" s="239" t="n"/>
      <c r="F122" s="240" t="n"/>
      <c r="G122" s="240" t="n"/>
      <c r="H122" s="241" t="n">
        <v>23000</v>
      </c>
      <c r="I122" s="242" t="n">
        <v>23000</v>
      </c>
      <c r="J122" s="242" t="n"/>
      <c r="K122" s="233" t="n"/>
      <c r="L122" s="233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27" t="n"/>
      <c r="B123" s="228" t="inlineStr">
        <is>
          <t>PANA VIEYTES 3800</t>
        </is>
      </c>
      <c r="C123" s="229" t="n"/>
      <c r="D123" s="229" t="n"/>
      <c r="E123" s="229" t="n">
        <v>1</v>
      </c>
      <c r="F123" s="230" t="n"/>
      <c r="G123" s="230" t="n"/>
      <c r="H123" s="231" t="n">
        <v>82000</v>
      </c>
      <c r="I123" s="232" t="n"/>
      <c r="J123" s="232" t="n">
        <v>82000</v>
      </c>
      <c r="K123" s="233" t="n"/>
      <c r="L123" s="233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37" t="n"/>
      <c r="B124" s="238" t="inlineStr">
        <is>
          <t>GARMENDIA 9249</t>
        </is>
      </c>
      <c r="C124" s="239" t="n"/>
      <c r="D124" s="239" t="n">
        <v>1</v>
      </c>
      <c r="E124" s="239" t="n"/>
      <c r="F124" s="240" t="n"/>
      <c r="G124" s="240" t="n"/>
      <c r="H124" s="241" t="n">
        <v>35500</v>
      </c>
      <c r="I124" s="242" t="n"/>
      <c r="J124" s="242" t="n">
        <v>35500</v>
      </c>
      <c r="K124" s="233" t="n"/>
      <c r="L124" s="233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27" t="n"/>
      <c r="B125" s="228" t="inlineStr">
        <is>
          <t>PUBLICO 5489 Y CAFERATA</t>
        </is>
      </c>
      <c r="C125" s="229" t="n">
        <v>1</v>
      </c>
      <c r="D125" s="229" t="n"/>
      <c r="E125" s="229" t="n"/>
      <c r="F125" s="230" t="n"/>
      <c r="G125" s="230" t="n"/>
      <c r="H125" s="231" t="n">
        <v>27000</v>
      </c>
      <c r="I125" s="232" t="n"/>
      <c r="J125" s="232" t="n">
        <v>27000</v>
      </c>
      <c r="K125" s="233" t="n"/>
      <c r="L125" s="233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37" t="n"/>
      <c r="B126" s="238" t="inlineStr">
        <is>
          <t xml:space="preserve">ESC JUAN DE GARAY </t>
        </is>
      </c>
      <c r="C126" s="239" t="n">
        <v>1</v>
      </c>
      <c r="D126" s="239" t="n"/>
      <c r="E126" s="239" t="n"/>
      <c r="F126" s="240" t="n"/>
      <c r="G126" s="240" t="n"/>
      <c r="H126" s="241" t="n">
        <v>25000</v>
      </c>
      <c r="I126" s="242" t="n">
        <v>25000</v>
      </c>
      <c r="J126" s="242" t="n"/>
      <c r="K126" s="233" t="n"/>
      <c r="L126" s="233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27" t="n"/>
      <c r="B127" s="228" t="inlineStr">
        <is>
          <t>LOLI</t>
        </is>
      </c>
      <c r="C127" s="229" t="n">
        <v>1</v>
      </c>
      <c r="D127" s="229" t="n"/>
      <c r="E127" s="229" t="n"/>
      <c r="F127" s="230" t="n">
        <v>6</v>
      </c>
      <c r="G127" s="230" t="n"/>
      <c r="H127" s="231" t="n">
        <v>49000</v>
      </c>
      <c r="I127" s="232" t="n">
        <v>49000</v>
      </c>
      <c r="J127" s="232" t="n"/>
      <c r="K127" s="233" t="n"/>
      <c r="L127" s="233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37" t="n"/>
      <c r="B128" s="238" t="inlineStr">
        <is>
          <t>TROPPO</t>
        </is>
      </c>
      <c r="C128" s="239" t="n">
        <v>3</v>
      </c>
      <c r="D128" s="239" t="n"/>
      <c r="E128" s="239" t="n"/>
      <c r="F128" s="240" t="n"/>
      <c r="G128" s="240" t="n"/>
      <c r="H128" s="241" t="n">
        <v>75000</v>
      </c>
      <c r="I128" s="242" t="n"/>
      <c r="J128" s="242" t="n">
        <v>75000</v>
      </c>
      <c r="K128" s="233" t="n"/>
      <c r="L128" s="233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27" t="n"/>
      <c r="B129" s="228" t="inlineStr">
        <is>
          <t>FILOMENA</t>
        </is>
      </c>
      <c r="C129" s="229" t="n">
        <v>1</v>
      </c>
      <c r="D129" s="229" t="n"/>
      <c r="E129" s="229" t="n"/>
      <c r="F129" s="230" t="n"/>
      <c r="G129" s="230" t="n"/>
      <c r="H129" s="231" t="n">
        <v>23000</v>
      </c>
      <c r="I129" s="232" t="n"/>
      <c r="J129" s="232" t="n">
        <v>23000</v>
      </c>
      <c r="K129" s="233" t="n"/>
      <c r="L129" s="233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37" t="n"/>
      <c r="B130" s="238" t="inlineStr">
        <is>
          <t>B IRIGOYEN 6854</t>
        </is>
      </c>
      <c r="C130" s="239" t="n">
        <v>1</v>
      </c>
      <c r="D130" s="239" t="n"/>
      <c r="E130" s="239" t="n"/>
      <c r="F130" s="240" t="n"/>
      <c r="G130" s="240" t="n"/>
      <c r="H130" s="241" t="n">
        <v>23000</v>
      </c>
      <c r="I130" s="242" t="n">
        <v>23000</v>
      </c>
      <c r="J130" s="242" t="n"/>
      <c r="K130" s="233" t="n"/>
      <c r="L130" s="233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27" t="n"/>
      <c r="B131" s="228" t="inlineStr">
        <is>
          <t>ANA ABDALA</t>
        </is>
      </c>
      <c r="C131" s="229" t="n">
        <v>1</v>
      </c>
      <c r="D131" s="229" t="n"/>
      <c r="E131" s="229" t="n"/>
      <c r="F131" s="230" t="n"/>
      <c r="G131" s="230" t="n"/>
      <c r="H131" s="231" t="n">
        <v>27000</v>
      </c>
      <c r="I131" s="232" t="n"/>
      <c r="J131" s="232" t="n">
        <v>27000</v>
      </c>
      <c r="K131" s="233" t="n"/>
      <c r="L131" s="233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37" t="n">
        <v>46121</v>
      </c>
      <c r="B132" s="238" t="inlineStr">
        <is>
          <t>PIEDRABUENA 1927</t>
        </is>
      </c>
      <c r="C132" s="239" t="n"/>
      <c r="D132" s="239" t="n"/>
      <c r="E132" s="239" t="n">
        <v>1</v>
      </c>
      <c r="F132" s="240" t="n"/>
      <c r="G132" s="240" t="n"/>
      <c r="H132" s="241" t="n">
        <v>86000</v>
      </c>
      <c r="I132" s="242" t="n">
        <v>86000</v>
      </c>
      <c r="J132" s="242" t="n"/>
      <c r="K132" s="233" t="n"/>
      <c r="L132" s="233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27" t="n"/>
      <c r="B133" s="228" t="inlineStr">
        <is>
          <t>OTNIEL</t>
        </is>
      </c>
      <c r="C133" s="229" t="n"/>
      <c r="D133" s="229" t="n"/>
      <c r="E133" s="229" t="n">
        <v>1</v>
      </c>
      <c r="F133" s="230" t="n">
        <v>4</v>
      </c>
      <c r="G133" s="230" t="n">
        <v>4</v>
      </c>
      <c r="H133" s="231" t="n">
        <v>124800</v>
      </c>
      <c r="I133" s="232" t="n">
        <v>103000</v>
      </c>
      <c r="J133" s="232" t="n">
        <v>20800</v>
      </c>
      <c r="K133" s="233" t="n"/>
      <c r="L133" s="233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37" t="n"/>
      <c r="B134" s="238" t="inlineStr">
        <is>
          <t>PEDRO VEGA 4343</t>
        </is>
      </c>
      <c r="C134" s="239" t="n"/>
      <c r="D134" s="239" t="n"/>
      <c r="E134" s="239" t="n">
        <v>1</v>
      </c>
      <c r="F134" s="240" t="n"/>
      <c r="G134" s="240" t="n"/>
      <c r="H134" s="241" t="n">
        <v>90000</v>
      </c>
      <c r="I134" s="242" t="n">
        <v>90000</v>
      </c>
      <c r="J134" s="242" t="n"/>
      <c r="K134" s="233" t="n"/>
      <c r="L134" s="233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27" t="n"/>
      <c r="B135" s="228" t="inlineStr">
        <is>
          <t>VIANDAS JORGE</t>
        </is>
      </c>
      <c r="C135" s="229" t="n">
        <v>1</v>
      </c>
      <c r="D135" s="229" t="n"/>
      <c r="E135" s="229" t="n"/>
      <c r="F135" s="230" t="n"/>
      <c r="G135" s="230" t="n"/>
      <c r="H135" s="231" t="n">
        <v>22000</v>
      </c>
      <c r="I135" s="232" t="n">
        <v>22000</v>
      </c>
      <c r="J135" s="232" t="n"/>
      <c r="K135" s="233" t="n"/>
      <c r="L135" s="233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37" t="n"/>
      <c r="B136" s="238" t="inlineStr">
        <is>
          <t>URQUIZA 2031</t>
        </is>
      </c>
      <c r="C136" s="239" t="n"/>
      <c r="D136" s="239" t="n"/>
      <c r="E136" s="239" t="n">
        <v>1</v>
      </c>
      <c r="F136" s="240" t="n"/>
      <c r="G136" s="240" t="n"/>
      <c r="H136" s="241" t="n">
        <v>85000</v>
      </c>
      <c r="I136" s="242" t="n">
        <v>85000</v>
      </c>
      <c r="J136" s="242" t="n"/>
      <c r="K136" s="233" t="n"/>
      <c r="L136" s="233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27" t="n"/>
      <c r="B137" s="228" t="inlineStr">
        <is>
          <t xml:space="preserve">ALBERTI Y GABOTO </t>
        </is>
      </c>
      <c r="C137" s="229" t="n">
        <v>3</v>
      </c>
      <c r="D137" s="229" t="n"/>
      <c r="E137" s="229" t="n"/>
      <c r="F137" s="230" t="n"/>
      <c r="G137" s="230" t="n"/>
      <c r="H137" s="231" t="n">
        <v>57000</v>
      </c>
      <c r="I137" s="232" t="n">
        <v>57000</v>
      </c>
      <c r="J137" s="232" t="n"/>
      <c r="K137" s="233" t="n"/>
      <c r="L137" s="233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37" t="n"/>
      <c r="B138" s="238" t="inlineStr">
        <is>
          <t>BLAS PARERA 5224</t>
        </is>
      </c>
      <c r="C138" s="239" t="n"/>
      <c r="D138" s="239" t="n"/>
      <c r="E138" s="239" t="n">
        <v>1</v>
      </c>
      <c r="F138" s="240" t="n"/>
      <c r="G138" s="240" t="n"/>
      <c r="H138" s="241" t="n">
        <v>85000</v>
      </c>
      <c r="I138" s="242" t="n"/>
      <c r="J138" s="242" t="n">
        <v>85000</v>
      </c>
      <c r="K138" s="233" t="n"/>
      <c r="L138" s="233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27" t="n"/>
      <c r="B139" s="228" t="inlineStr">
        <is>
          <t>MALAVER 4238</t>
        </is>
      </c>
      <c r="C139" s="229" t="n"/>
      <c r="D139" s="229" t="n">
        <v>1</v>
      </c>
      <c r="E139" s="229" t="n"/>
      <c r="F139" s="230" t="n"/>
      <c r="G139" s="230" t="n"/>
      <c r="H139" s="231" t="n">
        <v>36500</v>
      </c>
      <c r="I139" s="232" t="n"/>
      <c r="J139" s="232" t="n">
        <v>36500</v>
      </c>
      <c r="K139" s="233" t="n"/>
      <c r="L139" s="233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37" t="n"/>
      <c r="B140" s="238" t="inlineStr">
        <is>
          <t>ZAVALLA 8455</t>
        </is>
      </c>
      <c r="C140" s="239" t="n">
        <v>1</v>
      </c>
      <c r="D140" s="239" t="n"/>
      <c r="E140" s="239" t="n"/>
      <c r="F140" s="240" t="n"/>
      <c r="G140" s="240" t="n"/>
      <c r="H140" s="241" t="n">
        <v>26000</v>
      </c>
      <c r="I140" s="242" t="n"/>
      <c r="J140" s="242" t="n">
        <v>26000</v>
      </c>
      <c r="K140" s="233" t="n"/>
      <c r="L140" s="233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27" t="n"/>
      <c r="B141" s="228" t="inlineStr">
        <is>
          <t xml:space="preserve">DANTE </t>
        </is>
      </c>
      <c r="C141" s="229" t="n">
        <v>2</v>
      </c>
      <c r="D141" s="229" t="n"/>
      <c r="E141" s="229" t="n"/>
      <c r="F141" s="230" t="n"/>
      <c r="G141" s="230" t="n"/>
      <c r="H141" s="231" t="n">
        <v>54000</v>
      </c>
      <c r="I141" s="232" t="n">
        <v>54000</v>
      </c>
      <c r="J141" s="232" t="n"/>
      <c r="K141" s="233" t="n"/>
      <c r="L141" s="233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37" t="n"/>
      <c r="B142" s="238" t="inlineStr">
        <is>
          <t>CASANELLO 3463</t>
        </is>
      </c>
      <c r="C142" s="239" t="n"/>
      <c r="D142" s="239" t="n">
        <v>1</v>
      </c>
      <c r="E142" s="239" t="n"/>
      <c r="F142" s="240" t="n"/>
      <c r="G142" s="240" t="n"/>
      <c r="H142" s="241" t="n">
        <v>36500</v>
      </c>
      <c r="I142" s="242" t="n">
        <v>36500</v>
      </c>
      <c r="J142" s="242" t="n"/>
      <c r="K142" s="233" t="n"/>
      <c r="L142" s="233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27" t="n"/>
      <c r="B143" s="228" t="inlineStr">
        <is>
          <t xml:space="preserve">ROTI VIEYTES </t>
        </is>
      </c>
      <c r="C143" s="229" t="n"/>
      <c r="D143" s="229" t="n">
        <v>2</v>
      </c>
      <c r="E143" s="229" t="n"/>
      <c r="F143" s="230" t="n"/>
      <c r="G143" s="230" t="n"/>
      <c r="H143" s="231" t="n">
        <v>61000</v>
      </c>
      <c r="I143" s="232" t="n"/>
      <c r="J143" s="232" t="n">
        <v>61000</v>
      </c>
      <c r="K143" s="233" t="n"/>
      <c r="L143" s="233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37" t="n"/>
      <c r="B144" s="238" t="inlineStr">
        <is>
          <t>SAVEDRA 10125</t>
        </is>
      </c>
      <c r="C144" s="239" t="n"/>
      <c r="D144" s="239" t="n"/>
      <c r="E144" s="239" t="n">
        <v>1</v>
      </c>
      <c r="F144" s="240" t="n"/>
      <c r="G144" s="240" t="n"/>
      <c r="H144" s="241" t="n">
        <v>92000</v>
      </c>
      <c r="I144" s="242" t="n"/>
      <c r="J144" s="242" t="n">
        <v>92000</v>
      </c>
      <c r="K144" s="233" t="n"/>
      <c r="L144" s="233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27" t="n"/>
      <c r="B145" s="228" t="inlineStr">
        <is>
          <t>SABOREAR</t>
        </is>
      </c>
      <c r="C145" s="229" t="n">
        <v>1</v>
      </c>
      <c r="D145" s="229" t="n"/>
      <c r="E145" s="229" t="n"/>
      <c r="F145" s="230" t="n"/>
      <c r="G145" s="230" t="n"/>
      <c r="H145" s="231" t="n">
        <v>22500</v>
      </c>
      <c r="I145" s="232" t="n"/>
      <c r="J145" s="232" t="n">
        <v>22500</v>
      </c>
      <c r="K145" s="233" t="n"/>
      <c r="L145" s="233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37" t="n"/>
      <c r="B146" s="238" t="inlineStr">
        <is>
          <t>EXE</t>
        </is>
      </c>
      <c r="C146" s="239" t="n"/>
      <c r="D146" s="239" t="n"/>
      <c r="E146" s="239" t="n">
        <v>1</v>
      </c>
      <c r="F146" s="240" t="n"/>
      <c r="G146" s="240" t="n"/>
      <c r="H146" s="241" t="n">
        <v>82000</v>
      </c>
      <c r="I146" s="242" t="n"/>
      <c r="J146" s="242" t="n">
        <v>82000</v>
      </c>
      <c r="K146" s="233" t="n"/>
      <c r="L146" s="233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27" t="n"/>
      <c r="B147" s="228" t="inlineStr">
        <is>
          <t>CASTAÑADUY 7035</t>
        </is>
      </c>
      <c r="C147" s="229" t="n"/>
      <c r="D147" s="229" t="n"/>
      <c r="E147" s="229" t="n">
        <v>1</v>
      </c>
      <c r="F147" s="230" t="n"/>
      <c r="G147" s="230" t="n"/>
      <c r="H147" s="231" t="n">
        <v>85000</v>
      </c>
      <c r="I147" s="232" t="n"/>
      <c r="J147" s="232" t="n">
        <v>85000</v>
      </c>
      <c r="K147" s="233" t="n"/>
      <c r="L147" s="233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37" t="n">
        <v>46122</v>
      </c>
      <c r="B148" s="238" t="inlineStr">
        <is>
          <t>ESTRADA 2198</t>
        </is>
      </c>
      <c r="C148" s="239" t="n"/>
      <c r="D148" s="239" t="n"/>
      <c r="E148" s="239" t="n">
        <v>1</v>
      </c>
      <c r="F148" s="240" t="n"/>
      <c r="G148" s="240" t="n"/>
      <c r="H148" s="241" t="n">
        <v>95000</v>
      </c>
      <c r="I148" s="242" t="n">
        <v>95000</v>
      </c>
      <c r="J148" s="242" t="n"/>
      <c r="K148" s="233" t="n"/>
      <c r="L148" s="233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27" t="n"/>
      <c r="B149" s="228" t="inlineStr">
        <is>
          <t>FORMOSA 6058</t>
        </is>
      </c>
      <c r="C149" s="229" t="n">
        <v>1</v>
      </c>
      <c r="D149" s="229" t="n"/>
      <c r="E149" s="229" t="n"/>
      <c r="F149" s="230" t="n"/>
      <c r="G149" s="230" t="n">
        <v>3</v>
      </c>
      <c r="H149" s="231" t="n">
        <v>45000</v>
      </c>
      <c r="I149" s="232" t="n">
        <v>45000</v>
      </c>
      <c r="J149" s="232" t="n"/>
      <c r="K149" s="233" t="n"/>
      <c r="L149" s="233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37" t="n"/>
      <c r="B150" s="238" t="inlineStr">
        <is>
          <t>PJE AGUIAR 9340</t>
        </is>
      </c>
      <c r="C150" s="239" t="n"/>
      <c r="D150" s="239" t="n">
        <v>1</v>
      </c>
      <c r="E150" s="239" t="n"/>
      <c r="F150" s="240" t="n"/>
      <c r="G150" s="240" t="n"/>
      <c r="H150" s="241" t="n">
        <v>36500</v>
      </c>
      <c r="I150" s="242" t="n"/>
      <c r="J150" s="242" t="n">
        <v>36500</v>
      </c>
      <c r="K150" s="233" t="n"/>
      <c r="L150" s="233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27" t="n"/>
      <c r="B151" s="228" t="inlineStr">
        <is>
          <t>FILOMENA</t>
        </is>
      </c>
      <c r="C151" s="229" t="n">
        <v>2</v>
      </c>
      <c r="D151" s="229" t="n"/>
      <c r="E151" s="229" t="n"/>
      <c r="F151" s="230" t="n"/>
      <c r="G151" s="230" t="n"/>
      <c r="H151" s="231" t="n">
        <v>46000</v>
      </c>
      <c r="I151" s="232" t="n"/>
      <c r="J151" s="232" t="n">
        <v>46000</v>
      </c>
      <c r="K151" s="233" t="n"/>
      <c r="L151" s="233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37" t="n"/>
      <c r="B152" s="238" t="inlineStr">
        <is>
          <t>LLERENA 3161</t>
        </is>
      </c>
      <c r="C152" s="239" t="n">
        <v>1</v>
      </c>
      <c r="D152" s="239" t="n"/>
      <c r="E152" s="239" t="n"/>
      <c r="F152" s="240" t="n"/>
      <c r="G152" s="240" t="n"/>
      <c r="H152" s="241" t="n">
        <v>26000</v>
      </c>
      <c r="I152" s="242" t="n"/>
      <c r="J152" s="242" t="n">
        <v>26000</v>
      </c>
      <c r="K152" s="233" t="n"/>
      <c r="L152" s="233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27" t="n"/>
      <c r="B153" s="228" t="inlineStr">
        <is>
          <t>IGUALDAD</t>
        </is>
      </c>
      <c r="C153" s="229" t="n">
        <v>1</v>
      </c>
      <c r="D153" s="229" t="n"/>
      <c r="E153" s="229" t="n"/>
      <c r="F153" s="230" t="n"/>
      <c r="G153" s="230" t="n"/>
      <c r="H153" s="231" t="n">
        <v>23000</v>
      </c>
      <c r="I153" s="232" t="n"/>
      <c r="J153" s="232" t="n">
        <v>23000</v>
      </c>
      <c r="K153" s="233" t="n"/>
      <c r="L153" s="233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37" t="n"/>
      <c r="B154" s="238" t="inlineStr">
        <is>
          <t>SABOREAR</t>
        </is>
      </c>
      <c r="C154" s="239" t="n"/>
      <c r="D154" s="239" t="n"/>
      <c r="E154" s="239" t="n">
        <v>1</v>
      </c>
      <c r="F154" s="240" t="n"/>
      <c r="G154" s="240" t="n"/>
      <c r="H154" s="241" t="n">
        <v>81000</v>
      </c>
      <c r="I154" s="242" t="n"/>
      <c r="J154" s="242" t="n">
        <v>81000</v>
      </c>
      <c r="K154" s="233" t="n"/>
      <c r="L154" s="233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27" t="n"/>
      <c r="B155" s="228" t="inlineStr">
        <is>
          <t>LAVAISE 3458</t>
        </is>
      </c>
      <c r="C155" s="229" t="n"/>
      <c r="D155" s="229" t="n">
        <v>1</v>
      </c>
      <c r="E155" s="229" t="n"/>
      <c r="F155" s="230" t="n"/>
      <c r="G155" s="230" t="n"/>
      <c r="H155" s="231" t="n">
        <v>35000</v>
      </c>
      <c r="I155" s="232" t="n">
        <v>35000</v>
      </c>
      <c r="J155" s="232" t="n"/>
      <c r="K155" s="233" t="n"/>
      <c r="L155" s="233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37" t="n"/>
      <c r="B156" s="238" t="inlineStr">
        <is>
          <t>PEDRO CEBALLOS 8134</t>
        </is>
      </c>
      <c r="C156" s="239" t="n">
        <v>2</v>
      </c>
      <c r="D156" s="239" t="n"/>
      <c r="E156" s="239" t="n"/>
      <c r="F156" s="240" t="n"/>
      <c r="G156" s="240" t="n"/>
      <c r="H156" s="241" t="n">
        <v>38000</v>
      </c>
      <c r="I156" s="242" t="n">
        <v>38000</v>
      </c>
      <c r="J156" s="242" t="n"/>
      <c r="K156" s="233" t="n"/>
      <c r="L156" s="233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27" t="n"/>
      <c r="B157" s="228" t="inlineStr">
        <is>
          <t>GORRITI 6742</t>
        </is>
      </c>
      <c r="C157" s="229" t="n">
        <v>1</v>
      </c>
      <c r="D157" s="229" t="n"/>
      <c r="E157" s="229" t="n"/>
      <c r="F157" s="230" t="n"/>
      <c r="G157" s="230" t="n"/>
      <c r="H157" s="231" t="n">
        <v>26000</v>
      </c>
      <c r="I157" s="232" t="n">
        <v>26000</v>
      </c>
      <c r="J157" s="232" t="n"/>
      <c r="K157" s="233" t="n"/>
      <c r="L157" s="233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37" t="n"/>
      <c r="B158" s="238" t="inlineStr">
        <is>
          <t>ROTI ARISTOBULO</t>
        </is>
      </c>
      <c r="C158" s="239" t="n"/>
      <c r="D158" s="239" t="n">
        <v>1</v>
      </c>
      <c r="E158" s="239" t="n"/>
      <c r="F158" s="240" t="n"/>
      <c r="G158" s="240" t="n"/>
      <c r="H158" s="241" t="n">
        <v>33500</v>
      </c>
      <c r="I158" s="242" t="n"/>
      <c r="J158" s="242" t="n">
        <v>33500</v>
      </c>
      <c r="K158" s="233" t="n"/>
      <c r="L158" s="233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27" t="n"/>
      <c r="B159" s="228" t="inlineStr">
        <is>
          <t>ALSINA 6671</t>
        </is>
      </c>
      <c r="C159" s="229" t="n">
        <v>1</v>
      </c>
      <c r="D159" s="229" t="n"/>
      <c r="E159" s="229" t="n"/>
      <c r="F159" s="230" t="n"/>
      <c r="G159" s="230" t="n"/>
      <c r="H159" s="231" t="n">
        <v>26000</v>
      </c>
      <c r="I159" s="232" t="n">
        <v>26000</v>
      </c>
      <c r="J159" s="232" t="n"/>
      <c r="K159" s="233" t="n"/>
      <c r="L159" s="233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37" t="n">
        <v>46123</v>
      </c>
      <c r="B160" s="238" t="inlineStr">
        <is>
          <t>AYACUCHO 5370</t>
        </is>
      </c>
      <c r="C160" s="239" t="n"/>
      <c r="D160" s="239" t="n"/>
      <c r="E160" s="239" t="n"/>
      <c r="F160" s="240" t="n"/>
      <c r="G160" s="240" t="n">
        <v>1</v>
      </c>
      <c r="H160" s="241" t="n">
        <v>6000</v>
      </c>
      <c r="I160" s="242" t="n"/>
      <c r="J160" s="242" t="n">
        <v>6000</v>
      </c>
      <c r="K160" s="233" t="n"/>
      <c r="L160" s="233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27" t="n"/>
      <c r="B161" s="228" t="inlineStr">
        <is>
          <t>ROTI AGUADO</t>
        </is>
      </c>
      <c r="C161" s="229" t="n"/>
      <c r="D161" s="229" t="n">
        <v>1</v>
      </c>
      <c r="E161" s="229" t="n"/>
      <c r="F161" s="230" t="n"/>
      <c r="G161" s="230" t="n"/>
      <c r="H161" s="231" t="n">
        <v>33500</v>
      </c>
      <c r="I161" s="232" t="n"/>
      <c r="J161" s="232" t="n">
        <v>33500</v>
      </c>
      <c r="K161" s="233" t="n"/>
      <c r="L161" s="233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37" t="n"/>
      <c r="B162" s="238" t="inlineStr">
        <is>
          <t>PANA GISELA</t>
        </is>
      </c>
      <c r="C162" s="239" t="n"/>
      <c r="D162" s="239" t="n"/>
      <c r="E162" s="239" t="n"/>
      <c r="F162" s="240" t="n">
        <v>2</v>
      </c>
      <c r="G162" s="240" t="n"/>
      <c r="H162" s="241" t="n">
        <v>7200</v>
      </c>
      <c r="I162" s="242" t="n"/>
      <c r="J162" s="242" t="n">
        <v>7200</v>
      </c>
      <c r="K162" s="233" t="n"/>
      <c r="L162" s="233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27" t="n"/>
      <c r="B163" s="228" t="inlineStr">
        <is>
          <t>PANA VIEYTES 4500</t>
        </is>
      </c>
      <c r="C163" s="229" t="n"/>
      <c r="D163" s="229" t="n"/>
      <c r="E163" s="229" t="n">
        <v>1</v>
      </c>
      <c r="F163" s="230" t="n"/>
      <c r="G163" s="230" t="n"/>
      <c r="H163" s="231" t="n">
        <v>78000</v>
      </c>
      <c r="I163" s="232" t="n"/>
      <c r="J163" s="232" t="n">
        <v>78000</v>
      </c>
      <c r="K163" s="233" t="n"/>
      <c r="L163" s="233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37" t="n"/>
      <c r="B164" s="238" t="inlineStr">
        <is>
          <t>PANA ALBERTI</t>
        </is>
      </c>
      <c r="C164" s="239" t="n"/>
      <c r="D164" s="239" t="n"/>
      <c r="E164" s="239" t="n">
        <v>1</v>
      </c>
      <c r="F164" s="240" t="n"/>
      <c r="G164" s="240" t="n"/>
      <c r="H164" s="241" t="n">
        <v>82000</v>
      </c>
      <c r="I164" s="242" t="n">
        <v>82000</v>
      </c>
      <c r="J164" s="242" t="n"/>
      <c r="K164" s="233" t="n"/>
      <c r="L164" s="233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27" t="n"/>
      <c r="B165" s="228" t="inlineStr">
        <is>
          <t>BRASERIA</t>
        </is>
      </c>
      <c r="C165" s="229" t="n"/>
      <c r="D165" s="229" t="n"/>
      <c r="E165" s="229" t="n">
        <v>1</v>
      </c>
      <c r="F165" s="230" t="n"/>
      <c r="G165" s="230" t="n"/>
      <c r="H165" s="231" t="n">
        <v>83000</v>
      </c>
      <c r="I165" s="232" t="n"/>
      <c r="J165" s="232" t="n">
        <v>83000</v>
      </c>
      <c r="K165" s="233" t="n"/>
      <c r="L165" s="233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37" t="n"/>
      <c r="B166" s="238" t="inlineStr">
        <is>
          <t>ARISTOBULO ROTI</t>
        </is>
      </c>
      <c r="C166" s="239" t="n">
        <v>1</v>
      </c>
      <c r="D166" s="239" t="n"/>
      <c r="E166" s="239" t="n"/>
      <c r="F166" s="240" t="n"/>
      <c r="G166" s="240" t="n"/>
      <c r="H166" s="241" t="n">
        <v>23000</v>
      </c>
      <c r="I166" s="242" t="n">
        <v>23000</v>
      </c>
      <c r="J166" s="242" t="n"/>
      <c r="K166" s="233" t="n"/>
      <c r="L166" s="233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27" t="n"/>
      <c r="B167" s="228" t="inlineStr">
        <is>
          <t>PAULO</t>
        </is>
      </c>
      <c r="C167" s="229" t="n">
        <v>2</v>
      </c>
      <c r="D167" s="229" t="n"/>
      <c r="E167" s="229" t="n"/>
      <c r="F167" s="230" t="n"/>
      <c r="G167" s="230" t="n"/>
      <c r="H167" s="231" t="n">
        <v>37000</v>
      </c>
      <c r="I167" s="232" t="n"/>
      <c r="J167" s="232" t="n">
        <v>37000</v>
      </c>
      <c r="K167" s="233" t="n"/>
      <c r="L167" s="233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37" t="n"/>
      <c r="B168" s="238" t="inlineStr">
        <is>
          <t>OTNIEL</t>
        </is>
      </c>
      <c r="C168" s="239" t="n"/>
      <c r="D168" s="239" t="n">
        <v>1</v>
      </c>
      <c r="E168" s="239" t="n"/>
      <c r="F168" s="240" t="n"/>
      <c r="G168" s="240" t="n"/>
      <c r="H168" s="241" t="n">
        <v>34000</v>
      </c>
      <c r="I168" s="242" t="n"/>
      <c r="J168" s="242" t="n">
        <v>34000</v>
      </c>
      <c r="K168" s="233" t="n"/>
      <c r="L168" s="233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27" t="n"/>
      <c r="B169" s="228" t="inlineStr">
        <is>
          <t>ARISTOBULO 6897</t>
        </is>
      </c>
      <c r="C169" s="229" t="n"/>
      <c r="D169" s="229" t="n"/>
      <c r="E169" s="229" t="n">
        <v>1</v>
      </c>
      <c r="F169" s="230" t="n"/>
      <c r="G169" s="230" t="n"/>
      <c r="H169" s="231" t="n">
        <v>90000</v>
      </c>
      <c r="I169" s="232" t="n"/>
      <c r="J169" s="232" t="n">
        <v>90000</v>
      </c>
      <c r="K169" s="233" t="n"/>
      <c r="L169" s="233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37" t="n"/>
      <c r="B170" s="238" t="inlineStr">
        <is>
          <t>D SILVA 4217</t>
        </is>
      </c>
      <c r="C170" s="239" t="n">
        <v>2</v>
      </c>
      <c r="D170" s="239" t="n"/>
      <c r="E170" s="239" t="n"/>
      <c r="F170" s="240" t="n"/>
      <c r="G170" s="240" t="n"/>
      <c r="H170" s="241" t="n">
        <v>38000</v>
      </c>
      <c r="I170" s="242" t="n"/>
      <c r="J170" s="242" t="n">
        <v>38000</v>
      </c>
      <c r="K170" s="233" t="n"/>
      <c r="L170" s="233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27" t="n"/>
      <c r="B171" s="228" t="inlineStr">
        <is>
          <t>ROQUE S PEÑA 3066</t>
        </is>
      </c>
      <c r="C171" s="229" t="n"/>
      <c r="D171" s="229" t="n">
        <v>1</v>
      </c>
      <c r="E171" s="229" t="n"/>
      <c r="F171" s="230" t="n"/>
      <c r="G171" s="230" t="n"/>
      <c r="H171" s="231" t="n">
        <v>41000</v>
      </c>
      <c r="I171" s="232" t="n"/>
      <c r="J171" s="232" t="n">
        <v>41000</v>
      </c>
      <c r="K171" s="233" t="n"/>
      <c r="L171" s="233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37" t="n"/>
      <c r="B172" s="238" t="inlineStr">
        <is>
          <t>BONEO 4054</t>
        </is>
      </c>
      <c r="C172" s="239" t="n">
        <v>1</v>
      </c>
      <c r="D172" s="239" t="n">
        <v>1</v>
      </c>
      <c r="E172" s="239" t="n"/>
      <c r="F172" s="240" t="n"/>
      <c r="G172" s="240" t="n"/>
      <c r="H172" s="241" t="n">
        <v>65000</v>
      </c>
      <c r="I172" s="242" t="n">
        <v>65000</v>
      </c>
      <c r="J172" s="242" t="n"/>
      <c r="K172" s="233" t="n"/>
      <c r="L172" s="233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27" t="n"/>
      <c r="B173" s="228" t="inlineStr">
        <is>
          <t>E ISRAEL 4717</t>
        </is>
      </c>
      <c r="C173" s="229" t="n">
        <v>1</v>
      </c>
      <c r="D173" s="229" t="n"/>
      <c r="E173" s="229" t="n"/>
      <c r="F173" s="230" t="n"/>
      <c r="G173" s="230" t="n"/>
      <c r="H173" s="231" t="n">
        <v>26000</v>
      </c>
      <c r="I173" s="232" t="n">
        <v>26000</v>
      </c>
      <c r="J173" s="232" t="n"/>
      <c r="K173" s="233" t="n"/>
      <c r="L173" s="233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37" t="n"/>
      <c r="B174" s="238" t="inlineStr">
        <is>
          <t>TACUARI 5717</t>
        </is>
      </c>
      <c r="C174" s="239" t="n">
        <v>1</v>
      </c>
      <c r="D174" s="239" t="n"/>
      <c r="E174" s="239" t="n"/>
      <c r="F174" s="240" t="n"/>
      <c r="G174" s="240" t="n"/>
      <c r="H174" s="241" t="n">
        <v>25000</v>
      </c>
      <c r="I174" s="242" t="n"/>
      <c r="J174" s="242" t="n">
        <v>25000</v>
      </c>
      <c r="K174" s="233" t="n"/>
      <c r="L174" s="233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27" t="n"/>
      <c r="B175" s="228" t="inlineStr">
        <is>
          <t>FILOMENA</t>
        </is>
      </c>
      <c r="C175" s="229" t="n">
        <v>2</v>
      </c>
      <c r="D175" s="229" t="n"/>
      <c r="E175" s="229" t="n"/>
      <c r="F175" s="230" t="n"/>
      <c r="G175" s="230" t="n"/>
      <c r="H175" s="231" t="n">
        <v>46000</v>
      </c>
      <c r="I175" s="232" t="n"/>
      <c r="J175" s="232" t="n">
        <v>46000</v>
      </c>
      <c r="K175" s="233" t="n"/>
      <c r="L175" s="233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37" t="n"/>
      <c r="B176" s="238" t="inlineStr">
        <is>
          <t>DRAXXO COSTA</t>
        </is>
      </c>
      <c r="C176" s="239" t="n">
        <v>1</v>
      </c>
      <c r="D176" s="239" t="n"/>
      <c r="E176" s="239" t="n"/>
      <c r="F176" s="240" t="n"/>
      <c r="G176" s="240" t="n"/>
      <c r="H176" s="241" t="n">
        <v>26000</v>
      </c>
      <c r="I176" s="242" t="n">
        <v>26000</v>
      </c>
      <c r="J176" s="242" t="n"/>
      <c r="K176" s="233" t="n"/>
      <c r="L176" s="233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27" t="n"/>
      <c r="B177" s="228" t="inlineStr">
        <is>
          <t>CANCHA RIVADAVIA</t>
        </is>
      </c>
      <c r="C177" s="229" t="n">
        <v>1</v>
      </c>
      <c r="D177" s="229" t="n"/>
      <c r="E177" s="229" t="n">
        <v>1</v>
      </c>
      <c r="F177" s="230" t="n"/>
      <c r="G177" s="230" t="n"/>
      <c r="H177" s="231" t="n">
        <v>105000</v>
      </c>
      <c r="I177" s="232" t="n"/>
      <c r="J177" s="232" t="n">
        <v>105000</v>
      </c>
      <c r="K177" s="233" t="n"/>
      <c r="L177" s="233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37" t="n"/>
      <c r="B178" s="238" t="inlineStr">
        <is>
          <t>CAREN</t>
        </is>
      </c>
      <c r="C178" s="239" t="n"/>
      <c r="D178" s="239" t="n"/>
      <c r="E178" s="239" t="n">
        <v>1</v>
      </c>
      <c r="F178" s="240" t="n"/>
      <c r="G178" s="240" t="n"/>
      <c r="H178" s="241" t="n">
        <v>82000</v>
      </c>
      <c r="I178" s="242" t="n"/>
      <c r="J178" s="242" t="n">
        <v>82000</v>
      </c>
      <c r="K178" s="233" t="n"/>
      <c r="L178" s="233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27" t="n">
        <v>46124</v>
      </c>
      <c r="B179" s="228" t="inlineStr">
        <is>
          <t>9 DE JULIO 2366</t>
        </is>
      </c>
      <c r="C179" s="229" t="n">
        <v>1</v>
      </c>
      <c r="D179" s="229" t="n"/>
      <c r="E179" s="229" t="n"/>
      <c r="F179" s="230" t="n"/>
      <c r="G179" s="230" t="n"/>
      <c r="H179" s="231" t="n">
        <v>27000</v>
      </c>
      <c r="I179" s="232" t="n">
        <v>27000</v>
      </c>
      <c r="J179" s="232" t="n"/>
      <c r="K179" s="233" t="n"/>
      <c r="L179" s="233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37" t="n"/>
      <c r="B180" s="238" t="inlineStr">
        <is>
          <t>DANA</t>
        </is>
      </c>
      <c r="C180" s="239" t="n">
        <v>2</v>
      </c>
      <c r="D180" s="239" t="n">
        <v>1</v>
      </c>
      <c r="E180" s="239" t="n"/>
      <c r="F180" s="240" t="n"/>
      <c r="G180" s="240" t="n"/>
      <c r="H180" s="241" t="n">
        <v>67000</v>
      </c>
      <c r="I180" s="242" t="n"/>
      <c r="J180" s="242" t="n">
        <v>67000</v>
      </c>
      <c r="K180" s="233" t="n"/>
      <c r="L180" s="233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27" t="n"/>
      <c r="B181" s="228" t="inlineStr">
        <is>
          <t>LUCAS MANSILLA</t>
        </is>
      </c>
      <c r="C181" s="229" t="n">
        <v>1</v>
      </c>
      <c r="D181" s="229" t="n"/>
      <c r="E181" s="229" t="n"/>
      <c r="F181" s="230" t="n"/>
      <c r="G181" s="230" t="n"/>
      <c r="H181" s="231" t="n">
        <v>27000</v>
      </c>
      <c r="I181" s="232" t="n">
        <v>27000</v>
      </c>
      <c r="J181" s="232" t="n"/>
      <c r="K181" s="233" t="n"/>
      <c r="L181" s="233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37" t="n"/>
      <c r="B182" s="238" t="inlineStr">
        <is>
          <t>DANTE</t>
        </is>
      </c>
      <c r="C182" s="239" t="n">
        <v>2</v>
      </c>
      <c r="D182" s="239" t="n"/>
      <c r="E182" s="239" t="n"/>
      <c r="F182" s="240" t="n"/>
      <c r="G182" s="240" t="n"/>
      <c r="H182" s="241" t="n">
        <v>54000</v>
      </c>
      <c r="I182" s="242" t="n">
        <v>54000</v>
      </c>
      <c r="J182" s="242" t="n"/>
      <c r="K182" s="233" t="n"/>
      <c r="L182" s="233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27" t="n"/>
      <c r="B183" s="228" t="inlineStr">
        <is>
          <t>ILGATO</t>
        </is>
      </c>
      <c r="C183" s="229" t="n"/>
      <c r="D183" s="229" t="n"/>
      <c r="E183" s="229" t="n">
        <v>1</v>
      </c>
      <c r="F183" s="230" t="n"/>
      <c r="G183" s="230" t="n"/>
      <c r="H183" s="231" t="n">
        <v>92000</v>
      </c>
      <c r="I183" s="232" t="n"/>
      <c r="J183" s="232" t="n">
        <v>92000</v>
      </c>
      <c r="K183" s="233" t="n"/>
      <c r="L183" s="233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37" t="n"/>
      <c r="B184" s="238" t="inlineStr">
        <is>
          <t>NECOCHEA 3933</t>
        </is>
      </c>
      <c r="C184" s="239" t="n"/>
      <c r="D184" s="239" t="n"/>
      <c r="E184" s="239" t="n">
        <v>1</v>
      </c>
      <c r="F184" s="240" t="n"/>
      <c r="G184" s="240" t="n"/>
      <c r="H184" s="241" t="n">
        <v>80000</v>
      </c>
      <c r="I184" s="242" t="n"/>
      <c r="J184" s="242" t="n">
        <v>80000</v>
      </c>
      <c r="K184" s="233" t="n"/>
      <c r="L184" s="233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27" t="n"/>
      <c r="B185" s="228" t="inlineStr">
        <is>
          <t>9 DE JULIO 9244</t>
        </is>
      </c>
      <c r="C185" s="229" t="n"/>
      <c r="D185" s="229" t="n"/>
      <c r="E185" s="229" t="n">
        <v>1</v>
      </c>
      <c r="F185" s="230" t="n"/>
      <c r="G185" s="230" t="n"/>
      <c r="H185" s="231" t="n">
        <v>84000</v>
      </c>
      <c r="I185" s="232" t="n"/>
      <c r="J185" s="232" t="n">
        <v>84000</v>
      </c>
      <c r="K185" s="233" t="n"/>
      <c r="L185" s="233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37" t="n"/>
      <c r="B186" s="238" t="inlineStr">
        <is>
          <t>LUCHO</t>
        </is>
      </c>
      <c r="C186" s="239" t="n">
        <v>5</v>
      </c>
      <c r="D186" s="239" t="n"/>
      <c r="E186" s="239" t="n"/>
      <c r="F186" s="240" t="n"/>
      <c r="G186" s="240" t="n"/>
      <c r="H186" s="241" t="n">
        <v>95000</v>
      </c>
      <c r="I186" s="242" t="n">
        <v>95000</v>
      </c>
      <c r="J186" s="242" t="n"/>
      <c r="K186" s="233" t="n"/>
      <c r="L186" s="233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27" t="n">
        <v>46125</v>
      </c>
      <c r="B187" s="228" t="inlineStr">
        <is>
          <t>ZAVALLA 2880</t>
        </is>
      </c>
      <c r="C187" s="229" t="n">
        <v>1</v>
      </c>
      <c r="D187" s="229" t="n"/>
      <c r="E187" s="229" t="n"/>
      <c r="F187" s="230" t="n"/>
      <c r="G187" s="230" t="n"/>
      <c r="H187" s="231" t="n">
        <v>26000</v>
      </c>
      <c r="I187" s="232" t="n"/>
      <c r="J187" s="232" t="n">
        <v>26000</v>
      </c>
      <c r="K187" s="233" t="n"/>
      <c r="L187" s="233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37" t="n"/>
      <c r="B188" s="238" t="inlineStr">
        <is>
          <t>PAULO</t>
        </is>
      </c>
      <c r="C188" s="239" t="n">
        <v>3</v>
      </c>
      <c r="D188" s="239" t="n"/>
      <c r="E188" s="239" t="n"/>
      <c r="F188" s="240" t="n"/>
      <c r="G188" s="240" t="n"/>
      <c r="H188" s="241" t="n">
        <v>57000</v>
      </c>
      <c r="I188" s="242" t="n"/>
      <c r="J188" s="242" t="n">
        <v>57000</v>
      </c>
      <c r="K188" s="233" t="n"/>
      <c r="L188" s="233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27" t="n"/>
      <c r="B189" s="228" t="inlineStr">
        <is>
          <t>AZCUENAGA 5023</t>
        </is>
      </c>
      <c r="C189" s="229" t="n">
        <v>7</v>
      </c>
      <c r="D189" s="229" t="n"/>
      <c r="E189" s="229" t="n"/>
      <c r="F189" s="230" t="n"/>
      <c r="G189" s="230" t="n"/>
      <c r="H189" s="231" t="n">
        <v>133000</v>
      </c>
      <c r="I189" s="232" t="n"/>
      <c r="J189" s="232" t="n">
        <v>133000</v>
      </c>
      <c r="K189" s="233" t="n"/>
      <c r="L189" s="233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37" t="n"/>
      <c r="B190" s="238" t="inlineStr">
        <is>
          <t>M ZAPATA 1328</t>
        </is>
      </c>
      <c r="C190" s="239" t="n">
        <v>1</v>
      </c>
      <c r="D190" s="239" t="n"/>
      <c r="E190" s="239" t="n"/>
      <c r="F190" s="240" t="n"/>
      <c r="G190" s="240" t="n"/>
      <c r="H190" s="241" t="n">
        <v>26000</v>
      </c>
      <c r="I190" s="242" t="n">
        <v>26000</v>
      </c>
      <c r="J190" s="242" t="n"/>
      <c r="K190" s="233" t="n"/>
      <c r="L190" s="233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27" t="n"/>
      <c r="B191" s="228" t="inlineStr">
        <is>
          <t>VIANDAS JORGE</t>
        </is>
      </c>
      <c r="C191" s="229" t="n">
        <v>1</v>
      </c>
      <c r="D191" s="229" t="n"/>
      <c r="E191" s="229" t="n"/>
      <c r="F191" s="230" t="n"/>
      <c r="G191" s="230" t="n"/>
      <c r="H191" s="231" t="n">
        <v>22000</v>
      </c>
      <c r="I191" s="232" t="n">
        <v>22000</v>
      </c>
      <c r="J191" s="232" t="n"/>
      <c r="K191" s="233" t="n"/>
      <c r="L191" s="233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37" t="n"/>
      <c r="B192" s="238" t="inlineStr">
        <is>
          <t>BLAS PARERA 6578</t>
        </is>
      </c>
      <c r="C192" s="239" t="n"/>
      <c r="D192" s="239" t="n">
        <v>1</v>
      </c>
      <c r="E192" s="239" t="n"/>
      <c r="F192" s="240" t="n"/>
      <c r="G192" s="240" t="n"/>
      <c r="H192" s="241" t="n">
        <v>39000</v>
      </c>
      <c r="I192" s="242" t="n">
        <v>39000</v>
      </c>
      <c r="J192" s="242" t="n"/>
      <c r="K192" s="233" t="n"/>
      <c r="L192" s="233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27" t="n"/>
      <c r="B193" s="228" t="inlineStr">
        <is>
          <t>LOBATO</t>
        </is>
      </c>
      <c r="C193" s="229" t="n"/>
      <c r="D193" s="229" t="n"/>
      <c r="E193" s="229" t="n">
        <v>1</v>
      </c>
      <c r="F193" s="230" t="n"/>
      <c r="G193" s="230" t="n"/>
      <c r="H193" s="231" t="n">
        <v>85000</v>
      </c>
      <c r="I193" s="232" t="n">
        <v>85000</v>
      </c>
      <c r="J193" s="232" t="n"/>
      <c r="K193" s="233" t="n"/>
      <c r="L193" s="233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37" t="n"/>
      <c r="B194" s="238" t="inlineStr">
        <is>
          <t>FILOMENA</t>
        </is>
      </c>
      <c r="C194" s="239" t="n">
        <v>2</v>
      </c>
      <c r="D194" s="239" t="n"/>
      <c r="E194" s="239" t="n"/>
      <c r="F194" s="240" t="n"/>
      <c r="G194" s="240" t="n"/>
      <c r="H194" s="241" t="n">
        <v>46000</v>
      </c>
      <c r="I194" s="242" t="n"/>
      <c r="J194" s="242" t="n">
        <v>46000</v>
      </c>
      <c r="K194" s="233" t="n"/>
      <c r="L194" s="233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27" t="n"/>
      <c r="B195" s="228" t="inlineStr">
        <is>
          <t>PAVON 3435</t>
        </is>
      </c>
      <c r="C195" s="229" t="n"/>
      <c r="D195" s="229" t="n"/>
      <c r="E195" s="229" t="n">
        <v>1</v>
      </c>
      <c r="F195" s="230" t="n"/>
      <c r="G195" s="230" t="n"/>
      <c r="H195" s="231" t="n">
        <v>78000</v>
      </c>
      <c r="I195" s="232" t="n"/>
      <c r="J195" s="232" t="n">
        <v>78000</v>
      </c>
      <c r="K195" s="233" t="n"/>
      <c r="L195" s="233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37" t="n"/>
      <c r="B196" s="238" t="inlineStr">
        <is>
          <t>ARISTOBULO 5137</t>
        </is>
      </c>
      <c r="C196" s="239" t="n"/>
      <c r="D196" s="239" t="n">
        <v>1</v>
      </c>
      <c r="E196" s="239" t="n"/>
      <c r="F196" s="240" t="n"/>
      <c r="G196" s="240" t="n"/>
      <c r="H196" s="241" t="n">
        <v>37500</v>
      </c>
      <c r="I196" s="242" t="n"/>
      <c r="J196" s="242" t="n">
        <v>37500</v>
      </c>
      <c r="K196" s="233" t="n"/>
      <c r="L196" s="233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27" t="n"/>
      <c r="B197" s="228" t="inlineStr">
        <is>
          <t>FRANCIA 2247</t>
        </is>
      </c>
      <c r="C197" s="229" t="n">
        <v>1</v>
      </c>
      <c r="D197" s="229" t="n"/>
      <c r="E197" s="229" t="n"/>
      <c r="F197" s="230" t="n"/>
      <c r="G197" s="230" t="n"/>
      <c r="H197" s="231" t="n">
        <v>26000</v>
      </c>
      <c r="I197" s="232" t="n"/>
      <c r="J197" s="232" t="n">
        <v>26000</v>
      </c>
      <c r="K197" s="233" t="n"/>
      <c r="L197" s="233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37" t="n"/>
      <c r="B198" s="238" t="inlineStr">
        <is>
          <t>FRANCIA 9250</t>
        </is>
      </c>
      <c r="C198" s="239" t="n"/>
      <c r="D198" s="239" t="n"/>
      <c r="E198" s="239" t="n">
        <v>1</v>
      </c>
      <c r="F198" s="240" t="n"/>
      <c r="G198" s="240" t="n"/>
      <c r="H198" s="241" t="n">
        <v>84000</v>
      </c>
      <c r="I198" s="242" t="n"/>
      <c r="J198" s="242" t="n">
        <v>84000</v>
      </c>
      <c r="K198" s="233" t="n"/>
      <c r="L198" s="233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27" t="n">
        <v>46127</v>
      </c>
      <c r="B199" s="228" t="inlineStr">
        <is>
          <t>JAVIER DE LA ROSA 459</t>
        </is>
      </c>
      <c r="C199" s="229" t="n">
        <v>1</v>
      </c>
      <c r="D199" s="229" t="n">
        <v>1</v>
      </c>
      <c r="E199" s="229" t="n"/>
      <c r="F199" s="230" t="n"/>
      <c r="G199" s="230" t="n"/>
      <c r="H199" s="231" t="n">
        <v>61500</v>
      </c>
      <c r="I199" s="232" t="n"/>
      <c r="J199" s="232" t="n">
        <v>61500</v>
      </c>
      <c r="K199" s="233" t="n"/>
      <c r="L199" s="233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37" t="n"/>
      <c r="B200" s="238" t="inlineStr">
        <is>
          <t>AYACUCHO 3760</t>
        </is>
      </c>
      <c r="C200" s="239" t="n">
        <v>1</v>
      </c>
      <c r="D200" s="239" t="n"/>
      <c r="E200" s="239" t="n"/>
      <c r="F200" s="240" t="n"/>
      <c r="G200" s="240" t="n"/>
      <c r="H200" s="241" t="n">
        <v>25000</v>
      </c>
      <c r="I200" s="242" t="n"/>
      <c r="J200" s="242" t="n">
        <v>25000</v>
      </c>
      <c r="K200" s="233" t="n"/>
      <c r="L200" s="233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27" t="n"/>
      <c r="B201" s="228" t="inlineStr">
        <is>
          <t xml:space="preserve">SAN MARTIN 8050 </t>
        </is>
      </c>
      <c r="C201" s="229" t="n">
        <v>1</v>
      </c>
      <c r="D201" s="229" t="n"/>
      <c r="E201" s="229" t="n"/>
      <c r="F201" s="230" t="n"/>
      <c r="G201" s="230" t="n"/>
      <c r="H201" s="231" t="n">
        <v>26000</v>
      </c>
      <c r="I201" s="232" t="n"/>
      <c r="J201" s="232" t="n">
        <v>26000</v>
      </c>
      <c r="K201" s="233" t="n"/>
      <c r="L201" s="233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37" t="n"/>
      <c r="B202" s="238" t="inlineStr">
        <is>
          <t xml:space="preserve">ROTI SAN LORENZO </t>
        </is>
      </c>
      <c r="C202" s="239" t="n">
        <v>2</v>
      </c>
      <c r="D202" s="239" t="n">
        <v>2</v>
      </c>
      <c r="E202" s="239" t="n"/>
      <c r="F202" s="240" t="n"/>
      <c r="G202" s="240" t="n"/>
      <c r="H202" s="241" t="n">
        <v>117000</v>
      </c>
      <c r="I202" s="242" t="n"/>
      <c r="J202" s="242" t="n">
        <v>117000</v>
      </c>
      <c r="K202" s="233" t="n"/>
      <c r="L202" s="233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27" t="n"/>
      <c r="B203" s="228" t="inlineStr">
        <is>
          <t>MARIO</t>
        </is>
      </c>
      <c r="C203" s="229" t="n">
        <v>3</v>
      </c>
      <c r="D203" s="229" t="n"/>
      <c r="E203" s="229" t="n"/>
      <c r="F203" s="230" t="n"/>
      <c r="G203" s="230" t="n"/>
      <c r="H203" s="231" t="n">
        <v>57000</v>
      </c>
      <c r="I203" s="232" t="n"/>
      <c r="J203" s="232" t="n">
        <v>57000</v>
      </c>
      <c r="K203" s="233" t="n"/>
      <c r="L203" s="233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37" t="n"/>
      <c r="B204" s="238" t="inlineStr">
        <is>
          <t>GORRITI 1971</t>
        </is>
      </c>
      <c r="C204" s="239" t="n"/>
      <c r="D204" s="239" t="n">
        <v>1</v>
      </c>
      <c r="E204" s="239" t="n"/>
      <c r="F204" s="240" t="n"/>
      <c r="G204" s="240" t="n"/>
      <c r="H204" s="241" t="n">
        <v>39000</v>
      </c>
      <c r="I204" s="242" t="n">
        <v>39000</v>
      </c>
      <c r="J204" s="242" t="n"/>
      <c r="K204" s="233" t="n"/>
      <c r="L204" s="233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27" t="n"/>
      <c r="B205" s="228" t="inlineStr">
        <is>
          <t>PUBLICO 9118</t>
        </is>
      </c>
      <c r="C205" s="229" t="n"/>
      <c r="D205" s="229" t="n"/>
      <c r="E205" s="229" t="n">
        <v>1</v>
      </c>
      <c r="F205" s="230" t="n"/>
      <c r="G205" s="230" t="n"/>
      <c r="H205" s="231" t="n">
        <v>88000</v>
      </c>
      <c r="I205" s="232" t="n"/>
      <c r="J205" s="232" t="n">
        <v>88000</v>
      </c>
      <c r="K205" s="233" t="n"/>
      <c r="L205" s="233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37" t="n"/>
      <c r="B206" s="238" t="inlineStr">
        <is>
          <t>GASTON AMARAL</t>
        </is>
      </c>
      <c r="C206" s="239" t="n"/>
      <c r="D206" s="239" t="n"/>
      <c r="E206" s="239" t="n">
        <v>1</v>
      </c>
      <c r="F206" s="240" t="n">
        <v>2</v>
      </c>
      <c r="G206" s="240" t="n"/>
      <c r="H206" s="241" t="n">
        <v>95000</v>
      </c>
      <c r="I206" s="242" t="n">
        <v>95000</v>
      </c>
      <c r="J206" s="242" t="n"/>
      <c r="K206" s="233" t="n"/>
      <c r="L206" s="233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27" t="n">
        <v>46128</v>
      </c>
      <c r="B207" s="228" t="inlineStr">
        <is>
          <t xml:space="preserve">JUAN AZUAGA </t>
        </is>
      </c>
      <c r="C207" s="229" t="n">
        <v>1</v>
      </c>
      <c r="D207" s="229" t="n"/>
      <c r="E207" s="229" t="n"/>
      <c r="F207" s="230" t="n"/>
      <c r="G207" s="230" t="n"/>
      <c r="H207" s="231" t="n">
        <v>20000</v>
      </c>
      <c r="I207" s="232" t="n">
        <v>20000</v>
      </c>
      <c r="J207" s="232" t="n"/>
      <c r="K207" s="233" t="n"/>
      <c r="L207" s="233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37" t="n"/>
      <c r="B208" s="238" t="inlineStr">
        <is>
          <t>AYACUCHO 5370</t>
        </is>
      </c>
      <c r="C208" s="239" t="n"/>
      <c r="D208" s="239" t="n"/>
      <c r="E208" s="239" t="n"/>
      <c r="F208" s="240" t="n"/>
      <c r="G208" s="240" t="n">
        <v>2</v>
      </c>
      <c r="H208" s="241" t="n">
        <v>12000</v>
      </c>
      <c r="I208" s="242" t="n"/>
      <c r="J208" s="242" t="n">
        <v>12000</v>
      </c>
      <c r="K208" s="233" t="n"/>
      <c r="L208" s="233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27" t="n"/>
      <c r="B209" s="228" t="inlineStr">
        <is>
          <t>BEATRIZ</t>
        </is>
      </c>
      <c r="C209" s="229" t="n"/>
      <c r="D209" s="229" t="n"/>
      <c r="E209" s="229" t="n"/>
      <c r="F209" s="230" t="n"/>
      <c r="G209" s="230" t="n">
        <v>1</v>
      </c>
      <c r="H209" s="231" t="n">
        <v>6000</v>
      </c>
      <c r="I209" s="232" t="n">
        <v>6000</v>
      </c>
      <c r="J209" s="232" t="n"/>
      <c r="K209" s="233" t="n"/>
      <c r="L209" s="233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37" t="n"/>
      <c r="B210" s="238" t="inlineStr">
        <is>
          <t>SANDRA</t>
        </is>
      </c>
      <c r="C210" s="239" t="n"/>
      <c r="D210" s="239" t="n"/>
      <c r="E210" s="239" t="n"/>
      <c r="F210" s="240" t="n"/>
      <c r="G210" s="240" t="n">
        <v>2</v>
      </c>
      <c r="H210" s="241" t="n">
        <v>8000</v>
      </c>
      <c r="I210" s="242" t="n">
        <v>8000</v>
      </c>
      <c r="J210" s="242" t="n"/>
      <c r="K210" s="233" t="n"/>
      <c r="L210" s="233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27" t="n"/>
      <c r="B211" s="228" t="inlineStr">
        <is>
          <t>FRANCIA 2247</t>
        </is>
      </c>
      <c r="C211" s="229" t="n">
        <v>1</v>
      </c>
      <c r="D211" s="229" t="n"/>
      <c r="E211" s="229" t="n"/>
      <c r="F211" s="230" t="n"/>
      <c r="G211" s="230" t="n"/>
      <c r="H211" s="231" t="n">
        <v>26000</v>
      </c>
      <c r="I211" s="232" t="n">
        <v>26000</v>
      </c>
      <c r="J211" s="232" t="n"/>
      <c r="K211" s="233" t="n"/>
      <c r="L211" s="233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37" t="n"/>
      <c r="B212" s="238" t="inlineStr">
        <is>
          <t>NIC OBUSTO</t>
        </is>
      </c>
      <c r="C212" s="239" t="n"/>
      <c r="D212" s="239" t="n"/>
      <c r="E212" s="239" t="n"/>
      <c r="F212" s="240" t="n">
        <v>10</v>
      </c>
      <c r="G212" s="240" t="n"/>
      <c r="H212" s="241" t="n">
        <v>35500</v>
      </c>
      <c r="I212" s="242" t="n"/>
      <c r="J212" s="242" t="n">
        <v>35500</v>
      </c>
      <c r="K212" s="233" t="n"/>
      <c r="L212" s="233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27" t="n"/>
      <c r="B213" s="228" t="inlineStr">
        <is>
          <t>VIANDAS JORGE</t>
        </is>
      </c>
      <c r="C213" s="229" t="n">
        <v>1</v>
      </c>
      <c r="D213" s="229" t="n"/>
      <c r="E213" s="229" t="n"/>
      <c r="F213" s="230" t="n"/>
      <c r="G213" s="230" t="n"/>
      <c r="H213" s="231" t="n">
        <v>22000</v>
      </c>
      <c r="I213" s="232" t="n">
        <v>22000</v>
      </c>
      <c r="J213" s="232" t="n"/>
      <c r="K213" s="233" t="n"/>
      <c r="L213" s="233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37" t="n"/>
      <c r="B214" s="238" t="inlineStr">
        <is>
          <t>ANGEL</t>
        </is>
      </c>
      <c r="C214" s="239" t="n">
        <v>2</v>
      </c>
      <c r="D214" s="239" t="n"/>
      <c r="E214" s="239" t="n"/>
      <c r="F214" s="240" t="n"/>
      <c r="G214" s="240" t="n"/>
      <c r="H214" s="241" t="n">
        <v>38000</v>
      </c>
      <c r="I214" s="242" t="n">
        <v>38000</v>
      </c>
      <c r="J214" s="242" t="n"/>
      <c r="K214" s="233" t="n"/>
      <c r="L214" s="233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27" t="n"/>
      <c r="B215" s="228" t="inlineStr">
        <is>
          <t>LUCHO</t>
        </is>
      </c>
      <c r="C215" s="229" t="n">
        <v>2</v>
      </c>
      <c r="D215" s="229" t="n"/>
      <c r="E215" s="229" t="n"/>
      <c r="F215" s="230" t="n"/>
      <c r="G215" s="230" t="n">
        <v>2</v>
      </c>
      <c r="H215" s="231" t="n">
        <v>50000</v>
      </c>
      <c r="I215" s="232" t="n">
        <v>50000</v>
      </c>
      <c r="J215" s="232" t="n"/>
      <c r="K215" s="233" t="n"/>
      <c r="L215" s="233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37" t="n"/>
      <c r="B216" s="238" t="inlineStr">
        <is>
          <t>PANA VIEYTES 4500</t>
        </is>
      </c>
      <c r="C216" s="239" t="n"/>
      <c r="D216" s="239" t="n"/>
      <c r="E216" s="239" t="n">
        <v>1</v>
      </c>
      <c r="F216" s="240" t="n"/>
      <c r="G216" s="240" t="n"/>
      <c r="H216" s="241" t="n">
        <v>78000</v>
      </c>
      <c r="I216" s="242" t="n"/>
      <c r="J216" s="242" t="n">
        <v>78000</v>
      </c>
      <c r="K216" s="233" t="n"/>
      <c r="L216" s="233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27" t="n"/>
      <c r="B217" s="228" t="inlineStr">
        <is>
          <t>ILGATO NEGRO CASA</t>
        </is>
      </c>
      <c r="C217" s="229" t="n">
        <v>1</v>
      </c>
      <c r="D217" s="229" t="n"/>
      <c r="E217" s="229" t="n"/>
      <c r="F217" s="230" t="n"/>
      <c r="G217" s="230" t="n"/>
      <c r="H217" s="231" t="n">
        <v>26000</v>
      </c>
      <c r="I217" s="232" t="n">
        <v>26000</v>
      </c>
      <c r="J217" s="232" t="n"/>
      <c r="K217" s="233" t="n"/>
      <c r="L217" s="233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37" t="n"/>
      <c r="B218" s="238" t="inlineStr">
        <is>
          <t>OTNIEL</t>
        </is>
      </c>
      <c r="C218" s="239" t="n"/>
      <c r="D218" s="239" t="n">
        <v>1</v>
      </c>
      <c r="E218" s="239" t="n">
        <v>1</v>
      </c>
      <c r="F218" s="240" t="n"/>
      <c r="G218" s="240" t="n"/>
      <c r="H218" s="241" t="n">
        <v>115000</v>
      </c>
      <c r="I218" s="242" t="n">
        <v>115000</v>
      </c>
      <c r="J218" s="242" t="n"/>
      <c r="K218" s="233" t="n"/>
      <c r="L218" s="233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27" t="n"/>
      <c r="B219" s="228" t="inlineStr">
        <is>
          <t>FRAY CAYETANO 3920</t>
        </is>
      </c>
      <c r="C219" s="229" t="n">
        <v>1</v>
      </c>
      <c r="D219" s="229" t="n"/>
      <c r="E219" s="229" t="n"/>
      <c r="F219" s="230" t="n"/>
      <c r="G219" s="230" t="n"/>
      <c r="H219" s="231" t="n">
        <v>27000</v>
      </c>
      <c r="I219" s="232" t="n"/>
      <c r="J219" s="232" t="n">
        <v>27000</v>
      </c>
      <c r="K219" s="233" t="n"/>
      <c r="L219" s="233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37" t="n"/>
      <c r="B220" s="238" t="inlineStr">
        <is>
          <t>IRALA 2865</t>
        </is>
      </c>
      <c r="C220" s="239" t="n">
        <v>1</v>
      </c>
      <c r="D220" s="239" t="n"/>
      <c r="E220" s="239" t="n"/>
      <c r="F220" s="240" t="n"/>
      <c r="G220" s="240" t="n"/>
      <c r="H220" s="241" t="n">
        <v>26500</v>
      </c>
      <c r="I220" s="242" t="n"/>
      <c r="J220" s="242" t="n">
        <v>26500</v>
      </c>
      <c r="K220" s="233" t="n"/>
      <c r="L220" s="233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27" t="n"/>
      <c r="B221" s="228" t="inlineStr">
        <is>
          <t>GARMENDIA 9250</t>
        </is>
      </c>
      <c r="C221" s="229" t="n"/>
      <c r="D221" s="229" t="n"/>
      <c r="E221" s="229" t="n">
        <v>1</v>
      </c>
      <c r="F221" s="230" t="n"/>
      <c r="G221" s="230" t="n"/>
      <c r="H221" s="231" t="n">
        <v>90000</v>
      </c>
      <c r="I221" s="232" t="n"/>
      <c r="J221" s="232" t="n">
        <v>90000</v>
      </c>
      <c r="K221" s="233" t="n"/>
      <c r="L221" s="233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37" t="n"/>
      <c r="B222" s="238" t="inlineStr">
        <is>
          <t>EXE</t>
        </is>
      </c>
      <c r="C222" s="239" t="n"/>
      <c r="D222" s="239" t="n"/>
      <c r="E222" s="239" t="n">
        <v>1</v>
      </c>
      <c r="F222" s="240" t="n"/>
      <c r="G222" s="240" t="n"/>
      <c r="H222" s="241" t="n">
        <v>82000</v>
      </c>
      <c r="I222" s="242" t="n"/>
      <c r="J222" s="242" t="n">
        <v>22000</v>
      </c>
      <c r="K222" s="233" t="n"/>
      <c r="L222" s="233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27" t="n"/>
      <c r="B223" s="228" t="inlineStr">
        <is>
          <t>AZCUENAGA 3972</t>
        </is>
      </c>
      <c r="C223" s="229" t="n"/>
      <c r="D223" s="229" t="n"/>
      <c r="E223" s="229" t="n">
        <v>1</v>
      </c>
      <c r="F223" s="230" t="n"/>
      <c r="G223" s="230" t="n"/>
      <c r="H223" s="231" t="n">
        <v>78000</v>
      </c>
      <c r="I223" s="232" t="n">
        <v>78000</v>
      </c>
      <c r="J223" s="232" t="n"/>
      <c r="K223" s="233" t="n"/>
      <c r="L223" s="233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37" t="n"/>
      <c r="B224" s="238" t="inlineStr">
        <is>
          <t>J CAMPILLO 3481</t>
        </is>
      </c>
      <c r="C224" s="239" t="n">
        <v>1</v>
      </c>
      <c r="D224" s="239" t="n"/>
      <c r="E224" s="239" t="n"/>
      <c r="F224" s="240" t="n"/>
      <c r="G224" s="240" t="n"/>
      <c r="H224" s="241" t="n">
        <v>27000</v>
      </c>
      <c r="I224" s="242" t="n">
        <v>27000</v>
      </c>
      <c r="J224" s="242" t="n"/>
      <c r="K224" s="233" t="n"/>
      <c r="L224" s="233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27" t="n"/>
      <c r="B225" s="228" t="inlineStr">
        <is>
          <t>RIVADAVIA JUNIOR</t>
        </is>
      </c>
      <c r="C225" s="229" t="n"/>
      <c r="D225" s="229" t="n">
        <v>1</v>
      </c>
      <c r="E225" s="229" t="n"/>
      <c r="F225" s="230" t="n"/>
      <c r="G225" s="230" t="n"/>
      <c r="H225" s="231" t="n">
        <v>40000</v>
      </c>
      <c r="I225" s="232" t="n">
        <v>40000</v>
      </c>
      <c r="J225" s="232" t="n"/>
      <c r="K225" s="233" t="n"/>
      <c r="L225" s="233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37" t="n"/>
      <c r="B226" s="238" t="inlineStr">
        <is>
          <t>JJ VALLE 5511</t>
        </is>
      </c>
      <c r="C226" s="239" t="n">
        <v>1</v>
      </c>
      <c r="D226" s="239" t="n"/>
      <c r="E226" s="239" t="n"/>
      <c r="F226" s="240" t="n"/>
      <c r="G226" s="240" t="n"/>
      <c r="H226" s="241" t="n">
        <v>26000</v>
      </c>
      <c r="I226" s="242" t="n">
        <v>26000</v>
      </c>
      <c r="J226" s="242" t="n"/>
      <c r="K226" s="233" t="n"/>
      <c r="L226" s="233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27" t="n"/>
      <c r="B227" s="228" t="inlineStr">
        <is>
          <t>HUERGO 1868</t>
        </is>
      </c>
      <c r="C227" s="229" t="n">
        <v>1</v>
      </c>
      <c r="D227" s="229" t="n"/>
      <c r="E227" s="229" t="n"/>
      <c r="F227" s="230" t="n"/>
      <c r="G227" s="230" t="n"/>
      <c r="H227" s="231" t="n">
        <v>26000</v>
      </c>
      <c r="I227" s="232" t="n">
        <v>26000</v>
      </c>
      <c r="J227" s="232" t="n"/>
      <c r="K227" s="233" t="n"/>
      <c r="L227" s="233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37" t="n"/>
      <c r="B228" s="238" t="inlineStr">
        <is>
          <t>PANA VIEYTES GISELA</t>
        </is>
      </c>
      <c r="C228" s="239" t="n">
        <v>1</v>
      </c>
      <c r="D228" s="239" t="n"/>
      <c r="E228" s="239" t="n"/>
      <c r="F228" s="240" t="n"/>
      <c r="G228" s="240" t="n"/>
      <c r="H228" s="241" t="n">
        <v>22000</v>
      </c>
      <c r="I228" s="242" t="n"/>
      <c r="J228" s="242" t="n">
        <v>22000</v>
      </c>
      <c r="K228" s="233" t="n"/>
      <c r="L228" s="233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27" t="n"/>
      <c r="B229" s="228" t="inlineStr">
        <is>
          <t>ARGENTA</t>
        </is>
      </c>
      <c r="C229" s="229" t="n">
        <v>1</v>
      </c>
      <c r="D229" s="229" t="n"/>
      <c r="E229" s="229" t="n"/>
      <c r="F229" s="230" t="n"/>
      <c r="G229" s="230" t="n"/>
      <c r="H229" s="231" t="n">
        <v>25000</v>
      </c>
      <c r="I229" s="232" t="n">
        <v>25000</v>
      </c>
      <c r="J229" s="232" t="n"/>
      <c r="K229" s="233" t="n"/>
      <c r="L229" s="233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37" t="n">
        <v>46129</v>
      </c>
      <c r="B230" s="238" t="inlineStr">
        <is>
          <t>CAMELI 4860</t>
        </is>
      </c>
      <c r="C230" s="239" t="n">
        <v>1</v>
      </c>
      <c r="D230" s="239" t="n"/>
      <c r="E230" s="239" t="n"/>
      <c r="F230" s="240" t="n"/>
      <c r="G230" s="240" t="n"/>
      <c r="H230" s="241" t="n">
        <v>26000</v>
      </c>
      <c r="I230" s="242" t="n"/>
      <c r="J230" s="242" t="n">
        <v>26000</v>
      </c>
      <c r="K230" s="233" t="n"/>
      <c r="L230" s="233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27" t="n"/>
      <c r="B231" s="228" t="inlineStr">
        <is>
          <t>SANTA BAR 1 MAYO 1959</t>
        </is>
      </c>
      <c r="C231" s="229" t="n"/>
      <c r="D231" s="229" t="n"/>
      <c r="E231" s="229" t="n">
        <v>1</v>
      </c>
      <c r="F231" s="230" t="n"/>
      <c r="G231" s="230" t="n"/>
      <c r="H231" s="231" t="n">
        <v>85000</v>
      </c>
      <c r="I231" s="232" t="n"/>
      <c r="J231" s="232" t="n">
        <v>85000</v>
      </c>
      <c r="K231" s="233" t="n"/>
      <c r="L231" s="233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37" t="n"/>
      <c r="B232" s="238" t="inlineStr">
        <is>
          <t>FILOMENA</t>
        </is>
      </c>
      <c r="C232" s="239" t="n">
        <v>3</v>
      </c>
      <c r="D232" s="239" t="n"/>
      <c r="E232" s="239" t="n"/>
      <c r="F232" s="240" t="n"/>
      <c r="G232" s="240" t="n"/>
      <c r="H232" s="241" t="n">
        <v>69000</v>
      </c>
      <c r="I232" s="242" t="n"/>
      <c r="J232" s="242" t="n">
        <v>69000</v>
      </c>
      <c r="K232" s="233" t="n"/>
      <c r="L232" s="233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27" t="n"/>
      <c r="B233" s="228" t="inlineStr">
        <is>
          <t>LUCHO</t>
        </is>
      </c>
      <c r="C233" s="229" t="n">
        <v>2</v>
      </c>
      <c r="D233" s="229" t="n"/>
      <c r="E233" s="229" t="n"/>
      <c r="F233" s="230" t="n"/>
      <c r="G233" s="230" t="n"/>
      <c r="H233" s="231" t="n">
        <v>38000</v>
      </c>
      <c r="I233" s="232" t="n">
        <v>20000</v>
      </c>
      <c r="J233" s="232" t="n">
        <v>18000</v>
      </c>
      <c r="K233" s="233" t="n"/>
      <c r="L233" s="233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37" t="n"/>
      <c r="B234" s="238" t="inlineStr">
        <is>
          <t>GARMENDIA 9250</t>
        </is>
      </c>
      <c r="C234" s="239" t="n"/>
      <c r="D234" s="239" t="n"/>
      <c r="E234" s="239" t="n"/>
      <c r="F234" s="240" t="n"/>
      <c r="G234" s="240" t="n">
        <v>2</v>
      </c>
      <c r="H234" s="241" t="n">
        <v>12000</v>
      </c>
      <c r="I234" s="242" t="n"/>
      <c r="J234" s="242" t="n">
        <v>12000</v>
      </c>
      <c r="K234" s="233" t="n"/>
      <c r="L234" s="233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27" t="n"/>
      <c r="B235" s="228" t="inlineStr">
        <is>
          <t>SABOREAR</t>
        </is>
      </c>
      <c r="C235" s="229" t="n">
        <v>1</v>
      </c>
      <c r="D235" s="229" t="n"/>
      <c r="E235" s="229" t="n"/>
      <c r="F235" s="230" t="n"/>
      <c r="G235" s="230" t="n"/>
      <c r="H235" s="231" t="n">
        <v>22500</v>
      </c>
      <c r="I235" s="232" t="n"/>
      <c r="J235" s="232" t="n">
        <v>22500</v>
      </c>
      <c r="K235" s="233" t="n"/>
      <c r="L235" s="233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37" t="n"/>
      <c r="B236" s="238" t="inlineStr">
        <is>
          <t>CALLEJON FUNES 1883 CARO</t>
        </is>
      </c>
      <c r="C236" s="239" t="n"/>
      <c r="D236" s="239" t="n"/>
      <c r="E236" s="239" t="n">
        <v>1</v>
      </c>
      <c r="F236" s="240" t="n"/>
      <c r="G236" s="240" t="n"/>
      <c r="H236" s="241" t="n">
        <v>85000</v>
      </c>
      <c r="I236" s="242" t="n">
        <v>85000</v>
      </c>
      <c r="J236" s="242" t="n"/>
      <c r="K236" s="233" t="n"/>
      <c r="L236" s="233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27" t="n"/>
      <c r="B237" s="228" t="inlineStr">
        <is>
          <t>VIEYTES 5046</t>
        </is>
      </c>
      <c r="C237" s="229" t="n"/>
      <c r="D237" s="229" t="n"/>
      <c r="E237" s="229" t="n">
        <v>1</v>
      </c>
      <c r="F237" s="230" t="n"/>
      <c r="G237" s="230" t="n"/>
      <c r="H237" s="231" t="n">
        <v>85000</v>
      </c>
      <c r="I237" s="232" t="n">
        <v>85000</v>
      </c>
      <c r="J237" s="232" t="n"/>
      <c r="K237" s="233" t="n"/>
      <c r="L237" s="233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37" t="n"/>
      <c r="B238" s="238" t="inlineStr">
        <is>
          <t xml:space="preserve">ROTI VIEYTES </t>
        </is>
      </c>
      <c r="C238" s="239" t="n"/>
      <c r="D238" s="239" t="n">
        <v>2</v>
      </c>
      <c r="E238" s="239" t="n"/>
      <c r="F238" s="240" t="n"/>
      <c r="G238" s="240" t="n"/>
      <c r="H238" s="241" t="n">
        <v>61000</v>
      </c>
      <c r="I238" s="242" t="n"/>
      <c r="J238" s="242" t="n">
        <v>61000</v>
      </c>
      <c r="K238" s="233" t="n"/>
      <c r="L238" s="233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27" t="n"/>
      <c r="B239" s="228" t="inlineStr">
        <is>
          <t>7 JEFES 4525</t>
        </is>
      </c>
      <c r="C239" s="229" t="n"/>
      <c r="D239" s="229" t="n"/>
      <c r="E239" s="229" t="n">
        <v>1</v>
      </c>
      <c r="F239" s="230" t="n"/>
      <c r="G239" s="230" t="n"/>
      <c r="H239" s="231" t="n">
        <v>84000</v>
      </c>
      <c r="I239" s="232" t="n">
        <v>84000</v>
      </c>
      <c r="J239" s="232" t="n"/>
      <c r="K239" s="233" t="n"/>
      <c r="L239" s="233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37" t="n"/>
      <c r="B240" s="238" t="inlineStr">
        <is>
          <t>CASANELLO 2128</t>
        </is>
      </c>
      <c r="C240" s="239" t="n"/>
      <c r="D240" s="239" t="n">
        <v>1</v>
      </c>
      <c r="E240" s="239" t="n"/>
      <c r="F240" s="240" t="n"/>
      <c r="G240" s="240" t="n"/>
      <c r="H240" s="241" t="n">
        <v>35500</v>
      </c>
      <c r="I240" s="242" t="n"/>
      <c r="J240" s="242" t="n">
        <v>35500</v>
      </c>
      <c r="K240" s="233" t="n"/>
      <c r="L240" s="233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27" t="n"/>
      <c r="B241" s="228" t="inlineStr">
        <is>
          <t>PEDRO ESPINOSA 3169</t>
        </is>
      </c>
      <c r="C241" s="229" t="n"/>
      <c r="D241" s="229" t="n"/>
      <c r="E241" s="229" t="n">
        <v>1</v>
      </c>
      <c r="F241" s="230" t="n"/>
      <c r="G241" s="230" t="n"/>
      <c r="H241" s="231" t="n">
        <v>84000</v>
      </c>
      <c r="I241" s="232" t="n"/>
      <c r="J241" s="232" t="n">
        <v>84000</v>
      </c>
      <c r="K241" s="233" t="n"/>
      <c r="L241" s="233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37" t="n"/>
      <c r="B242" s="238" t="inlineStr">
        <is>
          <t>ROTI AGUADO</t>
        </is>
      </c>
      <c r="C242" s="239" t="n"/>
      <c r="D242" s="239" t="n"/>
      <c r="E242" s="239" t="n">
        <v>1</v>
      </c>
      <c r="F242" s="240" t="n"/>
      <c r="G242" s="240" t="n"/>
      <c r="H242" s="241" t="n">
        <v>82000</v>
      </c>
      <c r="I242" s="242" t="n"/>
      <c r="J242" s="242" t="n">
        <v>82000</v>
      </c>
      <c r="K242" s="233" t="n"/>
      <c r="L242" s="233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27" t="n"/>
      <c r="B243" s="228" t="inlineStr">
        <is>
          <t>CAREN</t>
        </is>
      </c>
      <c r="C243" s="229" t="n"/>
      <c r="D243" s="229" t="n"/>
      <c r="E243" s="229" t="n">
        <v>1</v>
      </c>
      <c r="F243" s="230" t="n"/>
      <c r="G243" s="230" t="n"/>
      <c r="H243" s="231" t="n">
        <v>82000</v>
      </c>
      <c r="I243" s="232" t="n"/>
      <c r="J243" s="232" t="n">
        <v>82000</v>
      </c>
      <c r="K243" s="233" t="n"/>
      <c r="L243" s="233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37" t="n"/>
      <c r="B244" s="238" t="inlineStr">
        <is>
          <t>S BAYO 7165</t>
        </is>
      </c>
      <c r="C244" s="239" t="n"/>
      <c r="D244" s="239" t="n"/>
      <c r="E244" s="239" t="n">
        <v>1</v>
      </c>
      <c r="F244" s="240" t="n"/>
      <c r="G244" s="240" t="n"/>
      <c r="H244" s="241" t="n">
        <v>89000</v>
      </c>
      <c r="I244" s="242" t="n"/>
      <c r="J244" s="242" t="n">
        <v>89000</v>
      </c>
      <c r="K244" s="233" t="n"/>
      <c r="L244" s="233">
        <f>IF(K244&lt;&gt;"",29000+K244,29000)</f>
        <v/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>PORKIS</t>
        </is>
      </c>
      <c r="C245" s="229" t="n">
        <v>1</v>
      </c>
      <c r="D245" s="229" t="n"/>
      <c r="E245" s="229" t="n"/>
      <c r="F245" s="230" t="n"/>
      <c r="G245" s="230" t="n"/>
      <c r="H245" s="231" t="n">
        <v>23000</v>
      </c>
      <c r="I245" s="232" t="n"/>
      <c r="J245" s="232" t="n">
        <v>23000</v>
      </c>
      <c r="K245" s="233" t="n"/>
      <c r="L245" s="233">
        <f>IF(K245&lt;&gt;"",8000+K245,8000)</f>
        <v/>
      </c>
      <c r="M245" s="156" t="n"/>
      <c r="N245" s="156" t="n"/>
      <c r="O245" s="156" t="n"/>
    </row>
    <row r="246" ht="18.75" customHeight="1" s="153">
      <c r="A246" s="237" t="n">
        <v>46130</v>
      </c>
      <c r="B246" s="238" t="inlineStr">
        <is>
          <t>ROTI ARISTOBULO</t>
        </is>
      </c>
      <c r="C246" s="239" t="n"/>
      <c r="D246" s="239" t="n">
        <v>1</v>
      </c>
      <c r="E246" s="239" t="n"/>
      <c r="F246" s="240" t="n"/>
      <c r="G246" s="240" t="n"/>
      <c r="H246" s="241" t="n">
        <v>33500</v>
      </c>
      <c r="I246" s="242" t="n"/>
      <c r="J246" s="242" t="n">
        <v>33500</v>
      </c>
      <c r="K246" s="233" t="n"/>
      <c r="L246" s="233">
        <f>IF(K246&lt;&gt;"",11000+K246,11000)</f>
        <v/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VIEYTES 4333</t>
        </is>
      </c>
      <c r="C247" s="229" t="n">
        <v>1</v>
      </c>
      <c r="D247" s="229" t="n"/>
      <c r="E247" s="229" t="n"/>
      <c r="F247" s="230" t="n"/>
      <c r="G247" s="230" t="n"/>
      <c r="H247" s="231" t="n">
        <v>22000</v>
      </c>
      <c r="I247" s="232" t="n">
        <v>22000</v>
      </c>
      <c r="J247" s="232" t="n"/>
      <c r="K247" s="233" t="n"/>
      <c r="L247" s="233">
        <f>IF(K247&lt;&gt;"",7000+K247,7000)</f>
        <v/>
      </c>
      <c r="M247" s="156" t="n"/>
      <c r="N247" s="156" t="n"/>
      <c r="O247" s="156" t="n"/>
    </row>
    <row r="248" ht="18.75" customHeight="1" s="153">
      <c r="A248" s="237" t="n"/>
      <c r="B248" s="238" t="inlineStr">
        <is>
          <t xml:space="preserve">IRMA </t>
        </is>
      </c>
      <c r="C248" s="239" t="n">
        <v>1</v>
      </c>
      <c r="D248" s="239" t="n"/>
      <c r="E248" s="239" t="n"/>
      <c r="F248" s="240" t="n"/>
      <c r="G248" s="240" t="n"/>
      <c r="H248" s="241" t="n">
        <v>26000</v>
      </c>
      <c r="I248" s="242" t="n">
        <v>26000</v>
      </c>
      <c r="J248" s="242" t="n"/>
      <c r="K248" s="233" t="n"/>
      <c r="L248" s="233">
        <f>IF(K248&lt;&gt;"",11000+K248,11000)</f>
        <v/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ALE</t>
        </is>
      </c>
      <c r="C249" s="229" t="n"/>
      <c r="D249" s="229" t="n"/>
      <c r="E249" s="229" t="n"/>
      <c r="F249" s="230" t="n"/>
      <c r="G249" s="230" t="n">
        <v>1</v>
      </c>
      <c r="H249" s="231" t="n">
        <v>6000</v>
      </c>
      <c r="I249" s="232" t="n">
        <v>6000</v>
      </c>
      <c r="J249" s="232" t="n"/>
      <c r="K249" s="233" t="n"/>
      <c r="L249" s="233">
        <f>IF(K249&lt;&gt;"",5150+K249,5150)</f>
        <v/>
      </c>
      <c r="M249" s="156" t="n"/>
      <c r="N249" s="156" t="n"/>
      <c r="O249" s="156" t="n"/>
    </row>
    <row r="250" ht="18.75" customHeight="1" s="153">
      <c r="A250" s="237" t="n"/>
      <c r="B250" s="238" t="inlineStr">
        <is>
          <t>COGORNP 5520</t>
        </is>
      </c>
      <c r="C250" s="239" t="n">
        <v>6</v>
      </c>
      <c r="D250" s="239" t="n"/>
      <c r="E250" s="239" t="n"/>
      <c r="F250" s="240" t="n"/>
      <c r="G250" s="240" t="n"/>
      <c r="H250" s="241" t="n">
        <v>114000</v>
      </c>
      <c r="I250" s="242" t="n"/>
      <c r="J250" s="242" t="n">
        <v>114000</v>
      </c>
      <c r="K250" s="233" t="n"/>
      <c r="L250" s="233">
        <f>IF(K250&lt;&gt;"",24000+K250,24000)</f>
        <v/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BRASERIA</t>
        </is>
      </c>
      <c r="C251" s="229" t="n"/>
      <c r="D251" s="229" t="n"/>
      <c r="E251" s="229" t="n">
        <v>1</v>
      </c>
      <c r="F251" s="230" t="n"/>
      <c r="G251" s="230" t="n"/>
      <c r="H251" s="231" t="n">
        <v>83000</v>
      </c>
      <c r="I251" s="232" t="n"/>
      <c r="J251" s="232" t="n">
        <v>83000</v>
      </c>
      <c r="K251" s="233" t="n"/>
      <c r="L251" s="233">
        <f>IF(K251&lt;&gt;"",23000+K251,23000)</f>
        <v/>
      </c>
      <c r="M251" s="156" t="n"/>
      <c r="N251" s="156" t="n"/>
      <c r="O251" s="156" t="n"/>
    </row>
    <row r="252" ht="18.75" customHeight="1" s="153">
      <c r="A252" s="237" t="n"/>
      <c r="B252" s="238" t="inlineStr">
        <is>
          <t>PICHI</t>
        </is>
      </c>
      <c r="C252" s="239" t="n">
        <v>1</v>
      </c>
      <c r="D252" s="239" t="n"/>
      <c r="E252" s="239" t="n"/>
      <c r="F252" s="240" t="n"/>
      <c r="G252" s="240" t="n"/>
      <c r="H252" s="241" t="n">
        <v>23000</v>
      </c>
      <c r="I252" s="242" t="n">
        <v>11000</v>
      </c>
      <c r="J252" s="242" t="n">
        <v>12000</v>
      </c>
      <c r="K252" s="233" t="n"/>
      <c r="L252" s="233">
        <f>IF(K252&lt;&gt;"",8000+K252,8000)</f>
        <v/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INGENIERO 6866</t>
        </is>
      </c>
      <c r="C253" s="229" t="n">
        <v>1</v>
      </c>
      <c r="D253" s="229" t="n"/>
      <c r="E253" s="229" t="n"/>
      <c r="F253" s="230" t="n"/>
      <c r="G253" s="230" t="n"/>
      <c r="H253" s="231" t="n">
        <v>25000</v>
      </c>
      <c r="I253" s="232" t="n"/>
      <c r="J253" s="232" t="n">
        <v>25000</v>
      </c>
      <c r="K253" s="233" t="n"/>
      <c r="L253" s="233">
        <f>IF(K253&lt;&gt;"",10000+K253,10000)</f>
        <v/>
      </c>
      <c r="M253" s="156" t="n"/>
      <c r="N253" s="156" t="n"/>
      <c r="O253" s="156" t="n"/>
    </row>
    <row r="254" ht="18.75" customHeight="1" s="153">
      <c r="A254" s="237" t="n"/>
      <c r="B254" s="238" t="inlineStr">
        <is>
          <t>FILOMENA</t>
        </is>
      </c>
      <c r="C254" s="239" t="n">
        <v>2</v>
      </c>
      <c r="D254" s="239" t="n"/>
      <c r="E254" s="239" t="n"/>
      <c r="F254" s="240" t="n"/>
      <c r="G254" s="240" t="n"/>
      <c r="H254" s="241" t="n">
        <v>46000</v>
      </c>
      <c r="I254" s="242" t="n"/>
      <c r="J254" s="242" t="n">
        <v>46000</v>
      </c>
      <c r="K254" s="233" t="n"/>
      <c r="L254" s="233">
        <f>IF(K254&lt;&gt;"",16000+K254,16000)</f>
        <v/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HUERGO 4365</t>
        </is>
      </c>
      <c r="C255" s="229" t="n">
        <v>1</v>
      </c>
      <c r="D255" s="229" t="n"/>
      <c r="E255" s="229" t="n"/>
      <c r="F255" s="230" t="n"/>
      <c r="G255" s="230" t="n"/>
      <c r="H255" s="231" t="n">
        <v>25000</v>
      </c>
      <c r="I255" s="232" t="n"/>
      <c r="J255" s="232" t="n">
        <v>25000</v>
      </c>
      <c r="K255" s="233" t="n"/>
      <c r="L255" s="233">
        <f>IF(K255&lt;&gt;"",10000+K255,10000)</f>
        <v/>
      </c>
      <c r="M255" s="156" t="n"/>
      <c r="N255" s="156" t="n"/>
      <c r="O255" s="156" t="n"/>
    </row>
    <row r="256" ht="18.75" customHeight="1" s="153">
      <c r="A256" s="237" t="n"/>
      <c r="B256" s="238" t="inlineStr">
        <is>
          <t>1 DE MAYO 8361</t>
        </is>
      </c>
      <c r="C256" s="239" t="n">
        <v>1</v>
      </c>
      <c r="D256" s="239" t="n"/>
      <c r="E256" s="239" t="n"/>
      <c r="F256" s="240" t="n"/>
      <c r="G256" s="240" t="n"/>
      <c r="H256" s="241" t="n">
        <v>26000</v>
      </c>
      <c r="I256" s="242" t="n">
        <v>26000</v>
      </c>
      <c r="J256" s="242" t="n"/>
      <c r="K256" s="233" t="n"/>
      <c r="L256" s="233">
        <f>IF(K256&lt;&gt;"",11000+K256,11000)</f>
        <v/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PANADERIA BAGUETE</t>
        </is>
      </c>
      <c r="C257" s="229" t="n"/>
      <c r="D257" s="229" t="n"/>
      <c r="E257" s="229" t="n">
        <v>1</v>
      </c>
      <c r="F257" s="230" t="n"/>
      <c r="G257" s="230" t="n"/>
      <c r="H257" s="231" t="n">
        <v>75000</v>
      </c>
      <c r="I257" s="232" t="n"/>
      <c r="J257" s="232" t="n">
        <v>75000</v>
      </c>
      <c r="K257" s="233" t="n"/>
      <c r="L257" s="233">
        <f>IF(K257&lt;&gt;"",15000+K257,15000)</f>
        <v/>
      </c>
      <c r="M257" s="156" t="n"/>
      <c r="N257" s="156" t="n"/>
      <c r="O257" s="156" t="n"/>
    </row>
    <row r="258" ht="18.75" customHeight="1" s="153">
      <c r="A258" s="237" t="n"/>
      <c r="B258" s="238" t="inlineStr">
        <is>
          <t>LA PAZ 4556</t>
        </is>
      </c>
      <c r="C258" s="239" t="n">
        <v>1</v>
      </c>
      <c r="D258" s="239" t="n"/>
      <c r="E258" s="239" t="n"/>
      <c r="F258" s="240" t="n"/>
      <c r="G258" s="240" t="n"/>
      <c r="H258" s="241" t="n">
        <v>25000</v>
      </c>
      <c r="I258" s="242" t="n"/>
      <c r="J258" s="242" t="n">
        <v>25000</v>
      </c>
      <c r="K258" s="233" t="n"/>
      <c r="L258" s="233">
        <f>IF(K258&lt;&gt;"",10000+K258,10000)</f>
        <v/>
      </c>
      <c r="M258" s="156" t="n"/>
      <c r="N258" s="156" t="n"/>
      <c r="O258" s="156" t="n"/>
    </row>
    <row r="259" ht="18.75" customHeight="1" s="153">
      <c r="A259" s="227" t="n">
        <v>46131</v>
      </c>
      <c r="B259" s="228" t="inlineStr">
        <is>
          <t>DOMINGO SILVA 4217</t>
        </is>
      </c>
      <c r="C259" s="229" t="n">
        <v>4</v>
      </c>
      <c r="D259" s="229" t="n"/>
      <c r="E259" s="229" t="n"/>
      <c r="F259" s="230" t="n"/>
      <c r="G259" s="230" t="n"/>
      <c r="H259" s="231" t="n">
        <v>76000</v>
      </c>
      <c r="I259" s="232" t="n"/>
      <c r="J259" s="232" t="n">
        <v>76000</v>
      </c>
      <c r="K259" s="233" t="n"/>
      <c r="L259" s="233">
        <f>IF(K259&lt;&gt;"",16000+K259,16000)</f>
        <v/>
      </c>
      <c r="M259" s="156" t="n"/>
      <c r="N259" s="156" t="n"/>
      <c r="O259" s="156" t="n"/>
    </row>
    <row r="260" ht="18.75" customHeight="1" s="153">
      <c r="A260" s="237" t="n"/>
      <c r="B260" s="238" t="inlineStr">
        <is>
          <t>LUCHO</t>
        </is>
      </c>
      <c r="C260" s="239" t="n">
        <v>1</v>
      </c>
      <c r="D260" s="239" t="n"/>
      <c r="E260" s="239" t="n"/>
      <c r="F260" s="240" t="n"/>
      <c r="G260" s="240" t="n"/>
      <c r="H260" s="241" t="n">
        <v>19000</v>
      </c>
      <c r="I260" s="242" t="n">
        <v>19000</v>
      </c>
      <c r="J260" s="242" t="n"/>
      <c r="K260" s="233" t="n"/>
      <c r="L260" s="233">
        <f>IF(K260&lt;&gt;"",4000+K260,4000)</f>
        <v/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DANA</t>
        </is>
      </c>
      <c r="C261" s="229" t="n">
        <v>3</v>
      </c>
      <c r="D261" s="229" t="n"/>
      <c r="E261" s="229" t="n"/>
      <c r="F261" s="230" t="n"/>
      <c r="G261" s="230" t="n"/>
      <c r="H261" s="231" t="n">
        <v>57000</v>
      </c>
      <c r="I261" s="232" t="n"/>
      <c r="J261" s="232" t="n">
        <v>57000</v>
      </c>
      <c r="K261" s="233" t="n"/>
      <c r="L261" s="233">
        <f>IF(K261&lt;&gt;"",12000+K261,12000)</f>
        <v/>
      </c>
      <c r="M261" s="156" t="n"/>
      <c r="N261" s="156" t="n"/>
      <c r="O261" s="156" t="n"/>
    </row>
    <row r="262" ht="18.75" customHeight="1" s="153">
      <c r="A262" s="237" t="n"/>
      <c r="B262" s="238" t="inlineStr">
        <is>
          <t>FRAY CAYETANO 3813</t>
        </is>
      </c>
      <c r="C262" s="239" t="n"/>
      <c r="D262" s="239" t="n"/>
      <c r="E262" s="239" t="n">
        <v>1</v>
      </c>
      <c r="F262" s="240" t="n"/>
      <c r="G262" s="240" t="n"/>
      <c r="H262" s="241" t="n">
        <v>90000</v>
      </c>
      <c r="I262" s="242" t="n">
        <v>90000</v>
      </c>
      <c r="J262" s="242" t="n"/>
      <c r="K262" s="233" t="n"/>
      <c r="L262" s="233">
        <f>IF(K262&lt;&gt;"",30000+K262,30000)</f>
        <v/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BONEO 5315</t>
        </is>
      </c>
      <c r="C263" s="229" t="n">
        <v>1</v>
      </c>
      <c r="D263" s="229" t="n"/>
      <c r="E263" s="229" t="n"/>
      <c r="F263" s="230" t="n"/>
      <c r="G263" s="230" t="n"/>
      <c r="H263" s="231" t="n">
        <v>23500</v>
      </c>
      <c r="I263" s="232" t="n">
        <v>23500</v>
      </c>
      <c r="J263" s="232" t="n"/>
      <c r="K263" s="233" t="n"/>
      <c r="L263" s="233">
        <f>IF(K263&lt;&gt;"",8500+K263,8500)</f>
        <v/>
      </c>
      <c r="M263" s="156" t="n"/>
      <c r="N263" s="156" t="n"/>
      <c r="O263" s="156" t="n"/>
    </row>
    <row r="264" ht="18.75" customHeight="1" s="153">
      <c r="A264" s="237" t="n"/>
      <c r="B264" s="238" t="inlineStr">
        <is>
          <t>ALMONACID 4248</t>
        </is>
      </c>
      <c r="C264" s="239" t="n">
        <v>1</v>
      </c>
      <c r="D264" s="239" t="n"/>
      <c r="E264" s="239" t="n"/>
      <c r="F264" s="240" t="n"/>
      <c r="G264" s="240" t="n"/>
      <c r="H264" s="241" t="n">
        <v>26000</v>
      </c>
      <c r="I264" s="242" t="n">
        <v>26000</v>
      </c>
      <c r="J264" s="242" t="n"/>
      <c r="K264" s="233" t="n"/>
      <c r="L264" s="233">
        <f>IF(K264&lt;&gt;"",11000+K264,11000)</f>
        <v/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EXE</t>
        </is>
      </c>
      <c r="C265" s="229" t="n"/>
      <c r="D265" s="229" t="n"/>
      <c r="E265" s="229" t="n">
        <v>1</v>
      </c>
      <c r="F265" s="230" t="n"/>
      <c r="G265" s="230" t="n"/>
      <c r="H265" s="231" t="n">
        <v>82000</v>
      </c>
      <c r="I265" s="232" t="n"/>
      <c r="J265" s="232" t="n">
        <v>82000</v>
      </c>
      <c r="K265" s="233" t="n"/>
      <c r="L265" s="233">
        <f>IF(K265&lt;&gt;"",22000+K265,22000)</f>
        <v/>
      </c>
      <c r="M265" s="156" t="n"/>
      <c r="N265" s="156" t="n"/>
      <c r="O265" s="156" t="n"/>
    </row>
    <row r="266" ht="18.75" customHeight="1" s="153">
      <c r="A266" s="237" t="n"/>
      <c r="B266" s="238" t="inlineStr">
        <is>
          <t>PORKIS</t>
        </is>
      </c>
      <c r="C266" s="239" t="n"/>
      <c r="D266" s="239" t="n"/>
      <c r="E266" s="239" t="n">
        <v>1</v>
      </c>
      <c r="F266" s="240" t="n"/>
      <c r="G266" s="240" t="n"/>
      <c r="H266" s="241" t="n">
        <v>82000</v>
      </c>
      <c r="I266" s="242" t="n"/>
      <c r="J266" s="242" t="n">
        <v>82000</v>
      </c>
      <c r="K266" s="233" t="n"/>
      <c r="L266" s="233">
        <f>IF(K266&lt;&gt;"",22000+K266,22000)</f>
        <v/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PIZZA TRUCK</t>
        </is>
      </c>
      <c r="C267" s="229" t="n">
        <v>1</v>
      </c>
      <c r="D267" s="229" t="n"/>
      <c r="E267" s="229" t="n"/>
      <c r="F267" s="230" t="n"/>
      <c r="G267" s="230" t="n"/>
      <c r="H267" s="231" t="n">
        <v>22000</v>
      </c>
      <c r="I267" s="232" t="n"/>
      <c r="J267" s="232" t="n">
        <v>22000</v>
      </c>
      <c r="K267" s="233" t="n"/>
      <c r="L267" s="233">
        <f>IF(K267&lt;&gt;"",7000+K267,7000)</f>
        <v/>
      </c>
      <c r="M267" s="156" t="n"/>
      <c r="N267" s="156" t="n"/>
      <c r="O267" s="156" t="n"/>
    </row>
    <row r="268" ht="18.75" customHeight="1" s="153">
      <c r="A268" s="237" t="n">
        <v>46132</v>
      </c>
      <c r="B268" s="238" t="inlineStr">
        <is>
          <t>JUAN DE GARAY 3453</t>
        </is>
      </c>
      <c r="C268" s="239" t="n">
        <v>1</v>
      </c>
      <c r="D268" s="239" t="n"/>
      <c r="E268" s="239" t="n"/>
      <c r="F268" s="240" t="n"/>
      <c r="G268" s="240" t="n"/>
      <c r="H268" s="241" t="n">
        <v>26000</v>
      </c>
      <c r="I268" s="242" t="n">
        <v>26000</v>
      </c>
      <c r="J268" s="242" t="n"/>
      <c r="K268" s="233" t="n"/>
      <c r="L268" s="233">
        <f>IF(K268&lt;&gt;"",11000+K268,11000)</f>
        <v/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NOGALES 3462</t>
        </is>
      </c>
      <c r="C269" s="229" t="n"/>
      <c r="D269" s="229" t="n">
        <v>1</v>
      </c>
      <c r="E269" s="229" t="n"/>
      <c r="F269" s="230" t="n"/>
      <c r="G269" s="230" t="n"/>
      <c r="H269" s="231" t="n">
        <v>39000</v>
      </c>
      <c r="I269" s="232" t="n">
        <v>39000</v>
      </c>
      <c r="J269" s="232" t="n"/>
      <c r="K269" s="233" t="n"/>
      <c r="L269" s="233">
        <f>IF(K269&lt;&gt;"",16500+K269,16500)</f>
        <v/>
      </c>
      <c r="M269" s="156" t="n"/>
      <c r="N269" s="156" t="n"/>
      <c r="O269" s="156" t="n"/>
    </row>
    <row r="270" ht="18.75" customHeight="1" s="153">
      <c r="A270" s="237" t="n"/>
      <c r="B270" s="238" t="inlineStr">
        <is>
          <t>FRENCH 2382</t>
        </is>
      </c>
      <c r="C270" s="239" t="n">
        <v>1</v>
      </c>
      <c r="D270" s="239" t="n"/>
      <c r="E270" s="239" t="n"/>
      <c r="F270" s="240" t="n"/>
      <c r="G270" s="240" t="n"/>
      <c r="H270" s="241" t="n">
        <v>25000</v>
      </c>
      <c r="I270" s="242" t="n">
        <v>25000</v>
      </c>
      <c r="J270" s="242" t="n"/>
      <c r="K270" s="233" t="n"/>
      <c r="L270" s="233">
        <f>IF(K270&lt;&gt;"",10000+K270,10000)</f>
        <v/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>LOPEZ Y PLANES 4765</t>
        </is>
      </c>
      <c r="C271" s="229" t="n">
        <v>1</v>
      </c>
      <c r="D271" s="229" t="n"/>
      <c r="E271" s="229" t="n"/>
      <c r="F271" s="230" t="n"/>
      <c r="G271" s="230" t="n"/>
      <c r="H271" s="231" t="n">
        <v>25000</v>
      </c>
      <c r="I271" s="232" t="n"/>
      <c r="J271" s="232" t="n">
        <v>25000</v>
      </c>
      <c r="K271" s="233" t="n"/>
      <c r="L271" s="233">
        <f>IF(K271&lt;&gt;"",10000+K271,10000)</f>
        <v/>
      </c>
      <c r="M271" s="156" t="n"/>
      <c r="N271" s="156" t="n"/>
      <c r="O271" s="156" t="n"/>
    </row>
    <row r="272" ht="18.75" customHeight="1" s="153">
      <c r="A272" s="237" t="n"/>
      <c r="B272" s="238" t="inlineStr">
        <is>
          <t xml:space="preserve">VIANDAS JORGE </t>
        </is>
      </c>
      <c r="C272" s="239" t="n">
        <v>1</v>
      </c>
      <c r="D272" s="239" t="n"/>
      <c r="E272" s="239" t="n"/>
      <c r="F272" s="240" t="n"/>
      <c r="G272" s="240" t="n"/>
      <c r="H272" s="241" t="n">
        <v>22000</v>
      </c>
      <c r="I272" s="242" t="n">
        <v>22000</v>
      </c>
      <c r="J272" s="242" t="n"/>
      <c r="K272" s="233" t="n"/>
      <c r="L272" s="233">
        <f>IF(K272&lt;&gt;"",7000+K272,7000)</f>
        <v/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LUCHO</t>
        </is>
      </c>
      <c r="C273" s="229" t="n"/>
      <c r="D273" s="229" t="n">
        <v>1</v>
      </c>
      <c r="E273" s="229" t="n"/>
      <c r="F273" s="230" t="n"/>
      <c r="G273" s="230" t="n"/>
      <c r="H273" s="231" t="n">
        <v>28500</v>
      </c>
      <c r="I273" s="232" t="n"/>
      <c r="J273" s="232" t="n">
        <v>28500</v>
      </c>
      <c r="K273" s="233" t="n"/>
      <c r="L273" s="233">
        <f>IF(K273&lt;&gt;"",6000+K273,6000)</f>
        <v/>
      </c>
      <c r="M273" s="156" t="n"/>
      <c r="N273" s="156" t="n"/>
      <c r="O273" s="156" t="n"/>
    </row>
    <row r="274" ht="18.75" customHeight="1" s="153">
      <c r="A274" s="237" t="n"/>
      <c r="B274" s="238" t="inlineStr">
        <is>
          <t>CHICLANA 7325</t>
        </is>
      </c>
      <c r="C274" s="239" t="n">
        <v>1</v>
      </c>
      <c r="D274" s="239" t="n"/>
      <c r="E274" s="239" t="n"/>
      <c r="F274" s="240" t="n"/>
      <c r="G274" s="240" t="n"/>
      <c r="H274" s="241" t="n">
        <v>19000</v>
      </c>
      <c r="I274" s="242" t="n"/>
      <c r="J274" s="242" t="n">
        <v>19000</v>
      </c>
      <c r="K274" s="233" t="n"/>
      <c r="L274" s="233">
        <f>IF(K274&lt;&gt;"",4000+K274,4000)</f>
        <v/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PUBLICO 5727</t>
        </is>
      </c>
      <c r="C275" s="229" t="n">
        <v>1</v>
      </c>
      <c r="D275" s="229" t="n">
        <v>1</v>
      </c>
      <c r="E275" s="229" t="n"/>
      <c r="F275" s="230" t="n"/>
      <c r="G275" s="230" t="n"/>
      <c r="H275" s="231" t="n">
        <v>63000</v>
      </c>
      <c r="I275" s="232" t="n"/>
      <c r="J275" s="232" t="n">
        <v>63000</v>
      </c>
      <c r="K275" s="233" t="n"/>
      <c r="L275" s="233">
        <f>IF(K275&lt;&gt;"",25500+K275,25500)</f>
        <v/>
      </c>
      <c r="M275" s="156" t="n"/>
      <c r="N275" s="156" t="n"/>
      <c r="O275" s="156" t="n"/>
    </row>
    <row r="276" ht="18.75" customHeight="1" s="153">
      <c r="A276" s="237" t="n"/>
      <c r="B276" s="238" t="inlineStr">
        <is>
          <t>FILOMENA</t>
        </is>
      </c>
      <c r="C276" s="239" t="n">
        <v>2</v>
      </c>
      <c r="D276" s="239" t="n"/>
      <c r="E276" s="239" t="n"/>
      <c r="F276" s="240" t="n"/>
      <c r="G276" s="240" t="n"/>
      <c r="H276" s="241" t="n">
        <v>46000</v>
      </c>
      <c r="I276" s="242" t="n"/>
      <c r="J276" s="242" t="n">
        <v>46000</v>
      </c>
      <c r="K276" s="233" t="n"/>
      <c r="L276" s="233">
        <f>IF(K276&lt;&gt;"",16000+K276,16000)</f>
        <v/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LARGUIA 7287</t>
        </is>
      </c>
      <c r="C277" s="229" t="n">
        <v>2</v>
      </c>
      <c r="D277" s="229" t="n"/>
      <c r="E277" s="229" t="n">
        <v>1</v>
      </c>
      <c r="F277" s="230" t="n"/>
      <c r="G277" s="230" t="n"/>
      <c r="H277" s="231" t="n">
        <v>132000</v>
      </c>
      <c r="I277" s="232" t="n">
        <v>132000</v>
      </c>
      <c r="J277" s="232" t="n"/>
      <c r="K277" s="233" t="n"/>
      <c r="L277" s="233">
        <f>IF(K277&lt;&gt;"",42000+K277,42000)</f>
        <v/>
      </c>
      <c r="M277" s="156" t="n"/>
      <c r="N277" s="156" t="n"/>
      <c r="O277" s="156" t="n"/>
    </row>
    <row r="278" ht="18.75" customHeight="1" s="153">
      <c r="A278" s="237" t="n"/>
      <c r="B278" s="238" t="inlineStr">
        <is>
          <t>JAVIER DE LA ROSA 5767</t>
        </is>
      </c>
      <c r="C278" s="239" t="n"/>
      <c r="D278" s="239" t="n">
        <v>1</v>
      </c>
      <c r="E278" s="239" t="n"/>
      <c r="F278" s="240" t="n"/>
      <c r="G278" s="240" t="n"/>
      <c r="H278" s="241" t="n">
        <v>37500</v>
      </c>
      <c r="I278" s="242" t="n"/>
      <c r="J278" s="242" t="n">
        <v>37500</v>
      </c>
      <c r="K278" s="233" t="n"/>
      <c r="L278" s="233">
        <f>IF(K278&lt;&gt;"",15000+K278,15000)</f>
        <v/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LEO MASARA</t>
        </is>
      </c>
      <c r="C279" s="229" t="n">
        <v>1</v>
      </c>
      <c r="D279" s="229" t="n"/>
      <c r="E279" s="229" t="n"/>
      <c r="F279" s="230" t="n"/>
      <c r="G279" s="230" t="n"/>
      <c r="H279" s="231" t="n">
        <v>25000</v>
      </c>
      <c r="I279" s="232" t="n">
        <v>25000</v>
      </c>
      <c r="J279" s="232" t="n"/>
      <c r="K279" s="233" t="n"/>
      <c r="L279" s="233">
        <f>IF(K279&lt;&gt;"",10000+K279,10000)</f>
        <v/>
      </c>
      <c r="M279" s="156" t="n"/>
      <c r="N279" s="156" t="n"/>
      <c r="O279" s="156" t="n"/>
    </row>
    <row r="280" ht="18.75" customHeight="1" s="153">
      <c r="A280" s="237" t="n"/>
      <c r="B280" s="238" t="inlineStr">
        <is>
          <t>AZCUENAGA 5023</t>
        </is>
      </c>
      <c r="C280" s="239" t="n">
        <v>5</v>
      </c>
      <c r="D280" s="239" t="n"/>
      <c r="E280" s="239" t="n"/>
      <c r="F280" s="240" t="n"/>
      <c r="G280" s="240" t="n"/>
      <c r="H280" s="241" t="n">
        <v>95000</v>
      </c>
      <c r="I280" s="242" t="n"/>
      <c r="J280" s="242" t="n">
        <v>95000</v>
      </c>
      <c r="K280" s="233" t="n"/>
      <c r="L280" s="233">
        <f>IF(K280&lt;&gt;"",20000+K280,20000)</f>
        <v/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PUBLICO 5712</t>
        </is>
      </c>
      <c r="C281" s="229" t="n"/>
      <c r="D281" s="229" t="n">
        <v>1</v>
      </c>
      <c r="E281" s="229" t="n"/>
      <c r="F281" s="230" t="n"/>
      <c r="G281" s="230" t="n"/>
      <c r="H281" s="231" t="n">
        <v>37000</v>
      </c>
      <c r="I281" s="232" t="n">
        <v>37000</v>
      </c>
      <c r="J281" s="232" t="n"/>
      <c r="K281" s="233" t="n"/>
      <c r="L281" s="233">
        <f>IF(K281&lt;&gt;"",14500+K281,14500)</f>
        <v/>
      </c>
      <c r="M281" s="156" t="n"/>
      <c r="N281" s="156" t="n"/>
      <c r="O281" s="156" t="n"/>
    </row>
    <row r="282" ht="18.75" customHeight="1" s="153">
      <c r="A282" s="237" t="n"/>
      <c r="B282" s="238" t="inlineStr">
        <is>
          <t>CAREN</t>
        </is>
      </c>
      <c r="C282" s="239" t="n"/>
      <c r="D282" s="239" t="n"/>
      <c r="E282" s="239" t="n">
        <v>1</v>
      </c>
      <c r="F282" s="240" t="n"/>
      <c r="G282" s="240" t="n"/>
      <c r="H282" s="241" t="n">
        <v>82000</v>
      </c>
      <c r="I282" s="242" t="n"/>
      <c r="J282" s="242" t="n">
        <v>82000</v>
      </c>
      <c r="K282" s="233" t="n"/>
      <c r="L282" s="233">
        <f>IF(K282&lt;&gt;"",22000+K282,22000)</f>
        <v/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PUBLICO 5746</t>
        </is>
      </c>
      <c r="C283" s="229" t="n"/>
      <c r="D283" s="229" t="n">
        <v>1</v>
      </c>
      <c r="E283" s="229" t="n"/>
      <c r="F283" s="230" t="n"/>
      <c r="G283" s="230" t="n"/>
      <c r="H283" s="231" t="n">
        <v>37000</v>
      </c>
      <c r="I283" s="232" t="n">
        <v>37000</v>
      </c>
      <c r="J283" s="232" t="n"/>
      <c r="K283" s="233" t="n"/>
      <c r="L283" s="233">
        <f>IF(K283&lt;&gt;"",14500+K283,14500)</f>
        <v/>
      </c>
      <c r="M283" s="156" t="n"/>
      <c r="N283" s="156" t="n"/>
      <c r="O283" s="156" t="n"/>
    </row>
    <row r="284" ht="18.75" customHeight="1" s="153">
      <c r="A284" s="237" t="n"/>
      <c r="B284" s="238" t="inlineStr">
        <is>
          <t>PASAJE QUIROGA 5244</t>
        </is>
      </c>
      <c r="C284" s="239" t="n"/>
      <c r="D284" s="239" t="n">
        <v>1</v>
      </c>
      <c r="E284" s="239" t="n"/>
      <c r="F284" s="240" t="n"/>
      <c r="G284" s="240" t="n"/>
      <c r="H284" s="241" t="n">
        <v>37500</v>
      </c>
      <c r="I284" s="242" t="n"/>
      <c r="J284" s="242" t="n">
        <v>37500</v>
      </c>
      <c r="K284" s="233" t="n"/>
      <c r="L284" s="233">
        <f>IF(K284&lt;&gt;"",15000+K284,15000)</f>
        <v/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PEÑALOZA 9757</t>
        </is>
      </c>
      <c r="C285" s="229" t="n">
        <v>1</v>
      </c>
      <c r="D285" s="229" t="n"/>
      <c r="E285" s="229" t="n"/>
      <c r="F285" s="230" t="n"/>
      <c r="G285" s="230" t="n"/>
      <c r="H285" s="231" t="n">
        <v>26000</v>
      </c>
      <c r="I285" s="232" t="n">
        <v>26000</v>
      </c>
      <c r="J285" s="232" t="n"/>
      <c r="K285" s="233" t="n"/>
      <c r="L285" s="233">
        <f>IF(K285&lt;&gt;"",11000+K285,11000)</f>
        <v/>
      </c>
      <c r="M285" s="156" t="n"/>
      <c r="N285" s="156" t="n"/>
      <c r="O285" s="156" t="n"/>
    </row>
    <row r="286" ht="18.75" customHeight="1" s="153">
      <c r="A286" s="237" t="n"/>
      <c r="B286" s="238" t="inlineStr">
        <is>
          <t>LLERENA 3746</t>
        </is>
      </c>
      <c r="C286" s="239" t="n"/>
      <c r="D286" s="239" t="n"/>
      <c r="E286" s="239" t="n">
        <v>1</v>
      </c>
      <c r="F286" s="240" t="n"/>
      <c r="G286" s="240" t="n"/>
      <c r="H286" s="241" t="n">
        <v>85000</v>
      </c>
      <c r="I286" s="242" t="n">
        <v>60000</v>
      </c>
      <c r="J286" s="242" t="n">
        <v>25000</v>
      </c>
      <c r="K286" s="233" t="n"/>
      <c r="L286" s="233">
        <f>IF(K286&lt;&gt;"",25000+K286,25000)</f>
        <v/>
      </c>
      <c r="M286" s="156" t="n"/>
      <c r="N286" s="156" t="n"/>
      <c r="O286" s="156" t="n"/>
    </row>
    <row r="287" ht="18.75" customHeight="1" s="153">
      <c r="A287" s="227" t="n">
        <v>46133</v>
      </c>
      <c r="B287" s="228" t="inlineStr">
        <is>
          <t>ESTANISLAO DEL CAMPO 1613</t>
        </is>
      </c>
      <c r="C287" s="229" t="n">
        <v>1</v>
      </c>
      <c r="D287" s="229" t="n"/>
      <c r="E287" s="229" t="n"/>
      <c r="F287" s="230" t="n"/>
      <c r="G287" s="230" t="n"/>
      <c r="H287" s="231" t="n">
        <v>26000</v>
      </c>
      <c r="I287" s="232" t="n"/>
      <c r="J287" s="232" t="n">
        <v>26000</v>
      </c>
      <c r="K287" s="233" t="n"/>
      <c r="L287" s="233">
        <f>IF(K287&lt;&gt;"",11000+K287,11000)</f>
        <v/>
      </c>
      <c r="M287" s="156" t="n"/>
      <c r="N287" s="156" t="n"/>
      <c r="O287" s="156" t="n"/>
    </row>
    <row r="288" ht="18.75" customHeight="1" s="153">
      <c r="A288" s="237" t="n"/>
      <c r="B288" s="238" t="inlineStr">
        <is>
          <t>ANA ABDALA</t>
        </is>
      </c>
      <c r="C288" s="239" t="n">
        <v>1</v>
      </c>
      <c r="D288" s="239" t="n"/>
      <c r="E288" s="239" t="n"/>
      <c r="F288" s="240" t="n"/>
      <c r="G288" s="240" t="n"/>
      <c r="H288" s="241" t="n">
        <v>27000</v>
      </c>
      <c r="I288" s="242" t="n"/>
      <c r="J288" s="242" t="n">
        <v>27000</v>
      </c>
      <c r="K288" s="233" t="n"/>
      <c r="L288" s="233">
        <f>IF(K288&lt;&gt;"",12000+K288,12000)</f>
        <v/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VIEYTES 5299</t>
        </is>
      </c>
      <c r="C289" s="229" t="n"/>
      <c r="D289" s="229" t="n">
        <v>1</v>
      </c>
      <c r="E289" s="229" t="n"/>
      <c r="F289" s="230" t="n"/>
      <c r="G289" s="230" t="n"/>
      <c r="H289" s="231" t="n">
        <v>39000</v>
      </c>
      <c r="I289" s="232" t="n">
        <v>39000</v>
      </c>
      <c r="J289" s="232" t="n"/>
      <c r="K289" s="233" t="n"/>
      <c r="L289" s="233">
        <f>IF(K289&lt;&gt;"",16500+K289,16500)</f>
        <v/>
      </c>
      <c r="M289" s="156" t="n"/>
      <c r="N289" s="156" t="n"/>
      <c r="O289" s="156" t="n"/>
    </row>
    <row r="290" ht="18.75" customHeight="1" s="153">
      <c r="A290" s="237" t="n"/>
      <c r="B290" s="238" t="inlineStr">
        <is>
          <t>SERBANDO BAYO 6650</t>
        </is>
      </c>
      <c r="C290" s="239" t="n"/>
      <c r="D290" s="239" t="n">
        <v>1</v>
      </c>
      <c r="E290" s="239" t="n"/>
      <c r="F290" s="240" t="n"/>
      <c r="G290" s="240" t="n"/>
      <c r="H290" s="241" t="n">
        <v>39000</v>
      </c>
      <c r="I290" s="242" t="n">
        <v>39000</v>
      </c>
      <c r="J290" s="242" t="n"/>
      <c r="K290" s="233" t="n"/>
      <c r="L290" s="233">
        <f>IF(K290&lt;&gt;"",16500+K290,16500)</f>
        <v/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AZOPARDO 10560</t>
        </is>
      </c>
      <c r="C291" s="229" t="n">
        <v>1</v>
      </c>
      <c r="D291" s="229" t="n"/>
      <c r="E291" s="229" t="n"/>
      <c r="F291" s="230" t="n"/>
      <c r="G291" s="230" t="n"/>
      <c r="H291" s="231" t="n">
        <v>26000</v>
      </c>
      <c r="I291" s="232" t="n">
        <v>26000</v>
      </c>
      <c r="J291" s="232" t="n"/>
      <c r="K291" s="233" t="n"/>
      <c r="L291" s="233">
        <f>IF(K291&lt;&gt;"",11000+K291,11000)</f>
        <v/>
      </c>
      <c r="M291" s="156" t="n"/>
      <c r="N291" s="156" t="n"/>
      <c r="O291" s="156" t="n"/>
    </row>
    <row r="292" ht="18.75" customHeight="1" s="153">
      <c r="A292" s="237" t="n"/>
      <c r="B292" s="238" t="inlineStr">
        <is>
          <t>LARGUIA 6924</t>
        </is>
      </c>
      <c r="C292" s="239" t="n">
        <v>1</v>
      </c>
      <c r="D292" s="239" t="n"/>
      <c r="E292" s="239" t="n"/>
      <c r="F292" s="240" t="n"/>
      <c r="G292" s="240" t="n"/>
      <c r="H292" s="241" t="n">
        <v>25000</v>
      </c>
      <c r="I292" s="242" t="n">
        <v>25000</v>
      </c>
      <c r="J292" s="242" t="n"/>
      <c r="K292" s="233" t="n"/>
      <c r="L292" s="233">
        <f>IF(K292&lt;&gt;"",10000+K292,10000)</f>
        <v/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EX COMBATIENTES 5520</t>
        </is>
      </c>
      <c r="C293" s="229" t="n">
        <v>2</v>
      </c>
      <c r="D293" s="229" t="n"/>
      <c r="E293" s="229" t="n"/>
      <c r="F293" s="230" t="n"/>
      <c r="G293" s="230" t="n"/>
      <c r="H293" s="231" t="n">
        <v>52000</v>
      </c>
      <c r="I293" s="232" t="n"/>
      <c r="J293" s="232" t="n">
        <v>52000</v>
      </c>
      <c r="K293" s="233" t="n"/>
      <c r="L293" s="233">
        <f>IF(K293&lt;&gt;"",22000+K293,22000)</f>
        <v/>
      </c>
      <c r="M293" s="156" t="n"/>
      <c r="N293" s="156" t="n"/>
      <c r="O293" s="156" t="n"/>
    </row>
    <row r="294" ht="18.75" customHeight="1" s="153">
      <c r="A294" s="237" t="n"/>
      <c r="B294" s="238" t="inlineStr">
        <is>
          <t>DORREGO 5575</t>
        </is>
      </c>
      <c r="C294" s="239" t="n">
        <v>1</v>
      </c>
      <c r="D294" s="239" t="n"/>
      <c r="E294" s="239" t="n"/>
      <c r="F294" s="240" t="n"/>
      <c r="G294" s="240" t="n"/>
      <c r="H294" s="241" t="n">
        <v>26000</v>
      </c>
      <c r="I294" s="242" t="n">
        <v>20000</v>
      </c>
      <c r="J294" s="242" t="n">
        <v>6000</v>
      </c>
      <c r="K294" s="233" t="n"/>
      <c r="L294" s="233">
        <f>IF(K294&lt;&gt;"",11000+K294,11000)</f>
        <v/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VIÑAS Y PAUCKE</t>
        </is>
      </c>
      <c r="C295" s="229" t="n"/>
      <c r="D295" s="229" t="n">
        <v>1</v>
      </c>
      <c r="E295" s="229" t="n"/>
      <c r="F295" s="230" t="n"/>
      <c r="G295" s="230" t="n"/>
      <c r="H295" s="231" t="n">
        <v>35500</v>
      </c>
      <c r="I295" s="232" t="n"/>
      <c r="J295" s="232" t="n">
        <v>35500</v>
      </c>
      <c r="K295" s="233" t="n"/>
      <c r="L295" s="233">
        <f>IF(K295&lt;&gt;"",13000+K295,13000)</f>
        <v/>
      </c>
      <c r="M295" s="156" t="n"/>
      <c r="N295" s="156" t="n"/>
      <c r="O295" s="156" t="n"/>
    </row>
    <row r="296" ht="18.75" customHeight="1" s="153">
      <c r="A296" s="237" t="n"/>
      <c r="B296" s="238" t="inlineStr">
        <is>
          <t>4 DE ENERO 1342</t>
        </is>
      </c>
      <c r="C296" s="239" t="n">
        <v>1</v>
      </c>
      <c r="D296" s="239" t="n">
        <v>1</v>
      </c>
      <c r="E296" s="239" t="n"/>
      <c r="F296" s="240" t="n"/>
      <c r="G296" s="240" t="n"/>
      <c r="H296" s="241" t="n">
        <v>65000</v>
      </c>
      <c r="I296" s="242" t="n"/>
      <c r="J296" s="242" t="n">
        <v>65000</v>
      </c>
      <c r="K296" s="233" t="n"/>
      <c r="L296" s="233">
        <f>IF(K296&lt;&gt;"",27500+K296,27500)</f>
        <v/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 xml:space="preserve">FABIAN ALADO VIA NORTE </t>
        </is>
      </c>
      <c r="C297" s="229" t="n">
        <v>1</v>
      </c>
      <c r="D297" s="229" t="n"/>
      <c r="E297" s="229" t="n"/>
      <c r="F297" s="230" t="n"/>
      <c r="G297" s="230" t="n"/>
      <c r="H297" s="231" t="n">
        <v>25000</v>
      </c>
      <c r="I297" s="232" t="n"/>
      <c r="J297" s="232" t="n">
        <v>25000</v>
      </c>
      <c r="K297" s="233" t="n"/>
      <c r="L297" s="233">
        <f>IF(K297&lt;&gt;"",10000+K297,10000)</f>
        <v/>
      </c>
      <c r="M297" s="156" t="n"/>
      <c r="N297" s="156" t="n"/>
      <c r="O297" s="156" t="n"/>
    </row>
    <row r="298" ht="18.75" customHeight="1" s="153">
      <c r="A298" s="237" t="n"/>
      <c r="B298" s="238" t="inlineStr">
        <is>
          <t>AZOPARDO 8443</t>
        </is>
      </c>
      <c r="C298" s="239" t="n">
        <v>1</v>
      </c>
      <c r="D298" s="239" t="n"/>
      <c r="E298" s="239" t="n"/>
      <c r="F298" s="240" t="n"/>
      <c r="G298" s="240" t="n"/>
      <c r="H298" s="241" t="n">
        <v>25000</v>
      </c>
      <c r="I298" s="242" t="n"/>
      <c r="J298" s="242" t="n">
        <v>25000</v>
      </c>
      <c r="K298" s="233" t="n"/>
      <c r="L298" s="233">
        <f>IF(K298&lt;&gt;"",10000+K298,10000)</f>
        <v/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 xml:space="preserve">USUARIO CALLE </t>
        </is>
      </c>
      <c r="C299" s="229" t="n">
        <v>1</v>
      </c>
      <c r="D299" s="229" t="n"/>
      <c r="E299" s="229" t="n"/>
      <c r="F299" s="230" t="n"/>
      <c r="G299" s="230" t="n"/>
      <c r="H299" s="231" t="n">
        <v>20000</v>
      </c>
      <c r="I299" s="232" t="n"/>
      <c r="J299" s="232" t="n">
        <v>20000</v>
      </c>
      <c r="K299" s="233" t="n"/>
      <c r="L299" s="233">
        <f>IF(K299&lt;&gt;"",5000+K299,5000)</f>
        <v/>
      </c>
      <c r="M299" s="156" t="n"/>
      <c r="N299" s="156" t="n"/>
      <c r="O299" s="156" t="n"/>
    </row>
    <row r="300" ht="18.75" customHeight="1" s="153">
      <c r="A300" s="237" t="n">
        <v>46134</v>
      </c>
      <c r="B300" s="238" t="inlineStr">
        <is>
          <t>CAYASTA 4887 MARCE</t>
        </is>
      </c>
      <c r="C300" s="239" t="n"/>
      <c r="D300" s="239" t="n"/>
      <c r="E300" s="239" t="n"/>
      <c r="F300" s="240" t="n">
        <v>4</v>
      </c>
      <c r="G300" s="240" t="n"/>
      <c r="H300" s="241" t="n">
        <v>15000</v>
      </c>
      <c r="I300" s="242" t="n">
        <v>15000</v>
      </c>
      <c r="J300" s="242" t="n"/>
      <c r="K300" s="233" t="n"/>
      <c r="L300" s="233">
        <f>IF(K300&lt;&gt;"",5800+K300,5800)</f>
        <v/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CHICLANA 7325</t>
        </is>
      </c>
      <c r="C301" s="229" t="n">
        <v>2</v>
      </c>
      <c r="D301" s="229" t="n"/>
      <c r="E301" s="229" t="n"/>
      <c r="F301" s="230" t="n"/>
      <c r="G301" s="230" t="n"/>
      <c r="H301" s="231" t="n">
        <v>38000</v>
      </c>
      <c r="I301" s="232" t="n"/>
      <c r="J301" s="232" t="n">
        <v>38000</v>
      </c>
      <c r="K301" s="233" t="n"/>
      <c r="L301" s="233">
        <f>IF(K301&lt;&gt;"",8000+K301,8000)</f>
        <v/>
      </c>
      <c r="M301" s="156" t="n"/>
      <c r="N301" s="156" t="n"/>
      <c r="O301" s="156" t="n"/>
    </row>
    <row r="302" ht="18.75" customHeight="1" s="153">
      <c r="A302" s="237" t="n"/>
      <c r="B302" s="238" t="inlineStr">
        <is>
          <t xml:space="preserve">EMIR </t>
        </is>
      </c>
      <c r="C302" s="239" t="n">
        <v>1</v>
      </c>
      <c r="D302" s="239" t="n"/>
      <c r="E302" s="239" t="n"/>
      <c r="F302" s="240" t="n"/>
      <c r="G302" s="240" t="n"/>
      <c r="H302" s="241" t="n">
        <v>26000</v>
      </c>
      <c r="I302" s="242" t="n"/>
      <c r="J302" s="242" t="n">
        <v>26000</v>
      </c>
      <c r="K302" s="233" t="n"/>
      <c r="L302" s="233">
        <f>IF(K302&lt;&gt;"",11000+K302,11000)</f>
        <v/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 xml:space="preserve">PANA BERUTI 6726 </t>
        </is>
      </c>
      <c r="C303" s="229" t="n"/>
      <c r="D303" s="229" t="n"/>
      <c r="E303" s="229" t="n">
        <v>1</v>
      </c>
      <c r="F303" s="230" t="n"/>
      <c r="G303" s="230" t="n"/>
      <c r="H303" s="231" t="n">
        <v>78000</v>
      </c>
      <c r="I303" s="232" t="n">
        <v>78000</v>
      </c>
      <c r="J303" s="232" t="n"/>
      <c r="K303" s="233" t="n"/>
      <c r="L303" s="233">
        <f>IF(K303&lt;&gt;"",18000+K303,18000)</f>
        <v/>
      </c>
      <c r="M303" s="156" t="n"/>
      <c r="N303" s="156" t="n"/>
      <c r="O303" s="156" t="n"/>
    </row>
    <row r="304" ht="18.75" customHeight="1" s="153">
      <c r="A304" s="237" t="n"/>
      <c r="B304" s="238" t="inlineStr">
        <is>
          <t>PANADERIA BAGUETE</t>
        </is>
      </c>
      <c r="C304" s="239" t="n"/>
      <c r="D304" s="239" t="n"/>
      <c r="E304" s="239" t="n">
        <v>1</v>
      </c>
      <c r="F304" s="240" t="n"/>
      <c r="G304" s="240" t="n"/>
      <c r="H304" s="241" t="n">
        <v>75000</v>
      </c>
      <c r="I304" s="242" t="n"/>
      <c r="J304" s="242" t="n">
        <v>75000</v>
      </c>
      <c r="K304" s="233" t="n"/>
      <c r="L304" s="233">
        <f>IF(K304&lt;&gt;"",15000+K304,15000)</f>
        <v/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EMA COMBETO PJE MARSENGO</t>
        </is>
      </c>
      <c r="C305" s="229" t="n"/>
      <c r="D305" s="229" t="n">
        <v>1</v>
      </c>
      <c r="E305" s="229" t="n"/>
      <c r="F305" s="230" t="n"/>
      <c r="G305" s="230" t="n"/>
      <c r="H305" s="231" t="n">
        <v>37500</v>
      </c>
      <c r="I305" s="232" t="n"/>
      <c r="J305" s="232" t="n">
        <v>37500</v>
      </c>
      <c r="K305" s="233" t="n"/>
      <c r="L305" s="233">
        <f>IF(K305&lt;&gt;"",15000+K305,15000)</f>
        <v/>
      </c>
      <c r="M305" s="156" t="n"/>
      <c r="N305" s="156" t="n"/>
      <c r="O305" s="156" t="n"/>
    </row>
    <row r="306" ht="18.75" customHeight="1" s="153">
      <c r="A306" s="237" t="n"/>
      <c r="B306" s="238" t="inlineStr">
        <is>
          <t>TOFFO</t>
        </is>
      </c>
      <c r="C306" s="239" t="n"/>
      <c r="D306" s="239" t="n"/>
      <c r="E306" s="239" t="n">
        <v>1</v>
      </c>
      <c r="F306" s="240" t="n"/>
      <c r="G306" s="240" t="n"/>
      <c r="H306" s="241" t="n">
        <v>90000</v>
      </c>
      <c r="I306" s="242" t="n"/>
      <c r="J306" s="242" t="n">
        <v>90000</v>
      </c>
      <c r="K306" s="233" t="n"/>
      <c r="L306" s="233">
        <f>IF(K306&lt;&gt;"",30000+K306,30000)</f>
        <v/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FACUNDO ZUVIRIA 10235</t>
        </is>
      </c>
      <c r="C307" s="229" t="n">
        <v>1</v>
      </c>
      <c r="D307" s="229" t="n"/>
      <c r="E307" s="229" t="n"/>
      <c r="F307" s="230" t="n"/>
      <c r="G307" s="230" t="n"/>
      <c r="H307" s="231" t="n">
        <v>27000</v>
      </c>
      <c r="I307" s="232" t="n"/>
      <c r="J307" s="232" t="n">
        <v>27000</v>
      </c>
      <c r="K307" s="233" t="n"/>
      <c r="L307" s="233">
        <f>IF(K307&lt;&gt;"",12000+K307,12000)</f>
        <v/>
      </c>
      <c r="M307" s="156" t="n"/>
      <c r="N307" s="156" t="n"/>
      <c r="O307" s="156" t="n"/>
    </row>
    <row r="308" ht="18.75" customHeight="1" s="153">
      <c r="A308" s="237" t="n"/>
      <c r="B308" s="238" t="inlineStr">
        <is>
          <t>ALSINA 6601</t>
        </is>
      </c>
      <c r="C308" s="239" t="n"/>
      <c r="D308" s="239" t="n"/>
      <c r="E308" s="239" t="n">
        <v>1</v>
      </c>
      <c r="F308" s="240" t="n"/>
      <c r="G308" s="240" t="n"/>
      <c r="H308" s="241" t="n">
        <v>80000</v>
      </c>
      <c r="I308" s="242" t="n"/>
      <c r="J308" s="242" t="n">
        <v>80000</v>
      </c>
      <c r="K308" s="233" t="n"/>
      <c r="L308" s="233">
        <f>IF(K308&lt;&gt;"",20000+K308,20000)</f>
        <v/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GUEMES 4421</t>
        </is>
      </c>
      <c r="C309" s="229" t="n">
        <v>1</v>
      </c>
      <c r="D309" s="229" t="n"/>
      <c r="E309" s="229" t="n"/>
      <c r="F309" s="230" t="n"/>
      <c r="G309" s="230" t="n"/>
      <c r="H309" s="231" t="n">
        <v>27000</v>
      </c>
      <c r="I309" s="232" t="n"/>
      <c r="J309" s="232" t="n">
        <v>27000</v>
      </c>
      <c r="K309" s="233" t="n"/>
      <c r="L309" s="233">
        <f>IF(K309&lt;&gt;"",12000+K309,12000)</f>
        <v/>
      </c>
      <c r="M309" s="156" t="n"/>
      <c r="N309" s="156" t="n"/>
      <c r="O309" s="156" t="n"/>
    </row>
    <row r="310" ht="18.75" customHeight="1" s="153">
      <c r="A310" s="237" t="n"/>
      <c r="B310" s="238" t="inlineStr">
        <is>
          <t>DANA</t>
        </is>
      </c>
      <c r="C310" s="239" t="n">
        <v>3</v>
      </c>
      <c r="D310" s="239" t="n"/>
      <c r="E310" s="239" t="n"/>
      <c r="F310" s="240" t="n"/>
      <c r="G310" s="240" t="n"/>
      <c r="H310" s="241" t="n">
        <v>57000</v>
      </c>
      <c r="I310" s="242" t="n"/>
      <c r="J310" s="242" t="n">
        <v>57000</v>
      </c>
      <c r="K310" s="233" t="n"/>
      <c r="L310" s="233">
        <f>IF(K310&lt;&gt;"",12000+K310,12000)</f>
        <v/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LOPEZ Y PLANES 4585</t>
        </is>
      </c>
      <c r="C311" s="229" t="n">
        <v>1</v>
      </c>
      <c r="D311" s="229" t="n"/>
      <c r="E311" s="229" t="n"/>
      <c r="F311" s="230" t="n"/>
      <c r="G311" s="230" t="n"/>
      <c r="H311" s="231" t="n">
        <v>25000</v>
      </c>
      <c r="I311" s="232" t="n"/>
      <c r="J311" s="232" t="n">
        <v>25000</v>
      </c>
      <c r="K311" s="233" t="n"/>
      <c r="L311" s="233">
        <f>IF(K311&lt;&gt;"",10000+K311,10000)</f>
        <v/>
      </c>
      <c r="M311" s="156" t="n"/>
      <c r="N311" s="156" t="n"/>
      <c r="O311" s="156" t="n"/>
    </row>
    <row r="312" ht="18.75" customHeight="1" s="153">
      <c r="A312" s="237" t="n"/>
      <c r="B312" s="238" t="inlineStr">
        <is>
          <t>PEÑALOZA 7716</t>
        </is>
      </c>
      <c r="C312" s="239" t="n">
        <v>1</v>
      </c>
      <c r="D312" s="239" t="n"/>
      <c r="E312" s="239" t="n"/>
      <c r="F312" s="240" t="n"/>
      <c r="G312" s="240" t="n"/>
      <c r="H312" s="241" t="n">
        <v>25000</v>
      </c>
      <c r="I312" s="242" t="n"/>
      <c r="J312" s="242" t="n">
        <v>25000</v>
      </c>
      <c r="K312" s="233" t="n"/>
      <c r="L312" s="233">
        <f>IF(K312&lt;&gt;"",10000+K312,10000)</f>
        <v/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PANA ALBERTI</t>
        </is>
      </c>
      <c r="C313" s="229" t="n"/>
      <c r="D313" s="229" t="n"/>
      <c r="E313" s="229" t="n">
        <v>1</v>
      </c>
      <c r="F313" s="230" t="n"/>
      <c r="G313" s="230" t="n"/>
      <c r="H313" s="231" t="n">
        <v>82000</v>
      </c>
      <c r="I313" s="232" t="n">
        <v>82000</v>
      </c>
      <c r="J313" s="232" t="n"/>
      <c r="K313" s="233" t="n"/>
      <c r="L313" s="233">
        <f>IF(K313&lt;&gt;"",22000+K313,22000)</f>
        <v/>
      </c>
      <c r="M313" s="156" t="n"/>
      <c r="N313" s="156" t="n"/>
      <c r="O313" s="156" t="n"/>
    </row>
    <row r="314" ht="18.75" customHeight="1" s="153">
      <c r="A314" s="237" t="n"/>
      <c r="B314" s="238" t="inlineStr">
        <is>
          <t>SANTA CRUZ 3051</t>
        </is>
      </c>
      <c r="C314" s="239" t="n"/>
      <c r="D314" s="239" t="n"/>
      <c r="E314" s="239" t="n">
        <v>1</v>
      </c>
      <c r="F314" s="240" t="n"/>
      <c r="G314" s="240" t="n"/>
      <c r="H314" s="241" t="n">
        <v>78000</v>
      </c>
      <c r="I314" s="242" t="n">
        <v>78000</v>
      </c>
      <c r="J314" s="242" t="n"/>
      <c r="K314" s="233" t="n"/>
      <c r="L314" s="233">
        <f>IF(K314&lt;&gt;"",18000+K314,18000)</f>
        <v/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PANA BERUTI 6400</t>
        </is>
      </c>
      <c r="C315" s="229" t="n"/>
      <c r="D315" s="229" t="n"/>
      <c r="E315" s="229" t="n">
        <v>1</v>
      </c>
      <c r="F315" s="230" t="n"/>
      <c r="G315" s="230" t="n"/>
      <c r="H315" s="231" t="n">
        <v>75000</v>
      </c>
      <c r="I315" s="232" t="n">
        <v>5000</v>
      </c>
      <c r="J315" s="232" t="n">
        <v>70000</v>
      </c>
      <c r="K315" s="233" t="n"/>
      <c r="L315" s="233">
        <f>IF(K315&lt;&gt;"",15000+K315,15000)</f>
        <v/>
      </c>
      <c r="M315" s="156" t="n"/>
      <c r="N315" s="156" t="n"/>
      <c r="O315" s="156" t="n"/>
    </row>
    <row r="316" ht="18.75" customHeight="1" s="153">
      <c r="A316" s="237" t="n"/>
      <c r="B316" s="238" t="inlineStr">
        <is>
          <t>SABOREAR</t>
        </is>
      </c>
      <c r="C316" s="239" t="n">
        <v>2</v>
      </c>
      <c r="D316" s="239" t="n"/>
      <c r="E316" s="239" t="n"/>
      <c r="F316" s="240" t="n"/>
      <c r="G316" s="240" t="n"/>
      <c r="H316" s="241" t="n">
        <v>45000</v>
      </c>
      <c r="I316" s="242" t="n"/>
      <c r="J316" s="242" t="n">
        <v>45000</v>
      </c>
      <c r="K316" s="233" t="n"/>
      <c r="L316" s="233">
        <f>IF(K316&lt;&gt;"",15000+K316,15000)</f>
        <v/>
      </c>
      <c r="M316" s="156" t="n"/>
      <c r="N316" s="156" t="n"/>
      <c r="O316" s="156" t="n"/>
    </row>
    <row r="317" ht="18.75" customHeight="1" s="153">
      <c r="A317" s="227" t="n">
        <v>46135</v>
      </c>
      <c r="B317" s="228" t="inlineStr">
        <is>
          <t>PAULO</t>
        </is>
      </c>
      <c r="C317" s="229" t="n">
        <v>2</v>
      </c>
      <c r="D317" s="229" t="n"/>
      <c r="E317" s="229" t="n"/>
      <c r="F317" s="230" t="n"/>
      <c r="G317" s="230" t="n"/>
      <c r="H317" s="257" t="n">
        <v>38000</v>
      </c>
      <c r="I317" s="258" t="n">
        <v>38000</v>
      </c>
      <c r="J317" s="258" t="n"/>
      <c r="K317" s="233" t="n"/>
      <c r="L317" s="233">
        <f>IF(K317&lt;&gt;"",8000+K317,8000)</f>
        <v/>
      </c>
      <c r="M317" s="156" t="n"/>
      <c r="N317" s="156" t="n"/>
      <c r="O317" s="156" t="n"/>
    </row>
    <row r="318" ht="18.75" customHeight="1" s="153">
      <c r="A318" s="237" t="n"/>
      <c r="B318" s="238" t="inlineStr">
        <is>
          <t>MARIO GABOTO Y ALBERTI</t>
        </is>
      </c>
      <c r="C318" s="239" t="n">
        <v>2</v>
      </c>
      <c r="D318" s="239" t="n"/>
      <c r="E318" s="239" t="n"/>
      <c r="F318" s="240" t="n"/>
      <c r="G318" s="240" t="n"/>
      <c r="H318" s="259" t="n">
        <v>38000</v>
      </c>
      <c r="I318" s="260" t="n">
        <v>38000</v>
      </c>
      <c r="J318" s="260" t="n"/>
      <c r="K318" s="233" t="n"/>
      <c r="L318" s="233">
        <f>IF(K318&lt;&gt;"",8000+K318,8000)</f>
        <v/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BEATRIZ</t>
        </is>
      </c>
      <c r="C319" s="229" t="n"/>
      <c r="D319" s="229" t="n"/>
      <c r="E319" s="229" t="n"/>
      <c r="F319" s="230" t="n"/>
      <c r="G319" s="230" t="n">
        <v>1</v>
      </c>
      <c r="H319" s="257" t="n">
        <v>6000</v>
      </c>
      <c r="I319" s="258" t="n"/>
      <c r="J319" s="258" t="n">
        <v>6000</v>
      </c>
      <c r="K319" s="233" t="n"/>
      <c r="L319" s="233">
        <f>IF(K319&lt;&gt;"",5150+K319,5150)</f>
        <v/>
      </c>
      <c r="M319" s="156" t="n"/>
      <c r="N319" s="156" t="n"/>
      <c r="O319" s="156" t="n"/>
    </row>
    <row r="320" ht="18.75" customHeight="1" s="153">
      <c r="A320" s="237" t="n"/>
      <c r="B320" s="238" t="inlineStr">
        <is>
          <t>GUANELLA 4552</t>
        </is>
      </c>
      <c r="C320" s="239" t="n">
        <v>1</v>
      </c>
      <c r="D320" s="239" t="n"/>
      <c r="E320" s="239" t="n"/>
      <c r="F320" s="240" t="n"/>
      <c r="G320" s="240" t="n"/>
      <c r="H320" s="259" t="n">
        <v>27000</v>
      </c>
      <c r="I320" s="260" t="n"/>
      <c r="J320" s="260" t="n">
        <v>27000</v>
      </c>
      <c r="K320" s="233" t="n"/>
      <c r="L320" s="233">
        <f>IF(K320&lt;&gt;"",12000+K320,12000)</f>
        <v/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ALBERTI 4649</t>
        </is>
      </c>
      <c r="C321" s="229" t="n">
        <v>1</v>
      </c>
      <c r="D321" s="229" t="n"/>
      <c r="E321" s="229" t="n"/>
      <c r="F321" s="230" t="n"/>
      <c r="G321" s="230" t="n"/>
      <c r="H321" s="257" t="n">
        <v>25000</v>
      </c>
      <c r="I321" s="258" t="n"/>
      <c r="J321" s="258" t="n">
        <v>25000</v>
      </c>
      <c r="K321" s="233" t="n"/>
      <c r="L321" s="233">
        <f>IF(K321&lt;&gt;"",10000+K321,10000)</f>
        <v/>
      </c>
      <c r="M321" s="156" t="n"/>
      <c r="N321" s="156" t="n"/>
      <c r="O321" s="156" t="n"/>
    </row>
    <row r="322" ht="18.75" customHeight="1" s="153">
      <c r="A322" s="237" t="n"/>
      <c r="B322" s="238" t="inlineStr">
        <is>
          <t>OTNIEL</t>
        </is>
      </c>
      <c r="C322" s="239" t="n"/>
      <c r="D322" s="239" t="n"/>
      <c r="E322" s="239" t="n"/>
      <c r="F322" s="240" t="n"/>
      <c r="G322" s="240" t="n">
        <v>2</v>
      </c>
      <c r="H322" s="259" t="n">
        <v>12000</v>
      </c>
      <c r="I322" s="260" t="n"/>
      <c r="J322" s="260" t="n">
        <v>12000</v>
      </c>
      <c r="K322" s="233" t="n"/>
      <c r="L322" s="233">
        <f>IF(K322&lt;&gt;"",10300+K322,10300)</f>
        <v/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TROPPO</t>
        </is>
      </c>
      <c r="C323" s="229" t="n">
        <v>1</v>
      </c>
      <c r="D323" s="229" t="n"/>
      <c r="E323" s="229" t="n"/>
      <c r="F323" s="230" t="n"/>
      <c r="G323" s="230" t="n"/>
      <c r="H323" s="257" t="n">
        <v>27000</v>
      </c>
      <c r="I323" s="258" t="n"/>
      <c r="J323" s="258" t="n">
        <v>27000</v>
      </c>
      <c r="K323" s="233" t="n"/>
      <c r="L323" s="233">
        <f>IF(K323&lt;&gt;"",12000+K323,12000)</f>
        <v/>
      </c>
      <c r="M323" s="156" t="n"/>
      <c r="N323" s="156" t="n"/>
      <c r="O323" s="156" t="n"/>
    </row>
    <row r="324" ht="18.75" customHeight="1" s="153">
      <c r="A324" s="237" t="n"/>
      <c r="B324" s="238" t="inlineStr">
        <is>
          <t>1 DE MAYO 1605</t>
        </is>
      </c>
      <c r="C324" s="239" t="n"/>
      <c r="D324" s="239" t="n">
        <v>1</v>
      </c>
      <c r="E324" s="239" t="n"/>
      <c r="F324" s="240" t="n"/>
      <c r="G324" s="240" t="n"/>
      <c r="H324" s="259" t="n">
        <v>39000</v>
      </c>
      <c r="I324" s="260" t="n">
        <v>39000</v>
      </c>
      <c r="J324" s="260" t="n"/>
      <c r="K324" s="233" t="n"/>
      <c r="L324" s="233">
        <f>IF(K324&lt;&gt;"",16500+K324,16500)</f>
        <v/>
      </c>
      <c r="M324" s="156" t="n"/>
      <c r="N324" s="156" t="n"/>
      <c r="O324" s="156" t="n"/>
    </row>
    <row r="325" ht="18.75" customHeight="1" s="153">
      <c r="A325" s="227" t="n"/>
      <c r="B325" s="228" t="inlineStr">
        <is>
          <t>SEDLASEK 5347</t>
        </is>
      </c>
      <c r="C325" s="229" t="n">
        <v>1</v>
      </c>
      <c r="D325" s="229" t="n"/>
      <c r="E325" s="229" t="n"/>
      <c r="F325" s="230" t="n"/>
      <c r="G325" s="230" t="n"/>
      <c r="H325" s="257" t="n">
        <v>26000</v>
      </c>
      <c r="I325" s="258" t="n">
        <v>26000</v>
      </c>
      <c r="J325" s="258" t="n"/>
      <c r="K325" s="233" t="n"/>
      <c r="L325" s="233">
        <f>IF(K325&lt;&gt;"",11000+K325,11000)</f>
        <v/>
      </c>
      <c r="M325" s="156" t="n"/>
      <c r="N325" s="156" t="n"/>
      <c r="O325" s="156" t="n"/>
    </row>
    <row r="326" ht="18.75" customHeight="1" s="153">
      <c r="A326" s="237" t="n"/>
      <c r="B326" s="238" t="inlineStr">
        <is>
          <t>PANA VIEYTES 4500</t>
        </is>
      </c>
      <c r="C326" s="239" t="n"/>
      <c r="D326" s="239" t="n"/>
      <c r="E326" s="239" t="n">
        <v>1</v>
      </c>
      <c r="F326" s="240" t="n"/>
      <c r="G326" s="240" t="n"/>
      <c r="H326" s="259" t="n">
        <v>78000</v>
      </c>
      <c r="I326" s="260" t="n">
        <v>78000</v>
      </c>
      <c r="J326" s="260" t="n"/>
      <c r="K326" s="233" t="n"/>
      <c r="L326" s="233">
        <f>IF(K326&lt;&gt;"",18000+K326,18000)</f>
        <v/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FILOMENA</t>
        </is>
      </c>
      <c r="C327" s="229" t="n">
        <v>2</v>
      </c>
      <c r="D327" s="229" t="n"/>
      <c r="E327" s="229" t="n"/>
      <c r="F327" s="230" t="n"/>
      <c r="G327" s="230" t="n"/>
      <c r="H327" s="257" t="n">
        <v>46000</v>
      </c>
      <c r="I327" s="258" t="n"/>
      <c r="J327" s="258" t="n">
        <v>46000</v>
      </c>
      <c r="K327" s="233" t="n"/>
      <c r="L327" s="233">
        <f>IF(K327&lt;&gt;"",16000+K327,16000)</f>
        <v/>
      </c>
      <c r="M327" s="156" t="n"/>
      <c r="N327" s="156" t="n"/>
      <c r="O327" s="156" t="n"/>
    </row>
    <row r="328" ht="18.75" customHeight="1" s="153">
      <c r="A328" s="237" t="n"/>
      <c r="B328" s="238" t="inlineStr">
        <is>
          <t>SABOREAR</t>
        </is>
      </c>
      <c r="C328" s="239" t="n"/>
      <c r="D328" s="239" t="n"/>
      <c r="E328" s="239" t="n">
        <v>1</v>
      </c>
      <c r="F328" s="240" t="n"/>
      <c r="G328" s="240" t="n"/>
      <c r="H328" s="259" t="n">
        <v>81000</v>
      </c>
      <c r="I328" s="260" t="n"/>
      <c r="J328" s="260" t="n">
        <v>81000</v>
      </c>
      <c r="K328" s="233" t="n"/>
      <c r="L328" s="233">
        <f>IF(K328&lt;&gt;"",21000+K328,21000)</f>
        <v/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LAVALLE 4224</t>
        </is>
      </c>
      <c r="C329" s="229" t="n">
        <v>1</v>
      </c>
      <c r="D329" s="229" t="n"/>
      <c r="E329" s="229" t="n"/>
      <c r="F329" s="230" t="n"/>
      <c r="G329" s="230" t="n"/>
      <c r="H329" s="257" t="n">
        <v>26000</v>
      </c>
      <c r="I329" s="258" t="n"/>
      <c r="J329" s="258" t="n">
        <v>26000</v>
      </c>
      <c r="K329" s="233" t="n"/>
      <c r="L329" s="233">
        <f>IF(K329&lt;&gt;"",11000+K329,11000)</f>
        <v/>
      </c>
      <c r="M329" s="156" t="n"/>
      <c r="N329" s="156" t="n"/>
      <c r="O329" s="156" t="n"/>
    </row>
    <row r="330" ht="18.75" customHeight="1" s="153">
      <c r="A330" s="237" t="n"/>
      <c r="B330" s="238" t="inlineStr">
        <is>
          <t>ROTI ARISTOBULO</t>
        </is>
      </c>
      <c r="C330" s="239" t="n"/>
      <c r="D330" s="239" t="n">
        <v>1</v>
      </c>
      <c r="E330" s="239" t="n"/>
      <c r="F330" s="240" t="n"/>
      <c r="G330" s="240" t="n"/>
      <c r="H330" s="259" t="n">
        <v>33500</v>
      </c>
      <c r="I330" s="260" t="n"/>
      <c r="J330" s="260" t="n">
        <v>33500</v>
      </c>
      <c r="K330" s="233" t="n"/>
      <c r="L330" s="233">
        <f>IF(K330&lt;&gt;"",11000+K330,11000)</f>
        <v/>
      </c>
      <c r="M330" s="156" t="n"/>
      <c r="N330" s="156" t="n"/>
      <c r="O330" s="156" t="n"/>
    </row>
    <row r="331" ht="18.75" customHeight="1" s="153">
      <c r="A331" s="227" t="n">
        <v>46136</v>
      </c>
      <c r="B331" s="228" t="inlineStr">
        <is>
          <t>FREY AROCA 9560 ESCUELA</t>
        </is>
      </c>
      <c r="C331" s="229" t="n"/>
      <c r="D331" s="229" t="n"/>
      <c r="E331" s="229" t="n">
        <v>2</v>
      </c>
      <c r="F331" s="230" t="n"/>
      <c r="G331" s="230" t="n"/>
      <c r="H331" s="257" t="n">
        <v>187900</v>
      </c>
      <c r="I331" s="258" t="n"/>
      <c r="J331" s="258" t="n">
        <v>187900</v>
      </c>
      <c r="K331" s="233" t="n"/>
      <c r="L331" s="233">
        <f>IF(K331&lt;&gt;"",67900+K331,67900)</f>
        <v/>
      </c>
      <c r="M331" s="156" t="n"/>
      <c r="N331" s="156" t="n"/>
      <c r="O331" s="156" t="n"/>
    </row>
    <row r="332" ht="18.75" customHeight="1" s="153">
      <c r="A332" s="237" t="n"/>
      <c r="B332" s="238" t="inlineStr">
        <is>
          <t>ROTI AGUADO</t>
        </is>
      </c>
      <c r="C332" s="239" t="n"/>
      <c r="D332" s="239" t="n">
        <v>2</v>
      </c>
      <c r="E332" s="239" t="n"/>
      <c r="F332" s="240" t="n"/>
      <c r="G332" s="240" t="n"/>
      <c r="H332" s="259" t="n">
        <v>67000</v>
      </c>
      <c r="I332" s="260" t="n"/>
      <c r="J332" s="260" t="n">
        <v>67000</v>
      </c>
      <c r="K332" s="233" t="n"/>
      <c r="L332" s="233">
        <f>IF(K332&lt;&gt;"",22000+K332,22000)</f>
        <v/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DOMINGO SILVA 4217</t>
        </is>
      </c>
      <c r="C333" s="229" t="n">
        <v>2</v>
      </c>
      <c r="D333" s="229" t="n">
        <v>1</v>
      </c>
      <c r="E333" s="229" t="n"/>
      <c r="F333" s="230" t="n"/>
      <c r="G333" s="230" t="n"/>
      <c r="H333" s="257" t="n">
        <v>66500</v>
      </c>
      <c r="I333" s="258" t="n"/>
      <c r="J333" s="258" t="n"/>
      <c r="K333" s="233" t="n"/>
      <c r="L333" s="233">
        <f>IF(K333&lt;&gt;"",14000+K333,14000)</f>
        <v/>
      </c>
      <c r="M333" s="156" t="n"/>
      <c r="N333" s="156" t="n"/>
      <c r="O333" s="156" t="n"/>
    </row>
    <row r="334" ht="18.75" customHeight="1" s="153">
      <c r="A334" s="237" t="n"/>
      <c r="B334" s="238" t="inlineStr">
        <is>
          <t>OTNIEL</t>
        </is>
      </c>
      <c r="C334" s="239" t="n"/>
      <c r="D334" s="239" t="n">
        <v>2</v>
      </c>
      <c r="E334" s="239" t="n">
        <v>1</v>
      </c>
      <c r="F334" s="240" t="n"/>
      <c r="G334" s="240" t="n"/>
      <c r="H334" s="259" t="n">
        <v>149000</v>
      </c>
      <c r="I334" s="260" t="n">
        <v>149000</v>
      </c>
      <c r="J334" s="260" t="n"/>
      <c r="K334" s="233" t="n"/>
      <c r="L334" s="233">
        <f>IF(K334&lt;&gt;"",44000+K334,44000)</f>
        <v/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VIANDAS JORGE</t>
        </is>
      </c>
      <c r="C335" s="229" t="n">
        <v>1</v>
      </c>
      <c r="D335" s="229" t="n"/>
      <c r="E335" s="229" t="n"/>
      <c r="F335" s="230" t="n"/>
      <c r="G335" s="230" t="n"/>
      <c r="H335" s="257" t="n">
        <v>22000</v>
      </c>
      <c r="I335" s="258" t="n">
        <v>22000</v>
      </c>
      <c r="J335" s="258" t="n"/>
      <c r="K335" s="233" t="n"/>
      <c r="L335" s="233">
        <f>IF(K335&lt;&gt;"",7000+K335,7000)</f>
        <v/>
      </c>
      <c r="M335" s="156" t="n"/>
      <c r="N335" s="156" t="n"/>
      <c r="O335" s="156" t="n"/>
    </row>
    <row r="336" ht="18.75" customHeight="1" s="153">
      <c r="A336" s="237" t="n"/>
      <c r="B336" s="238" t="inlineStr">
        <is>
          <t>ESPORA 3421</t>
        </is>
      </c>
      <c r="C336" s="239" t="n">
        <v>1</v>
      </c>
      <c r="D336" s="239" t="n"/>
      <c r="E336" s="239" t="n"/>
      <c r="F336" s="240" t="n"/>
      <c r="G336" s="240" t="n"/>
      <c r="H336" s="259" t="n">
        <v>26000</v>
      </c>
      <c r="I336" s="260" t="n">
        <v>26000</v>
      </c>
      <c r="J336" s="260" t="n"/>
      <c r="K336" s="233" t="n"/>
      <c r="L336" s="233">
        <f>IF(K336&lt;&gt;"",11000+K336,11000)</f>
        <v/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BAGUETT</t>
        </is>
      </c>
      <c r="C337" s="229" t="n"/>
      <c r="D337" s="229" t="n"/>
      <c r="E337" s="229" t="n">
        <v>1</v>
      </c>
      <c r="F337" s="230" t="n"/>
      <c r="G337" s="230" t="n"/>
      <c r="H337" s="257" t="n">
        <v>75000</v>
      </c>
      <c r="I337" s="258" t="n"/>
      <c r="J337" s="258" t="n">
        <v>75000</v>
      </c>
      <c r="K337" s="233" t="n"/>
      <c r="L337" s="233">
        <f>IF(K337&lt;&gt;"",15000+K337,15000)</f>
        <v/>
      </c>
      <c r="M337" s="156" t="n"/>
      <c r="N337" s="156" t="n"/>
      <c r="O337" s="156" t="n"/>
    </row>
    <row r="338" ht="18.75" customHeight="1" s="153">
      <c r="A338" s="237" t="n"/>
      <c r="B338" s="238" t="inlineStr">
        <is>
          <t>CHICLANA 7325</t>
        </is>
      </c>
      <c r="C338" s="239" t="n">
        <v>1</v>
      </c>
      <c r="D338" s="239" t="n"/>
      <c r="E338" s="239" t="n"/>
      <c r="F338" s="240" t="n"/>
      <c r="G338" s="240" t="n"/>
      <c r="H338" s="259" t="n">
        <v>19000</v>
      </c>
      <c r="I338" s="260" t="n"/>
      <c r="J338" s="260" t="n">
        <v>19000</v>
      </c>
      <c r="K338" s="233" t="n"/>
      <c r="L338" s="233">
        <f>IF(K338&lt;&gt;"",4000+K338,4000)</f>
        <v/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GENERAL LOPEZ 2614 LOS PRIMOS</t>
        </is>
      </c>
      <c r="C339" s="229" t="n">
        <v>3</v>
      </c>
      <c r="D339" s="229" t="n"/>
      <c r="E339" s="229" t="n"/>
      <c r="F339" s="230" t="n"/>
      <c r="G339" s="230" t="n"/>
      <c r="H339" s="257" t="n">
        <v>81000</v>
      </c>
      <c r="I339" s="258" t="n">
        <v>81000</v>
      </c>
      <c r="J339" s="258" t="n"/>
      <c r="K339" s="233" t="n"/>
      <c r="L339" s="233">
        <f>IF(K339&lt;&gt;"",36000+K339,36000)</f>
        <v/>
      </c>
      <c r="M339" s="156" t="n"/>
      <c r="N339" s="156" t="n"/>
      <c r="O339" s="156" t="n"/>
    </row>
    <row r="340" ht="18.75" customHeight="1" s="153">
      <c r="A340" s="237" t="n"/>
      <c r="B340" s="238" t="inlineStr">
        <is>
          <t>AZCUENAGA 6551</t>
        </is>
      </c>
      <c r="C340" s="239" t="n">
        <v>4</v>
      </c>
      <c r="D340" s="239" t="n">
        <v>1</v>
      </c>
      <c r="E340" s="239" t="n"/>
      <c r="F340" s="240" t="n"/>
      <c r="G340" s="240" t="n"/>
      <c r="H340" s="259" t="n">
        <v>102500</v>
      </c>
      <c r="I340" s="260" t="n"/>
      <c r="J340" s="260" t="n">
        <v>102500</v>
      </c>
      <c r="K340" s="233" t="n"/>
      <c r="L340" s="233">
        <f>IF(K340&lt;&gt;"",20000+K340,20000)</f>
        <v/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PASAJE SANTA FE 5893</t>
        </is>
      </c>
      <c r="C341" s="229" t="n"/>
      <c r="D341" s="229" t="n">
        <v>1</v>
      </c>
      <c r="E341" s="229" t="n"/>
      <c r="F341" s="230" t="n"/>
      <c r="G341" s="230" t="n"/>
      <c r="H341" s="257" t="n">
        <v>37500</v>
      </c>
      <c r="I341" s="258" t="n"/>
      <c r="J341" s="258" t="n"/>
      <c r="K341" s="233" t="n"/>
      <c r="L341" s="233">
        <f>IF(K341&lt;&gt;"",15000+K341,15000)</f>
        <v/>
      </c>
      <c r="M341" s="156" t="n"/>
      <c r="N341" s="156" t="n"/>
      <c r="O341" s="156" t="n"/>
    </row>
    <row r="342" ht="18.75" customHeight="1" s="153">
      <c r="A342" s="237" t="n"/>
      <c r="B342" s="238" t="inlineStr">
        <is>
          <t>SANTA CRUZ 6194</t>
        </is>
      </c>
      <c r="C342" s="239" t="n">
        <v>1</v>
      </c>
      <c r="D342" s="239" t="n"/>
      <c r="E342" s="239" t="n"/>
      <c r="F342" s="240" t="n"/>
      <c r="G342" s="240" t="n"/>
      <c r="H342" s="259" t="n">
        <v>26000</v>
      </c>
      <c r="I342" s="260" t="n">
        <v>26000</v>
      </c>
      <c r="J342" s="260" t="n"/>
      <c r="K342" s="233" t="n"/>
      <c r="L342" s="233">
        <f>IF(K342&lt;&gt;"",11000+K342,11000)</f>
        <v/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CAREN</t>
        </is>
      </c>
      <c r="C343" s="229" t="n"/>
      <c r="D343" s="229" t="n"/>
      <c r="E343" s="229" t="n">
        <v>1</v>
      </c>
      <c r="F343" s="230" t="n"/>
      <c r="G343" s="230" t="n"/>
      <c r="H343" s="257" t="n">
        <v>82000</v>
      </c>
      <c r="I343" s="258" t="n"/>
      <c r="J343" s="258" t="n">
        <v>82000</v>
      </c>
      <c r="K343" s="233" t="n"/>
      <c r="L343" s="233">
        <f>IF(K343&lt;&gt;"",22000+K343,22000)</f>
        <v/>
      </c>
      <c r="M343" s="156" t="n"/>
      <c r="N343" s="156" t="n"/>
      <c r="O343" s="156" t="n"/>
    </row>
    <row r="344" ht="18.75" customHeight="1" s="153">
      <c r="A344" s="237" t="n"/>
      <c r="B344" s="238" t="inlineStr">
        <is>
          <t>RIVADAVIA JUNIORS</t>
        </is>
      </c>
      <c r="C344" s="239" t="n">
        <v>3</v>
      </c>
      <c r="D344" s="239" t="n"/>
      <c r="E344" s="239" t="n"/>
      <c r="F344" s="240" t="n"/>
      <c r="G344" s="240" t="n"/>
      <c r="H344" s="259" t="n">
        <v>75000</v>
      </c>
      <c r="I344" s="260" t="n">
        <v>75000</v>
      </c>
      <c r="J344" s="260" t="n"/>
      <c r="K344" s="233" t="n"/>
      <c r="L344" s="233">
        <f>IF(K344&lt;&gt;"",30000+K344,30000)</f>
        <v/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PEDRO DIAZ COLODRERO 1224</t>
        </is>
      </c>
      <c r="C345" s="229" t="n">
        <v>1</v>
      </c>
      <c r="D345" s="229" t="n"/>
      <c r="E345" s="229" t="n"/>
      <c r="F345" s="230" t="n"/>
      <c r="G345" s="230" t="n"/>
      <c r="H345" s="257" t="n">
        <v>26000</v>
      </c>
      <c r="I345" s="258" t="n">
        <v>26000</v>
      </c>
      <c r="J345" s="258" t="n"/>
      <c r="K345" s="233" t="n"/>
      <c r="L345" s="233">
        <f>IF(K345&lt;&gt;"",11000+K345,11000)</f>
        <v/>
      </c>
      <c r="M345" s="156" t="n"/>
      <c r="N345" s="156" t="n"/>
      <c r="O345" s="156" t="n"/>
    </row>
    <row r="346" ht="18.75" customHeight="1" s="153">
      <c r="A346" s="237" t="n"/>
      <c r="B346" s="238" t="inlineStr">
        <is>
          <t>MATEU 4059</t>
        </is>
      </c>
      <c r="C346" s="239" t="n"/>
      <c r="D346" s="239" t="n">
        <v>1</v>
      </c>
      <c r="E346" s="239" t="n"/>
      <c r="F346" s="240" t="n"/>
      <c r="G346" s="240" t="n"/>
      <c r="H346" s="259" t="n">
        <v>32500</v>
      </c>
      <c r="I346" s="260" t="n">
        <v>32500</v>
      </c>
      <c r="J346" s="260" t="n"/>
      <c r="K346" s="233" t="n"/>
      <c r="L346" s="233">
        <f>IF(K346&lt;&gt;"",10000+K346,10000)</f>
        <v/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TROPPO</t>
        </is>
      </c>
      <c r="C347" s="229" t="n">
        <v>3</v>
      </c>
      <c r="D347" s="229" t="n"/>
      <c r="E347" s="229" t="n"/>
      <c r="F347" s="230" t="n"/>
      <c r="G347" s="230" t="n"/>
      <c r="H347" s="257" t="n">
        <v>75000</v>
      </c>
      <c r="I347" s="258" t="n">
        <v>75000</v>
      </c>
      <c r="J347" s="258" t="n"/>
      <c r="K347" s="233" t="n"/>
      <c r="L347" s="233">
        <f>IF(K347&lt;&gt;"",30000+K347,30000)</f>
        <v/>
      </c>
      <c r="M347" s="156" t="n"/>
      <c r="N347" s="156" t="n"/>
      <c r="O347" s="156" t="n"/>
    </row>
    <row r="348" ht="18.75" customHeight="1" s="153">
      <c r="A348" s="237" t="n"/>
      <c r="B348" s="238" t="inlineStr">
        <is>
          <t>9 DE JULIO 1144</t>
        </is>
      </c>
      <c r="C348" s="239" t="n"/>
      <c r="D348" s="239" t="n"/>
      <c r="E348" s="239" t="n">
        <v>2</v>
      </c>
      <c r="F348" s="240" t="n"/>
      <c r="G348" s="240" t="n"/>
      <c r="H348" s="259" t="n">
        <v>180000</v>
      </c>
      <c r="I348" s="260" t="n"/>
      <c r="J348" s="260" t="n">
        <v>180000</v>
      </c>
      <c r="K348" s="233" t="n"/>
      <c r="L348" s="233">
        <f>IF(K348&lt;&gt;"",60000+K348,60000)</f>
        <v/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RUPERTO GODOT 1179</t>
        </is>
      </c>
      <c r="C349" s="229" t="n">
        <v>1</v>
      </c>
      <c r="D349" s="229" t="n"/>
      <c r="E349" s="229" t="n"/>
      <c r="F349" s="230" t="n"/>
      <c r="G349" s="230" t="n"/>
      <c r="H349" s="257" t="n">
        <v>25000</v>
      </c>
      <c r="I349" s="258" t="n">
        <v>25000</v>
      </c>
      <c r="J349" s="258" t="n"/>
      <c r="K349" s="233" t="n"/>
      <c r="L349" s="233">
        <f>IF(K349&lt;&gt;"",10000+K349,10000)</f>
        <v/>
      </c>
      <c r="M349" s="156" t="n"/>
      <c r="N349" s="156" t="n"/>
      <c r="O349" s="156" t="n"/>
    </row>
    <row r="350" ht="18.75" customHeight="1" s="153">
      <c r="A350" s="237" t="n"/>
      <c r="B350" s="238" t="inlineStr">
        <is>
          <t>ROTI VIEYTES</t>
        </is>
      </c>
      <c r="C350" s="239" t="n"/>
      <c r="D350" s="239" t="n">
        <v>2</v>
      </c>
      <c r="E350" s="239" t="n"/>
      <c r="F350" s="240" t="n"/>
      <c r="G350" s="240" t="n"/>
      <c r="H350" s="259" t="n">
        <v>61000</v>
      </c>
      <c r="I350" s="260" t="n"/>
      <c r="J350" s="260" t="n">
        <v>61000</v>
      </c>
      <c r="K350" s="233" t="n"/>
      <c r="L350" s="233">
        <f>IF(K350&lt;&gt;"",16000+K350,16000)</f>
        <v/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FRANCIA 1864</t>
        </is>
      </c>
      <c r="C351" s="229" t="n"/>
      <c r="D351" s="229" t="n"/>
      <c r="E351" s="229" t="n">
        <v>1</v>
      </c>
      <c r="F351" s="230" t="n"/>
      <c r="G351" s="230" t="n"/>
      <c r="H351" s="257" t="n">
        <v>86000</v>
      </c>
      <c r="I351" s="258" t="n">
        <v>86000</v>
      </c>
      <c r="J351" s="258" t="n"/>
      <c r="K351" s="233" t="n"/>
      <c r="L351" s="233">
        <f>IF(K351&lt;&gt;"",26000+K351,26000)</f>
        <v/>
      </c>
      <c r="M351" s="156" t="n"/>
      <c r="N351" s="156" t="n"/>
      <c r="O351" s="156" t="n"/>
    </row>
    <row r="352" ht="18.75" customHeight="1" s="153">
      <c r="A352" s="237" t="n"/>
      <c r="B352" s="238" t="inlineStr">
        <is>
          <t>BRASERIA</t>
        </is>
      </c>
      <c r="C352" s="239" t="n"/>
      <c r="D352" s="239" t="n"/>
      <c r="E352" s="239" t="n">
        <v>1</v>
      </c>
      <c r="F352" s="240" t="n"/>
      <c r="G352" s="240" t="n"/>
      <c r="H352" s="259" t="n">
        <v>83000</v>
      </c>
      <c r="I352" s="260" t="n"/>
      <c r="J352" s="260" t="n">
        <v>83000</v>
      </c>
      <c r="K352" s="233" t="n"/>
      <c r="L352" s="233">
        <f>IF(K352&lt;&gt;"",23000+K352,23000)</f>
        <v/>
      </c>
      <c r="M352" s="156" t="n"/>
      <c r="N352" s="156" t="n"/>
      <c r="O352" s="156" t="n"/>
    </row>
    <row r="353" ht="18.75" customHeight="1" s="153">
      <c r="A353" s="227" t="n">
        <v>46137</v>
      </c>
      <c r="B353" s="228" t="inlineStr">
        <is>
          <t>SANDRA</t>
        </is>
      </c>
      <c r="C353" s="229" t="n">
        <v>1</v>
      </c>
      <c r="D353" s="229" t="n"/>
      <c r="E353" s="229" t="n"/>
      <c r="F353" s="230" t="n"/>
      <c r="G353" s="230" t="n"/>
      <c r="H353" s="257" t="n">
        <v>19000</v>
      </c>
      <c r="I353" s="258" t="n">
        <v>19000</v>
      </c>
      <c r="J353" s="258" t="n"/>
      <c r="K353" s="233" t="n"/>
      <c r="L353" s="233">
        <f>IF(K353&lt;&gt;"",4000+K353,4000)</f>
        <v/>
      </c>
      <c r="M353" s="156" t="n"/>
      <c r="N353" s="156" t="n"/>
      <c r="O353" s="156" t="n"/>
    </row>
    <row r="354" ht="18.75" customHeight="1" s="153">
      <c r="A354" s="237" t="n"/>
      <c r="B354" s="238" t="inlineStr">
        <is>
          <t>SUPER SERATO</t>
        </is>
      </c>
      <c r="C354" s="239" t="n"/>
      <c r="D354" s="239" t="n"/>
      <c r="E354" s="239" t="n">
        <v>1</v>
      </c>
      <c r="F354" s="240" t="n"/>
      <c r="G354" s="240" t="n"/>
      <c r="H354" s="259" t="n">
        <v>90000</v>
      </c>
      <c r="I354" s="260" t="n"/>
      <c r="J354" s="260" t="n">
        <v>90000</v>
      </c>
      <c r="K354" s="233" t="n"/>
      <c r="L354" s="233">
        <f>IF(K354&lt;&gt;"",30000+K354,30000)</f>
        <v/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ABUELA LUCAS</t>
        </is>
      </c>
      <c r="C355" s="229" t="n">
        <v>1</v>
      </c>
      <c r="D355" s="229" t="n"/>
      <c r="E355" s="229" t="n"/>
      <c r="F355" s="230" t="n"/>
      <c r="G355" s="230" t="n"/>
      <c r="H355" s="257" t="n">
        <v>25000</v>
      </c>
      <c r="I355" s="258" t="n">
        <v>25000</v>
      </c>
      <c r="J355" s="258" t="n"/>
      <c r="K355" s="233" t="n"/>
      <c r="L355" s="233">
        <f>IF(K355&lt;&gt;"",10000+K355,10000)</f>
        <v/>
      </c>
      <c r="M355" s="156" t="n"/>
      <c r="N355" s="156" t="n"/>
      <c r="O355" s="156" t="n"/>
    </row>
    <row r="356" ht="15.75" customHeight="1" s="153">
      <c r="A356" s="237" t="n"/>
      <c r="B356" s="238" t="inlineStr">
        <is>
          <t>PARRI BLAS PARERA</t>
        </is>
      </c>
      <c r="C356" s="239" t="n">
        <v>1</v>
      </c>
      <c r="D356" s="239" t="n"/>
      <c r="E356" s="239" t="n"/>
      <c r="F356" s="240" t="n"/>
      <c r="G356" s="240" t="n"/>
      <c r="H356" s="259" t="n">
        <v>23000</v>
      </c>
      <c r="I356" s="260" t="n"/>
      <c r="J356" s="260" t="n">
        <v>23000</v>
      </c>
      <c r="K356" s="233" t="n"/>
      <c r="L356" s="233">
        <f>IF(K356&lt;&gt;"",8000+K356,8000)</f>
        <v/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LOLI</t>
        </is>
      </c>
      <c r="C357" s="229" t="n">
        <v>1</v>
      </c>
      <c r="D357" s="229" t="n"/>
      <c r="E357" s="229" t="n"/>
      <c r="F357" s="230" t="n">
        <v>4</v>
      </c>
      <c r="G357" s="230" t="n"/>
      <c r="H357" s="257" t="n">
        <v>50000</v>
      </c>
      <c r="I357" s="258" t="n">
        <v>50000</v>
      </c>
      <c r="J357" s="258" t="n"/>
      <c r="K357" s="233" t="n"/>
      <c r="L357" s="233">
        <f>IF(K357&lt;&gt;"",25800+K357,25800)</f>
        <v/>
      </c>
      <c r="M357" s="156" t="n"/>
      <c r="N357" s="156" t="n"/>
      <c r="O357" s="156" t="n"/>
    </row>
    <row r="358" ht="15.75" customHeight="1" s="153">
      <c r="A358" s="237" t="n"/>
      <c r="B358" s="238" t="inlineStr">
        <is>
          <t>CINDI</t>
        </is>
      </c>
      <c r="C358" s="239" t="n"/>
      <c r="D358" s="239" t="n"/>
      <c r="E358" s="239" t="n"/>
      <c r="F358" s="240" t="n">
        <v>2</v>
      </c>
      <c r="G358" s="240" t="n"/>
      <c r="H358" s="259" t="n">
        <v>7000</v>
      </c>
      <c r="I358" s="260" t="n">
        <v>7000</v>
      </c>
      <c r="J358" s="260" t="n"/>
      <c r="K358" s="233" t="n"/>
      <c r="L358" s="233">
        <f>IF(K358&lt;&gt;"",2400+K358,2400)</f>
        <v/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LUCHO</t>
        </is>
      </c>
      <c r="C359" s="229" t="n">
        <v>2</v>
      </c>
      <c r="D359" s="229" t="n"/>
      <c r="E359" s="229" t="n"/>
      <c r="F359" s="230" t="n"/>
      <c r="G359" s="230" t="n"/>
      <c r="H359" s="257" t="n">
        <v>38000</v>
      </c>
      <c r="I359" s="258" t="n">
        <v>38000</v>
      </c>
      <c r="J359" s="258" t="n"/>
      <c r="K359" s="233" t="n"/>
      <c r="L359" s="233">
        <f>IF(K359&lt;&gt;"",8000+K359,8000)</f>
        <v/>
      </c>
      <c r="M359" s="156" t="n"/>
      <c r="N359" s="156" t="n"/>
      <c r="O359" s="156" t="n"/>
    </row>
    <row r="360" ht="15.75" customHeight="1" s="153">
      <c r="A360" s="237" t="n"/>
      <c r="B360" s="238" t="inlineStr">
        <is>
          <t>DAMIANOVICH 3190</t>
        </is>
      </c>
      <c r="C360" s="239" t="n"/>
      <c r="D360" s="239" t="n">
        <v>1</v>
      </c>
      <c r="E360" s="239" t="n"/>
      <c r="F360" s="240" t="n"/>
      <c r="G360" s="240" t="n"/>
      <c r="H360" s="259" t="n">
        <v>38500</v>
      </c>
      <c r="I360" s="260" t="n">
        <v>38500</v>
      </c>
      <c r="J360" s="260" t="n"/>
      <c r="K360" s="233" t="n"/>
      <c r="L360" s="233">
        <f>IF(K360&lt;&gt;"",16000+K360,16000)</f>
        <v/>
      </c>
      <c r="M360" s="156" t="n"/>
      <c r="N360" s="156" t="n"/>
      <c r="O360" s="156" t="n"/>
    </row>
    <row r="361" ht="15.75" customHeight="1" s="153">
      <c r="A361" s="227" t="n"/>
      <c r="B361" s="228" t="inlineStr">
        <is>
          <t>SANTA BAR 1 MAYO 1959</t>
        </is>
      </c>
      <c r="C361" s="229" t="n"/>
      <c r="D361" s="229" t="n"/>
      <c r="E361" s="229" t="n">
        <v>1</v>
      </c>
      <c r="F361" s="230" t="n"/>
      <c r="G361" s="230" t="n"/>
      <c r="H361" s="257" t="n">
        <v>85000</v>
      </c>
      <c r="I361" s="258" t="n"/>
      <c r="J361" s="258" t="n">
        <v>85000</v>
      </c>
      <c r="K361" s="233" t="n"/>
      <c r="L361" s="233">
        <f>IF(K361&lt;&gt;"",25000+K361,25000)</f>
        <v/>
      </c>
      <c r="M361" s="156" t="n"/>
      <c r="N361" s="156" t="n"/>
      <c r="O361" s="156" t="n"/>
    </row>
    <row r="362" ht="15.75" customHeight="1" s="153">
      <c r="A362" s="237" t="n"/>
      <c r="B362" s="238" t="inlineStr">
        <is>
          <t>PANA BERUTI 3850</t>
        </is>
      </c>
      <c r="C362" s="239" t="n">
        <v>1</v>
      </c>
      <c r="D362" s="239" t="n"/>
      <c r="E362" s="239" t="n">
        <v>1</v>
      </c>
      <c r="F362" s="240" t="n"/>
      <c r="G362" s="240" t="n"/>
      <c r="H362" s="259" t="n">
        <v>99000</v>
      </c>
      <c r="I362" s="260" t="n">
        <v>99000</v>
      </c>
      <c r="J362" s="260" t="n"/>
      <c r="K362" s="233" t="n"/>
      <c r="L362" s="233">
        <f>IF(K362&lt;&gt;"",24000+K362,24000)</f>
        <v/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FILOMENA</t>
        </is>
      </c>
      <c r="C363" s="229" t="n">
        <v>2</v>
      </c>
      <c r="D363" s="229" t="n"/>
      <c r="E363" s="229" t="n"/>
      <c r="F363" s="230" t="n"/>
      <c r="G363" s="230" t="n"/>
      <c r="H363" s="257" t="n">
        <v>41000</v>
      </c>
      <c r="I363" s="258" t="n"/>
      <c r="J363" s="258" t="n">
        <v>41000</v>
      </c>
      <c r="K363" s="233" t="n"/>
      <c r="L363" s="233">
        <f>IF(K363&lt;&gt;"",11000+K363,11000)</f>
        <v/>
      </c>
      <c r="M363" s="156" t="n"/>
      <c r="N363" s="156" t="n"/>
      <c r="O363" s="156" t="n"/>
    </row>
    <row r="364" ht="15.75" customHeight="1" s="153">
      <c r="A364" s="237" t="n">
        <v>46138</v>
      </c>
      <c r="B364" s="238" t="inlineStr">
        <is>
          <t>MITRE 4241</t>
        </is>
      </c>
      <c r="C364" s="239" t="n"/>
      <c r="D364" s="239" t="n"/>
      <c r="E364" s="239" t="n">
        <v>1</v>
      </c>
      <c r="F364" s="240" t="n"/>
      <c r="G364" s="240" t="n"/>
      <c r="H364" s="259" t="n">
        <v>86000</v>
      </c>
      <c r="I364" s="260" t="n">
        <v>86000</v>
      </c>
      <c r="J364" s="260" t="n"/>
      <c r="K364" s="233" t="n"/>
      <c r="L364" s="233">
        <f>IF(K364&lt;&gt;"",26000+K364,26000)</f>
        <v/>
      </c>
      <c r="M364" s="156" t="n"/>
      <c r="N364" s="156" t="n"/>
      <c r="O364" s="156" t="n"/>
    </row>
    <row r="365" ht="15.75" customHeight="1" s="153">
      <c r="A365" s="227" t="n"/>
      <c r="B365" s="228" t="inlineStr">
        <is>
          <t>PORKI</t>
        </is>
      </c>
      <c r="C365" s="229" t="n">
        <v>1</v>
      </c>
      <c r="D365" s="229" t="n"/>
      <c r="E365" s="229" t="n"/>
      <c r="F365" s="230" t="n"/>
      <c r="G365" s="230" t="n"/>
      <c r="H365" s="257" t="n">
        <v>23000</v>
      </c>
      <c r="I365" s="258" t="n"/>
      <c r="J365" s="258" t="n">
        <v>23000</v>
      </c>
      <c r="K365" s="233" t="n"/>
      <c r="L365" s="233">
        <f>IF(K365&lt;&gt;"",8000+K365,8000)</f>
        <v/>
      </c>
      <c r="M365" s="156" t="n"/>
      <c r="N365" s="156" t="n"/>
      <c r="O365" s="156" t="n"/>
    </row>
    <row r="366" ht="15.75" customHeight="1" s="153">
      <c r="A366" s="237" t="n"/>
      <c r="B366" s="238" t="inlineStr">
        <is>
          <t>ARISTOBULO 5119</t>
        </is>
      </c>
      <c r="C366" s="239" t="n"/>
      <c r="D366" s="239" t="n"/>
      <c r="E366" s="239" t="n">
        <v>1</v>
      </c>
      <c r="F366" s="240" t="n"/>
      <c r="G366" s="240" t="n"/>
      <c r="H366" s="259" t="n">
        <v>85000</v>
      </c>
      <c r="I366" s="260" t="n"/>
      <c r="J366" s="260" t="n">
        <v>85000</v>
      </c>
      <c r="K366" s="233" t="n"/>
      <c r="L366" s="233">
        <f>IF(K366&lt;&gt;"",25000+K366,25000)</f>
        <v/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CONDOMINIO MIRLOS RINCON</t>
        </is>
      </c>
      <c r="C367" s="229" t="n">
        <v>3</v>
      </c>
      <c r="D367" s="229" t="n"/>
      <c r="E367" s="229" t="n"/>
      <c r="F367" s="230" t="n"/>
      <c r="G367" s="230" t="n"/>
      <c r="H367" s="257" t="n">
        <v>78000</v>
      </c>
      <c r="I367" s="258" t="n"/>
      <c r="J367" s="258" t="n">
        <v>78000</v>
      </c>
      <c r="K367" s="233" t="n"/>
      <c r="L367" s="233">
        <f>IF(K367&lt;&gt;"",33000+K367,33000)</f>
        <v/>
      </c>
      <c r="M367" s="156" t="n"/>
      <c r="N367" s="156" t="n"/>
      <c r="O367" s="156" t="n"/>
    </row>
    <row r="368" ht="15.75" customHeight="1" s="153">
      <c r="A368" s="237" t="n"/>
      <c r="B368" s="238" t="inlineStr">
        <is>
          <t>DEL SOL Y LUCIERNAGAS</t>
        </is>
      </c>
      <c r="C368" s="239" t="n"/>
      <c r="D368" s="239" t="n"/>
      <c r="E368" s="239" t="n">
        <v>1</v>
      </c>
      <c r="F368" s="240" t="n"/>
      <c r="G368" s="240" t="n"/>
      <c r="H368" s="259" t="n">
        <v>89000</v>
      </c>
      <c r="I368" s="260" t="n"/>
      <c r="J368" s="260" t="n">
        <v>89000</v>
      </c>
      <c r="K368" s="233" t="n"/>
      <c r="L368" s="233">
        <f>IF(K368&lt;&gt;"",29000+K368,29000)</f>
        <v/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DANA</t>
        </is>
      </c>
      <c r="C369" s="229" t="n">
        <v>3</v>
      </c>
      <c r="D369" s="229" t="n"/>
      <c r="E369" s="229" t="n"/>
      <c r="F369" s="230" t="n"/>
      <c r="G369" s="230" t="n"/>
      <c r="H369" s="257" t="n">
        <v>57000</v>
      </c>
      <c r="I369" s="258" t="n">
        <v>57000</v>
      </c>
      <c r="J369" s="258" t="n"/>
      <c r="K369" s="233" t="n"/>
      <c r="L369" s="233">
        <f>IF(K369&lt;&gt;"",12000+K369,12000)</f>
        <v/>
      </c>
      <c r="M369" s="156" t="n"/>
      <c r="N369" s="156" t="n"/>
      <c r="O369" s="156" t="n"/>
    </row>
    <row r="370" ht="15.75" customHeight="1" s="153">
      <c r="A370" s="237" t="n"/>
      <c r="B370" s="238" t="inlineStr">
        <is>
          <t>MILENIO DE POLONIA 2819</t>
        </is>
      </c>
      <c r="C370" s="239" t="n">
        <v>2</v>
      </c>
      <c r="D370" s="239" t="n"/>
      <c r="E370" s="239" t="n"/>
      <c r="F370" s="240" t="n"/>
      <c r="G370" s="240" t="n"/>
      <c r="H370" s="259" t="n">
        <v>54000</v>
      </c>
      <c r="I370" s="260" t="n">
        <v>54000</v>
      </c>
      <c r="J370" s="260" t="n"/>
      <c r="K370" s="233" t="n"/>
      <c r="L370" s="233">
        <f>IF(K370&lt;&gt;"",24000+K370,24000)</f>
        <v/>
      </c>
      <c r="M370" s="156" t="n"/>
      <c r="N370" s="156" t="n"/>
      <c r="O370" s="156" t="n"/>
    </row>
    <row r="371" ht="15.75" customHeight="1" s="153">
      <c r="A371" s="227" t="n">
        <v>46139</v>
      </c>
      <c r="B371" s="228" t="inlineStr">
        <is>
          <t>PALLARES 8200 CASA 104</t>
        </is>
      </c>
      <c r="C371" s="229" t="n"/>
      <c r="D371" s="229" t="n"/>
      <c r="E371" s="229" t="n">
        <v>1</v>
      </c>
      <c r="F371" s="230" t="n"/>
      <c r="G371" s="230" t="n"/>
      <c r="H371" s="257" t="n">
        <v>90000</v>
      </c>
      <c r="I371" s="258" t="n"/>
      <c r="J371" s="258" t="n">
        <v>90000</v>
      </c>
      <c r="K371" s="233" t="n"/>
      <c r="L371" s="233">
        <f>IF(K371&lt;&gt;"",30000+K371,30000)</f>
        <v/>
      </c>
      <c r="M371" s="156" t="n"/>
      <c r="N371" s="156" t="n"/>
      <c r="O371" s="156" t="n"/>
    </row>
    <row r="372" ht="15.75" customHeight="1" s="153">
      <c r="A372" s="237" t="n"/>
      <c r="B372" s="238" t="inlineStr">
        <is>
          <t>FACUNDO ZUVIRIA 4041</t>
        </is>
      </c>
      <c r="C372" s="239" t="n">
        <v>1</v>
      </c>
      <c r="D372" s="239" t="n"/>
      <c r="E372" s="239" t="n"/>
      <c r="F372" s="240" t="n"/>
      <c r="G372" s="240" t="n"/>
      <c r="H372" s="259" t="n">
        <v>26000</v>
      </c>
      <c r="I372" s="260" t="n"/>
      <c r="J372" s="260" t="n">
        <v>26000</v>
      </c>
      <c r="K372" s="233" t="n"/>
      <c r="L372" s="233">
        <f>IF(K372&lt;&gt;"",11000+K372,11000)</f>
        <v/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ACACIAS 10301</t>
        </is>
      </c>
      <c r="C373" s="229" t="n"/>
      <c r="D373" s="229" t="n"/>
      <c r="E373" s="229" t="n">
        <v>1</v>
      </c>
      <c r="F373" s="230" t="n"/>
      <c r="G373" s="230" t="n"/>
      <c r="H373" s="257" t="n">
        <v>86000</v>
      </c>
      <c r="I373" s="258" t="n">
        <v>86000</v>
      </c>
      <c r="J373" s="258" t="n"/>
      <c r="K373" s="233" t="n"/>
      <c r="L373" s="233">
        <f>IF(K373&lt;&gt;"",26000+K373,26000)</f>
        <v/>
      </c>
      <c r="M373" s="156" t="n"/>
      <c r="N373" s="156" t="n"/>
      <c r="O373" s="156" t="n"/>
    </row>
    <row r="374" ht="15.75" customHeight="1" s="153">
      <c r="A374" s="237" t="n"/>
      <c r="B374" s="238" t="inlineStr">
        <is>
          <t>SAN MARTIN 8400 LULI</t>
        </is>
      </c>
      <c r="C374" s="239" t="n"/>
      <c r="D374" s="239" t="n"/>
      <c r="E374" s="239" t="n">
        <v>1</v>
      </c>
      <c r="F374" s="240" t="n"/>
      <c r="G374" s="240" t="n"/>
      <c r="H374" s="259" t="n">
        <v>86000</v>
      </c>
      <c r="I374" s="260" t="n"/>
      <c r="J374" s="260" t="n">
        <v>86000</v>
      </c>
      <c r="K374" s="233" t="n"/>
      <c r="L374" s="233">
        <f>IF(K374&lt;&gt;"",26000+K374,26000)</f>
        <v/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BRASERIA</t>
        </is>
      </c>
      <c r="C375" s="229" t="n"/>
      <c r="D375" s="229" t="n"/>
      <c r="E375" s="229" t="n">
        <v>1</v>
      </c>
      <c r="F375" s="230" t="n"/>
      <c r="G375" s="230" t="n"/>
      <c r="H375" s="257" t="n">
        <v>83000</v>
      </c>
      <c r="I375" s="258" t="n"/>
      <c r="J375" s="258" t="n">
        <v>83000</v>
      </c>
      <c r="K375" s="233" t="n"/>
      <c r="L375" s="233">
        <f>IF(K375&lt;&gt;"",23000+K375,23000)</f>
        <v/>
      </c>
      <c r="M375" s="156" t="n"/>
      <c r="N375" s="156" t="n"/>
      <c r="O375" s="156" t="n"/>
    </row>
    <row r="376" ht="15.75" customHeight="1" s="153">
      <c r="A376" s="237" t="n"/>
      <c r="B376" s="238" t="inlineStr">
        <is>
          <t>BLAS PARERA 7162</t>
        </is>
      </c>
      <c r="C376" s="239" t="n"/>
      <c r="D376" s="239" t="n">
        <v>1</v>
      </c>
      <c r="E376" s="239" t="n"/>
      <c r="F376" s="240" t="n"/>
      <c r="G376" s="240" t="n"/>
      <c r="H376" s="259" t="n">
        <v>34500</v>
      </c>
      <c r="I376" s="260" t="n"/>
      <c r="J376" s="260" t="n">
        <v>34500</v>
      </c>
      <c r="K376" s="233" t="n"/>
      <c r="L376" s="233">
        <f>IF(K376&lt;&gt;"",12000+K376,12000)</f>
        <v/>
      </c>
      <c r="M376" s="156" t="n"/>
      <c r="N376" s="156" t="n"/>
      <c r="O376" s="156" t="n"/>
    </row>
    <row r="377" ht="15.75" customHeight="1" s="153">
      <c r="A377" s="227" t="n"/>
      <c r="B377" s="228" t="inlineStr">
        <is>
          <t>GENERAL PAZ 7826</t>
        </is>
      </c>
      <c r="C377" s="229" t="n"/>
      <c r="D377" s="229" t="n"/>
      <c r="E377" s="229" t="n">
        <v>1</v>
      </c>
      <c r="F377" s="230" t="n"/>
      <c r="G377" s="230" t="n"/>
      <c r="H377" s="257" t="n">
        <v>85000</v>
      </c>
      <c r="I377" s="258" t="n"/>
      <c r="J377" s="258" t="n">
        <v>85000</v>
      </c>
      <c r="K377" s="233" t="n"/>
      <c r="L377" s="233">
        <f>IF(K377&lt;&gt;"",25000+K377,25000)</f>
        <v/>
      </c>
      <c r="M377" s="156" t="n"/>
      <c r="N377" s="156" t="n"/>
      <c r="O377" s="156" t="n"/>
    </row>
    <row r="378" ht="15.75" customHeight="1" s="153">
      <c r="A378" s="237" t="n"/>
      <c r="B378" s="238" t="inlineStr">
        <is>
          <t>AZCUENAGA 5023</t>
        </is>
      </c>
      <c r="C378" s="239" t="n">
        <v>5</v>
      </c>
      <c r="D378" s="239" t="n">
        <v>1</v>
      </c>
      <c r="E378" s="239" t="n"/>
      <c r="F378" s="240" t="n"/>
      <c r="G378" s="240" t="n"/>
      <c r="H378" s="259" t="n">
        <v>123500</v>
      </c>
      <c r="I378" s="260" t="n"/>
      <c r="J378" s="260" t="n">
        <v>123500</v>
      </c>
      <c r="K378" s="233" t="n"/>
      <c r="L378" s="233">
        <f>IF(K378&lt;&gt;"",26000+K378,26000)</f>
        <v/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CARRASCO 9330</t>
        </is>
      </c>
      <c r="C379" s="229" t="n">
        <v>1</v>
      </c>
      <c r="D379" s="229" t="n"/>
      <c r="E379" s="229" t="n"/>
      <c r="F379" s="230" t="n"/>
      <c r="G379" s="230" t="n"/>
      <c r="H379" s="257" t="n">
        <v>25000</v>
      </c>
      <c r="I379" s="258" t="n">
        <v>25000</v>
      </c>
      <c r="J379" s="258" t="n"/>
      <c r="K379" s="233" t="n"/>
      <c r="L379" s="233">
        <f>IF(K379&lt;&gt;"",10000+K379,10000)</f>
        <v/>
      </c>
      <c r="M379" s="156" t="n"/>
      <c r="N379" s="156" t="n"/>
      <c r="O379" s="156" t="n"/>
    </row>
    <row r="380" ht="15.75" customHeight="1" s="153">
      <c r="A380" s="237" t="n"/>
      <c r="B380" s="238" t="inlineStr">
        <is>
          <t>BRAZIL 4871</t>
        </is>
      </c>
      <c r="C380" s="239" t="n">
        <v>1</v>
      </c>
      <c r="D380" s="239" t="n"/>
      <c r="E380" s="239" t="n"/>
      <c r="F380" s="240" t="n"/>
      <c r="G380" s="240" t="n"/>
      <c r="H380" s="259" t="n">
        <v>26000</v>
      </c>
      <c r="I380" s="260" t="n"/>
      <c r="J380" s="260" t="n">
        <v>26000</v>
      </c>
      <c r="K380" s="233" t="n"/>
      <c r="L380" s="233">
        <f>IF(K380&lt;&gt;"",11000+K380,11000)</f>
        <v/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BONEO 5564</t>
        </is>
      </c>
      <c r="C381" s="229" t="n"/>
      <c r="D381" s="229" t="n"/>
      <c r="E381" s="229" t="n">
        <v>1</v>
      </c>
      <c r="F381" s="230" t="n"/>
      <c r="G381" s="230" t="n"/>
      <c r="H381" s="257" t="n">
        <v>90000</v>
      </c>
      <c r="I381" s="258" t="n">
        <v>90000</v>
      </c>
      <c r="J381" s="258" t="n"/>
      <c r="K381" s="233" t="n"/>
      <c r="L381" s="233">
        <f>IF(K381&lt;&gt;"",30000+K381,30000)</f>
        <v/>
      </c>
      <c r="M381" s="156" t="n"/>
      <c r="N381" s="156" t="n"/>
      <c r="O381" s="156" t="n"/>
    </row>
    <row r="382" ht="15.75" customHeight="1" s="153">
      <c r="A382" s="237" t="n"/>
      <c r="B382" s="238" t="inlineStr">
        <is>
          <t>FILOMENA</t>
        </is>
      </c>
      <c r="C382" s="239" t="n">
        <v>2</v>
      </c>
      <c r="D382" s="239" t="n"/>
      <c r="E382" s="239" t="n"/>
      <c r="F382" s="240" t="n"/>
      <c r="G382" s="240" t="n"/>
      <c r="H382" s="259" t="n">
        <v>46000</v>
      </c>
      <c r="I382" s="260" t="n"/>
      <c r="J382" s="260" t="n">
        <v>46000</v>
      </c>
      <c r="K382" s="233" t="n"/>
      <c r="L382" s="233">
        <f>IF(K382&lt;&gt;"",16000+K382,16000)</f>
        <v/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ANGEL</t>
        </is>
      </c>
      <c r="C383" s="229" t="n">
        <v>1</v>
      </c>
      <c r="D383" s="229" t="n"/>
      <c r="E383" s="229" t="n"/>
      <c r="F383" s="230" t="n"/>
      <c r="G383" s="230" t="n"/>
      <c r="H383" s="257" t="n">
        <v>19000</v>
      </c>
      <c r="I383" s="258" t="n">
        <v>19000</v>
      </c>
      <c r="J383" s="258" t="n"/>
      <c r="K383" s="233" t="n"/>
      <c r="L383" s="233">
        <f>IF(K383&lt;&gt;"",4000+K383,4000)</f>
        <v/>
      </c>
      <c r="M383" s="156" t="n"/>
      <c r="N383" s="156" t="n"/>
      <c r="O383" s="156" t="n"/>
    </row>
    <row r="384" ht="15.75" customHeight="1" s="153">
      <c r="A384" s="237" t="n"/>
      <c r="B384" s="238" t="inlineStr">
        <is>
          <t>PAVON 6035</t>
        </is>
      </c>
      <c r="C384" s="239" t="n"/>
      <c r="D384" s="239" t="n">
        <v>1</v>
      </c>
      <c r="E384" s="239" t="n"/>
      <c r="F384" s="240" t="n"/>
      <c r="G384" s="240" t="n"/>
      <c r="H384" s="259" t="n">
        <v>34500</v>
      </c>
      <c r="I384" s="260" t="n">
        <v>34500</v>
      </c>
      <c r="J384" s="260" t="n"/>
      <c r="K384" s="233" t="n"/>
      <c r="L384" s="233">
        <f>IF(K384&lt;&gt;"",12000+K384,12000)</f>
        <v/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YANET</t>
        </is>
      </c>
      <c r="C385" s="229" t="n">
        <v>1</v>
      </c>
      <c r="D385" s="229" t="n"/>
      <c r="E385" s="229" t="n"/>
      <c r="F385" s="230" t="n"/>
      <c r="G385" s="230" t="n"/>
      <c r="H385" s="257" t="n">
        <v>25000</v>
      </c>
      <c r="I385" s="258" t="n">
        <v>25000</v>
      </c>
      <c r="J385" s="258" t="n"/>
      <c r="K385" s="233" t="n"/>
      <c r="L385" s="233">
        <f>IF(K385&lt;&gt;"",10000+K385,10000)</f>
        <v/>
      </c>
      <c r="M385" s="156" t="n"/>
      <c r="N385" s="156" t="n"/>
      <c r="O385" s="156" t="n"/>
    </row>
    <row r="386" ht="15.75" customHeight="1" s="153">
      <c r="A386" s="237" t="n"/>
      <c r="B386" s="238" t="inlineStr">
        <is>
          <t>LUCHO</t>
        </is>
      </c>
      <c r="C386" s="239" t="n">
        <v>2</v>
      </c>
      <c r="D386" s="239" t="n"/>
      <c r="E386" s="239" t="n"/>
      <c r="F386" s="240" t="n"/>
      <c r="G386" s="240" t="n"/>
      <c r="H386" s="259" t="n">
        <v>38000</v>
      </c>
      <c r="I386" s="260" t="n">
        <v>38000</v>
      </c>
      <c r="J386" s="260" t="n"/>
      <c r="K386" s="233" t="n"/>
      <c r="L386" s="233">
        <f>IF(K386&lt;&gt;"",8000+K386,8000)</f>
        <v/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PANA GORRITI 6500</t>
        </is>
      </c>
      <c r="C387" s="229" t="n"/>
      <c r="D387" s="229" t="n"/>
      <c r="E387" s="229" t="n">
        <v>1</v>
      </c>
      <c r="F387" s="230" t="n"/>
      <c r="G387" s="230" t="n"/>
      <c r="H387" s="257" t="n">
        <v>85000</v>
      </c>
      <c r="I387" s="258" t="n"/>
      <c r="J387" s="258" t="n">
        <v>85000</v>
      </c>
      <c r="K387" s="233" t="n"/>
      <c r="L387" s="233">
        <f>IF(K387&lt;&gt;"",25000+K387,25000)</f>
        <v/>
      </c>
      <c r="M387" s="156" t="n"/>
      <c r="N387" s="156" t="n"/>
      <c r="O387" s="156" t="n"/>
    </row>
    <row r="388" ht="15.75" customHeight="1" s="153">
      <c r="A388" s="227" t="n">
        <v>46140</v>
      </c>
      <c r="B388" s="228" t="inlineStr">
        <is>
          <t>DANA</t>
        </is>
      </c>
      <c r="C388" s="229" t="n">
        <v>4</v>
      </c>
      <c r="D388" s="229" t="n"/>
      <c r="E388" s="229" t="n"/>
      <c r="F388" s="230" t="n"/>
      <c r="G388" s="230" t="n"/>
      <c r="H388" s="257" t="n">
        <v>76000</v>
      </c>
      <c r="I388" s="258" t="n"/>
      <c r="J388" s="258" t="n">
        <v>76000</v>
      </c>
      <c r="K388" s="233" t="n"/>
      <c r="L388" s="233">
        <f>IF(K388&lt;&gt;"",16000+K388,16000)</f>
        <v/>
      </c>
      <c r="M388" s="156" t="n"/>
      <c r="N388" s="156" t="n"/>
      <c r="O388" s="156" t="n"/>
    </row>
    <row r="389" ht="15.75" customHeight="1" s="153">
      <c r="A389" s="237" t="n"/>
      <c r="B389" s="238" t="inlineStr">
        <is>
          <t>SAN MARTIN 9308</t>
        </is>
      </c>
      <c r="C389" s="239" t="n"/>
      <c r="D389" s="239" t="n">
        <v>1</v>
      </c>
      <c r="E389" s="239" t="n"/>
      <c r="F389" s="240" t="n"/>
      <c r="G389" s="240" t="n"/>
      <c r="H389" s="259" t="n">
        <v>37500</v>
      </c>
      <c r="I389" s="260" t="n"/>
      <c r="J389" s="260" t="n">
        <v>37500</v>
      </c>
      <c r="K389" s="233" t="n"/>
      <c r="L389" s="233">
        <f>IF(K389&lt;&gt;"",15000+K389,15000)</f>
        <v/>
      </c>
      <c r="M389" s="156" t="n"/>
      <c r="N389" s="156" t="n"/>
      <c r="O389" s="156" t="n"/>
    </row>
    <row r="390" ht="15.75" customHeight="1" s="153">
      <c r="A390" s="227" t="n"/>
      <c r="B390" s="228" t="inlineStr">
        <is>
          <t>DANI PAPA BRUNO</t>
        </is>
      </c>
      <c r="C390" s="229" t="n"/>
      <c r="D390" s="229" t="n">
        <v>1</v>
      </c>
      <c r="E390" s="229" t="n"/>
      <c r="F390" s="230" t="n"/>
      <c r="G390" s="230" t="n"/>
      <c r="H390" s="257" t="n">
        <v>37500</v>
      </c>
      <c r="I390" s="258" t="n"/>
      <c r="J390" s="258" t="n">
        <v>37500</v>
      </c>
      <c r="K390" s="233" t="n"/>
      <c r="L390" s="233">
        <f>IF(K390&lt;&gt;"",15000+K390,15000)</f>
        <v/>
      </c>
      <c r="M390" s="156" t="n"/>
      <c r="N390" s="156" t="n"/>
      <c r="O390" s="156" t="n"/>
    </row>
    <row r="391" ht="15.75" customHeight="1" s="153">
      <c r="A391" s="237" t="n"/>
      <c r="B391" s="238" t="inlineStr">
        <is>
          <t>VIANDAS JORGE</t>
        </is>
      </c>
      <c r="C391" s="239" t="n">
        <v>1</v>
      </c>
      <c r="D391" s="239" t="n"/>
      <c r="E391" s="239" t="n"/>
      <c r="F391" s="240" t="n"/>
      <c r="G391" s="240" t="n"/>
      <c r="H391" s="259" t="n">
        <v>22000</v>
      </c>
      <c r="I391" s="260" t="n">
        <v>22000</v>
      </c>
      <c r="J391" s="260" t="n"/>
      <c r="K391" s="233" t="n"/>
      <c r="L391" s="233">
        <f>IF(K391&lt;&gt;"",7000+K391,7000)</f>
        <v/>
      </c>
      <c r="M391" s="156" t="n"/>
      <c r="N391" s="156" t="n"/>
      <c r="O391" s="156" t="n"/>
    </row>
    <row r="392" ht="15.75" customHeight="1" s="153">
      <c r="A392" s="227" t="n"/>
      <c r="B392" s="228" t="inlineStr">
        <is>
          <t>PANA VIEYTES 3800</t>
        </is>
      </c>
      <c r="C392" s="229" t="n"/>
      <c r="D392" s="229" t="n"/>
      <c r="E392" s="229" t="n">
        <v>1</v>
      </c>
      <c r="F392" s="230" t="n"/>
      <c r="G392" s="230" t="n"/>
      <c r="H392" s="257" t="n">
        <v>82000</v>
      </c>
      <c r="I392" s="258" t="n"/>
      <c r="J392" s="258" t="n">
        <v>82000</v>
      </c>
      <c r="K392" s="233" t="n"/>
      <c r="L392" s="233">
        <f>IF(K392&lt;&gt;"",22000+K392,22000)</f>
        <v/>
      </c>
      <c r="M392" s="156" t="n"/>
      <c r="N392" s="156" t="n"/>
      <c r="O392" s="156" t="n"/>
    </row>
    <row r="393" ht="15.75" customHeight="1" s="153">
      <c r="A393" s="237" t="n"/>
      <c r="B393" s="238" t="inlineStr">
        <is>
          <t>PEDRO CEBALLOS 8134</t>
        </is>
      </c>
      <c r="C393" s="239" t="n">
        <v>3</v>
      </c>
      <c r="D393" s="239" t="n"/>
      <c r="E393" s="239" t="n"/>
      <c r="F393" s="240" t="n"/>
      <c r="G393" s="240" t="n"/>
      <c r="H393" s="259" t="n">
        <v>57000</v>
      </c>
      <c r="I393" s="260" t="n">
        <v>57000</v>
      </c>
      <c r="J393" s="260" t="n"/>
      <c r="K393" s="233" t="n"/>
      <c r="L393" s="233">
        <f>IF(K393&lt;&gt;"",12000+K393,12000)</f>
        <v/>
      </c>
      <c r="M393" s="156" t="n"/>
      <c r="N393" s="156" t="n"/>
      <c r="O393" s="156" t="n"/>
    </row>
    <row r="394" ht="15.75" customHeight="1" s="153">
      <c r="A394" s="227" t="n"/>
      <c r="B394" s="228" t="inlineStr">
        <is>
          <t>PANA COLODRERO 1258</t>
        </is>
      </c>
      <c r="C394" s="229" t="n"/>
      <c r="D394" s="229" t="n"/>
      <c r="E394" s="229" t="n">
        <v>1</v>
      </c>
      <c r="F394" s="230" t="n"/>
      <c r="G394" s="230" t="n"/>
      <c r="H394" s="257" t="n">
        <v>78000</v>
      </c>
      <c r="I394" s="258" t="n"/>
      <c r="J394" s="258" t="n">
        <v>78000</v>
      </c>
      <c r="K394" s="233" t="n"/>
      <c r="L394" s="233">
        <f>IF(K394&lt;&gt;"",18000+K394,18000)</f>
        <v/>
      </c>
      <c r="M394" s="156" t="n"/>
      <c r="N394" s="156" t="n"/>
      <c r="O394" s="156" t="n"/>
    </row>
    <row r="395" ht="15.75" customHeight="1" s="153">
      <c r="A395" s="237" t="n"/>
      <c r="B395" s="238" t="inlineStr">
        <is>
          <t>CHICLANA 7345</t>
        </is>
      </c>
      <c r="C395" s="239" t="n"/>
      <c r="D395" s="239" t="n"/>
      <c r="E395" s="239" t="n">
        <v>1</v>
      </c>
      <c r="F395" s="240" t="n"/>
      <c r="G395" s="240" t="n"/>
      <c r="H395" s="259" t="n">
        <v>90000</v>
      </c>
      <c r="I395" s="260" t="n"/>
      <c r="J395" s="260" t="n">
        <v>90000</v>
      </c>
      <c r="K395" s="233" t="n"/>
      <c r="L395" s="233">
        <f>IF(K395&lt;&gt;"",30000+K395,30000)</f>
        <v/>
      </c>
      <c r="M395" s="156" t="n"/>
      <c r="N395" s="156" t="n"/>
      <c r="O395" s="156" t="n"/>
    </row>
    <row r="396" ht="15.75" customHeight="1" s="153">
      <c r="A396" s="227" t="n"/>
      <c r="B396" s="228" t="inlineStr">
        <is>
          <t>SERBANDO BAYO 7165</t>
        </is>
      </c>
      <c r="C396" s="229" t="n">
        <v>1</v>
      </c>
      <c r="D396" s="229" t="n"/>
      <c r="E396" s="229" t="n"/>
      <c r="F396" s="230" t="n"/>
      <c r="G396" s="230" t="n"/>
      <c r="H396" s="257" t="n">
        <v>25000</v>
      </c>
      <c r="I396" s="258" t="n">
        <v>25000</v>
      </c>
      <c r="J396" s="258" t="n"/>
      <c r="K396" s="233" t="n"/>
      <c r="L396" s="233">
        <f>IF(K396&lt;&gt;"",10000+K396,10000)</f>
        <v/>
      </c>
      <c r="M396" s="156" t="n"/>
      <c r="N396" s="156" t="n"/>
      <c r="O396" s="156" t="n"/>
    </row>
    <row r="397" ht="15.75" customHeight="1" s="153">
      <c r="A397" s="237" t="n"/>
      <c r="B397" s="238" t="inlineStr">
        <is>
          <t>EXE</t>
        </is>
      </c>
      <c r="C397" s="239" t="n"/>
      <c r="D397" s="239" t="n"/>
      <c r="E397" s="239" t="n">
        <v>1</v>
      </c>
      <c r="F397" s="240" t="n"/>
      <c r="G397" s="240" t="n"/>
      <c r="H397" s="259" t="n">
        <v>82000</v>
      </c>
      <c r="I397" s="260" t="n"/>
      <c r="J397" s="260" t="n">
        <v>82000</v>
      </c>
      <c r="K397" s="233" t="n"/>
      <c r="L397" s="233">
        <f>IF(K397&lt;&gt;"",22000+K397,22000)</f>
        <v/>
      </c>
      <c r="M397" s="156" t="n"/>
      <c r="N397" s="156" t="n"/>
      <c r="O397" s="156" t="n"/>
    </row>
    <row r="398" ht="15.75" customHeight="1" s="153">
      <c r="A398" s="227" t="n"/>
      <c r="B398" s="228" t="inlineStr">
        <is>
          <t>CAFERATA 9416</t>
        </is>
      </c>
      <c r="C398" s="229" t="n"/>
      <c r="D398" s="229" t="n">
        <v>1</v>
      </c>
      <c r="E398" s="229" t="n"/>
      <c r="F398" s="230" t="n"/>
      <c r="G398" s="230" t="n"/>
      <c r="H398" s="257" t="n">
        <v>39000</v>
      </c>
      <c r="I398" s="258" t="n"/>
      <c r="J398" s="258" t="n">
        <v>39000</v>
      </c>
      <c r="K398" s="233" t="n"/>
      <c r="L398" s="233">
        <f>IF(K398&lt;&gt;"",16500+K398,16500)</f>
        <v/>
      </c>
      <c r="M398" s="156" t="n"/>
      <c r="N398" s="156" t="n"/>
      <c r="O398" s="156" t="n"/>
    </row>
    <row r="399" ht="15.75" customHeight="1" s="153">
      <c r="A399" s="237" t="n"/>
      <c r="B399" s="238" t="inlineStr">
        <is>
          <t>PANA VIEYTES 4500</t>
        </is>
      </c>
      <c r="C399" s="239" t="n"/>
      <c r="D399" s="239" t="n"/>
      <c r="E399" s="239" t="n">
        <v>1</v>
      </c>
      <c r="F399" s="240" t="n"/>
      <c r="G399" s="240" t="n"/>
      <c r="H399" s="259" t="n">
        <v>78000</v>
      </c>
      <c r="I399" s="260" t="n"/>
      <c r="J399" s="260" t="n">
        <v>78000</v>
      </c>
      <c r="K399" s="233" t="n"/>
      <c r="L399" s="233">
        <f>IF(K399&lt;&gt;"",18000+K399,18000)</f>
        <v/>
      </c>
      <c r="M399" s="156" t="n"/>
      <c r="N399" s="156" t="n"/>
      <c r="O399" s="156" t="n"/>
    </row>
    <row r="400" ht="15.75" customHeight="1" s="153">
      <c r="A400" s="227" t="n">
        <v>46141</v>
      </c>
      <c r="B400" s="228" t="inlineStr">
        <is>
          <t>PANA VIEYTES GISELA</t>
        </is>
      </c>
      <c r="C400" s="229" t="n">
        <v>1</v>
      </c>
      <c r="D400" s="229" t="n"/>
      <c r="E400" s="229" t="n"/>
      <c r="F400" s="230" t="n"/>
      <c r="G400" s="230" t="n"/>
      <c r="H400" s="257" t="n">
        <v>22000</v>
      </c>
      <c r="I400" s="258" t="n"/>
      <c r="J400" s="258" t="n">
        <v>22000</v>
      </c>
      <c r="K400" s="233" t="n"/>
      <c r="L400" s="233">
        <f>IF(K400&lt;&gt;"",7000+K400,7000)</f>
        <v/>
      </c>
    </row>
    <row r="401" ht="15.75" customHeight="1" s="153">
      <c r="A401" s="237" t="n"/>
      <c r="B401" s="238" t="inlineStr">
        <is>
          <t>PANA GORRITI 4600</t>
        </is>
      </c>
      <c r="C401" s="239" t="n"/>
      <c r="D401" s="239" t="n"/>
      <c r="E401" s="239" t="n">
        <v>1</v>
      </c>
      <c r="F401" s="240" t="n"/>
      <c r="G401" s="240" t="n"/>
      <c r="H401" s="259" t="n">
        <v>83000</v>
      </c>
      <c r="I401" s="260" t="n">
        <v>83000</v>
      </c>
      <c r="J401" s="260" t="n"/>
      <c r="K401" s="233" t="n"/>
      <c r="L401" s="233">
        <f>IF(K401&lt;&gt;"",23000+K401,23000)</f>
        <v/>
      </c>
    </row>
    <row r="402" ht="15.75" customHeight="1" s="153">
      <c r="A402" s="227" t="n"/>
      <c r="B402" s="228" t="inlineStr">
        <is>
          <t>ARISTOBULO 5879</t>
        </is>
      </c>
      <c r="C402" s="229" t="n"/>
      <c r="D402" s="229" t="n">
        <v>1</v>
      </c>
      <c r="E402" s="229" t="n"/>
      <c r="F402" s="230" t="n"/>
      <c r="G402" s="230" t="n"/>
      <c r="H402" s="257" t="n">
        <v>41000</v>
      </c>
      <c r="I402" s="258" t="n">
        <v>41000</v>
      </c>
      <c r="J402" s="258" t="n"/>
      <c r="K402" s="233" t="n"/>
      <c r="L402" s="233">
        <f>IF(K402&lt;&gt;"",18500+K402,18500)</f>
        <v/>
      </c>
    </row>
    <row r="403" ht="15.75" customHeight="1" s="153">
      <c r="A403" s="237" t="n"/>
      <c r="B403" s="238" t="inlineStr">
        <is>
          <t>ROTI VIEYTES</t>
        </is>
      </c>
      <c r="C403" s="239" t="n">
        <v>1</v>
      </c>
      <c r="D403" s="239" t="n">
        <v>2</v>
      </c>
      <c r="E403" s="239" t="n"/>
      <c r="F403" s="240" t="n"/>
      <c r="G403" s="240" t="n"/>
      <c r="H403" s="259" t="n">
        <v>82000</v>
      </c>
      <c r="I403" s="260" t="n"/>
      <c r="J403" s="260" t="n">
        <v>82000</v>
      </c>
      <c r="K403" s="233" t="n"/>
      <c r="L403" s="233">
        <f>IF(K403&lt;&gt;"",22000+K403,22000)</f>
        <v/>
      </c>
    </row>
    <row r="404" ht="15.75" customHeight="1" s="153">
      <c r="A404" s="227" t="n"/>
      <c r="B404" s="228" t="inlineStr">
        <is>
          <t>PEÑALOZA 9757</t>
        </is>
      </c>
      <c r="C404" s="229" t="n">
        <v>1</v>
      </c>
      <c r="D404" s="229" t="n"/>
      <c r="E404" s="229" t="n"/>
      <c r="F404" s="230" t="n"/>
      <c r="G404" s="230" t="n"/>
      <c r="H404" s="257" t="n">
        <v>26000</v>
      </c>
      <c r="I404" s="258" t="n">
        <v>26000</v>
      </c>
      <c r="J404" s="258" t="n"/>
      <c r="K404" s="233" t="n"/>
      <c r="L404" s="233">
        <f>IF(K404&lt;&gt;"",11000+K404,11000)</f>
        <v/>
      </c>
    </row>
    <row r="405" ht="15.75" customHeight="1" s="153">
      <c r="A405" s="237" t="n"/>
      <c r="B405" s="238" t="inlineStr">
        <is>
          <t>ANGEL</t>
        </is>
      </c>
      <c r="C405" s="239" t="n"/>
      <c r="D405" s="239" t="n">
        <v>1</v>
      </c>
      <c r="E405" s="239" t="n"/>
      <c r="F405" s="240" t="n"/>
      <c r="G405" s="240" t="n"/>
      <c r="H405" s="259" t="n">
        <v>28500</v>
      </c>
      <c r="I405" s="260" t="n">
        <v>28500</v>
      </c>
      <c r="J405" s="260" t="n"/>
      <c r="K405" s="233" t="n"/>
      <c r="L405" s="233">
        <f>IF(K405&lt;&gt;"",6000+K405,6000)</f>
        <v/>
      </c>
    </row>
    <row r="406" ht="15.75" customHeight="1" s="153">
      <c r="A406" s="227" t="n"/>
      <c r="B406" s="228" t="inlineStr">
        <is>
          <t>PAULO</t>
        </is>
      </c>
      <c r="C406" s="229" t="n">
        <v>3</v>
      </c>
      <c r="D406" s="229" t="n"/>
      <c r="E406" s="229" t="n"/>
      <c r="F406" s="230" t="n"/>
      <c r="G406" s="230" t="n"/>
      <c r="H406" s="257" t="n">
        <v>57000</v>
      </c>
      <c r="I406" s="258" t="n">
        <v>57000</v>
      </c>
      <c r="J406" s="258" t="n"/>
      <c r="K406" s="233" t="n"/>
      <c r="L406" s="233">
        <f>IF(K406&lt;&gt;"",12000+K406,12000)</f>
        <v/>
      </c>
    </row>
    <row r="407" ht="15.75" customHeight="1" s="153">
      <c r="A407" s="237" t="n"/>
      <c r="B407" s="238" t="inlineStr">
        <is>
          <t>SANDRA</t>
        </is>
      </c>
      <c r="C407" s="239" t="n">
        <v>1</v>
      </c>
      <c r="D407" s="239" t="n">
        <v>1</v>
      </c>
      <c r="E407" s="239" t="n"/>
      <c r="F407" s="240" t="n"/>
      <c r="G407" s="240" t="n"/>
      <c r="H407" s="259" t="n">
        <v>47500</v>
      </c>
      <c r="I407" s="260" t="n">
        <v>47500</v>
      </c>
      <c r="J407" s="260" t="n"/>
      <c r="K407" s="233" t="n"/>
      <c r="L407" s="233">
        <f>IF(K407&lt;&gt;"",10000+K407,10000)</f>
        <v/>
      </c>
    </row>
    <row r="408" ht="15.75" customHeight="1" s="153">
      <c r="A408" s="227" t="n"/>
      <c r="B408" s="228" t="inlineStr">
        <is>
          <t>ALBERTI 4930</t>
        </is>
      </c>
      <c r="C408" s="229" t="n"/>
      <c r="D408" s="229" t="n"/>
      <c r="E408" s="229" t="n">
        <v>1</v>
      </c>
      <c r="F408" s="230" t="n"/>
      <c r="G408" s="230" t="n"/>
      <c r="H408" s="257" t="n">
        <v>95000</v>
      </c>
      <c r="I408" s="258" t="n"/>
      <c r="J408" s="258" t="n">
        <v>95000</v>
      </c>
      <c r="K408" s="233" t="n"/>
      <c r="L408" s="233">
        <f>IF(K408&lt;&gt;"",35000+K408,35000)</f>
        <v/>
      </c>
    </row>
    <row r="409" ht="15.75" customHeight="1" s="153">
      <c r="A409" s="237" t="n"/>
      <c r="B409" s="238" t="inlineStr">
        <is>
          <t>BLAS PARERA 6372</t>
        </is>
      </c>
      <c r="C409" s="239" t="n"/>
      <c r="D409" s="239" t="n"/>
      <c r="E409" s="239" t="n">
        <v>1</v>
      </c>
      <c r="F409" s="240" t="n"/>
      <c r="G409" s="240" t="n"/>
      <c r="H409" s="259" t="n">
        <v>83000</v>
      </c>
      <c r="I409" s="260" t="n"/>
      <c r="J409" s="260" t="n">
        <v>83000</v>
      </c>
      <c r="K409" s="233" t="n"/>
      <c r="L409" s="233">
        <f>IF(K409&lt;&gt;"",23000+K409,23000)</f>
        <v/>
      </c>
    </row>
    <row r="410" ht="15.75" customHeight="1" s="153">
      <c r="A410" s="227" t="n"/>
      <c r="B410" s="228" t="inlineStr">
        <is>
          <t>AZCUENAGA 6551</t>
        </is>
      </c>
      <c r="C410" s="229" t="n">
        <v>2</v>
      </c>
      <c r="D410" s="229" t="n"/>
      <c r="E410" s="229" t="n"/>
      <c r="F410" s="230" t="n"/>
      <c r="G410" s="230" t="n"/>
      <c r="H410" s="257" t="n">
        <v>37000</v>
      </c>
      <c r="I410" s="258" t="n">
        <v>37000</v>
      </c>
      <c r="J410" s="258" t="n"/>
      <c r="K410" s="233" t="n"/>
      <c r="L410" s="233">
        <f>IF(K410&lt;&gt;"",7000+K410,7000)</f>
        <v/>
      </c>
    </row>
    <row r="411" ht="15.75" customHeight="1" s="153">
      <c r="A411" s="237" t="n"/>
      <c r="B411" s="238" t="inlineStr">
        <is>
          <t>ALBERTI 5251</t>
        </is>
      </c>
      <c r="C411" s="239" t="n"/>
      <c r="D411" s="239" t="n">
        <v>1</v>
      </c>
      <c r="E411" s="239" t="n"/>
      <c r="F411" s="240" t="n"/>
      <c r="G411" s="240" t="n"/>
      <c r="H411" s="259" t="n">
        <v>36000</v>
      </c>
      <c r="I411" s="260" t="n">
        <v>36000</v>
      </c>
      <c r="J411" s="260" t="n"/>
      <c r="K411" s="233" t="n"/>
      <c r="L411" s="233">
        <f>IF(K411&lt;&gt;"",13500+K411,13500)</f>
        <v/>
      </c>
    </row>
    <row r="412" ht="15.75" customHeight="1" s="153">
      <c r="A412" s="227" t="n">
        <v>46142</v>
      </c>
      <c r="B412" s="228" t="inlineStr">
        <is>
          <t>LOBOS</t>
        </is>
      </c>
      <c r="C412" s="229" t="n"/>
      <c r="D412" s="229" t="n"/>
      <c r="E412" s="229" t="n">
        <v>1</v>
      </c>
      <c r="F412" s="230" t="n"/>
      <c r="G412" s="230" t="n"/>
      <c r="H412" s="257" t="n">
        <v>88000</v>
      </c>
      <c r="I412" s="258" t="n"/>
      <c r="J412" s="258" t="n">
        <v>88000</v>
      </c>
      <c r="K412" s="233" t="n"/>
      <c r="L412" s="233">
        <f>IF(K412&lt;&gt;"",28000+K412,28000)</f>
        <v/>
      </c>
    </row>
    <row r="413" ht="15.75" customHeight="1" s="153">
      <c r="A413" s="237" t="n"/>
      <c r="B413" s="238" t="inlineStr">
        <is>
          <t>MARTIN IGUALDAD</t>
        </is>
      </c>
      <c r="C413" s="239" t="n">
        <v>1</v>
      </c>
      <c r="D413" s="239" t="n"/>
      <c r="E413" s="239" t="n"/>
      <c r="F413" s="240" t="n"/>
      <c r="G413" s="240" t="n"/>
      <c r="H413" s="259" t="n">
        <v>23000</v>
      </c>
      <c r="I413" s="260" t="n"/>
      <c r="J413" s="260" t="n">
        <v>23000</v>
      </c>
      <c r="K413" s="233" t="n"/>
      <c r="L413" s="233">
        <f>IF(K413&lt;&gt;"",8000+K413,8000)</f>
        <v/>
      </c>
    </row>
    <row r="414" ht="15.75" customHeight="1" s="153">
      <c r="A414" s="227" t="n"/>
      <c r="B414" s="228" t="inlineStr">
        <is>
          <t>MIGUEZ 5479</t>
        </is>
      </c>
      <c r="C414" s="229" t="n">
        <v>1</v>
      </c>
      <c r="D414" s="229" t="n"/>
      <c r="E414" s="229" t="n"/>
      <c r="F414" s="230" t="n"/>
      <c r="G414" s="230" t="n"/>
      <c r="H414" s="257" t="n">
        <v>25000</v>
      </c>
      <c r="I414" s="258" t="n">
        <v>25000</v>
      </c>
      <c r="J414" s="258" t="n"/>
      <c r="K414" s="233" t="n"/>
      <c r="L414" s="233">
        <f>IF(K414&lt;&gt;"",10000+K414,10000)</f>
        <v/>
      </c>
    </row>
    <row r="415" ht="15.75" customHeight="1" s="153">
      <c r="A415" s="237" t="n"/>
      <c r="B415" s="238" t="inlineStr">
        <is>
          <t>LUCHO</t>
        </is>
      </c>
      <c r="C415" s="239" t="n">
        <v>2</v>
      </c>
      <c r="D415" s="239" t="n"/>
      <c r="E415" s="239" t="n"/>
      <c r="F415" s="240" t="n"/>
      <c r="G415" s="240" t="n"/>
      <c r="H415" s="259" t="n">
        <v>38000</v>
      </c>
      <c r="I415" s="260" t="n"/>
      <c r="J415" s="260" t="n">
        <v>38000</v>
      </c>
      <c r="K415" s="233" t="n"/>
      <c r="L415" s="233">
        <f>IF(K415&lt;&gt;"",8000+K415,8000)</f>
        <v/>
      </c>
    </row>
    <row r="416" ht="15.75" customHeight="1" s="153">
      <c r="A416" s="227" t="n"/>
      <c r="B416" s="228" t="inlineStr">
        <is>
          <t>AZCUENAGA 5023</t>
        </is>
      </c>
      <c r="C416" s="229" t="n">
        <v>3</v>
      </c>
      <c r="D416" s="229" t="n">
        <v>2</v>
      </c>
      <c r="E416" s="229" t="n"/>
      <c r="F416" s="230" t="n"/>
      <c r="G416" s="230" t="n"/>
      <c r="H416" s="257" t="n">
        <v>114000</v>
      </c>
      <c r="I416" s="258" t="n"/>
      <c r="J416" s="258" t="n">
        <v>114000</v>
      </c>
      <c r="K416" s="233" t="n"/>
      <c r="L416" s="233">
        <f>IF(K416&lt;&gt;"",24000+K416,24000)</f>
        <v/>
      </c>
    </row>
    <row r="417" ht="15.75" customHeight="1" s="153">
      <c r="A417" s="237" t="n"/>
      <c r="B417" s="238" t="inlineStr">
        <is>
          <t>VIANDAS JORGE</t>
        </is>
      </c>
      <c r="C417" s="239" t="n">
        <v>1</v>
      </c>
      <c r="D417" s="239" t="n"/>
      <c r="E417" s="239" t="n"/>
      <c r="F417" s="240" t="n"/>
      <c r="G417" s="240" t="n"/>
      <c r="H417" s="259" t="n">
        <v>22000</v>
      </c>
      <c r="I417" s="260" t="n">
        <v>22000</v>
      </c>
      <c r="J417" s="260" t="n"/>
      <c r="K417" s="233" t="n"/>
      <c r="L417" s="233">
        <f>IF(K417&lt;&gt;"",7000+K417,7000)</f>
        <v/>
      </c>
    </row>
    <row r="418" ht="15.75" customHeight="1" s="153">
      <c r="A418" s="227" t="n"/>
      <c r="B418" s="228" t="inlineStr">
        <is>
          <t>ARENALES 9203</t>
        </is>
      </c>
      <c r="C418" s="229" t="n"/>
      <c r="D418" s="229" t="n"/>
      <c r="E418" s="229" t="n">
        <v>1</v>
      </c>
      <c r="F418" s="230" t="n"/>
      <c r="G418" s="230" t="n"/>
      <c r="H418" s="257" t="n">
        <v>90000</v>
      </c>
      <c r="I418" s="258" t="n"/>
      <c r="J418" s="258" t="n">
        <v>90000</v>
      </c>
      <c r="K418" s="233" t="n"/>
      <c r="L418" s="233">
        <f>IF(K418&lt;&gt;"",30000+K418,30000)</f>
        <v/>
      </c>
    </row>
    <row r="419" ht="15.75" customHeight="1" s="153">
      <c r="A419" s="237" t="n"/>
      <c r="B419" s="238" t="inlineStr">
        <is>
          <t>TROPPO</t>
        </is>
      </c>
      <c r="C419" s="239" t="n">
        <v>4</v>
      </c>
      <c r="D419" s="239" t="n"/>
      <c r="E419" s="239" t="n"/>
      <c r="F419" s="240" t="n"/>
      <c r="G419" s="240" t="n"/>
      <c r="H419" s="259" t="n">
        <v>108000</v>
      </c>
      <c r="I419" s="260" t="n">
        <v>108000</v>
      </c>
      <c r="J419" s="260" t="n"/>
      <c r="K419" s="233" t="n"/>
      <c r="L419" s="233">
        <f>IF(K419&lt;&gt;"",48000+K419,48000)</f>
        <v/>
      </c>
    </row>
    <row r="420" ht="15.75" customHeight="1" s="153">
      <c r="A420" s="227" t="n"/>
      <c r="B420" s="228" t="inlineStr">
        <is>
          <t>PAULO</t>
        </is>
      </c>
      <c r="C420" s="229" t="n"/>
      <c r="D420" s="229" t="n">
        <v>1</v>
      </c>
      <c r="E420" s="229" t="n"/>
      <c r="F420" s="230" t="n"/>
      <c r="G420" s="230" t="n"/>
      <c r="H420" s="257" t="n">
        <v>28500</v>
      </c>
      <c r="I420" s="258" t="n"/>
      <c r="J420" s="258" t="n">
        <v>28500</v>
      </c>
      <c r="K420" s="233" t="n"/>
      <c r="L420" s="233">
        <f>IF(K420&lt;&gt;"",6000+K420,6000)</f>
        <v/>
      </c>
    </row>
    <row r="421" ht="15.75" customHeight="1" s="153">
      <c r="A421" s="237" t="n"/>
      <c r="B421" s="238" t="inlineStr">
        <is>
          <t>FILOMENA</t>
        </is>
      </c>
      <c r="C421" s="239" t="n">
        <v>2</v>
      </c>
      <c r="D421" s="239" t="n"/>
      <c r="E421" s="239" t="n"/>
      <c r="F421" s="240" t="n"/>
      <c r="G421" s="240" t="n"/>
      <c r="H421" s="259" t="n">
        <v>46000</v>
      </c>
      <c r="I421" s="260" t="n"/>
      <c r="J421" s="260" t="n">
        <v>46000</v>
      </c>
      <c r="K421" s="233" t="n"/>
      <c r="L421" s="233">
        <f>IF(K421&lt;&gt;"",16000+K421,16000)</f>
        <v/>
      </c>
    </row>
    <row r="422" ht="15.75" customHeight="1" s="153">
      <c r="A422" s="227" t="n"/>
      <c r="B422" s="228" t="inlineStr">
        <is>
          <t>ABUELA TUYA</t>
        </is>
      </c>
      <c r="C422" s="229" t="n">
        <v>1</v>
      </c>
      <c r="D422" s="229" t="n"/>
      <c r="E422" s="229" t="n"/>
      <c r="F422" s="230" t="n"/>
      <c r="G422" s="230" t="n"/>
      <c r="H422" s="257" t="n">
        <v>25000</v>
      </c>
      <c r="I422" s="258" t="n">
        <v>25000</v>
      </c>
      <c r="J422" s="258" t="n"/>
      <c r="K422" s="233" t="n"/>
      <c r="L422" s="233">
        <f>IF(K422&lt;&gt;"",10000+K422,10000)</f>
        <v/>
      </c>
    </row>
    <row r="423" ht="15.75" customHeight="1" s="153">
      <c r="A423" s="237" t="n"/>
      <c r="B423" s="238" t="inlineStr">
        <is>
          <t>4TO PASAJE 3782</t>
        </is>
      </c>
      <c r="C423" s="239" t="n">
        <v>1</v>
      </c>
      <c r="D423" s="239" t="n"/>
      <c r="E423" s="239" t="n"/>
      <c r="F423" s="240" t="n"/>
      <c r="G423" s="240" t="n"/>
      <c r="H423" s="259" t="n">
        <v>26000</v>
      </c>
      <c r="I423" s="260" t="n"/>
      <c r="J423" s="260" t="n">
        <v>26000</v>
      </c>
      <c r="K423" s="233" t="n"/>
      <c r="L423" s="233">
        <f>IF(K423&lt;&gt;"",11000+K423,11000)</f>
        <v/>
      </c>
    </row>
    <row r="424" ht="15.75" customHeight="1" s="153">
      <c r="A424" s="227" t="n"/>
      <c r="B424" s="228" t="inlineStr">
        <is>
          <t>IRALA 3140</t>
        </is>
      </c>
      <c r="C424" s="229" t="n">
        <v>1</v>
      </c>
      <c r="D424" s="229" t="n"/>
      <c r="E424" s="229" t="n"/>
      <c r="F424" s="230" t="n"/>
      <c r="G424" s="230" t="n"/>
      <c r="H424" s="257" t="n">
        <v>26000</v>
      </c>
      <c r="I424" s="258" t="n">
        <v>26000</v>
      </c>
      <c r="J424" s="258" t="n"/>
      <c r="K424" s="233" t="n"/>
      <c r="L424" s="233">
        <f>IF(K424&lt;&gt;"",11000+K424,11000)</f>
        <v/>
      </c>
    </row>
    <row r="425" ht="15.75" customHeight="1" s="153">
      <c r="A425" s="237" t="n"/>
      <c r="B425" s="238" t="inlineStr">
        <is>
          <t>ROTI ARISTOBULO</t>
        </is>
      </c>
      <c r="C425" s="239" t="n"/>
      <c r="D425" s="239" t="n">
        <v>1</v>
      </c>
      <c r="E425" s="239" t="n"/>
      <c r="F425" s="240" t="n"/>
      <c r="G425" s="240" t="n"/>
      <c r="H425" s="259" t="n">
        <v>33500</v>
      </c>
      <c r="I425" s="260" t="n"/>
      <c r="J425" s="260" t="n">
        <v>33500</v>
      </c>
      <c r="K425" s="233" t="n"/>
      <c r="L425" s="233">
        <f>IF(K425&lt;&gt;"",11000+K425,11000)</f>
        <v/>
      </c>
    </row>
    <row r="426" ht="15.75" customHeight="1" s="153">
      <c r="A426" s="227" t="n"/>
      <c r="B426" s="228" t="inlineStr">
        <is>
          <t>AGUADO 8961</t>
        </is>
      </c>
      <c r="C426" s="229" t="n"/>
      <c r="D426" s="229" t="n">
        <v>1</v>
      </c>
      <c r="E426" s="229" t="n"/>
      <c r="F426" s="230" t="n"/>
      <c r="G426" s="230" t="n"/>
      <c r="H426" s="257" t="n">
        <v>38500</v>
      </c>
      <c r="I426" s="258" t="n">
        <v>38500</v>
      </c>
      <c r="J426" s="258" t="n"/>
      <c r="K426" s="233" t="n"/>
      <c r="L426" s="233">
        <f>IF(K426&lt;&gt;"",16000+K426,16000)</f>
        <v/>
      </c>
    </row>
    <row r="427" ht="15.75" customHeight="1" s="153">
      <c r="A427" s="237" t="n"/>
      <c r="B427" s="238" t="inlineStr">
        <is>
          <t>PANA BERUTI 6400</t>
        </is>
      </c>
      <c r="C427" s="239" t="n"/>
      <c r="D427" s="239" t="n"/>
      <c r="E427" s="239" t="n">
        <v>2</v>
      </c>
      <c r="F427" s="240" t="n"/>
      <c r="G427" s="240" t="n"/>
      <c r="H427" s="259" t="n">
        <v>150000</v>
      </c>
      <c r="I427" s="260" t="n"/>
      <c r="J427" s="260" t="n">
        <v>150000</v>
      </c>
      <c r="K427" s="233" t="n"/>
      <c r="L427" s="233">
        <f>IF(K427&lt;&gt;"",30000+K427,30000)</f>
        <v/>
      </c>
    </row>
    <row r="428" ht="15.75" customHeight="1" s="153">
      <c r="A428" s="227" t="n"/>
      <c r="B428" s="228" t="inlineStr">
        <is>
          <t>MARTINEZ 3221</t>
        </is>
      </c>
      <c r="C428" s="229" t="n">
        <v>2</v>
      </c>
      <c r="D428" s="229" t="n"/>
      <c r="E428" s="229" t="n">
        <v>1</v>
      </c>
      <c r="F428" s="230" t="n"/>
      <c r="G428" s="230" t="n"/>
      <c r="H428" s="257" t="n">
        <v>147000</v>
      </c>
      <c r="I428" s="258" t="n"/>
      <c r="J428" s="258" t="n">
        <v>147000</v>
      </c>
      <c r="K428" s="233" t="n"/>
      <c r="L428" s="233">
        <f>IF(K428&lt;&gt;"",57000+K428,57000)</f>
        <v/>
      </c>
    </row>
    <row r="429" ht="15.75" customHeight="1" s="153">
      <c r="A429" s="237" t="n"/>
      <c r="B429" s="238" t="inlineStr">
        <is>
          <t>RICARDO ALDAO 928</t>
        </is>
      </c>
      <c r="C429" s="239" t="n">
        <v>1</v>
      </c>
      <c r="D429" s="239" t="n"/>
      <c r="E429" s="239" t="n"/>
      <c r="F429" s="240" t="n"/>
      <c r="G429" s="240" t="n"/>
      <c r="H429" s="259" t="n">
        <v>26000</v>
      </c>
      <c r="I429" s="260" t="n">
        <v>26000</v>
      </c>
      <c r="J429" s="260" t="n"/>
      <c r="K429" s="233" t="n"/>
      <c r="L429" s="233">
        <f>IF(K429&lt;&gt;"",11000+K429,11000)</f>
        <v/>
      </c>
    </row>
    <row r="430" ht="15.75" customHeight="1" s="153">
      <c r="A430" s="227" t="n"/>
      <c r="B430" s="228" t="inlineStr">
        <is>
          <t>PADRE GENESIO 5950</t>
        </is>
      </c>
      <c r="C430" s="229" t="n"/>
      <c r="D430" s="229" t="n">
        <v>1</v>
      </c>
      <c r="E430" s="229" t="n"/>
      <c r="F430" s="230" t="n"/>
      <c r="G430" s="230" t="n"/>
      <c r="H430" s="257" t="n">
        <v>34500</v>
      </c>
      <c r="I430" s="258" t="n"/>
      <c r="J430" s="258" t="n">
        <v>34500</v>
      </c>
      <c r="K430" s="233" t="n"/>
      <c r="L430" s="233">
        <f>IF(K430&lt;&gt;"",12000+K430,12000)</f>
        <v/>
      </c>
    </row>
    <row r="431" ht="15.75" customHeight="1" s="153">
      <c r="A431" s="237" t="n"/>
      <c r="B431" s="238" t="inlineStr">
        <is>
          <t>5TO PASAJE 3750</t>
        </is>
      </c>
      <c r="C431" s="239" t="n"/>
      <c r="D431" s="239" t="n"/>
      <c r="E431" s="239" t="n">
        <v>1</v>
      </c>
      <c r="F431" s="240" t="n"/>
      <c r="G431" s="240" t="n"/>
      <c r="H431" s="259" t="n">
        <v>88000</v>
      </c>
      <c r="I431" s="260" t="n"/>
      <c r="J431" s="260" t="n">
        <v>88000</v>
      </c>
      <c r="K431" s="233" t="n"/>
      <c r="L431" s="233">
        <f>IF(K431&lt;&gt;"",28000+K431,28000)</f>
        <v/>
      </c>
    </row>
    <row r="432" ht="15.75" customHeight="1" s="153">
      <c r="A432" s="227" t="n"/>
      <c r="B432" s="228" t="inlineStr">
        <is>
          <t>VERBENA</t>
        </is>
      </c>
      <c r="C432" s="229" t="n">
        <v>2</v>
      </c>
      <c r="D432" s="229" t="n"/>
      <c r="E432" s="229" t="n"/>
      <c r="F432" s="230" t="n"/>
      <c r="G432" s="230" t="n"/>
      <c r="H432" s="257" t="n">
        <v>51000</v>
      </c>
      <c r="I432" s="258" t="n">
        <v>51000</v>
      </c>
      <c r="J432" s="258" t="n"/>
      <c r="K432" s="233" t="n"/>
      <c r="L432" s="233">
        <f>IF(K432&lt;&gt;"",21000+K432,21000)</f>
        <v/>
      </c>
    </row>
    <row r="433" ht="15.75" customHeight="1" s="153">
      <c r="A433" s="237" t="n"/>
      <c r="B433" s="238" t="inlineStr">
        <is>
          <t>RIVADAVIA 6330</t>
        </is>
      </c>
      <c r="C433" s="239" t="n">
        <v>1</v>
      </c>
      <c r="D433" s="239" t="n"/>
      <c r="E433" s="239" t="n"/>
      <c r="F433" s="240" t="n"/>
      <c r="G433" s="240" t="n"/>
      <c r="H433" s="259" t="n">
        <v>26000</v>
      </c>
      <c r="I433" s="260" t="n">
        <v>26000</v>
      </c>
      <c r="J433" s="260" t="n"/>
      <c r="K433" s="233" t="n"/>
      <c r="L433" s="233">
        <f>IF(K433&lt;&gt;"",11000+K433,11000)</f>
        <v/>
      </c>
    </row>
    <row r="434" ht="15.75" customHeight="1" s="153">
      <c r="A434" s="227" t="n"/>
      <c r="B434" s="228" t="inlineStr">
        <is>
          <t>FLORES 2 TORRE 8 MARCELO</t>
        </is>
      </c>
      <c r="C434" s="229" t="n">
        <v>1</v>
      </c>
      <c r="D434" s="229" t="n"/>
      <c r="E434" s="229" t="n"/>
      <c r="F434" s="230" t="n"/>
      <c r="G434" s="230" t="n"/>
      <c r="H434" s="257" t="n">
        <v>26000</v>
      </c>
      <c r="I434" s="258" t="n"/>
      <c r="J434" s="258" t="n">
        <v>26000</v>
      </c>
      <c r="K434" s="233" t="n"/>
      <c r="L434" s="233">
        <f>IF(K434&lt;&gt;"",11000+K434,11000)</f>
        <v/>
      </c>
    </row>
    <row r="435" ht="15.75" customHeight="1" s="153">
      <c r="A435" s="237" t="n"/>
      <c r="B435" s="238" t="inlineStr">
        <is>
          <t>SANTA BAR 1 MAYO 1959</t>
        </is>
      </c>
      <c r="C435" s="239" t="n">
        <v>1</v>
      </c>
      <c r="D435" s="239" t="n"/>
      <c r="E435" s="239" t="n">
        <v>1</v>
      </c>
      <c r="F435" s="240" t="n"/>
      <c r="G435" s="240" t="n"/>
      <c r="H435" s="259" t="n">
        <v>110000</v>
      </c>
      <c r="I435" s="260" t="n">
        <v>110000</v>
      </c>
      <c r="J435" s="260" t="n"/>
      <c r="K435" s="233" t="n"/>
      <c r="L435" s="233">
        <f>IF(K435&lt;&gt;"",35000+K435,35000)</f>
        <v/>
      </c>
    </row>
    <row r="436" ht="15.75" customHeight="1" s="153">
      <c r="A436" s="227" t="n"/>
      <c r="B436" s="228" t="inlineStr">
        <is>
          <t>PASAJE SUAREZ 3752</t>
        </is>
      </c>
      <c r="C436" s="229" t="n">
        <v>1</v>
      </c>
      <c r="D436" s="229" t="n"/>
      <c r="E436" s="229" t="n"/>
      <c r="F436" s="230" t="n"/>
      <c r="G436" s="230" t="n"/>
      <c r="H436" s="257" t="n">
        <v>25000</v>
      </c>
      <c r="I436" s="258" t="n">
        <v>25000</v>
      </c>
      <c r="J436" s="258" t="n"/>
      <c r="K436" s="233" t="n"/>
      <c r="L436" s="233">
        <f>IF(K436&lt;&gt;"",10000+K436,10000)</f>
        <v/>
      </c>
    </row>
    <row r="437" ht="15.75" customHeight="1" s="153">
      <c r="A437" s="237" t="n"/>
      <c r="B437" s="238" t="inlineStr">
        <is>
          <t>CAREN</t>
        </is>
      </c>
      <c r="C437" s="239" t="n"/>
      <c r="D437" s="239" t="n"/>
      <c r="E437" s="239" t="n">
        <v>1</v>
      </c>
      <c r="F437" s="240" t="n"/>
      <c r="G437" s="240" t="n"/>
      <c r="H437" s="259" t="n">
        <v>82000</v>
      </c>
      <c r="I437" s="260" t="n"/>
      <c r="J437" s="260" t="n">
        <v>82000</v>
      </c>
      <c r="K437" s="233" t="n"/>
      <c r="L437" s="233">
        <f>IF(K437&lt;&gt;"",22000+K437,22000)</f>
        <v/>
      </c>
    </row>
    <row r="438" ht="15.75" customHeight="1" s="153">
      <c r="A438" s="227" t="n"/>
      <c r="B438" s="228" t="inlineStr">
        <is>
          <t>ALVEAR 5259</t>
        </is>
      </c>
      <c r="C438" s="229" t="n">
        <v>1</v>
      </c>
      <c r="D438" s="229" t="n"/>
      <c r="E438" s="229" t="n"/>
      <c r="F438" s="230" t="n"/>
      <c r="G438" s="230" t="n"/>
      <c r="H438" s="257" t="n">
        <v>26000</v>
      </c>
      <c r="I438" s="258" t="n">
        <v>26000</v>
      </c>
      <c r="J438" s="258" t="n"/>
      <c r="K438" s="233" t="n"/>
      <c r="L438" s="233">
        <f>IF(K438&lt;&gt;"",11000+K438,11000)</f>
        <v/>
      </c>
    </row>
    <row r="439" ht="15.75" customHeight="1" s="153">
      <c r="A439" s="237" t="n"/>
      <c r="B439" s="238" t="inlineStr">
        <is>
          <t>TACUARI 5717</t>
        </is>
      </c>
      <c r="C439" s="239" t="n">
        <v>1</v>
      </c>
      <c r="D439" s="239" t="n"/>
      <c r="E439" s="239" t="n"/>
      <c r="F439" s="240" t="n"/>
      <c r="G439" s="240" t="n"/>
      <c r="H439" s="259" t="n">
        <v>25000</v>
      </c>
      <c r="I439" s="260" t="n"/>
      <c r="J439" s="260" t="n">
        <v>25000</v>
      </c>
      <c r="K439" s="233" t="n"/>
      <c r="L439" s="233">
        <f>IF(K439&lt;&gt;"",10000+K439,10000)</f>
        <v/>
      </c>
    </row>
    <row r="440" ht="15.75" customHeight="1" s="153">
      <c r="A440" s="227" t="n"/>
      <c r="B440" s="228" t="inlineStr">
        <is>
          <t>SABOREAR</t>
        </is>
      </c>
      <c r="C440" s="229" t="n">
        <v>1</v>
      </c>
      <c r="D440" s="229" t="n"/>
      <c r="E440" s="229" t="n"/>
      <c r="F440" s="230" t="n"/>
      <c r="G440" s="230" t="n"/>
      <c r="H440" s="257" t="n">
        <v>22500</v>
      </c>
      <c r="I440" s="258" t="n"/>
      <c r="J440" s="258" t="n">
        <v>22500</v>
      </c>
      <c r="K440" s="233" t="n"/>
      <c r="L440" s="233">
        <f>IF(K440&lt;&gt;"",7500+K440,7500)</f>
        <v/>
      </c>
    </row>
    <row r="441" ht="15.75" customHeight="1" s="153">
      <c r="A441" s="237" t="n"/>
      <c r="B441" s="238" t="inlineStr">
        <is>
          <t>PUBLICO 2527</t>
        </is>
      </c>
      <c r="C441" s="239" t="n">
        <v>1</v>
      </c>
      <c r="D441" s="239" t="n"/>
      <c r="E441" s="239" t="n"/>
      <c r="F441" s="240" t="n"/>
      <c r="G441" s="240" t="n"/>
      <c r="H441" s="259" t="n">
        <v>26000</v>
      </c>
      <c r="I441" s="260" t="n">
        <v>26000</v>
      </c>
      <c r="J441" s="260" t="n"/>
      <c r="K441" s="233" t="n"/>
      <c r="L441" s="233">
        <f>IF(K441&lt;&gt;"",11000+K441,11000)</f>
        <v/>
      </c>
    </row>
    <row r="442" ht="15.75" customHeight="1" s="153">
      <c r="A442" s="227" t="n"/>
      <c r="B442" s="228" t="inlineStr">
        <is>
          <t>LAVAISE 3786</t>
        </is>
      </c>
      <c r="C442" s="229" t="n">
        <v>1</v>
      </c>
      <c r="D442" s="229" t="n">
        <v>1</v>
      </c>
      <c r="E442" s="229" t="n"/>
      <c r="F442" s="230" t="n"/>
      <c r="G442" s="230" t="n"/>
      <c r="H442" s="257" t="n">
        <v>61000</v>
      </c>
      <c r="I442" s="258" t="n">
        <v>61000</v>
      </c>
      <c r="J442" s="258" t="n"/>
      <c r="K442" s="233" t="n"/>
      <c r="L442" s="233">
        <f>IF(K442&lt;&gt;"",23500+K442,23500)</f>
        <v/>
      </c>
    </row>
    <row r="443" ht="15.75" customHeight="1" s="153">
      <c r="A443" s="237" t="n"/>
      <c r="B443" s="238" t="inlineStr">
        <is>
          <t>JP LOPEZ 2322</t>
        </is>
      </c>
      <c r="C443" s="239" t="n">
        <v>1</v>
      </c>
      <c r="D443" s="239" t="n"/>
      <c r="E443" s="239" t="n"/>
      <c r="F443" s="240" t="n"/>
      <c r="G443" s="240" t="n"/>
      <c r="H443" s="259" t="n">
        <v>26000</v>
      </c>
      <c r="I443" s="260" t="n">
        <v>26000</v>
      </c>
      <c r="J443" s="260" t="n"/>
      <c r="K443" s="233" t="n"/>
      <c r="L443" s="233">
        <f>IF(K443&lt;&gt;"",11000+K443,11000)</f>
        <v/>
      </c>
    </row>
    <row r="444" ht="15.75" customHeight="1" s="153">
      <c r="A444" s="227" t="n"/>
      <c r="B444" s="228" t="inlineStr">
        <is>
          <t>PASAJE PARAGUAY 6660</t>
        </is>
      </c>
      <c r="C444" s="229" t="n">
        <v>1</v>
      </c>
      <c r="D444" s="229" t="n"/>
      <c r="E444" s="229" t="n"/>
      <c r="F444" s="230" t="n"/>
      <c r="G444" s="230" t="n"/>
      <c r="H444" s="257" t="n">
        <v>26000</v>
      </c>
      <c r="I444" s="258" t="n">
        <v>26000</v>
      </c>
      <c r="J444" s="258" t="n"/>
      <c r="K444" s="233" t="n"/>
      <c r="L444" s="233">
        <f>IF(K444&lt;&gt;"",11000+K444,11000)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27" t="n">
        <v>46143</v>
      </c>
      <c r="B5" s="228" t="inlineStr">
        <is>
          <t>5TO PASAJE 9681</t>
        </is>
      </c>
      <c r="C5" s="229" t="n"/>
      <c r="D5" s="229" t="n"/>
      <c r="E5" s="229" t="n">
        <v>1</v>
      </c>
      <c r="F5" s="230" t="n"/>
      <c r="G5" s="230" t="n"/>
      <c r="H5" s="257" t="n">
        <v>95000</v>
      </c>
      <c r="I5" s="258" t="n"/>
      <c r="J5" s="258" t="n">
        <v>95000</v>
      </c>
      <c r="K5" s="233" t="n"/>
      <c r="L5" s="233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inlineStr">
        <is>
          <t>PIEDRABUENA 4506</t>
        </is>
      </c>
      <c r="C6" s="239" t="n"/>
      <c r="D6" s="239" t="n"/>
      <c r="E6" s="239" t="n">
        <v>1</v>
      </c>
      <c r="F6" s="240" t="n"/>
      <c r="G6" s="240" t="n"/>
      <c r="H6" s="259" t="n">
        <v>91000</v>
      </c>
      <c r="I6" s="260" t="n"/>
      <c r="J6" s="260" t="n">
        <v>91000</v>
      </c>
      <c r="K6" s="233" t="n"/>
      <c r="L6" s="233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inlineStr">
        <is>
          <t>ALBERTI 5303</t>
        </is>
      </c>
      <c r="C7" s="229" t="n">
        <v>1</v>
      </c>
      <c r="D7" s="229" t="n"/>
      <c r="E7" s="229" t="n"/>
      <c r="F7" s="230" t="n"/>
      <c r="G7" s="230" t="n"/>
      <c r="H7" s="257" t="n">
        <v>25000</v>
      </c>
      <c r="I7" s="258" t="n">
        <v>25000</v>
      </c>
      <c r="J7" s="258" t="n"/>
      <c r="K7" s="233" t="n"/>
      <c r="L7" s="233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inlineStr">
        <is>
          <t>LUCHO</t>
        </is>
      </c>
      <c r="C8" s="239" t="n">
        <v>1</v>
      </c>
      <c r="D8" s="239" t="n">
        <v>1</v>
      </c>
      <c r="E8" s="239" t="n"/>
      <c r="F8" s="240" t="n"/>
      <c r="G8" s="240" t="n"/>
      <c r="H8" s="259" t="n">
        <v>47500</v>
      </c>
      <c r="I8" s="260" t="n">
        <v>47500</v>
      </c>
      <c r="J8" s="260" t="n"/>
      <c r="K8" s="233" t="n"/>
      <c r="L8" s="233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inlineStr">
        <is>
          <t>CALLEJON ROCA 2622</t>
        </is>
      </c>
      <c r="C9" s="229" t="n">
        <v>1</v>
      </c>
      <c r="D9" s="229" t="n"/>
      <c r="E9" s="229" t="n"/>
      <c r="F9" s="230" t="n"/>
      <c r="G9" s="230" t="n"/>
      <c r="H9" s="257" t="n">
        <v>27000</v>
      </c>
      <c r="I9" s="258" t="n">
        <v>27000</v>
      </c>
      <c r="J9" s="258" t="n"/>
      <c r="K9" s="233" t="n"/>
      <c r="L9" s="233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inlineStr">
        <is>
          <t>4 DE ENERO 6652</t>
        </is>
      </c>
      <c r="C10" s="239" t="n">
        <v>1</v>
      </c>
      <c r="D10" s="239" t="n"/>
      <c r="E10" s="239" t="n"/>
      <c r="F10" s="240" t="n"/>
      <c r="G10" s="240" t="n"/>
      <c r="H10" s="259" t="n">
        <v>27000</v>
      </c>
      <c r="I10" s="260" t="n">
        <v>27000</v>
      </c>
      <c r="J10" s="260" t="n"/>
      <c r="K10" s="233" t="n"/>
      <c r="L10" s="233">
        <f>IF(K10&lt;&gt;"",12000+K10,12000)</f>
        <v/>
      </c>
      <c r="M10" s="156" t="n"/>
      <c r="N10" s="243" t="n"/>
      <c r="O10" s="244" t="n"/>
    </row>
    <row r="11" ht="21.75" customHeight="1" s="153">
      <c r="A11" s="227" t="n"/>
      <c r="B11" s="228" t="inlineStr">
        <is>
          <t>GUANELLA 4883</t>
        </is>
      </c>
      <c r="C11" s="229" t="n"/>
      <c r="D11" s="229" t="n">
        <v>1</v>
      </c>
      <c r="E11" s="229" t="n"/>
      <c r="F11" s="230" t="n"/>
      <c r="G11" s="230" t="n"/>
      <c r="H11" s="257" t="n">
        <v>37500</v>
      </c>
      <c r="I11" s="258" t="n"/>
      <c r="J11" s="258" t="n">
        <v>37500</v>
      </c>
      <c r="K11" s="233" t="n"/>
      <c r="L11" s="233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inlineStr">
        <is>
          <t>CARRANZA 8275</t>
        </is>
      </c>
      <c r="C12" s="239" t="n">
        <v>1</v>
      </c>
      <c r="D12" s="239" t="n"/>
      <c r="E12" s="239" t="n"/>
      <c r="F12" s="240" t="n"/>
      <c r="G12" s="240" t="n"/>
      <c r="H12" s="259" t="n">
        <v>26000</v>
      </c>
      <c r="I12" s="260" t="n"/>
      <c r="J12" s="260" t="n">
        <v>26000</v>
      </c>
      <c r="K12" s="233" t="n"/>
      <c r="L12" s="233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inlineStr">
        <is>
          <t>GENEIRO 8249</t>
        </is>
      </c>
      <c r="C13" s="229" t="n">
        <v>1</v>
      </c>
      <c r="D13" s="229" t="n"/>
      <c r="E13" s="229" t="n"/>
      <c r="F13" s="230" t="n"/>
      <c r="G13" s="230" t="n"/>
      <c r="H13" s="257" t="n">
        <v>26000</v>
      </c>
      <c r="I13" s="258" t="n"/>
      <c r="J13" s="258" t="n">
        <v>26000</v>
      </c>
      <c r="K13" s="233" t="n"/>
      <c r="L13" s="233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inlineStr">
        <is>
          <t>PANA ALBERTI</t>
        </is>
      </c>
      <c r="C14" s="239" t="n"/>
      <c r="D14" s="239" t="n"/>
      <c r="E14" s="239" t="n">
        <v>1</v>
      </c>
      <c r="F14" s="240" t="n"/>
      <c r="G14" s="240" t="n"/>
      <c r="H14" s="259" t="n">
        <v>82000</v>
      </c>
      <c r="I14" s="260" t="n">
        <v>82000</v>
      </c>
      <c r="J14" s="260" t="n"/>
      <c r="K14" s="233" t="n"/>
      <c r="L14" s="233">
        <f>IF(K14&lt;&gt;"",22000+K14,22000)</f>
        <v/>
      </c>
      <c r="M14" s="156" t="n"/>
      <c r="N14" s="243" t="n"/>
      <c r="O14" s="244" t="n"/>
    </row>
    <row r="15" ht="21.75" customHeight="1" s="153">
      <c r="A15" s="227" t="n"/>
      <c r="B15" s="228" t="inlineStr">
        <is>
          <t>BAGUETTE</t>
        </is>
      </c>
      <c r="C15" s="229" t="n"/>
      <c r="D15" s="229" t="n"/>
      <c r="E15" s="229" t="n">
        <v>1</v>
      </c>
      <c r="F15" s="230" t="n"/>
      <c r="G15" s="230" t="n"/>
      <c r="H15" s="257" t="n">
        <v>75000</v>
      </c>
      <c r="I15" s="258" t="n"/>
      <c r="J15" s="258" t="n">
        <v>75000</v>
      </c>
      <c r="K15" s="233" t="n"/>
      <c r="L15" s="233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inlineStr">
        <is>
          <t>RIVADAVIA 8280</t>
        </is>
      </c>
      <c r="C16" s="239" t="n"/>
      <c r="D16" s="239" t="n"/>
      <c r="E16" s="239" t="n">
        <v>1</v>
      </c>
      <c r="F16" s="240" t="n"/>
      <c r="G16" s="240" t="n"/>
      <c r="H16" s="259" t="n">
        <v>92000</v>
      </c>
      <c r="I16" s="260" t="n"/>
      <c r="J16" s="260" t="n">
        <v>92000</v>
      </c>
      <c r="K16" s="233" t="n"/>
      <c r="L16" s="233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inlineStr">
        <is>
          <t>LUCHO</t>
        </is>
      </c>
      <c r="C17" s="229" t="n">
        <v>1</v>
      </c>
      <c r="D17" s="229" t="n">
        <v>1</v>
      </c>
      <c r="E17" s="229" t="n"/>
      <c r="F17" s="230" t="n"/>
      <c r="G17" s="230" t="n"/>
      <c r="H17" s="257" t="n">
        <v>47500</v>
      </c>
      <c r="I17" s="258" t="n"/>
      <c r="J17" s="258" t="n">
        <v>47500</v>
      </c>
      <c r="K17" s="233" t="n"/>
      <c r="L17" s="233">
        <f>IF(K17&lt;&gt;"",10000+K17,10000)</f>
        <v/>
      </c>
      <c r="M17" s="156" t="n"/>
      <c r="N17" s="243" t="n"/>
      <c r="O17" s="244" t="n"/>
    </row>
    <row r="18" ht="21.75" customHeight="1" s="153">
      <c r="A18" s="237" t="n"/>
      <c r="B18" s="238" t="inlineStr">
        <is>
          <t>MARCIAL CANDIOTI 6281</t>
        </is>
      </c>
      <c r="C18" s="239" t="n"/>
      <c r="D18" s="239" t="n">
        <v>1</v>
      </c>
      <c r="E18" s="239" t="n"/>
      <c r="F18" s="240" t="n"/>
      <c r="G18" s="240" t="n"/>
      <c r="H18" s="259" t="n">
        <v>39000</v>
      </c>
      <c r="I18" s="260" t="n">
        <v>39000</v>
      </c>
      <c r="J18" s="260" t="n"/>
      <c r="K18" s="233" t="n"/>
      <c r="L18" s="233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inlineStr">
        <is>
          <t>BRASERIA</t>
        </is>
      </c>
      <c r="C19" s="229" t="n"/>
      <c r="D19" s="229" t="n"/>
      <c r="E19" s="229" t="n">
        <v>1</v>
      </c>
      <c r="F19" s="230" t="n"/>
      <c r="G19" s="230" t="n"/>
      <c r="H19" s="257" t="n">
        <v>83000</v>
      </c>
      <c r="I19" s="258" t="n"/>
      <c r="J19" s="258" t="n">
        <v>83000</v>
      </c>
      <c r="K19" s="233" t="n"/>
      <c r="L19" s="233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27" t="n">
        <v>46144</v>
      </c>
      <c r="B20" s="228" t="inlineStr">
        <is>
          <t>RIVADAVIA JUNIORS</t>
        </is>
      </c>
      <c r="C20" s="229" t="n">
        <v>2</v>
      </c>
      <c r="D20" s="229" t="n"/>
      <c r="E20" s="229" t="n"/>
      <c r="F20" s="230" t="n"/>
      <c r="G20" s="230" t="n"/>
      <c r="H20" s="257" t="n">
        <v>52000</v>
      </c>
      <c r="I20" s="258" t="n">
        <v>52000</v>
      </c>
      <c r="J20" s="258" t="n"/>
      <c r="K20" s="233" t="n"/>
      <c r="L20" s="233">
        <f>IF(K20&lt;&gt;"",22000+K20,22000)</f>
        <v/>
      </c>
      <c r="M20" s="156" t="n"/>
      <c r="N20" s="243" t="n"/>
      <c r="O20" s="244" t="n"/>
    </row>
    <row r="21" ht="21.75" customHeight="1" s="153">
      <c r="A21" s="237" t="n"/>
      <c r="B21" s="238" t="inlineStr">
        <is>
          <t>URQUIZA 9309</t>
        </is>
      </c>
      <c r="C21" s="239" t="n">
        <v>2</v>
      </c>
      <c r="D21" s="239" t="n">
        <v>1</v>
      </c>
      <c r="E21" s="239" t="n"/>
      <c r="F21" s="240" t="n"/>
      <c r="G21" s="240" t="n"/>
      <c r="H21" s="259" t="n">
        <v>68500</v>
      </c>
      <c r="I21" s="260" t="n"/>
      <c r="J21" s="260" t="n">
        <v>68500</v>
      </c>
      <c r="K21" s="233" t="n"/>
      <c r="L21" s="233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27" t="n"/>
      <c r="B22" s="228" t="inlineStr">
        <is>
          <t>BEATRIZ</t>
        </is>
      </c>
      <c r="C22" s="229" t="n"/>
      <c r="D22" s="229" t="n"/>
      <c r="E22" s="229" t="n"/>
      <c r="F22" s="230" t="n"/>
      <c r="G22" s="230" t="n">
        <v>2</v>
      </c>
      <c r="H22" s="257" t="n">
        <v>12000</v>
      </c>
      <c r="I22" s="258" t="n"/>
      <c r="J22" s="258" t="n">
        <v>12000</v>
      </c>
      <c r="K22" s="233" t="n"/>
      <c r="L22" s="233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37" t="n"/>
      <c r="B23" s="238" t="inlineStr">
        <is>
          <t>LAVALLE 4859</t>
        </is>
      </c>
      <c r="C23" s="239" t="n">
        <v>1</v>
      </c>
      <c r="D23" s="239" t="n"/>
      <c r="E23" s="239" t="n"/>
      <c r="F23" s="240" t="n"/>
      <c r="G23" s="240" t="n"/>
      <c r="H23" s="259" t="n">
        <v>26000</v>
      </c>
      <c r="I23" s="260" t="n">
        <v>26000</v>
      </c>
      <c r="J23" s="260" t="n"/>
      <c r="K23" s="233" t="n"/>
      <c r="L23" s="233">
        <f>IF(K23&lt;&gt;"",11000+K23,11000)</f>
        <v/>
      </c>
      <c r="M23" s="156" t="n"/>
      <c r="N23" s="156" t="n"/>
      <c r="O23" s="156" t="n"/>
    </row>
    <row r="24" ht="18.75" customHeight="1" s="153">
      <c r="A24" s="227" t="n"/>
      <c r="B24" s="228" t="inlineStr">
        <is>
          <t>DOMINGO SILVA 4217</t>
        </is>
      </c>
      <c r="C24" s="229" t="n">
        <v>1</v>
      </c>
      <c r="D24" s="229" t="n">
        <v>1</v>
      </c>
      <c r="E24" s="229" t="n"/>
      <c r="F24" s="230" t="n"/>
      <c r="G24" s="230" t="n"/>
      <c r="H24" s="257" t="n">
        <v>47500</v>
      </c>
      <c r="I24" s="258" t="n"/>
      <c r="J24" s="258" t="n">
        <v>47500</v>
      </c>
      <c r="K24" s="233" t="n"/>
      <c r="L24" s="233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37" t="n"/>
      <c r="B25" s="238" t="inlineStr">
        <is>
          <t>ALSINA 7981</t>
        </is>
      </c>
      <c r="C25" s="239" t="n"/>
      <c r="D25" s="239" t="n"/>
      <c r="E25" s="239" t="n">
        <v>1</v>
      </c>
      <c r="F25" s="240" t="n"/>
      <c r="G25" s="240" t="n"/>
      <c r="H25" s="259" t="n">
        <v>84000</v>
      </c>
      <c r="I25" s="260" t="n">
        <v>84000</v>
      </c>
      <c r="J25" s="260" t="n"/>
      <c r="K25" s="233" t="n"/>
      <c r="L25" s="233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27" t="n"/>
      <c r="B26" s="228" t="inlineStr">
        <is>
          <t>ROTI SAN LORENZO</t>
        </is>
      </c>
      <c r="C26" s="229" t="n">
        <v>2</v>
      </c>
      <c r="D26" s="229" t="n">
        <v>1</v>
      </c>
      <c r="E26" s="229" t="n"/>
      <c r="F26" s="230" t="n"/>
      <c r="G26" s="230" t="n"/>
      <c r="H26" s="257" t="n">
        <v>85000</v>
      </c>
      <c r="I26" s="258" t="n"/>
      <c r="J26" s="258" t="n">
        <v>85000</v>
      </c>
      <c r="K26" s="233" t="n"/>
      <c r="L26" s="233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37" t="n"/>
      <c r="B27" s="238" t="inlineStr">
        <is>
          <t>OTNIEL</t>
        </is>
      </c>
      <c r="C27" s="239" t="n"/>
      <c r="D27" s="239" t="n">
        <v>1</v>
      </c>
      <c r="E27" s="239" t="n">
        <v>1</v>
      </c>
      <c r="F27" s="240" t="n"/>
      <c r="G27" s="240" t="n"/>
      <c r="H27" s="259" t="n">
        <v>115000</v>
      </c>
      <c r="I27" s="260" t="n">
        <v>115000</v>
      </c>
      <c r="J27" s="260" t="n"/>
      <c r="K27" s="233" t="n"/>
      <c r="L27" s="233">
        <f>IF(K27&lt;&gt;"",32500+K27,32500)</f>
        <v/>
      </c>
      <c r="M27" s="156" t="n"/>
      <c r="N27" s="156" t="n"/>
      <c r="O27" s="156" t="n"/>
    </row>
    <row r="28" ht="18.75" customHeight="1" s="153">
      <c r="A28" s="227" t="n"/>
      <c r="B28" s="228" t="inlineStr">
        <is>
          <t>MARCE DUSO</t>
        </is>
      </c>
      <c r="C28" s="229" t="n">
        <v>3</v>
      </c>
      <c r="D28" s="229" t="n"/>
      <c r="E28" s="229" t="n"/>
      <c r="F28" s="230" t="n"/>
      <c r="G28" s="230" t="n"/>
      <c r="H28" s="257" t="n">
        <v>57000</v>
      </c>
      <c r="I28" s="258" t="n">
        <v>57000</v>
      </c>
      <c r="J28" s="258" t="n"/>
      <c r="K28" s="233" t="n"/>
      <c r="L28" s="233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37" t="n"/>
      <c r="B29" s="238" t="inlineStr">
        <is>
          <t>VIÑAS 9420</t>
        </is>
      </c>
      <c r="C29" s="239" t="n"/>
      <c r="D29" s="239" t="n"/>
      <c r="E29" s="239" t="n">
        <v>1</v>
      </c>
      <c r="F29" s="240" t="n"/>
      <c r="G29" s="240" t="n"/>
      <c r="H29" s="259" t="n">
        <v>92000</v>
      </c>
      <c r="I29" s="260" t="n"/>
      <c r="J29" s="260" t="n">
        <v>92000</v>
      </c>
      <c r="K29" s="233" t="n"/>
      <c r="L29" s="233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27" t="n"/>
      <c r="B30" s="228" t="inlineStr">
        <is>
          <t>VIANDAS JORGE</t>
        </is>
      </c>
      <c r="C30" s="229" t="n">
        <v>1</v>
      </c>
      <c r="D30" s="229" t="n"/>
      <c r="E30" s="229" t="n"/>
      <c r="F30" s="230" t="n"/>
      <c r="G30" s="230" t="n"/>
      <c r="H30" s="257" t="n">
        <v>22000</v>
      </c>
      <c r="I30" s="258" t="n">
        <v>22000</v>
      </c>
      <c r="J30" s="258" t="n"/>
      <c r="K30" s="233" t="n"/>
      <c r="L30" s="233">
        <f>IF(K30&lt;&gt;"",7000+K30,7000)</f>
        <v/>
      </c>
      <c r="M30" s="156" t="n"/>
      <c r="N30" s="156" t="n"/>
      <c r="O30" s="156" t="n"/>
    </row>
    <row r="31" ht="18.75" customHeight="1" s="153">
      <c r="A31" s="237" t="n"/>
      <c r="B31" s="238" t="inlineStr">
        <is>
          <t>JOSE CIBILS 6789</t>
        </is>
      </c>
      <c r="C31" s="239" t="n"/>
      <c r="D31" s="239" t="n"/>
      <c r="E31" s="239" t="n">
        <v>1</v>
      </c>
      <c r="F31" s="240" t="n"/>
      <c r="G31" s="240" t="n"/>
      <c r="H31" s="259" t="n">
        <v>91000</v>
      </c>
      <c r="I31" s="260" t="n">
        <v>91000</v>
      </c>
      <c r="J31" s="260" t="n"/>
      <c r="K31" s="233" t="n"/>
      <c r="L31" s="233">
        <f>IF(K31&lt;&gt;"",31000+K31,31000)</f>
        <v/>
      </c>
      <c r="M31" s="156" t="n"/>
      <c r="N31" s="156" t="n"/>
      <c r="O31" s="156" t="n"/>
    </row>
    <row r="32" ht="18.75" customHeight="1" s="153">
      <c r="A32" s="227" t="n"/>
      <c r="B32" s="228" t="inlineStr">
        <is>
          <t>RICARDO ALDAO 3082</t>
        </is>
      </c>
      <c r="C32" s="229" t="n">
        <v>1</v>
      </c>
      <c r="D32" s="229" t="n"/>
      <c r="E32" s="229" t="n"/>
      <c r="F32" s="230" t="n"/>
      <c r="G32" s="230" t="n"/>
      <c r="H32" s="257" t="n">
        <v>26000</v>
      </c>
      <c r="I32" s="258" t="n">
        <v>26000</v>
      </c>
      <c r="J32" s="258" t="n"/>
      <c r="K32" s="233" t="n"/>
      <c r="L32" s="233">
        <f>IF(K32&lt;&gt;"",11000+K32,11000)</f>
        <v/>
      </c>
      <c r="M32" s="156" t="n"/>
      <c r="N32" s="156" t="n"/>
      <c r="O32" s="156" t="n"/>
    </row>
    <row r="33" ht="18.75" customHeight="1" s="153">
      <c r="A33" s="237" t="n"/>
      <c r="B33" s="238" t="inlineStr">
        <is>
          <t>FLORENCIO FERNANDEZ 6196</t>
        </is>
      </c>
      <c r="C33" s="239" t="n">
        <v>10</v>
      </c>
      <c r="D33" s="239" t="n"/>
      <c r="E33" s="239" t="n"/>
      <c r="F33" s="240" t="n"/>
      <c r="G33" s="240" t="n"/>
      <c r="H33" s="259" t="n">
        <v>185000</v>
      </c>
      <c r="I33" s="260" t="n"/>
      <c r="J33" s="260" t="n">
        <v>185000</v>
      </c>
      <c r="K33" s="233" t="n"/>
      <c r="L33" s="233">
        <f>IF(K33&lt;&gt;"",35000+K33,35000)</f>
        <v/>
      </c>
      <c r="M33" s="156" t="n"/>
      <c r="N33" s="156" t="n"/>
      <c r="O33" s="156" t="n"/>
    </row>
    <row r="34" ht="18.75" customHeight="1" s="153">
      <c r="A34" s="227" t="n"/>
      <c r="B34" s="228" t="inlineStr">
        <is>
          <t>FLORES 1 CANCHITA</t>
        </is>
      </c>
      <c r="C34" s="229" t="n">
        <v>1</v>
      </c>
      <c r="D34" s="229" t="n"/>
      <c r="E34" s="229" t="n"/>
      <c r="F34" s="230" t="n"/>
      <c r="G34" s="230" t="n"/>
      <c r="H34" s="257" t="n">
        <v>26000</v>
      </c>
      <c r="I34" s="258" t="n">
        <v>26000</v>
      </c>
      <c r="J34" s="258" t="n"/>
      <c r="K34" s="233" t="n"/>
      <c r="L34" s="233">
        <f>IF(K34&lt;&gt;"",11000+K34,11000)</f>
        <v/>
      </c>
      <c r="M34" s="156" t="n"/>
      <c r="N34" s="156" t="n"/>
      <c r="O34" s="156" t="n"/>
    </row>
    <row r="35" ht="18.75" customHeight="1" s="153">
      <c r="A35" s="237" t="n"/>
      <c r="B35" s="238" t="inlineStr">
        <is>
          <t>GORRITI 4661</t>
        </is>
      </c>
      <c r="C35" s="239" t="n">
        <v>1</v>
      </c>
      <c r="D35" s="239" t="n"/>
      <c r="E35" s="239" t="n"/>
      <c r="F35" s="240" t="n"/>
      <c r="G35" s="240" t="n"/>
      <c r="H35" s="259" t="n">
        <v>26000</v>
      </c>
      <c r="I35" s="260" t="n"/>
      <c r="J35" s="260" t="n">
        <v>26000</v>
      </c>
      <c r="K35" s="233" t="n"/>
      <c r="L35" s="233">
        <f>IF(K35&lt;&gt;"",11000+K35,11000)</f>
        <v/>
      </c>
      <c r="M35" s="156" t="n"/>
      <c r="N35" s="156" t="n"/>
      <c r="O35" s="156" t="n"/>
    </row>
    <row r="36" ht="18.75" customHeight="1" s="153">
      <c r="A36" s="227" t="n"/>
      <c r="B36" s="228" t="inlineStr">
        <is>
          <t>AZOPARDO Y FLORENCIO SANCHEZ</t>
        </is>
      </c>
      <c r="C36" s="229" t="n"/>
      <c r="D36" s="229" t="n">
        <v>1</v>
      </c>
      <c r="E36" s="229" t="n"/>
      <c r="F36" s="230" t="n"/>
      <c r="G36" s="230" t="n"/>
      <c r="H36" s="257" t="n">
        <v>35500</v>
      </c>
      <c r="I36" s="258" t="n"/>
      <c r="J36" s="258" t="n">
        <v>35500</v>
      </c>
      <c r="K36" s="233" t="n"/>
      <c r="L36" s="233">
        <f>IF(K36&lt;&gt;"",13000+K36,13000)</f>
        <v/>
      </c>
      <c r="M36" s="156" t="n"/>
      <c r="N36" s="156" t="n"/>
      <c r="O36" s="156" t="n"/>
    </row>
    <row r="37" ht="18.75" customHeight="1" s="153">
      <c r="A37" s="237" t="n"/>
      <c r="B37" s="238" t="inlineStr">
        <is>
          <t>CALLE 14 3363</t>
        </is>
      </c>
      <c r="C37" s="239" t="n"/>
      <c r="D37" s="239" t="n"/>
      <c r="E37" s="239" t="n">
        <v>1</v>
      </c>
      <c r="F37" s="240" t="n"/>
      <c r="G37" s="240" t="n"/>
      <c r="H37" s="259" t="n">
        <v>91000</v>
      </c>
      <c r="I37" s="260" t="n"/>
      <c r="J37" s="260" t="n">
        <v>91000</v>
      </c>
      <c r="K37" s="233" t="n"/>
      <c r="L37" s="233">
        <f>IF(K37&lt;&gt;"",31000+K37,31000)</f>
        <v/>
      </c>
      <c r="M37" s="156" t="n"/>
      <c r="N37" s="156" t="n"/>
      <c r="O37" s="156" t="n"/>
    </row>
    <row r="38" ht="18.75" customHeight="1" s="153">
      <c r="A38" s="227" t="n"/>
      <c r="B38" s="228" t="inlineStr">
        <is>
          <t>REMEDIO DE ESCALADA</t>
        </is>
      </c>
      <c r="C38" s="229" t="n"/>
      <c r="D38" s="229" t="n"/>
      <c r="E38" s="229" t="n">
        <v>2</v>
      </c>
      <c r="F38" s="230" t="n"/>
      <c r="G38" s="230" t="n"/>
      <c r="H38" s="257" t="n">
        <v>180000</v>
      </c>
      <c r="I38" s="258" t="n">
        <v>180000</v>
      </c>
      <c r="J38" s="258" t="n"/>
      <c r="K38" s="233" t="n"/>
      <c r="L38" s="233">
        <f>IF(K38&lt;&gt;"",60000+K38,60000)</f>
        <v/>
      </c>
      <c r="M38" s="156" t="n"/>
      <c r="N38" s="156" t="n"/>
      <c r="O38" s="156" t="n"/>
    </row>
    <row r="39" ht="18.75" customHeight="1" s="153">
      <c r="A39" s="237" t="n"/>
      <c r="B39" s="238" t="inlineStr">
        <is>
          <t>LUCHO</t>
        </is>
      </c>
      <c r="C39" s="239" t="n">
        <v>1</v>
      </c>
      <c r="D39" s="239" t="n">
        <v>1</v>
      </c>
      <c r="E39" s="239" t="n"/>
      <c r="F39" s="240" t="n"/>
      <c r="G39" s="240" t="n"/>
      <c r="H39" s="259" t="n">
        <v>47500</v>
      </c>
      <c r="I39" s="260" t="n"/>
      <c r="J39" s="260" t="n">
        <v>47500</v>
      </c>
      <c r="K39" s="233" t="n"/>
      <c r="L39" s="233">
        <f>IF(K39&lt;&gt;"",10000+K39,10000)</f>
        <v/>
      </c>
      <c r="M39" s="156" t="n"/>
      <c r="N39" s="156" t="n"/>
      <c r="O39" s="156" t="n"/>
    </row>
    <row r="40" ht="18.75" customHeight="1" s="153">
      <c r="A40" s="227" t="n"/>
      <c r="B40" s="228" t="inlineStr">
        <is>
          <t>SAN JUAN 1963</t>
        </is>
      </c>
      <c r="C40" s="229" t="n"/>
      <c r="D40" s="229" t="n"/>
      <c r="E40" s="229" t="n">
        <v>1</v>
      </c>
      <c r="F40" s="230" t="n"/>
      <c r="G40" s="230" t="n"/>
      <c r="H40" s="257" t="n">
        <v>91000</v>
      </c>
      <c r="I40" s="258" t="n"/>
      <c r="J40" s="258" t="n">
        <v>91000</v>
      </c>
      <c r="K40" s="233" t="n"/>
      <c r="L40" s="233">
        <f>IF(K40&lt;&gt;"",31000+K40,31000)</f>
        <v/>
      </c>
      <c r="M40" s="156" t="n"/>
      <c r="N40" s="156" t="n"/>
      <c r="O40" s="156" t="n"/>
    </row>
    <row r="41" ht="18.75" customHeight="1" s="153">
      <c r="A41" s="237" t="n"/>
      <c r="B41" s="238" t="inlineStr">
        <is>
          <t>URQUIZA 9309</t>
        </is>
      </c>
      <c r="C41" s="239" t="n">
        <v>3</v>
      </c>
      <c r="D41" s="239" t="n">
        <v>1</v>
      </c>
      <c r="E41" s="239" t="n"/>
      <c r="F41" s="240" t="n"/>
      <c r="G41" s="240" t="n"/>
      <c r="H41" s="259" t="n">
        <v>88000</v>
      </c>
      <c r="I41" s="260" t="n"/>
      <c r="J41" s="260" t="n">
        <v>88000</v>
      </c>
      <c r="K41" s="233" t="n"/>
      <c r="L41" s="233">
        <f>IF(K41&lt;&gt;"",20500+K41,20500)</f>
        <v/>
      </c>
      <c r="M41" s="156" t="n"/>
      <c r="N41" s="156" t="n"/>
      <c r="O41" s="156" t="n"/>
    </row>
    <row r="42" ht="18.75" customHeight="1" s="153">
      <c r="A42" s="227" t="n"/>
      <c r="B42" s="228" t="inlineStr">
        <is>
          <t>MISIONES 4693</t>
        </is>
      </c>
      <c r="C42" s="229" t="n"/>
      <c r="D42" s="229" t="n"/>
      <c r="E42" s="229" t="n">
        <v>1</v>
      </c>
      <c r="F42" s="230" t="n"/>
      <c r="G42" s="230" t="n"/>
      <c r="H42" s="257" t="n">
        <v>91000</v>
      </c>
      <c r="I42" s="258" t="n"/>
      <c r="J42" s="258" t="n">
        <v>91000</v>
      </c>
      <c r="K42" s="233" t="n"/>
      <c r="L42" s="233">
        <f>IF(K42&lt;&gt;"",31000+K42,31000)</f>
        <v/>
      </c>
      <c r="M42" s="156" t="n"/>
      <c r="N42" s="156" t="n"/>
      <c r="O42" s="156" t="n"/>
    </row>
    <row r="43" ht="18.75" customHeight="1" s="153">
      <c r="A43" s="237" t="n"/>
      <c r="B43" s="238" t="inlineStr">
        <is>
          <t>FILOMENA</t>
        </is>
      </c>
      <c r="C43" s="239" t="n">
        <v>2</v>
      </c>
      <c r="D43" s="239" t="n"/>
      <c r="E43" s="239" t="n"/>
      <c r="F43" s="240" t="n"/>
      <c r="G43" s="240" t="n"/>
      <c r="H43" s="259" t="n">
        <v>46000</v>
      </c>
      <c r="I43" s="260" t="n"/>
      <c r="J43" s="260" t="n">
        <v>46000</v>
      </c>
      <c r="K43" s="233" t="n"/>
      <c r="L43" s="233">
        <f>IF(K43&lt;&gt;"",16000+K43,16000)</f>
        <v/>
      </c>
      <c r="M43" s="156" t="n"/>
      <c r="N43" s="156" t="n"/>
      <c r="O43" s="156" t="n"/>
    </row>
    <row r="44" ht="18.75" customHeight="1" s="153">
      <c r="A44" s="227" t="n"/>
      <c r="B44" s="228" t="inlineStr">
        <is>
          <t>PANA VIEYTES GISELA</t>
        </is>
      </c>
      <c r="C44" s="229" t="n">
        <v>2</v>
      </c>
      <c r="D44" s="229" t="n"/>
      <c r="E44" s="229" t="n"/>
      <c r="F44" s="230" t="n"/>
      <c r="G44" s="230" t="n"/>
      <c r="H44" s="257" t="n">
        <v>44000</v>
      </c>
      <c r="I44" s="258" t="n"/>
      <c r="J44" s="258" t="n">
        <v>44000</v>
      </c>
      <c r="K44" s="233" t="n"/>
      <c r="L44" s="233">
        <f>IF(K44&lt;&gt;"",14000+K44,14000)</f>
        <v/>
      </c>
      <c r="M44" s="156" t="n"/>
      <c r="N44" s="156" t="n"/>
      <c r="O44" s="156" t="n"/>
    </row>
    <row r="45" ht="18.75" customHeight="1" s="153">
      <c r="A45" s="237" t="n"/>
      <c r="B45" s="238" t="inlineStr">
        <is>
          <t>SABOREAR</t>
        </is>
      </c>
      <c r="C45" s="239" t="n">
        <v>1</v>
      </c>
      <c r="D45" s="239" t="n"/>
      <c r="E45" s="239" t="n"/>
      <c r="F45" s="240" t="n"/>
      <c r="G45" s="240" t="n"/>
      <c r="H45" s="259" t="n">
        <v>22500</v>
      </c>
      <c r="I45" s="260" t="n"/>
      <c r="J45" s="260" t="n">
        <v>22500</v>
      </c>
      <c r="K45" s="233" t="n"/>
      <c r="L45" s="233">
        <f>IF(K45&lt;&gt;"",7500+K45,7500)</f>
        <v/>
      </c>
      <c r="M45" s="156" t="n"/>
      <c r="N45" s="156" t="n"/>
      <c r="O45" s="156" t="n"/>
    </row>
    <row r="46" ht="18.75" customHeight="1" s="153">
      <c r="A46" s="227" t="n"/>
      <c r="B46" s="228" t="inlineStr">
        <is>
          <t>PAVON 4712</t>
        </is>
      </c>
      <c r="C46" s="229" t="n">
        <v>1</v>
      </c>
      <c r="D46" s="229" t="n"/>
      <c r="E46" s="229" t="n"/>
      <c r="F46" s="230" t="n"/>
      <c r="G46" s="230" t="n"/>
      <c r="H46" s="257" t="n">
        <v>26000</v>
      </c>
      <c r="I46" s="258" t="n"/>
      <c r="J46" s="258" t="n">
        <v>26000</v>
      </c>
      <c r="K46" s="233" t="n"/>
      <c r="L46" s="233">
        <f>IF(K46&lt;&gt;"",11000+K46,11000)</f>
        <v/>
      </c>
      <c r="M46" s="156" t="n"/>
      <c r="N46" s="156" t="n"/>
      <c r="O46" s="156" t="n"/>
    </row>
    <row r="47" ht="18.75" customHeight="1" s="153">
      <c r="A47" s="237" t="n"/>
      <c r="B47" s="238" t="inlineStr">
        <is>
          <t>LAVADERO</t>
        </is>
      </c>
      <c r="C47" s="239" t="n">
        <v>2</v>
      </c>
      <c r="D47" s="239" t="n"/>
      <c r="E47" s="239" t="n"/>
      <c r="F47" s="240" t="n"/>
      <c r="G47" s="240" t="n"/>
      <c r="H47" s="259" t="n">
        <v>38000</v>
      </c>
      <c r="I47" s="260" t="n">
        <v>38000</v>
      </c>
      <c r="J47" s="260" t="n"/>
      <c r="K47" s="233" t="n"/>
      <c r="L47" s="233">
        <f>IF(K47&lt;&gt;"",8000+K47,8000)</f>
        <v/>
      </c>
      <c r="M47" s="156" t="n"/>
      <c r="N47" s="156" t="n"/>
      <c r="O47" s="156" t="n"/>
    </row>
    <row r="48" ht="18.75" customHeight="1" s="153">
      <c r="A48" s="227" t="n">
        <v>46145</v>
      </c>
      <c r="B48" s="228" t="inlineStr">
        <is>
          <t>PEDRONI 6704</t>
        </is>
      </c>
      <c r="C48" s="229" t="n"/>
      <c r="D48" s="229" t="n"/>
      <c r="E48" s="229" t="n">
        <v>1</v>
      </c>
      <c r="F48" s="230" t="n"/>
      <c r="G48" s="230" t="n"/>
      <c r="H48" s="257" t="n">
        <v>90000</v>
      </c>
      <c r="I48" s="258" t="n">
        <v>90000</v>
      </c>
      <c r="J48" s="258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inlineStr">
        <is>
          <t>CÓRDOBA 2753</t>
        </is>
      </c>
      <c r="C49" s="229" t="n"/>
      <c r="D49" s="229" t="n"/>
      <c r="E49" s="229" t="n">
        <v>1</v>
      </c>
      <c r="F49" s="230" t="n"/>
      <c r="G49" s="230" t="n"/>
      <c r="H49" s="257" t="n">
        <v>91000</v>
      </c>
      <c r="I49" s="258" t="n">
        <v>91000</v>
      </c>
      <c r="J49" s="258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27" t="n"/>
      <c r="B50" s="228" t="inlineStr">
        <is>
          <t>AYACUCHO 5644</t>
        </is>
      </c>
      <c r="C50" s="229" t="n"/>
      <c r="D50" s="229" t="n"/>
      <c r="E50" s="229" t="n">
        <v>1</v>
      </c>
      <c r="F50" s="230" t="n"/>
      <c r="G50" s="230" t="n"/>
      <c r="H50" s="257" t="n">
        <v>91000</v>
      </c>
      <c r="I50" s="258" t="n"/>
      <c r="J50" s="258" t="n">
        <v>91000</v>
      </c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inlineStr">
        <is>
          <t>DOMINGO SILVA 4217</t>
        </is>
      </c>
      <c r="C51" s="229" t="n">
        <v>2</v>
      </c>
      <c r="D51" s="229" t="n"/>
      <c r="E51" s="229" t="n"/>
      <c r="F51" s="230" t="n"/>
      <c r="G51" s="230" t="n"/>
      <c r="H51" s="257" t="n">
        <v>38000</v>
      </c>
      <c r="I51" s="258" t="n">
        <v>38000</v>
      </c>
      <c r="J51" s="258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27" t="n"/>
      <c r="B52" s="228" t="inlineStr">
        <is>
          <t>JOSÉ 6529</t>
        </is>
      </c>
      <c r="C52" s="229" t="n"/>
      <c r="D52" s="229" t="n"/>
      <c r="E52" s="229" t="n">
        <v>1</v>
      </c>
      <c r="F52" s="230" t="n"/>
      <c r="G52" s="230" t="n"/>
      <c r="H52" s="257" t="n">
        <v>95000</v>
      </c>
      <c r="I52" s="258" t="n"/>
      <c r="J52" s="258" t="n">
        <v>95000</v>
      </c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inlineStr">
        <is>
          <t>PORKIS</t>
        </is>
      </c>
      <c r="C53" s="229" t="n">
        <v>1</v>
      </c>
      <c r="D53" s="229" t="n"/>
      <c r="E53" s="229" t="n"/>
      <c r="F53" s="230" t="n"/>
      <c r="G53" s="230" t="n"/>
      <c r="H53" s="257" t="n">
        <v>23000</v>
      </c>
      <c r="I53" s="258" t="n"/>
      <c r="J53" s="258" t="n">
        <v>23000</v>
      </c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27" t="n"/>
      <c r="B54" s="228" t="inlineStr">
        <is>
          <t>LUCHO</t>
        </is>
      </c>
      <c r="C54" s="229" t="n">
        <v>1</v>
      </c>
      <c r="D54" s="229" t="n">
        <v>1</v>
      </c>
      <c r="E54" s="229" t="n"/>
      <c r="F54" s="230" t="n"/>
      <c r="G54" s="230" t="n"/>
      <c r="H54" s="257" t="n">
        <v>47500</v>
      </c>
      <c r="I54" s="258" t="n"/>
      <c r="J54" s="258" t="n">
        <v>47500</v>
      </c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inlineStr">
        <is>
          <t>SERVANDO 6858</t>
        </is>
      </c>
      <c r="C55" s="229" t="n"/>
      <c r="D55" s="229" t="n"/>
      <c r="E55" s="229" t="n">
        <v>1</v>
      </c>
      <c r="F55" s="230" t="n"/>
      <c r="G55" s="230" t="n"/>
      <c r="H55" s="257" t="n">
        <v>91000</v>
      </c>
      <c r="I55" s="258" t="n">
        <v>91000</v>
      </c>
      <c r="J55" s="258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27" t="n"/>
      <c r="B56" s="228" t="inlineStr">
        <is>
          <t>QUINTANA 1868</t>
        </is>
      </c>
      <c r="C56" s="229" t="n">
        <v>1</v>
      </c>
      <c r="D56" s="229" t="n"/>
      <c r="E56" s="229" t="n"/>
      <c r="F56" s="230" t="n"/>
      <c r="G56" s="230" t="n"/>
      <c r="H56" s="257" t="n">
        <v>27000</v>
      </c>
      <c r="I56" s="258" t="n">
        <v>27000</v>
      </c>
      <c r="J56" s="258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inlineStr">
        <is>
          <t>SANTA CRUZ 3051</t>
        </is>
      </c>
      <c r="C57" s="229" t="n"/>
      <c r="D57" s="229" t="n"/>
      <c r="E57" s="229" t="n">
        <v>1</v>
      </c>
      <c r="F57" s="230" t="n"/>
      <c r="G57" s="230" t="n"/>
      <c r="H57" s="257" t="n">
        <v>78000</v>
      </c>
      <c r="I57" s="258" t="n">
        <v>78000</v>
      </c>
      <c r="J57" s="258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27" t="n"/>
      <c r="B58" s="228" t="inlineStr">
        <is>
          <t>GABOTO 8168</t>
        </is>
      </c>
      <c r="C58" s="229" t="n"/>
      <c r="D58" s="229" t="n"/>
      <c r="E58" s="229" t="n">
        <v>1</v>
      </c>
      <c r="F58" s="230" t="n"/>
      <c r="G58" s="230" t="n"/>
      <c r="H58" s="257" t="n">
        <v>91000</v>
      </c>
      <c r="I58" s="258" t="n">
        <v>91000</v>
      </c>
      <c r="J58" s="258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inlineStr">
        <is>
          <t>DUCHO</t>
        </is>
      </c>
      <c r="C59" s="229" t="n">
        <v>1</v>
      </c>
      <c r="D59" s="229" t="n"/>
      <c r="E59" s="229" t="n"/>
      <c r="F59" s="230" t="n"/>
      <c r="G59" s="230" t="n"/>
      <c r="H59" s="257" t="n">
        <v>19000</v>
      </c>
      <c r="I59" s="258" t="n"/>
      <c r="J59" s="258" t="n">
        <v>19000</v>
      </c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27" t="n"/>
      <c r="B60" s="228" t="inlineStr">
        <is>
          <t>50 Y 23</t>
        </is>
      </c>
      <c r="C60" s="229" t="n">
        <v>3</v>
      </c>
      <c r="D60" s="229" t="n"/>
      <c r="E60" s="229" t="n"/>
      <c r="F60" s="230" t="n"/>
      <c r="G60" s="230" t="n"/>
      <c r="H60" s="257" t="n">
        <v>57000</v>
      </c>
      <c r="I60" s="258" t="n">
        <v>57000</v>
      </c>
      <c r="J60" s="258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inlineStr">
        <is>
          <t>9 DE JULIO 1356</t>
        </is>
      </c>
      <c r="C61" s="229" t="n">
        <v>1</v>
      </c>
      <c r="D61" s="229" t="n"/>
      <c r="E61" s="229" t="n"/>
      <c r="F61" s="230" t="n"/>
      <c r="G61" s="230" t="n"/>
      <c r="H61" s="257" t="n">
        <v>27000</v>
      </c>
      <c r="I61" s="258" t="n">
        <v>27000</v>
      </c>
      <c r="J61" s="258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27" t="n"/>
      <c r="B62" s="228" t="inlineStr">
        <is>
          <t>AVELLANEDA 4448</t>
        </is>
      </c>
      <c r="C62" s="229" t="n"/>
      <c r="D62" s="229" t="n"/>
      <c r="E62" s="229" t="n">
        <v>1</v>
      </c>
      <c r="F62" s="230" t="n"/>
      <c r="G62" s="230" t="n"/>
      <c r="H62" s="257" t="n">
        <v>87000</v>
      </c>
      <c r="I62" s="258" t="n"/>
      <c r="J62" s="258" t="n">
        <v>87000</v>
      </c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inlineStr">
        <is>
          <t>AZOPARDO 6965</t>
        </is>
      </c>
      <c r="C63" s="229" t="n"/>
      <c r="D63" s="229" t="n"/>
      <c r="E63" s="229" t="n">
        <v>1</v>
      </c>
      <c r="F63" s="230" t="n"/>
      <c r="G63" s="230" t="n"/>
      <c r="H63" s="257" t="n">
        <v>91000</v>
      </c>
      <c r="I63" s="258" t="n"/>
      <c r="J63" s="258" t="n">
        <v>91000</v>
      </c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27" t="n"/>
      <c r="B64" s="228" t="inlineStr">
        <is>
          <t>EXE</t>
        </is>
      </c>
      <c r="C64" s="229" t="n"/>
      <c r="D64" s="229" t="n"/>
      <c r="E64" s="229" t="n">
        <v>1</v>
      </c>
      <c r="F64" s="230" t="n"/>
      <c r="G64" s="230" t="n"/>
      <c r="H64" s="257" t="n">
        <v>82000</v>
      </c>
      <c r="I64" s="258" t="n"/>
      <c r="J64" s="258" t="n">
        <v>82000</v>
      </c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inlineStr">
        <is>
          <t>CAREN</t>
        </is>
      </c>
      <c r="C65" s="229" t="n"/>
      <c r="D65" s="229" t="n"/>
      <c r="E65" s="229" t="n">
        <v>1</v>
      </c>
      <c r="F65" s="230" t="n"/>
      <c r="G65" s="230" t="n"/>
      <c r="H65" s="257" t="n">
        <v>82000</v>
      </c>
      <c r="I65" s="258" t="n"/>
      <c r="J65" s="258" t="n">
        <v>82000</v>
      </c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27" t="n"/>
      <c r="B66" s="228" t="inlineStr">
        <is>
          <t>DANA</t>
        </is>
      </c>
      <c r="C66" s="229" t="n">
        <v>4</v>
      </c>
      <c r="D66" s="229" t="n"/>
      <c r="E66" s="229" t="n"/>
      <c r="F66" s="230" t="n"/>
      <c r="G66" s="230" t="n"/>
      <c r="H66" s="257" t="n">
        <v>76000</v>
      </c>
      <c r="I66" s="258" t="n"/>
      <c r="J66" s="258" t="n">
        <v>76000</v>
      </c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>
        <v>46146</v>
      </c>
      <c r="B67" s="228" t="inlineStr">
        <is>
          <t>JORGE VIANDAS</t>
        </is>
      </c>
      <c r="C67" s="229" t="n">
        <v>1</v>
      </c>
      <c r="D67" s="229" t="n"/>
      <c r="E67" s="229" t="n"/>
      <c r="F67" s="230" t="n"/>
      <c r="G67" s="230" t="n"/>
      <c r="H67" s="257" t="n">
        <v>22000</v>
      </c>
      <c r="I67" s="258" t="n"/>
      <c r="J67" s="258" t="n">
        <v>22000</v>
      </c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27" t="n"/>
      <c r="B68" s="228" t="inlineStr">
        <is>
          <t>OTNIEL</t>
        </is>
      </c>
      <c r="C68" s="229" t="n"/>
      <c r="D68" s="229" t="n"/>
      <c r="E68" s="229" t="n"/>
      <c r="F68" s="230" t="n">
        <v>20</v>
      </c>
      <c r="G68" s="230" t="n"/>
      <c r="H68" s="257" t="n">
        <v>69000</v>
      </c>
      <c r="I68" s="258" t="n">
        <v>69000</v>
      </c>
      <c r="J68" s="258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inlineStr">
        <is>
          <t>FLORES 1 MOLINA</t>
        </is>
      </c>
      <c r="C69" s="229" t="n"/>
      <c r="D69" s="229" t="n"/>
      <c r="E69" s="229" t="n">
        <v>1</v>
      </c>
      <c r="F69" s="230" t="n"/>
      <c r="G69" s="230" t="n"/>
      <c r="H69" s="257" t="n">
        <v>91000</v>
      </c>
      <c r="I69" s="258" t="n">
        <v>91000</v>
      </c>
      <c r="J69" s="258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27" t="n"/>
      <c r="B70" s="228" t="inlineStr">
        <is>
          <t>BAGUETTE</t>
        </is>
      </c>
      <c r="C70" s="229" t="n"/>
      <c r="D70" s="229" t="n"/>
      <c r="E70" s="229" t="n">
        <v>1</v>
      </c>
      <c r="F70" s="230" t="n"/>
      <c r="G70" s="230" t="n"/>
      <c r="H70" s="257" t="n">
        <v>75000</v>
      </c>
      <c r="I70" s="258" t="n"/>
      <c r="J70" s="258" t="n">
        <v>75000</v>
      </c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inlineStr">
        <is>
          <t>JM ZUVIRIA 3439</t>
        </is>
      </c>
      <c r="C71" s="229" t="n">
        <v>1</v>
      </c>
      <c r="D71" s="229" t="n"/>
      <c r="E71" s="229" t="n"/>
      <c r="F71" s="230" t="n"/>
      <c r="G71" s="230" t="n"/>
      <c r="H71" s="257" t="n">
        <v>26000</v>
      </c>
      <c r="I71" s="258" t="n">
        <v>26000</v>
      </c>
      <c r="J71" s="258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27" t="n"/>
      <c r="B72" s="228" t="inlineStr">
        <is>
          <t>PEDRONI 6521</t>
        </is>
      </c>
      <c r="C72" s="229" t="n">
        <v>2</v>
      </c>
      <c r="D72" s="229" t="n"/>
      <c r="E72" s="229" t="n"/>
      <c r="F72" s="230" t="n"/>
      <c r="G72" s="230" t="n"/>
      <c r="H72" s="257" t="n">
        <v>39000</v>
      </c>
      <c r="I72" s="258" t="n">
        <v>39000</v>
      </c>
      <c r="J72" s="258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inlineStr">
        <is>
          <t>GUANELLA 4543</t>
        </is>
      </c>
      <c r="C73" s="229" t="n">
        <v>1</v>
      </c>
      <c r="D73" s="229" t="n"/>
      <c r="E73" s="229" t="n"/>
      <c r="F73" s="230" t="n"/>
      <c r="G73" s="230" t="n"/>
      <c r="H73" s="257" t="n">
        <v>25000</v>
      </c>
      <c r="I73" s="258" t="n"/>
      <c r="J73" s="258" t="n">
        <v>25000</v>
      </c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27" t="n"/>
      <c r="B74" s="228" t="inlineStr">
        <is>
          <t>BERUTI 4075</t>
        </is>
      </c>
      <c r="C74" s="229" t="n"/>
      <c r="D74" s="229" t="n"/>
      <c r="E74" s="229" t="n">
        <v>2</v>
      </c>
      <c r="F74" s="230" t="n"/>
      <c r="G74" s="230" t="n"/>
      <c r="H74" s="257" t="n">
        <v>182000</v>
      </c>
      <c r="I74" s="258" t="n"/>
      <c r="J74" s="258" t="n">
        <v>182000</v>
      </c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inlineStr">
        <is>
          <t>ROTI VIEYTES</t>
        </is>
      </c>
      <c r="C75" s="229" t="n"/>
      <c r="D75" s="229" t="n">
        <v>2</v>
      </c>
      <c r="E75" s="229" t="n"/>
      <c r="F75" s="230" t="n"/>
      <c r="G75" s="230" t="n"/>
      <c r="H75" s="257" t="n">
        <v>61000</v>
      </c>
      <c r="I75" s="258" t="n"/>
      <c r="J75" s="258" t="n">
        <v>61000</v>
      </c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27" t="n"/>
      <c r="B76" s="228" t="inlineStr">
        <is>
          <t>DAVID LEIVA Y ALBERTO</t>
        </is>
      </c>
      <c r="C76" s="229" t="n">
        <v>1</v>
      </c>
      <c r="D76" s="229" t="n"/>
      <c r="E76" s="229" t="n"/>
      <c r="F76" s="230" t="n"/>
      <c r="G76" s="230" t="n"/>
      <c r="H76" s="257" t="n">
        <v>25000</v>
      </c>
      <c r="I76" s="258" t="n">
        <v>25000</v>
      </c>
      <c r="J76" s="258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inlineStr">
        <is>
          <t>SAN MARTÍN 6376</t>
        </is>
      </c>
      <c r="C77" s="229" t="n">
        <v>1</v>
      </c>
      <c r="D77" s="229" t="n"/>
      <c r="E77" s="229" t="n"/>
      <c r="F77" s="230" t="n"/>
      <c r="G77" s="230" t="n"/>
      <c r="H77" s="257" t="n">
        <v>26000</v>
      </c>
      <c r="I77" s="258" t="n"/>
      <c r="J77" s="258" t="n">
        <v>26000</v>
      </c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27" t="n"/>
      <c r="B78" s="228" t="inlineStr">
        <is>
          <t>DRUGSTORE LODENICO</t>
        </is>
      </c>
      <c r="C78" s="229" t="n">
        <v>3</v>
      </c>
      <c r="D78" s="229" t="n"/>
      <c r="E78" s="229" t="n"/>
      <c r="F78" s="230" t="n"/>
      <c r="G78" s="230" t="n"/>
      <c r="H78" s="257" t="n">
        <v>58500</v>
      </c>
      <c r="I78" s="258" t="n"/>
      <c r="J78" s="258" t="n">
        <v>58500</v>
      </c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inlineStr">
        <is>
          <t>NECOCHEA 7314</t>
        </is>
      </c>
      <c r="C79" s="229" t="n"/>
      <c r="D79" s="229" t="n"/>
      <c r="E79" s="229" t="n">
        <v>1</v>
      </c>
      <c r="F79" s="230" t="n"/>
      <c r="G79" s="230" t="n"/>
      <c r="H79" s="257" t="n">
        <v>91000</v>
      </c>
      <c r="I79" s="258" t="n"/>
      <c r="J79" s="258" t="n">
        <v>91000</v>
      </c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27" t="n"/>
      <c r="B80" s="228" t="inlineStr">
        <is>
          <t>EX COMBATIENTES 5500</t>
        </is>
      </c>
      <c r="C80" s="229" t="n">
        <v>1</v>
      </c>
      <c r="D80" s="229" t="n"/>
      <c r="E80" s="229" t="n"/>
      <c r="F80" s="230" t="n"/>
      <c r="G80" s="230" t="n"/>
      <c r="H80" s="257" t="n">
        <v>27000</v>
      </c>
      <c r="I80" s="258" t="n">
        <v>27000</v>
      </c>
      <c r="J80" s="258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inlineStr">
        <is>
          <t>FILOMENA</t>
        </is>
      </c>
      <c r="C81" s="229" t="n">
        <v>2</v>
      </c>
      <c r="D81" s="229" t="n"/>
      <c r="E81" s="229" t="n"/>
      <c r="F81" s="230" t="n"/>
      <c r="G81" s="230" t="n"/>
      <c r="H81" s="257" t="n">
        <v>46000</v>
      </c>
      <c r="I81" s="258" t="n"/>
      <c r="J81" s="258" t="n">
        <v>46000</v>
      </c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27" t="n"/>
      <c r="B82" s="228" t="inlineStr">
        <is>
          <t>EX COMBATIENTES 5400</t>
        </is>
      </c>
      <c r="C82" s="229" t="n">
        <v>1</v>
      </c>
      <c r="D82" s="229" t="n"/>
      <c r="E82" s="229" t="n"/>
      <c r="F82" s="230" t="n"/>
      <c r="G82" s="230" t="n"/>
      <c r="H82" s="257" t="n">
        <v>25000</v>
      </c>
      <c r="I82" s="258" t="n"/>
      <c r="J82" s="258" t="n">
        <v>25000</v>
      </c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inlineStr">
        <is>
          <t>ÁNGEL</t>
        </is>
      </c>
      <c r="C83" s="229" t="n"/>
      <c r="D83" s="229" t="n">
        <v>1</v>
      </c>
      <c r="E83" s="229" t="n"/>
      <c r="F83" s="230" t="n"/>
      <c r="G83" s="230" t="n"/>
      <c r="H83" s="257" t="n">
        <v>28500</v>
      </c>
      <c r="I83" s="258" t="n">
        <v>28500</v>
      </c>
      <c r="J83" s="258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27" t="n"/>
      <c r="B84" s="228" t="inlineStr">
        <is>
          <t>ALMONACID 4248</t>
        </is>
      </c>
      <c r="C84" s="229" t="n">
        <v>1</v>
      </c>
      <c r="D84" s="229" t="n"/>
      <c r="E84" s="229" t="n"/>
      <c r="F84" s="230" t="n"/>
      <c r="G84" s="230" t="n"/>
      <c r="H84" s="257" t="n">
        <v>26000</v>
      </c>
      <c r="I84" s="258" t="n"/>
      <c r="J84" s="258" t="n">
        <v>26000</v>
      </c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inlineStr">
        <is>
          <t>SANDRA</t>
        </is>
      </c>
      <c r="C85" s="229" t="n">
        <v>2</v>
      </c>
      <c r="D85" s="229" t="n"/>
      <c r="E85" s="229" t="n"/>
      <c r="F85" s="230" t="n"/>
      <c r="G85" s="230" t="n"/>
      <c r="H85" s="257" t="n">
        <v>38000</v>
      </c>
      <c r="I85" s="258" t="n">
        <v>38000</v>
      </c>
      <c r="J85" s="258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27" t="n"/>
      <c r="B86" s="228" t="inlineStr">
        <is>
          <t>JULIO ALBERTI</t>
        </is>
      </c>
      <c r="C86" s="229" t="n"/>
      <c r="D86" s="229" t="n"/>
      <c r="E86" s="229" t="n">
        <v>1</v>
      </c>
      <c r="F86" s="230" t="n"/>
      <c r="G86" s="230" t="n"/>
      <c r="H86" s="257" t="n">
        <v>95000</v>
      </c>
      <c r="I86" s="258" t="n">
        <v>95000</v>
      </c>
      <c r="J86" s="258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>
        <v>46147</v>
      </c>
      <c r="B87" s="228" t="inlineStr">
        <is>
          <t>LUCIANO TORRENT 2027</t>
        </is>
      </c>
      <c r="C87" s="229" t="n">
        <v>1</v>
      </c>
      <c r="D87" s="229" t="n"/>
      <c r="E87" s="229" t="n"/>
      <c r="F87" s="230" t="n"/>
      <c r="G87" s="230" t="n"/>
      <c r="H87" s="257" t="n">
        <v>27000</v>
      </c>
      <c r="I87" s="258" t="n">
        <v>27000</v>
      </c>
      <c r="J87" s="258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27" t="n"/>
      <c r="B88" s="228" t="inlineStr">
        <is>
          <t>AVENIDA FREIRE 3151</t>
        </is>
      </c>
      <c r="C88" s="229" t="n">
        <v>1</v>
      </c>
      <c r="D88" s="229" t="n"/>
      <c r="E88" s="229" t="n"/>
      <c r="F88" s="230" t="n"/>
      <c r="G88" s="230" t="n"/>
      <c r="H88" s="257" t="n">
        <v>27000</v>
      </c>
      <c r="I88" s="258" t="n">
        <v>27000</v>
      </c>
      <c r="J88" s="258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inlineStr">
        <is>
          <t>NAMUNCURA 4436</t>
        </is>
      </c>
      <c r="C89" s="229" t="n"/>
      <c r="D89" s="229" t="n"/>
      <c r="E89" s="229" t="n">
        <v>1</v>
      </c>
      <c r="F89" s="230" t="n"/>
      <c r="G89" s="230" t="n"/>
      <c r="H89" s="257" t="n">
        <v>89000</v>
      </c>
      <c r="I89" s="258" t="n"/>
      <c r="J89" s="258" t="n">
        <v>89000</v>
      </c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27" t="n">
        <v>46148</v>
      </c>
      <c r="B90" s="228" t="inlineStr">
        <is>
          <t>SUPERCERATO</t>
        </is>
      </c>
      <c r="C90" s="229" t="n">
        <v>1</v>
      </c>
      <c r="D90" s="229" t="n"/>
      <c r="E90" s="229" t="n"/>
      <c r="F90" s="230" t="n"/>
      <c r="G90" s="230" t="n"/>
      <c r="H90" s="257" t="n">
        <v>25000</v>
      </c>
      <c r="I90" s="258" t="n"/>
      <c r="J90" s="258" t="n">
        <v>25000</v>
      </c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inlineStr">
        <is>
          <t>ESPORA 4874</t>
        </is>
      </c>
      <c r="C91" s="229" t="n"/>
      <c r="D91" s="229" t="n">
        <v>1</v>
      </c>
      <c r="E91" s="229" t="n"/>
      <c r="F91" s="230" t="n"/>
      <c r="G91" s="230" t="n"/>
      <c r="H91" s="257" t="n">
        <v>43000</v>
      </c>
      <c r="I91" s="258" t="n"/>
      <c r="J91" s="258" t="n">
        <v>43000</v>
      </c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27" t="n"/>
      <c r="B92" s="228" t="inlineStr">
        <is>
          <t>CHICLANA 7325</t>
        </is>
      </c>
      <c r="C92" s="229" t="n">
        <v>1</v>
      </c>
      <c r="D92" s="229" t="n"/>
      <c r="E92" s="229" t="n"/>
      <c r="F92" s="230" t="n"/>
      <c r="G92" s="230" t="n"/>
      <c r="H92" s="257" t="n">
        <v>19000</v>
      </c>
      <c r="I92" s="258" t="n"/>
      <c r="J92" s="258" t="n">
        <v>19000</v>
      </c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inlineStr">
        <is>
          <t>BAIGORRIA 9351</t>
        </is>
      </c>
      <c r="C93" s="229" t="n"/>
      <c r="D93" s="229" t="n"/>
      <c r="E93" s="229" t="n">
        <v>1</v>
      </c>
      <c r="F93" s="230" t="n"/>
      <c r="G93" s="230" t="n"/>
      <c r="H93" s="257" t="n">
        <v>95000</v>
      </c>
      <c r="I93" s="258" t="n">
        <v>95000</v>
      </c>
      <c r="J93" s="258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27" t="n"/>
      <c r="B94" s="228" t="inlineStr">
        <is>
          <t>ZAVALLA 6577</t>
        </is>
      </c>
      <c r="C94" s="229" t="n">
        <v>1</v>
      </c>
      <c r="D94" s="229" t="n"/>
      <c r="E94" s="229" t="n"/>
      <c r="F94" s="230" t="n"/>
      <c r="G94" s="230" t="n"/>
      <c r="H94" s="257" t="n">
        <v>26000</v>
      </c>
      <c r="I94" s="258" t="n">
        <v>26000</v>
      </c>
      <c r="J94" s="258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inlineStr">
        <is>
          <t>ROTI ARISTÓBULO</t>
        </is>
      </c>
      <c r="C95" s="229" t="n"/>
      <c r="D95" s="229" t="n">
        <v>1</v>
      </c>
      <c r="E95" s="229" t="n"/>
      <c r="F95" s="230" t="n"/>
      <c r="G95" s="230" t="n"/>
      <c r="H95" s="257" t="n">
        <v>33500</v>
      </c>
      <c r="I95" s="258" t="n"/>
      <c r="J95" s="258" t="n">
        <v>33500</v>
      </c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27" t="n"/>
      <c r="B96" s="228" t="inlineStr">
        <is>
          <t>GENERAL PAZ 7826</t>
        </is>
      </c>
      <c r="C96" s="229" t="n">
        <v>2</v>
      </c>
      <c r="D96" s="229" t="n"/>
      <c r="E96" s="229" t="n"/>
      <c r="F96" s="230" t="n"/>
      <c r="G96" s="230" t="n"/>
      <c r="H96" s="257" t="n">
        <v>52000</v>
      </c>
      <c r="I96" s="258" t="n">
        <v>52000</v>
      </c>
      <c r="J96" s="258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inlineStr">
        <is>
          <t>LEMANN 7856</t>
        </is>
      </c>
      <c r="C97" s="229" t="n">
        <v>1</v>
      </c>
      <c r="D97" s="229" t="n"/>
      <c r="E97" s="229" t="n"/>
      <c r="F97" s="230" t="n"/>
      <c r="G97" s="230" t="n"/>
      <c r="H97" s="257" t="n">
        <v>26000</v>
      </c>
      <c r="I97" s="258" t="n"/>
      <c r="J97" s="258" t="n">
        <v>26000</v>
      </c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27" t="n"/>
      <c r="B98" s="228" t="inlineStr">
        <is>
          <t>CASTAÑADUI 6601</t>
        </is>
      </c>
      <c r="C98" s="229" t="n">
        <v>1</v>
      </c>
      <c r="D98" s="229" t="n"/>
      <c r="E98" s="229" t="n"/>
      <c r="F98" s="230" t="n"/>
      <c r="G98" s="230" t="n"/>
      <c r="H98" s="257" t="n">
        <v>26000</v>
      </c>
      <c r="I98" s="258" t="n">
        <v>26000</v>
      </c>
      <c r="J98" s="258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inlineStr">
        <is>
          <t>LAS HERAS 6714</t>
        </is>
      </c>
      <c r="C99" s="229" t="n">
        <v>1</v>
      </c>
      <c r="D99" s="229" t="n"/>
      <c r="E99" s="229" t="n"/>
      <c r="F99" s="230" t="n"/>
      <c r="G99" s="230" t="n"/>
      <c r="H99" s="257" t="n">
        <v>25000</v>
      </c>
      <c r="I99" s="258" t="n"/>
      <c r="J99" s="258" t="n">
        <v>25000</v>
      </c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27" t="n"/>
      <c r="B100" s="228" t="inlineStr">
        <is>
          <t>PANA VIEYTES 4500</t>
        </is>
      </c>
      <c r="C100" s="229" t="n"/>
      <c r="D100" s="229" t="n"/>
      <c r="E100" s="229" t="n">
        <v>1</v>
      </c>
      <c r="F100" s="230" t="n"/>
      <c r="G100" s="230" t="n"/>
      <c r="H100" s="257" t="n">
        <v>78000</v>
      </c>
      <c r="I100" s="258" t="n">
        <v>78000</v>
      </c>
      <c r="J100" s="258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inlineStr">
        <is>
          <t>ASCUÉNAGA 5023</t>
        </is>
      </c>
      <c r="C101" s="229" t="n">
        <v>3</v>
      </c>
      <c r="D101" s="229" t="n">
        <v>1</v>
      </c>
      <c r="E101" s="229" t="n"/>
      <c r="F101" s="230" t="n"/>
      <c r="G101" s="230" t="n"/>
      <c r="H101" s="257" t="n">
        <v>85500</v>
      </c>
      <c r="I101" s="258" t="n"/>
      <c r="J101" s="258" t="n">
        <v>85500</v>
      </c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27" t="n"/>
      <c r="B102" s="228" t="inlineStr">
        <is>
          <t>LUCHO</t>
        </is>
      </c>
      <c r="C102" s="229" t="n">
        <v>1</v>
      </c>
      <c r="D102" s="229" t="n">
        <v>1</v>
      </c>
      <c r="E102" s="229" t="n"/>
      <c r="F102" s="230" t="n"/>
      <c r="G102" s="230" t="n"/>
      <c r="H102" s="257" t="n">
        <v>47500</v>
      </c>
      <c r="I102" s="258" t="n"/>
      <c r="J102" s="258" t="n">
        <v>47500</v>
      </c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inlineStr">
        <is>
          <t>SAN MARTÍN 1925</t>
        </is>
      </c>
      <c r="C103" s="229" t="n">
        <v>1</v>
      </c>
      <c r="D103" s="229" t="n"/>
      <c r="E103" s="229" t="n"/>
      <c r="F103" s="230" t="n"/>
      <c r="G103" s="230" t="n"/>
      <c r="H103" s="257" t="n">
        <v>26000</v>
      </c>
      <c r="I103" s="258" t="n">
        <v>26000</v>
      </c>
      <c r="J103" s="258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27" t="n"/>
      <c r="B104" s="228" t="inlineStr">
        <is>
          <t>PANADERÍA CAFERATA 8877</t>
        </is>
      </c>
      <c r="C104" s="229" t="n"/>
      <c r="D104" s="229" t="n"/>
      <c r="E104" s="229" t="n">
        <v>1</v>
      </c>
      <c r="F104" s="230" t="n"/>
      <c r="G104" s="230" t="n"/>
      <c r="H104" s="257" t="n">
        <v>78000</v>
      </c>
      <c r="I104" s="258" t="n">
        <v>78000</v>
      </c>
      <c r="J104" s="258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inlineStr">
        <is>
          <t>IGLESIA FRATERNIDAD</t>
        </is>
      </c>
      <c r="C105" s="229" t="n">
        <v>1</v>
      </c>
      <c r="D105" s="229" t="n"/>
      <c r="E105" s="229" t="n"/>
      <c r="F105" s="230" t="n"/>
      <c r="G105" s="230" t="n"/>
      <c r="H105" s="257" t="n">
        <v>25000</v>
      </c>
      <c r="I105" s="258" t="n"/>
      <c r="J105" s="258" t="n">
        <v>25000</v>
      </c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27" t="n"/>
      <c r="B106" s="228" t="inlineStr">
        <is>
          <t>BERUTI 2430</t>
        </is>
      </c>
      <c r="C106" s="229" t="n"/>
      <c r="D106" s="229" t="n"/>
      <c r="E106" s="229" t="n">
        <v>1</v>
      </c>
      <c r="F106" s="230" t="n"/>
      <c r="G106" s="230" t="n"/>
      <c r="H106" s="257" t="n">
        <v>91000</v>
      </c>
      <c r="I106" s="258" t="n">
        <v>91000</v>
      </c>
      <c r="J106" s="258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inlineStr">
        <is>
          <t>MISIONES 5280</t>
        </is>
      </c>
      <c r="C107" s="229" t="n"/>
      <c r="D107" s="229" t="n"/>
      <c r="E107" s="229" t="n">
        <v>1</v>
      </c>
      <c r="F107" s="230" t="n"/>
      <c r="G107" s="230" t="n"/>
      <c r="H107" s="257" t="n">
        <v>95000</v>
      </c>
      <c r="I107" s="258" t="n">
        <v>95000</v>
      </c>
      <c r="J107" s="258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27" t="n"/>
      <c r="B108" s="228" t="inlineStr">
        <is>
          <t>JUAN DE GARAY 3810</t>
        </is>
      </c>
      <c r="C108" s="229" t="n">
        <v>1</v>
      </c>
      <c r="D108" s="229" t="n">
        <v>1</v>
      </c>
      <c r="E108" s="229" t="n"/>
      <c r="F108" s="230" t="n"/>
      <c r="G108" s="230" t="n"/>
      <c r="H108" s="257" t="n">
        <v>63500</v>
      </c>
      <c r="I108" s="258" t="n"/>
      <c r="J108" s="258" t="n">
        <v>63500</v>
      </c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inlineStr">
        <is>
          <t>AGUADO 6766</t>
        </is>
      </c>
      <c r="C109" s="229" t="n"/>
      <c r="D109" s="229" t="n"/>
      <c r="E109" s="229" t="n">
        <v>1</v>
      </c>
      <c r="F109" s="230" t="n"/>
      <c r="G109" s="230" t="n"/>
      <c r="H109" s="257" t="n">
        <v>89000</v>
      </c>
      <c r="I109" s="258" t="n"/>
      <c r="J109" s="258" t="n">
        <v>89000</v>
      </c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27" t="n"/>
      <c r="B110" s="228" t="inlineStr">
        <is>
          <t>SABOREAR</t>
        </is>
      </c>
      <c r="C110" s="229" t="n"/>
      <c r="D110" s="229" t="n"/>
      <c r="E110" s="229" t="n">
        <v>1</v>
      </c>
      <c r="F110" s="230" t="n"/>
      <c r="G110" s="230" t="n"/>
      <c r="H110" s="257" t="n">
        <v>81000</v>
      </c>
      <c r="I110" s="258" t="n"/>
      <c r="J110" s="258" t="n">
        <v>81000</v>
      </c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>
        <v>46149</v>
      </c>
      <c r="B111" s="228" t="inlineStr">
        <is>
          <t>OTNIEL</t>
        </is>
      </c>
      <c r="C111" s="229" t="n"/>
      <c r="D111" s="229" t="n"/>
      <c r="E111" s="229" t="n"/>
      <c r="F111" s="230" t="n"/>
      <c r="G111" s="230" t="n">
        <v>2</v>
      </c>
      <c r="H111" s="257" t="n">
        <v>12000</v>
      </c>
      <c r="I111" s="258" t="n">
        <v>12000</v>
      </c>
      <c r="J111" s="258" t="n"/>
      <c r="K111" s="233" t="n"/>
      <c r="L111" s="233" t="n">
        <v>10300</v>
      </c>
      <c r="M111" s="156" t="n"/>
      <c r="N111" s="156" t="n"/>
      <c r="O111" s="156" t="n"/>
    </row>
    <row r="112" ht="18.75" customHeight="1" s="153">
      <c r="A112" s="227" t="n"/>
      <c r="B112" s="228" t="inlineStr">
        <is>
          <t>AYACUCHO 5370</t>
        </is>
      </c>
      <c r="C112" s="229" t="n"/>
      <c r="D112" s="229" t="n"/>
      <c r="E112" s="229" t="n"/>
      <c r="F112" s="230" t="n"/>
      <c r="G112" s="230" t="n">
        <v>2</v>
      </c>
      <c r="H112" s="257" t="n">
        <v>12000</v>
      </c>
      <c r="I112" s="258" t="n"/>
      <c r="J112" s="258" t="n">
        <v>12000</v>
      </c>
      <c r="K112" s="233" t="n"/>
      <c r="L112" s="233" t="n">
        <v>10300</v>
      </c>
      <c r="M112" s="156" t="n"/>
      <c r="N112" s="156" t="n"/>
      <c r="O112" s="156" t="n"/>
    </row>
    <row r="113" ht="18.75" customHeight="1" s="153">
      <c r="A113" s="227" t="n"/>
      <c r="B113" s="228" t="inlineStr">
        <is>
          <t>BONEO 4821</t>
        </is>
      </c>
      <c r="C113" s="229" t="n"/>
      <c r="D113" s="229" t="n"/>
      <c r="E113" s="229" t="n"/>
      <c r="F113" s="230" t="n"/>
      <c r="G113" s="230" t="n">
        <v>2</v>
      </c>
      <c r="H113" s="257" t="n">
        <v>12000</v>
      </c>
      <c r="I113" s="258" t="n">
        <v>12000</v>
      </c>
      <c r="J113" s="258" t="n"/>
      <c r="K113" s="233" t="n"/>
      <c r="L113" s="233" t="n">
        <v>10300</v>
      </c>
      <c r="M113" s="156" t="n"/>
      <c r="N113" s="156" t="n"/>
      <c r="O113" s="156" t="n"/>
    </row>
    <row r="114" ht="18.75" customHeight="1" s="153">
      <c r="A114" s="227" t="n"/>
      <c r="B114" s="228" t="inlineStr">
        <is>
          <t>LARGUIA 6924</t>
        </is>
      </c>
      <c r="C114" s="229" t="n">
        <v>1</v>
      </c>
      <c r="D114" s="229" t="n"/>
      <c r="E114" s="229" t="n"/>
      <c r="F114" s="230" t="n"/>
      <c r="G114" s="230" t="n"/>
      <c r="H114" s="257" t="n">
        <v>25000</v>
      </c>
      <c r="I114" s="258" t="n">
        <v>25000</v>
      </c>
      <c r="J114" s="258" t="n"/>
      <c r="K114" s="233" t="n"/>
      <c r="L114" s="233" t="n">
        <v>10000</v>
      </c>
      <c r="M114" s="156" t="n"/>
      <c r="N114" s="156" t="n"/>
      <c r="O114" s="156" t="n"/>
    </row>
    <row r="115" ht="18.75" customHeight="1" s="153">
      <c r="A115" s="227" t="n"/>
      <c r="B115" s="228" t="inlineStr">
        <is>
          <t>RICARDO ALDAO 362</t>
        </is>
      </c>
      <c r="C115" s="229" t="n"/>
      <c r="D115" s="229" t="n"/>
      <c r="E115" s="229" t="n">
        <v>1</v>
      </c>
      <c r="F115" s="230" t="n"/>
      <c r="G115" s="230" t="n"/>
      <c r="H115" s="257" t="n">
        <v>94000</v>
      </c>
      <c r="I115" s="258" t="n"/>
      <c r="J115" s="258" t="n">
        <v>94000</v>
      </c>
      <c r="K115" s="233" t="n"/>
      <c r="L115" s="233" t="n">
        <v>34000</v>
      </c>
      <c r="M115" s="156" t="n"/>
      <c r="N115" s="156" t="n"/>
      <c r="O115" s="156" t="n"/>
    </row>
    <row r="116" ht="18.75" customHeight="1" s="153">
      <c r="A116" s="227" t="n"/>
      <c r="B116" s="228" t="inlineStr">
        <is>
          <t>PANA VIEYTES 4500</t>
        </is>
      </c>
      <c r="C116" s="229" t="n"/>
      <c r="D116" s="229" t="n"/>
      <c r="E116" s="229" t="n">
        <v>1</v>
      </c>
      <c r="F116" s="230" t="n"/>
      <c r="G116" s="230" t="n"/>
      <c r="H116" s="257" t="n">
        <v>78000</v>
      </c>
      <c r="I116" s="258" t="n">
        <v>78000</v>
      </c>
      <c r="J116" s="258" t="n"/>
      <c r="K116" s="233" t="n"/>
      <c r="L116" s="233" t="n">
        <v>18000</v>
      </c>
      <c r="M116" s="156" t="n"/>
      <c r="N116" s="156" t="n"/>
      <c r="O116" s="156" t="n"/>
    </row>
    <row r="117" ht="18.75" customHeight="1" s="153">
      <c r="A117" s="227" t="n"/>
      <c r="B117" s="228" t="inlineStr">
        <is>
          <t>FACUNDO ZUVIRIA 10235</t>
        </is>
      </c>
      <c r="C117" s="229" t="n">
        <v>1</v>
      </c>
      <c r="D117" s="229" t="n"/>
      <c r="E117" s="229" t="n"/>
      <c r="F117" s="230" t="n"/>
      <c r="G117" s="230" t="n"/>
      <c r="H117" s="257" t="n">
        <v>27000</v>
      </c>
      <c r="I117" s="258" t="n"/>
      <c r="J117" s="258" t="n">
        <v>27000</v>
      </c>
      <c r="K117" s="233" t="n"/>
      <c r="L117" s="233" t="n">
        <v>12000</v>
      </c>
      <c r="M117" s="156" t="n"/>
      <c r="N117" s="156" t="n"/>
      <c r="O117" s="156" t="n"/>
    </row>
    <row r="118" ht="18.75" customHeight="1" s="153">
      <c r="A118" s="227" t="n"/>
      <c r="B118" s="228" t="inlineStr">
        <is>
          <t>PAULO</t>
        </is>
      </c>
      <c r="C118" s="229" t="n">
        <v>3</v>
      </c>
      <c r="D118" s="229" t="n"/>
      <c r="E118" s="229" t="n"/>
      <c r="F118" s="230" t="n"/>
      <c r="G118" s="230" t="n"/>
      <c r="H118" s="257" t="n">
        <v>57000</v>
      </c>
      <c r="I118" s="258" t="n"/>
      <c r="J118" s="258" t="n">
        <v>57000</v>
      </c>
      <c r="K118" s="233" t="n"/>
      <c r="L118" s="233" t="n">
        <v>12000</v>
      </c>
      <c r="M118" s="156" t="n"/>
      <c r="N118" s="156" t="n"/>
      <c r="O118" s="156" t="n"/>
    </row>
    <row r="119" ht="18.75" customHeight="1" s="153">
      <c r="A119" s="227" t="n"/>
      <c r="B119" s="228" t="inlineStr">
        <is>
          <t>PERU 3841</t>
        </is>
      </c>
      <c r="C119" s="229" t="n">
        <v>1</v>
      </c>
      <c r="D119" s="229" t="n"/>
      <c r="E119" s="229" t="n"/>
      <c r="F119" s="230" t="n"/>
      <c r="G119" s="230" t="n"/>
      <c r="H119" s="257" t="n">
        <v>27000</v>
      </c>
      <c r="I119" s="258" t="n"/>
      <c r="J119" s="258" t="n">
        <v>27000</v>
      </c>
      <c r="K119" s="233" t="n"/>
      <c r="L119" s="233" t="n">
        <v>12000</v>
      </c>
      <c r="M119" s="156" t="n"/>
      <c r="N119" s="156" t="n"/>
      <c r="O119" s="156" t="n"/>
    </row>
    <row r="120" ht="18.75" customHeight="1" s="153">
      <c r="A120" s="227" t="n"/>
      <c r="B120" s="228" t="inlineStr">
        <is>
          <t>CERVERA 7081</t>
        </is>
      </c>
      <c r="C120" s="229" t="n">
        <v>1</v>
      </c>
      <c r="D120" s="229" t="n"/>
      <c r="E120" s="229" t="n"/>
      <c r="F120" s="230" t="n"/>
      <c r="G120" s="230" t="n"/>
      <c r="H120" s="257" t="n">
        <v>26000</v>
      </c>
      <c r="I120" s="258" t="n"/>
      <c r="J120" s="258" t="n">
        <v>26000</v>
      </c>
      <c r="K120" s="233" t="n"/>
      <c r="L120" s="233" t="n">
        <v>11000</v>
      </c>
      <c r="M120" s="156" t="n"/>
      <c r="N120" s="156" t="n"/>
      <c r="O120" s="156" t="n"/>
    </row>
    <row r="121" ht="18.75" customHeight="1" s="153">
      <c r="A121" s="227" t="n"/>
      <c r="B121" s="228" t="inlineStr">
        <is>
          <t>SARA FAISAL 1723</t>
        </is>
      </c>
      <c r="C121" s="229" t="n"/>
      <c r="D121" s="229" t="n"/>
      <c r="E121" s="229" t="n">
        <v>1</v>
      </c>
      <c r="F121" s="230" t="n"/>
      <c r="G121" s="230" t="n"/>
      <c r="H121" s="257" t="n">
        <v>95000</v>
      </c>
      <c r="I121" s="258" t="n">
        <v>95000</v>
      </c>
      <c r="J121" s="258" t="n"/>
      <c r="K121" s="233" t="n"/>
      <c r="L121" s="233" t="n">
        <v>35000</v>
      </c>
      <c r="M121" s="156" t="n"/>
      <c r="N121" s="156" t="n"/>
      <c r="O121" s="156" t="n"/>
    </row>
    <row r="122" ht="18.75" customHeight="1" s="153">
      <c r="A122" s="227" t="n"/>
      <c r="B122" s="228" t="inlineStr">
        <is>
          <t>DON LOBO</t>
        </is>
      </c>
      <c r="C122" s="229" t="n">
        <v>1</v>
      </c>
      <c r="D122" s="229" t="n"/>
      <c r="E122" s="229" t="n"/>
      <c r="F122" s="230" t="n"/>
      <c r="G122" s="230" t="n"/>
      <c r="H122" s="257" t="n">
        <v>27000</v>
      </c>
      <c r="I122" s="258" t="n"/>
      <c r="J122" s="258" t="n">
        <v>27000</v>
      </c>
      <c r="K122" s="233" t="n"/>
      <c r="L122" s="233" t="n">
        <v>12000</v>
      </c>
      <c r="M122" s="156" t="n"/>
      <c r="N122" s="156" t="n"/>
      <c r="O122" s="156" t="n"/>
    </row>
    <row r="123" ht="18.75" customHeight="1" s="153">
      <c r="A123" s="227" t="n"/>
      <c r="B123" s="228" t="inlineStr">
        <is>
          <t>FILOMENA</t>
        </is>
      </c>
      <c r="C123" s="229" t="n">
        <v>2</v>
      </c>
      <c r="D123" s="229" t="n"/>
      <c r="E123" s="229" t="n"/>
      <c r="F123" s="230" t="n"/>
      <c r="G123" s="230" t="n"/>
      <c r="H123" s="257" t="n">
        <v>46000</v>
      </c>
      <c r="I123" s="258" t="n"/>
      <c r="J123" s="258" t="n">
        <v>46000</v>
      </c>
      <c r="K123" s="233" t="n"/>
      <c r="L123" s="233" t="n">
        <v>16000</v>
      </c>
      <c r="M123" s="156" t="n"/>
      <c r="N123" s="156" t="n"/>
      <c r="O123" s="156" t="n"/>
    </row>
    <row r="124" ht="18.75" customHeight="1" s="153">
      <c r="A124" s="227" t="n"/>
      <c r="B124" s="228" t="inlineStr">
        <is>
          <t>CAPILLA LA SALLE Y GRANDOLI</t>
        </is>
      </c>
      <c r="C124" s="229" t="n">
        <v>1</v>
      </c>
      <c r="D124" s="229" t="n"/>
      <c r="E124" s="229" t="n"/>
      <c r="F124" s="230" t="n"/>
      <c r="G124" s="230" t="n"/>
      <c r="H124" s="257" t="n">
        <v>27000</v>
      </c>
      <c r="I124" s="258" t="n"/>
      <c r="J124" s="258" t="n">
        <v>27000</v>
      </c>
      <c r="K124" s="233" t="n"/>
      <c r="L124" s="233" t="n">
        <v>12000</v>
      </c>
      <c r="M124" s="156" t="n"/>
      <c r="N124" s="156" t="n"/>
      <c r="O124" s="156" t="n"/>
    </row>
    <row r="125" ht="18.75" customHeight="1" s="153">
      <c r="A125" s="227" t="n"/>
      <c r="B125" s="228" t="inlineStr">
        <is>
          <t>LUCHO</t>
        </is>
      </c>
      <c r="C125" s="229" t="n">
        <v>1</v>
      </c>
      <c r="D125" s="229" t="n"/>
      <c r="E125" s="229" t="n"/>
      <c r="F125" s="230" t="n"/>
      <c r="G125" s="230" t="n">
        <v>1</v>
      </c>
      <c r="H125" s="257" t="n">
        <v>25000</v>
      </c>
      <c r="I125" s="258" t="n"/>
      <c r="J125" s="258" t="n">
        <v>25000</v>
      </c>
      <c r="K125" s="233" t="n"/>
      <c r="L125" s="233" t="n">
        <v>9150</v>
      </c>
      <c r="M125" s="156" t="n"/>
      <c r="N125" s="156" t="n"/>
      <c r="O125" s="156" t="n"/>
    </row>
    <row r="126" ht="18.75" customHeight="1" s="153">
      <c r="A126" s="227" t="n"/>
      <c r="B126" s="228" t="inlineStr">
        <is>
          <t>CACO</t>
        </is>
      </c>
      <c r="C126" s="229" t="n">
        <v>1</v>
      </c>
      <c r="D126" s="229" t="n"/>
      <c r="E126" s="229" t="n"/>
      <c r="F126" s="230" t="n"/>
      <c r="G126" s="230" t="n"/>
      <c r="H126" s="257" t="n">
        <v>27000</v>
      </c>
      <c r="I126" s="258" t="n"/>
      <c r="J126" s="258" t="n">
        <v>27000</v>
      </c>
      <c r="K126" s="233" t="n"/>
      <c r="L126" s="233" t="n">
        <v>12000</v>
      </c>
      <c r="M126" s="156" t="n"/>
      <c r="N126" s="156" t="n"/>
      <c r="O126" s="156" t="n"/>
    </row>
    <row r="127" ht="18.75" customHeight="1" s="153">
      <c r="A127" s="227" t="n"/>
      <c r="B127" s="228" t="inlineStr">
        <is>
          <t>TROPPO</t>
        </is>
      </c>
      <c r="C127" s="229" t="n">
        <v>3</v>
      </c>
      <c r="D127" s="229" t="n"/>
      <c r="E127" s="229" t="n"/>
      <c r="F127" s="230" t="n"/>
      <c r="G127" s="230" t="n"/>
      <c r="H127" s="257" t="n">
        <v>84000</v>
      </c>
      <c r="I127" s="258" t="n">
        <v>84000</v>
      </c>
      <c r="J127" s="258" t="n"/>
      <c r="K127" s="233" t="n"/>
      <c r="L127" s="233" t="n">
        <v>39000</v>
      </c>
      <c r="M127" s="156" t="n"/>
      <c r="N127" s="156" t="n"/>
      <c r="O127" s="156" t="n"/>
    </row>
    <row r="128" ht="18.75" customHeight="1" s="153">
      <c r="A128" s="227" t="n"/>
      <c r="B128" s="228" t="inlineStr">
        <is>
          <t>CAREN</t>
        </is>
      </c>
      <c r="C128" s="229" t="n"/>
      <c r="D128" s="229" t="n"/>
      <c r="E128" s="229" t="n">
        <v>1</v>
      </c>
      <c r="F128" s="230" t="n"/>
      <c r="G128" s="230" t="n"/>
      <c r="H128" s="257" t="n">
        <v>85000</v>
      </c>
      <c r="I128" s="258" t="n"/>
      <c r="J128" s="258" t="n">
        <v>85000</v>
      </c>
      <c r="K128" s="233" t="n"/>
      <c r="L128" s="233" t="n">
        <v>25000</v>
      </c>
      <c r="M128" s="156" t="n"/>
      <c r="N128" s="156" t="n"/>
      <c r="O128" s="156" t="n"/>
    </row>
    <row r="129" ht="18.75" customHeight="1" s="153">
      <c r="A129" s="227" t="n">
        <v>46150</v>
      </c>
      <c r="B129" s="228" t="inlineStr">
        <is>
          <t>SANTA BAR 1 MAYO 1959</t>
        </is>
      </c>
      <c r="C129" s="229" t="n"/>
      <c r="D129" s="229" t="n"/>
      <c r="E129" s="229" t="n">
        <v>1</v>
      </c>
      <c r="F129" s="230" t="n"/>
      <c r="G129" s="230" t="n"/>
      <c r="H129" s="257" t="n">
        <v>85000</v>
      </c>
      <c r="I129" s="258" t="n"/>
      <c r="J129" s="258" t="n">
        <v>85000</v>
      </c>
      <c r="K129" s="233" t="n"/>
      <c r="L129" s="233">
        <f>IF(K129&lt;&gt;"",23000+K129,23000)</f>
        <v/>
      </c>
      <c r="M129" s="156" t="n"/>
      <c r="N129" s="156" t="n"/>
      <c r="O129" s="156" t="n"/>
    </row>
    <row r="130" ht="18.75" customHeight="1" s="153">
      <c r="A130" s="227" t="n"/>
      <c r="B130" s="228" t="inlineStr">
        <is>
          <t>VIANDAS JORGE</t>
        </is>
      </c>
      <c r="C130" s="229" t="n">
        <v>1</v>
      </c>
      <c r="D130" s="229" t="n"/>
      <c r="E130" s="229" t="n"/>
      <c r="F130" s="230" t="n"/>
      <c r="G130" s="230" t="n"/>
      <c r="H130" s="257" t="n">
        <v>22000</v>
      </c>
      <c r="I130" s="258" t="n">
        <v>22000</v>
      </c>
      <c r="J130" s="258" t="n"/>
      <c r="K130" s="233" t="n"/>
      <c r="L130" s="233">
        <f>IF(K130&lt;&gt;"",6200+K130,6200)</f>
        <v/>
      </c>
      <c r="M130" s="156" t="n"/>
      <c r="N130" s="156" t="n"/>
      <c r="O130" s="156" t="n"/>
    </row>
    <row r="131" ht="18.75" customHeight="1" s="153">
      <c r="A131" s="227" t="n"/>
      <c r="B131" s="228" t="inlineStr">
        <is>
          <t>OTNIEL</t>
        </is>
      </c>
      <c r="C131" s="229" t="n"/>
      <c r="D131" s="229" t="n">
        <v>2</v>
      </c>
      <c r="E131" s="229" t="n"/>
      <c r="F131" s="230" t="n"/>
      <c r="G131" s="230" t="n"/>
      <c r="H131" s="257" t="n">
        <v>70000</v>
      </c>
      <c r="I131" s="258" t="n">
        <v>70000</v>
      </c>
      <c r="J131" s="258" t="n"/>
      <c r="K131" s="233" t="n"/>
      <c r="L131" s="233">
        <f>IF(K131&lt;&gt;"",22600+K131,22600)</f>
        <v/>
      </c>
      <c r="M131" s="156" t="n"/>
      <c r="N131" s="156" t="n"/>
      <c r="O131" s="156" t="n"/>
    </row>
    <row r="132" ht="18.75" customHeight="1" s="153">
      <c r="A132" s="227" t="n"/>
      <c r="B132" s="228" t="inlineStr">
        <is>
          <t>SANDRA</t>
        </is>
      </c>
      <c r="C132" s="229" t="n">
        <v>1</v>
      </c>
      <c r="D132" s="229" t="n"/>
      <c r="E132" s="229" t="n"/>
      <c r="F132" s="230" t="n"/>
      <c r="G132" s="230" t="n"/>
      <c r="H132" s="257" t="n">
        <v>19500</v>
      </c>
      <c r="I132" s="258" t="n">
        <v>19500</v>
      </c>
      <c r="J132" s="258" t="n"/>
      <c r="K132" s="233" t="n"/>
      <c r="L132" s="233">
        <f>IF(K132&lt;&gt;"",3700+K132,3700)</f>
        <v/>
      </c>
      <c r="M132" s="156" t="n"/>
      <c r="N132" s="156" t="n"/>
      <c r="O132" s="156" t="n"/>
    </row>
    <row r="133" ht="18.75" customHeight="1" s="153">
      <c r="A133" s="227" t="n"/>
      <c r="B133" s="228" t="inlineStr">
        <is>
          <t>LARGUIA 6924</t>
        </is>
      </c>
      <c r="C133" s="229" t="n">
        <v>2</v>
      </c>
      <c r="D133" s="229" t="n"/>
      <c r="E133" s="229" t="n"/>
      <c r="F133" s="230" t="n"/>
      <c r="G133" s="230" t="n"/>
      <c r="H133" s="257" t="n">
        <v>50000</v>
      </c>
      <c r="I133" s="258" t="n">
        <v>50000</v>
      </c>
      <c r="J133" s="258" t="n"/>
      <c r="K133" s="233" t="n"/>
      <c r="L133" s="233">
        <f>IF(K133&lt;&gt;"",18400+K133,18400)</f>
        <v/>
      </c>
      <c r="M133" s="156" t="n"/>
      <c r="N133" s="156" t="n"/>
      <c r="O133" s="156" t="n"/>
    </row>
    <row r="134" ht="18.75" customHeight="1" s="153">
      <c r="A134" s="227" t="n"/>
      <c r="B134" s="228" t="inlineStr">
        <is>
          <t>PANA VIEYTES 3800</t>
        </is>
      </c>
      <c r="C134" s="229" t="n">
        <v>1</v>
      </c>
      <c r="D134" s="229" t="n"/>
      <c r="E134" s="229" t="n">
        <v>1</v>
      </c>
      <c r="F134" s="230" t="n"/>
      <c r="G134" s="230" t="n"/>
      <c r="H134" s="257" t="n">
        <v>110000</v>
      </c>
      <c r="I134" s="258" t="n">
        <v>110000</v>
      </c>
      <c r="J134" s="258" t="n"/>
      <c r="K134" s="233" t="n"/>
      <c r="L134" s="233">
        <f>IF(K134&lt;&gt;"",32200+K134,32200)</f>
        <v/>
      </c>
      <c r="M134" s="156" t="n"/>
      <c r="N134" s="156" t="n"/>
      <c r="O134" s="156" t="n"/>
    </row>
    <row r="135" ht="18.75" customHeight="1" s="153">
      <c r="A135" s="227" t="n"/>
      <c r="B135" s="228" t="inlineStr">
        <is>
          <t>ARISTÓBULO 5137</t>
        </is>
      </c>
      <c r="C135" s="229" t="n"/>
      <c r="D135" s="229" t="n">
        <v>1</v>
      </c>
      <c r="E135" s="229" t="n"/>
      <c r="F135" s="230" t="n"/>
      <c r="G135" s="230" t="n"/>
      <c r="H135" s="257" t="n">
        <v>39000</v>
      </c>
      <c r="I135" s="258" t="n">
        <v>39000</v>
      </c>
      <c r="J135" s="258" t="n"/>
      <c r="K135" s="233" t="n"/>
      <c r="L135" s="233">
        <f>IF(K135&lt;&gt;"",15300+K135,15300)</f>
        <v/>
      </c>
      <c r="M135" s="156" t="n"/>
      <c r="N135" s="156" t="n"/>
      <c r="O135" s="156" t="n"/>
    </row>
    <row r="136" ht="18.75" customHeight="1" s="153">
      <c r="A136" s="227" t="n"/>
      <c r="B136" s="228" t="inlineStr">
        <is>
          <t>MARIO</t>
        </is>
      </c>
      <c r="C136" s="229" t="n">
        <v>2</v>
      </c>
      <c r="D136" s="229" t="n"/>
      <c r="E136" s="229" t="n"/>
      <c r="F136" s="230" t="n"/>
      <c r="G136" s="230" t="n"/>
      <c r="H136" s="257" t="n">
        <v>39000</v>
      </c>
      <c r="I136" s="258" t="n"/>
      <c r="J136" s="258" t="n">
        <v>39000</v>
      </c>
      <c r="K136" s="233" t="n"/>
      <c r="L136" s="233">
        <f>IF(K136&lt;&gt;"",7400+K136,7400)</f>
        <v/>
      </c>
      <c r="M136" s="156" t="n"/>
      <c r="N136" s="156" t="n"/>
      <c r="O136" s="156" t="n"/>
    </row>
    <row r="137" ht="18.75" customHeight="1" s="153">
      <c r="A137" s="227" t="n"/>
      <c r="B137" s="228" t="inlineStr">
        <is>
          <t>MATEU 4059</t>
        </is>
      </c>
      <c r="C137" s="229" t="n"/>
      <c r="D137" s="229" t="n">
        <v>1</v>
      </c>
      <c r="E137" s="229" t="n"/>
      <c r="F137" s="230" t="n"/>
      <c r="G137" s="230" t="n"/>
      <c r="H137" s="257" t="n">
        <v>35000</v>
      </c>
      <c r="I137" s="258" t="n">
        <v>35000</v>
      </c>
      <c r="J137" s="258" t="n"/>
      <c r="K137" s="233" t="n"/>
      <c r="L137" s="233">
        <f>IF(K137&lt;&gt;"",11300+K137,11300)</f>
        <v/>
      </c>
      <c r="M137" s="156" t="n"/>
      <c r="N137" s="156" t="n"/>
      <c r="O137" s="156" t="n"/>
    </row>
    <row r="138" ht="18.75" customHeight="1" s="153">
      <c r="A138" s="227" t="n"/>
      <c r="B138" s="228" t="inlineStr">
        <is>
          <t>GOLD BURGER</t>
        </is>
      </c>
      <c r="C138" s="229" t="n">
        <v>4</v>
      </c>
      <c r="D138" s="229" t="n"/>
      <c r="E138" s="229" t="n"/>
      <c r="F138" s="230" t="n"/>
      <c r="G138" s="230" t="n"/>
      <c r="H138" s="257" t="n">
        <v>104000</v>
      </c>
      <c r="I138" s="258" t="n">
        <v>104000</v>
      </c>
      <c r="J138" s="258" t="n"/>
      <c r="K138" s="233" t="n"/>
      <c r="L138" s="233">
        <f>IF(K138&lt;&gt;"",40800+K138,40800)</f>
        <v/>
      </c>
      <c r="M138" s="156" t="n"/>
      <c r="N138" s="156" t="n"/>
      <c r="O138" s="156" t="n"/>
    </row>
    <row r="139" ht="18.75" customHeight="1" s="153">
      <c r="A139" s="227" t="n"/>
      <c r="B139" s="228" t="inlineStr">
        <is>
          <t>PIRU</t>
        </is>
      </c>
      <c r="C139" s="229" t="n"/>
      <c r="D139" s="229" t="n">
        <v>1</v>
      </c>
      <c r="E139" s="229" t="n"/>
      <c r="F139" s="230" t="n"/>
      <c r="G139" s="230" t="n"/>
      <c r="H139" s="257" t="n">
        <v>37000</v>
      </c>
      <c r="I139" s="258" t="n">
        <v>37000</v>
      </c>
      <c r="J139" s="258" t="n"/>
      <c r="K139" s="233" t="n"/>
      <c r="L139" s="233">
        <f>IF(K139&lt;&gt;"",13300+K139,13300)</f>
        <v/>
      </c>
      <c r="M139" s="156" t="n"/>
      <c r="N139" s="156" t="n"/>
      <c r="O139" s="156" t="n"/>
    </row>
    <row r="140" ht="18.75" customHeight="1" s="153">
      <c r="A140" s="227" t="n"/>
      <c r="B140" s="228" t="inlineStr">
        <is>
          <t>MARCIAL CANDIOTI 8846</t>
        </is>
      </c>
      <c r="C140" s="229" t="n"/>
      <c r="D140" s="229" t="n"/>
      <c r="E140" s="229" t="n">
        <v>1</v>
      </c>
      <c r="F140" s="230" t="n"/>
      <c r="G140" s="230" t="n"/>
      <c r="H140" s="257" t="n">
        <v>91000</v>
      </c>
      <c r="I140" s="258" t="n"/>
      <c r="J140" s="258" t="n">
        <v>91000</v>
      </c>
      <c r="K140" s="233" t="n"/>
      <c r="L140" s="233">
        <f>IF(K140&lt;&gt;"",29000+K140,29000)</f>
        <v/>
      </c>
      <c r="M140" s="156" t="n"/>
      <c r="N140" s="156" t="n"/>
      <c r="O140" s="156" t="n"/>
    </row>
    <row r="141" ht="18.75" customHeight="1" s="153">
      <c r="A141" s="227" t="n"/>
      <c r="B141" s="228" t="inlineStr">
        <is>
          <t>SAN MARTÍN 8947</t>
        </is>
      </c>
      <c r="C141" s="229" t="n">
        <v>1</v>
      </c>
      <c r="D141" s="229" t="n"/>
      <c r="E141" s="229" t="n"/>
      <c r="F141" s="230" t="n"/>
      <c r="G141" s="230" t="n"/>
      <c r="H141" s="257" t="n">
        <v>27000</v>
      </c>
      <c r="I141" s="258" t="n">
        <v>27000</v>
      </c>
      <c r="J141" s="258" t="n"/>
      <c r="K141" s="233" t="n"/>
      <c r="L141" s="233">
        <f>IF(K141&lt;&gt;"",11200+K141,11200)</f>
        <v/>
      </c>
      <c r="M141" s="156" t="n"/>
      <c r="N141" s="156" t="n"/>
      <c r="O141" s="156" t="n"/>
    </row>
    <row r="142" ht="18.75" customHeight="1" s="153">
      <c r="A142" s="227" t="n"/>
      <c r="B142" s="228" t="inlineStr">
        <is>
          <t>PUBLICO 8436</t>
        </is>
      </c>
      <c r="C142" s="229" t="n"/>
      <c r="D142" s="229" t="n">
        <v>1</v>
      </c>
      <c r="E142" s="229" t="n"/>
      <c r="F142" s="230" t="n"/>
      <c r="G142" s="230" t="n"/>
      <c r="H142" s="257" t="n">
        <v>42000</v>
      </c>
      <c r="I142" s="258" t="n">
        <v>42000</v>
      </c>
      <c r="J142" s="258" t="n"/>
      <c r="K142" s="233" t="n"/>
      <c r="L142" s="233">
        <f>IF(K142&lt;&gt;"",18300+K142,18300)</f>
        <v/>
      </c>
      <c r="M142" s="156" t="n"/>
      <c r="N142" s="156" t="n"/>
      <c r="O142" s="156" t="n"/>
    </row>
    <row r="143" ht="18.75" customHeight="1" s="153">
      <c r="A143" s="227" t="n"/>
      <c r="B143" s="228" t="inlineStr">
        <is>
          <t>JAVIER DE LA ROSA 2585</t>
        </is>
      </c>
      <c r="C143" s="229" t="n">
        <v>1</v>
      </c>
      <c r="D143" s="229" t="n"/>
      <c r="E143" s="229" t="n"/>
      <c r="F143" s="230" t="n"/>
      <c r="G143" s="230" t="n"/>
      <c r="H143" s="257" t="n">
        <v>27000</v>
      </c>
      <c r="I143" s="258" t="n">
        <v>27000</v>
      </c>
      <c r="J143" s="258" t="n"/>
      <c r="K143" s="233" t="n"/>
      <c r="L143" s="233">
        <f>IF(K143&lt;&gt;"",11200+K143,11200)</f>
        <v/>
      </c>
      <c r="M143" s="156" t="n"/>
      <c r="N143" s="156" t="n"/>
      <c r="O143" s="156" t="n"/>
    </row>
    <row r="144" ht="18.75" customHeight="1" s="153">
      <c r="A144" s="227" t="n"/>
      <c r="B144" s="228" t="inlineStr">
        <is>
          <t>SAAVEDRA 5820</t>
        </is>
      </c>
      <c r="C144" s="229" t="n"/>
      <c r="D144" s="229" t="n"/>
      <c r="E144" s="229" t="n">
        <v>1</v>
      </c>
      <c r="F144" s="230" t="n"/>
      <c r="G144" s="230" t="n"/>
      <c r="H144" s="257" t="n">
        <v>91000</v>
      </c>
      <c r="I144" s="258" t="n">
        <v>91000</v>
      </c>
      <c r="J144" s="258" t="n"/>
      <c r="K144" s="233" t="n"/>
      <c r="L144" s="233">
        <f>IF(K144&lt;&gt;"",29000+K144,29000)</f>
        <v/>
      </c>
      <c r="M144" s="156" t="n"/>
      <c r="N144" s="156" t="n"/>
      <c r="O144" s="156" t="n"/>
    </row>
    <row r="145" ht="18.75" customHeight="1" s="153">
      <c r="A145" s="227" t="n"/>
      <c r="B145" s="228" t="inlineStr">
        <is>
          <t>LUCHO</t>
        </is>
      </c>
      <c r="C145" s="229" t="n">
        <v>1</v>
      </c>
      <c r="D145" s="229" t="n"/>
      <c r="E145" s="229" t="n"/>
      <c r="F145" s="230" t="n"/>
      <c r="G145" s="230" t="n"/>
      <c r="H145" s="257" t="n">
        <v>20000</v>
      </c>
      <c r="I145" s="258" t="n"/>
      <c r="J145" s="258" t="n">
        <v>20000</v>
      </c>
      <c r="K145" s="233" t="n"/>
      <c r="L145" s="233">
        <f>IF(K145&lt;&gt;"",4200+K145,4200)</f>
        <v/>
      </c>
      <c r="M145" s="156" t="n"/>
      <c r="N145" s="156" t="n"/>
      <c r="O145" s="156" t="n"/>
    </row>
    <row r="146" ht="18.75" customHeight="1" s="153">
      <c r="A146" s="227" t="n"/>
      <c r="B146" s="228" t="inlineStr">
        <is>
          <t>AZCUENAGA 5023</t>
        </is>
      </c>
      <c r="C146" s="229" t="n">
        <v>3</v>
      </c>
      <c r="D146" s="229" t="n"/>
      <c r="E146" s="229" t="n"/>
      <c r="F146" s="230" t="n"/>
      <c r="G146" s="230" t="n"/>
      <c r="H146" s="257" t="n">
        <v>60000</v>
      </c>
      <c r="I146" s="258" t="n"/>
      <c r="J146" s="258" t="n">
        <v>60000</v>
      </c>
      <c r="K146" s="233" t="n"/>
      <c r="L146" s="233">
        <f>IF(K146&lt;&gt;"",12600+K146,12600)</f>
        <v/>
      </c>
      <c r="M146" s="156" t="n"/>
      <c r="N146" s="156" t="n"/>
      <c r="O146" s="156" t="n"/>
    </row>
    <row r="147" ht="18.75" customHeight="1" s="153">
      <c r="A147" s="227" t="n"/>
      <c r="B147" s="228" t="inlineStr">
        <is>
          <t>BRASERIA</t>
        </is>
      </c>
      <c r="C147" s="229" t="n"/>
      <c r="D147" s="229" t="n"/>
      <c r="E147" s="229" t="n">
        <v>1</v>
      </c>
      <c r="F147" s="230" t="n"/>
      <c r="G147" s="230" t="n"/>
      <c r="H147" s="257" t="n">
        <v>86000</v>
      </c>
      <c r="I147" s="258" t="n"/>
      <c r="J147" s="258" t="n">
        <v>86000</v>
      </c>
      <c r="K147" s="233" t="n"/>
      <c r="L147" s="233">
        <f>IF(K147&lt;&gt;"",24000+K147,24000)</f>
        <v/>
      </c>
      <c r="M147" s="156" t="n"/>
      <c r="N147" s="156" t="n"/>
      <c r="O147" s="156" t="n"/>
    </row>
    <row r="148" ht="18.75" customHeight="1" s="153">
      <c r="A148" s="227" t="n"/>
      <c r="B148" s="228" t="inlineStr">
        <is>
          <t>TACUARI 5717</t>
        </is>
      </c>
      <c r="C148" s="229" t="n">
        <v>1</v>
      </c>
      <c r="D148" s="229" t="n"/>
      <c r="E148" s="229" t="n"/>
      <c r="F148" s="230" t="n"/>
      <c r="G148" s="230" t="n"/>
      <c r="H148" s="257" t="n">
        <v>27000</v>
      </c>
      <c r="I148" s="258" t="n"/>
      <c r="J148" s="258" t="n">
        <v>27000</v>
      </c>
      <c r="K148" s="233" t="n"/>
      <c r="L148" s="233">
        <f>IF(K148&lt;&gt;"",11200+K148,11200)</f>
        <v/>
      </c>
      <c r="M148" s="156" t="n"/>
      <c r="N148" s="156" t="n"/>
      <c r="O148" s="156" t="n"/>
    </row>
    <row r="149" ht="18.75" customHeight="1" s="153">
      <c r="A149" s="227" t="n"/>
      <c r="B149" s="228" t="inlineStr">
        <is>
          <t>BELGRANO 7972</t>
        </is>
      </c>
      <c r="C149" s="229" t="n">
        <v>1</v>
      </c>
      <c r="D149" s="229" t="n"/>
      <c r="E149" s="229" t="n"/>
      <c r="F149" s="230" t="n"/>
      <c r="G149" s="230" t="n"/>
      <c r="H149" s="257" t="n">
        <v>27000</v>
      </c>
      <c r="I149" s="258" t="n">
        <v>27000</v>
      </c>
      <c r="J149" s="258" t="n"/>
      <c r="K149" s="233" t="n"/>
      <c r="L149" s="233">
        <f>IF(K149&lt;&gt;"",11200+K149,11200)</f>
        <v/>
      </c>
      <c r="M149" s="156" t="n"/>
      <c r="N149" s="156" t="n"/>
      <c r="O149" s="156" t="n"/>
    </row>
    <row r="150" ht="18.75" customHeight="1" s="153">
      <c r="A150" s="227" t="n">
        <v>46151</v>
      </c>
      <c r="B150" s="228" t="inlineStr">
        <is>
          <t>GENERAL PAZ 5179</t>
        </is>
      </c>
      <c r="C150" s="229" t="n"/>
      <c r="D150" s="229" t="n">
        <v>1</v>
      </c>
      <c r="E150" s="229" t="n"/>
      <c r="F150" s="230" t="n"/>
      <c r="G150" s="230" t="n"/>
      <c r="H150" s="257" t="n">
        <v>38500</v>
      </c>
      <c r="I150" s="258" t="n"/>
      <c r="J150" s="258" t="n">
        <v>38500</v>
      </c>
      <c r="K150" s="233" t="n"/>
      <c r="L150" s="233" t="n">
        <v>14800</v>
      </c>
      <c r="M150" s="156" t="n"/>
      <c r="N150" s="156" t="n"/>
      <c r="O150" s="156" t="n"/>
    </row>
    <row r="151" ht="18.75" customHeight="1" s="153">
      <c r="A151" s="227" t="n"/>
      <c r="B151" s="228" t="inlineStr">
        <is>
          <t>ALSINA 7980</t>
        </is>
      </c>
      <c r="C151" s="229" t="n"/>
      <c r="D151" s="229" t="n"/>
      <c r="E151" s="229" t="n">
        <v>1</v>
      </c>
      <c r="F151" s="230" t="n"/>
      <c r="G151" s="230" t="n"/>
      <c r="H151" s="257" t="n">
        <v>91000</v>
      </c>
      <c r="I151" s="258" t="n"/>
      <c r="J151" s="258" t="n">
        <v>91000</v>
      </c>
      <c r="K151" s="233" t="n"/>
      <c r="L151" s="233" t="n">
        <v>29000</v>
      </c>
      <c r="M151" s="156" t="n"/>
      <c r="N151" s="156" t="n"/>
      <c r="O151" s="156" t="n"/>
    </row>
    <row r="152" ht="18.75" customHeight="1" s="153">
      <c r="A152" s="227" t="n"/>
      <c r="B152" s="228" t="inlineStr">
        <is>
          <t>PANA ALBERTI</t>
        </is>
      </c>
      <c r="C152" s="229" t="n"/>
      <c r="D152" s="229" t="n"/>
      <c r="E152" s="229" t="n">
        <v>1</v>
      </c>
      <c r="F152" s="230" t="n"/>
      <c r="G152" s="230" t="n"/>
      <c r="H152" s="257" t="n">
        <v>84000</v>
      </c>
      <c r="I152" s="258" t="n">
        <v>84000</v>
      </c>
      <c r="J152" s="258" t="n"/>
      <c r="K152" s="233" t="n"/>
      <c r="L152" s="233" t="n">
        <v>22000</v>
      </c>
      <c r="M152" s="156" t="n"/>
      <c r="N152" s="156" t="n"/>
      <c r="O152" s="156" t="n"/>
    </row>
    <row r="153" ht="18.75" customHeight="1" s="153">
      <c r="A153" s="227" t="n"/>
      <c r="B153" s="228" t="inlineStr">
        <is>
          <t>EXE</t>
        </is>
      </c>
      <c r="C153" s="229" t="n"/>
      <c r="D153" s="229" t="n"/>
      <c r="E153" s="229" t="n">
        <v>1</v>
      </c>
      <c r="F153" s="230" t="n"/>
      <c r="G153" s="230" t="n"/>
      <c r="H153" s="257" t="n">
        <v>85000</v>
      </c>
      <c r="I153" s="258" t="n"/>
      <c r="J153" s="258" t="n">
        <v>85000</v>
      </c>
      <c r="K153" s="233" t="n"/>
      <c r="L153" s="233" t="n">
        <v>23000</v>
      </c>
      <c r="M153" s="156" t="n"/>
      <c r="N153" s="156" t="n"/>
      <c r="O153" s="156" t="n"/>
    </row>
    <row r="154" ht="18.75" customHeight="1" s="153">
      <c r="A154" s="227" t="n"/>
      <c r="B154" s="228" t="inlineStr">
        <is>
          <t>SABOREAR</t>
        </is>
      </c>
      <c r="C154" s="229" t="n">
        <v>2</v>
      </c>
      <c r="D154" s="229" t="n"/>
      <c r="E154" s="229" t="n"/>
      <c r="F154" s="230" t="n"/>
      <c r="G154" s="230" t="n"/>
      <c r="H154" s="257" t="n">
        <v>47000</v>
      </c>
      <c r="I154" s="258" t="n"/>
      <c r="J154" s="258" t="n">
        <v>47000</v>
      </c>
      <c r="K154" s="233" t="n"/>
      <c r="L154" s="233" t="n">
        <v>15400</v>
      </c>
      <c r="M154" s="156" t="n"/>
      <c r="N154" s="156" t="n"/>
      <c r="O154" s="156" t="n"/>
    </row>
    <row r="155" ht="18.75" customHeight="1" s="153">
      <c r="A155" s="227" t="n"/>
      <c r="B155" s="228" t="inlineStr">
        <is>
          <t>MARCIAL CANDIOTI 8968</t>
        </is>
      </c>
      <c r="C155" s="229" t="n"/>
      <c r="D155" s="229" t="n"/>
      <c r="E155" s="229" t="n">
        <v>1</v>
      </c>
      <c r="F155" s="230" t="n"/>
      <c r="G155" s="230" t="n"/>
      <c r="H155" s="257" t="n">
        <v>91000</v>
      </c>
      <c r="I155" s="258" t="n">
        <v>91000</v>
      </c>
      <c r="J155" s="258" t="n"/>
      <c r="K155" s="233" t="n"/>
      <c r="L155" s="233" t="n">
        <v>29000</v>
      </c>
      <c r="M155" s="156" t="n"/>
      <c r="N155" s="156" t="n"/>
      <c r="O155" s="156" t="n"/>
    </row>
    <row r="156" ht="18.75" customHeight="1" s="153">
      <c r="A156" s="227" t="n"/>
      <c r="B156" s="228" t="inlineStr">
        <is>
          <t>AVENIDA FREIRE 6181</t>
        </is>
      </c>
      <c r="C156" s="229" t="n">
        <v>1</v>
      </c>
      <c r="D156" s="229" t="n"/>
      <c r="E156" s="229" t="n"/>
      <c r="F156" s="230" t="n"/>
      <c r="G156" s="230" t="n"/>
      <c r="H156" s="257" t="n">
        <v>26000</v>
      </c>
      <c r="I156" s="258" t="n">
        <v>26000</v>
      </c>
      <c r="J156" s="258" t="n"/>
      <c r="K156" s="233" t="n"/>
      <c r="L156" s="233" t="n">
        <v>10200</v>
      </c>
      <c r="M156" s="156" t="n"/>
      <c r="N156" s="156" t="n"/>
      <c r="O156" s="156" t="n"/>
    </row>
    <row r="157" ht="18.75" customHeight="1" s="153">
      <c r="A157" s="227" t="n"/>
      <c r="B157" s="228" t="inlineStr">
        <is>
          <t>FILOMENA</t>
        </is>
      </c>
      <c r="C157" s="229" t="n">
        <v>2</v>
      </c>
      <c r="D157" s="229" t="n"/>
      <c r="E157" s="229" t="n"/>
      <c r="F157" s="230" t="n"/>
      <c r="G157" s="230" t="n"/>
      <c r="H157" s="257" t="n">
        <v>49000</v>
      </c>
      <c r="I157" s="258" t="n"/>
      <c r="J157" s="258" t="n">
        <v>49000</v>
      </c>
      <c r="K157" s="233" t="n"/>
      <c r="L157" s="233" t="n">
        <v>17400</v>
      </c>
      <c r="M157" s="156" t="n"/>
      <c r="N157" s="156" t="n"/>
      <c r="O157" s="156" t="n"/>
    </row>
    <row r="158" ht="18.75" customHeight="1" s="153">
      <c r="A158" s="227" t="n"/>
      <c r="B158" s="228" t="inlineStr">
        <is>
          <t>ARIEL IMPRENTA</t>
        </is>
      </c>
      <c r="C158" s="229" t="n"/>
      <c r="D158" s="229" t="n"/>
      <c r="E158" s="229" t="n">
        <v>1</v>
      </c>
      <c r="F158" s="230" t="n"/>
      <c r="G158" s="230" t="n"/>
      <c r="H158" s="257" t="n">
        <v>91000</v>
      </c>
      <c r="I158" s="258" t="n"/>
      <c r="J158" s="258" t="n">
        <v>91000</v>
      </c>
      <c r="K158" s="233" t="n"/>
      <c r="L158" s="233" t="n">
        <v>29000</v>
      </c>
      <c r="M158" s="156" t="n"/>
      <c r="N158" s="156" t="n"/>
      <c r="O158" s="156" t="n"/>
    </row>
    <row r="159" ht="18.75" customHeight="1" s="153">
      <c r="A159" s="227" t="n"/>
      <c r="B159" s="228" t="inlineStr">
        <is>
          <t>ALSINA 7980</t>
        </is>
      </c>
      <c r="C159" s="229" t="n">
        <v>1</v>
      </c>
      <c r="D159" s="229" t="n"/>
      <c r="E159" s="229" t="n"/>
      <c r="F159" s="230" t="n"/>
      <c r="G159" s="230" t="n"/>
      <c r="H159" s="257" t="n">
        <v>27000</v>
      </c>
      <c r="I159" s="258" t="n">
        <v>27000</v>
      </c>
      <c r="J159" s="258" t="n"/>
      <c r="K159" s="233" t="n"/>
      <c r="L159" s="233" t="n">
        <v>11200</v>
      </c>
      <c r="M159" s="156" t="n"/>
      <c r="N159" s="156" t="n"/>
      <c r="O159" s="156" t="n"/>
    </row>
    <row r="160" ht="18.75" customHeight="1" s="153">
      <c r="A160" s="227" t="n"/>
      <c r="B160" s="228" t="inlineStr">
        <is>
          <t>MARIO ALBERTI Y GABOTO</t>
        </is>
      </c>
      <c r="C160" s="229" t="n">
        <v>2</v>
      </c>
      <c r="D160" s="229" t="n">
        <v>1</v>
      </c>
      <c r="E160" s="229" t="n"/>
      <c r="F160" s="230" t="n"/>
      <c r="G160" s="230" t="n"/>
      <c r="H160" s="257" t="n">
        <v>67500</v>
      </c>
      <c r="I160" s="258" t="n">
        <v>67500</v>
      </c>
      <c r="J160" s="258" t="n"/>
      <c r="K160" s="233" t="n"/>
      <c r="L160" s="233" t="n">
        <v>12200</v>
      </c>
      <c r="M160" s="156" t="n"/>
      <c r="N160" s="156" t="n"/>
      <c r="O160" s="156" t="n"/>
    </row>
    <row r="161" ht="18.75" customHeight="1" s="153">
      <c r="A161" s="227" t="n"/>
      <c r="B161" s="228" t="inlineStr">
        <is>
          <t>TROPPO</t>
        </is>
      </c>
      <c r="C161" s="229" t="n">
        <v>1</v>
      </c>
      <c r="D161" s="229" t="n"/>
      <c r="E161" s="229" t="n"/>
      <c r="F161" s="230" t="n"/>
      <c r="G161" s="230" t="n"/>
      <c r="H161" s="257" t="n">
        <v>27000</v>
      </c>
      <c r="I161" s="258" t="n"/>
      <c r="J161" s="258" t="n">
        <v>27000</v>
      </c>
      <c r="K161" s="233" t="n"/>
      <c r="L161" s="233" t="n">
        <v>11200</v>
      </c>
      <c r="M161" s="156" t="n"/>
      <c r="N161" s="156" t="n"/>
      <c r="O161" s="156" t="n"/>
    </row>
    <row r="162" ht="18.75" customHeight="1" s="153">
      <c r="A162" s="227" t="n"/>
      <c r="B162" s="228" t="inlineStr">
        <is>
          <t>NOGALES 2412</t>
        </is>
      </c>
      <c r="C162" s="229" t="n"/>
      <c r="D162" s="229" t="n"/>
      <c r="E162" s="229" t="n">
        <v>1</v>
      </c>
      <c r="F162" s="230" t="n"/>
      <c r="G162" s="230" t="n"/>
      <c r="H162" s="257" t="n">
        <v>95000</v>
      </c>
      <c r="I162" s="258" t="n"/>
      <c r="J162" s="258" t="n">
        <v>95000</v>
      </c>
      <c r="K162" s="233" t="n"/>
      <c r="L162" s="233" t="n">
        <v>33000</v>
      </c>
      <c r="M162" s="156" t="n"/>
      <c r="N162" s="156" t="n"/>
      <c r="O162" s="156" t="n"/>
    </row>
    <row r="163" ht="18.75" customHeight="1" s="153">
      <c r="A163" s="227" t="n">
        <v>46152</v>
      </c>
      <c r="B163" s="228" t="inlineStr">
        <is>
          <t>JUANA ZUAGA</t>
        </is>
      </c>
      <c r="C163" s="229" t="n">
        <v>1</v>
      </c>
      <c r="D163" s="229" t="n"/>
      <c r="E163" s="229" t="n"/>
      <c r="F163" s="230" t="n"/>
      <c r="G163" s="230" t="n"/>
      <c r="H163" s="257" t="n">
        <v>20000</v>
      </c>
      <c r="I163" s="258" t="n">
        <v>20000</v>
      </c>
      <c r="J163" s="258" t="n"/>
      <c r="K163" s="233" t="n"/>
      <c r="L163" s="233" t="n">
        <v>4200</v>
      </c>
      <c r="M163" s="156" t="n"/>
      <c r="N163" s="156" t="n"/>
      <c r="O163" s="156" t="n"/>
    </row>
    <row r="164" ht="18.75" customHeight="1" s="153">
      <c r="A164" s="227" t="n"/>
      <c r="B164" s="228" t="inlineStr">
        <is>
          <t>EX COMBATIENTES 5462</t>
        </is>
      </c>
      <c r="C164" s="229" t="n"/>
      <c r="D164" s="229" t="n">
        <v>1</v>
      </c>
      <c r="E164" s="229" t="n"/>
      <c r="F164" s="230" t="n"/>
      <c r="G164" s="230" t="n"/>
      <c r="H164" s="257" t="n">
        <v>37500</v>
      </c>
      <c r="I164" s="258" t="n">
        <v>37500</v>
      </c>
      <c r="J164" s="258" t="n"/>
      <c r="K164" s="233" t="n"/>
      <c r="L164" s="233" t="n">
        <v>13800</v>
      </c>
      <c r="M164" s="156" t="n"/>
      <c r="N164" s="156" t="n"/>
      <c r="O164" s="156" t="n"/>
    </row>
    <row r="165" ht="18.75" customHeight="1" s="153">
      <c r="A165" s="227" t="n"/>
      <c r="B165" s="228" t="inlineStr">
        <is>
          <t>LOS PRIMOS</t>
        </is>
      </c>
      <c r="C165" s="229" t="n">
        <v>1</v>
      </c>
      <c r="D165" s="229" t="n">
        <v>1</v>
      </c>
      <c r="E165" s="229" t="n"/>
      <c r="F165" s="230" t="n"/>
      <c r="G165" s="230" t="n"/>
      <c r="H165" s="257" t="n">
        <v>64000</v>
      </c>
      <c r="I165" s="258" t="n">
        <v>64000</v>
      </c>
      <c r="J165" s="258" t="n"/>
      <c r="K165" s="233" t="n"/>
      <c r="L165" s="233" t="n">
        <v>24500</v>
      </c>
      <c r="M165" s="156" t="n"/>
      <c r="N165" s="156" t="n"/>
      <c r="O165" s="156" t="n"/>
    </row>
    <row r="166" ht="18.75" customHeight="1" s="153">
      <c r="A166" s="227" t="n"/>
      <c r="B166" s="228" t="inlineStr">
        <is>
          <t>ASCUÉNAGA 6551</t>
        </is>
      </c>
      <c r="C166" s="229" t="n">
        <v>5</v>
      </c>
      <c r="D166" s="229" t="n"/>
      <c r="E166" s="229" t="n"/>
      <c r="F166" s="230" t="n"/>
      <c r="G166" s="230" t="n"/>
      <c r="H166" s="257" t="n">
        <v>100000</v>
      </c>
      <c r="I166" s="258" t="n"/>
      <c r="J166" s="258" t="n">
        <v>100000</v>
      </c>
      <c r="K166" s="233" t="n"/>
      <c r="L166" s="233" t="n">
        <v>21000</v>
      </c>
      <c r="M166" s="156" t="n"/>
      <c r="N166" s="156" t="n"/>
      <c r="O166" s="156" t="n"/>
    </row>
    <row r="167" ht="18.75" customHeight="1" s="153">
      <c r="A167" s="227" t="n"/>
      <c r="B167" s="228" t="inlineStr">
        <is>
          <t>PAULO</t>
        </is>
      </c>
      <c r="C167" s="229" t="n">
        <v>1</v>
      </c>
      <c r="D167" s="229" t="n">
        <v>1</v>
      </c>
      <c r="E167" s="229" t="n"/>
      <c r="F167" s="230" t="n"/>
      <c r="G167" s="230" t="n"/>
      <c r="H167" s="257" t="n">
        <v>47500</v>
      </c>
      <c r="I167" s="258" t="n">
        <v>47500</v>
      </c>
      <c r="J167" s="258" t="n"/>
      <c r="K167" s="233" t="n"/>
      <c r="L167" s="233" t="n">
        <v>8000</v>
      </c>
      <c r="M167" s="156" t="n"/>
      <c r="N167" s="156" t="n"/>
      <c r="O167" s="156" t="n"/>
    </row>
    <row r="168" ht="18.75" customHeight="1" s="153">
      <c r="A168" s="227" t="n"/>
      <c r="B168" s="228" t="inlineStr">
        <is>
          <t>LAS HERAS 5471</t>
        </is>
      </c>
      <c r="C168" s="229" t="n">
        <v>2</v>
      </c>
      <c r="D168" s="229" t="n"/>
      <c r="E168" s="229" t="n"/>
      <c r="F168" s="230" t="n"/>
      <c r="G168" s="230" t="n"/>
      <c r="H168" s="257" t="n">
        <v>54000</v>
      </c>
      <c r="I168" s="258" t="n"/>
      <c r="J168" s="258" t="n">
        <v>54000</v>
      </c>
      <c r="K168" s="233" t="n"/>
      <c r="L168" s="233" t="n">
        <v>22400</v>
      </c>
      <c r="M168" s="156" t="n"/>
      <c r="N168" s="156" t="n"/>
      <c r="O168" s="156" t="n"/>
    </row>
    <row r="169" ht="18.75" customHeight="1" s="153">
      <c r="A169" s="227" t="n"/>
      <c r="B169" s="228" t="inlineStr">
        <is>
          <t>SAN JERÓNIMO 4532</t>
        </is>
      </c>
      <c r="C169" s="229" t="n">
        <v>1</v>
      </c>
      <c r="D169" s="229" t="n"/>
      <c r="E169" s="229" t="n"/>
      <c r="F169" s="230" t="n"/>
      <c r="G169" s="230" t="n"/>
      <c r="H169" s="257" t="n">
        <v>27000</v>
      </c>
      <c r="I169" s="258" t="n"/>
      <c r="J169" s="258" t="n">
        <v>27000</v>
      </c>
      <c r="K169" s="233" t="n"/>
      <c r="L169" s="233" t="n">
        <v>11200</v>
      </c>
      <c r="M169" s="156" t="n"/>
      <c r="N169" s="156" t="n"/>
      <c r="O169" s="156" t="n"/>
    </row>
    <row r="170" ht="18.75" customHeight="1" s="153">
      <c r="A170" s="227" t="n"/>
      <c r="B170" s="228" t="inlineStr">
        <is>
          <t>FORMOSA 6058</t>
        </is>
      </c>
      <c r="C170" s="229" t="n"/>
      <c r="D170" s="229" t="n"/>
      <c r="E170" s="229" t="n"/>
      <c r="F170" s="230" t="n"/>
      <c r="G170" s="230" t="n">
        <v>3</v>
      </c>
      <c r="H170" s="257" t="n">
        <v>18000</v>
      </c>
      <c r="I170" s="258" t="n">
        <v>18000</v>
      </c>
      <c r="J170" s="258" t="n"/>
      <c r="K170" s="233" t="n"/>
      <c r="L170" s="233" t="n">
        <v>15240</v>
      </c>
      <c r="M170" s="156" t="n"/>
      <c r="N170" s="156" t="n"/>
      <c r="O170" s="156" t="n"/>
    </row>
    <row r="171" ht="18.75" customHeight="1" s="153">
      <c r="A171" s="227" t="n"/>
      <c r="B171" s="228" t="inlineStr">
        <is>
          <t>ROTI AGUADO</t>
        </is>
      </c>
      <c r="C171" s="229" t="n">
        <v>1</v>
      </c>
      <c r="D171" s="229" t="n">
        <v>1</v>
      </c>
      <c r="E171" s="229" t="n"/>
      <c r="F171" s="230" t="n"/>
      <c r="G171" s="230" t="n"/>
      <c r="H171" s="257" t="n">
        <v>65500</v>
      </c>
      <c r="I171" s="258" t="n">
        <v>65500</v>
      </c>
      <c r="J171" s="258" t="n"/>
      <c r="K171" s="233" t="n"/>
      <c r="L171" s="233" t="n">
        <v>26000</v>
      </c>
      <c r="M171" s="156" t="n"/>
      <c r="N171" s="156" t="n"/>
      <c r="O171" s="156" t="n"/>
    </row>
    <row r="172" ht="18.75" customHeight="1" s="153">
      <c r="A172" s="227" t="n"/>
      <c r="B172" s="228" t="inlineStr">
        <is>
          <t>COLODRERO 2414</t>
        </is>
      </c>
      <c r="C172" s="229" t="n"/>
      <c r="D172" s="229" t="n">
        <v>1</v>
      </c>
      <c r="E172" s="229" t="n"/>
      <c r="F172" s="230" t="n"/>
      <c r="G172" s="230" t="n"/>
      <c r="H172" s="257" t="n">
        <v>37000</v>
      </c>
      <c r="I172" s="258" t="n">
        <v>37000</v>
      </c>
      <c r="J172" s="258" t="n"/>
      <c r="K172" s="233" t="n"/>
      <c r="L172" s="233" t="n">
        <v>13300</v>
      </c>
      <c r="M172" s="156" t="n"/>
      <c r="N172" s="156" t="n"/>
      <c r="O172" s="156" t="n"/>
    </row>
    <row r="173" ht="18.75" customHeight="1" s="153">
      <c r="A173" s="227" t="n"/>
      <c r="B173" s="228" t="inlineStr">
        <is>
          <t>GRINGO IL GATO</t>
        </is>
      </c>
      <c r="C173" s="229" t="n"/>
      <c r="D173" s="229" t="n"/>
      <c r="E173" s="229" t="n">
        <v>1</v>
      </c>
      <c r="F173" s="230" t="n"/>
      <c r="G173" s="230" t="n"/>
      <c r="H173" s="257" t="n">
        <v>95000</v>
      </c>
      <c r="I173" s="258" t="n">
        <v>95000</v>
      </c>
      <c r="J173" s="258" t="n"/>
      <c r="K173" s="233" t="n"/>
      <c r="L173" s="233" t="n">
        <v>33000</v>
      </c>
      <c r="M173" s="156" t="n"/>
      <c r="N173" s="156" t="n"/>
      <c r="O173" s="156" t="n"/>
    </row>
    <row r="174" ht="18.75" customHeight="1" s="153">
      <c r="A174" s="227" t="n"/>
      <c r="B174" s="228" t="inlineStr">
        <is>
          <t>ALSINA 6550</t>
        </is>
      </c>
      <c r="C174" s="229" t="n"/>
      <c r="D174" s="229" t="n">
        <v>1</v>
      </c>
      <c r="E174" s="229" t="n"/>
      <c r="F174" s="230" t="n"/>
      <c r="G174" s="230" t="n"/>
      <c r="H174" s="257" t="n">
        <v>40000</v>
      </c>
      <c r="I174" s="258" t="n">
        <v>40000</v>
      </c>
      <c r="J174" s="258" t="n"/>
      <c r="K174" s="233" t="n"/>
      <c r="L174" s="233" t="n">
        <v>16300</v>
      </c>
      <c r="M174" s="156" t="n"/>
      <c r="N174" s="156" t="n"/>
      <c r="O174" s="156" t="n"/>
    </row>
    <row r="175" ht="18.75" customHeight="1" s="153">
      <c r="A175" s="227" t="n"/>
      <c r="B175" s="228" t="inlineStr">
        <is>
          <t>LEHMANN 9357</t>
        </is>
      </c>
      <c r="C175" s="229" t="n"/>
      <c r="D175" s="229" t="n"/>
      <c r="E175" s="229" t="n">
        <v>1</v>
      </c>
      <c r="F175" s="230" t="n"/>
      <c r="G175" s="230" t="n"/>
      <c r="H175" s="257" t="n">
        <v>92000</v>
      </c>
      <c r="I175" s="258" t="n">
        <v>92000</v>
      </c>
      <c r="J175" s="258" t="n"/>
      <c r="K175" s="233" t="n"/>
      <c r="L175" s="233" t="n">
        <v>30000</v>
      </c>
      <c r="M175" s="156" t="n"/>
      <c r="N175" s="156" t="n"/>
      <c r="O175" s="156" t="n"/>
    </row>
    <row r="176" ht="18.75" customHeight="1" s="153">
      <c r="A176" s="227" t="n"/>
      <c r="B176" s="228" t="inlineStr">
        <is>
          <t>JOSÉ MONTEVERA</t>
        </is>
      </c>
      <c r="C176" s="229" t="n">
        <v>1</v>
      </c>
      <c r="D176" s="229" t="n"/>
      <c r="E176" s="229" t="n">
        <v>1</v>
      </c>
      <c r="F176" s="230" t="n"/>
      <c r="G176" s="230" t="n"/>
      <c r="H176" s="257" t="n">
        <v>122000</v>
      </c>
      <c r="I176" s="258" t="n">
        <v>122000</v>
      </c>
      <c r="J176" s="258" t="n"/>
      <c r="K176" s="233" t="n"/>
      <c r="L176" s="233" t="n">
        <v>44200</v>
      </c>
      <c r="M176" s="156" t="n"/>
      <c r="N176" s="156" t="n"/>
      <c r="O176" s="156" t="n"/>
    </row>
    <row r="177" ht="18.75" customHeight="1" s="153">
      <c r="A177" s="227" t="n"/>
      <c r="B177" s="228" t="inlineStr">
        <is>
          <t>1 DE MAYO 3173</t>
        </is>
      </c>
      <c r="C177" s="229" t="n">
        <v>1</v>
      </c>
      <c r="D177" s="229" t="n"/>
      <c r="E177" s="229" t="n"/>
      <c r="F177" s="230" t="n"/>
      <c r="G177" s="230" t="n"/>
      <c r="H177" s="257" t="n">
        <v>27000</v>
      </c>
      <c r="I177" s="258" t="n">
        <v>27000</v>
      </c>
      <c r="J177" s="258" t="n"/>
      <c r="K177" s="233" t="n"/>
      <c r="L177" s="233" t="n">
        <v>11200</v>
      </c>
      <c r="M177" s="156" t="n"/>
      <c r="N177" s="156" t="n"/>
      <c r="O177" s="156" t="n"/>
    </row>
    <row r="178" ht="18.75" customHeight="1" s="153">
      <c r="A178" s="227" t="n"/>
      <c r="B178" s="228" t="inlineStr">
        <is>
          <t>NECOCHEA 7264</t>
        </is>
      </c>
      <c r="C178" s="229" t="n">
        <v>1</v>
      </c>
      <c r="D178" s="229" t="n"/>
      <c r="E178" s="229" t="n"/>
      <c r="F178" s="230" t="n"/>
      <c r="G178" s="230" t="n"/>
      <c r="H178" s="257" t="n">
        <v>26000</v>
      </c>
      <c r="I178" s="258" t="n"/>
      <c r="J178" s="258" t="n">
        <v>26000</v>
      </c>
      <c r="K178" s="233" t="n"/>
      <c r="L178" s="233" t="n">
        <v>10200</v>
      </c>
      <c r="M178" s="156" t="n"/>
      <c r="N178" s="156" t="n"/>
      <c r="O178" s="156" t="n"/>
    </row>
    <row r="179" ht="18.75" customHeight="1" s="153">
      <c r="A179" s="227" t="n"/>
      <c r="B179" s="228" t="inlineStr">
        <is>
          <t>RÍO NEGRO 4464</t>
        </is>
      </c>
      <c r="C179" s="229" t="n">
        <v>1</v>
      </c>
      <c r="D179" s="229" t="n"/>
      <c r="E179" s="229" t="n"/>
      <c r="F179" s="230" t="n"/>
      <c r="G179" s="230" t="n"/>
      <c r="H179" s="257" t="n">
        <v>27000</v>
      </c>
      <c r="I179" s="258" t="n">
        <v>27000</v>
      </c>
      <c r="J179" s="258" t="n"/>
      <c r="K179" s="233" t="n"/>
      <c r="L179" s="233" t="n">
        <v>11200</v>
      </c>
      <c r="M179" s="156" t="n"/>
      <c r="N179" s="156" t="n"/>
      <c r="O179" s="156" t="n"/>
    </row>
    <row r="180" ht="18.75" customHeight="1" s="153">
      <c r="A180" s="227" t="n"/>
      <c r="B180" s="228" t="inlineStr">
        <is>
          <t>PUBLICO 8251</t>
        </is>
      </c>
      <c r="C180" s="229" t="n"/>
      <c r="D180" s="229" t="n"/>
      <c r="E180" s="229" t="n">
        <v>1</v>
      </c>
      <c r="F180" s="230" t="n"/>
      <c r="G180" s="230" t="n"/>
      <c r="H180" s="257" t="n">
        <v>91000</v>
      </c>
      <c r="I180" s="258" t="n"/>
      <c r="J180" s="258" t="n">
        <v>91000</v>
      </c>
      <c r="K180" s="233" t="n"/>
      <c r="L180" s="233" t="n">
        <v>29000</v>
      </c>
      <c r="M180" s="156" t="n"/>
      <c r="N180" s="156" t="n"/>
      <c r="O180" s="156" t="n"/>
    </row>
    <row r="181" ht="18.75" customHeight="1" s="153">
      <c r="A181" s="227" t="n"/>
      <c r="B181" s="228" t="inlineStr">
        <is>
          <t>ROTI ARISTÓBULO</t>
        </is>
      </c>
      <c r="C181" s="229" t="n">
        <v>1</v>
      </c>
      <c r="D181" s="229" t="n"/>
      <c r="E181" s="229" t="n"/>
      <c r="F181" s="230" t="n"/>
      <c r="G181" s="230" t="n"/>
      <c r="H181" s="257" t="n">
        <v>25000</v>
      </c>
      <c r="I181" s="258" t="n"/>
      <c r="J181" s="258" t="n">
        <v>25000</v>
      </c>
      <c r="K181" s="233" t="n"/>
      <c r="L181" s="233" t="n">
        <v>9200</v>
      </c>
      <c r="M181" s="156" t="n"/>
      <c r="N181" s="156" t="n"/>
      <c r="O181" s="156" t="n"/>
    </row>
    <row r="182" ht="18.75" customHeight="1" s="153">
      <c r="A182" s="227" t="n"/>
      <c r="B182" s="228" t="inlineStr">
        <is>
          <t>DOMINGO SILVA 4217</t>
        </is>
      </c>
      <c r="C182" s="229" t="n">
        <v>1</v>
      </c>
      <c r="D182" s="229" t="n"/>
      <c r="E182" s="229" t="n"/>
      <c r="F182" s="230" t="n"/>
      <c r="G182" s="230" t="n"/>
      <c r="H182" s="257" t="n">
        <v>20000</v>
      </c>
      <c r="I182" s="258" t="n"/>
      <c r="J182" s="258" t="n">
        <v>20000</v>
      </c>
      <c r="K182" s="233" t="n"/>
      <c r="L182" s="233" t="n">
        <v>4200</v>
      </c>
      <c r="M182" s="156" t="n"/>
      <c r="N182" s="156" t="n"/>
      <c r="O182" s="156" t="n"/>
    </row>
    <row r="183" ht="18.75" customHeight="1" s="153">
      <c r="A183" s="227" t="n"/>
      <c r="B183" s="228" t="inlineStr">
        <is>
          <t>PADRE GENESIO 4001</t>
        </is>
      </c>
      <c r="C183" s="229" t="n">
        <v>1</v>
      </c>
      <c r="D183" s="229" t="n"/>
      <c r="E183" s="229" t="n"/>
      <c r="F183" s="230" t="n"/>
      <c r="G183" s="230" t="n"/>
      <c r="H183" s="257" t="n">
        <v>26000</v>
      </c>
      <c r="I183" s="258" t="n"/>
      <c r="J183" s="258" t="n">
        <v>26000</v>
      </c>
      <c r="K183" s="233" t="n"/>
      <c r="L183" s="233" t="n">
        <v>10200</v>
      </c>
      <c r="M183" s="156" t="n"/>
      <c r="N183" s="156" t="n"/>
      <c r="O183" s="156" t="n"/>
    </row>
    <row r="184" ht="18.75" customHeight="1" s="153">
      <c r="A184" s="227" t="n"/>
      <c r="B184" s="228" t="inlineStr">
        <is>
          <t>SANDRA</t>
        </is>
      </c>
      <c r="C184" s="229" t="n">
        <v>2</v>
      </c>
      <c r="D184" s="229" t="n"/>
      <c r="E184" s="229" t="n"/>
      <c r="F184" s="230" t="n"/>
      <c r="G184" s="230" t="n"/>
      <c r="H184" s="257" t="n">
        <v>39000</v>
      </c>
      <c r="I184" s="258" t="n">
        <v>39000</v>
      </c>
      <c r="J184" s="258" t="n"/>
      <c r="K184" s="233" t="n"/>
      <c r="L184" s="233" t="n">
        <v>7400</v>
      </c>
      <c r="M184" s="156" t="n"/>
      <c r="N184" s="156" t="n"/>
      <c r="O184" s="156" t="n"/>
    </row>
    <row r="185" ht="18.75" customHeight="1" s="153">
      <c r="A185" s="227" t="n"/>
      <c r="B185" s="228" t="inlineStr">
        <is>
          <t>ARENALES 9100 CASA 5</t>
        </is>
      </c>
      <c r="C185" s="229" t="n"/>
      <c r="D185" s="229" t="n"/>
      <c r="E185" s="229" t="n">
        <v>1</v>
      </c>
      <c r="F185" s="230" t="n"/>
      <c r="G185" s="230" t="n"/>
      <c r="H185" s="257" t="n">
        <v>93000</v>
      </c>
      <c r="I185" s="258" t="n"/>
      <c r="J185" s="258" t="n">
        <v>93000</v>
      </c>
      <c r="K185" s="233" t="n"/>
      <c r="L185" s="233" t="n">
        <v>31000</v>
      </c>
      <c r="M185" s="156" t="n"/>
      <c r="N185" s="156" t="n"/>
      <c r="O185" s="156" t="n"/>
    </row>
    <row r="186" ht="18.75" customHeight="1" s="153">
      <c r="A186" s="227" t="n"/>
      <c r="B186" s="228" t="inlineStr">
        <is>
          <t>PUERTA</t>
        </is>
      </c>
      <c r="C186" s="229" t="n">
        <v>1</v>
      </c>
      <c r="D186" s="229" t="n"/>
      <c r="E186" s="229" t="n"/>
      <c r="F186" s="230" t="n"/>
      <c r="G186" s="230" t="n"/>
      <c r="H186" s="257" t="n">
        <v>22000</v>
      </c>
      <c r="I186" s="258" t="n">
        <v>22000</v>
      </c>
      <c r="J186" s="258" t="n"/>
      <c r="K186" s="233" t="n"/>
      <c r="L186" s="233" t="n">
        <v>6200</v>
      </c>
      <c r="M186" s="156" t="n"/>
      <c r="N186" s="156" t="n"/>
      <c r="O186" s="156" t="n"/>
    </row>
    <row r="187" ht="18.75" customHeight="1" s="153">
      <c r="A187" s="227" t="n"/>
      <c r="B187" s="228" t="inlineStr">
        <is>
          <t>CORRIENTES 2979</t>
        </is>
      </c>
      <c r="C187" s="229" t="n"/>
      <c r="D187" s="229" t="n">
        <v>1</v>
      </c>
      <c r="E187" s="229" t="n"/>
      <c r="F187" s="230" t="n"/>
      <c r="G187" s="230" t="n"/>
      <c r="H187" s="257" t="n">
        <v>42000</v>
      </c>
      <c r="I187" s="258" t="n"/>
      <c r="J187" s="258" t="n">
        <v>42000</v>
      </c>
      <c r="K187" s="233" t="n"/>
      <c r="L187" s="233" t="n">
        <v>18300</v>
      </c>
      <c r="M187" s="156" t="n"/>
      <c r="N187" s="156" t="n"/>
      <c r="O187" s="156" t="n"/>
    </row>
    <row r="188" ht="18.75" customHeight="1" s="153">
      <c r="A188" s="227" t="n"/>
      <c r="B188" s="228" t="inlineStr">
        <is>
          <t>PUBLICO 2527</t>
        </is>
      </c>
      <c r="C188" s="229" t="n"/>
      <c r="D188" s="229" t="n">
        <v>1</v>
      </c>
      <c r="E188" s="229" t="n"/>
      <c r="F188" s="230" t="n"/>
      <c r="G188" s="230" t="n"/>
      <c r="H188" s="257" t="n">
        <v>38500</v>
      </c>
      <c r="I188" s="258" t="n"/>
      <c r="J188" s="258" t="n">
        <v>38500</v>
      </c>
      <c r="K188" s="233" t="n"/>
      <c r="L188" s="233" t="n">
        <v>14800</v>
      </c>
      <c r="M188" s="156" t="n"/>
      <c r="N188" s="156" t="n"/>
      <c r="O188" s="156" t="n"/>
    </row>
    <row r="189" ht="18.75" customHeight="1" s="153">
      <c r="A189" s="227" t="n">
        <v>46153</v>
      </c>
      <c r="B189" s="228" t="inlineStr">
        <is>
          <t>SANDRA</t>
        </is>
      </c>
      <c r="C189" s="229" t="n">
        <v>1</v>
      </c>
      <c r="D189" s="229" t="n"/>
      <c r="E189" s="229" t="n"/>
      <c r="F189" s="230" t="n"/>
      <c r="G189" s="230" t="n"/>
      <c r="H189" s="257" t="n">
        <v>19500</v>
      </c>
      <c r="I189" s="258" t="n">
        <v>19500</v>
      </c>
      <c r="J189" s="258" t="n"/>
      <c r="K189" s="233" t="n"/>
      <c r="L189" s="233" t="n">
        <v>3700</v>
      </c>
      <c r="M189" s="156" t="n"/>
      <c r="N189" s="156" t="n"/>
      <c r="O189" s="156" t="n"/>
    </row>
    <row r="190" ht="18.75" customHeight="1" s="153">
      <c r="A190" s="227" t="n"/>
      <c r="B190" s="228" t="inlineStr">
        <is>
          <t>ÁNGEL</t>
        </is>
      </c>
      <c r="C190" s="229" t="n"/>
      <c r="D190" s="229" t="n">
        <v>1</v>
      </c>
      <c r="E190" s="229" t="n"/>
      <c r="F190" s="230" t="n"/>
      <c r="G190" s="230" t="n"/>
      <c r="H190" s="257" t="n">
        <v>28500</v>
      </c>
      <c r="I190" s="258" t="n">
        <v>28500</v>
      </c>
      <c r="J190" s="258" t="n"/>
      <c r="K190" s="233" t="n"/>
      <c r="L190" s="233" t="n">
        <v>4800</v>
      </c>
      <c r="M190" s="156" t="n"/>
      <c r="N190" s="156" t="n"/>
      <c r="O190" s="156" t="n"/>
    </row>
    <row r="191" ht="18.75" customHeight="1" s="153">
      <c r="A191" s="227" t="n"/>
      <c r="B191" s="228" t="inlineStr">
        <is>
          <t>DAMIÁN BENTEVEOS</t>
        </is>
      </c>
      <c r="C191" s="229" t="n"/>
      <c r="D191" s="229" t="n"/>
      <c r="E191" s="229" t="n">
        <v>1</v>
      </c>
      <c r="F191" s="230" t="n"/>
      <c r="G191" s="230" t="n"/>
      <c r="H191" s="257" t="n">
        <v>95000</v>
      </c>
      <c r="I191" s="258" t="n"/>
      <c r="J191" s="258" t="n">
        <v>95000</v>
      </c>
      <c r="K191" s="233" t="n"/>
      <c r="L191" s="233" t="n">
        <v>33000</v>
      </c>
      <c r="M191" s="156" t="n"/>
      <c r="N191" s="156" t="n"/>
      <c r="O191" s="156" t="n"/>
    </row>
    <row r="192" ht="18.75" customHeight="1" s="153">
      <c r="A192" s="227" t="n"/>
      <c r="B192" s="228" t="inlineStr">
        <is>
          <t>MAMA NICO BUSTOS</t>
        </is>
      </c>
      <c r="C192" s="229" t="n">
        <v>2</v>
      </c>
      <c r="D192" s="229" t="n"/>
      <c r="E192" s="229" t="n"/>
      <c r="F192" s="230" t="n"/>
      <c r="G192" s="230" t="n"/>
      <c r="H192" s="257" t="n">
        <v>52000</v>
      </c>
      <c r="I192" s="258" t="n"/>
      <c r="J192" s="258" t="n">
        <v>52000</v>
      </c>
      <c r="K192" s="233" t="n"/>
      <c r="L192" s="233" t="n">
        <v>20400</v>
      </c>
      <c r="M192" s="156" t="n"/>
      <c r="N192" s="156" t="n"/>
      <c r="O192" s="156" t="n"/>
    </row>
    <row r="193" ht="18.75" customHeight="1" s="153">
      <c r="A193" s="227" t="n"/>
      <c r="B193" s="228" t="inlineStr">
        <is>
          <t>VIANDAS JORGE</t>
        </is>
      </c>
      <c r="C193" s="229" t="n">
        <v>1</v>
      </c>
      <c r="D193" s="229" t="n"/>
      <c r="E193" s="229" t="n"/>
      <c r="F193" s="230" t="n"/>
      <c r="G193" s="230" t="n"/>
      <c r="H193" s="257" t="n">
        <v>23000</v>
      </c>
      <c r="I193" s="258" t="n">
        <v>23000</v>
      </c>
      <c r="J193" s="258" t="n"/>
      <c r="K193" s="233" t="n"/>
      <c r="L193" s="233" t="n">
        <v>7200</v>
      </c>
      <c r="M193" s="156" t="n"/>
      <c r="N193" s="156" t="n"/>
      <c r="O193" s="156" t="n"/>
    </row>
    <row r="194" ht="18.75" customHeight="1" s="153">
      <c r="A194" s="227" t="n"/>
      <c r="B194" s="228" t="inlineStr">
        <is>
          <t>CHICLANA 6630</t>
        </is>
      </c>
      <c r="C194" s="229" t="n">
        <v>1</v>
      </c>
      <c r="D194" s="229" t="n"/>
      <c r="E194" s="229" t="n"/>
      <c r="F194" s="230" t="n"/>
      <c r="G194" s="230" t="n"/>
      <c r="H194" s="257" t="n">
        <v>120000</v>
      </c>
      <c r="I194" s="258" t="n">
        <v>120000</v>
      </c>
      <c r="J194" s="258" t="n"/>
      <c r="K194" s="233" t="n">
        <v>29000</v>
      </c>
      <c r="L194" s="233" t="n">
        <v>39200</v>
      </c>
      <c r="M194" s="156" t="n"/>
      <c r="N194" s="156" t="n"/>
      <c r="O194" s="156" t="n"/>
    </row>
    <row r="195" ht="18.75" customHeight="1" s="153">
      <c r="A195" s="227" t="n"/>
      <c r="B195" s="228" t="inlineStr">
        <is>
          <t>OTNIEL</t>
        </is>
      </c>
      <c r="C195" s="229" t="n"/>
      <c r="D195" s="229" t="n"/>
      <c r="E195" s="229" t="n">
        <v>1</v>
      </c>
      <c r="F195" s="230" t="n"/>
      <c r="G195" s="230" t="n"/>
      <c r="H195" s="257" t="n">
        <v>84000</v>
      </c>
      <c r="I195" s="258" t="n"/>
      <c r="J195" s="258" t="n">
        <v>84000</v>
      </c>
      <c r="K195" s="233" t="n"/>
      <c r="L195" s="233" t="n">
        <v>22000</v>
      </c>
      <c r="M195" s="156" t="n"/>
      <c r="N195" s="156" t="n"/>
      <c r="O195" s="156" t="n"/>
    </row>
    <row r="196" ht="18.75" customHeight="1" s="153">
      <c r="A196" s="227" t="n"/>
      <c r="B196" s="228" t="inlineStr">
        <is>
          <t>COGORNO 5520</t>
        </is>
      </c>
      <c r="C196" s="229" t="n">
        <v>6</v>
      </c>
      <c r="D196" s="229" t="n"/>
      <c r="E196" s="229" t="n"/>
      <c r="F196" s="230" t="n"/>
      <c r="G196" s="230" t="n"/>
      <c r="H196" s="257" t="n">
        <v>123000</v>
      </c>
      <c r="I196" s="258" t="n"/>
      <c r="J196" s="258" t="n">
        <v>123000</v>
      </c>
      <c r="K196" s="233" t="n"/>
      <c r="L196" s="233" t="n">
        <v>28200</v>
      </c>
      <c r="M196" s="156" t="n"/>
      <c r="N196" s="156" t="n"/>
      <c r="O196" s="156" t="n"/>
    </row>
    <row r="197" ht="18.75" customHeight="1" s="153">
      <c r="A197" s="227" t="n"/>
      <c r="B197" s="228" t="inlineStr">
        <is>
          <t>PANA GORRITI 4600</t>
        </is>
      </c>
      <c r="C197" s="229" t="n"/>
      <c r="D197" s="229" t="n"/>
      <c r="E197" s="229" t="n">
        <v>1</v>
      </c>
      <c r="F197" s="230" t="n"/>
      <c r="G197" s="230" t="n"/>
      <c r="H197" s="257" t="n">
        <v>84000</v>
      </c>
      <c r="I197" s="258" t="n"/>
      <c r="J197" s="258" t="n">
        <v>84000</v>
      </c>
      <c r="K197" s="233" t="n"/>
      <c r="L197" s="233" t="n">
        <v>22000</v>
      </c>
      <c r="M197" s="156" t="n"/>
      <c r="N197" s="156" t="n"/>
      <c r="O197" s="156" t="n"/>
    </row>
    <row r="198" ht="18.75" customHeight="1" s="153">
      <c r="A198" s="227" t="n"/>
      <c r="B198" s="228" t="inlineStr">
        <is>
          <t>9 DE JULIO 2107</t>
        </is>
      </c>
      <c r="C198" s="229" t="n">
        <v>1</v>
      </c>
      <c r="D198" s="229" t="n"/>
      <c r="E198" s="229" t="n"/>
      <c r="F198" s="230" t="n"/>
      <c r="G198" s="230" t="n"/>
      <c r="H198" s="257" t="n">
        <v>27000</v>
      </c>
      <c r="I198" s="258" t="n"/>
      <c r="J198" s="258" t="n">
        <v>27000</v>
      </c>
      <c r="K198" s="233" t="n"/>
      <c r="L198" s="233" t="n">
        <v>11200</v>
      </c>
      <c r="M198" s="156" t="n"/>
      <c r="N198" s="156" t="n"/>
      <c r="O198" s="156" t="n"/>
    </row>
    <row r="199" ht="18.75" customHeight="1" s="153">
      <c r="A199" s="227" t="n"/>
      <c r="B199" s="228" t="inlineStr">
        <is>
          <t>MALAVER 3793</t>
        </is>
      </c>
      <c r="C199" s="229" t="n"/>
      <c r="D199" s="229" t="n"/>
      <c r="E199" s="229" t="n">
        <v>1</v>
      </c>
      <c r="F199" s="230" t="n"/>
      <c r="G199" s="230" t="n"/>
      <c r="H199" s="257" t="n">
        <v>91000</v>
      </c>
      <c r="I199" s="258" t="n">
        <v>91000</v>
      </c>
      <c r="J199" s="258" t="n"/>
      <c r="K199" s="233" t="n"/>
      <c r="L199" s="233" t="n">
        <v>29000</v>
      </c>
      <c r="M199" s="156" t="n"/>
      <c r="N199" s="156" t="n"/>
      <c r="O199" s="156" t="n"/>
    </row>
    <row r="200" ht="18.75" customHeight="1" s="153">
      <c r="A200" s="227" t="n"/>
      <c r="B200" s="228" t="inlineStr">
        <is>
          <t>PUBLICO 2371</t>
        </is>
      </c>
      <c r="C200" s="229" t="n"/>
      <c r="D200" s="229" t="n"/>
      <c r="E200" s="229" t="n">
        <v>1</v>
      </c>
      <c r="F200" s="230" t="n"/>
      <c r="G200" s="230" t="n"/>
      <c r="H200" s="257" t="n">
        <v>89000</v>
      </c>
      <c r="I200" s="258" t="n">
        <v>89000</v>
      </c>
      <c r="J200" s="258" t="n"/>
      <c r="K200" s="233" t="n"/>
      <c r="L200" s="233" t="n">
        <v>27000</v>
      </c>
      <c r="M200" s="156" t="n"/>
      <c r="N200" s="156" t="n"/>
      <c r="O200" s="156" t="n"/>
    </row>
    <row r="201" ht="18.75" customHeight="1" s="153">
      <c r="A201" s="227" t="n">
        <v>46154</v>
      </c>
      <c r="B201" s="228" t="inlineStr">
        <is>
          <t>JJ PASO 3905</t>
        </is>
      </c>
      <c r="C201" s="229" t="n">
        <v>2</v>
      </c>
      <c r="D201" s="229" t="n">
        <v>1</v>
      </c>
      <c r="E201" s="229" t="n"/>
      <c r="F201" s="230" t="n"/>
      <c r="G201" s="230" t="n"/>
      <c r="H201" s="257" t="n">
        <v>91000</v>
      </c>
      <c r="I201" s="258" t="n"/>
      <c r="J201" s="258" t="n">
        <v>91000</v>
      </c>
      <c r="K201" s="233" t="n"/>
      <c r="L201" s="233" t="n">
        <v>35700</v>
      </c>
      <c r="M201" s="156" t="n"/>
      <c r="N201" s="156" t="n"/>
      <c r="O201" s="156" t="n"/>
    </row>
    <row r="202" ht="18.75" customHeight="1" s="153">
      <c r="A202" s="227" t="n"/>
      <c r="B202" s="228" t="inlineStr">
        <is>
          <t>AZCUENAGA 5023</t>
        </is>
      </c>
      <c r="C202" s="229" t="n">
        <v>4</v>
      </c>
      <c r="D202" s="229" t="n"/>
      <c r="E202" s="229" t="n"/>
      <c r="F202" s="230" t="n"/>
      <c r="G202" s="230" t="n"/>
      <c r="H202" s="257" t="n">
        <v>80000</v>
      </c>
      <c r="I202" s="258" t="n"/>
      <c r="J202" s="258" t="n">
        <v>80000</v>
      </c>
      <c r="K202" s="233" t="n"/>
      <c r="L202" s="233" t="n">
        <v>16800</v>
      </c>
      <c r="M202" s="156" t="n"/>
      <c r="N202" s="156" t="n"/>
      <c r="O202" s="156" t="n"/>
    </row>
    <row r="203" ht="18.75" customHeight="1" s="153">
      <c r="A203" s="227" t="n"/>
      <c r="B203" s="228" t="inlineStr">
        <is>
          <t>LUCHO</t>
        </is>
      </c>
      <c r="C203" s="229" t="n">
        <v>1</v>
      </c>
      <c r="D203" s="229" t="n"/>
      <c r="E203" s="229" t="n"/>
      <c r="F203" s="230" t="n"/>
      <c r="G203" s="230" t="n"/>
      <c r="H203" s="257" t="n">
        <v>20000</v>
      </c>
      <c r="I203" s="258" t="n"/>
      <c r="J203" s="258" t="n">
        <v>20000</v>
      </c>
      <c r="K203" s="233" t="n"/>
      <c r="L203" s="233" t="n">
        <v>4200</v>
      </c>
      <c r="M203" s="156" t="n"/>
      <c r="N203" s="156" t="n"/>
      <c r="O203" s="156" t="n"/>
    </row>
    <row r="204" ht="18.75" customHeight="1" s="153">
      <c r="A204" s="227" t="n"/>
      <c r="B204" s="228" t="inlineStr">
        <is>
          <t>ÁNGEL</t>
        </is>
      </c>
      <c r="C204" s="229" t="n"/>
      <c r="D204" s="229" t="n">
        <v>1</v>
      </c>
      <c r="E204" s="229" t="n"/>
      <c r="F204" s="230" t="n"/>
      <c r="G204" s="230" t="n"/>
      <c r="H204" s="257" t="n">
        <v>28500</v>
      </c>
      <c r="I204" s="258" t="n">
        <v>28500</v>
      </c>
      <c r="J204" s="258" t="n"/>
      <c r="K204" s="233" t="n"/>
      <c r="L204" s="233" t="n">
        <v>4800</v>
      </c>
      <c r="M204" s="156" t="n"/>
      <c r="N204" s="156" t="n"/>
      <c r="O204" s="156" t="n"/>
    </row>
    <row r="205" ht="18.75" customHeight="1" s="153">
      <c r="A205" s="227" t="n"/>
      <c r="B205" s="228" t="inlineStr">
        <is>
          <t>PANA VIEYTES 4500</t>
        </is>
      </c>
      <c r="C205" s="229" t="n"/>
      <c r="D205" s="229" t="n"/>
      <c r="E205" s="229" t="n">
        <v>1</v>
      </c>
      <c r="F205" s="230" t="n"/>
      <c r="G205" s="230" t="n"/>
      <c r="H205" s="257" t="n">
        <v>81000</v>
      </c>
      <c r="I205" s="258" t="n"/>
      <c r="J205" s="258" t="n">
        <v>81000</v>
      </c>
      <c r="K205" s="233" t="n"/>
      <c r="L205" s="233" t="n">
        <v>19000</v>
      </c>
      <c r="M205" s="156" t="n"/>
      <c r="N205" s="156" t="n"/>
      <c r="O205" s="156" t="n"/>
    </row>
    <row r="206" ht="18.75" customHeight="1" s="153">
      <c r="A206" s="227" t="n"/>
      <c r="B206" s="228" t="inlineStr">
        <is>
          <t>ESPORA 3540</t>
        </is>
      </c>
      <c r="C206" s="229" t="n">
        <v>1</v>
      </c>
      <c r="D206" s="229" t="n"/>
      <c r="E206" s="229" t="n"/>
      <c r="F206" s="230" t="n"/>
      <c r="G206" s="230" t="n"/>
      <c r="H206" s="257" t="n">
        <v>26000</v>
      </c>
      <c r="I206" s="258" t="n">
        <v>26000</v>
      </c>
      <c r="J206" s="258" t="n"/>
      <c r="K206" s="233" t="n"/>
      <c r="L206" s="233" t="n">
        <v>10200</v>
      </c>
      <c r="M206" s="156" t="n"/>
      <c r="N206" s="156" t="n"/>
      <c r="O206" s="156" t="n"/>
    </row>
    <row r="207" ht="18.75" customHeight="1" s="153">
      <c r="A207" s="227" t="n"/>
      <c r="B207" s="228" t="inlineStr">
        <is>
          <t>ESTANISLAO DEL CAMPO 1613</t>
        </is>
      </c>
      <c r="C207" s="229" t="n">
        <v>1</v>
      </c>
      <c r="D207" s="229" t="n"/>
      <c r="E207" s="229" t="n"/>
      <c r="F207" s="230" t="n"/>
      <c r="G207" s="230" t="n"/>
      <c r="H207" s="257" t="n">
        <v>27000</v>
      </c>
      <c r="I207" s="258" t="n"/>
      <c r="J207" s="258" t="n">
        <v>27000</v>
      </c>
      <c r="K207" s="233" t="n"/>
      <c r="L207" s="233" t="n">
        <v>11200</v>
      </c>
      <c r="M207" s="156" t="n"/>
      <c r="N207" s="156" t="n"/>
      <c r="O207" s="156" t="n"/>
    </row>
    <row r="208" ht="18.75" customHeight="1" s="153">
      <c r="A208" s="227" t="n"/>
      <c r="B208" s="228" t="inlineStr">
        <is>
          <t>LA RIOJA 3730</t>
        </is>
      </c>
      <c r="C208" s="229" t="n">
        <v>1</v>
      </c>
      <c r="D208" s="229" t="n"/>
      <c r="E208" s="229" t="n"/>
      <c r="F208" s="230" t="n"/>
      <c r="G208" s="230" t="n"/>
      <c r="H208" s="257" t="n">
        <v>26000</v>
      </c>
      <c r="I208" s="258" t="n"/>
      <c r="J208" s="258" t="n">
        <v>26000</v>
      </c>
      <c r="K208" s="233" t="n"/>
      <c r="L208" s="233" t="n">
        <v>10200</v>
      </c>
      <c r="M208" s="156" t="n"/>
      <c r="N208" s="156" t="n"/>
      <c r="O208" s="156" t="n"/>
    </row>
    <row r="209" ht="18.75" customHeight="1" s="153">
      <c r="A209" s="227" t="n"/>
      <c r="B209" s="228" t="inlineStr">
        <is>
          <t>M POLONIA 3065</t>
        </is>
      </c>
      <c r="C209" s="229" t="n">
        <v>4</v>
      </c>
      <c r="D209" s="229" t="n"/>
      <c r="E209" s="229" t="n"/>
      <c r="F209" s="230" t="n"/>
      <c r="G209" s="230" t="n"/>
      <c r="H209" s="257" t="n">
        <v>104000</v>
      </c>
      <c r="I209" s="258" t="n">
        <v>104000</v>
      </c>
      <c r="J209" s="258" t="n"/>
      <c r="K209" s="233" t="n"/>
      <c r="L209" s="233" t="n">
        <v>40800</v>
      </c>
      <c r="M209" s="156" t="n"/>
      <c r="N209" s="156" t="n"/>
      <c r="O209" s="156" t="n"/>
    </row>
    <row r="210" ht="18.75" customHeight="1" s="153">
      <c r="A210" s="227" t="n"/>
      <c r="B210" s="228" t="inlineStr">
        <is>
          <t>ROTI ARISTÓBULO</t>
        </is>
      </c>
      <c r="C210" s="229" t="n"/>
      <c r="D210" s="229" t="n">
        <v>1</v>
      </c>
      <c r="E210" s="229" t="n"/>
      <c r="F210" s="230" t="n"/>
      <c r="G210" s="230" t="n"/>
      <c r="H210" s="257" t="n">
        <v>36000</v>
      </c>
      <c r="I210" s="258" t="n"/>
      <c r="J210" s="258" t="n">
        <v>36000</v>
      </c>
      <c r="K210" s="233" t="n"/>
      <c r="L210" s="233" t="n">
        <v>12300</v>
      </c>
      <c r="M210" s="156" t="n"/>
      <c r="N210" s="156" t="n"/>
      <c r="O210" s="156" t="n"/>
    </row>
    <row r="211" ht="18.75" customHeight="1" s="153">
      <c r="A211" s="227" t="n"/>
      <c r="B211" s="228" t="inlineStr">
        <is>
          <t>MORENO 3669</t>
        </is>
      </c>
      <c r="C211" s="229" t="n">
        <v>1</v>
      </c>
      <c r="D211" s="229" t="n"/>
      <c r="E211" s="229" t="n"/>
      <c r="F211" s="230" t="n"/>
      <c r="G211" s="230" t="n"/>
      <c r="H211" s="257" t="n">
        <v>26000</v>
      </c>
      <c r="I211" s="258" t="n">
        <v>26000</v>
      </c>
      <c r="J211" s="258" t="n"/>
      <c r="K211" s="233" t="n"/>
      <c r="L211" s="233" t="n">
        <v>10200</v>
      </c>
      <c r="M211" s="156" t="n"/>
      <c r="N211" s="156" t="n"/>
      <c r="O211" s="156" t="n"/>
    </row>
    <row r="212" ht="18.75" customHeight="1" s="153">
      <c r="A212" s="227" t="n"/>
      <c r="B212" s="228" t="inlineStr">
        <is>
          <t>SANDRA</t>
        </is>
      </c>
      <c r="C212" s="229" t="n"/>
      <c r="D212" s="229" t="n">
        <v>2</v>
      </c>
      <c r="E212" s="229" t="n"/>
      <c r="F212" s="230" t="n"/>
      <c r="G212" s="230" t="n">
        <v>2</v>
      </c>
      <c r="H212" s="257" t="n">
        <v>70000</v>
      </c>
      <c r="I212" s="258" t="n">
        <v>70000</v>
      </c>
      <c r="J212" s="258" t="n"/>
      <c r="K212" s="233" t="n"/>
      <c r="L212" s="233" t="n">
        <v>20760</v>
      </c>
      <c r="M212" s="156" t="n"/>
      <c r="N212" s="156" t="n"/>
      <c r="O212" s="156" t="n"/>
    </row>
    <row r="213" ht="18.75" customHeight="1" s="153">
      <c r="A213" s="227" t="n"/>
      <c r="B213" s="228" t="inlineStr">
        <is>
          <t>PEÑALOZA 9757</t>
        </is>
      </c>
      <c r="C213" s="229" t="n">
        <v>2</v>
      </c>
      <c r="D213" s="229" t="n"/>
      <c r="E213" s="229" t="n"/>
      <c r="F213" s="230" t="n"/>
      <c r="G213" s="230" t="n"/>
      <c r="H213" s="257" t="n">
        <v>52000</v>
      </c>
      <c r="I213" s="258" t="n">
        <v>52000</v>
      </c>
      <c r="J213" s="258" t="n"/>
      <c r="K213" s="233" t="n"/>
      <c r="L213" s="233" t="n">
        <v>20400</v>
      </c>
      <c r="M213" s="156" t="n"/>
      <c r="N213" s="156" t="n"/>
      <c r="O213" s="156" t="n"/>
    </row>
    <row r="214" ht="18.75" customHeight="1" s="153">
      <c r="A214" s="227" t="n"/>
      <c r="B214" s="228" t="inlineStr">
        <is>
          <t>MARIO</t>
        </is>
      </c>
      <c r="C214" s="229" t="n">
        <v>3</v>
      </c>
      <c r="D214" s="229" t="n"/>
      <c r="E214" s="229" t="n"/>
      <c r="F214" s="230" t="n"/>
      <c r="G214" s="230" t="n"/>
      <c r="H214" s="257" t="n">
        <v>57000</v>
      </c>
      <c r="I214" s="258" t="n"/>
      <c r="J214" s="258" t="n">
        <v>57000</v>
      </c>
      <c r="K214" s="233" t="n"/>
      <c r="L214" s="233" t="n">
        <v>9600</v>
      </c>
      <c r="M214" s="156" t="n"/>
      <c r="N214" s="156" t="n"/>
      <c r="O214" s="156" t="n"/>
    </row>
    <row r="215" ht="18.75" customHeight="1" s="153">
      <c r="A215" s="227" t="n"/>
      <c r="B215" s="228" t="inlineStr">
        <is>
          <t>VIEYTES 4361</t>
        </is>
      </c>
      <c r="C215" s="229" t="n">
        <v>2</v>
      </c>
      <c r="D215" s="229" t="n"/>
      <c r="E215" s="229" t="n"/>
      <c r="F215" s="230" t="n"/>
      <c r="G215" s="230" t="n"/>
      <c r="H215" s="257" t="n">
        <v>52000</v>
      </c>
      <c r="I215" s="258" t="n">
        <v>52000</v>
      </c>
      <c r="J215" s="258" t="n"/>
      <c r="K215" s="233" t="n"/>
      <c r="L215" s="233" t="n">
        <v>20400</v>
      </c>
      <c r="M215" s="156" t="n"/>
      <c r="N215" s="156" t="n"/>
      <c r="O215" s="156" t="n"/>
    </row>
    <row r="216" ht="18.75" customHeight="1" s="153">
      <c r="A216" s="227" t="n"/>
      <c r="B216" s="228" t="inlineStr">
        <is>
          <t>FILOMENA</t>
        </is>
      </c>
      <c r="C216" s="229" t="n">
        <v>2</v>
      </c>
      <c r="D216" s="229" t="n"/>
      <c r="E216" s="229" t="n"/>
      <c r="F216" s="230" t="n"/>
      <c r="G216" s="230" t="n"/>
      <c r="H216" s="257" t="n">
        <v>49000</v>
      </c>
      <c r="I216" s="258" t="n"/>
      <c r="J216" s="258" t="n">
        <v>49000</v>
      </c>
      <c r="K216" s="233" t="n"/>
      <c r="L216" s="233" t="n">
        <v>17400</v>
      </c>
      <c r="M216" s="156" t="n"/>
      <c r="N216" s="156" t="n"/>
      <c r="O216" s="156" t="n"/>
    </row>
    <row r="217" ht="18.75" customHeight="1" s="153">
      <c r="A217" s="227" t="n"/>
      <c r="B217" s="228" t="inlineStr">
        <is>
          <t>DRUGSTORE LO DE NICO</t>
        </is>
      </c>
      <c r="C217" s="229" t="n">
        <v>4</v>
      </c>
      <c r="D217" s="229" t="n"/>
      <c r="E217" s="229" t="n"/>
      <c r="F217" s="230" t="n"/>
      <c r="G217" s="230" t="n"/>
      <c r="H217" s="257" t="n">
        <v>82000</v>
      </c>
      <c r="I217" s="258" t="n"/>
      <c r="J217" s="258" t="n">
        <v>82000</v>
      </c>
      <c r="K217" s="233" t="n"/>
      <c r="L217" s="233" t="n">
        <v>18800</v>
      </c>
      <c r="M217" s="156" t="n"/>
      <c r="N217" s="156" t="n"/>
      <c r="O217" s="156" t="n"/>
    </row>
    <row r="218" ht="18.75" customHeight="1" s="153">
      <c r="A218" s="227" t="n"/>
      <c r="B218" s="228" t="inlineStr">
        <is>
          <t>9 DE JULIO 1144</t>
        </is>
      </c>
      <c r="C218" s="229" t="n"/>
      <c r="D218" s="229" t="n"/>
      <c r="E218" s="229" t="n">
        <v>2</v>
      </c>
      <c r="F218" s="230" t="n"/>
      <c r="G218" s="230" t="n"/>
      <c r="H218" s="257" t="n">
        <v>184000</v>
      </c>
      <c r="I218" s="258" t="n"/>
      <c r="J218" s="258" t="n">
        <v>184000</v>
      </c>
      <c r="K218" s="233" t="n"/>
      <c r="L218" s="233" t="n">
        <v>60000</v>
      </c>
      <c r="M218" s="156" t="n"/>
      <c r="N218" s="156" t="n"/>
      <c r="O218" s="156" t="n"/>
    </row>
    <row r="219" ht="18.75" customHeight="1" s="153">
      <c r="A219" s="227" t="n"/>
      <c r="B219" s="228" t="inlineStr">
        <is>
          <t>DANA</t>
        </is>
      </c>
      <c r="C219" s="229" t="n">
        <v>4</v>
      </c>
      <c r="D219" s="229" t="n"/>
      <c r="E219" s="229" t="n"/>
      <c r="F219" s="230" t="n"/>
      <c r="G219" s="230" t="n"/>
      <c r="H219" s="257" t="n">
        <v>80000</v>
      </c>
      <c r="I219" s="258" t="n">
        <v>80000</v>
      </c>
      <c r="J219" s="258" t="n"/>
      <c r="K219" s="233" t="n"/>
      <c r="L219" s="233" t="n">
        <v>16800</v>
      </c>
      <c r="M219" s="156" t="n"/>
      <c r="N219" s="156" t="n"/>
      <c r="O219" s="156" t="n"/>
    </row>
    <row r="220" ht="18.75" customHeight="1" s="153">
      <c r="A220" s="227" t="n"/>
      <c r="B220" s="228" t="inlineStr">
        <is>
          <t>PANA VIEYTES GISELA</t>
        </is>
      </c>
      <c r="C220" s="229" t="n">
        <v>1</v>
      </c>
      <c r="D220" s="229" t="n"/>
      <c r="E220" s="229" t="n"/>
      <c r="F220" s="230" t="n"/>
      <c r="G220" s="230" t="n"/>
      <c r="H220" s="257" t="n">
        <v>24000</v>
      </c>
      <c r="I220" s="258" t="n"/>
      <c r="J220" s="258" t="n">
        <v>24000</v>
      </c>
      <c r="K220" s="233" t="n"/>
      <c r="L220" s="233" t="n">
        <v>8200</v>
      </c>
      <c r="M220" s="156" t="n"/>
      <c r="N220" s="156" t="n"/>
      <c r="O220" s="156" t="n"/>
    </row>
    <row r="221" ht="18.75" customHeight="1" s="153">
      <c r="A221" s="227" t="n"/>
      <c r="B221" s="228" t="inlineStr">
        <is>
          <t>PANDOLFO 8845</t>
        </is>
      </c>
      <c r="C221" s="229" t="n"/>
      <c r="D221" s="229" t="n"/>
      <c r="E221" s="229" t="n">
        <v>1</v>
      </c>
      <c r="F221" s="230" t="n"/>
      <c r="G221" s="230" t="n"/>
      <c r="H221" s="257" t="n">
        <v>89000</v>
      </c>
      <c r="I221" s="258" t="n">
        <v>89000</v>
      </c>
      <c r="J221" s="258" t="n"/>
      <c r="K221" s="233" t="n"/>
      <c r="L221" s="233" t="n">
        <v>27000</v>
      </c>
      <c r="M221" s="156" t="n"/>
      <c r="N221" s="156" t="n"/>
      <c r="O221" s="156" t="n"/>
    </row>
    <row r="222" ht="18.75" customHeight="1" s="153">
      <c r="A222" s="227" t="n"/>
      <c r="B222" s="228" t="inlineStr">
        <is>
          <t>CASANELLO 3463</t>
        </is>
      </c>
      <c r="C222" s="229" t="n">
        <v>1</v>
      </c>
      <c r="D222" s="229" t="n"/>
      <c r="E222" s="229" t="n"/>
      <c r="F222" s="230" t="n"/>
      <c r="G222" s="230" t="n"/>
      <c r="H222" s="257" t="n">
        <v>26000</v>
      </c>
      <c r="I222" s="258" t="n">
        <v>26000</v>
      </c>
      <c r="J222" s="258" t="n"/>
      <c r="K222" s="233" t="n"/>
      <c r="L222" s="233" t="n">
        <v>10200</v>
      </c>
      <c r="M222" s="156" t="n"/>
      <c r="N222" s="156" t="n"/>
      <c r="O222" s="156" t="n"/>
    </row>
    <row r="223" ht="18.75" customHeight="1" s="153">
      <c r="A223" s="227" t="n"/>
      <c r="B223" s="228" t="inlineStr">
        <is>
          <t>LA SALLE 3904</t>
        </is>
      </c>
      <c r="C223" s="229" t="n"/>
      <c r="D223" s="229" t="n"/>
      <c r="E223" s="229" t="n">
        <v>1</v>
      </c>
      <c r="F223" s="230" t="n"/>
      <c r="G223" s="230" t="n"/>
      <c r="H223" s="257" t="n">
        <v>89000</v>
      </c>
      <c r="I223" s="258" t="n">
        <v>89000</v>
      </c>
      <c r="J223" s="258" t="n"/>
      <c r="K223" s="233" t="n"/>
      <c r="L223" s="233" t="n">
        <v>27000</v>
      </c>
      <c r="M223" s="156" t="n"/>
      <c r="N223" s="156" t="n"/>
      <c r="O223" s="156" t="n"/>
    </row>
    <row r="224" ht="18.75" customHeight="1" s="153">
      <c r="A224" s="227" t="n"/>
      <c r="B224" s="228" t="inlineStr">
        <is>
          <t>GENERAL PAZ 6721</t>
        </is>
      </c>
      <c r="C224" s="229" t="n">
        <v>1</v>
      </c>
      <c r="D224" s="229" t="n"/>
      <c r="E224" s="229" t="n"/>
      <c r="F224" s="230" t="n"/>
      <c r="G224" s="230" t="n"/>
      <c r="H224" s="257" t="n">
        <v>26000</v>
      </c>
      <c r="I224" s="258" t="n"/>
      <c r="J224" s="258" t="n">
        <v>26000</v>
      </c>
      <c r="K224" s="233" t="n"/>
      <c r="L224" s="233" t="n">
        <v>10200</v>
      </c>
      <c r="M224" s="156" t="n"/>
      <c r="N224" s="156" t="n"/>
      <c r="O224" s="156" t="n"/>
    </row>
    <row r="225" ht="18.75" customHeight="1" s="153">
      <c r="A225" s="227" t="n"/>
      <c r="B225" s="228" t="inlineStr">
        <is>
          <t>FRANCIA 3285</t>
        </is>
      </c>
      <c r="C225" s="229" t="n">
        <v>3</v>
      </c>
      <c r="D225" s="229" t="n"/>
      <c r="E225" s="229" t="n"/>
      <c r="F225" s="230" t="n"/>
      <c r="G225" s="230" t="n"/>
      <c r="H225" s="257" t="n">
        <v>78000</v>
      </c>
      <c r="I225" s="258" t="n">
        <v>78000</v>
      </c>
      <c r="J225" s="258" t="n"/>
      <c r="K225" s="233" t="n"/>
      <c r="L225" s="233" t="n">
        <v>30600</v>
      </c>
      <c r="M225" s="156" t="n"/>
      <c r="N225" s="156" t="n"/>
      <c r="O225" s="156" t="n"/>
    </row>
    <row r="226" ht="18.75" customHeight="1" s="153">
      <c r="A226" s="227" t="n">
        <v>46155</v>
      </c>
      <c r="B226" s="228" t="inlineStr">
        <is>
          <t>ACSIAS 10301</t>
        </is>
      </c>
      <c r="C226" s="229" t="n">
        <v>2</v>
      </c>
      <c r="D226" s="229" t="n"/>
      <c r="E226" s="229" t="n"/>
      <c r="F226" s="230" t="n"/>
      <c r="G226" s="230" t="n"/>
      <c r="H226" s="257" t="n">
        <v>54000</v>
      </c>
      <c r="I226" s="258" t="n"/>
      <c r="J226" s="258" t="n">
        <v>54000</v>
      </c>
      <c r="K226" s="233" t="n"/>
      <c r="L226" s="233" t="n">
        <v>22400</v>
      </c>
      <c r="M226" s="156" t="n"/>
      <c r="N226" s="156" t="n"/>
      <c r="O226" s="156" t="n"/>
    </row>
    <row r="227" ht="18.75" customHeight="1" s="153">
      <c r="A227" s="227" t="n"/>
      <c r="B227" s="228" t="inlineStr">
        <is>
          <t>CHICLANA 7325</t>
        </is>
      </c>
      <c r="C227" s="229" t="n">
        <v>1</v>
      </c>
      <c r="D227" s="229" t="n"/>
      <c r="E227" s="229" t="n"/>
      <c r="F227" s="230" t="n"/>
      <c r="G227" s="230" t="n"/>
      <c r="H227" s="257" t="n">
        <v>20000</v>
      </c>
      <c r="I227" s="258" t="n"/>
      <c r="J227" s="258" t="n">
        <v>20000</v>
      </c>
      <c r="K227" s="233" t="n"/>
      <c r="L227" s="233" t="n">
        <v>4200</v>
      </c>
      <c r="M227" s="156" t="n"/>
      <c r="N227" s="156" t="n"/>
      <c r="O227" s="156" t="n"/>
    </row>
    <row r="228" ht="18.75" customHeight="1" s="153">
      <c r="A228" s="227" t="n"/>
      <c r="B228" s="228" t="inlineStr">
        <is>
          <t>PUBLICO 8821</t>
        </is>
      </c>
      <c r="C228" s="229" t="n"/>
      <c r="D228" s="229" t="n"/>
      <c r="E228" s="229" t="n">
        <v>1</v>
      </c>
      <c r="F228" s="230" t="n"/>
      <c r="G228" s="230" t="n"/>
      <c r="H228" s="257" t="n">
        <v>91000</v>
      </c>
      <c r="I228" s="258" t="n"/>
      <c r="J228" s="258" t="n">
        <v>91000</v>
      </c>
      <c r="K228" s="233" t="n"/>
      <c r="L228" s="233" t="n">
        <v>29000</v>
      </c>
      <c r="M228" s="156" t="n"/>
      <c r="N228" s="156" t="n"/>
      <c r="O228" s="156" t="n"/>
    </row>
    <row r="229" ht="18.75" customHeight="1" s="153">
      <c r="A229" s="227" t="n"/>
      <c r="B229" s="228" t="inlineStr">
        <is>
          <t>ÁNGEL</t>
        </is>
      </c>
      <c r="C229" s="229" t="n"/>
      <c r="D229" s="229" t="n">
        <v>1</v>
      </c>
      <c r="E229" s="229" t="n"/>
      <c r="F229" s="230" t="n"/>
      <c r="G229" s="230" t="n"/>
      <c r="H229" s="257" t="n">
        <v>28500</v>
      </c>
      <c r="I229" s="258" t="n">
        <v>28500</v>
      </c>
      <c r="J229" s="258" t="n"/>
      <c r="K229" s="233" t="n"/>
      <c r="L229" s="233" t="n">
        <v>4800</v>
      </c>
      <c r="M229" s="156" t="n"/>
      <c r="N229" s="156" t="n"/>
      <c r="O229" s="156" t="n"/>
    </row>
    <row r="230" ht="18.75" customHeight="1" s="153">
      <c r="A230" s="227" t="n"/>
      <c r="B230" s="228" t="inlineStr">
        <is>
          <t>BEATRIZ</t>
        </is>
      </c>
      <c r="C230" s="229" t="n"/>
      <c r="D230" s="229" t="n"/>
      <c r="E230" s="229" t="n"/>
      <c r="F230" s="230" t="n"/>
      <c r="G230" s="230" t="n">
        <v>1</v>
      </c>
      <c r="H230" s="257" t="n">
        <v>6000</v>
      </c>
      <c r="I230" s="258" t="n"/>
      <c r="J230" s="258" t="n">
        <v>6000</v>
      </c>
      <c r="K230" s="233" t="n"/>
      <c r="L230" s="233" t="n">
        <v>5080</v>
      </c>
      <c r="M230" s="156" t="n"/>
      <c r="N230" s="156" t="n"/>
      <c r="O230" s="156" t="n"/>
    </row>
    <row r="231" ht="18.75" customHeight="1" s="153">
      <c r="A231" s="227" t="n"/>
      <c r="B231" s="228" t="inlineStr">
        <is>
          <t>LOBOS</t>
        </is>
      </c>
      <c r="C231" s="229" t="n">
        <v>1</v>
      </c>
      <c r="D231" s="229" t="n"/>
      <c r="E231" s="229" t="n">
        <v>1</v>
      </c>
      <c r="F231" s="230" t="n"/>
      <c r="G231" s="230" t="n"/>
      <c r="H231" s="257" t="n">
        <v>117000</v>
      </c>
      <c r="I231" s="258" t="n">
        <v>117000</v>
      </c>
      <c r="J231" s="258" t="n"/>
      <c r="K231" s="233" t="n"/>
      <c r="L231" s="233" t="n">
        <v>39200</v>
      </c>
      <c r="M231" s="156" t="n"/>
      <c r="N231" s="156" t="n"/>
      <c r="O231" s="156" t="n"/>
    </row>
    <row r="232" ht="18.75" customHeight="1" s="153">
      <c r="A232" s="227" t="n"/>
      <c r="B232" s="228" t="inlineStr">
        <is>
          <t>TOFFO MAMA</t>
        </is>
      </c>
      <c r="C232" s="229" t="n"/>
      <c r="D232" s="229" t="n">
        <v>1</v>
      </c>
      <c r="E232" s="229" t="n"/>
      <c r="F232" s="230" t="n"/>
      <c r="G232" s="230" t="n"/>
      <c r="H232" s="257" t="n">
        <v>39500</v>
      </c>
      <c r="I232" s="258" t="n">
        <v>39500</v>
      </c>
      <c r="J232" s="258" t="n"/>
      <c r="K232" s="233" t="n"/>
      <c r="L232" s="233" t="n">
        <v>15800</v>
      </c>
      <c r="M232" s="156" t="n"/>
      <c r="N232" s="156" t="n"/>
      <c r="O232" s="156" t="n"/>
    </row>
    <row r="233" ht="18.75" customHeight="1" s="153">
      <c r="A233" s="227" t="n"/>
      <c r="B233" s="228" t="inlineStr">
        <is>
          <t>LUCHO</t>
        </is>
      </c>
      <c r="C233" s="229" t="n">
        <v>2</v>
      </c>
      <c r="D233" s="229" t="n"/>
      <c r="E233" s="229" t="n"/>
      <c r="F233" s="230" t="n"/>
      <c r="G233" s="230" t="n"/>
      <c r="H233" s="257" t="n">
        <v>40000</v>
      </c>
      <c r="I233" s="258" t="n"/>
      <c r="J233" s="258" t="n">
        <v>40000</v>
      </c>
      <c r="K233" s="233" t="n"/>
      <c r="L233" s="233" t="n">
        <v>8400</v>
      </c>
      <c r="M233" s="156" t="n"/>
      <c r="N233" s="156" t="n"/>
      <c r="O233" s="156" t="n"/>
    </row>
    <row r="234" ht="18.75" customHeight="1" s="153">
      <c r="A234" s="227" t="n"/>
      <c r="B234" s="228" t="inlineStr">
        <is>
          <t>CASTELLI 5351</t>
        </is>
      </c>
      <c r="C234" s="229" t="n">
        <v>1</v>
      </c>
      <c r="D234" s="229" t="n"/>
      <c r="E234" s="229" t="n"/>
      <c r="F234" s="230" t="n"/>
      <c r="G234" s="230" t="n"/>
      <c r="H234" s="257" t="n">
        <v>26000</v>
      </c>
      <c r="I234" s="258" t="n">
        <v>26000</v>
      </c>
      <c r="J234" s="258" t="n"/>
      <c r="K234" s="233" t="n"/>
      <c r="L234" s="233" t="n">
        <v>10200</v>
      </c>
      <c r="M234" s="156" t="n"/>
      <c r="N234" s="156" t="n"/>
      <c r="O234" s="156" t="n"/>
    </row>
    <row r="235" ht="18.75" customHeight="1" s="153">
      <c r="A235" s="227" t="n"/>
      <c r="B235" s="228" t="inlineStr">
        <is>
          <t>4 DE ENERO 2646</t>
        </is>
      </c>
      <c r="C235" s="229" t="n">
        <v>1</v>
      </c>
      <c r="D235" s="229" t="n"/>
      <c r="E235" s="229" t="n"/>
      <c r="F235" s="230" t="n"/>
      <c r="G235" s="230" t="n"/>
      <c r="H235" s="257" t="n">
        <v>26000</v>
      </c>
      <c r="I235" s="258" t="n">
        <v>26000</v>
      </c>
      <c r="J235" s="258" t="n"/>
      <c r="K235" s="233" t="n"/>
      <c r="L235" s="233" t="n">
        <v>10200</v>
      </c>
      <c r="M235" s="156" t="n"/>
      <c r="N235" s="156" t="n"/>
      <c r="O235" s="156" t="n"/>
    </row>
    <row r="236" ht="18.75" customHeight="1" s="153">
      <c r="A236" s="227" t="n"/>
      <c r="B236" s="228" t="inlineStr">
        <is>
          <t>ROTI VIEYTES</t>
        </is>
      </c>
      <c r="C236" s="229" t="n"/>
      <c r="D236" s="229" t="n">
        <v>2</v>
      </c>
      <c r="E236" s="229" t="n"/>
      <c r="F236" s="230" t="n"/>
      <c r="G236" s="230" t="n"/>
      <c r="H236" s="257" t="n">
        <v>64000</v>
      </c>
      <c r="I236" s="258" t="n"/>
      <c r="J236" s="258" t="n">
        <v>64000</v>
      </c>
      <c r="K236" s="233" t="n"/>
      <c r="L236" s="233" t="n">
        <v>16600</v>
      </c>
      <c r="M236" s="156" t="n"/>
      <c r="N236" s="156" t="n"/>
      <c r="O236" s="156" t="n"/>
    </row>
    <row r="237" ht="18.75" customHeight="1" s="153">
      <c r="A237" s="227" t="n"/>
      <c r="B237" s="228" t="inlineStr">
        <is>
          <t>SANTIAGO CHILE 5832</t>
        </is>
      </c>
      <c r="C237" s="229" t="n">
        <v>1</v>
      </c>
      <c r="D237" s="229" t="n"/>
      <c r="E237" s="229" t="n"/>
      <c r="F237" s="230" t="n"/>
      <c r="G237" s="230" t="n"/>
      <c r="H237" s="257" t="n">
        <v>26000</v>
      </c>
      <c r="I237" s="258" t="n">
        <v>26000</v>
      </c>
      <c r="J237" s="258" t="n"/>
      <c r="K237" s="233" t="n"/>
      <c r="L237" s="233" t="n">
        <v>10200</v>
      </c>
      <c r="M237" s="156" t="n"/>
      <c r="N237" s="156" t="n"/>
      <c r="O237" s="156" t="n"/>
    </row>
    <row r="238" ht="18.75" customHeight="1" s="153">
      <c r="A238" s="227" t="n"/>
      <c r="B238" s="228" t="inlineStr">
        <is>
          <t>DANA</t>
        </is>
      </c>
      <c r="C238" s="229" t="n"/>
      <c r="D238" s="229" t="n">
        <v>1</v>
      </c>
      <c r="E238" s="229" t="n"/>
      <c r="F238" s="230" t="n"/>
      <c r="G238" s="230" t="n"/>
      <c r="H238" s="257" t="n">
        <v>31000</v>
      </c>
      <c r="I238" s="258" t="n">
        <v>31000</v>
      </c>
      <c r="J238" s="258" t="n"/>
      <c r="K238" s="233" t="n"/>
      <c r="L238" s="233" t="n">
        <v>7300</v>
      </c>
      <c r="M238" s="156" t="n"/>
      <c r="N238" s="156" t="n"/>
      <c r="O238" s="156" t="n"/>
    </row>
    <row r="239" ht="18.75" customHeight="1" s="153">
      <c r="A239" s="227" t="n"/>
      <c r="B239" s="228" t="inlineStr">
        <is>
          <t>JM ZUVIRIA 1852</t>
        </is>
      </c>
      <c r="C239" s="229" t="n"/>
      <c r="D239" s="229" t="n"/>
      <c r="E239" s="229" t="n">
        <v>1</v>
      </c>
      <c r="F239" s="230" t="n"/>
      <c r="G239" s="230" t="n"/>
      <c r="H239" s="257" t="n">
        <v>92000</v>
      </c>
      <c r="I239" s="258" t="n"/>
      <c r="J239" s="258" t="n">
        <v>92000</v>
      </c>
      <c r="K239" s="233" t="n"/>
      <c r="L239" s="233" t="n">
        <v>30000</v>
      </c>
      <c r="M239" s="156" t="n"/>
      <c r="N239" s="156" t="n"/>
      <c r="O239" s="156" t="n"/>
    </row>
    <row r="240" ht="18.75" customHeight="1" s="153">
      <c r="A240" s="227" t="n"/>
      <c r="B240" s="228" t="inlineStr">
        <is>
          <t>CAREN</t>
        </is>
      </c>
      <c r="C240" s="229" t="n"/>
      <c r="D240" s="229" t="n"/>
      <c r="E240" s="229" t="n">
        <v>1</v>
      </c>
      <c r="F240" s="230" t="n"/>
      <c r="G240" s="230" t="n"/>
      <c r="H240" s="257" t="n">
        <v>85000</v>
      </c>
      <c r="I240" s="258" t="n"/>
      <c r="J240" s="258" t="n">
        <v>85000</v>
      </c>
      <c r="K240" s="233" t="n"/>
      <c r="L240" s="233" t="n">
        <v>23000</v>
      </c>
      <c r="M240" s="156" t="n"/>
      <c r="N240" s="156" t="n"/>
      <c r="O240" s="156" t="n"/>
    </row>
    <row r="241" ht="18.75" customHeight="1" s="153">
      <c r="A241" s="227" t="n"/>
      <c r="B241" s="228" t="inlineStr">
        <is>
          <t>AYACUCHO 5284</t>
        </is>
      </c>
      <c r="C241" s="229" t="n">
        <v>1</v>
      </c>
      <c r="D241" s="229" t="n"/>
      <c r="E241" s="229" t="n"/>
      <c r="F241" s="230" t="n"/>
      <c r="G241" s="230" t="n"/>
      <c r="H241" s="257" t="n">
        <v>26000</v>
      </c>
      <c r="I241" s="258" t="n"/>
      <c r="J241" s="258" t="n">
        <v>26000</v>
      </c>
      <c r="K241" s="233" t="n"/>
      <c r="L241" s="233" t="n">
        <v>10200</v>
      </c>
      <c r="M241" s="156" t="n"/>
      <c r="N241" s="156" t="n"/>
      <c r="O241" s="156" t="n"/>
    </row>
    <row r="242" ht="18.75" customHeight="1" s="153">
      <c r="A242" s="227" t="n"/>
      <c r="B242" s="228" t="inlineStr">
        <is>
          <t>HERNANDARIAS 3445</t>
        </is>
      </c>
      <c r="C242" s="229" t="n">
        <v>1</v>
      </c>
      <c r="D242" s="229" t="n"/>
      <c r="E242" s="229" t="n"/>
      <c r="F242" s="230" t="n"/>
      <c r="G242" s="230" t="n"/>
      <c r="H242" s="257" t="n">
        <v>26000</v>
      </c>
      <c r="I242" s="258" t="n">
        <v>26000</v>
      </c>
      <c r="J242" s="258" t="n"/>
      <c r="K242" s="233" t="n"/>
      <c r="L242" s="233" t="n">
        <v>10200</v>
      </c>
      <c r="M242" s="156" t="n"/>
      <c r="N242" s="156" t="n"/>
      <c r="O242" s="156" t="n"/>
    </row>
    <row r="243" ht="18.75" customHeight="1" s="153">
      <c r="A243" s="227" t="n"/>
      <c r="B243" s="228" t="inlineStr">
        <is>
          <t>HERNANDARIAS 2253</t>
        </is>
      </c>
      <c r="C243" s="229" t="n"/>
      <c r="D243" s="229" t="n">
        <v>1</v>
      </c>
      <c r="E243" s="229" t="n"/>
      <c r="F243" s="230" t="n"/>
      <c r="G243" s="230" t="n"/>
      <c r="H243" s="257" t="n">
        <v>39500</v>
      </c>
      <c r="I243" s="258" t="n"/>
      <c r="J243" s="258" t="n">
        <v>39500</v>
      </c>
      <c r="K243" s="233" t="n"/>
      <c r="L243" s="233" t="n">
        <v>15800</v>
      </c>
      <c r="M243" s="156" t="n"/>
      <c r="N243" s="156" t="n"/>
      <c r="O243" s="156" t="n"/>
    </row>
    <row r="244" ht="18.75" customHeight="1" s="153">
      <c r="A244" s="227" t="n">
        <v>46156</v>
      </c>
      <c r="B244" s="228" t="inlineStr">
        <is>
          <t>VALDIVIESO 6832</t>
        </is>
      </c>
      <c r="C244" s="229" t="n"/>
      <c r="D244" s="229" t="n"/>
      <c r="E244" s="229" t="n">
        <v>1</v>
      </c>
      <c r="F244" s="230" t="n"/>
      <c r="G244" s="230" t="n"/>
      <c r="H244" s="257" t="n">
        <v>91000</v>
      </c>
      <c r="I244" s="258" t="n"/>
      <c r="J244" s="258" t="n">
        <v>91000</v>
      </c>
      <c r="K244" s="233" t="n"/>
      <c r="L244" s="233" t="n">
        <v>29000</v>
      </c>
      <c r="M244" s="156" t="n"/>
      <c r="N244" s="156" t="n"/>
      <c r="O244" s="156" t="n"/>
    </row>
    <row r="245" ht="18.75" customHeight="1" s="153">
      <c r="A245" s="227" t="n"/>
      <c r="B245" s="228" t="inlineStr">
        <is>
          <t>RIVADAVIA 6330</t>
        </is>
      </c>
      <c r="C245" s="229" t="n">
        <v>1</v>
      </c>
      <c r="D245" s="229" t="n"/>
      <c r="E245" s="229" t="n"/>
      <c r="F245" s="230" t="n"/>
      <c r="G245" s="230" t="n"/>
      <c r="H245" s="257" t="n">
        <v>27000</v>
      </c>
      <c r="I245" s="258" t="n">
        <v>27000</v>
      </c>
      <c r="J245" s="258" t="n"/>
      <c r="K245" s="233" t="n"/>
      <c r="L245" s="233" t="n">
        <v>11200</v>
      </c>
      <c r="M245" s="156" t="n"/>
      <c r="N245" s="156" t="n"/>
      <c r="O245" s="156" t="n"/>
    </row>
    <row r="246" ht="18.75" customHeight="1" s="153">
      <c r="A246" s="227" t="n"/>
      <c r="B246" s="228" t="inlineStr">
        <is>
          <t>PASAJE MAIPU 3315</t>
        </is>
      </c>
      <c r="C246" s="229" t="n"/>
      <c r="D246" s="229" t="n"/>
      <c r="E246" s="229" t="n">
        <v>1</v>
      </c>
      <c r="F246" s="230" t="n"/>
      <c r="G246" s="230" t="n"/>
      <c r="H246" s="257" t="n">
        <v>91000</v>
      </c>
      <c r="I246" s="258" t="n"/>
      <c r="J246" s="258" t="n">
        <v>91000</v>
      </c>
      <c r="K246" s="233" t="n"/>
      <c r="L246" s="233" t="n">
        <v>29000</v>
      </c>
      <c r="M246" s="156" t="n"/>
      <c r="N246" s="156" t="n"/>
      <c r="O246" s="156" t="n"/>
    </row>
    <row r="247" ht="18.75" customHeight="1" s="153">
      <c r="A247" s="227" t="n"/>
      <c r="B247" s="228" t="inlineStr">
        <is>
          <t>COSTA ESTE 1980</t>
        </is>
      </c>
      <c r="C247" s="229" t="n">
        <v>4</v>
      </c>
      <c r="D247" s="229" t="n"/>
      <c r="E247" s="229" t="n"/>
      <c r="F247" s="230" t="n"/>
      <c r="G247" s="230" t="n"/>
      <c r="H247" s="257" t="n">
        <v>112000</v>
      </c>
      <c r="I247" s="258" t="n">
        <v>112000</v>
      </c>
      <c r="J247" s="258" t="n"/>
      <c r="K247" s="233" t="n"/>
      <c r="L247" s="233" t="n">
        <v>48800</v>
      </c>
      <c r="M247" s="156" t="n"/>
      <c r="N247" s="156" t="n"/>
      <c r="O247" s="156" t="n"/>
    </row>
    <row r="248" ht="18.75" customHeight="1" s="153">
      <c r="A248" s="227" t="n"/>
      <c r="B248" s="228" t="inlineStr">
        <is>
          <t>ÁNGEL</t>
        </is>
      </c>
      <c r="C248" s="229" t="n">
        <v>1</v>
      </c>
      <c r="D248" s="229" t="n">
        <v>1</v>
      </c>
      <c r="E248" s="229" t="n"/>
      <c r="F248" s="230" t="n"/>
      <c r="G248" s="230" t="n"/>
      <c r="H248" s="257" t="n">
        <v>47500</v>
      </c>
      <c r="I248" s="258" t="n">
        <v>47500</v>
      </c>
      <c r="J248" s="258" t="n"/>
      <c r="K248" s="233" t="n"/>
      <c r="L248" s="233" t="n">
        <v>8000</v>
      </c>
      <c r="M248" s="156" t="n"/>
      <c r="N248" s="156" t="n"/>
      <c r="O248" s="156" t="n"/>
    </row>
    <row r="249" ht="18.75" customHeight="1" s="153">
      <c r="A249" s="227" t="n"/>
      <c r="B249" s="228" t="inlineStr">
        <is>
          <t>VIANDAS JORGE</t>
        </is>
      </c>
      <c r="C249" s="229" t="n">
        <v>1</v>
      </c>
      <c r="D249" s="229" t="n"/>
      <c r="E249" s="229" t="n"/>
      <c r="F249" s="230" t="n"/>
      <c r="G249" s="230" t="n"/>
      <c r="H249" s="257" t="n">
        <v>23000</v>
      </c>
      <c r="I249" s="258" t="n">
        <v>23000</v>
      </c>
      <c r="J249" s="258" t="n"/>
      <c r="K249" s="233" t="n"/>
      <c r="L249" s="233" t="n">
        <v>7200</v>
      </c>
      <c r="M249" s="156" t="n"/>
      <c r="N249" s="156" t="n"/>
      <c r="O249" s="156" t="n"/>
    </row>
    <row r="250" ht="18.75" customHeight="1" s="153">
      <c r="A250" s="227" t="n"/>
      <c r="B250" s="228" t="inlineStr">
        <is>
          <t>CAMELLI 4860</t>
        </is>
      </c>
      <c r="C250" s="229" t="n">
        <v>1</v>
      </c>
      <c r="D250" s="229" t="n"/>
      <c r="E250" s="229" t="n"/>
      <c r="F250" s="230" t="n"/>
      <c r="G250" s="230" t="n"/>
      <c r="H250" s="257" t="n">
        <v>27000</v>
      </c>
      <c r="I250" s="258" t="n"/>
      <c r="J250" s="258" t="n">
        <v>27000</v>
      </c>
      <c r="K250" s="233" t="n"/>
      <c r="L250" s="233" t="n">
        <v>11200</v>
      </c>
      <c r="M250" s="156" t="n"/>
      <c r="N250" s="156" t="n"/>
      <c r="O250" s="156" t="n"/>
    </row>
    <row r="251" ht="18.75" customHeight="1" s="153">
      <c r="A251" s="227" t="n"/>
      <c r="B251" s="228" t="inlineStr">
        <is>
          <t>AZCUENAGA 5023</t>
        </is>
      </c>
      <c r="C251" s="229" t="n">
        <v>4</v>
      </c>
      <c r="D251" s="229" t="n"/>
      <c r="E251" s="229" t="n"/>
      <c r="F251" s="230" t="n"/>
      <c r="G251" s="230" t="n"/>
      <c r="H251" s="257" t="n">
        <v>80000</v>
      </c>
      <c r="I251" s="258" t="n"/>
      <c r="J251" s="258" t="n">
        <v>80000</v>
      </c>
      <c r="K251" s="233" t="n"/>
      <c r="L251" s="233" t="n">
        <v>16800</v>
      </c>
      <c r="M251" s="156" t="n"/>
      <c r="N251" s="156" t="n"/>
      <c r="O251" s="156" t="n"/>
    </row>
    <row r="252" ht="18.75" customHeight="1" s="153">
      <c r="A252" s="227" t="n"/>
      <c r="B252" s="228" t="inlineStr">
        <is>
          <t>PJE BOEDO 1637</t>
        </is>
      </c>
      <c r="C252" s="229" t="n">
        <v>1</v>
      </c>
      <c r="D252" s="229" t="n"/>
      <c r="E252" s="229" t="n"/>
      <c r="F252" s="230" t="n"/>
      <c r="G252" s="230" t="n"/>
      <c r="H252" s="257" t="n">
        <v>27000</v>
      </c>
      <c r="I252" s="258" t="n">
        <v>27000</v>
      </c>
      <c r="J252" s="258" t="n"/>
      <c r="K252" s="233" t="n"/>
      <c r="L252" s="233" t="n">
        <v>11200</v>
      </c>
      <c r="M252" s="156" t="n"/>
      <c r="N252" s="156" t="n"/>
      <c r="O252" s="156" t="n"/>
    </row>
    <row r="253" ht="18.75" customHeight="1" s="153">
      <c r="A253" s="227" t="n"/>
      <c r="B253" s="228" t="inlineStr">
        <is>
          <t>LAS HERAS 5947</t>
        </is>
      </c>
      <c r="C253" s="229" t="n">
        <v>1</v>
      </c>
      <c r="D253" s="229" t="n"/>
      <c r="E253" s="229" t="n"/>
      <c r="F253" s="230" t="n"/>
      <c r="G253" s="230" t="n"/>
      <c r="H253" s="257" t="n">
        <v>27000</v>
      </c>
      <c r="I253" s="258" t="n"/>
      <c r="J253" s="258" t="n">
        <v>27000</v>
      </c>
      <c r="K253" s="233" t="n"/>
      <c r="L253" s="233" t="n">
        <v>11200</v>
      </c>
      <c r="M253" s="156" t="n"/>
      <c r="N253" s="156" t="n"/>
      <c r="O253" s="156" t="n"/>
    </row>
    <row r="254" ht="18.75" customHeight="1" s="153">
      <c r="A254" s="227" t="n"/>
      <c r="B254" s="228" t="inlineStr">
        <is>
          <t>PICHI</t>
        </is>
      </c>
      <c r="C254" s="229" t="n">
        <v>1</v>
      </c>
      <c r="D254" s="229" t="n"/>
      <c r="E254" s="229" t="n"/>
      <c r="F254" s="230" t="n"/>
      <c r="G254" s="230" t="n"/>
      <c r="H254" s="257" t="n">
        <v>22000</v>
      </c>
      <c r="I254" s="258" t="n"/>
      <c r="J254" s="258" t="n">
        <v>22000</v>
      </c>
      <c r="K254" s="233" t="n"/>
      <c r="L254" s="233" t="n">
        <v>6200</v>
      </c>
      <c r="M254" s="156" t="n"/>
      <c r="N254" s="156" t="n"/>
      <c r="O254" s="156" t="n"/>
    </row>
    <row r="255" ht="18.75" customHeight="1" s="153">
      <c r="A255" s="227" t="n"/>
      <c r="B255" s="228" t="inlineStr">
        <is>
          <t>ROTI SAN LORENZO</t>
        </is>
      </c>
      <c r="C255" s="229" t="n">
        <v>2</v>
      </c>
      <c r="D255" s="229" t="n">
        <v>2</v>
      </c>
      <c r="E255" s="229" t="n"/>
      <c r="F255" s="230" t="n"/>
      <c r="G255" s="230" t="n"/>
      <c r="H255" s="257" t="n">
        <v>125000</v>
      </c>
      <c r="I255" s="258" t="n"/>
      <c r="J255" s="258" t="n">
        <v>125000</v>
      </c>
      <c r="K255" s="233" t="n"/>
      <c r="L255" s="233" t="n">
        <v>46000</v>
      </c>
      <c r="M255" s="156" t="n"/>
      <c r="N255" s="156" t="n"/>
      <c r="O255" s="156" t="n"/>
    </row>
    <row r="256" ht="18.75" customHeight="1" s="153">
      <c r="A256" s="227" t="n"/>
      <c r="B256" s="228" t="inlineStr">
        <is>
          <t>SANTA BAR 1 MAYO 1959</t>
        </is>
      </c>
      <c r="C256" s="229" t="n"/>
      <c r="D256" s="229" t="n"/>
      <c r="E256" s="229" t="n">
        <v>1</v>
      </c>
      <c r="F256" s="230" t="n"/>
      <c r="G256" s="230" t="n"/>
      <c r="H256" s="257" t="n">
        <v>88000</v>
      </c>
      <c r="I256" s="258" t="n">
        <v>43000</v>
      </c>
      <c r="J256" s="258" t="n">
        <v>45000</v>
      </c>
      <c r="K256" s="233" t="n"/>
      <c r="L256" s="233" t="n">
        <v>26000</v>
      </c>
      <c r="M256" s="156" t="n"/>
      <c r="N256" s="156" t="n"/>
      <c r="O256" s="156" t="n"/>
    </row>
    <row r="257" ht="18.75" customHeight="1" s="153">
      <c r="A257" s="227" t="n"/>
      <c r="B257" s="228" t="inlineStr">
        <is>
          <t>ARENALES 10625</t>
        </is>
      </c>
      <c r="C257" s="229" t="n">
        <v>2</v>
      </c>
      <c r="D257" s="229" t="n"/>
      <c r="E257" s="229" t="n">
        <v>1</v>
      </c>
      <c r="F257" s="230" t="n"/>
      <c r="G257" s="230" t="n"/>
      <c r="H257" s="257" t="n">
        <v>112000</v>
      </c>
      <c r="I257" s="258" t="n">
        <v>112000</v>
      </c>
      <c r="J257" s="258" t="n"/>
      <c r="K257" s="233" t="n"/>
      <c r="L257" s="233" t="n">
        <v>18400</v>
      </c>
      <c r="M257" s="156" t="n"/>
      <c r="N257" s="156" t="n"/>
      <c r="O257" s="156" t="n"/>
    </row>
    <row r="258" ht="18.75" customHeight="1" s="153">
      <c r="A258" s="227" t="n"/>
      <c r="B258" s="228" t="inlineStr">
        <is>
          <t>AZOPARDO 8443</t>
        </is>
      </c>
      <c r="C258" s="229" t="n">
        <v>1</v>
      </c>
      <c r="D258" s="229" t="n"/>
      <c r="E258" s="229" t="n"/>
      <c r="F258" s="230" t="n"/>
      <c r="G258" s="230" t="n"/>
      <c r="H258" s="257" t="n">
        <v>26000</v>
      </c>
      <c r="I258" s="258" t="n">
        <v>26000</v>
      </c>
      <c r="J258" s="258" t="n"/>
      <c r="K258" s="233" t="n"/>
      <c r="L258" s="233" t="n">
        <v>10200</v>
      </c>
      <c r="M258" s="156" t="n"/>
      <c r="N258" s="156" t="n"/>
      <c r="O258" s="156" t="n"/>
    </row>
    <row r="259" ht="18.75" customHeight="1" s="153">
      <c r="A259" s="227" t="n"/>
      <c r="B259" s="228" t="inlineStr">
        <is>
          <t>PAPA BRUNO</t>
        </is>
      </c>
      <c r="C259" s="229" t="n"/>
      <c r="D259" s="229" t="n">
        <v>1</v>
      </c>
      <c r="E259" s="229" t="n"/>
      <c r="F259" s="230" t="n"/>
      <c r="G259" s="230" t="n"/>
      <c r="H259" s="257" t="n">
        <v>37500</v>
      </c>
      <c r="I259" s="258" t="n"/>
      <c r="J259" s="258" t="n">
        <v>37500</v>
      </c>
      <c r="K259" s="233" t="n"/>
      <c r="L259" s="233" t="n">
        <v>13800</v>
      </c>
      <c r="M259" s="156" t="n"/>
      <c r="N259" s="156" t="n"/>
      <c r="O259" s="156" t="n"/>
    </row>
    <row r="260" ht="18.75" customHeight="1" s="153">
      <c r="A260" s="227" t="n"/>
      <c r="B260" s="228" t="inlineStr">
        <is>
          <t>DAMIANOVICH 6212</t>
        </is>
      </c>
      <c r="C260" s="229" t="n"/>
      <c r="D260" s="229" t="n"/>
      <c r="E260" s="229" t="n">
        <v>1</v>
      </c>
      <c r="F260" s="230" t="n"/>
      <c r="G260" s="230" t="n"/>
      <c r="H260" s="257" t="n">
        <v>92000</v>
      </c>
      <c r="I260" s="258" t="n"/>
      <c r="J260" s="258" t="n">
        <v>92000</v>
      </c>
      <c r="K260" s="233" t="n"/>
      <c r="L260" s="233" t="n">
        <v>30000</v>
      </c>
      <c r="M260" s="156" t="n"/>
      <c r="N260" s="156" t="n"/>
      <c r="O260" s="156" t="n"/>
    </row>
    <row r="261" ht="18.75" customHeight="1" s="153">
      <c r="A261" s="227" t="n"/>
      <c r="B261" s="228" t="inlineStr">
        <is>
          <t>LO DE NICO</t>
        </is>
      </c>
      <c r="C261" s="229" t="n">
        <v>4</v>
      </c>
      <c r="D261" s="229" t="n"/>
      <c r="E261" s="229" t="n"/>
      <c r="F261" s="230" t="n"/>
      <c r="G261" s="230" t="n"/>
      <c r="H261" s="257" t="n">
        <v>82000</v>
      </c>
      <c r="I261" s="258" t="n"/>
      <c r="J261" s="258" t="n">
        <v>82000</v>
      </c>
      <c r="K261" s="233" t="n"/>
      <c r="L261" s="233" t="n">
        <v>18800</v>
      </c>
      <c r="M261" s="156" t="n"/>
      <c r="N261" s="156" t="n"/>
      <c r="O261" s="156" t="n"/>
    </row>
    <row r="262" ht="18.75" customHeight="1" s="153">
      <c r="A262" s="227" t="n"/>
      <c r="B262" s="228" t="inlineStr">
        <is>
          <t>GENERAL PAZ 7826</t>
        </is>
      </c>
      <c r="C262" s="229" t="n"/>
      <c r="D262" s="229" t="n"/>
      <c r="E262" s="229" t="n">
        <v>1</v>
      </c>
      <c r="F262" s="230" t="n"/>
      <c r="G262" s="230" t="n"/>
      <c r="H262" s="257" t="n">
        <v>88000</v>
      </c>
      <c r="I262" s="258" t="n">
        <v>88000</v>
      </c>
      <c r="J262" s="258" t="n"/>
      <c r="K262" s="233" t="n"/>
      <c r="L262" s="233" t="n">
        <v>26000</v>
      </c>
      <c r="M262" s="156" t="n"/>
      <c r="N262" s="156" t="n"/>
      <c r="O262" s="156" t="n"/>
    </row>
    <row r="263" ht="18.75" customHeight="1" s="153">
      <c r="A263" s="227" t="n"/>
      <c r="B263" s="228" t="inlineStr">
        <is>
          <t>GENERAL PAZ 7651</t>
        </is>
      </c>
      <c r="C263" s="229" t="n"/>
      <c r="D263" s="229" t="n"/>
      <c r="E263" s="229" t="n">
        <v>1</v>
      </c>
      <c r="F263" s="230" t="n"/>
      <c r="G263" s="230" t="n"/>
      <c r="H263" s="257" t="n">
        <v>91000</v>
      </c>
      <c r="I263" s="258" t="n">
        <v>91000</v>
      </c>
      <c r="J263" s="258" t="n"/>
      <c r="K263" s="233" t="n"/>
      <c r="L263" s="233" t="n">
        <v>29000</v>
      </c>
      <c r="M263" s="156" t="n"/>
      <c r="N263" s="156" t="n"/>
      <c r="O263" s="156" t="n"/>
    </row>
    <row r="264" ht="18.75" customHeight="1" s="153">
      <c r="A264" s="227" t="n"/>
      <c r="B264" s="228" t="inlineStr">
        <is>
          <t>FRANCIA 2063</t>
        </is>
      </c>
      <c r="C264" s="229" t="n"/>
      <c r="D264" s="229" t="n">
        <v>1</v>
      </c>
      <c r="E264" s="229" t="n"/>
      <c r="F264" s="230" t="n"/>
      <c r="G264" s="230" t="n"/>
      <c r="H264" s="257" t="n">
        <v>42000</v>
      </c>
      <c r="I264" s="258" t="n">
        <v>42000</v>
      </c>
      <c r="J264" s="258" t="n"/>
      <c r="K264" s="233" t="n"/>
      <c r="L264" s="233" t="n">
        <v>18300</v>
      </c>
      <c r="M264" s="156" t="n"/>
      <c r="N264" s="156" t="n"/>
      <c r="O264" s="156" t="n"/>
    </row>
    <row r="265" ht="18.75" customHeight="1" s="153">
      <c r="A265" s="227" t="n"/>
      <c r="B265" s="228" t="inlineStr">
        <is>
          <t>GASTON AMARAL</t>
        </is>
      </c>
      <c r="C265" s="229" t="n"/>
      <c r="D265" s="229" t="n"/>
      <c r="E265" s="229" t="n">
        <v>1</v>
      </c>
      <c r="F265" s="230" t="n"/>
      <c r="G265" s="230" t="n"/>
      <c r="H265" s="257" t="n">
        <v>91000</v>
      </c>
      <c r="I265" s="258" t="n">
        <v>91000</v>
      </c>
      <c r="J265" s="258" t="n"/>
      <c r="K265" s="233" t="n"/>
      <c r="L265" s="233" t="n">
        <v>29000</v>
      </c>
      <c r="M265" s="156" t="n"/>
      <c r="N265" s="156" t="n"/>
      <c r="O265" s="156" t="n"/>
    </row>
    <row r="266" ht="18.75" customHeight="1" s="153">
      <c r="A266" s="227" t="n"/>
      <c r="B266" s="228" t="inlineStr">
        <is>
          <t>HERNANDARIAS 3445</t>
        </is>
      </c>
      <c r="C266" s="229" t="n">
        <v>1</v>
      </c>
      <c r="D266" s="229" t="n"/>
      <c r="E266" s="229" t="n"/>
      <c r="F266" s="230" t="n"/>
      <c r="G266" s="230" t="n"/>
      <c r="H266" s="257" t="n">
        <v>26000</v>
      </c>
      <c r="I266" s="258" t="n">
        <v>26000</v>
      </c>
      <c r="J266" s="258" t="n"/>
      <c r="K266" s="233" t="n"/>
      <c r="L266" s="233" t="n">
        <v>10200</v>
      </c>
      <c r="M266" s="156" t="n"/>
      <c r="N266" s="156" t="n"/>
      <c r="O266" s="156" t="n"/>
    </row>
    <row r="267" ht="18.75" customHeight="1" s="153">
      <c r="A267" s="227" t="n"/>
      <c r="B267" s="228" t="inlineStr">
        <is>
          <t>BRASERIA</t>
        </is>
      </c>
      <c r="C267" s="229" t="n"/>
      <c r="D267" s="229" t="n"/>
      <c r="E267" s="229" t="n">
        <v>1</v>
      </c>
      <c r="F267" s="230" t="n"/>
      <c r="G267" s="230" t="n"/>
      <c r="H267" s="257" t="n">
        <v>86000</v>
      </c>
      <c r="I267" s="258" t="n"/>
      <c r="J267" s="258" t="n">
        <v>86000</v>
      </c>
      <c r="K267" s="233" t="n"/>
      <c r="L267" s="233" t="n">
        <v>24000</v>
      </c>
      <c r="M267" s="156" t="n"/>
      <c r="N267" s="156" t="n"/>
      <c r="O267" s="156" t="n"/>
    </row>
    <row r="268" ht="18.75" customHeight="1" s="153">
      <c r="A268" s="227" t="n">
        <v>46157</v>
      </c>
      <c r="B268" s="228" t="inlineStr">
        <is>
          <t>FABIO PARISI</t>
        </is>
      </c>
      <c r="C268" s="229" t="n"/>
      <c r="D268" s="229" t="n"/>
      <c r="E268" s="229" t="n"/>
      <c r="F268" s="230" t="n">
        <v>20</v>
      </c>
      <c r="G268" s="230" t="n"/>
      <c r="H268" s="257" t="n">
        <v>68500</v>
      </c>
      <c r="I268" s="258" t="n">
        <v>68500</v>
      </c>
      <c r="J268" s="258" t="n"/>
      <c r="K268" s="233" t="n"/>
      <c r="L268" s="233" t="n">
        <v>22500</v>
      </c>
      <c r="M268" s="156" t="n"/>
      <c r="N268" s="156" t="n"/>
      <c r="O268" s="156" t="n"/>
    </row>
    <row r="269" ht="18.75" customHeight="1" s="153">
      <c r="A269" s="227" t="n"/>
      <c r="B269" s="228" t="inlineStr">
        <is>
          <t>NICO PIRIZ SIR LAKI</t>
        </is>
      </c>
      <c r="C269" s="229" t="n"/>
      <c r="D269" s="229" t="n"/>
      <c r="E269" s="229" t="n">
        <v>1</v>
      </c>
      <c r="F269" s="230" t="n"/>
      <c r="G269" s="230" t="n"/>
      <c r="H269" s="257" t="n">
        <v>88000</v>
      </c>
      <c r="I269" s="258" t="n">
        <v>88000</v>
      </c>
      <c r="J269" s="258" t="n"/>
      <c r="K269" s="233" t="n"/>
      <c r="L269" s="233" t="n">
        <v>26000</v>
      </c>
      <c r="M269" s="156" t="n"/>
      <c r="N269" s="156" t="n"/>
      <c r="O269" s="156" t="n"/>
    </row>
    <row r="270" ht="18.75" customHeight="1" s="153">
      <c r="A270" s="227" t="n"/>
      <c r="B270" s="228" t="inlineStr">
        <is>
          <t>SAVEDRA 10125</t>
        </is>
      </c>
      <c r="C270" s="229" t="n"/>
      <c r="D270" s="229" t="n">
        <v>1</v>
      </c>
      <c r="E270" s="229" t="n">
        <v>1</v>
      </c>
      <c r="F270" s="230" t="n"/>
      <c r="G270" s="230" t="n"/>
      <c r="H270" s="257" t="n">
        <v>135000</v>
      </c>
      <c r="I270" s="258" t="n"/>
      <c r="J270" s="258" t="n">
        <v>135000</v>
      </c>
      <c r="K270" s="233" t="n"/>
      <c r="L270" s="233" t="n">
        <v>49300</v>
      </c>
      <c r="M270" s="156" t="n"/>
      <c r="N270" s="156" t="n"/>
      <c r="O270" s="156" t="n"/>
    </row>
    <row r="271" ht="18.75" customHeight="1" s="153">
      <c r="A271" s="227" t="n"/>
      <c r="B271" s="228" t="inlineStr">
        <is>
          <t>VIANDAS JORGE</t>
        </is>
      </c>
      <c r="C271" s="229" t="n">
        <v>1</v>
      </c>
      <c r="D271" s="229" t="n"/>
      <c r="E271" s="229" t="n"/>
      <c r="F271" s="230" t="n"/>
      <c r="G271" s="230" t="n"/>
      <c r="H271" s="257" t="n">
        <v>23000</v>
      </c>
      <c r="I271" s="258" t="n">
        <v>23000</v>
      </c>
      <c r="J271" s="258" t="n"/>
      <c r="K271" s="233" t="n"/>
      <c r="L271" s="233" t="n">
        <v>7200</v>
      </c>
      <c r="M271" s="156" t="n"/>
      <c r="N271" s="156" t="n"/>
      <c r="O271" s="156" t="n"/>
    </row>
    <row r="272" ht="18.75" customHeight="1" s="153">
      <c r="A272" s="227" t="n"/>
      <c r="B272" s="228" t="inlineStr">
        <is>
          <t>ARENALES 10625</t>
        </is>
      </c>
      <c r="C272" s="229" t="n">
        <v>1</v>
      </c>
      <c r="D272" s="229" t="n"/>
      <c r="E272" s="229" t="n"/>
      <c r="F272" s="230" t="n"/>
      <c r="G272" s="230" t="n"/>
      <c r="H272" s="257" t="n">
        <v>20000</v>
      </c>
      <c r="I272" s="258" t="n"/>
      <c r="J272" s="258" t="n">
        <v>20000</v>
      </c>
      <c r="K272" s="233" t="n"/>
      <c r="L272" s="233" t="n">
        <v>4200</v>
      </c>
      <c r="M272" s="156" t="n"/>
      <c r="N272" s="156" t="n"/>
      <c r="O272" s="156" t="n"/>
    </row>
    <row r="273" ht="18.75" customHeight="1" s="153">
      <c r="A273" s="227" t="n"/>
      <c r="B273" s="228" t="inlineStr">
        <is>
          <t>FACUNDO ZUVIRIA 7757</t>
        </is>
      </c>
      <c r="C273" s="229" t="n"/>
      <c r="D273" s="229" t="n">
        <v>1</v>
      </c>
      <c r="E273" s="229" t="n"/>
      <c r="F273" s="230" t="n"/>
      <c r="G273" s="230" t="n"/>
      <c r="H273" s="257" t="n">
        <v>39500</v>
      </c>
      <c r="I273" s="258" t="n"/>
      <c r="J273" s="258" t="n">
        <v>39500</v>
      </c>
      <c r="K273" s="233" t="n"/>
      <c r="L273" s="233" t="n">
        <v>15800</v>
      </c>
      <c r="M273" s="156" t="n"/>
      <c r="N273" s="156" t="n"/>
      <c r="O273" s="156" t="n"/>
    </row>
    <row r="274" ht="18.75" customHeight="1" s="153">
      <c r="A274" s="227" t="n"/>
      <c r="B274" s="228" t="inlineStr">
        <is>
          <t>FRENCH 1912</t>
        </is>
      </c>
      <c r="C274" s="229" t="n"/>
      <c r="D274" s="229" t="n"/>
      <c r="E274" s="229" t="n">
        <v>1</v>
      </c>
      <c r="F274" s="230" t="n"/>
      <c r="G274" s="230" t="n"/>
      <c r="H274" s="257" t="n">
        <v>91000</v>
      </c>
      <c r="I274" s="258" t="n">
        <v>91000</v>
      </c>
      <c r="J274" s="258" t="n"/>
      <c r="K274" s="233" t="n"/>
      <c r="L274" s="233" t="n">
        <v>29000</v>
      </c>
      <c r="M274" s="156" t="n"/>
      <c r="N274" s="156" t="n"/>
      <c r="O274" s="156" t="n"/>
    </row>
    <row r="275" ht="18.75" customHeight="1" s="153">
      <c r="A275" s="227" t="n"/>
      <c r="B275" s="228" t="inlineStr">
        <is>
          <t>MARIO</t>
        </is>
      </c>
      <c r="C275" s="229" t="n">
        <v>2</v>
      </c>
      <c r="D275" s="229" t="n">
        <v>1</v>
      </c>
      <c r="E275" s="229" t="n"/>
      <c r="F275" s="230" t="n"/>
      <c r="G275" s="230" t="n"/>
      <c r="H275" s="257" t="n">
        <v>67500</v>
      </c>
      <c r="I275" s="258" t="n">
        <v>67500</v>
      </c>
      <c r="J275" s="258" t="n"/>
      <c r="K275" s="233" t="n"/>
      <c r="L275" s="233" t="n">
        <v>12200</v>
      </c>
      <c r="M275" s="156" t="n"/>
      <c r="N275" s="156" t="n"/>
      <c r="O275" s="156" t="n"/>
    </row>
    <row r="276" ht="18.75" customHeight="1" s="153">
      <c r="A276" s="227" t="n"/>
      <c r="B276" s="228" t="inlineStr">
        <is>
          <t>GOROSTIAGA 4659</t>
        </is>
      </c>
      <c r="C276" s="229" t="n"/>
      <c r="D276" s="229" t="n"/>
      <c r="E276" s="229" t="n">
        <v>1</v>
      </c>
      <c r="F276" s="230" t="n"/>
      <c r="G276" s="230" t="n"/>
      <c r="H276" s="257" t="n">
        <v>92000</v>
      </c>
      <c r="I276" s="258" t="n"/>
      <c r="J276" s="258" t="n">
        <v>92000</v>
      </c>
      <c r="K276" s="233" t="n"/>
      <c r="L276" s="233" t="n">
        <v>30000</v>
      </c>
      <c r="M276" s="156" t="n"/>
      <c r="N276" s="156" t="n"/>
      <c r="O276" s="156" t="n"/>
    </row>
    <row r="277" ht="18.75" customHeight="1" s="153">
      <c r="A277" s="227" t="n"/>
      <c r="B277" s="228" t="inlineStr">
        <is>
          <t>SALTEÑA</t>
        </is>
      </c>
      <c r="C277" s="229" t="n">
        <v>1</v>
      </c>
      <c r="D277" s="229" t="n"/>
      <c r="E277" s="229" t="n"/>
      <c r="F277" s="230" t="n"/>
      <c r="G277" s="230" t="n"/>
      <c r="H277" s="257" t="n">
        <v>25000</v>
      </c>
      <c r="I277" s="258" t="n">
        <v>25000</v>
      </c>
      <c r="J277" s="258" t="n"/>
      <c r="K277" s="233" t="n"/>
      <c r="L277" s="233" t="n">
        <v>9200</v>
      </c>
      <c r="M277" s="156" t="n"/>
      <c r="N277" s="156" t="n"/>
      <c r="O277" s="156" t="n"/>
    </row>
    <row r="278" ht="18.75" customHeight="1" s="153">
      <c r="A278" s="227" t="n"/>
      <c r="B278" s="228" t="inlineStr">
        <is>
          <t>FILOMENA</t>
        </is>
      </c>
      <c r="C278" s="229" t="n">
        <v>2</v>
      </c>
      <c r="D278" s="229" t="n"/>
      <c r="E278" s="229" t="n"/>
      <c r="F278" s="230" t="n"/>
      <c r="G278" s="230" t="n"/>
      <c r="H278" s="257" t="n">
        <v>49000</v>
      </c>
      <c r="I278" s="258" t="n"/>
      <c r="J278" s="258" t="n">
        <v>49000</v>
      </c>
      <c r="K278" s="233" t="n"/>
      <c r="L278" s="233" t="n">
        <v>17400</v>
      </c>
      <c r="M278" s="156" t="n"/>
      <c r="N278" s="156" t="n"/>
      <c r="O278" s="156" t="n"/>
    </row>
    <row r="279" ht="18.75" customHeight="1" s="153">
      <c r="A279" s="227" t="n"/>
      <c r="B279" s="228" t="inlineStr">
        <is>
          <t>LUCHO</t>
        </is>
      </c>
      <c r="C279" s="229" t="n"/>
      <c r="D279" s="229" t="n">
        <v>1</v>
      </c>
      <c r="E279" s="229" t="n"/>
      <c r="F279" s="230" t="n"/>
      <c r="G279" s="230" t="n"/>
      <c r="H279" s="257" t="n">
        <v>31500</v>
      </c>
      <c r="I279" s="258" t="n"/>
      <c r="J279" s="258" t="n">
        <v>31500</v>
      </c>
      <c r="K279" s="233" t="n"/>
      <c r="L279" s="233" t="n">
        <v>7800</v>
      </c>
      <c r="M279" s="156" t="n"/>
      <c r="N279" s="156" t="n"/>
      <c r="O279" s="156" t="n"/>
    </row>
    <row r="280" ht="18.75" customHeight="1" s="153">
      <c r="A280" s="227" t="n"/>
      <c r="B280" s="228" t="inlineStr">
        <is>
          <t>SAN JUAN 5682</t>
        </is>
      </c>
      <c r="C280" s="229" t="n">
        <v>1</v>
      </c>
      <c r="D280" s="229" t="n"/>
      <c r="E280" s="229" t="n"/>
      <c r="F280" s="230" t="n"/>
      <c r="G280" s="230" t="n"/>
      <c r="H280" s="257" t="n">
        <v>26000</v>
      </c>
      <c r="I280" s="258" t="n"/>
      <c r="J280" s="258" t="n">
        <v>26000</v>
      </c>
      <c r="K280" s="233" t="n"/>
      <c r="L280" s="233" t="n">
        <v>10200</v>
      </c>
      <c r="M280" s="156" t="n"/>
      <c r="N280" s="156" t="n"/>
      <c r="O280" s="156" t="n"/>
    </row>
    <row r="281" ht="18.75" customHeight="1" s="153">
      <c r="A281" s="227" t="n"/>
      <c r="B281" s="228" t="inlineStr">
        <is>
          <t>BONEO 5315</t>
        </is>
      </c>
      <c r="C281" s="229" t="n">
        <v>1</v>
      </c>
      <c r="D281" s="229" t="n"/>
      <c r="E281" s="229" t="n"/>
      <c r="F281" s="230" t="n"/>
      <c r="G281" s="230" t="n"/>
      <c r="H281" s="257" t="n">
        <v>25000</v>
      </c>
      <c r="I281" s="258" t="n">
        <v>25000</v>
      </c>
      <c r="J281" s="258" t="n"/>
      <c r="K281" s="233" t="n"/>
      <c r="L281" s="233" t="n">
        <v>9200</v>
      </c>
      <c r="M281" s="156" t="n"/>
      <c r="N281" s="156" t="n"/>
      <c r="O281" s="156" t="n"/>
    </row>
    <row r="282" ht="18.75" customHeight="1" s="153">
      <c r="A282" s="227" t="n"/>
      <c r="B282" s="228" t="inlineStr">
        <is>
          <t>PAULO</t>
        </is>
      </c>
      <c r="C282" s="229" t="n">
        <v>2</v>
      </c>
      <c r="D282" s="229" t="n"/>
      <c r="E282" s="229" t="n"/>
      <c r="F282" s="230" t="n"/>
      <c r="G282" s="230" t="n"/>
      <c r="H282" s="257" t="n">
        <v>40000</v>
      </c>
      <c r="I282" s="258" t="n">
        <v>40000</v>
      </c>
      <c r="J282" s="258" t="n"/>
      <c r="K282" s="233" t="n"/>
      <c r="L282" s="233" t="n">
        <v>8400</v>
      </c>
      <c r="M282" s="156" t="n"/>
      <c r="N282" s="156" t="n"/>
      <c r="O282" s="156" t="n"/>
    </row>
    <row r="283" ht="18.75" customHeight="1" s="153">
      <c r="A283" s="227" t="n"/>
      <c r="B283" s="228" t="inlineStr">
        <is>
          <t>EXE</t>
        </is>
      </c>
      <c r="C283" s="229" t="n"/>
      <c r="D283" s="229" t="n"/>
      <c r="E283" s="229" t="n">
        <v>1</v>
      </c>
      <c r="F283" s="230" t="n"/>
      <c r="G283" s="230" t="n"/>
      <c r="H283" s="257" t="n">
        <v>85000</v>
      </c>
      <c r="I283" s="258" t="n"/>
      <c r="J283" s="258" t="n">
        <v>85000</v>
      </c>
      <c r="K283" s="233" t="n"/>
      <c r="L283" s="233" t="n">
        <v>23000</v>
      </c>
      <c r="M283" s="156" t="n"/>
      <c r="N283" s="156" t="n"/>
      <c r="O283" s="156" t="n"/>
    </row>
    <row r="284" ht="18.75" customHeight="1" s="153">
      <c r="A284" s="227" t="n"/>
      <c r="B284" s="228" t="inlineStr">
        <is>
          <t>AZOPARDO 8350</t>
        </is>
      </c>
      <c r="C284" s="229" t="n"/>
      <c r="D284" s="229" t="n"/>
      <c r="E284" s="229" t="n">
        <v>1</v>
      </c>
      <c r="F284" s="230" t="n"/>
      <c r="G284" s="230" t="n"/>
      <c r="H284" s="257" t="n">
        <v>91000</v>
      </c>
      <c r="I284" s="258" t="n"/>
      <c r="J284" s="258" t="n">
        <v>91000</v>
      </c>
      <c r="K284" s="233" t="n"/>
      <c r="L284" s="233" t="n">
        <v>29000</v>
      </c>
      <c r="M284" s="156" t="n"/>
      <c r="N284" s="156" t="n"/>
      <c r="O284" s="156" t="n"/>
    </row>
    <row r="285" ht="18.75" customHeight="1" s="153">
      <c r="A285" s="227" t="n"/>
      <c r="B285" s="228" t="inlineStr">
        <is>
          <t>ESTADO ISRAEL 4990</t>
        </is>
      </c>
      <c r="C285" s="229" t="n">
        <v>1</v>
      </c>
      <c r="D285" s="229" t="n"/>
      <c r="E285" s="229" t="n"/>
      <c r="F285" s="230" t="n"/>
      <c r="G285" s="230" t="n"/>
      <c r="H285" s="257" t="n">
        <v>27000</v>
      </c>
      <c r="I285" s="258" t="n">
        <v>27000</v>
      </c>
      <c r="J285" s="258" t="n"/>
      <c r="K285" s="233" t="n"/>
      <c r="L285" s="233" t="n">
        <v>11200</v>
      </c>
      <c r="M285" s="156" t="n"/>
      <c r="N285" s="156" t="n"/>
      <c r="O285" s="156" t="n"/>
    </row>
    <row r="286" ht="18.75" customHeight="1" s="153">
      <c r="A286" s="227" t="n"/>
      <c r="B286" s="228" t="inlineStr">
        <is>
          <t>PANA GORRITI 6500</t>
        </is>
      </c>
      <c r="C286" s="229" t="n"/>
      <c r="D286" s="229" t="n"/>
      <c r="E286" s="229" t="n">
        <v>1</v>
      </c>
      <c r="F286" s="230" t="n"/>
      <c r="G286" s="230" t="n"/>
      <c r="H286" s="257" t="n">
        <v>88000</v>
      </c>
      <c r="I286" s="258" t="n"/>
      <c r="J286" s="258" t="n">
        <v>88000</v>
      </c>
      <c r="K286" s="233" t="n"/>
      <c r="L286" s="233" t="n">
        <v>26000</v>
      </c>
      <c r="M286" s="156" t="n"/>
      <c r="N286" s="156" t="n"/>
      <c r="O286" s="156" t="n"/>
    </row>
    <row r="287" ht="18.75" customHeight="1" s="153">
      <c r="A287" s="227" t="n"/>
      <c r="B287" s="228" t="inlineStr">
        <is>
          <t>PANA BERUTI 6700</t>
        </is>
      </c>
      <c r="C287" s="229" t="n">
        <v>1</v>
      </c>
      <c r="D287" s="229" t="n"/>
      <c r="E287" s="229" t="n">
        <v>1</v>
      </c>
      <c r="F287" s="230" t="n"/>
      <c r="G287" s="230" t="n"/>
      <c r="H287" s="257" t="n">
        <v>107000</v>
      </c>
      <c r="I287" s="258" t="n"/>
      <c r="J287" s="258" t="n">
        <v>107000</v>
      </c>
      <c r="K287" s="233" t="n"/>
      <c r="L287" s="233" t="n">
        <v>29200</v>
      </c>
      <c r="M287" s="156" t="n"/>
      <c r="N287" s="156" t="n"/>
      <c r="O287" s="156" t="n"/>
    </row>
    <row r="288" ht="18.75" customHeight="1" s="153">
      <c r="A288" s="227" t="n"/>
      <c r="B288" s="228" t="inlineStr">
        <is>
          <t>MARIANA PERFUMERIA</t>
        </is>
      </c>
      <c r="C288" s="229" t="n">
        <v>1</v>
      </c>
      <c r="D288" s="229" t="n"/>
      <c r="E288" s="229" t="n"/>
      <c r="F288" s="230" t="n"/>
      <c r="G288" s="230" t="n"/>
      <c r="H288" s="257" t="n">
        <v>26000</v>
      </c>
      <c r="I288" s="258" t="n"/>
      <c r="J288" s="258" t="n">
        <v>26000</v>
      </c>
      <c r="K288" s="233" t="n"/>
      <c r="L288" s="233" t="n">
        <v>10200</v>
      </c>
      <c r="M288" s="156" t="n"/>
      <c r="N288" s="156" t="n"/>
      <c r="O288" s="156" t="n"/>
    </row>
    <row r="289" ht="18.75" customHeight="1" s="153">
      <c r="A289" s="227" t="n"/>
      <c r="B289" s="228" t="inlineStr">
        <is>
          <t>OSCAR FLORES 1 BLASPA</t>
        </is>
      </c>
      <c r="C289" s="229" t="n">
        <v>1</v>
      </c>
      <c r="D289" s="229" t="n"/>
      <c r="E289" s="229" t="n"/>
      <c r="F289" s="230" t="n"/>
      <c r="G289" s="230" t="n"/>
      <c r="H289" s="257" t="n">
        <v>133000</v>
      </c>
      <c r="I289" s="258" t="n">
        <v>133000</v>
      </c>
      <c r="J289" s="258" t="n"/>
      <c r="K289" s="233" t="n">
        <v>42000</v>
      </c>
      <c r="L289" s="233" t="n">
        <v>52200</v>
      </c>
      <c r="M289" s="156" t="n"/>
      <c r="N289" s="156" t="n"/>
      <c r="O289" s="156" t="n"/>
    </row>
    <row r="290" ht="18.75" customHeight="1" s="153">
      <c r="A290" s="227" t="n"/>
      <c r="B290" s="228" t="inlineStr">
        <is>
          <t>TROPPO</t>
        </is>
      </c>
      <c r="C290" s="229" t="n">
        <v>3</v>
      </c>
      <c r="D290" s="229" t="n"/>
      <c r="E290" s="229" t="n"/>
      <c r="F290" s="230" t="n"/>
      <c r="G290" s="230" t="n"/>
      <c r="H290" s="257" t="n">
        <v>81000</v>
      </c>
      <c r="I290" s="258" t="n">
        <v>81000</v>
      </c>
      <c r="J290" s="258" t="n"/>
      <c r="K290" s="233" t="n"/>
      <c r="L290" s="233" t="n">
        <v>33600</v>
      </c>
      <c r="M290" s="156" t="n"/>
      <c r="N290" s="156" t="n"/>
      <c r="O290" s="156" t="n"/>
    </row>
    <row r="291" ht="18.75" customHeight="1" s="153">
      <c r="A291" s="227" t="n"/>
      <c r="B291" s="228" t="inlineStr">
        <is>
          <t>SABOREAR</t>
        </is>
      </c>
      <c r="C291" s="229" t="n">
        <v>1</v>
      </c>
      <c r="D291" s="229" t="n"/>
      <c r="E291" s="229" t="n"/>
      <c r="F291" s="230" t="n"/>
      <c r="G291" s="230" t="n"/>
      <c r="H291" s="257" t="n">
        <v>23500</v>
      </c>
      <c r="I291" s="258" t="n"/>
      <c r="J291" s="258" t="n">
        <v>23500</v>
      </c>
      <c r="K291" s="233" t="n"/>
      <c r="L291" s="233" t="n">
        <v>7700</v>
      </c>
      <c r="M291" s="156" t="n"/>
      <c r="N291" s="156" t="n"/>
      <c r="O291" s="156" t="n"/>
    </row>
    <row r="292" ht="18.75" customHeight="1" s="153">
      <c r="A292" s="227" t="n"/>
      <c r="B292" s="228" t="inlineStr">
        <is>
          <t>JUAN AZUAGA</t>
        </is>
      </c>
      <c r="C292" s="229" t="n">
        <v>1</v>
      </c>
      <c r="D292" s="229" t="n"/>
      <c r="E292" s="229" t="n"/>
      <c r="F292" s="230" t="n"/>
      <c r="G292" s="230" t="n"/>
      <c r="H292" s="257" t="n">
        <v>22000</v>
      </c>
      <c r="I292" s="258" t="n">
        <v>22000</v>
      </c>
      <c r="J292" s="258" t="n"/>
      <c r="K292" s="233" t="n"/>
      <c r="L292" s="233" t="n">
        <v>6200</v>
      </c>
      <c r="M292" s="156" t="n"/>
      <c r="N292" s="156" t="n"/>
      <c r="O292" s="156" t="n"/>
    </row>
    <row r="293" ht="18.75" customHeight="1" s="153">
      <c r="A293" s="227" t="n"/>
      <c r="B293" s="228" t="inlineStr">
        <is>
          <t>ALBERDI 8230</t>
        </is>
      </c>
      <c r="C293" s="229" t="n"/>
      <c r="D293" s="229" t="n">
        <v>1</v>
      </c>
      <c r="E293" s="229" t="n"/>
      <c r="F293" s="230" t="n"/>
      <c r="G293" s="230" t="n"/>
      <c r="H293" s="257" t="n">
        <v>41000</v>
      </c>
      <c r="I293" s="258" t="n"/>
      <c r="J293" s="258" t="n">
        <v>41000</v>
      </c>
      <c r="K293" s="233" t="n"/>
      <c r="L293" s="233" t="n">
        <v>17300</v>
      </c>
      <c r="M293" s="156" t="n"/>
      <c r="N293" s="156" t="n"/>
      <c r="O293" s="156" t="n"/>
    </row>
    <row r="294" ht="18.75" customHeight="1" s="153">
      <c r="A294" s="227" t="n">
        <v>46158</v>
      </c>
      <c r="B294" s="228" t="inlineStr">
        <is>
          <t>LUCHO</t>
        </is>
      </c>
      <c r="C294" s="229" t="n"/>
      <c r="D294" s="229" t="n">
        <v>1</v>
      </c>
      <c r="E294" s="229" t="n"/>
      <c r="F294" s="230" t="n"/>
      <c r="G294" s="230" t="n"/>
      <c r="H294" s="257" t="n">
        <v>31500</v>
      </c>
      <c r="I294" s="258" t="n">
        <v>31500</v>
      </c>
      <c r="J294" s="258" t="n"/>
      <c r="K294" s="233" t="n"/>
      <c r="L294" s="233" t="n">
        <v>7800</v>
      </c>
      <c r="M294" s="156" t="n"/>
      <c r="N294" s="156" t="n"/>
      <c r="O294" s="156" t="n"/>
    </row>
    <row r="295" ht="18.75" customHeight="1" s="153">
      <c r="A295" s="227" t="n"/>
      <c r="B295" s="228" t="inlineStr">
        <is>
          <t>ROTI VIEYTES</t>
        </is>
      </c>
      <c r="C295" s="229" t="n"/>
      <c r="D295" s="229" t="n">
        <v>2</v>
      </c>
      <c r="E295" s="229" t="n"/>
      <c r="F295" s="230" t="n"/>
      <c r="G295" s="230" t="n"/>
      <c r="H295" s="257" t="n">
        <v>64000</v>
      </c>
      <c r="I295" s="258" t="n"/>
      <c r="J295" s="258" t="n">
        <v>64000</v>
      </c>
      <c r="K295" s="233" t="n"/>
      <c r="L295" s="233" t="n">
        <v>16600</v>
      </c>
      <c r="M295" s="156" t="n"/>
      <c r="N295" s="156" t="n"/>
      <c r="O295" s="156" t="n"/>
    </row>
    <row r="296" ht="18.75" customHeight="1" s="153">
      <c r="A296" s="227" t="n"/>
      <c r="B296" s="228" t="inlineStr">
        <is>
          <t>AZCUENAGA 4800</t>
        </is>
      </c>
      <c r="C296" s="229" t="n"/>
      <c r="D296" s="229" t="n"/>
      <c r="E296" s="229" t="n">
        <v>1</v>
      </c>
      <c r="F296" s="230" t="n"/>
      <c r="G296" s="230" t="n"/>
      <c r="H296" s="257" t="n">
        <v>87000</v>
      </c>
      <c r="I296" s="258" t="n">
        <v>87000</v>
      </c>
      <c r="J296" s="258" t="n"/>
      <c r="K296" s="233" t="n"/>
      <c r="L296" s="233" t="n">
        <v>25000</v>
      </c>
      <c r="M296" s="156" t="n"/>
      <c r="N296" s="156" t="n"/>
      <c r="O296" s="156" t="n"/>
    </row>
    <row r="297" ht="18.75" customHeight="1" s="153">
      <c r="A297" s="227" t="n"/>
      <c r="B297" s="228" t="inlineStr">
        <is>
          <t>LOS PRIMOS</t>
        </is>
      </c>
      <c r="C297" s="229" t="n">
        <v>1</v>
      </c>
      <c r="D297" s="229" t="n">
        <v>1</v>
      </c>
      <c r="E297" s="229" t="n"/>
      <c r="F297" s="230" t="n"/>
      <c r="G297" s="230" t="n"/>
      <c r="H297" s="257" t="n">
        <v>66000</v>
      </c>
      <c r="I297" s="258" t="n">
        <v>66000</v>
      </c>
      <c r="J297" s="258" t="n"/>
      <c r="K297" s="233" t="n"/>
      <c r="L297" s="233" t="n">
        <v>26500</v>
      </c>
      <c r="M297" s="156" t="n"/>
      <c r="N297" s="156" t="n"/>
      <c r="O297" s="156" t="n"/>
    </row>
    <row r="298" ht="18.75" customHeight="1" s="153">
      <c r="A298" s="227" t="n"/>
      <c r="B298" s="228" t="inlineStr">
        <is>
          <t>JAVIER DE LA ROSA 456</t>
        </is>
      </c>
      <c r="C298" s="229" t="n">
        <v>1</v>
      </c>
      <c r="D298" s="229" t="n"/>
      <c r="E298" s="229" t="n"/>
      <c r="F298" s="230" t="n"/>
      <c r="G298" s="230" t="n"/>
      <c r="H298" s="257" t="n">
        <v>27000</v>
      </c>
      <c r="I298" s="258" t="n"/>
      <c r="J298" s="258" t="n">
        <v>27000</v>
      </c>
      <c r="K298" s="233" t="n"/>
      <c r="L298" s="233" t="n">
        <v>11200</v>
      </c>
      <c r="M298" s="156" t="n"/>
      <c r="N298" s="156" t="n"/>
      <c r="O298" s="156" t="n"/>
    </row>
    <row r="299" ht="18.75" customHeight="1" s="153">
      <c r="A299" s="227" t="n"/>
      <c r="B299" s="228" t="inlineStr">
        <is>
          <t>PASAJE CONTRERAS 8257</t>
        </is>
      </c>
      <c r="C299" s="229" t="n"/>
      <c r="D299" s="229" t="n">
        <v>1</v>
      </c>
      <c r="E299" s="229" t="n"/>
      <c r="F299" s="230" t="n"/>
      <c r="G299" s="230" t="n"/>
      <c r="H299" s="257" t="n">
        <v>40500</v>
      </c>
      <c r="I299" s="258" t="n"/>
      <c r="J299" s="258" t="n">
        <v>40500</v>
      </c>
      <c r="K299" s="233" t="n"/>
      <c r="L299" s="233" t="n">
        <v>16800</v>
      </c>
      <c r="M299" s="156" t="n"/>
      <c r="N299" s="156" t="n"/>
      <c r="O299" s="156" t="n"/>
    </row>
    <row r="300" ht="18.75" customHeight="1" s="153">
      <c r="A300" s="227" t="n"/>
      <c r="B300" s="228" t="inlineStr">
        <is>
          <t>AIMARA</t>
        </is>
      </c>
      <c r="C300" s="229" t="n">
        <v>1</v>
      </c>
      <c r="D300" s="229" t="n"/>
      <c r="E300" s="229" t="n"/>
      <c r="F300" s="230" t="n"/>
      <c r="G300" s="230" t="n"/>
      <c r="H300" s="257" t="n">
        <v>26000</v>
      </c>
      <c r="I300" s="258" t="n">
        <v>26000</v>
      </c>
      <c r="J300" s="258" t="n"/>
      <c r="K300" s="233" t="n"/>
      <c r="L300" s="233" t="n">
        <v>10200</v>
      </c>
      <c r="M300" s="156" t="n"/>
      <c r="N300" s="156" t="n"/>
      <c r="O300" s="156" t="n"/>
    </row>
    <row r="301" ht="18.75" customHeight="1" s="153">
      <c r="A301" s="227" t="n"/>
      <c r="B301" s="228" t="inlineStr">
        <is>
          <t>RIVADAVIA 9741</t>
        </is>
      </c>
      <c r="C301" s="229" t="n">
        <v>1</v>
      </c>
      <c r="D301" s="229" t="n"/>
      <c r="E301" s="229" t="n"/>
      <c r="F301" s="230" t="n"/>
      <c r="G301" s="230" t="n"/>
      <c r="H301" s="257" t="n">
        <v>25500</v>
      </c>
      <c r="I301" s="258" t="n"/>
      <c r="J301" s="258" t="n">
        <v>25500</v>
      </c>
      <c r="K301" s="233" t="n"/>
      <c r="L301" s="233" t="n">
        <v>9700</v>
      </c>
      <c r="M301" s="156" t="n"/>
      <c r="N301" s="156" t="n"/>
      <c r="O301" s="156" t="n"/>
    </row>
    <row r="302" ht="18.75" customHeight="1" s="153">
      <c r="A302" s="227" t="n"/>
      <c r="B302" s="228" t="inlineStr">
        <is>
          <t>LARGUIA 7186</t>
        </is>
      </c>
      <c r="C302" s="229" t="n"/>
      <c r="D302" s="229" t="n"/>
      <c r="E302" s="229" t="n">
        <v>1</v>
      </c>
      <c r="F302" s="230" t="n"/>
      <c r="G302" s="230" t="n"/>
      <c r="H302" s="257" t="n">
        <v>91000</v>
      </c>
      <c r="I302" s="258" t="n"/>
      <c r="J302" s="258" t="n">
        <v>91000</v>
      </c>
      <c r="K302" s="233" t="n"/>
      <c r="L302" s="233" t="n">
        <v>29000</v>
      </c>
      <c r="M302" s="156" t="n"/>
      <c r="N302" s="156" t="n"/>
      <c r="O302" s="156" t="n"/>
    </row>
    <row r="303" ht="18.75" customHeight="1" s="153">
      <c r="A303" s="227" t="n"/>
      <c r="B303" s="228" t="inlineStr">
        <is>
          <t>1 DE MAYO 8369</t>
        </is>
      </c>
      <c r="C303" s="229" t="n">
        <v>1</v>
      </c>
      <c r="D303" s="229" t="n"/>
      <c r="E303" s="229" t="n"/>
      <c r="F303" s="230" t="n"/>
      <c r="G303" s="230" t="n"/>
      <c r="H303" s="257" t="n">
        <v>26000</v>
      </c>
      <c r="I303" s="258" t="n"/>
      <c r="J303" s="258" t="n">
        <v>26000</v>
      </c>
      <c r="K303" s="233" t="n"/>
      <c r="L303" s="233" t="n">
        <v>10200</v>
      </c>
      <c r="M303" s="156" t="n"/>
      <c r="N303" s="156" t="n"/>
      <c r="O303" s="156" t="n"/>
    </row>
    <row r="304" ht="18.75" customHeight="1" s="153">
      <c r="A304" s="227" t="n"/>
      <c r="B304" s="228" t="inlineStr">
        <is>
          <t>CALLEJON FUNES 4659</t>
        </is>
      </c>
      <c r="C304" s="229" t="n">
        <v>1</v>
      </c>
      <c r="D304" s="229" t="n"/>
      <c r="E304" s="229" t="n"/>
      <c r="F304" s="230" t="n"/>
      <c r="G304" s="230" t="n"/>
      <c r="H304" s="257" t="n">
        <v>128000</v>
      </c>
      <c r="I304" s="258" t="n">
        <v>128000</v>
      </c>
      <c r="J304" s="258" t="n"/>
      <c r="K304" s="233" t="n">
        <v>37000</v>
      </c>
      <c r="L304" s="233" t="n">
        <v>47200</v>
      </c>
      <c r="M304" s="156" t="n"/>
      <c r="N304" s="156" t="n"/>
      <c r="O304" s="156" t="n"/>
    </row>
    <row r="305" ht="18.75" customHeight="1" s="153">
      <c r="A305" s="227" t="n"/>
      <c r="B305" s="228" t="inlineStr">
        <is>
          <t>SAN MARTÍN 1925</t>
        </is>
      </c>
      <c r="C305" s="229" t="n">
        <v>1</v>
      </c>
      <c r="D305" s="229" t="n"/>
      <c r="E305" s="229" t="n"/>
      <c r="F305" s="230" t="n"/>
      <c r="G305" s="230" t="n"/>
      <c r="H305" s="257" t="n">
        <v>27500</v>
      </c>
      <c r="I305" s="258" t="n">
        <v>27500</v>
      </c>
      <c r="J305" s="258" t="n"/>
      <c r="K305" s="233" t="n"/>
      <c r="L305" s="233" t="n">
        <v>11700</v>
      </c>
      <c r="M305" s="156" t="n"/>
      <c r="N305" s="156" t="n"/>
      <c r="O305" s="156" t="n"/>
    </row>
    <row r="306" ht="18.75" customHeight="1" s="153">
      <c r="A306" s="227" t="n"/>
      <c r="B306" s="228" t="inlineStr">
        <is>
          <t>MARCELO FLORES 2 TORRE 8</t>
        </is>
      </c>
      <c r="C306" s="229" t="n">
        <v>1</v>
      </c>
      <c r="D306" s="229" t="n"/>
      <c r="E306" s="229" t="n"/>
      <c r="F306" s="230" t="n"/>
      <c r="G306" s="230" t="n"/>
      <c r="H306" s="257" t="n">
        <v>26000</v>
      </c>
      <c r="I306" s="258" t="n">
        <v>26000</v>
      </c>
      <c r="J306" s="258" t="n"/>
      <c r="K306" s="233" t="n"/>
      <c r="L306" s="233" t="n">
        <v>10200</v>
      </c>
      <c r="M306" s="156" t="n"/>
      <c r="N306" s="156" t="n"/>
      <c r="O306" s="156" t="n"/>
    </row>
    <row r="307" ht="18.75" customHeight="1" s="153">
      <c r="A307" s="227" t="n"/>
      <c r="B307" s="228" t="inlineStr">
        <is>
          <t>FRAY M PEREZ 648</t>
        </is>
      </c>
      <c r="C307" s="229" t="n">
        <v>2</v>
      </c>
      <c r="D307" s="229" t="n"/>
      <c r="E307" s="229" t="n"/>
      <c r="F307" s="230" t="n"/>
      <c r="G307" s="230" t="n"/>
      <c r="H307" s="257" t="n">
        <v>54000</v>
      </c>
      <c r="I307" s="258" t="n">
        <v>54000</v>
      </c>
      <c r="J307" s="258" t="n"/>
      <c r="K307" s="233" t="n"/>
      <c r="L307" s="233" t="n">
        <v>22400</v>
      </c>
      <c r="M307" s="156" t="n"/>
      <c r="N307" s="156" t="n"/>
      <c r="O307" s="156" t="n"/>
    </row>
    <row r="308" ht="18.75" customHeight="1" s="153">
      <c r="A308" s="227" t="n"/>
      <c r="B308" s="228" t="inlineStr">
        <is>
          <t>BARRETO 9161</t>
        </is>
      </c>
      <c r="C308" s="229" t="n"/>
      <c r="D308" s="229" t="n"/>
      <c r="E308" s="229" t="n">
        <v>1</v>
      </c>
      <c r="F308" s="230" t="n"/>
      <c r="G308" s="230" t="n"/>
      <c r="H308" s="257" t="n">
        <v>91000</v>
      </c>
      <c r="I308" s="258" t="n">
        <v>91000</v>
      </c>
      <c r="J308" s="258" t="n"/>
      <c r="K308" s="233" t="n"/>
      <c r="L308" s="233" t="n">
        <v>29000</v>
      </c>
      <c r="M308" s="156" t="n"/>
      <c r="N308" s="156" t="n"/>
      <c r="O308" s="156" t="n"/>
    </row>
    <row r="309" ht="18.75" customHeight="1" s="153">
      <c r="A309" s="227" t="n"/>
      <c r="B309" s="228" t="inlineStr">
        <is>
          <t>FILOMENA</t>
        </is>
      </c>
      <c r="C309" s="229" t="n">
        <v>2</v>
      </c>
      <c r="D309" s="229" t="n"/>
      <c r="E309" s="229" t="n"/>
      <c r="F309" s="230" t="n"/>
      <c r="G309" s="230" t="n"/>
      <c r="H309" s="257" t="n">
        <v>49000</v>
      </c>
      <c r="I309" s="258" t="n"/>
      <c r="J309" s="258" t="n">
        <v>49000</v>
      </c>
      <c r="K309" s="233" t="n"/>
      <c r="L309" s="233" t="n">
        <v>17400</v>
      </c>
      <c r="M309" s="156" t="n"/>
      <c r="N309" s="156" t="n"/>
      <c r="O309" s="156" t="n"/>
    </row>
    <row r="310" ht="18.75" customHeight="1" s="153">
      <c r="A310" s="227" t="n"/>
      <c r="B310" s="228" t="inlineStr">
        <is>
          <t>TROPPO</t>
        </is>
      </c>
      <c r="C310" s="229" t="n">
        <v>4</v>
      </c>
      <c r="D310" s="229" t="n"/>
      <c r="E310" s="229" t="n"/>
      <c r="F310" s="230" t="n"/>
      <c r="G310" s="230" t="n"/>
      <c r="H310" s="257" t="n">
        <v>206000</v>
      </c>
      <c r="I310" s="258" t="n">
        <v>206000</v>
      </c>
      <c r="J310" s="258" t="n"/>
      <c r="K310" s="233" t="n">
        <v>33000</v>
      </c>
      <c r="L310" s="233" t="n">
        <v>77800</v>
      </c>
      <c r="M310" s="156" t="n"/>
      <c r="N310" s="156" t="n"/>
      <c r="O310" s="156" t="n"/>
    </row>
    <row r="311" ht="18.75" customHeight="1" s="153">
      <c r="A311" s="227" t="n"/>
      <c r="B311" s="228" t="inlineStr">
        <is>
          <t>SANTA BAR 1 MAYO 1959</t>
        </is>
      </c>
      <c r="C311" s="229" t="n"/>
      <c r="D311" s="229" t="n"/>
      <c r="E311" s="229" t="n">
        <v>1</v>
      </c>
      <c r="F311" s="230" t="n"/>
      <c r="G311" s="230" t="n"/>
      <c r="H311" s="257" t="n">
        <v>88000</v>
      </c>
      <c r="I311" s="258" t="n">
        <v>88000</v>
      </c>
      <c r="J311" s="258" t="n"/>
      <c r="K311" s="233" t="n"/>
      <c r="L311" s="233" t="n">
        <v>26000</v>
      </c>
      <c r="M311" s="156" t="n"/>
      <c r="N311" s="156" t="n"/>
      <c r="O311" s="156" t="n"/>
    </row>
    <row r="312" ht="18.75" customHeight="1" s="153">
      <c r="A312" s="227" t="n"/>
      <c r="B312" s="228" t="inlineStr">
        <is>
          <t>CAREN</t>
        </is>
      </c>
      <c r="C312" s="229" t="n"/>
      <c r="D312" s="229" t="n"/>
      <c r="E312" s="229" t="n">
        <v>1</v>
      </c>
      <c r="F312" s="230" t="n"/>
      <c r="G312" s="230" t="n"/>
      <c r="H312" s="257" t="n">
        <v>85000</v>
      </c>
      <c r="I312" s="258" t="n"/>
      <c r="J312" s="258" t="n">
        <v>85000</v>
      </c>
      <c r="K312" s="233" t="n"/>
      <c r="L312" s="233" t="n">
        <v>23000</v>
      </c>
      <c r="M312" s="156" t="n"/>
      <c r="N312" s="156" t="n"/>
      <c r="O312" s="156" t="n"/>
    </row>
    <row r="313" ht="18.75" customHeight="1" s="153">
      <c r="A313" s="227" t="n"/>
      <c r="B313" s="228" t="inlineStr">
        <is>
          <t>LA SALLE 3706</t>
        </is>
      </c>
      <c r="C313" s="229" t="n"/>
      <c r="D313" s="229" t="n"/>
      <c r="E313" s="229" t="n">
        <v>1</v>
      </c>
      <c r="F313" s="230" t="n"/>
      <c r="G313" s="230" t="n"/>
      <c r="H313" s="257" t="n">
        <v>91000</v>
      </c>
      <c r="I313" s="258" t="n"/>
      <c r="J313" s="258" t="n">
        <v>91000</v>
      </c>
      <c r="K313" s="233" t="n"/>
      <c r="L313" s="233" t="n">
        <v>29000</v>
      </c>
      <c r="M313" s="156" t="n"/>
      <c r="N313" s="156" t="n"/>
      <c r="O313" s="156" t="n"/>
    </row>
    <row r="314" ht="18.75" customHeight="1" s="153">
      <c r="A314" s="227" t="n"/>
      <c r="B314" s="228" t="inlineStr">
        <is>
          <t>JP LOPES 2322</t>
        </is>
      </c>
      <c r="C314" s="229" t="n">
        <v>1</v>
      </c>
      <c r="D314" s="229" t="n"/>
      <c r="E314" s="229" t="n"/>
      <c r="F314" s="230" t="n"/>
      <c r="G314" s="230" t="n"/>
      <c r="H314" s="257" t="n">
        <v>26000</v>
      </c>
      <c r="I314" s="258" t="n">
        <v>26000</v>
      </c>
      <c r="J314" s="258" t="n"/>
      <c r="K314" s="233" t="n"/>
      <c r="L314" s="233" t="n">
        <v>10200</v>
      </c>
      <c r="M314" s="156" t="n"/>
      <c r="N314" s="156" t="n"/>
      <c r="O314" s="156" t="n"/>
    </row>
    <row r="315" ht="18.75" customHeight="1" s="153">
      <c r="A315" s="227" t="n"/>
      <c r="B315" s="228" t="inlineStr">
        <is>
          <t>CANCHA RIVADAVIA 7200</t>
        </is>
      </c>
      <c r="C315" s="229" t="n">
        <v>1</v>
      </c>
      <c r="D315" s="229" t="n"/>
      <c r="E315" s="229" t="n"/>
      <c r="F315" s="230" t="n"/>
      <c r="G315" s="230" t="n"/>
      <c r="H315" s="257" t="n">
        <v>24500</v>
      </c>
      <c r="I315" s="258" t="n"/>
      <c r="J315" s="258" t="n">
        <v>24500</v>
      </c>
      <c r="K315" s="233" t="n"/>
      <c r="L315" s="233" t="n">
        <v>8700</v>
      </c>
      <c r="M315" s="156" t="n"/>
      <c r="N315" s="156" t="n"/>
      <c r="O315" s="156" t="n"/>
    </row>
    <row r="316" ht="18.75" customHeight="1" s="153">
      <c r="A316" s="227" t="n"/>
      <c r="B316" s="228" t="inlineStr">
        <is>
          <t>PAVON 2946</t>
        </is>
      </c>
      <c r="C316" s="229" t="n">
        <v>1</v>
      </c>
      <c r="D316" s="229" t="n"/>
      <c r="E316" s="229" t="n"/>
      <c r="F316" s="230" t="n"/>
      <c r="G316" s="230" t="n"/>
      <c r="H316" s="257" t="n">
        <v>26000</v>
      </c>
      <c r="I316" s="258" t="n">
        <v>26000</v>
      </c>
      <c r="J316" s="258" t="n"/>
      <c r="K316" s="233" t="n"/>
      <c r="L316" s="233" t="n">
        <v>10200</v>
      </c>
      <c r="M316" s="156" t="n"/>
      <c r="N316" s="156" t="n"/>
      <c r="O316" s="156" t="n"/>
    </row>
    <row r="317" ht="18.75" customHeight="1" s="153">
      <c r="A317" s="227" t="n"/>
      <c r="B317" s="228" t="inlineStr">
        <is>
          <t>OBISPO GELABERT 3622</t>
        </is>
      </c>
      <c r="C317" s="229" t="n">
        <v>1</v>
      </c>
      <c r="D317" s="229" t="n"/>
      <c r="E317" s="229" t="n"/>
      <c r="F317" s="230" t="n"/>
      <c r="G317" s="230" t="n"/>
      <c r="H317" s="257" t="n">
        <v>27000</v>
      </c>
      <c r="I317" s="258" t="n"/>
      <c r="J317" s="258" t="n">
        <v>27000</v>
      </c>
      <c r="K317" s="233" t="n"/>
      <c r="L317" s="233" t="n">
        <v>11200</v>
      </c>
      <c r="M317" s="156" t="n"/>
      <c r="N317" s="156" t="n"/>
      <c r="O317" s="156" t="n"/>
    </row>
    <row r="318" ht="18.75" customHeight="1" s="153">
      <c r="A318" s="227" t="n"/>
      <c r="B318" s="228" t="inlineStr">
        <is>
          <t>VICTOR CAPE</t>
        </is>
      </c>
      <c r="C318" s="229" t="n">
        <v>1</v>
      </c>
      <c r="D318" s="229" t="n"/>
      <c r="E318" s="229" t="n"/>
      <c r="F318" s="230" t="n"/>
      <c r="G318" s="230" t="n"/>
      <c r="H318" s="257" t="n">
        <v>27000</v>
      </c>
      <c r="I318" s="258" t="n"/>
      <c r="J318" s="258" t="n">
        <v>27000</v>
      </c>
      <c r="K318" s="233" t="n"/>
      <c r="L318" s="233" t="n">
        <v>11200</v>
      </c>
      <c r="M318" s="156" t="n"/>
      <c r="N318" s="156" t="n"/>
      <c r="O318" s="156" t="n"/>
    </row>
    <row r="319" ht="18.75" customHeight="1" s="153">
      <c r="A319" s="227" t="n"/>
      <c r="B319" s="228" t="inlineStr">
        <is>
          <t>GABOTO 7320</t>
        </is>
      </c>
      <c r="C319" s="229" t="n"/>
      <c r="D319" s="229" t="n"/>
      <c r="E319" s="229" t="n">
        <v>1</v>
      </c>
      <c r="F319" s="230" t="n"/>
      <c r="G319" s="230" t="n"/>
      <c r="H319" s="257" t="n">
        <v>91000</v>
      </c>
      <c r="I319" s="258" t="n"/>
      <c r="J319" s="258" t="n">
        <v>91000</v>
      </c>
      <c r="K319" s="233" t="n"/>
      <c r="L319" s="233" t="n">
        <v>29000</v>
      </c>
      <c r="M319" s="156" t="n"/>
      <c r="N319" s="156" t="n"/>
      <c r="O319" s="156" t="n"/>
    </row>
    <row r="320" ht="18.75" customHeight="1" s="153">
      <c r="A320" s="227" t="n"/>
      <c r="B320" s="228" t="inlineStr">
        <is>
          <t>TACUARI 5717</t>
        </is>
      </c>
      <c r="C320" s="229" t="n">
        <v>1</v>
      </c>
      <c r="D320" s="229" t="n"/>
      <c r="E320" s="229" t="n"/>
      <c r="F320" s="230" t="n"/>
      <c r="G320" s="230" t="n"/>
      <c r="H320" s="257" t="n">
        <v>27000</v>
      </c>
      <c r="I320" s="258" t="n"/>
      <c r="J320" s="258" t="n">
        <v>27000</v>
      </c>
      <c r="K320" s="233" t="n"/>
      <c r="L320" s="233" t="n">
        <v>11200</v>
      </c>
      <c r="M320" s="156" t="n"/>
      <c r="N320" s="156" t="n"/>
      <c r="O320" s="156" t="n"/>
    </row>
    <row r="321" ht="18.75" customHeight="1" s="153">
      <c r="A321" s="227" t="n"/>
      <c r="B321" s="228" t="inlineStr">
        <is>
          <t>I CRESPO 7370</t>
        </is>
      </c>
      <c r="C321" s="229" t="n">
        <v>1</v>
      </c>
      <c r="D321" s="229" t="n"/>
      <c r="E321" s="229" t="n"/>
      <c r="F321" s="230" t="n"/>
      <c r="G321" s="230" t="n"/>
      <c r="H321" s="257" t="n">
        <v>24000</v>
      </c>
      <c r="I321" s="258" t="n">
        <v>24000</v>
      </c>
      <c r="J321" s="258" t="n"/>
      <c r="K321" s="233" t="n"/>
      <c r="L321" s="233" t="n">
        <v>8200</v>
      </c>
      <c r="M321" s="156" t="n"/>
      <c r="N321" s="156" t="n"/>
      <c r="O321" s="156" t="n"/>
    </row>
    <row r="322" ht="18.75" customHeight="1" s="153">
      <c r="A322" s="227" t="n"/>
      <c r="B322" s="228" t="inlineStr">
        <is>
          <t>ROMERO 9331</t>
        </is>
      </c>
      <c r="C322" s="229" t="n"/>
      <c r="D322" s="229" t="n"/>
      <c r="E322" s="229" t="n">
        <v>1</v>
      </c>
      <c r="F322" s="230" t="n"/>
      <c r="G322" s="230" t="n"/>
      <c r="H322" s="257" t="n">
        <v>91000</v>
      </c>
      <c r="I322" s="258" t="n"/>
      <c r="J322" s="258" t="n">
        <v>91000</v>
      </c>
      <c r="K322" s="233" t="n"/>
      <c r="L322" s="233" t="n">
        <v>29000</v>
      </c>
      <c r="M322" s="156" t="n"/>
      <c r="N322" s="156" t="n"/>
      <c r="O322" s="156" t="n"/>
    </row>
    <row r="323" ht="18.75" customHeight="1" s="153">
      <c r="A323" s="227" t="n"/>
      <c r="B323" s="228" t="inlineStr">
        <is>
          <t>DANA</t>
        </is>
      </c>
      <c r="C323" s="229" t="n">
        <v>3</v>
      </c>
      <c r="D323" s="229" t="n"/>
      <c r="E323" s="229" t="n"/>
      <c r="F323" s="230" t="n"/>
      <c r="G323" s="230" t="n"/>
      <c r="H323" s="257" t="n">
        <v>60000</v>
      </c>
      <c r="I323" s="258" t="n">
        <v>60000</v>
      </c>
      <c r="J323" s="258" t="n"/>
      <c r="K323" s="233" t="n"/>
      <c r="L323" s="233" t="n">
        <v>12600</v>
      </c>
      <c r="M323" s="156" t="n"/>
      <c r="N323" s="156" t="n"/>
      <c r="O323" s="156" t="n"/>
    </row>
    <row r="324" ht="18.75" customHeight="1" s="153">
      <c r="A324" s="227" t="n"/>
      <c r="B324" s="228" t="inlineStr">
        <is>
          <t>MARIA AMIGA NONA</t>
        </is>
      </c>
      <c r="C324" s="229" t="n"/>
      <c r="D324" s="229" t="n">
        <v>1</v>
      </c>
      <c r="E324" s="229" t="n"/>
      <c r="F324" s="230" t="n"/>
      <c r="G324" s="230" t="n"/>
      <c r="H324" s="257" t="n">
        <v>39000</v>
      </c>
      <c r="I324" s="258" t="n">
        <v>39000</v>
      </c>
      <c r="J324" s="258" t="n"/>
      <c r="K324" s="233" t="n"/>
      <c r="L324" s="233" t="n">
        <v>15300</v>
      </c>
      <c r="M324" s="156" t="n"/>
      <c r="N324" s="156" t="n"/>
      <c r="O324" s="156" t="n"/>
    </row>
    <row r="325" ht="18.75" customHeight="1" s="153">
      <c r="A325" s="227" t="n">
        <v>46159</v>
      </c>
      <c r="B325" s="228" t="inlineStr">
        <is>
          <t>PUBLICO 2152</t>
        </is>
      </c>
      <c r="C325" s="229" t="n"/>
      <c r="D325" s="229" t="n"/>
      <c r="E325" s="229" t="n">
        <v>1</v>
      </c>
      <c r="F325" s="230" t="n"/>
      <c r="G325" s="230" t="n"/>
      <c r="H325" s="257" t="n">
        <v>91000</v>
      </c>
      <c r="I325" s="258" t="n"/>
      <c r="J325" s="258" t="n">
        <v>91000</v>
      </c>
      <c r="K325" s="233" t="n"/>
      <c r="L325" s="233" t="n">
        <v>29000</v>
      </c>
      <c r="M325" s="156" t="n"/>
      <c r="N325" s="156" t="n"/>
      <c r="O325" s="156" t="n"/>
    </row>
    <row r="326" ht="18.75" customHeight="1" s="153">
      <c r="A326" s="227" t="n"/>
      <c r="B326" s="228" t="inlineStr">
        <is>
          <t>9 DE JULIO 2105</t>
        </is>
      </c>
      <c r="C326" s="229" t="n">
        <v>1</v>
      </c>
      <c r="D326" s="229" t="n"/>
      <c r="E326" s="229" t="n"/>
      <c r="F326" s="230" t="n"/>
      <c r="G326" s="230" t="n"/>
      <c r="H326" s="257" t="n">
        <v>27000</v>
      </c>
      <c r="I326" s="258" t="n"/>
      <c r="J326" s="258" t="n">
        <v>27000</v>
      </c>
      <c r="K326" s="233" t="n"/>
      <c r="L326" s="233" t="n">
        <v>11200</v>
      </c>
      <c r="M326" s="156" t="n"/>
      <c r="N326" s="156" t="n"/>
      <c r="O326" s="156" t="n"/>
    </row>
    <row r="327" ht="18.75" customHeight="1" s="153">
      <c r="A327" s="227" t="n"/>
      <c r="B327" s="228" t="inlineStr">
        <is>
          <t>TROPPO</t>
        </is>
      </c>
      <c r="C327" s="229" t="n">
        <v>3</v>
      </c>
      <c r="D327" s="229" t="n"/>
      <c r="E327" s="229" t="n"/>
      <c r="F327" s="230" t="n"/>
      <c r="G327" s="230" t="n"/>
      <c r="H327" s="257" t="n">
        <v>81000</v>
      </c>
      <c r="I327" s="258" t="n">
        <v>81000</v>
      </c>
      <c r="J327" s="258" t="n"/>
      <c r="K327" s="233" t="n"/>
      <c r="L327" s="233" t="n">
        <v>33600</v>
      </c>
      <c r="M327" s="156" t="n"/>
      <c r="N327" s="156" t="n"/>
      <c r="O327" s="156" t="n"/>
    </row>
    <row r="328" ht="18.75" customHeight="1" s="153">
      <c r="A328" s="227" t="n"/>
      <c r="B328" s="228" t="inlineStr">
        <is>
          <t>LAVALLE 7100</t>
        </is>
      </c>
      <c r="C328" s="229" t="n">
        <v>1</v>
      </c>
      <c r="D328" s="229" t="n"/>
      <c r="E328" s="229" t="n"/>
      <c r="F328" s="230" t="n"/>
      <c r="G328" s="230" t="n"/>
      <c r="H328" s="257" t="n">
        <v>25000</v>
      </c>
      <c r="I328" s="258" t="n">
        <v>25000</v>
      </c>
      <c r="J328" s="258" t="n"/>
      <c r="K328" s="233" t="n"/>
      <c r="L328" s="233" t="n">
        <v>9200</v>
      </c>
      <c r="M328" s="156" t="n"/>
      <c r="N328" s="156" t="n"/>
      <c r="O328" s="156" t="n"/>
    </row>
    <row r="329" ht="18.75" customHeight="1" s="153">
      <c r="A329" s="227" t="n"/>
      <c r="B329" s="228" t="inlineStr">
        <is>
          <t>GORRITI 6742</t>
        </is>
      </c>
      <c r="C329" s="229" t="n">
        <v>1</v>
      </c>
      <c r="D329" s="229" t="n"/>
      <c r="E329" s="229" t="n"/>
      <c r="F329" s="230" t="n"/>
      <c r="G329" s="230" t="n"/>
      <c r="H329" s="257" t="n">
        <v>26500</v>
      </c>
      <c r="I329" s="258" t="n"/>
      <c r="J329" s="258" t="n">
        <v>26500</v>
      </c>
      <c r="K329" s="233" t="n"/>
      <c r="L329" s="233" t="n">
        <v>10700</v>
      </c>
      <c r="M329" s="156" t="n"/>
      <c r="N329" s="156" t="n"/>
      <c r="O329" s="156" t="n"/>
    </row>
    <row r="330" ht="18.75" customHeight="1" s="153">
      <c r="A330" s="227" t="n"/>
      <c r="B330" s="228" t="inlineStr">
        <is>
          <t>DAVID LEIVA Y ALBERTO</t>
        </is>
      </c>
      <c r="C330" s="229" t="n">
        <v>1</v>
      </c>
      <c r="D330" s="229" t="n"/>
      <c r="E330" s="229" t="n"/>
      <c r="F330" s="230" t="n"/>
      <c r="G330" s="230" t="n"/>
      <c r="H330" s="257" t="n">
        <v>25000</v>
      </c>
      <c r="I330" s="258" t="n">
        <v>25000</v>
      </c>
      <c r="J330" s="258" t="n"/>
      <c r="K330" s="233" t="n"/>
      <c r="L330" s="233" t="n">
        <v>9200</v>
      </c>
      <c r="M330" s="156" t="n"/>
      <c r="N330" s="156" t="n"/>
      <c r="O330" s="156" t="n"/>
    </row>
    <row r="331" ht="18.75" customHeight="1" s="153">
      <c r="A331" s="227" t="n"/>
      <c r="B331" s="228" t="inlineStr">
        <is>
          <t>SANDRA</t>
        </is>
      </c>
      <c r="C331" s="229" t="n">
        <v>2</v>
      </c>
      <c r="D331" s="229" t="n"/>
      <c r="E331" s="229" t="n"/>
      <c r="F331" s="230" t="n"/>
      <c r="G331" s="230" t="n"/>
      <c r="H331" s="257" t="n">
        <v>39000</v>
      </c>
      <c r="I331" s="258" t="n"/>
      <c r="J331" s="258" t="n">
        <v>39000</v>
      </c>
      <c r="K331" s="233" t="n"/>
      <c r="L331" s="233" t="n">
        <v>7400</v>
      </c>
      <c r="M331" s="156" t="n"/>
      <c r="N331" s="156" t="n"/>
      <c r="O331" s="156" t="n"/>
    </row>
    <row r="332" ht="18.75" customHeight="1" s="153">
      <c r="A332" s="227" t="n"/>
      <c r="B332" s="228" t="inlineStr">
        <is>
          <t>AZOPARDO 8395</t>
        </is>
      </c>
      <c r="C332" s="229" t="n"/>
      <c r="D332" s="229" t="n">
        <v>1</v>
      </c>
      <c r="E332" s="229" t="n"/>
      <c r="F332" s="230" t="n"/>
      <c r="G332" s="230" t="n"/>
      <c r="H332" s="257" t="n">
        <v>39500</v>
      </c>
      <c r="I332" s="258" t="n"/>
      <c r="J332" s="258" t="n">
        <v>39500</v>
      </c>
      <c r="K332" s="233" t="n"/>
      <c r="L332" s="233" t="n">
        <v>15800</v>
      </c>
      <c r="M332" s="156" t="n"/>
      <c r="N332" s="156" t="n"/>
      <c r="O332" s="156" t="n"/>
    </row>
    <row r="333" ht="18.75" customHeight="1" s="153">
      <c r="A333" s="227" t="n"/>
      <c r="B333" s="228" t="inlineStr">
        <is>
          <t>VENTA EN PUERTA</t>
        </is>
      </c>
      <c r="C333" s="229" t="n">
        <v>1</v>
      </c>
      <c r="D333" s="229" t="n"/>
      <c r="E333" s="229" t="n"/>
      <c r="F333" s="230" t="n"/>
      <c r="G333" s="230" t="n"/>
      <c r="H333" s="257" t="n">
        <v>22000</v>
      </c>
      <c r="I333" s="258" t="n"/>
      <c r="J333" s="258" t="n">
        <v>22000</v>
      </c>
      <c r="K333" s="233" t="n"/>
      <c r="L333" s="233" t="n">
        <v>6200</v>
      </c>
      <c r="M333" s="156" t="n"/>
      <c r="N333" s="156" t="n"/>
      <c r="O333" s="156" t="n"/>
    </row>
    <row r="334" ht="18.75" customHeight="1" s="153">
      <c r="A334" s="227" t="n"/>
      <c r="B334" s="228" t="inlineStr">
        <is>
          <t>BAR DEL SUR</t>
        </is>
      </c>
      <c r="C334" s="229" t="n">
        <v>1</v>
      </c>
      <c r="D334" s="229" t="n"/>
      <c r="E334" s="229" t="n"/>
      <c r="F334" s="230" t="n"/>
      <c r="G334" s="230" t="n"/>
      <c r="H334" s="257" t="n">
        <v>26000</v>
      </c>
      <c r="I334" s="258" t="n">
        <v>26000</v>
      </c>
      <c r="J334" s="258" t="n"/>
      <c r="K334" s="233" t="n"/>
      <c r="L334" s="233" t="n">
        <v>10200</v>
      </c>
      <c r="M334" s="156" t="n"/>
      <c r="N334" s="156" t="n"/>
      <c r="O334" s="156" t="n"/>
    </row>
    <row r="335" ht="18.75" customHeight="1" s="153">
      <c r="A335" s="227" t="n"/>
      <c r="B335" s="228" t="inlineStr">
        <is>
          <t>DOMINGO SILVA 4217</t>
        </is>
      </c>
      <c r="C335" s="229" t="n">
        <v>2</v>
      </c>
      <c r="D335" s="229" t="n"/>
      <c r="E335" s="229" t="n"/>
      <c r="F335" s="230" t="n"/>
      <c r="G335" s="230" t="n"/>
      <c r="H335" s="257" t="n">
        <v>40000</v>
      </c>
      <c r="I335" s="258" t="n"/>
      <c r="J335" s="258" t="n">
        <v>40000</v>
      </c>
      <c r="K335" s="233" t="n"/>
      <c r="L335" s="233" t="n">
        <v>8400</v>
      </c>
      <c r="M335" s="156" t="n"/>
      <c r="N335" s="156" t="n"/>
      <c r="O335" s="156" t="n"/>
    </row>
    <row r="336" ht="18.75" customHeight="1" s="153">
      <c r="A336" s="227" t="n"/>
      <c r="B336" s="228" t="inlineStr">
        <is>
          <t>GOLD BURGER</t>
        </is>
      </c>
      <c r="C336" s="229" t="n">
        <v>4</v>
      </c>
      <c r="D336" s="229" t="n"/>
      <c r="E336" s="229" t="n"/>
      <c r="F336" s="230" t="n"/>
      <c r="G336" s="230" t="n"/>
      <c r="H336" s="257" t="n">
        <v>108000</v>
      </c>
      <c r="I336" s="258" t="n">
        <v>108000</v>
      </c>
      <c r="J336" s="258" t="n"/>
      <c r="K336" s="233" t="n"/>
      <c r="L336" s="233" t="n">
        <v>44800</v>
      </c>
      <c r="M336" s="156" t="n"/>
      <c r="N336" s="156" t="n"/>
      <c r="O336" s="156" t="n"/>
    </row>
    <row r="337" ht="18.75" customHeight="1" s="153">
      <c r="A337" s="227" t="n"/>
      <c r="B337" s="228" t="inlineStr">
        <is>
          <t>CORRIENTES 3782</t>
        </is>
      </c>
      <c r="C337" s="229" t="n">
        <v>1</v>
      </c>
      <c r="D337" s="229" t="n"/>
      <c r="E337" s="229" t="n"/>
      <c r="F337" s="230" t="n"/>
      <c r="G337" s="230" t="n"/>
      <c r="H337" s="257" t="n">
        <v>27000</v>
      </c>
      <c r="I337" s="258" t="n">
        <v>27000</v>
      </c>
      <c r="J337" s="258" t="n"/>
      <c r="K337" s="233" t="n"/>
      <c r="L337" s="233" t="n">
        <v>11200</v>
      </c>
      <c r="M337" s="156" t="n"/>
      <c r="N337" s="156" t="n"/>
      <c r="O337" s="156" t="n"/>
    </row>
    <row r="338" ht="18.75" customHeight="1" s="153">
      <c r="A338" s="227" t="n"/>
      <c r="B338" s="228" t="inlineStr">
        <is>
          <t>BELGRANO 7944</t>
        </is>
      </c>
      <c r="C338" s="229" t="n">
        <v>1</v>
      </c>
      <c r="D338" s="229" t="n"/>
      <c r="E338" s="229" t="n"/>
      <c r="F338" s="230" t="n"/>
      <c r="G338" s="230" t="n"/>
      <c r="H338" s="257" t="n">
        <v>125000</v>
      </c>
      <c r="I338" s="258" t="n">
        <v>125000</v>
      </c>
      <c r="J338" s="258" t="n"/>
      <c r="K338" s="233" t="n">
        <v>34000</v>
      </c>
      <c r="L338" s="233" t="n">
        <v>44200</v>
      </c>
      <c r="M338" s="156" t="n"/>
      <c r="N338" s="156" t="n"/>
      <c r="O338" s="156" t="n"/>
    </row>
    <row r="339" ht="18.75" customHeight="1" s="153">
      <c r="A339" s="227" t="n"/>
      <c r="B339" s="228" t="inlineStr">
        <is>
          <t>GRIERSON 8369</t>
        </is>
      </c>
      <c r="C339" s="229" t="n"/>
      <c r="D339" s="229" t="n"/>
      <c r="E339" s="229" t="n">
        <v>1</v>
      </c>
      <c r="F339" s="230" t="n"/>
      <c r="G339" s="230" t="n"/>
      <c r="H339" s="257" t="n">
        <v>94000</v>
      </c>
      <c r="I339" s="258" t="n"/>
      <c r="J339" s="258" t="n">
        <v>94000</v>
      </c>
      <c r="K339" s="233" t="n"/>
      <c r="L339" s="233" t="n">
        <v>32000</v>
      </c>
      <c r="M339" s="156" t="n"/>
      <c r="N339" s="156" t="n"/>
      <c r="O339" s="156" t="n"/>
    </row>
    <row r="340" ht="18.75" customHeight="1" s="153">
      <c r="A340" s="227" t="n"/>
      <c r="B340" s="228" t="inlineStr">
        <is>
          <t>MONTIEL 9165</t>
        </is>
      </c>
      <c r="C340" s="229" t="n"/>
      <c r="D340" s="229" t="n"/>
      <c r="E340" s="229" t="n">
        <v>1</v>
      </c>
      <c r="F340" s="230" t="n"/>
      <c r="G340" s="230" t="n"/>
      <c r="H340" s="257" t="n">
        <v>91000</v>
      </c>
      <c r="I340" s="258" t="n">
        <v>91000</v>
      </c>
      <c r="J340" s="258" t="n"/>
      <c r="K340" s="233" t="n"/>
      <c r="L340" s="233" t="n">
        <v>29000</v>
      </c>
      <c r="M340" s="156" t="n"/>
      <c r="N340" s="156" t="n"/>
      <c r="O340" s="156" t="n"/>
    </row>
    <row r="341" ht="18.75" customHeight="1" s="153">
      <c r="A341" s="227" t="n"/>
      <c r="B341" s="228" t="inlineStr">
        <is>
          <t>PEDRO FERRE 3472</t>
        </is>
      </c>
      <c r="C341" s="229" t="n">
        <v>1</v>
      </c>
      <c r="D341" s="229" t="n"/>
      <c r="E341" s="229" t="n"/>
      <c r="F341" s="230" t="n"/>
      <c r="G341" s="230" t="n"/>
      <c r="H341" s="231" t="n">
        <v>26000</v>
      </c>
      <c r="I341" s="232" t="n">
        <v>26000</v>
      </c>
      <c r="J341" s="232" t="n"/>
      <c r="K341" s="233" t="n"/>
      <c r="L341" s="233" t="n">
        <v>10200</v>
      </c>
      <c r="M341" s="156" t="n"/>
      <c r="N341" s="156" t="n"/>
      <c r="O341" s="156" t="n"/>
    </row>
    <row r="342" ht="18.75" customHeight="1" s="153">
      <c r="A342" s="227" t="n">
        <v>46160</v>
      </c>
      <c r="B342" s="228" t="inlineStr">
        <is>
          <t>25 DE MAYO 2617</t>
        </is>
      </c>
      <c r="C342" s="229" t="n"/>
      <c r="D342" s="229" t="n">
        <v>1</v>
      </c>
      <c r="E342" s="229" t="n"/>
      <c r="F342" s="230" t="n"/>
      <c r="G342" s="230" t="n"/>
      <c r="H342" s="257" t="n">
        <v>41000</v>
      </c>
      <c r="I342" s="258" t="n"/>
      <c r="J342" s="258" t="n">
        <v>41000</v>
      </c>
      <c r="K342" s="233" t="n"/>
      <c r="L342" s="233" t="n">
        <v>17300</v>
      </c>
      <c r="M342" s="156" t="n"/>
      <c r="N342" s="156" t="n"/>
      <c r="O342" s="156" t="n"/>
    </row>
    <row r="343" ht="18.75" customHeight="1" s="153">
      <c r="A343" s="227" t="n"/>
      <c r="B343" s="228" t="inlineStr">
        <is>
          <t>TENIENTE LOZA 6053</t>
        </is>
      </c>
      <c r="C343" s="229" t="n"/>
      <c r="D343" s="229" t="n"/>
      <c r="E343" s="229" t="n">
        <v>1</v>
      </c>
      <c r="F343" s="230" t="n"/>
      <c r="G343" s="230" t="n"/>
      <c r="H343" s="257" t="n">
        <v>92000</v>
      </c>
      <c r="I343" s="258" t="n"/>
      <c r="J343" s="258" t="n">
        <v>92000</v>
      </c>
      <c r="K343" s="233" t="n"/>
      <c r="L343" s="233" t="n">
        <v>30000</v>
      </c>
      <c r="M343" s="156" t="n"/>
      <c r="N343" s="156" t="n"/>
      <c r="O343" s="156" t="n"/>
    </row>
    <row r="344" ht="18.75" customHeight="1" s="153">
      <c r="A344" s="227" t="n"/>
      <c r="B344" s="228" t="inlineStr">
        <is>
          <t>OTNIEL</t>
        </is>
      </c>
      <c r="C344" s="229" t="n"/>
      <c r="D344" s="229" t="n">
        <v>2</v>
      </c>
      <c r="E344" s="229" t="n"/>
      <c r="F344" s="230" t="n"/>
      <c r="G344" s="230" t="n"/>
      <c r="H344" s="257" t="n">
        <v>70000</v>
      </c>
      <c r="I344" s="258" t="n"/>
      <c r="J344" s="258" t="n">
        <v>70000</v>
      </c>
      <c r="K344" s="233" t="n"/>
      <c r="L344" s="233" t="n">
        <v>22600</v>
      </c>
      <c r="M344" s="156" t="n"/>
      <c r="N344" s="156" t="n"/>
      <c r="O344" s="156" t="n"/>
    </row>
    <row r="345" ht="18.75" customHeight="1" s="153">
      <c r="A345" s="227" t="n"/>
      <c r="B345" s="228" t="inlineStr">
        <is>
          <t>RÍO NEGRO 6570</t>
        </is>
      </c>
      <c r="C345" s="229" t="n"/>
      <c r="D345" s="229" t="n"/>
      <c r="E345" s="229" t="n">
        <v>1</v>
      </c>
      <c r="F345" s="230" t="n"/>
      <c r="G345" s="230" t="n"/>
      <c r="H345" s="257" t="n">
        <v>92000</v>
      </c>
      <c r="I345" s="258" t="n"/>
      <c r="J345" s="258" t="n">
        <v>92000</v>
      </c>
      <c r="K345" s="233" t="n"/>
      <c r="L345" s="233" t="n">
        <v>30000</v>
      </c>
      <c r="M345" s="156" t="n"/>
      <c r="N345" s="156" t="n"/>
      <c r="O345" s="156" t="n"/>
    </row>
    <row r="346" ht="18.75" customHeight="1" s="153">
      <c r="A346" s="227" t="n"/>
      <c r="B346" s="228" t="inlineStr">
        <is>
          <t>URQUIZA 9396</t>
        </is>
      </c>
      <c r="C346" s="229" t="n">
        <v>1</v>
      </c>
      <c r="D346" s="229" t="n"/>
      <c r="E346" s="229" t="n"/>
      <c r="F346" s="230" t="n"/>
      <c r="G346" s="230" t="n"/>
      <c r="H346" s="257" t="n">
        <v>128000</v>
      </c>
      <c r="I346" s="258" t="n">
        <v>128000</v>
      </c>
      <c r="J346" s="258" t="n"/>
      <c r="K346" s="233" t="n">
        <v>37000</v>
      </c>
      <c r="L346" s="233" t="n">
        <v>47200</v>
      </c>
      <c r="M346" s="156" t="n"/>
      <c r="N346" s="156" t="n"/>
      <c r="O346" s="156" t="n"/>
    </row>
    <row r="347" ht="18.75" customHeight="1" s="153">
      <c r="A347" s="227" t="n"/>
      <c r="B347" s="228" t="inlineStr">
        <is>
          <t>PEDRO CEBALLOS 8134</t>
        </is>
      </c>
      <c r="C347" s="229" t="n">
        <v>4</v>
      </c>
      <c r="D347" s="229" t="n"/>
      <c r="E347" s="229" t="n"/>
      <c r="F347" s="230" t="n"/>
      <c r="G347" s="230" t="n"/>
      <c r="H347" s="257" t="n">
        <v>76000</v>
      </c>
      <c r="I347" s="258" t="n"/>
      <c r="J347" s="258" t="n">
        <v>76000</v>
      </c>
      <c r="K347" s="233" t="n"/>
      <c r="L347" s="233" t="n">
        <v>12800</v>
      </c>
      <c r="M347" s="156" t="n"/>
      <c r="N347" s="156" t="n"/>
      <c r="O347" s="156" t="n"/>
    </row>
    <row r="348" ht="18.75" customHeight="1" s="153">
      <c r="A348" s="227" t="n"/>
      <c r="B348" s="228" t="inlineStr">
        <is>
          <t>IRMA</t>
        </is>
      </c>
      <c r="C348" s="229" t="n">
        <v>1</v>
      </c>
      <c r="D348" s="229" t="n"/>
      <c r="E348" s="229" t="n"/>
      <c r="F348" s="230" t="n"/>
      <c r="G348" s="230" t="n"/>
      <c r="H348" s="257" t="n">
        <v>27000</v>
      </c>
      <c r="I348" s="258" t="n">
        <v>27000</v>
      </c>
      <c r="J348" s="258" t="n"/>
      <c r="K348" s="233" t="n"/>
      <c r="L348" s="233" t="n">
        <v>11200</v>
      </c>
      <c r="M348" s="156" t="n"/>
      <c r="N348" s="156" t="n"/>
      <c r="O348" s="156" t="n"/>
    </row>
    <row r="349" ht="18.75" customHeight="1" s="153">
      <c r="A349" s="227" t="n"/>
      <c r="B349" s="228" t="inlineStr">
        <is>
          <t>AZCUENAGA 6100</t>
        </is>
      </c>
      <c r="C349" s="229" t="n">
        <v>1</v>
      </c>
      <c r="D349" s="229" t="n"/>
      <c r="E349" s="229" t="n"/>
      <c r="F349" s="230" t="n"/>
      <c r="G349" s="230" t="n"/>
      <c r="H349" s="257" t="n">
        <v>27000</v>
      </c>
      <c r="I349" s="258" t="n"/>
      <c r="J349" s="258" t="n">
        <v>27000</v>
      </c>
      <c r="K349" s="233" t="n"/>
      <c r="L349" s="233" t="n">
        <v>11200</v>
      </c>
      <c r="M349" s="156" t="n"/>
      <c r="N349" s="156" t="n"/>
      <c r="O349" s="156" t="n"/>
    </row>
    <row r="350" ht="18.75" customHeight="1" s="153">
      <c r="A350" s="227" t="n"/>
      <c r="B350" s="228" t="inlineStr">
        <is>
          <t>AZOPARDO ALICIA</t>
        </is>
      </c>
      <c r="C350" s="229" t="n">
        <v>1</v>
      </c>
      <c r="D350" s="229" t="n"/>
      <c r="E350" s="229" t="n"/>
      <c r="F350" s="230" t="n"/>
      <c r="G350" s="230" t="n"/>
      <c r="H350" s="257" t="n">
        <v>27500</v>
      </c>
      <c r="I350" s="258" t="n"/>
      <c r="J350" s="258" t="n">
        <v>27500</v>
      </c>
      <c r="K350" s="233" t="n"/>
      <c r="L350" s="233" t="n">
        <v>11700</v>
      </c>
      <c r="M350" s="156" t="n"/>
      <c r="N350" s="156" t="n"/>
      <c r="O350" s="156" t="n"/>
    </row>
    <row r="351" ht="18.75" customHeight="1" s="153">
      <c r="A351" s="227" t="n"/>
      <c r="B351" s="228" t="inlineStr">
        <is>
          <t>EUROPA 8762</t>
        </is>
      </c>
      <c r="C351" s="229" t="n">
        <v>1</v>
      </c>
      <c r="D351" s="229" t="n"/>
      <c r="E351" s="229" t="n"/>
      <c r="F351" s="230" t="n"/>
      <c r="G351" s="230" t="n"/>
      <c r="H351" s="257" t="n">
        <v>26000</v>
      </c>
      <c r="I351" s="258" t="n">
        <v>26000</v>
      </c>
      <c r="J351" s="258" t="n"/>
      <c r="K351" s="233" t="n"/>
      <c r="L351" s="233" t="n">
        <v>10200</v>
      </c>
      <c r="M351" s="156" t="n"/>
      <c r="N351" s="156" t="n"/>
      <c r="O351" s="156" t="n"/>
    </row>
    <row r="352" ht="18.75" customHeight="1" s="153">
      <c r="A352" s="227" t="n"/>
      <c r="B352" s="228" t="inlineStr">
        <is>
          <t>VIANDAS JORGE</t>
        </is>
      </c>
      <c r="C352" s="229" t="n">
        <v>1</v>
      </c>
      <c r="D352" s="229" t="n"/>
      <c r="E352" s="229" t="n"/>
      <c r="F352" s="230" t="n"/>
      <c r="G352" s="230" t="n"/>
      <c r="H352" s="257" t="n">
        <v>23000</v>
      </c>
      <c r="I352" s="258" t="n">
        <v>23000</v>
      </c>
      <c r="J352" s="258" t="n"/>
      <c r="K352" s="233" t="n"/>
      <c r="L352" s="233" t="n">
        <v>7200</v>
      </c>
      <c r="M352" s="156" t="n"/>
      <c r="N352" s="156" t="n"/>
      <c r="O352" s="156" t="n"/>
    </row>
    <row r="353" ht="18.75" customHeight="1" s="153">
      <c r="A353" s="227" t="n"/>
      <c r="B353" s="228" t="inlineStr">
        <is>
          <t>PORKIS</t>
        </is>
      </c>
      <c r="C353" s="229" t="n">
        <v>2</v>
      </c>
      <c r="D353" s="229" t="n"/>
      <c r="E353" s="229" t="n"/>
      <c r="F353" s="230" t="n"/>
      <c r="G353" s="230" t="n"/>
      <c r="H353" s="257" t="n">
        <v>48000</v>
      </c>
      <c r="I353" s="258" t="n">
        <v>48000</v>
      </c>
      <c r="J353" s="258" t="n"/>
      <c r="K353" s="233" t="n"/>
      <c r="L353" s="233" t="n">
        <v>16400</v>
      </c>
      <c r="M353" s="156" t="n"/>
      <c r="N353" s="156" t="n"/>
      <c r="O353" s="156" t="n"/>
    </row>
    <row r="354" ht="18.75" customHeight="1" s="153">
      <c r="A354" s="227" t="n"/>
      <c r="B354" s="228" t="inlineStr">
        <is>
          <t>SAN JOSÉ 1279</t>
        </is>
      </c>
      <c r="C354" s="229" t="n">
        <v>1</v>
      </c>
      <c r="D354" s="229" t="n"/>
      <c r="E354" s="229" t="n"/>
      <c r="F354" s="230" t="n"/>
      <c r="G354" s="230" t="n"/>
      <c r="H354" s="257" t="n">
        <v>26000</v>
      </c>
      <c r="I354" s="258" t="n">
        <v>26000</v>
      </c>
      <c r="J354" s="258" t="n"/>
      <c r="K354" s="233" t="n"/>
      <c r="L354" s="233" t="n">
        <v>10200</v>
      </c>
      <c r="M354" s="156" t="n"/>
      <c r="N354" s="156" t="n"/>
      <c r="O354" s="156" t="n"/>
    </row>
    <row r="355" ht="15.75" customHeight="1" s="153">
      <c r="A355" s="227" t="n"/>
      <c r="B355" s="228" t="inlineStr">
        <is>
          <t>AZOPARDO 10560</t>
        </is>
      </c>
      <c r="C355" s="229" t="n">
        <v>1</v>
      </c>
      <c r="D355" s="229" t="n"/>
      <c r="E355" s="229" t="n"/>
      <c r="F355" s="230" t="n"/>
      <c r="G355" s="230" t="n"/>
      <c r="H355" s="257" t="n">
        <v>26000</v>
      </c>
      <c r="I355" s="258" t="n">
        <v>26000</v>
      </c>
      <c r="J355" s="258" t="n"/>
      <c r="K355" s="233" t="n"/>
      <c r="L355" s="233" t="n">
        <v>10200</v>
      </c>
      <c r="M355" s="156" t="n"/>
      <c r="N355" s="156" t="n"/>
      <c r="O355" s="156" t="n"/>
    </row>
    <row r="356" ht="15.75" customHeight="1" s="153">
      <c r="A356" s="227" t="n"/>
      <c r="B356" s="228" t="inlineStr">
        <is>
          <t>SIR LAKI</t>
        </is>
      </c>
      <c r="C356" s="229" t="n">
        <v>1</v>
      </c>
      <c r="D356" s="229" t="n"/>
      <c r="E356" s="229" t="n"/>
      <c r="F356" s="230" t="n"/>
      <c r="G356" s="230" t="n"/>
      <c r="H356" s="257" t="n">
        <v>25000</v>
      </c>
      <c r="I356" s="258" t="n">
        <v>25000</v>
      </c>
      <c r="J356" s="258" t="n"/>
      <c r="K356" s="233" t="n"/>
      <c r="L356" s="233" t="n">
        <v>9200</v>
      </c>
      <c r="M356" s="156" t="n"/>
      <c r="N356" s="156" t="n"/>
      <c r="O356" s="156" t="n"/>
    </row>
    <row r="357" ht="15.75" customHeight="1" s="153">
      <c r="A357" s="227" t="n"/>
      <c r="B357" s="228" t="inlineStr">
        <is>
          <t>FILOMENA</t>
        </is>
      </c>
      <c r="C357" s="229" t="n">
        <v>1</v>
      </c>
      <c r="D357" s="229" t="n"/>
      <c r="E357" s="229" t="n"/>
      <c r="F357" s="230" t="n"/>
      <c r="G357" s="230" t="n"/>
      <c r="H357" s="257" t="n">
        <v>24500</v>
      </c>
      <c r="I357" s="258" t="n">
        <v>24500</v>
      </c>
      <c r="J357" s="258" t="n"/>
      <c r="K357" s="233" t="n"/>
      <c r="L357" s="233" t="n">
        <v>8700</v>
      </c>
      <c r="M357" s="156" t="n"/>
      <c r="N357" s="156" t="n"/>
      <c r="O357" s="156" t="n"/>
    </row>
    <row r="358" ht="15.75" customHeight="1" s="153">
      <c r="A358" s="227" t="n"/>
      <c r="B358" s="228" t="inlineStr">
        <is>
          <t>EL GATO NEGRO</t>
        </is>
      </c>
      <c r="C358" s="229" t="n">
        <v>1</v>
      </c>
      <c r="D358" s="229" t="n"/>
      <c r="E358" s="229" t="n"/>
      <c r="F358" s="230" t="n"/>
      <c r="G358" s="230" t="n"/>
      <c r="H358" s="257" t="n">
        <v>27000</v>
      </c>
      <c r="I358" s="258" t="n"/>
      <c r="J358" s="258" t="n">
        <v>27000</v>
      </c>
      <c r="K358" s="233" t="n"/>
      <c r="L358" s="233" t="n">
        <v>11200</v>
      </c>
      <c r="M358" s="156" t="n"/>
      <c r="N358" s="156" t="n"/>
      <c r="O358" s="156" t="n"/>
    </row>
    <row r="359" ht="15.75" customHeight="1" s="153">
      <c r="A359" s="227" t="n"/>
      <c r="B359" s="228" t="inlineStr">
        <is>
          <t>PANA ALBERTI</t>
        </is>
      </c>
      <c r="C359" s="229" t="n"/>
      <c r="D359" s="229" t="n"/>
      <c r="E359" s="229" t="n">
        <v>1</v>
      </c>
      <c r="F359" s="230" t="n"/>
      <c r="G359" s="230" t="n"/>
      <c r="H359" s="257" t="n">
        <v>84000</v>
      </c>
      <c r="I359" s="258" t="n">
        <v>84000</v>
      </c>
      <c r="J359" s="258" t="n"/>
      <c r="K359" s="233" t="n"/>
      <c r="L359" s="233" t="n">
        <v>22000</v>
      </c>
      <c r="M359" s="156" t="n"/>
      <c r="N359" s="156" t="n"/>
      <c r="O359" s="156" t="n"/>
    </row>
    <row r="360" ht="15.75" customHeight="1" s="153">
      <c r="A360" s="227" t="n"/>
      <c r="B360" s="228" t="inlineStr">
        <is>
          <t>SAN LORENZO 3626</t>
        </is>
      </c>
      <c r="C360" s="229" t="n">
        <v>1</v>
      </c>
      <c r="D360" s="229" t="n"/>
      <c r="E360" s="229" t="n"/>
      <c r="F360" s="230" t="n"/>
      <c r="G360" s="230" t="n"/>
      <c r="H360" s="257" t="n">
        <v>26000</v>
      </c>
      <c r="I360" s="258" t="n"/>
      <c r="J360" s="258" t="n">
        <v>26000</v>
      </c>
      <c r="K360" s="233" t="n"/>
      <c r="L360" s="233" t="n">
        <v>10200</v>
      </c>
      <c r="M360" s="156" t="n"/>
      <c r="N360" s="156" t="n"/>
      <c r="O360" s="156" t="n"/>
    </row>
    <row r="361" ht="15.75" customHeight="1" s="153">
      <c r="A361" s="227" t="n"/>
      <c r="B361" s="228" t="inlineStr">
        <is>
          <t>ZAVALA 1231</t>
        </is>
      </c>
      <c r="C361" s="229" t="n">
        <v>1</v>
      </c>
      <c r="D361" s="229" t="n"/>
      <c r="E361" s="229" t="n"/>
      <c r="F361" s="230" t="n"/>
      <c r="G361" s="230" t="n"/>
      <c r="H361" s="257" t="n">
        <v>27000</v>
      </c>
      <c r="I361" s="258" t="n"/>
      <c r="J361" s="258" t="n">
        <v>27000</v>
      </c>
      <c r="K361" s="233" t="n"/>
      <c r="L361" s="233" t="n">
        <v>11200</v>
      </c>
      <c r="M361" s="156" t="n"/>
      <c r="N361" s="156" t="n"/>
      <c r="O361" s="156" t="n"/>
    </row>
    <row r="362" ht="15.75" customHeight="1" s="153">
      <c r="A362" s="227" t="n"/>
      <c r="B362" s="228" t="inlineStr">
        <is>
          <t>ALMONACID 4248</t>
        </is>
      </c>
      <c r="C362" s="229" t="n">
        <v>1</v>
      </c>
      <c r="D362" s="229" t="n"/>
      <c r="E362" s="229" t="n"/>
      <c r="F362" s="230" t="n"/>
      <c r="G362" s="230" t="n"/>
      <c r="H362" s="257" t="n">
        <v>27000</v>
      </c>
      <c r="I362" s="258" t="n"/>
      <c r="J362" s="258" t="n">
        <v>27000</v>
      </c>
      <c r="K362" s="233" t="n"/>
      <c r="L362" s="233" t="n">
        <v>11200</v>
      </c>
      <c r="M362" s="156" t="n"/>
      <c r="N362" s="156" t="n"/>
      <c r="O362" s="156" t="n"/>
    </row>
    <row r="363" ht="15.75" customHeight="1" s="153">
      <c r="A363" s="227" t="n"/>
      <c r="B363" s="228" t="inlineStr">
        <is>
          <t>CHICLANA 8727</t>
        </is>
      </c>
      <c r="C363" s="229" t="n"/>
      <c r="D363" s="229" t="n"/>
      <c r="E363" s="229" t="n">
        <v>1</v>
      </c>
      <c r="F363" s="230" t="n"/>
      <c r="G363" s="230" t="n"/>
      <c r="H363" s="257" t="n">
        <v>94000</v>
      </c>
      <c r="I363" s="258" t="n"/>
      <c r="J363" s="258" t="n">
        <v>94000</v>
      </c>
      <c r="K363" s="233" t="n"/>
      <c r="L363" s="233" t="n">
        <v>32000</v>
      </c>
      <c r="M363" s="156" t="n"/>
      <c r="N363" s="156" t="n"/>
      <c r="O363" s="156" t="n"/>
    </row>
    <row r="364" ht="15.75" customHeight="1" s="153">
      <c r="A364" s="227" t="n"/>
      <c r="B364" s="228" t="inlineStr">
        <is>
          <t>ESMERALDA 2376</t>
        </is>
      </c>
      <c r="C364" s="229" t="n"/>
      <c r="D364" s="229" t="n"/>
      <c r="E364" s="229" t="n">
        <v>1</v>
      </c>
      <c r="F364" s="230" t="n"/>
      <c r="G364" s="230" t="n"/>
      <c r="H364" s="257" t="n">
        <v>91000</v>
      </c>
      <c r="I364" s="258" t="n"/>
      <c r="J364" s="258" t="n">
        <v>91000</v>
      </c>
      <c r="K364" s="233" t="n"/>
      <c r="L364" s="233" t="n">
        <v>29000</v>
      </c>
      <c r="M364" s="156" t="n"/>
      <c r="N364" s="156" t="n"/>
      <c r="O364" s="156" t="n"/>
    </row>
    <row r="365" ht="15.75" customHeight="1" s="153">
      <c r="A365" s="227" t="n">
        <v>46161</v>
      </c>
      <c r="B365" s="228" t="inlineStr">
        <is>
          <t>PAVÓN 6035</t>
        </is>
      </c>
      <c r="C365" s="229" t="n">
        <v>1</v>
      </c>
      <c r="D365" s="229" t="n"/>
      <c r="E365" s="229" t="n"/>
      <c r="F365" s="230" t="n"/>
      <c r="G365" s="230" t="n"/>
      <c r="H365" s="257" t="n">
        <v>125000</v>
      </c>
      <c r="I365" s="258" t="n">
        <v>125000</v>
      </c>
      <c r="J365" s="258" t="n"/>
      <c r="K365" s="233" t="n">
        <v>34000</v>
      </c>
      <c r="L365" s="233" t="n">
        <v>44200</v>
      </c>
      <c r="M365" s="156" t="n"/>
      <c r="N365" s="156" t="n"/>
      <c r="O365" s="156" t="n"/>
    </row>
    <row r="366" ht="15.75" customHeight="1" s="153">
      <c r="A366" s="227" t="n"/>
      <c r="B366" s="228" t="inlineStr">
        <is>
          <t>ECHEVERRÍA 6363</t>
        </is>
      </c>
      <c r="C366" s="229" t="n">
        <v>1</v>
      </c>
      <c r="D366" s="229" t="n"/>
      <c r="E366" s="229" t="n"/>
      <c r="F366" s="230" t="n"/>
      <c r="G366" s="230" t="n"/>
      <c r="H366" s="257" t="n">
        <v>26000</v>
      </c>
      <c r="I366" s="258" t="n"/>
      <c r="J366" s="258" t="n">
        <v>26000</v>
      </c>
      <c r="K366" s="233" t="n"/>
      <c r="L366" s="233" t="n">
        <v>10200</v>
      </c>
      <c r="M366" s="156" t="n"/>
      <c r="N366" s="156" t="n"/>
      <c r="O366" s="156" t="n"/>
    </row>
    <row r="367" ht="15.75" customHeight="1" s="153">
      <c r="A367" s="227" t="n"/>
      <c r="B367" s="228" t="inlineStr">
        <is>
          <t>MADAME CHEESE</t>
        </is>
      </c>
      <c r="C367" s="229" t="n"/>
      <c r="D367" s="229" t="n">
        <v>1</v>
      </c>
      <c r="E367" s="229" t="n"/>
      <c r="F367" s="230" t="n"/>
      <c r="G367" s="230" t="n"/>
      <c r="H367" s="257" t="n">
        <v>36000</v>
      </c>
      <c r="I367" s="258" t="n"/>
      <c r="J367" s="258" t="n">
        <v>36000</v>
      </c>
      <c r="K367" s="233" t="n"/>
      <c r="L367" s="233" t="n">
        <v>12300</v>
      </c>
      <c r="M367" s="156" t="n"/>
      <c r="N367" s="156" t="n"/>
      <c r="O367" s="156" t="n"/>
    </row>
    <row r="368" ht="15.75" customHeight="1" s="153">
      <c r="A368" s="227" t="n"/>
      <c r="B368" s="228" t="inlineStr">
        <is>
          <t>LOS PRIMOS</t>
        </is>
      </c>
      <c r="C368" s="229" t="n">
        <v>3</v>
      </c>
      <c r="D368" s="229" t="n"/>
      <c r="E368" s="229" t="n"/>
      <c r="F368" s="230" t="n"/>
      <c r="G368" s="230" t="n"/>
      <c r="H368" s="257" t="n">
        <v>81000</v>
      </c>
      <c r="I368" s="258" t="n">
        <v>81000</v>
      </c>
      <c r="J368" s="258" t="n"/>
      <c r="K368" s="233" t="n"/>
      <c r="L368" s="233" t="n">
        <v>33600</v>
      </c>
      <c r="M368" s="156" t="n"/>
      <c r="N368" s="156" t="n"/>
      <c r="O368" s="156" t="n"/>
    </row>
    <row r="369" ht="15.75" customHeight="1" s="153">
      <c r="A369" s="227" t="n"/>
      <c r="B369" s="228" t="inlineStr">
        <is>
          <t>IGNACIO CRESPO 7380</t>
        </is>
      </c>
      <c r="C369" s="229" t="n"/>
      <c r="D369" s="229" t="n">
        <v>1</v>
      </c>
      <c r="E369" s="229" t="n"/>
      <c r="F369" s="230" t="n"/>
      <c r="G369" s="230" t="n"/>
      <c r="H369" s="257" t="n">
        <v>39500</v>
      </c>
      <c r="I369" s="258" t="n"/>
      <c r="J369" s="258" t="n">
        <v>39500</v>
      </c>
      <c r="K369" s="233" t="n"/>
      <c r="L369" s="233" t="n">
        <v>15800</v>
      </c>
      <c r="M369" s="156" t="n"/>
      <c r="N369" s="156" t="n"/>
      <c r="O369" s="156" t="n"/>
    </row>
    <row r="370" ht="15.75" customHeight="1" s="153">
      <c r="A370" s="227" t="n"/>
      <c r="B370" s="228" t="inlineStr">
        <is>
          <t>DANA</t>
        </is>
      </c>
      <c r="C370" s="229" t="n">
        <v>3</v>
      </c>
      <c r="D370" s="229" t="n"/>
      <c r="E370" s="229" t="n"/>
      <c r="F370" s="230" t="n"/>
      <c r="G370" s="230" t="n"/>
      <c r="H370" s="257" t="n">
        <v>60000</v>
      </c>
      <c r="I370" s="258" t="n"/>
      <c r="J370" s="258" t="n">
        <v>60000</v>
      </c>
      <c r="K370" s="233" t="n"/>
      <c r="L370" s="233" t="n">
        <v>12600</v>
      </c>
      <c r="M370" s="156" t="n"/>
      <c r="N370" s="156" t="n"/>
      <c r="O370" s="156" t="n"/>
    </row>
    <row r="371" ht="15.75" customHeight="1" s="153">
      <c r="A371" s="227" t="n"/>
      <c r="B371" s="228" t="inlineStr">
        <is>
          <t>PANA VIEYTES GISELA</t>
        </is>
      </c>
      <c r="C371" s="229" t="n">
        <v>1</v>
      </c>
      <c r="D371" s="229" t="n"/>
      <c r="E371" s="229" t="n"/>
      <c r="F371" s="230" t="n"/>
      <c r="G371" s="230" t="n"/>
      <c r="H371" s="257" t="n">
        <v>24000</v>
      </c>
      <c r="I371" s="258" t="n"/>
      <c r="J371" s="258" t="n">
        <v>24000</v>
      </c>
      <c r="K371" s="233" t="n"/>
      <c r="L371" s="233" t="n">
        <v>8200</v>
      </c>
      <c r="M371" s="156" t="n"/>
      <c r="N371" s="156" t="n"/>
      <c r="O371" s="156" t="n"/>
    </row>
    <row r="372" ht="15.75" customHeight="1" s="153">
      <c r="A372" s="227" t="n"/>
      <c r="B372" s="228" t="inlineStr">
        <is>
          <t>PANA BERUTI 6400</t>
        </is>
      </c>
      <c r="C372" s="229" t="n"/>
      <c r="D372" s="229" t="n"/>
      <c r="E372" s="229" t="n">
        <v>1</v>
      </c>
      <c r="F372" s="230" t="n"/>
      <c r="G372" s="230" t="n"/>
      <c r="H372" s="257" t="n">
        <v>79000</v>
      </c>
      <c r="I372" s="258" t="n"/>
      <c r="J372" s="258" t="n">
        <v>79000</v>
      </c>
      <c r="K372" s="233" t="n"/>
      <c r="L372" s="233" t="n">
        <v>17000</v>
      </c>
      <c r="M372" s="156" t="n"/>
      <c r="N372" s="156" t="n"/>
      <c r="O372" s="156" t="n"/>
    </row>
    <row r="373" ht="15.75" customHeight="1" s="153">
      <c r="A373" s="227" t="n"/>
      <c r="B373" s="228" t="inlineStr">
        <is>
          <t>CASTELLI 5406</t>
        </is>
      </c>
      <c r="C373" s="229" t="n"/>
      <c r="D373" s="229" t="n">
        <v>1</v>
      </c>
      <c r="E373" s="229" t="n"/>
      <c r="F373" s="230" t="n"/>
      <c r="G373" s="230" t="n"/>
      <c r="H373" s="257" t="n">
        <v>40000</v>
      </c>
      <c r="I373" s="258" t="n">
        <v>40000</v>
      </c>
      <c r="J373" s="258" t="n"/>
      <c r="K373" s="233" t="n"/>
      <c r="L373" s="233" t="n">
        <v>16300</v>
      </c>
      <c r="M373" s="156" t="n"/>
      <c r="N373" s="156" t="n"/>
      <c r="O373" s="156" t="n"/>
    </row>
    <row r="374" ht="15.75" customHeight="1" s="153">
      <c r="A374" s="227" t="n"/>
      <c r="B374" s="228" t="inlineStr">
        <is>
          <t>LO DE NICO</t>
        </is>
      </c>
      <c r="C374" s="229" t="n">
        <v>2</v>
      </c>
      <c r="D374" s="229" t="n"/>
      <c r="E374" s="229" t="n"/>
      <c r="F374" s="230" t="n"/>
      <c r="G374" s="230" t="n"/>
      <c r="H374" s="257" t="n">
        <v>41000</v>
      </c>
      <c r="I374" s="258" t="n"/>
      <c r="J374" s="258" t="n">
        <v>41000</v>
      </c>
      <c r="K374" s="233" t="n"/>
      <c r="L374" s="233" t="n">
        <v>9400</v>
      </c>
      <c r="M374" s="156" t="n"/>
      <c r="N374" s="156" t="n"/>
      <c r="O374" s="156" t="n"/>
    </row>
    <row r="375" ht="15.75" customHeight="1" s="153">
      <c r="A375" s="227" t="n"/>
      <c r="B375" s="228" t="inlineStr">
        <is>
          <t>LARGUIA 7247</t>
        </is>
      </c>
      <c r="C375" s="229" t="n">
        <v>1</v>
      </c>
      <c r="D375" s="229" t="n"/>
      <c r="E375" s="229" t="n"/>
      <c r="F375" s="230" t="n"/>
      <c r="G375" s="230" t="n"/>
      <c r="H375" s="257" t="n">
        <v>27000</v>
      </c>
      <c r="I375" s="258" t="n"/>
      <c r="J375" s="258" t="n">
        <v>27000</v>
      </c>
      <c r="K375" s="233" t="n"/>
      <c r="L375" s="233" t="n">
        <v>11200</v>
      </c>
      <c r="M375" s="156" t="n"/>
      <c r="N375" s="156" t="n"/>
      <c r="O375" s="156" t="n"/>
    </row>
    <row r="376" ht="15.75" customHeight="1" s="153">
      <c r="A376" s="227" t="n"/>
      <c r="B376" s="228" t="inlineStr">
        <is>
          <t>SAN LORENZO 8166</t>
        </is>
      </c>
      <c r="C376" s="229" t="n">
        <v>1</v>
      </c>
      <c r="D376" s="229" t="n"/>
      <c r="E376" s="229" t="n"/>
      <c r="F376" s="230" t="n"/>
      <c r="G376" s="230" t="n"/>
      <c r="H376" s="257" t="n">
        <v>26000</v>
      </c>
      <c r="I376" s="258" t="n"/>
      <c r="J376" s="258" t="n">
        <v>26000</v>
      </c>
      <c r="K376" s="233" t="n"/>
      <c r="L376" s="233" t="n">
        <v>10200</v>
      </c>
      <c r="M376" s="156" t="n"/>
      <c r="N376" s="156" t="n"/>
      <c r="O376" s="156" t="n"/>
    </row>
    <row r="377" ht="15.75" customHeight="1" s="153">
      <c r="A377" s="227" t="n"/>
      <c r="B377" s="228" t="inlineStr">
        <is>
          <t>CHICLANA 6330</t>
        </is>
      </c>
      <c r="C377" s="229" t="n">
        <v>1</v>
      </c>
      <c r="D377" s="229" t="n"/>
      <c r="E377" s="229" t="n"/>
      <c r="F377" s="230" t="n"/>
      <c r="G377" s="230" t="n"/>
      <c r="H377" s="257" t="n">
        <v>26000</v>
      </c>
      <c r="I377" s="258" t="n"/>
      <c r="J377" s="258" t="n">
        <v>26000</v>
      </c>
      <c r="K377" s="233" t="n"/>
      <c r="L377" s="233" t="n">
        <v>10200</v>
      </c>
      <c r="M377" s="156" t="n"/>
      <c r="N377" s="156" t="n"/>
      <c r="O377" s="156" t="n"/>
    </row>
    <row r="378" ht="15.75" customHeight="1" s="153">
      <c r="A378" s="227" t="n"/>
      <c r="B378" s="228" t="inlineStr">
        <is>
          <t>12 DE INFANTERÍA 5210</t>
        </is>
      </c>
      <c r="C378" s="229" t="n">
        <v>1</v>
      </c>
      <c r="D378" s="229" t="n"/>
      <c r="E378" s="229" t="n"/>
      <c r="F378" s="230" t="n"/>
      <c r="G378" s="230" t="n"/>
      <c r="H378" s="257" t="n">
        <v>27000</v>
      </c>
      <c r="I378" s="258" t="n">
        <v>27000</v>
      </c>
      <c r="J378" s="258" t="n"/>
      <c r="K378" s="233" t="n"/>
      <c r="L378" s="233" t="n">
        <v>11200</v>
      </c>
      <c r="M378" s="156" t="n"/>
      <c r="N378" s="156" t="n"/>
      <c r="O378" s="156" t="n"/>
    </row>
    <row r="379" ht="15.75" customHeight="1" s="153">
      <c r="A379" s="227" t="n"/>
      <c r="B379" s="228" t="inlineStr">
        <is>
          <t>LOLI</t>
        </is>
      </c>
      <c r="C379" s="229" t="n"/>
      <c r="D379" s="229" t="n"/>
      <c r="E379" s="229" t="n">
        <v>1</v>
      </c>
      <c r="F379" s="230" t="n"/>
      <c r="G379" s="230" t="n"/>
      <c r="H379" s="257" t="n">
        <v>92000</v>
      </c>
      <c r="I379" s="258" t="n">
        <v>92000</v>
      </c>
      <c r="J379" s="258" t="n"/>
      <c r="K379" s="233" t="n"/>
      <c r="L379" s="233" t="n">
        <v>30000</v>
      </c>
      <c r="M379" s="156" t="n"/>
      <c r="N379" s="156" t="n"/>
      <c r="O379" s="156" t="n"/>
    </row>
    <row r="380" ht="15.75" customHeight="1" s="153">
      <c r="A380" s="227" t="n"/>
      <c r="B380" s="228" t="inlineStr">
        <is>
          <t>MONI ALBERTI</t>
        </is>
      </c>
      <c r="C380" s="229" t="n"/>
      <c r="D380" s="229" t="n"/>
      <c r="E380" s="229" t="n">
        <v>1</v>
      </c>
      <c r="F380" s="230" t="n"/>
      <c r="G380" s="230" t="n"/>
      <c r="H380" s="257" t="n">
        <v>88000</v>
      </c>
      <c r="I380" s="258" t="n"/>
      <c r="J380" s="258" t="n">
        <v>88000</v>
      </c>
      <c r="K380" s="233" t="n"/>
      <c r="L380" s="233" t="n">
        <v>26000</v>
      </c>
      <c r="M380" s="156" t="n"/>
      <c r="N380" s="156" t="n"/>
      <c r="O380" s="156" t="n"/>
    </row>
    <row r="381" ht="15.75" customHeight="1" s="153">
      <c r="A381" s="227" t="n"/>
      <c r="B381" s="228" t="inlineStr">
        <is>
          <t>FLORENCIO FERNÁNDEZ 6195</t>
        </is>
      </c>
      <c r="C381" s="229" t="n">
        <v>5</v>
      </c>
      <c r="D381" s="229" t="n">
        <v>1</v>
      </c>
      <c r="E381" s="229" t="n"/>
      <c r="F381" s="230" t="n"/>
      <c r="G381" s="230" t="n"/>
      <c r="H381" s="257" t="n">
        <v>126000</v>
      </c>
      <c r="I381" s="258" t="n"/>
      <c r="J381" s="258" t="n">
        <v>126000</v>
      </c>
      <c r="K381" s="233" t="n"/>
      <c r="L381" s="233" t="n">
        <v>23300</v>
      </c>
      <c r="M381" s="156" t="n"/>
      <c r="N381" s="156" t="n"/>
      <c r="O381" s="156" t="n"/>
    </row>
    <row r="382" ht="15.75" customHeight="1" s="153">
      <c r="A382" s="227" t="n"/>
      <c r="B382" s="228" t="inlineStr">
        <is>
          <t>PANA GENESIO</t>
        </is>
      </c>
      <c r="C382" s="229" t="n"/>
      <c r="D382" s="229" t="n"/>
      <c r="E382" s="229" t="n">
        <v>1</v>
      </c>
      <c r="F382" s="230" t="n"/>
      <c r="G382" s="230" t="n"/>
      <c r="H382" s="257" t="n">
        <v>79000</v>
      </c>
      <c r="I382" s="258" t="n">
        <v>79000</v>
      </c>
      <c r="J382" s="258" t="n"/>
      <c r="K382" s="233" t="n"/>
      <c r="L382" s="233" t="n">
        <v>17000</v>
      </c>
      <c r="M382" s="156" t="n"/>
      <c r="N382" s="156" t="n"/>
      <c r="O382" s="156" t="n"/>
    </row>
    <row r="383" ht="15.75" customHeight="1" s="153">
      <c r="A383" s="227" t="n"/>
      <c r="B383" s="228" t="inlineStr">
        <is>
          <t>PANA VIEYTES 4500</t>
        </is>
      </c>
      <c r="C383" s="229" t="n"/>
      <c r="D383" s="229" t="n"/>
      <c r="E383" s="229" t="n">
        <v>1</v>
      </c>
      <c r="F383" s="230" t="n"/>
      <c r="G383" s="230" t="n"/>
      <c r="H383" s="257" t="n">
        <v>81000</v>
      </c>
      <c r="I383" s="258" t="n"/>
      <c r="J383" s="258" t="n">
        <v>81000</v>
      </c>
      <c r="K383" s="233" t="n"/>
      <c r="L383" s="233" t="n">
        <v>19000</v>
      </c>
      <c r="M383" s="156" t="n"/>
      <c r="N383" s="156" t="n"/>
      <c r="O383" s="156" t="n"/>
    </row>
    <row r="384" ht="15.75" customHeight="1" s="153">
      <c r="A384" s="227" t="n"/>
      <c r="B384" s="228" t="inlineStr">
        <is>
          <t>LUCHO</t>
        </is>
      </c>
      <c r="C384" s="229" t="n">
        <v>1</v>
      </c>
      <c r="D384" s="229" t="n"/>
      <c r="E384" s="229" t="n"/>
      <c r="F384" s="230" t="n"/>
      <c r="G384" s="230" t="n"/>
      <c r="H384" s="257" t="n">
        <v>20000</v>
      </c>
      <c r="I384" s="258" t="n">
        <v>20000</v>
      </c>
      <c r="J384" s="258" t="n"/>
      <c r="K384" s="233" t="n"/>
      <c r="L384" s="233" t="n">
        <v>4200</v>
      </c>
      <c r="M384" s="156" t="n"/>
      <c r="N384" s="156" t="n"/>
      <c r="O384" s="156" t="n"/>
    </row>
    <row r="385" ht="15.75" customHeight="1" s="153">
      <c r="A385" s="227" t="n"/>
      <c r="B385" s="228" t="inlineStr">
        <is>
          <t>IL GATO</t>
        </is>
      </c>
      <c r="C385" s="229" t="n"/>
      <c r="D385" s="229" t="n"/>
      <c r="E385" s="229" t="n">
        <v>1</v>
      </c>
      <c r="F385" s="230" t="n"/>
      <c r="G385" s="230" t="n"/>
      <c r="H385" s="257" t="n">
        <v>92000</v>
      </c>
      <c r="I385" s="258" t="n"/>
      <c r="J385" s="258" t="n">
        <v>92000</v>
      </c>
      <c r="K385" s="233" t="n"/>
      <c r="L385" s="233" t="n">
        <v>30000</v>
      </c>
      <c r="M385" s="156" t="n"/>
      <c r="N385" s="156" t="n"/>
      <c r="O385" s="156" t="n"/>
    </row>
    <row r="386" ht="15.75" customHeight="1" s="153">
      <c r="A386" s="227" t="n"/>
      <c r="B386" s="228" t="inlineStr">
        <is>
          <t>9 DE JULIO 1356</t>
        </is>
      </c>
      <c r="C386" s="229" t="n"/>
      <c r="D386" s="229" t="n">
        <v>1</v>
      </c>
      <c r="E386" s="229" t="n"/>
      <c r="F386" s="230" t="n"/>
      <c r="G386" s="230" t="n"/>
      <c r="H386" s="257" t="n">
        <v>39500</v>
      </c>
      <c r="I386" s="258" t="n"/>
      <c r="J386" s="258" t="n">
        <v>39500</v>
      </c>
      <c r="K386" s="233" t="n"/>
      <c r="L386" s="233" t="n">
        <v>15800</v>
      </c>
      <c r="M386" s="156" t="n"/>
      <c r="N386" s="156" t="n"/>
      <c r="O386" s="156" t="n"/>
    </row>
    <row r="387" ht="15.75" customHeight="1" s="153">
      <c r="A387" s="227" t="n"/>
      <c r="B387" s="228" t="inlineStr">
        <is>
          <t>ROTI ISTANBUL</t>
        </is>
      </c>
      <c r="C387" s="229" t="n"/>
      <c r="D387" s="229" t="n">
        <v>1</v>
      </c>
      <c r="E387" s="229" t="n"/>
      <c r="F387" s="230" t="n"/>
      <c r="G387" s="230" t="n"/>
      <c r="H387" s="257" t="n">
        <v>36000</v>
      </c>
      <c r="I387" s="258" t="n"/>
      <c r="J387" s="258" t="n">
        <v>36000</v>
      </c>
      <c r="K387" s="233" t="n"/>
      <c r="L387" s="233" t="n">
        <v>12300</v>
      </c>
      <c r="M387" s="156" t="n"/>
      <c r="N387" s="156" t="n"/>
      <c r="O387" s="156" t="n"/>
    </row>
    <row r="388" ht="15.75" customHeight="1" s="153">
      <c r="A388" s="227" t="n"/>
      <c r="B388" s="228" t="inlineStr">
        <is>
          <t>FUNES Y SARMIENTO</t>
        </is>
      </c>
      <c r="C388" s="229" t="n">
        <v>1</v>
      </c>
      <c r="D388" s="229" t="n"/>
      <c r="E388" s="229" t="n"/>
      <c r="F388" s="230" t="n"/>
      <c r="G388" s="230" t="n"/>
      <c r="H388" s="257" t="n">
        <v>26500</v>
      </c>
      <c r="I388" s="258" t="n">
        <v>26500</v>
      </c>
      <c r="J388" s="258" t="n"/>
      <c r="K388" s="233" t="n"/>
      <c r="L388" s="233" t="n">
        <v>10700</v>
      </c>
      <c r="M388" s="156" t="n"/>
      <c r="N388" s="156" t="n"/>
      <c r="O388" s="156" t="n"/>
    </row>
    <row r="389" ht="15.75" customHeight="1" s="153">
      <c r="A389" s="227" t="n"/>
      <c r="B389" s="228" t="inlineStr">
        <is>
          <t>ASCUÉNAGA 5023</t>
        </is>
      </c>
      <c r="C389" s="229" t="n">
        <v>5</v>
      </c>
      <c r="D389" s="229" t="n"/>
      <c r="E389" s="229" t="n"/>
      <c r="F389" s="230" t="n"/>
      <c r="G389" s="230" t="n"/>
      <c r="H389" s="257" t="n">
        <v>100000</v>
      </c>
      <c r="I389" s="258" t="n">
        <v>100000</v>
      </c>
      <c r="J389" s="258" t="n"/>
      <c r="K389" s="233" t="n"/>
      <c r="L389" s="233" t="n">
        <v>21000</v>
      </c>
      <c r="M389" s="156" t="n"/>
      <c r="N389" s="156" t="n"/>
      <c r="O389" s="156" t="n"/>
    </row>
    <row r="390" ht="15.75" customHeight="1" s="153">
      <c r="A390" s="227" t="n"/>
      <c r="B390" s="228" t="inlineStr">
        <is>
          <t>ENTRE RÍOS 3350</t>
        </is>
      </c>
      <c r="C390" s="229" t="n">
        <v>1</v>
      </c>
      <c r="D390" s="229" t="n"/>
      <c r="E390" s="229" t="n"/>
      <c r="F390" s="230" t="n"/>
      <c r="G390" s="230" t="n"/>
      <c r="H390" s="257" t="n">
        <v>26000</v>
      </c>
      <c r="I390" s="258" t="n">
        <v>26000</v>
      </c>
      <c r="J390" s="258" t="n"/>
      <c r="K390" s="233" t="n"/>
      <c r="L390" s="233" t="n">
        <v>10200</v>
      </c>
      <c r="M390" s="156" t="n"/>
      <c r="N390" s="156" t="n"/>
      <c r="O390" s="156" t="n"/>
    </row>
    <row r="391" ht="15.75" customHeight="1" s="153">
      <c r="A391" s="227" t="n"/>
      <c r="B391" s="228" t="inlineStr">
        <is>
          <t>FACUNDO ZUVIRIA 10235</t>
        </is>
      </c>
      <c r="C391" s="229" t="n">
        <v>1</v>
      </c>
      <c r="D391" s="229" t="n"/>
      <c r="E391" s="229" t="n"/>
      <c r="F391" s="230" t="n"/>
      <c r="G391" s="230" t="n"/>
      <c r="H391" s="257" t="n">
        <v>27000</v>
      </c>
      <c r="I391" s="258" t="n"/>
      <c r="J391" s="258" t="n">
        <v>27000</v>
      </c>
      <c r="K391" s="233" t="n"/>
      <c r="L391" s="233" t="n">
        <v>11200</v>
      </c>
      <c r="M391" s="156" t="n"/>
      <c r="N391" s="156" t="n"/>
      <c r="O391" s="156" t="n"/>
    </row>
    <row r="392" ht="15.75" customHeight="1" s="153">
      <c r="A392" s="227" t="n">
        <v>46162</v>
      </c>
      <c r="B392" s="228" t="inlineStr">
        <is>
          <t>TROPPO</t>
        </is>
      </c>
      <c r="C392" s="229" t="n">
        <v>8</v>
      </c>
      <c r="D392" s="229" t="n"/>
      <c r="E392" s="229" t="n"/>
      <c r="F392" s="230" t="n"/>
      <c r="G392" s="230" t="n"/>
      <c r="H392" s="257" t="n">
        <v>522000</v>
      </c>
      <c r="I392" s="258" t="n"/>
      <c r="J392" s="258" t="n">
        <v>522000</v>
      </c>
      <c r="K392" s="233" t="n">
        <v>111000</v>
      </c>
      <c r="L392" s="233" t="n">
        <v>200600</v>
      </c>
      <c r="M392" s="156" t="n"/>
      <c r="N392" s="156" t="n"/>
      <c r="O392" s="156" t="n"/>
    </row>
    <row r="393" ht="15.75" customHeight="1" s="153">
      <c r="A393" s="227" t="n"/>
      <c r="B393" s="228" t="inlineStr">
        <is>
          <t>FILOMENA</t>
        </is>
      </c>
      <c r="C393" s="229" t="n">
        <v>2</v>
      </c>
      <c r="D393" s="229" t="n"/>
      <c r="E393" s="229" t="n"/>
      <c r="F393" s="230" t="n"/>
      <c r="G393" s="230" t="n"/>
      <c r="H393" s="257" t="n">
        <v>49000</v>
      </c>
      <c r="I393" s="258" t="n"/>
      <c r="J393" s="258" t="n">
        <v>49000</v>
      </c>
      <c r="K393" s="233" t="n"/>
      <c r="L393" s="233" t="n">
        <v>17400</v>
      </c>
      <c r="M393" s="156" t="n"/>
      <c r="N393" s="156" t="n"/>
      <c r="O393" s="156" t="n"/>
    </row>
    <row r="394" ht="15.75" customHeight="1" s="153">
      <c r="A394" s="227" t="n"/>
      <c r="B394" s="228" t="inlineStr">
        <is>
          <t>MARTÍN TATU</t>
        </is>
      </c>
      <c r="C394" s="229" t="n"/>
      <c r="D394" s="229" t="n"/>
      <c r="E394" s="229" t="n">
        <v>1</v>
      </c>
      <c r="F394" s="230" t="n"/>
      <c r="G394" s="230" t="n"/>
      <c r="H394" s="257" t="n">
        <v>95000</v>
      </c>
      <c r="I394" s="258" t="n"/>
      <c r="J394" s="258" t="n">
        <v>95000</v>
      </c>
      <c r="K394" s="233" t="n"/>
      <c r="L394" s="233" t="n">
        <v>33000</v>
      </c>
      <c r="M394" s="156" t="n"/>
      <c r="N394" s="156" t="n"/>
      <c r="O394" s="156" t="n"/>
    </row>
    <row r="395" ht="15.75" customHeight="1" s="153">
      <c r="A395" s="227" t="n"/>
      <c r="B395" s="228" t="inlineStr">
        <is>
          <t>PAVON 3941</t>
        </is>
      </c>
      <c r="C395" s="229" t="n">
        <v>1</v>
      </c>
      <c r="D395" s="229" t="n"/>
      <c r="E395" s="229" t="n"/>
      <c r="F395" s="230" t="n"/>
      <c r="G395" s="230" t="n"/>
      <c r="H395" s="257" t="n">
        <v>26000</v>
      </c>
      <c r="I395" s="258" t="n">
        <v>26000</v>
      </c>
      <c r="J395" s="258" t="n"/>
      <c r="K395" s="233" t="n"/>
      <c r="L395" s="233" t="n">
        <v>10200</v>
      </c>
      <c r="M395" s="156" t="n"/>
      <c r="N395" s="156" t="n"/>
      <c r="O395" s="156" t="n"/>
    </row>
    <row r="396" ht="15.75" customHeight="1" s="153">
      <c r="A396" s="227" t="n"/>
      <c r="B396" s="228" t="inlineStr">
        <is>
          <t>LUCHO</t>
        </is>
      </c>
      <c r="C396" s="229" t="n">
        <v>2</v>
      </c>
      <c r="D396" s="229" t="n"/>
      <c r="E396" s="229" t="n"/>
      <c r="F396" s="230" t="n"/>
      <c r="G396" s="230" t="n">
        <v>1</v>
      </c>
      <c r="H396" s="257" t="n">
        <v>46000</v>
      </c>
      <c r="I396" s="258" t="n">
        <v>46000</v>
      </c>
      <c r="J396" s="258" t="n"/>
      <c r="K396" s="233" t="n"/>
      <c r="L396" s="233" t="n">
        <v>13480</v>
      </c>
      <c r="M396" s="156" t="n"/>
      <c r="N396" s="156" t="n"/>
      <c r="O396" s="156" t="n"/>
    </row>
    <row r="397" ht="15.75" customHeight="1" s="153">
      <c r="A397" s="227" t="n"/>
      <c r="B397" s="228" t="inlineStr">
        <is>
          <t>PAVON 3320</t>
        </is>
      </c>
      <c r="C397" s="229" t="n">
        <v>1</v>
      </c>
      <c r="D397" s="229" t="n"/>
      <c r="E397" s="229" t="n"/>
      <c r="F397" s="230" t="n"/>
      <c r="G397" s="230" t="n"/>
      <c r="H397" s="257" t="n">
        <v>128000</v>
      </c>
      <c r="I397" s="258" t="n"/>
      <c r="J397" s="258" t="n">
        <v>128000</v>
      </c>
      <c r="K397" s="233" t="n">
        <v>37000</v>
      </c>
      <c r="L397" s="233" t="n">
        <v>47200</v>
      </c>
      <c r="M397" s="156" t="n"/>
      <c r="N397" s="156" t="n"/>
      <c r="O397" s="156" t="n"/>
    </row>
    <row r="398" ht="15.75" customHeight="1" s="153">
      <c r="A398" s="227" t="n"/>
      <c r="B398" s="228" t="inlineStr">
        <is>
          <t>SANDRA</t>
        </is>
      </c>
      <c r="C398" s="229" t="n">
        <v>1</v>
      </c>
      <c r="D398" s="229" t="n"/>
      <c r="E398" s="229" t="n"/>
      <c r="F398" s="230" t="n"/>
      <c r="G398" s="230" t="n"/>
      <c r="H398" s="257" t="n">
        <v>19500</v>
      </c>
      <c r="I398" s="258" t="n"/>
      <c r="J398" s="258" t="n">
        <v>19500</v>
      </c>
      <c r="K398" s="233" t="n"/>
      <c r="L398" s="233" t="n">
        <v>3700</v>
      </c>
      <c r="M398" s="156" t="n"/>
      <c r="N398" s="156" t="n"/>
      <c r="O398" s="156" t="n"/>
    </row>
    <row r="399" ht="15.75" customHeight="1" s="153">
      <c r="A399" s="227" t="n"/>
      <c r="B399" s="228" t="inlineStr">
        <is>
          <t>PARAGUAY 5234</t>
        </is>
      </c>
      <c r="C399" s="229" t="n"/>
      <c r="D399" s="229" t="n"/>
      <c r="E399" s="229" t="n">
        <v>1</v>
      </c>
      <c r="F399" s="230" t="n"/>
      <c r="G399" s="230" t="n"/>
      <c r="H399" s="257" t="n">
        <v>90000</v>
      </c>
      <c r="I399" s="258" t="n"/>
      <c r="J399" s="258" t="n">
        <v>90000</v>
      </c>
      <c r="K399" s="233" t="n"/>
      <c r="L399" s="233" t="n">
        <v>28000</v>
      </c>
      <c r="M399" s="156" t="n"/>
      <c r="N399" s="156" t="n"/>
      <c r="O399" s="156" t="n"/>
    </row>
    <row r="400" ht="15.75" customHeight="1" s="153">
      <c r="A400" s="227" t="n"/>
      <c r="B400" s="228" t="inlineStr">
        <is>
          <t>CHICLANA 7325</t>
        </is>
      </c>
      <c r="C400" s="229" t="n">
        <v>1</v>
      </c>
      <c r="D400" s="229" t="n"/>
      <c r="E400" s="229" t="n"/>
      <c r="F400" s="230" t="n"/>
      <c r="G400" s="230" t="n"/>
      <c r="H400" s="257" t="n">
        <v>20000</v>
      </c>
      <c r="I400" s="258" t="n"/>
      <c r="J400" s="258" t="n">
        <v>20000</v>
      </c>
      <c r="K400" s="233" t="n"/>
      <c r="L400" s="233" t="n">
        <v>4200</v>
      </c>
      <c r="M400" s="156" t="n"/>
    </row>
    <row r="401" ht="15.75" customHeight="1" s="153">
      <c r="A401" s="227" t="n"/>
      <c r="B401" s="228" t="inlineStr">
        <is>
          <t>LAVADERO</t>
        </is>
      </c>
      <c r="C401" s="229" t="n"/>
      <c r="D401" s="229" t="n">
        <v>1</v>
      </c>
      <c r="E401" s="229" t="n"/>
      <c r="F401" s="230" t="n"/>
      <c r="G401" s="230" t="n"/>
      <c r="H401" s="257" t="n">
        <v>28500</v>
      </c>
      <c r="I401" s="258" t="n"/>
      <c r="J401" s="258" t="n">
        <v>28500</v>
      </c>
      <c r="K401" s="233" t="n"/>
      <c r="L401" s="233" t="n">
        <v>4800</v>
      </c>
      <c r="M401" s="156" t="n"/>
    </row>
    <row r="402" ht="15.75" customHeight="1" s="153">
      <c r="A402" s="227" t="n"/>
      <c r="B402" s="228" t="inlineStr">
        <is>
          <t>GÜEMES 4421</t>
        </is>
      </c>
      <c r="C402" s="229" t="n">
        <v>1</v>
      </c>
      <c r="D402" s="229" t="n"/>
      <c r="E402" s="229" t="n"/>
      <c r="F402" s="230" t="n"/>
      <c r="G402" s="230" t="n"/>
      <c r="H402" s="257" t="n">
        <v>28500</v>
      </c>
      <c r="I402" s="258" t="n"/>
      <c r="J402" s="258" t="n">
        <v>28500</v>
      </c>
      <c r="K402" s="233" t="n"/>
      <c r="L402" s="233" t="n">
        <v>12700</v>
      </c>
      <c r="M402" s="156" t="n"/>
    </row>
    <row r="403" ht="15.75" customHeight="1" s="153">
      <c r="A403" s="227" t="n"/>
      <c r="B403" s="228" t="inlineStr">
        <is>
          <t>NOGALES 3419</t>
        </is>
      </c>
      <c r="C403" s="229" t="n">
        <v>1</v>
      </c>
      <c r="D403" s="229" t="n"/>
      <c r="E403" s="229" t="n"/>
      <c r="F403" s="230" t="n"/>
      <c r="G403" s="230" t="n"/>
      <c r="H403" s="257" t="n">
        <v>26000</v>
      </c>
      <c r="I403" s="258" t="n"/>
      <c r="J403" s="258" t="n">
        <v>26000</v>
      </c>
      <c r="K403" s="233" t="n"/>
      <c r="L403" s="233" t="n">
        <v>10200</v>
      </c>
      <c r="M403" s="156" t="n"/>
    </row>
    <row r="404" ht="15.75" customHeight="1" s="153">
      <c r="A404" s="227" t="n"/>
      <c r="B404" s="228" t="inlineStr">
        <is>
          <t>ITURRASPE 962</t>
        </is>
      </c>
      <c r="C404" s="229" t="n">
        <v>1</v>
      </c>
      <c r="D404" s="229" t="n"/>
      <c r="E404" s="229" t="n"/>
      <c r="F404" s="230" t="n"/>
      <c r="G404" s="230" t="n"/>
      <c r="H404" s="257" t="n">
        <v>26000</v>
      </c>
      <c r="I404" s="258" t="n">
        <v>26000</v>
      </c>
      <c r="J404" s="258" t="n"/>
      <c r="K404" s="233" t="n"/>
      <c r="L404" s="233" t="n">
        <v>10200</v>
      </c>
      <c r="M404" s="156" t="n"/>
    </row>
    <row r="405" ht="15.75" customHeight="1" s="153">
      <c r="A405" s="227" t="n"/>
      <c r="B405" s="228" t="inlineStr">
        <is>
          <t>CASTAÑADUY 7019</t>
        </is>
      </c>
      <c r="C405" s="229" t="n"/>
      <c r="D405" s="229" t="n"/>
      <c r="E405" s="229" t="n">
        <v>1</v>
      </c>
      <c r="F405" s="230" t="n"/>
      <c r="G405" s="230" t="n"/>
      <c r="H405" s="257" t="n">
        <v>95000</v>
      </c>
      <c r="I405" s="258" t="n">
        <v>95000</v>
      </c>
      <c r="J405" s="258" t="n"/>
      <c r="K405" s="233" t="n"/>
      <c r="L405" s="233" t="n">
        <v>33000</v>
      </c>
      <c r="M405" s="156" t="n"/>
    </row>
    <row r="406" ht="15.75" customHeight="1" s="153">
      <c r="A406" s="227" t="n"/>
      <c r="B406" s="228" t="inlineStr">
        <is>
          <t>SABOREAR</t>
        </is>
      </c>
      <c r="C406" s="229" t="n"/>
      <c r="D406" s="229" t="n"/>
      <c r="E406" s="229" t="n">
        <v>1</v>
      </c>
      <c r="F406" s="230" t="n"/>
      <c r="G406" s="230" t="n"/>
      <c r="H406" s="257" t="n">
        <v>84000</v>
      </c>
      <c r="I406" s="258" t="n"/>
      <c r="J406" s="258" t="n">
        <v>84000</v>
      </c>
      <c r="K406" s="233" t="n"/>
      <c r="L406" s="233" t="n">
        <v>22000</v>
      </c>
      <c r="M406" s="156" t="n"/>
    </row>
    <row r="407" ht="15.75" customHeight="1" s="153">
      <c r="A407" s="227" t="n"/>
      <c r="B407" s="228" t="inlineStr">
        <is>
          <t>BRASERIA</t>
        </is>
      </c>
      <c r="C407" s="229" t="n">
        <v>1</v>
      </c>
      <c r="D407" s="229" t="n"/>
      <c r="E407" s="229" t="n">
        <v>1</v>
      </c>
      <c r="F407" s="230" t="n"/>
      <c r="G407" s="230" t="n"/>
      <c r="H407" s="257" t="n">
        <v>109000</v>
      </c>
      <c r="I407" s="258" t="n"/>
      <c r="J407" s="258" t="n">
        <v>109000</v>
      </c>
      <c r="K407" s="233" t="n"/>
      <c r="L407" s="233" t="n">
        <v>31200</v>
      </c>
      <c r="M407" s="156" t="n"/>
    </row>
    <row r="408" ht="15.75" customHeight="1" s="153">
      <c r="A408" s="227" t="n">
        <v>46163</v>
      </c>
      <c r="B408" s="228" t="inlineStr">
        <is>
          <t>CARO FACELLO</t>
        </is>
      </c>
      <c r="C408" s="229" t="n"/>
      <c r="D408" s="229" t="n">
        <v>1</v>
      </c>
      <c r="E408" s="229" t="n"/>
      <c r="F408" s="230" t="n"/>
      <c r="G408" s="230" t="n"/>
      <c r="H408" s="257" t="n">
        <v>39500</v>
      </c>
      <c r="I408" s="258" t="n">
        <v>39500</v>
      </c>
      <c r="J408" s="258" t="n"/>
      <c r="K408" s="233" t="n"/>
      <c r="L408" s="233" t="n">
        <v>15800</v>
      </c>
      <c r="M408" s="156" t="n"/>
    </row>
    <row r="409" ht="15.75" customHeight="1" s="153">
      <c r="A409" s="227" t="n"/>
      <c r="B409" s="228" t="inlineStr">
        <is>
          <t>PANA GORRITI 4600</t>
        </is>
      </c>
      <c r="C409" s="229" t="n"/>
      <c r="D409" s="229" t="n"/>
      <c r="E409" s="229" t="n">
        <v>1</v>
      </c>
      <c r="F409" s="230" t="n"/>
      <c r="G409" s="230" t="n"/>
      <c r="H409" s="257" t="n">
        <v>84000</v>
      </c>
      <c r="I409" s="258" t="n"/>
      <c r="J409" s="258" t="n">
        <v>84000</v>
      </c>
      <c r="K409" s="233" t="n"/>
      <c r="L409" s="233" t="n">
        <v>22000</v>
      </c>
      <c r="M409" s="156" t="n"/>
    </row>
    <row r="410" ht="15.75" customHeight="1" s="153">
      <c r="A410" s="227" t="n"/>
      <c r="B410" s="228" t="inlineStr">
        <is>
          <t>EXE</t>
        </is>
      </c>
      <c r="C410" s="229" t="n"/>
      <c r="D410" s="229" t="n"/>
      <c r="E410" s="229" t="n">
        <v>1</v>
      </c>
      <c r="F410" s="230" t="n"/>
      <c r="G410" s="230" t="n"/>
      <c r="H410" s="257" t="n">
        <v>85000</v>
      </c>
      <c r="I410" s="258" t="n"/>
      <c r="J410" s="258" t="n">
        <v>85000</v>
      </c>
      <c r="K410" s="233" t="n"/>
      <c r="L410" s="233" t="n">
        <v>23000</v>
      </c>
      <c r="M410" s="156" t="n"/>
    </row>
    <row r="411" ht="15.75" customHeight="1" s="153">
      <c r="A411" s="227" t="n"/>
      <c r="B411" s="228" t="inlineStr">
        <is>
          <t>CHICLANA 7325</t>
        </is>
      </c>
      <c r="C411" s="229" t="n">
        <v>3</v>
      </c>
      <c r="D411" s="229" t="n"/>
      <c r="E411" s="229" t="n"/>
      <c r="F411" s="230" t="n"/>
      <c r="G411" s="230" t="n"/>
      <c r="H411" s="257" t="n">
        <v>60000</v>
      </c>
      <c r="I411" s="258" t="n"/>
      <c r="J411" s="258" t="n">
        <v>60000</v>
      </c>
      <c r="K411" s="233" t="n"/>
      <c r="L411" s="233" t="n">
        <v>12600</v>
      </c>
      <c r="M411" s="156" t="n"/>
    </row>
    <row r="412" ht="15.75" customHeight="1" s="153">
      <c r="A412" s="227" t="n"/>
      <c r="B412" s="228" t="inlineStr">
        <is>
          <t>VIEYTES 4333</t>
        </is>
      </c>
      <c r="C412" s="229" t="n">
        <v>1</v>
      </c>
      <c r="D412" s="229" t="n"/>
      <c r="E412" s="229" t="n"/>
      <c r="F412" s="230" t="n"/>
      <c r="G412" s="230" t="n"/>
      <c r="H412" s="257" t="n">
        <v>23500</v>
      </c>
      <c r="I412" s="258" t="n">
        <v>23500</v>
      </c>
      <c r="J412" s="258" t="n"/>
      <c r="K412" s="233" t="n"/>
      <c r="L412" s="233" t="n">
        <v>7700</v>
      </c>
      <c r="M412" s="156" t="n"/>
    </row>
    <row r="413" ht="15.75" customHeight="1" s="153">
      <c r="A413" s="227" t="n"/>
      <c r="B413" s="228" t="inlineStr">
        <is>
          <t>VIANDAS JORGE</t>
        </is>
      </c>
      <c r="C413" s="229" t="n">
        <v>1</v>
      </c>
      <c r="D413" s="229" t="n"/>
      <c r="E413" s="229" t="n"/>
      <c r="F413" s="230" t="n"/>
      <c r="G413" s="230" t="n"/>
      <c r="H413" s="257" t="n">
        <v>23000</v>
      </c>
      <c r="I413" s="258" t="n">
        <v>23000</v>
      </c>
      <c r="J413" s="258" t="n"/>
      <c r="K413" s="233" t="n"/>
      <c r="L413" s="233" t="n">
        <v>7200</v>
      </c>
      <c r="M413" s="156" t="n"/>
    </row>
    <row r="414" ht="15.75" customHeight="1" s="153">
      <c r="A414" s="227" t="n"/>
      <c r="B414" s="228" t="inlineStr">
        <is>
          <t>CAFERATA 9653</t>
        </is>
      </c>
      <c r="C414" s="229" t="n">
        <v>1</v>
      </c>
      <c r="D414" s="229" t="n"/>
      <c r="E414" s="229" t="n"/>
      <c r="F414" s="230" t="n"/>
      <c r="G414" s="230" t="n"/>
      <c r="H414" s="257" t="n">
        <v>26000</v>
      </c>
      <c r="I414" s="258" t="n">
        <v>26000</v>
      </c>
      <c r="J414" s="258" t="n"/>
      <c r="K414" s="233" t="n"/>
      <c r="L414" s="233" t="n">
        <v>10200</v>
      </c>
      <c r="M414" s="156" t="n"/>
    </row>
    <row r="415" ht="15.75" customHeight="1" s="153">
      <c r="A415" s="227" t="n"/>
      <c r="B415" s="228" t="inlineStr">
        <is>
          <t>JUNÍN 2282</t>
        </is>
      </c>
      <c r="C415" s="229" t="n">
        <v>1</v>
      </c>
      <c r="D415" s="229" t="n"/>
      <c r="E415" s="229" t="n"/>
      <c r="F415" s="230" t="n"/>
      <c r="G415" s="230" t="n"/>
      <c r="H415" s="257" t="n">
        <v>26000</v>
      </c>
      <c r="I415" s="258" t="n"/>
      <c r="J415" s="258" t="n">
        <v>26000</v>
      </c>
      <c r="K415" s="233" t="n"/>
      <c r="L415" s="233" t="n">
        <v>10200</v>
      </c>
      <c r="M415" s="156" t="n"/>
    </row>
    <row r="416" ht="15.75" customHeight="1" s="153">
      <c r="A416" s="227" t="n"/>
      <c r="B416" s="228" t="inlineStr">
        <is>
          <t>QUINTANA 3340</t>
        </is>
      </c>
      <c r="C416" s="229" t="n">
        <v>1</v>
      </c>
      <c r="D416" s="229" t="n"/>
      <c r="E416" s="229" t="n"/>
      <c r="F416" s="230" t="n"/>
      <c r="G416" s="230" t="n"/>
      <c r="H416" s="257" t="n">
        <v>26000</v>
      </c>
      <c r="I416" s="258" t="n">
        <v>26000</v>
      </c>
      <c r="J416" s="258" t="n"/>
      <c r="K416" s="233" t="n"/>
      <c r="L416" s="233" t="n">
        <v>10200</v>
      </c>
      <c r="M416" s="156" t="n"/>
    </row>
    <row r="417" ht="15.75" customHeight="1" s="153">
      <c r="A417" s="227" t="n"/>
      <c r="B417" s="228" t="inlineStr">
        <is>
          <t>JP LOPEZ 3249</t>
        </is>
      </c>
      <c r="C417" s="229" t="n">
        <v>1</v>
      </c>
      <c r="D417" s="229" t="n"/>
      <c r="E417" s="229" t="n"/>
      <c r="F417" s="230" t="n"/>
      <c r="G417" s="230" t="n"/>
      <c r="H417" s="257" t="n">
        <v>26000</v>
      </c>
      <c r="I417" s="258" t="n"/>
      <c r="J417" s="258" t="n">
        <v>26000</v>
      </c>
      <c r="K417" s="233" t="n"/>
      <c r="L417" s="233" t="n">
        <v>10200</v>
      </c>
      <c r="M417" s="156" t="n"/>
    </row>
    <row r="418" ht="15.75" customHeight="1" s="153">
      <c r="A418" s="227" t="n"/>
      <c r="B418" s="228" t="inlineStr">
        <is>
          <t>LUCHO</t>
        </is>
      </c>
      <c r="C418" s="229" t="n">
        <v>2</v>
      </c>
      <c r="D418" s="229" t="n">
        <v>1</v>
      </c>
      <c r="E418" s="229" t="n"/>
      <c r="F418" s="230" t="n"/>
      <c r="G418" s="230" t="n"/>
      <c r="H418" s="257" t="n">
        <v>71500</v>
      </c>
      <c r="I418" s="258" t="n">
        <v>71500</v>
      </c>
      <c r="J418" s="258" t="n"/>
      <c r="K418" s="233" t="n"/>
      <c r="L418" s="233" t="n">
        <v>16200</v>
      </c>
      <c r="M418" s="156" t="n"/>
    </row>
    <row r="419" ht="15.75" customHeight="1" s="153">
      <c r="A419" s="227" t="n"/>
      <c r="B419" s="228" t="inlineStr">
        <is>
          <t>VENIALBO 5829</t>
        </is>
      </c>
      <c r="C419" s="229" t="n">
        <v>1</v>
      </c>
      <c r="D419" s="229" t="n"/>
      <c r="E419" s="229" t="n"/>
      <c r="F419" s="230" t="n"/>
      <c r="G419" s="230" t="n"/>
      <c r="H419" s="257" t="n">
        <v>26000</v>
      </c>
      <c r="I419" s="258" t="n">
        <v>26000</v>
      </c>
      <c r="J419" s="258" t="n"/>
      <c r="K419" s="233" t="n"/>
      <c r="L419" s="233" t="n">
        <v>10200</v>
      </c>
      <c r="M419" s="156" t="n"/>
    </row>
    <row r="420" ht="15.75" customHeight="1" s="153">
      <c r="A420" s="227" t="n"/>
      <c r="B420" s="228" t="inlineStr">
        <is>
          <t>P GENESIO 5995</t>
        </is>
      </c>
      <c r="C420" s="229" t="n"/>
      <c r="D420" s="229" t="n">
        <v>1</v>
      </c>
      <c r="E420" s="229" t="n"/>
      <c r="F420" s="230" t="n"/>
      <c r="G420" s="230" t="n"/>
      <c r="H420" s="257" t="n">
        <v>40000</v>
      </c>
      <c r="I420" s="258" t="n">
        <v>40000</v>
      </c>
      <c r="J420" s="258" t="n"/>
      <c r="K420" s="233" t="n"/>
      <c r="L420" s="233" t="n">
        <v>16300</v>
      </c>
      <c r="M420" s="156" t="n"/>
    </row>
    <row r="421" ht="15.75" customHeight="1" s="153">
      <c r="A421" s="227" t="n"/>
      <c r="B421" s="228" t="inlineStr">
        <is>
          <t>ROTI SAN LORENZO</t>
        </is>
      </c>
      <c r="C421" s="229" t="n">
        <v>1</v>
      </c>
      <c r="D421" s="229" t="n">
        <v>1</v>
      </c>
      <c r="E421" s="229" t="n">
        <v>1</v>
      </c>
      <c r="F421" s="230" t="n"/>
      <c r="G421" s="230" t="n"/>
      <c r="H421" s="257" t="n">
        <v>147500</v>
      </c>
      <c r="I421" s="258" t="n">
        <v>100000</v>
      </c>
      <c r="J421" s="258" t="n">
        <v>47500</v>
      </c>
      <c r="K421" s="233" t="n"/>
      <c r="L421" s="233" t="n">
        <v>46000</v>
      </c>
      <c r="M421" s="156" t="n"/>
    </row>
    <row r="422" ht="15.75" customHeight="1" s="153">
      <c r="A422" s="227" t="n"/>
      <c r="B422" s="228" t="inlineStr">
        <is>
          <t>VERBENA</t>
        </is>
      </c>
      <c r="C422" s="229" t="n">
        <v>4</v>
      </c>
      <c r="D422" s="229" t="n"/>
      <c r="E422" s="229" t="n"/>
      <c r="F422" s="230" t="n"/>
      <c r="G422" s="230" t="n"/>
      <c r="H422" s="257" t="n">
        <v>108000</v>
      </c>
      <c r="I422" s="258" t="n"/>
      <c r="J422" s="258" t="n">
        <v>108000</v>
      </c>
      <c r="K422" s="233" t="n"/>
      <c r="L422" s="233" t="n">
        <v>44800</v>
      </c>
      <c r="M422" s="156" t="n"/>
    </row>
    <row r="423" ht="15.75" customHeight="1" s="153">
      <c r="A423" s="227" t="n"/>
      <c r="B423" s="228" t="inlineStr">
        <is>
          <t>FACU MANTARAS</t>
        </is>
      </c>
      <c r="C423" s="229" t="n">
        <v>2</v>
      </c>
      <c r="D423" s="229" t="n"/>
      <c r="E423" s="229" t="n"/>
      <c r="F423" s="230" t="n"/>
      <c r="G423" s="230" t="n"/>
      <c r="H423" s="257" t="n">
        <v>54000</v>
      </c>
      <c r="I423" s="258" t="n"/>
      <c r="J423" s="258" t="n">
        <v>54000</v>
      </c>
      <c r="K423" s="233" t="n"/>
      <c r="L423" s="233" t="n">
        <v>22400</v>
      </c>
      <c r="M423" s="156" t="n"/>
    </row>
    <row r="424" ht="15.75" customHeight="1" s="153">
      <c r="A424" s="227" t="n"/>
      <c r="B424" s="228" t="inlineStr">
        <is>
          <t>PAULO</t>
        </is>
      </c>
      <c r="C424" s="229" t="n">
        <v>3</v>
      </c>
      <c r="D424" s="229" t="n"/>
      <c r="E424" s="229" t="n"/>
      <c r="F424" s="230" t="n"/>
      <c r="G424" s="230" t="n"/>
      <c r="H424" s="257" t="n">
        <v>60000</v>
      </c>
      <c r="I424" s="258" t="n"/>
      <c r="J424" s="258" t="n">
        <v>60000</v>
      </c>
      <c r="K424" s="233" t="n"/>
      <c r="L424" s="233" t="n">
        <v>12600</v>
      </c>
      <c r="M424" s="156" t="n"/>
    </row>
    <row r="425" ht="15.75" customHeight="1" s="153">
      <c r="A425" s="227" t="n"/>
      <c r="B425" s="228" t="inlineStr">
        <is>
          <t>AGUADO 9067</t>
        </is>
      </c>
      <c r="C425" s="229" t="n"/>
      <c r="D425" s="229" t="n">
        <v>1</v>
      </c>
      <c r="E425" s="229" t="n"/>
      <c r="F425" s="230" t="n"/>
      <c r="G425" s="230" t="n"/>
      <c r="H425" s="257" t="n">
        <v>39500</v>
      </c>
      <c r="I425" s="258" t="n"/>
      <c r="J425" s="258" t="n">
        <v>39500</v>
      </c>
      <c r="K425" s="233" t="n"/>
      <c r="L425" s="233" t="n">
        <v>15800</v>
      </c>
      <c r="M425" s="156" t="n"/>
    </row>
    <row r="426" ht="15.75" customHeight="1" s="153">
      <c r="A426" s="227" t="n">
        <v>46164</v>
      </c>
      <c r="B426" s="228" t="inlineStr">
        <is>
          <t>ESPORA 4846</t>
        </is>
      </c>
      <c r="C426" s="229" t="n">
        <v>1</v>
      </c>
      <c r="D426" s="229" t="n">
        <v>1</v>
      </c>
      <c r="E426" s="229" t="n"/>
      <c r="F426" s="230" t="n"/>
      <c r="G426" s="230" t="n"/>
      <c r="H426" s="257" t="n">
        <v>68000</v>
      </c>
      <c r="I426" s="258" t="n">
        <v>68000</v>
      </c>
      <c r="J426" s="258" t="n"/>
      <c r="K426" s="233" t="n"/>
      <c r="L426" s="233" t="n">
        <v>28500</v>
      </c>
      <c r="M426" s="156" t="n"/>
    </row>
    <row r="427" ht="15.75" customHeight="1" s="153">
      <c r="A427" s="227" t="n"/>
      <c r="B427" s="228" t="inlineStr">
        <is>
          <t>MARIO</t>
        </is>
      </c>
      <c r="C427" s="229" t="n">
        <v>2</v>
      </c>
      <c r="D427" s="229" t="n"/>
      <c r="E427" s="229" t="n"/>
      <c r="F427" s="230" t="n"/>
      <c r="G427" s="230" t="n"/>
      <c r="H427" s="257" t="n">
        <v>38000</v>
      </c>
      <c r="I427" s="258" t="n">
        <v>38000</v>
      </c>
      <c r="J427" s="258" t="n"/>
      <c r="K427" s="233" t="n"/>
      <c r="L427" s="233" t="n">
        <v>6400</v>
      </c>
      <c r="M427" s="156" t="n"/>
    </row>
    <row r="428" ht="15.75" customHeight="1" s="153">
      <c r="A428" s="227" t="n"/>
      <c r="B428" s="228" t="inlineStr">
        <is>
          <t>PAVÓN 3435</t>
        </is>
      </c>
      <c r="C428" s="229" t="n"/>
      <c r="D428" s="229" t="n">
        <v>1</v>
      </c>
      <c r="E428" s="229" t="n">
        <v>1</v>
      </c>
      <c r="F428" s="230" t="n"/>
      <c r="G428" s="230" t="n"/>
      <c r="H428" s="257" t="n">
        <v>120000</v>
      </c>
      <c r="I428" s="258" t="n"/>
      <c r="J428" s="258" t="n">
        <v>120000</v>
      </c>
      <c r="K428" s="233" t="n"/>
      <c r="L428" s="233" t="n">
        <v>34300</v>
      </c>
      <c r="M428" s="156" t="n"/>
    </row>
    <row r="429" ht="15.75" customHeight="1" s="153">
      <c r="A429" s="227" t="n"/>
      <c r="B429" s="228" t="inlineStr">
        <is>
          <t>BOULEVARD GÁLVEZ 2333</t>
        </is>
      </c>
      <c r="C429" s="229" t="n">
        <v>1</v>
      </c>
      <c r="D429" s="229" t="n"/>
      <c r="E429" s="229" t="n"/>
      <c r="F429" s="230" t="n"/>
      <c r="G429" s="230" t="n"/>
      <c r="H429" s="257" t="n">
        <v>26000</v>
      </c>
      <c r="I429" s="258" t="n">
        <v>26000</v>
      </c>
      <c r="J429" s="258" t="n"/>
      <c r="K429" s="233" t="n"/>
      <c r="L429" s="233" t="n">
        <v>10200</v>
      </c>
      <c r="M429" s="156" t="n"/>
    </row>
    <row r="430" ht="15.75" customHeight="1" s="153">
      <c r="A430" s="227" t="n"/>
      <c r="B430" s="228" t="inlineStr">
        <is>
          <t>PANA ALBERTI</t>
        </is>
      </c>
      <c r="C430" s="229" t="n">
        <v>1</v>
      </c>
      <c r="D430" s="229" t="n">
        <v>1</v>
      </c>
      <c r="E430" s="229" t="n"/>
      <c r="F430" s="230" t="n"/>
      <c r="G430" s="230" t="n"/>
      <c r="H430" s="257" t="n">
        <v>60500</v>
      </c>
      <c r="I430" s="258" t="n">
        <v>60500</v>
      </c>
      <c r="J430" s="258" t="n"/>
      <c r="K430" s="233" t="n"/>
      <c r="L430" s="233" t="n">
        <v>21000</v>
      </c>
      <c r="M430" s="156" t="n"/>
    </row>
    <row r="431" ht="15.75" customHeight="1" s="153">
      <c r="A431" s="227" t="n"/>
      <c r="B431" s="228" t="inlineStr">
        <is>
          <t>ROTI AGUADO</t>
        </is>
      </c>
      <c r="C431" s="229" t="n"/>
      <c r="D431" s="229" t="n"/>
      <c r="E431" s="229" t="n">
        <v>1</v>
      </c>
      <c r="F431" s="230" t="n"/>
      <c r="G431" s="230" t="n"/>
      <c r="H431" s="257" t="n">
        <v>83000</v>
      </c>
      <c r="I431" s="258" t="n"/>
      <c r="J431" s="258" t="n">
        <v>83000</v>
      </c>
      <c r="K431" s="233" t="n"/>
      <c r="L431" s="233" t="n">
        <v>21000</v>
      </c>
      <c r="M431" s="156" t="n"/>
    </row>
    <row r="432" ht="15.75" customHeight="1" s="153">
      <c r="A432" s="227" t="n"/>
      <c r="B432" s="228" t="inlineStr">
        <is>
          <t>PANA GENESIO</t>
        </is>
      </c>
      <c r="C432" s="229" t="n"/>
      <c r="D432" s="229" t="n"/>
      <c r="E432" s="229" t="n">
        <v>1</v>
      </c>
      <c r="F432" s="230" t="n"/>
      <c r="G432" s="230" t="n"/>
      <c r="H432" s="257" t="n">
        <v>79000</v>
      </c>
      <c r="I432" s="258" t="n">
        <v>79000</v>
      </c>
      <c r="J432" s="258" t="n"/>
      <c r="K432" s="233" t="n"/>
      <c r="L432" s="233" t="n">
        <v>17000</v>
      </c>
      <c r="M432" s="156" t="n"/>
    </row>
    <row r="433" ht="15.75" customHeight="1" s="153">
      <c r="A433" s="227" t="n"/>
      <c r="B433" s="228" t="inlineStr">
        <is>
          <t>FILOMENA</t>
        </is>
      </c>
      <c r="C433" s="229" t="n">
        <v>2</v>
      </c>
      <c r="D433" s="229" t="n"/>
      <c r="E433" s="229" t="n"/>
      <c r="F433" s="230" t="n"/>
      <c r="G433" s="230" t="n"/>
      <c r="H433" s="257" t="n">
        <v>49000</v>
      </c>
      <c r="I433" s="258" t="n"/>
      <c r="J433" s="258" t="n">
        <v>49000</v>
      </c>
      <c r="K433" s="233" t="n"/>
      <c r="L433" s="233" t="n">
        <v>17400</v>
      </c>
      <c r="M433" s="156" t="n"/>
    </row>
    <row r="434" ht="15.75" customHeight="1" s="153">
      <c r="A434" s="227" t="n"/>
      <c r="B434" s="228" t="inlineStr">
        <is>
          <t>CASANELLO 2128</t>
        </is>
      </c>
      <c r="C434" s="229" t="n">
        <v>1</v>
      </c>
      <c r="D434" s="229" t="n"/>
      <c r="E434" s="229" t="n"/>
      <c r="F434" s="230" t="n"/>
      <c r="G434" s="230" t="n"/>
      <c r="H434" s="257" t="n">
        <v>27500</v>
      </c>
      <c r="I434" s="258" t="n"/>
      <c r="J434" s="258" t="n">
        <v>27500</v>
      </c>
      <c r="K434" s="233" t="n"/>
      <c r="L434" s="233" t="n">
        <v>11700</v>
      </c>
      <c r="M434" s="156" t="n"/>
    </row>
    <row r="435" ht="15.75" customHeight="1" s="153">
      <c r="A435" s="227" t="n"/>
      <c r="B435" s="228" t="inlineStr">
        <is>
          <t>GENERAL PAZ 7989</t>
        </is>
      </c>
      <c r="C435" s="229" t="n">
        <v>1</v>
      </c>
      <c r="D435" s="229" t="n"/>
      <c r="E435" s="229" t="n"/>
      <c r="F435" s="230" t="n"/>
      <c r="G435" s="230" t="n"/>
      <c r="H435" s="257" t="n">
        <v>26000</v>
      </c>
      <c r="I435" s="258" t="n"/>
      <c r="J435" s="258" t="n">
        <v>26000</v>
      </c>
      <c r="K435" s="233" t="n"/>
      <c r="L435" s="233" t="n">
        <v>10200</v>
      </c>
      <c r="M435" s="156" t="n"/>
    </row>
    <row r="436" ht="15.75" customHeight="1" s="153">
      <c r="A436" s="227" t="n"/>
      <c r="B436" s="228" t="inlineStr">
        <is>
          <t>CACIQUE ANDRESITO 9133</t>
        </is>
      </c>
      <c r="C436" s="229" t="n"/>
      <c r="D436" s="229" t="n"/>
      <c r="E436" s="229" t="n">
        <v>1</v>
      </c>
      <c r="F436" s="230" t="n"/>
      <c r="G436" s="230" t="n"/>
      <c r="H436" s="257" t="n">
        <v>91000</v>
      </c>
      <c r="I436" s="258" t="n">
        <v>91000</v>
      </c>
      <c r="J436" s="258" t="n"/>
      <c r="K436" s="233" t="n"/>
      <c r="L436" s="233" t="n">
        <v>29000</v>
      </c>
      <c r="M436" s="156" t="n"/>
    </row>
    <row r="437" ht="15.75" customHeight="1" s="153">
      <c r="A437" s="227" t="n"/>
      <c r="B437" s="228" t="inlineStr">
        <is>
          <t>PANA VIEYTES 3800</t>
        </is>
      </c>
      <c r="C437" s="229" t="n"/>
      <c r="D437" s="229" t="n"/>
      <c r="E437" s="229" t="n">
        <v>1</v>
      </c>
      <c r="F437" s="230" t="n"/>
      <c r="G437" s="230" t="n"/>
      <c r="H437" s="257" t="n">
        <v>85000</v>
      </c>
      <c r="I437" s="258" t="n">
        <v>85000</v>
      </c>
      <c r="J437" s="258" t="n"/>
      <c r="K437" s="233" t="n"/>
      <c r="L437" s="233" t="n">
        <v>23000</v>
      </c>
      <c r="M437" s="156" t="n"/>
    </row>
    <row r="438" ht="15.75" customHeight="1" s="153">
      <c r="A438" s="227" t="n"/>
      <c r="B438" s="228" t="inlineStr">
        <is>
          <t>GENERAL PAZ 7869</t>
        </is>
      </c>
      <c r="C438" s="229" t="n"/>
      <c r="D438" s="229" t="n"/>
      <c r="E438" s="229" t="n">
        <v>1</v>
      </c>
      <c r="F438" s="230" t="n"/>
      <c r="G438" s="230" t="n"/>
      <c r="H438" s="257" t="n">
        <v>88000</v>
      </c>
      <c r="I438" s="258" t="n">
        <v>88000</v>
      </c>
      <c r="J438" s="258" t="n"/>
      <c r="K438" s="233" t="n"/>
      <c r="L438" s="233" t="n">
        <v>26000</v>
      </c>
      <c r="M438" s="156" t="n"/>
    </row>
    <row r="439" ht="15.75" customHeight="1" s="153">
      <c r="A439" s="227" t="n"/>
      <c r="B439" s="228" t="inlineStr">
        <is>
          <t>PAVÓN 3941</t>
        </is>
      </c>
      <c r="C439" s="229" t="n">
        <v>1</v>
      </c>
      <c r="D439" s="229" t="n"/>
      <c r="E439" s="229" t="n"/>
      <c r="F439" s="230" t="n"/>
      <c r="G439" s="230" t="n"/>
      <c r="H439" s="257" t="n">
        <v>26000</v>
      </c>
      <c r="I439" s="258" t="n">
        <v>26000</v>
      </c>
      <c r="J439" s="258" t="n"/>
      <c r="K439" s="233" t="n"/>
      <c r="L439" s="233" t="n">
        <v>10200</v>
      </c>
      <c r="M439" s="156" t="n"/>
    </row>
    <row r="440" ht="15.75" customHeight="1" s="153">
      <c r="A440" s="227" t="n"/>
      <c r="B440" s="228" t="inlineStr">
        <is>
          <t>ASCUÉNAGA 5023</t>
        </is>
      </c>
      <c r="C440" s="229" t="n">
        <v>4</v>
      </c>
      <c r="D440" s="229" t="n"/>
      <c r="E440" s="229" t="n"/>
      <c r="F440" s="230" t="n"/>
      <c r="G440" s="230" t="n"/>
      <c r="H440" s="257" t="n">
        <v>80000</v>
      </c>
      <c r="I440" s="258" t="n"/>
      <c r="J440" s="258" t="n">
        <v>80000</v>
      </c>
      <c r="K440" s="233" t="n"/>
      <c r="L440" s="233" t="n">
        <v>16800</v>
      </c>
      <c r="M440" s="156" t="n"/>
    </row>
    <row r="441" ht="15.75" customHeight="1" s="153">
      <c r="A441" s="227" t="n"/>
      <c r="B441" s="228" t="inlineStr">
        <is>
          <t>HERMANO MAXI OTNIEL</t>
        </is>
      </c>
      <c r="C441" s="229" t="n"/>
      <c r="D441" s="229" t="n"/>
      <c r="E441" s="229" t="n"/>
      <c r="F441" s="230" t="n"/>
      <c r="G441" s="230" t="n">
        <v>1</v>
      </c>
      <c r="H441" s="257" t="n">
        <v>6500</v>
      </c>
      <c r="I441" s="258" t="n"/>
      <c r="J441" s="258" t="n">
        <v>6500</v>
      </c>
      <c r="K441" s="233" t="n"/>
      <c r="L441" s="233" t="n">
        <v>5580</v>
      </c>
      <c r="M441" s="156" t="n"/>
    </row>
    <row r="442" ht="15.75" customHeight="1" s="153">
      <c r="A442" s="227" t="n"/>
      <c r="B442" s="228" t="inlineStr">
        <is>
          <t>COGORNO 5520</t>
        </is>
      </c>
      <c r="C442" s="229" t="n">
        <v>6</v>
      </c>
      <c r="D442" s="229" t="n"/>
      <c r="E442" s="229" t="n"/>
      <c r="F442" s="230" t="n"/>
      <c r="G442" s="230" t="n"/>
      <c r="H442" s="257" t="n">
        <v>123000</v>
      </c>
      <c r="I442" s="258" t="n"/>
      <c r="J442" s="258" t="n">
        <v>123000</v>
      </c>
      <c r="K442" s="233" t="n"/>
      <c r="L442" s="233" t="n">
        <v>28200</v>
      </c>
      <c r="M442" s="156" t="n"/>
    </row>
    <row r="443" ht="15.75" customHeight="1" s="153">
      <c r="A443" s="227" t="n"/>
      <c r="B443" s="228" t="inlineStr">
        <is>
          <t>VIEYTES 4361</t>
        </is>
      </c>
      <c r="C443" s="229" t="n">
        <v>2</v>
      </c>
      <c r="D443" s="229" t="n"/>
      <c r="E443" s="229" t="n"/>
      <c r="F443" s="230" t="n"/>
      <c r="G443" s="230" t="n"/>
      <c r="H443" s="257" t="n">
        <v>52000</v>
      </c>
      <c r="I443" s="258" t="n"/>
      <c r="J443" s="258" t="n">
        <v>52000</v>
      </c>
      <c r="K443" s="233" t="n"/>
      <c r="L443" s="233" t="n">
        <v>20400</v>
      </c>
      <c r="M443" s="156" t="n"/>
    </row>
    <row r="444" ht="15.75" customHeight="1" s="153">
      <c r="A444" s="227" t="n"/>
      <c r="B444" s="228" t="inlineStr">
        <is>
          <t>ALBERTI 4637</t>
        </is>
      </c>
      <c r="C444" s="229" t="n">
        <v>1</v>
      </c>
      <c r="D444" s="229" t="n"/>
      <c r="E444" s="229" t="n"/>
      <c r="F444" s="230" t="n"/>
      <c r="G444" s="230" t="n"/>
      <c r="H444" s="257" t="n">
        <v>26000</v>
      </c>
      <c r="I444" s="258" t="n"/>
      <c r="J444" s="258" t="n">
        <v>26000</v>
      </c>
      <c r="K444" s="233" t="n"/>
      <c r="L444" s="233" t="n">
        <v>10200</v>
      </c>
      <c r="M444" s="156" t="n"/>
    </row>
    <row r="445" ht="15.75" customHeight="1" s="153">
      <c r="A445" s="227" t="n"/>
      <c r="B445" s="228" t="inlineStr">
        <is>
          <t>MARTÍN ZAPATA 2101</t>
        </is>
      </c>
      <c r="C445" s="229" t="n">
        <v>2</v>
      </c>
      <c r="D445" s="229" t="n"/>
      <c r="E445" s="229" t="n"/>
      <c r="F445" s="230" t="n"/>
      <c r="G445" s="230" t="n"/>
      <c r="H445" s="257" t="n">
        <v>42000</v>
      </c>
      <c r="I445" s="258" t="n">
        <v>42000</v>
      </c>
      <c r="J445" s="258" t="n"/>
      <c r="K445" s="233" t="n"/>
      <c r="L445" s="233" t="n">
        <v>10400</v>
      </c>
      <c r="M445" s="156" t="n"/>
    </row>
    <row r="446" ht="15.75" customHeight="1" s="153">
      <c r="A446" s="227" t="n"/>
      <c r="B446" s="228" t="inlineStr">
        <is>
          <t>M POLONIA 2809</t>
        </is>
      </c>
      <c r="C446" s="229" t="n">
        <v>1</v>
      </c>
      <c r="D446" s="229" t="n"/>
      <c r="E446" s="229" t="n"/>
      <c r="F446" s="230" t="n"/>
      <c r="G446" s="230" t="n"/>
      <c r="H446" s="257" t="n">
        <v>27000</v>
      </c>
      <c r="I446" s="258" t="n"/>
      <c r="J446" s="258" t="n">
        <v>27000</v>
      </c>
      <c r="K446" s="233" t="n"/>
      <c r="L446" s="233" t="n">
        <v>11200</v>
      </c>
      <c r="M446" s="156" t="n"/>
    </row>
    <row r="447" ht="15.75" customHeight="1" s="153">
      <c r="A447" s="227" t="n"/>
      <c r="B447" s="228" t="inlineStr">
        <is>
          <t>PANDOLFO 9078</t>
        </is>
      </c>
      <c r="C447" s="229" t="n"/>
      <c r="D447" s="229" t="n"/>
      <c r="E447" s="229" t="n">
        <v>1</v>
      </c>
      <c r="F447" s="230" t="n"/>
      <c r="G447" s="230" t="n"/>
      <c r="H447" s="257" t="n">
        <v>91000</v>
      </c>
      <c r="I447" s="258" t="n"/>
      <c r="J447" s="258" t="n">
        <v>91000</v>
      </c>
      <c r="K447" s="233" t="n"/>
      <c r="L447" s="233" t="n">
        <v>29000</v>
      </c>
      <c r="M447" s="156" t="n"/>
    </row>
    <row r="448" ht="15.75" customHeight="1" s="153">
      <c r="A448" s="227" t="n"/>
      <c r="B448" s="228" t="inlineStr">
        <is>
          <t>VALDIVIESO 2475</t>
        </is>
      </c>
      <c r="C448" s="229" t="n">
        <v>1</v>
      </c>
      <c r="D448" s="229" t="n"/>
      <c r="E448" s="229" t="n">
        <v>1</v>
      </c>
      <c r="F448" s="230" t="n"/>
      <c r="G448" s="230" t="n"/>
      <c r="H448" s="257" t="n">
        <v>108000</v>
      </c>
      <c r="I448" s="258" t="n"/>
      <c r="J448" s="258" t="n">
        <v>108000</v>
      </c>
      <c r="K448" s="233" t="n"/>
      <c r="L448" s="233" t="n">
        <v>30200</v>
      </c>
      <c r="M448" s="156" t="n"/>
    </row>
    <row r="449" ht="15.75" customHeight="1" s="153">
      <c r="A449" s="227" t="n"/>
      <c r="B449" s="228" t="inlineStr">
        <is>
          <t>SABOREAR</t>
        </is>
      </c>
      <c r="C449" s="229" t="n">
        <v>1</v>
      </c>
      <c r="D449" s="229" t="n">
        <v>1</v>
      </c>
      <c r="E449" s="229" t="n"/>
      <c r="F449" s="230" t="n"/>
      <c r="G449" s="230" t="n"/>
      <c r="H449" s="257" t="n">
        <v>57500</v>
      </c>
      <c r="I449" s="258" t="n">
        <v>57500</v>
      </c>
      <c r="J449" s="258" t="n"/>
      <c r="K449" s="233" t="n"/>
      <c r="L449" s="233" t="n">
        <v>18000</v>
      </c>
      <c r="M449" s="156" t="n"/>
    </row>
    <row r="450" ht="15.75" customHeight="1" s="153">
      <c r="A450" s="227" t="n"/>
      <c r="B450" s="228" t="inlineStr">
        <is>
          <t>FRANCIA 2047</t>
        </is>
      </c>
      <c r="C450" s="229" t="n">
        <v>1</v>
      </c>
      <c r="D450" s="229" t="n"/>
      <c r="E450" s="229" t="n"/>
      <c r="F450" s="230" t="n"/>
      <c r="G450" s="230" t="n"/>
      <c r="H450" s="257" t="n">
        <v>26000</v>
      </c>
      <c r="I450" s="258" t="n"/>
      <c r="J450" s="258" t="n">
        <v>26000</v>
      </c>
      <c r="K450" s="233" t="n"/>
      <c r="L450" s="233" t="n">
        <v>10200</v>
      </c>
      <c r="M450" s="156" t="n"/>
    </row>
    <row r="451" ht="15.75" customHeight="1" s="153">
      <c r="A451" s="227" t="n"/>
      <c r="B451" s="228" t="inlineStr">
        <is>
          <t>RIVADAVIA 7288</t>
        </is>
      </c>
      <c r="C451" s="229" t="n">
        <v>1</v>
      </c>
      <c r="D451" s="229" t="n"/>
      <c r="E451" s="229" t="n"/>
      <c r="F451" s="230" t="n"/>
      <c r="G451" s="230" t="n"/>
      <c r="H451" s="257" t="n">
        <v>24500</v>
      </c>
      <c r="I451" s="258" t="n"/>
      <c r="J451" s="258" t="n">
        <v>24500</v>
      </c>
      <c r="K451" s="233" t="n"/>
      <c r="L451" s="233" t="n">
        <v>8700</v>
      </c>
      <c r="M451" s="156" t="n"/>
    </row>
    <row r="452" ht="15.75" customHeight="1" s="153">
      <c r="A452" s="227" t="n"/>
      <c r="B452" s="228" t="inlineStr">
        <is>
          <t>HUERGO 3961</t>
        </is>
      </c>
      <c r="C452" s="229" t="n"/>
      <c r="D452" s="229" t="n"/>
      <c r="E452" s="229" t="n">
        <v>2</v>
      </c>
      <c r="F452" s="230" t="n"/>
      <c r="G452" s="230" t="n"/>
      <c r="H452" s="257" t="n">
        <v>170000</v>
      </c>
      <c r="I452" s="258" t="n">
        <v>170000</v>
      </c>
      <c r="J452" s="258" t="n"/>
      <c r="K452" s="233" t="n"/>
      <c r="L452" s="233" t="n">
        <v>46000</v>
      </c>
      <c r="M452" s="156" t="n"/>
    </row>
    <row r="453" ht="15.75" customHeight="1" s="153">
      <c r="A453" s="227" t="n"/>
      <c r="B453" s="228" t="inlineStr">
        <is>
          <t>MARCE DUSO</t>
        </is>
      </c>
      <c r="C453" s="229" t="n"/>
      <c r="D453" s="229" t="n">
        <v>1</v>
      </c>
      <c r="E453" s="229" t="n">
        <v>1</v>
      </c>
      <c r="F453" s="230" t="n"/>
      <c r="G453" s="230" t="n"/>
      <c r="H453" s="257" t="n">
        <v>117000</v>
      </c>
      <c r="I453" s="258" t="n"/>
      <c r="J453" s="258" t="n">
        <v>117000</v>
      </c>
      <c r="K453" s="233" t="n"/>
      <c r="L453" s="233" t="n">
        <v>31300</v>
      </c>
      <c r="M453" s="156" t="n"/>
    </row>
    <row r="454" ht="15.75" customHeight="1" s="153">
      <c r="A454" s="227" t="n"/>
      <c r="B454" s="228" t="inlineStr">
        <is>
          <t>SALTA 3047</t>
        </is>
      </c>
      <c r="C454" s="229" t="n">
        <v>1</v>
      </c>
      <c r="D454" s="229" t="n"/>
      <c r="E454" s="229" t="n"/>
      <c r="F454" s="230" t="n"/>
      <c r="G454" s="230" t="n"/>
      <c r="H454" s="257" t="n">
        <v>26000</v>
      </c>
      <c r="I454" s="258" t="n">
        <v>26000</v>
      </c>
      <c r="J454" s="258" t="n"/>
      <c r="K454" s="233" t="n"/>
      <c r="L454" s="233" t="n">
        <v>10200</v>
      </c>
      <c r="M454" s="156" t="n"/>
    </row>
    <row r="455" ht="15.75" customHeight="1" s="153">
      <c r="A455" s="227" t="n"/>
      <c r="B455" s="228" t="inlineStr">
        <is>
          <t>SALTA 2865</t>
        </is>
      </c>
      <c r="C455" s="229" t="n">
        <v>1</v>
      </c>
      <c r="D455" s="229" t="n"/>
      <c r="E455" s="229" t="n"/>
      <c r="F455" s="230" t="n"/>
      <c r="G455" s="230" t="n"/>
      <c r="H455" s="257" t="n">
        <v>26000</v>
      </c>
      <c r="I455" s="258" t="n">
        <v>26000</v>
      </c>
      <c r="J455" s="258" t="n"/>
      <c r="K455" s="233" t="n"/>
      <c r="L455" s="233" t="n">
        <v>10200</v>
      </c>
      <c r="M455" s="156" t="n"/>
    </row>
    <row r="456" ht="15.75" customHeight="1" s="153">
      <c r="A456" s="227" t="n"/>
      <c r="B456" s="228" t="inlineStr">
        <is>
          <t>LUCHO</t>
        </is>
      </c>
      <c r="C456" s="229" t="n"/>
      <c r="D456" s="229" t="n">
        <v>1</v>
      </c>
      <c r="E456" s="229" t="n"/>
      <c r="F456" s="230" t="n"/>
      <c r="G456" s="230" t="n"/>
      <c r="H456" s="257" t="n">
        <v>31500</v>
      </c>
      <c r="I456" s="258" t="n">
        <v>31500</v>
      </c>
      <c r="J456" s="258" t="n"/>
      <c r="K456" s="233" t="n"/>
      <c r="L456" s="233" t="n">
        <v>7800</v>
      </c>
      <c r="M456" s="156" t="n"/>
    </row>
    <row r="457" ht="15.75" customHeight="1" s="153">
      <c r="A457" s="227" t="n">
        <v>46165</v>
      </c>
      <c r="B457" s="228" t="inlineStr">
        <is>
          <t>COSTA ESTE 1980</t>
        </is>
      </c>
      <c r="C457" s="229" t="n">
        <v>3</v>
      </c>
      <c r="D457" s="229" t="n"/>
      <c r="E457" s="229" t="n"/>
      <c r="F457" s="230" t="n"/>
      <c r="G457" s="230" t="n"/>
      <c r="H457" s="257" t="n">
        <v>84000</v>
      </c>
      <c r="I457" s="258" t="n">
        <v>84000</v>
      </c>
      <c r="J457" s="258" t="n"/>
      <c r="K457" s="233" t="n"/>
      <c r="L457" s="233" t="n">
        <v>36600</v>
      </c>
      <c r="M457" s="156" t="n"/>
    </row>
    <row r="458" ht="15.75" customHeight="1" s="153">
      <c r="A458" s="227" t="n"/>
      <c r="B458" s="228" t="inlineStr">
        <is>
          <t>ROTI ARISTÓBULO</t>
        </is>
      </c>
      <c r="C458" s="229" t="n">
        <v>1</v>
      </c>
      <c r="D458" s="229" t="n">
        <v>1</v>
      </c>
      <c r="E458" s="229" t="n"/>
      <c r="F458" s="230" t="n"/>
      <c r="G458" s="230" t="n"/>
      <c r="H458" s="257" t="n">
        <v>61000</v>
      </c>
      <c r="I458" s="258" t="n"/>
      <c r="J458" s="258" t="n">
        <v>61000</v>
      </c>
      <c r="K458" s="233" t="n"/>
      <c r="L458" s="233" t="n">
        <v>21500</v>
      </c>
      <c r="M458" s="156" t="n"/>
    </row>
    <row r="459" ht="15.75" customHeight="1" s="153">
      <c r="A459" s="227" t="n"/>
      <c r="B459" s="228" t="inlineStr">
        <is>
          <t>EUROPA 9369</t>
        </is>
      </c>
      <c r="C459" s="229" t="n"/>
      <c r="D459" s="229" t="n"/>
      <c r="E459" s="229" t="n">
        <v>1</v>
      </c>
      <c r="F459" s="230" t="n"/>
      <c r="G459" s="230" t="n"/>
      <c r="H459" s="257" t="n">
        <v>93000</v>
      </c>
      <c r="I459" s="258" t="n"/>
      <c r="J459" s="258" t="n">
        <v>93000</v>
      </c>
      <c r="K459" s="233" t="n"/>
      <c r="L459" s="233" t="n">
        <v>31000</v>
      </c>
      <c r="M459" s="156" t="n"/>
    </row>
    <row r="460" ht="15.75" customHeight="1" s="153">
      <c r="A460" s="227" t="n"/>
      <c r="B460" s="228" t="inlineStr">
        <is>
          <t>QUINTANA 2815</t>
        </is>
      </c>
      <c r="C460" s="229" t="n">
        <v>1</v>
      </c>
      <c r="D460" s="229" t="n"/>
      <c r="E460" s="229" t="n"/>
      <c r="F460" s="230" t="n"/>
      <c r="G460" s="230" t="n"/>
      <c r="H460" s="257" t="n">
        <v>26000</v>
      </c>
      <c r="I460" s="258" t="n">
        <v>26000</v>
      </c>
      <c r="J460" s="258" t="n"/>
      <c r="K460" s="233" t="n"/>
      <c r="L460" s="233" t="n">
        <v>10200</v>
      </c>
      <c r="M460" s="156" t="n"/>
    </row>
    <row r="461" ht="15.75" customHeight="1" s="153">
      <c r="A461" s="227" t="n"/>
      <c r="B461" s="228" t="inlineStr">
        <is>
          <t>PAVÓN 3435</t>
        </is>
      </c>
      <c r="C461" s="229" t="n"/>
      <c r="D461" s="229" t="n">
        <v>1</v>
      </c>
      <c r="E461" s="229" t="n"/>
      <c r="F461" s="230" t="n"/>
      <c r="G461" s="230" t="n"/>
      <c r="H461" s="257" t="n">
        <v>36000</v>
      </c>
      <c r="I461" s="258" t="n">
        <v>36000</v>
      </c>
      <c r="J461" s="258" t="n"/>
      <c r="K461" s="233" t="n"/>
      <c r="L461" s="233" t="n">
        <v>12300</v>
      </c>
      <c r="M461" s="156" t="n"/>
    </row>
    <row r="462" ht="15.75" customHeight="1" s="153">
      <c r="A462" s="227" t="n"/>
      <c r="B462" s="228" t="inlineStr">
        <is>
          <t>ARENALES 10625</t>
        </is>
      </c>
      <c r="C462" s="229" t="n">
        <v>2</v>
      </c>
      <c r="D462" s="229" t="n"/>
      <c r="E462" s="229" t="n"/>
      <c r="F462" s="230" t="n"/>
      <c r="G462" s="230" t="n"/>
      <c r="H462" s="257" t="n">
        <v>40000</v>
      </c>
      <c r="I462" s="258" t="n"/>
      <c r="J462" s="258" t="n">
        <v>40000</v>
      </c>
      <c r="K462" s="233" t="n"/>
      <c r="L462" s="233" t="n">
        <v>8400</v>
      </c>
      <c r="M462" s="156" t="n"/>
    </row>
    <row r="463" ht="15.75" customHeight="1" s="153">
      <c r="A463" s="227" t="n"/>
      <c r="B463" s="228" t="inlineStr">
        <is>
          <t>URQUIZA 5887</t>
        </is>
      </c>
      <c r="C463" s="229" t="n">
        <v>1</v>
      </c>
      <c r="D463" s="229" t="n"/>
      <c r="E463" s="229" t="n"/>
      <c r="F463" s="230" t="n"/>
      <c r="G463" s="230" t="n"/>
      <c r="H463" s="257" t="n">
        <v>26000</v>
      </c>
      <c r="I463" s="258" t="n">
        <v>26000</v>
      </c>
      <c r="J463" s="258" t="n"/>
      <c r="K463" s="233" t="n"/>
      <c r="L463" s="233" t="n">
        <v>10200</v>
      </c>
      <c r="M463" s="156" t="n"/>
    </row>
    <row r="464" ht="15.75" customHeight="1" s="153">
      <c r="A464" s="227" t="n"/>
      <c r="B464" s="228" t="inlineStr">
        <is>
          <t>AGUADO 6970</t>
        </is>
      </c>
      <c r="C464" s="229" t="n">
        <v>1</v>
      </c>
      <c r="D464" s="229" t="n"/>
      <c r="E464" s="229" t="n"/>
      <c r="F464" s="230" t="n"/>
      <c r="G464" s="230" t="n"/>
      <c r="H464" s="257" t="n">
        <v>26000</v>
      </c>
      <c r="I464" s="258" t="n">
        <v>26000</v>
      </c>
      <c r="J464" s="258" t="n"/>
      <c r="K464" s="233" t="n"/>
      <c r="L464" s="233" t="n">
        <v>10200</v>
      </c>
      <c r="M464" s="156" t="n"/>
    </row>
    <row r="465" ht="15.75" customHeight="1" s="153">
      <c r="A465" s="227" t="n"/>
      <c r="B465" s="228" t="inlineStr">
        <is>
          <t>PEDRONI 6521</t>
        </is>
      </c>
      <c r="C465" s="229" t="n">
        <v>2</v>
      </c>
      <c r="D465" s="229" t="n"/>
      <c r="E465" s="229" t="n"/>
      <c r="F465" s="230" t="n"/>
      <c r="G465" s="230" t="n"/>
      <c r="H465" s="257" t="n">
        <v>40000</v>
      </c>
      <c r="I465" s="258" t="n">
        <v>40000</v>
      </c>
      <c r="J465" s="258" t="n"/>
      <c r="K465" s="233" t="n"/>
      <c r="L465" s="233" t="n">
        <v>8400</v>
      </c>
      <c r="M465" s="156" t="n"/>
    </row>
    <row r="466" ht="15.75" customHeight="1" s="153">
      <c r="A466" s="227" t="n"/>
      <c r="B466" s="228" t="inlineStr">
        <is>
          <t>AZCUENAGA 6551</t>
        </is>
      </c>
      <c r="C466" s="229" t="n">
        <v>2</v>
      </c>
      <c r="D466" s="229" t="n"/>
      <c r="E466" s="229" t="n"/>
      <c r="F466" s="230" t="n"/>
      <c r="G466" s="230" t="n"/>
      <c r="H466" s="257" t="n">
        <v>40000</v>
      </c>
      <c r="I466" s="258" t="n">
        <v>40000</v>
      </c>
      <c r="J466" s="258" t="n"/>
      <c r="K466" s="233" t="n"/>
      <c r="L466" s="233" t="n">
        <v>8400</v>
      </c>
      <c r="M466" s="156" t="n"/>
    </row>
    <row r="467" ht="15.75" customHeight="1" s="153">
      <c r="A467" s="227" t="n"/>
      <c r="B467" s="228" t="inlineStr">
        <is>
          <t>LUCHO</t>
        </is>
      </c>
      <c r="C467" s="229" t="n">
        <v>5</v>
      </c>
      <c r="D467" s="229" t="n"/>
      <c r="E467" s="229" t="n"/>
      <c r="F467" s="230" t="n"/>
      <c r="G467" s="230" t="n"/>
      <c r="H467" s="257" t="n">
        <v>100000</v>
      </c>
      <c r="I467" s="258" t="n">
        <v>100000</v>
      </c>
      <c r="J467" s="258" t="n"/>
      <c r="K467" s="233" t="n"/>
      <c r="L467" s="233" t="n">
        <v>21000</v>
      </c>
      <c r="M467" s="156" t="n"/>
    </row>
    <row r="468" ht="15.75" customHeight="1" s="153">
      <c r="A468" s="227" t="n"/>
      <c r="B468" s="228" t="inlineStr">
        <is>
          <t>LOS PRIMOS</t>
        </is>
      </c>
      <c r="C468" s="229" t="n">
        <v>2</v>
      </c>
      <c r="D468" s="229" t="n"/>
      <c r="E468" s="229" t="n"/>
      <c r="F468" s="230" t="n"/>
      <c r="G468" s="230" t="n"/>
      <c r="H468" s="257" t="n">
        <v>54000</v>
      </c>
      <c r="I468" s="258" t="n">
        <v>54000</v>
      </c>
      <c r="J468" s="258" t="n"/>
      <c r="K468" s="233" t="n"/>
      <c r="L468" s="233" t="n">
        <v>22400</v>
      </c>
      <c r="M468" s="156" t="n"/>
    </row>
    <row r="469" ht="15.75" customHeight="1" s="153">
      <c r="A469" s="227" t="n"/>
      <c r="B469" s="228" t="inlineStr">
        <is>
          <t>PEÑALOZA 9757</t>
        </is>
      </c>
      <c r="C469" s="229" t="n">
        <v>1</v>
      </c>
      <c r="D469" s="229" t="n"/>
      <c r="E469" s="229" t="n"/>
      <c r="F469" s="230" t="n"/>
      <c r="G469" s="230" t="n"/>
      <c r="H469" s="257" t="n">
        <v>26000</v>
      </c>
      <c r="I469" s="258" t="n">
        <v>26000</v>
      </c>
      <c r="J469" s="258" t="n"/>
      <c r="K469" s="233" t="n"/>
      <c r="L469" s="233" t="n">
        <v>10200</v>
      </c>
      <c r="M469" s="156" t="n"/>
    </row>
    <row r="470" ht="15.75" customHeight="1" s="153">
      <c r="A470" s="227" t="n"/>
      <c r="B470" s="228" t="inlineStr">
        <is>
          <t>ZAPATA GOLLAN 8107</t>
        </is>
      </c>
      <c r="C470" s="229" t="n">
        <v>1</v>
      </c>
      <c r="D470" s="229" t="n"/>
      <c r="E470" s="229" t="n"/>
      <c r="F470" s="230" t="n"/>
      <c r="G470" s="230" t="n"/>
      <c r="H470" s="257" t="n">
        <v>26000</v>
      </c>
      <c r="I470" s="258" t="n"/>
      <c r="J470" s="258" t="n">
        <v>26000</v>
      </c>
      <c r="K470" s="233" t="n"/>
      <c r="L470" s="233" t="n">
        <v>10200</v>
      </c>
      <c r="M470" s="156" t="n"/>
    </row>
    <row r="471" ht="15.75" customHeight="1" s="153">
      <c r="A471" s="227" t="n"/>
      <c r="B471" s="228" t="inlineStr">
        <is>
          <t>PORTON</t>
        </is>
      </c>
      <c r="C471" s="229" t="n">
        <v>1</v>
      </c>
      <c r="D471" s="229" t="n"/>
      <c r="E471" s="229" t="n"/>
      <c r="F471" s="230" t="n"/>
      <c r="G471" s="230" t="n"/>
      <c r="H471" s="257" t="n">
        <v>23000</v>
      </c>
      <c r="I471" s="258" t="n">
        <v>23000</v>
      </c>
      <c r="J471" s="258" t="n"/>
      <c r="K471" s="233" t="n"/>
      <c r="L471" s="233" t="n">
        <v>7200</v>
      </c>
      <c r="M471" s="156" t="n"/>
    </row>
    <row r="472" ht="15.75" customHeight="1" s="153">
      <c r="A472" s="227" t="n"/>
      <c r="B472" s="228" t="inlineStr">
        <is>
          <t>DOMINGO SILVA 4217</t>
        </is>
      </c>
      <c r="C472" s="229" t="n">
        <v>2</v>
      </c>
      <c r="D472" s="229" t="n"/>
      <c r="E472" s="229" t="n"/>
      <c r="F472" s="230" t="n"/>
      <c r="G472" s="230" t="n"/>
      <c r="H472" s="257" t="n">
        <v>40000</v>
      </c>
      <c r="I472" s="258" t="n">
        <v>40000</v>
      </c>
      <c r="J472" s="258" t="n"/>
      <c r="K472" s="233" t="n"/>
      <c r="L472" s="233" t="n">
        <v>8400</v>
      </c>
      <c r="M472" s="156" t="n"/>
    </row>
    <row r="473" ht="15.75" customHeight="1" s="153">
      <c r="A473" s="227" t="n"/>
      <c r="B473" s="228" t="inlineStr">
        <is>
          <t>EUROPA 10419</t>
        </is>
      </c>
      <c r="C473" s="229" t="n">
        <v>2</v>
      </c>
      <c r="D473" s="229" t="n"/>
      <c r="E473" s="229" t="n"/>
      <c r="F473" s="230" t="n"/>
      <c r="G473" s="230" t="n"/>
      <c r="H473" s="257" t="n">
        <v>52000</v>
      </c>
      <c r="I473" s="258" t="n"/>
      <c r="J473" s="258" t="n">
        <v>52000</v>
      </c>
      <c r="K473" s="233" t="n"/>
      <c r="L473" s="233" t="n">
        <v>20400</v>
      </c>
      <c r="M473" s="156" t="n"/>
    </row>
    <row r="474" ht="15.75" customHeight="1" s="153">
      <c r="A474" s="227" t="n"/>
      <c r="B474" s="228" t="inlineStr">
        <is>
          <t>TROPPO</t>
        </is>
      </c>
      <c r="C474" s="229" t="n">
        <v>5</v>
      </c>
      <c r="D474" s="229" t="n"/>
      <c r="E474" s="229" t="n"/>
      <c r="F474" s="230" t="n"/>
      <c r="G474" s="230" t="n"/>
      <c r="H474" s="257" t="n">
        <v>135000</v>
      </c>
      <c r="I474" s="258" t="n">
        <v>135000</v>
      </c>
      <c r="J474" s="258" t="n"/>
      <c r="K474" s="233" t="n"/>
      <c r="L474" s="233" t="n">
        <v>56000</v>
      </c>
      <c r="M474" s="156" t="n"/>
    </row>
    <row r="475" ht="15.75" customHeight="1" s="153">
      <c r="A475" s="227" t="n"/>
      <c r="B475" s="228" t="inlineStr">
        <is>
          <t>SANTA BAR 1 MAYO 1959</t>
        </is>
      </c>
      <c r="C475" s="229" t="n"/>
      <c r="D475" s="229" t="n"/>
      <c r="E475" s="229" t="n">
        <v>1</v>
      </c>
      <c r="F475" s="230" t="n"/>
      <c r="G475" s="230" t="n"/>
      <c r="H475" s="257" t="n">
        <v>88000</v>
      </c>
      <c r="I475" s="258" t="n"/>
      <c r="J475" s="258" t="n">
        <v>88000</v>
      </c>
      <c r="K475" s="233" t="n"/>
      <c r="L475" s="233" t="n">
        <v>26000</v>
      </c>
      <c r="M475" s="156" t="n"/>
    </row>
    <row r="476" ht="15.75" customHeight="1" s="153">
      <c r="A476" s="227" t="n"/>
      <c r="B476" s="228" t="inlineStr">
        <is>
          <t>GOLD BURGER</t>
        </is>
      </c>
      <c r="C476" s="229" t="n">
        <v>5</v>
      </c>
      <c r="D476" s="229" t="n"/>
      <c r="E476" s="229" t="n"/>
      <c r="F476" s="230" t="n"/>
      <c r="G476" s="230" t="n"/>
      <c r="H476" s="257" t="n">
        <v>135000</v>
      </c>
      <c r="I476" s="258" t="n">
        <v>135000</v>
      </c>
      <c r="J476" s="258" t="n"/>
      <c r="K476" s="233" t="n"/>
      <c r="L476" s="233" t="n">
        <v>56000</v>
      </c>
      <c r="M476" s="156" t="n"/>
    </row>
    <row r="477" ht="15.75" customHeight="1" s="153">
      <c r="A477" s="227" t="n"/>
      <c r="B477" s="228" t="inlineStr">
        <is>
          <t>IRALA 2865</t>
        </is>
      </c>
      <c r="C477" s="229" t="n">
        <v>1</v>
      </c>
      <c r="D477" s="229" t="n"/>
      <c r="E477" s="229" t="n"/>
      <c r="F477" s="230" t="n"/>
      <c r="G477" s="230" t="n"/>
      <c r="H477" s="257" t="n">
        <v>26000</v>
      </c>
      <c r="I477" s="258" t="n"/>
      <c r="J477" s="258" t="n">
        <v>26000</v>
      </c>
      <c r="K477" s="233" t="n"/>
      <c r="L477" s="233" t="n">
        <v>10200</v>
      </c>
      <c r="M477" s="156" t="n"/>
    </row>
    <row r="478" ht="15.75" customHeight="1" s="153">
      <c r="A478" s="227" t="n"/>
      <c r="B478" s="228" t="inlineStr">
        <is>
          <t>PANADERO DAVID</t>
        </is>
      </c>
      <c r="C478" s="229" t="n">
        <v>1</v>
      </c>
      <c r="D478" s="229" t="n"/>
      <c r="E478" s="229" t="n"/>
      <c r="F478" s="230" t="n"/>
      <c r="G478" s="230" t="n"/>
      <c r="H478" s="257" t="n">
        <v>23000</v>
      </c>
      <c r="I478" s="258" t="n">
        <v>23000</v>
      </c>
      <c r="J478" s="258" t="n"/>
      <c r="K478" s="233" t="n"/>
      <c r="L478" s="233" t="n">
        <v>7200</v>
      </c>
      <c r="M478" s="156" t="n"/>
    </row>
    <row r="479" ht="15.75" customHeight="1" s="153">
      <c r="A479" s="227" t="n"/>
      <c r="B479" s="228" t="inlineStr">
        <is>
          <t>BELGRANO 6248</t>
        </is>
      </c>
      <c r="C479" s="229" t="n">
        <v>1</v>
      </c>
      <c r="D479" s="229" t="n"/>
      <c r="E479" s="229" t="n"/>
      <c r="F479" s="230" t="n"/>
      <c r="G479" s="230" t="n"/>
      <c r="H479" s="257" t="n">
        <v>26000</v>
      </c>
      <c r="I479" s="258" t="n"/>
      <c r="J479" s="258" t="n">
        <v>26000</v>
      </c>
      <c r="K479" s="233" t="n"/>
      <c r="L479" s="233" t="n">
        <v>10200</v>
      </c>
      <c r="M479" s="156" t="n"/>
    </row>
    <row r="480" ht="15.75" customHeight="1" s="153">
      <c r="A480" s="227" t="n"/>
      <c r="B480" s="228" t="inlineStr">
        <is>
          <t>SAVEDRA 2799</t>
        </is>
      </c>
      <c r="C480" s="229" t="n">
        <v>1</v>
      </c>
      <c r="D480" s="229" t="n"/>
      <c r="E480" s="229" t="n"/>
      <c r="F480" s="230" t="n"/>
      <c r="G480" s="230" t="n"/>
      <c r="H480" s="257" t="n">
        <v>27500</v>
      </c>
      <c r="I480" s="258" t="n">
        <v>27500</v>
      </c>
      <c r="J480" s="258" t="n"/>
      <c r="K480" s="233" t="n"/>
      <c r="L480" s="233" t="n">
        <v>11700</v>
      </c>
      <c r="M480" s="156" t="n"/>
    </row>
    <row r="481" ht="15.75" customHeight="1" s="153">
      <c r="A481" s="227" t="n"/>
      <c r="B481" s="228" t="inlineStr">
        <is>
          <t>BERNARDO IRIGOYEN 6534</t>
        </is>
      </c>
      <c r="C481" s="229" t="n">
        <v>1</v>
      </c>
      <c r="D481" s="229" t="n"/>
      <c r="E481" s="229" t="n"/>
      <c r="F481" s="230" t="n"/>
      <c r="G481" s="230" t="n"/>
      <c r="H481" s="257" t="n">
        <v>26000</v>
      </c>
      <c r="I481" s="258" t="n">
        <v>26000</v>
      </c>
      <c r="J481" s="258" t="n"/>
      <c r="K481" s="233" t="n"/>
      <c r="L481" s="233" t="n">
        <v>10200</v>
      </c>
      <c r="M481" s="156" t="n"/>
    </row>
    <row r="482" ht="15.75" customHeight="1" s="153">
      <c r="A482" s="227" t="n"/>
      <c r="B482" s="228" t="inlineStr">
        <is>
          <t>SANDRA</t>
        </is>
      </c>
      <c r="C482" s="229" t="n">
        <v>1</v>
      </c>
      <c r="D482" s="229" t="n"/>
      <c r="E482" s="229" t="n"/>
      <c r="F482" s="230" t="n"/>
      <c r="G482" s="230" t="n"/>
      <c r="H482" s="257" t="n">
        <v>19500</v>
      </c>
      <c r="I482" s="258" t="n">
        <v>19500</v>
      </c>
      <c r="J482" s="258" t="n"/>
      <c r="K482" s="233" t="n"/>
      <c r="L482" s="233" t="n">
        <v>3700</v>
      </c>
      <c r="M482" s="156" t="n"/>
    </row>
    <row r="483" ht="15.75" customHeight="1" s="153">
      <c r="A483" s="227" t="n"/>
      <c r="B483" s="228" t="inlineStr">
        <is>
          <t>PANA VIEYTES 4500</t>
        </is>
      </c>
      <c r="C483" s="229" t="n"/>
      <c r="D483" s="229" t="n"/>
      <c r="E483" s="229" t="n">
        <v>1</v>
      </c>
      <c r="F483" s="230" t="n"/>
      <c r="G483" s="230" t="n"/>
      <c r="H483" s="257" t="n">
        <v>81000</v>
      </c>
      <c r="I483" s="258" t="n"/>
      <c r="J483" s="258" t="n">
        <v>81000</v>
      </c>
      <c r="K483" s="233" t="n"/>
      <c r="L483" s="233" t="n">
        <v>19000</v>
      </c>
      <c r="M483" s="156" t="n"/>
    </row>
    <row r="484" ht="15.75" customHeight="1" s="153">
      <c r="A484" s="227" t="n"/>
      <c r="B484" s="228" t="inlineStr">
        <is>
          <t>ARGENTA</t>
        </is>
      </c>
      <c r="C484" s="229" t="n">
        <v>1</v>
      </c>
      <c r="D484" s="229" t="n"/>
      <c r="E484" s="229" t="n"/>
      <c r="F484" s="230" t="n"/>
      <c r="G484" s="230" t="n"/>
      <c r="H484" s="257" t="n">
        <v>27000</v>
      </c>
      <c r="I484" s="258" t="n"/>
      <c r="J484" s="258" t="n">
        <v>27000</v>
      </c>
      <c r="K484" s="233" t="n"/>
      <c r="L484" s="233" t="n">
        <v>11200</v>
      </c>
      <c r="M484" s="156" t="n"/>
    </row>
    <row r="485" ht="15.75" customHeight="1" s="153">
      <c r="A485" s="227" t="n"/>
      <c r="B485" s="228" t="inlineStr">
        <is>
          <t>LA MADRID 7500</t>
        </is>
      </c>
      <c r="C485" s="229" t="n">
        <v>1</v>
      </c>
      <c r="D485" s="229" t="n"/>
      <c r="E485" s="229" t="n"/>
      <c r="F485" s="230" t="n"/>
      <c r="G485" s="230" t="n"/>
      <c r="H485" s="257" t="n">
        <v>26000</v>
      </c>
      <c r="I485" s="258" t="n"/>
      <c r="J485" s="258" t="n">
        <v>26000</v>
      </c>
      <c r="K485" s="233" t="n"/>
      <c r="L485" s="233" t="n">
        <v>10200</v>
      </c>
      <c r="M485" s="156" t="n"/>
    </row>
    <row r="486" ht="15.75" customHeight="1" s="153">
      <c r="A486" s="227" t="n"/>
      <c r="B486" s="228" t="inlineStr">
        <is>
          <t>LA CUEVA</t>
        </is>
      </c>
      <c r="C486" s="229" t="n"/>
      <c r="D486" s="229" t="n">
        <v>1</v>
      </c>
      <c r="E486" s="229" t="n"/>
      <c r="F486" s="230" t="n"/>
      <c r="G486" s="230" t="n"/>
      <c r="H486" s="257" t="n">
        <v>34000</v>
      </c>
      <c r="I486" s="258" t="n"/>
      <c r="J486" s="258" t="n">
        <v>34000</v>
      </c>
      <c r="K486" s="233" t="n"/>
      <c r="L486" s="233" t="n">
        <v>10300</v>
      </c>
      <c r="M486" s="156" t="n"/>
    </row>
    <row r="487" ht="15.75" customHeight="1" s="153">
      <c r="A487" s="227" t="n"/>
      <c r="B487" s="228" t="inlineStr">
        <is>
          <t>CASANELLO 3463</t>
        </is>
      </c>
      <c r="C487" s="229" t="n">
        <v>1</v>
      </c>
      <c r="D487" s="229" t="n"/>
      <c r="E487" s="229" t="n"/>
      <c r="F487" s="230" t="n"/>
      <c r="G487" s="230" t="n"/>
      <c r="H487" s="257" t="n">
        <v>26000</v>
      </c>
      <c r="I487" s="258" t="n"/>
      <c r="J487" s="258" t="n">
        <v>26000</v>
      </c>
      <c r="K487" s="233" t="n"/>
      <c r="L487" s="233" t="n">
        <v>10200</v>
      </c>
      <c r="M487" s="156" t="n"/>
    </row>
    <row r="488" ht="15.75" customHeight="1" s="153">
      <c r="A488" s="227" t="n"/>
      <c r="B488" s="228" t="inlineStr">
        <is>
          <t>PARAISOS 3491</t>
        </is>
      </c>
      <c r="C488" s="229" t="n"/>
      <c r="D488" s="229" t="n"/>
      <c r="E488" s="229" t="n">
        <v>1</v>
      </c>
      <c r="F488" s="230" t="n"/>
      <c r="G488" s="230" t="n"/>
      <c r="H488" s="257" t="n">
        <v>91000</v>
      </c>
      <c r="I488" s="258" t="n"/>
      <c r="J488" s="258" t="n">
        <v>91000</v>
      </c>
      <c r="K488" s="233" t="n"/>
      <c r="L488" s="233" t="n">
        <v>29000</v>
      </c>
      <c r="M488" s="156" t="n"/>
    </row>
    <row r="489" ht="15.75" customHeight="1" s="153">
      <c r="A489" s="227" t="n"/>
      <c r="B489" s="228" t="inlineStr">
        <is>
          <t>EUROPA 6856</t>
        </is>
      </c>
      <c r="C489" s="229" t="n">
        <v>1</v>
      </c>
      <c r="D489" s="229" t="n"/>
      <c r="E489" s="229" t="n"/>
      <c r="F489" s="230" t="n"/>
      <c r="G489" s="230" t="n"/>
      <c r="H489" s="257" t="n">
        <v>26000</v>
      </c>
      <c r="I489" s="258" t="n">
        <v>26000</v>
      </c>
      <c r="J489" s="258" t="n"/>
      <c r="K489" s="233" t="n"/>
      <c r="L489" s="233" t="n">
        <v>10200</v>
      </c>
      <c r="M489" s="156" t="n"/>
    </row>
    <row r="490" ht="15.75" customHeight="1" s="153">
      <c r="A490" s="227" t="n"/>
      <c r="B490" s="228" t="inlineStr">
        <is>
          <t>ROTI VIEYTES</t>
        </is>
      </c>
      <c r="C490" s="229" t="n"/>
      <c r="D490" s="229" t="n">
        <v>1</v>
      </c>
      <c r="E490" s="229" t="n"/>
      <c r="F490" s="230" t="n"/>
      <c r="G490" s="230" t="n"/>
      <c r="H490" s="257" t="n">
        <v>32000</v>
      </c>
      <c r="I490" s="258" t="n"/>
      <c r="J490" s="258" t="n">
        <v>32000</v>
      </c>
      <c r="K490" s="233" t="n"/>
      <c r="L490" s="233" t="n">
        <v>8300</v>
      </c>
      <c r="M490" s="156" t="n"/>
    </row>
    <row r="491" ht="15.75" customHeight="1" s="153">
      <c r="A491" s="227" t="n"/>
      <c r="B491" s="228" t="inlineStr">
        <is>
          <t>DANA</t>
        </is>
      </c>
      <c r="C491" s="229" t="n">
        <v>4</v>
      </c>
      <c r="D491" s="229" t="n">
        <v>1</v>
      </c>
      <c r="E491" s="229" t="n"/>
      <c r="F491" s="230" t="n"/>
      <c r="G491" s="230" t="n"/>
      <c r="H491" s="257" t="n">
        <v>111000</v>
      </c>
      <c r="I491" s="258" t="n"/>
      <c r="J491" s="258" t="n">
        <v>111000</v>
      </c>
      <c r="K491" s="233" t="n"/>
      <c r="L491" s="233" t="n">
        <v>24100</v>
      </c>
      <c r="M491" s="156" t="n"/>
    </row>
    <row r="492" ht="15.75" customHeight="1" s="153">
      <c r="A492" s="227" t="n">
        <v>46166</v>
      </c>
      <c r="B492" s="228" t="inlineStr">
        <is>
          <t>FILOMENA</t>
        </is>
      </c>
      <c r="C492" s="229" t="n">
        <v>2</v>
      </c>
      <c r="D492" s="229" t="n"/>
      <c r="E492" s="229" t="n"/>
      <c r="F492" s="230" t="n"/>
      <c r="G492" s="230" t="n"/>
      <c r="H492" s="257" t="n">
        <v>49000</v>
      </c>
      <c r="I492" s="258" t="n"/>
      <c r="J492" s="258" t="n">
        <v>49000</v>
      </c>
      <c r="K492" s="233" t="n"/>
      <c r="L492" s="233" t="n">
        <v>17400</v>
      </c>
      <c r="M492" s="156" t="n"/>
    </row>
    <row r="493" ht="15.75" customHeight="1" s="153">
      <c r="A493" s="227" t="n"/>
      <c r="B493" s="228" t="inlineStr">
        <is>
          <t>ROTI SAN JUAN 6363</t>
        </is>
      </c>
      <c r="C493" s="229" t="n"/>
      <c r="D493" s="229" t="n">
        <v>1</v>
      </c>
      <c r="E493" s="229" t="n"/>
      <c r="F493" s="230" t="n"/>
      <c r="G493" s="230" t="n"/>
      <c r="H493" s="257" t="n">
        <v>34000</v>
      </c>
      <c r="I493" s="258" t="n"/>
      <c r="J493" s="258" t="n">
        <v>34000</v>
      </c>
      <c r="K493" s="233" t="n"/>
      <c r="L493" s="233" t="n">
        <v>10300</v>
      </c>
      <c r="M493" s="156" t="n"/>
    </row>
    <row r="494" ht="15.75" customHeight="1" s="153">
      <c r="A494" s="227" t="n"/>
      <c r="B494" s="228" t="inlineStr">
        <is>
          <t>ALBERDI 4262</t>
        </is>
      </c>
      <c r="C494" s="229" t="n">
        <v>1</v>
      </c>
      <c r="D494" s="229" t="n"/>
      <c r="E494" s="229" t="n"/>
      <c r="F494" s="230" t="n"/>
      <c r="G494" s="230" t="n"/>
      <c r="H494" s="257" t="n">
        <v>27000</v>
      </c>
      <c r="I494" s="258" t="n">
        <v>27000</v>
      </c>
      <c r="J494" s="258" t="n"/>
      <c r="K494" s="233" t="n"/>
      <c r="L494" s="233" t="n">
        <v>11200</v>
      </c>
      <c r="M494" s="156" t="n"/>
    </row>
    <row r="495" ht="15.75" customHeight="1" s="153">
      <c r="A495" s="227" t="n"/>
      <c r="B495" s="228" t="inlineStr">
        <is>
          <t>PORKIS</t>
        </is>
      </c>
      <c r="C495" s="229" t="n">
        <v>1</v>
      </c>
      <c r="D495" s="229" t="n"/>
      <c r="E495" s="229" t="n"/>
      <c r="F495" s="230" t="n"/>
      <c r="G495" s="230" t="n"/>
      <c r="H495" s="257" t="n">
        <v>24000</v>
      </c>
      <c r="I495" s="258" t="n"/>
      <c r="J495" s="258" t="n">
        <v>24000</v>
      </c>
      <c r="K495" s="233" t="n"/>
      <c r="L495" s="233" t="n">
        <v>8200</v>
      </c>
      <c r="M495" s="156" t="n"/>
    </row>
    <row r="496" ht="15.75" customHeight="1" s="153">
      <c r="A496" s="227" t="n"/>
      <c r="B496" s="228" t="inlineStr">
        <is>
          <t>MISIONES 2146</t>
        </is>
      </c>
      <c r="C496" s="229" t="n"/>
      <c r="D496" s="229" t="n"/>
      <c r="E496" s="229" t="n">
        <v>1</v>
      </c>
      <c r="F496" s="230" t="n"/>
      <c r="G496" s="230" t="n"/>
      <c r="H496" s="257" t="n">
        <v>91000</v>
      </c>
      <c r="I496" s="258" t="n">
        <v>91000</v>
      </c>
      <c r="J496" s="258" t="n"/>
      <c r="K496" s="233" t="n"/>
      <c r="L496" s="233" t="n">
        <v>29000</v>
      </c>
      <c r="M496" s="156" t="n"/>
    </row>
    <row r="497" ht="15.75" customHeight="1" s="153">
      <c r="A497" s="227" t="n"/>
      <c r="B497" s="228" t="inlineStr">
        <is>
          <t>CALLEJON AGUIRRE 1974</t>
        </is>
      </c>
      <c r="C497" s="229" t="n"/>
      <c r="D497" s="229" t="n"/>
      <c r="E497" s="229" t="n">
        <v>1</v>
      </c>
      <c r="F497" s="230" t="n"/>
      <c r="G497" s="230" t="n"/>
      <c r="H497" s="257" t="n">
        <v>91000</v>
      </c>
      <c r="I497" s="258" t="n"/>
      <c r="J497" s="258" t="n">
        <v>91000</v>
      </c>
      <c r="K497" s="233" t="n"/>
      <c r="L497" s="233" t="n">
        <v>29000</v>
      </c>
      <c r="M497" s="156" t="n"/>
    </row>
    <row r="498" ht="15.75" customHeight="1" s="153">
      <c r="A498" s="227" t="n"/>
      <c r="B498" s="228" t="inlineStr">
        <is>
          <t>GISE PANA</t>
        </is>
      </c>
      <c r="C498" s="229" t="n">
        <v>1</v>
      </c>
      <c r="D498" s="229" t="n"/>
      <c r="E498" s="229" t="n"/>
      <c r="F498" s="230" t="n">
        <v>2</v>
      </c>
      <c r="G498" s="230" t="n"/>
      <c r="H498" s="257" t="n">
        <v>31500</v>
      </c>
      <c r="I498" s="258" t="n"/>
      <c r="J498" s="258" t="n">
        <v>31500</v>
      </c>
      <c r="K498" s="233" t="n"/>
      <c r="L498" s="233" t="n">
        <v>11100</v>
      </c>
      <c r="M498" s="156" t="n"/>
    </row>
    <row r="499" ht="15.75" customHeight="1" s="153">
      <c r="A499" s="227" t="n"/>
      <c r="B499" s="228" t="inlineStr">
        <is>
          <t>PANA GENESIO</t>
        </is>
      </c>
      <c r="C499" s="229" t="n"/>
      <c r="D499" s="229" t="n"/>
      <c r="E499" s="229" t="n">
        <v>1</v>
      </c>
      <c r="F499" s="230" t="n"/>
      <c r="G499" s="230" t="n"/>
      <c r="H499" s="257" t="n">
        <v>79000</v>
      </c>
      <c r="I499" s="258" t="n">
        <v>79000</v>
      </c>
      <c r="J499" s="258" t="n"/>
      <c r="K499" s="233" t="n"/>
      <c r="L499" s="233" t="n">
        <v>17000</v>
      </c>
      <c r="M499" s="156" t="n"/>
    </row>
    <row r="500" ht="15.75" customHeight="1" s="153">
      <c r="A500" s="227" t="n"/>
      <c r="B500" s="228" t="inlineStr">
        <is>
          <t>PAVON 2946</t>
        </is>
      </c>
      <c r="C500" s="229" t="n">
        <v>1</v>
      </c>
      <c r="D500" s="229" t="n"/>
      <c r="E500" s="229" t="n"/>
      <c r="F500" s="230" t="n"/>
      <c r="G500" s="230" t="n"/>
      <c r="H500" s="257" t="n">
        <v>26000</v>
      </c>
      <c r="I500" s="258" t="n"/>
      <c r="J500" s="258" t="n">
        <v>26000</v>
      </c>
      <c r="K500" s="233" t="n"/>
      <c r="L500" s="233" t="n">
        <v>10200</v>
      </c>
      <c r="M500" s="156" t="n"/>
    </row>
    <row r="501" ht="21.75" customHeight="1" s="153">
      <c r="A501" s="227" t="n"/>
      <c r="B501" s="228" t="inlineStr">
        <is>
          <t>TROPPO</t>
        </is>
      </c>
      <c r="C501" s="229" t="n">
        <v>5</v>
      </c>
      <c r="D501" s="229" t="n"/>
      <c r="E501" s="229" t="n"/>
      <c r="F501" s="230" t="n"/>
      <c r="G501" s="230" t="n"/>
      <c r="H501" s="257" t="n">
        <v>135000</v>
      </c>
      <c r="I501" s="258" t="n">
        <v>135000</v>
      </c>
      <c r="J501" s="258" t="n"/>
      <c r="K501" s="233" t="n"/>
      <c r="L501" s="233" t="n">
        <v>56000</v>
      </c>
      <c r="M501" s="156" t="n"/>
    </row>
    <row r="502" ht="15" customHeight="1" s="153">
      <c r="A502" s="227" t="n"/>
      <c r="B502" s="228" t="inlineStr">
        <is>
          <t>ENTRE RÍOS 3350</t>
        </is>
      </c>
      <c r="C502" s="229" t="n">
        <v>1</v>
      </c>
      <c r="D502" s="229" t="n"/>
      <c r="E502" s="229" t="n"/>
      <c r="F502" s="230" t="n"/>
      <c r="G502" s="230" t="n"/>
      <c r="H502" s="257" t="n">
        <v>26000</v>
      </c>
      <c r="I502" s="258" t="n">
        <v>26000</v>
      </c>
      <c r="J502" s="258" t="n"/>
      <c r="K502" s="233" t="n"/>
      <c r="L502" s="233" t="n">
        <v>10200</v>
      </c>
      <c r="M502" s="156" t="n"/>
    </row>
    <row r="503" ht="15" customHeight="1" s="153">
      <c r="A503" s="227" t="n"/>
      <c r="B503" s="228" t="inlineStr">
        <is>
          <t>TUYA ABUELA</t>
        </is>
      </c>
      <c r="C503" s="229" t="n">
        <v>1</v>
      </c>
      <c r="D503" s="229" t="n">
        <v>1</v>
      </c>
      <c r="E503" s="229" t="n"/>
      <c r="F503" s="230" t="n"/>
      <c r="G503" s="230" t="n"/>
      <c r="H503" s="257" t="n">
        <v>69000</v>
      </c>
      <c r="I503" s="258" t="n">
        <v>69000</v>
      </c>
      <c r="J503" s="258" t="n"/>
      <c r="K503" s="233" t="n"/>
      <c r="L503" s="233" t="n">
        <v>29500</v>
      </c>
      <c r="M503" s="156" t="n"/>
    </row>
    <row r="504" ht="15" customHeight="1" s="153">
      <c r="A504" s="227" t="n"/>
      <c r="B504" s="228" t="inlineStr">
        <is>
          <t>PARAGUAY 10318</t>
        </is>
      </c>
      <c r="C504" s="229" t="n">
        <v>1</v>
      </c>
      <c r="D504" s="229" t="n"/>
      <c r="E504" s="229" t="n"/>
      <c r="F504" s="230" t="n"/>
      <c r="G504" s="230" t="n"/>
      <c r="H504" s="257" t="n">
        <v>26000</v>
      </c>
      <c r="I504" s="258" t="n"/>
      <c r="J504" s="258" t="n">
        <v>26000</v>
      </c>
      <c r="K504" s="233" t="n"/>
      <c r="L504" s="233" t="n">
        <v>10200</v>
      </c>
      <c r="M504" s="156" t="n"/>
    </row>
    <row r="505" ht="15" customHeight="1" s="153">
      <c r="A505" s="227" t="n"/>
      <c r="B505" s="228" t="inlineStr">
        <is>
          <t>LUCHO</t>
        </is>
      </c>
      <c r="C505" s="229" t="n">
        <v>1</v>
      </c>
      <c r="D505" s="229" t="n">
        <v>1</v>
      </c>
      <c r="E505" s="229" t="n"/>
      <c r="F505" s="230" t="n"/>
      <c r="G505" s="230" t="n"/>
      <c r="H505" s="257" t="n">
        <v>51500</v>
      </c>
      <c r="I505" s="258" t="n">
        <v>51500</v>
      </c>
      <c r="J505" s="258" t="n"/>
      <c r="K505" s="233" t="n"/>
      <c r="L505" s="233" t="n">
        <v>12000</v>
      </c>
      <c r="M505" s="156" t="n"/>
    </row>
    <row r="506" ht="15" customHeight="1" s="153">
      <c r="A506" s="227" t="n"/>
      <c r="B506" s="228" t="inlineStr">
        <is>
          <t>BERNARDO IRIGOYEN 8381</t>
        </is>
      </c>
      <c r="C506" s="229" t="n"/>
      <c r="D506" s="229" t="n"/>
      <c r="E506" s="229" t="n">
        <v>1</v>
      </c>
      <c r="F506" s="230" t="n"/>
      <c r="G506" s="230" t="n"/>
      <c r="H506" s="257" t="n">
        <v>91000</v>
      </c>
      <c r="I506" s="258" t="n">
        <v>91000</v>
      </c>
      <c r="J506" s="258" t="n"/>
      <c r="K506" s="233" t="n"/>
      <c r="L506" s="233" t="n">
        <v>29000</v>
      </c>
      <c r="M506" s="156" t="n"/>
    </row>
    <row r="507" ht="15" customHeight="1" s="153">
      <c r="A507" s="227" t="n"/>
      <c r="B507" s="228" t="inlineStr">
        <is>
          <t>BAR DEL SUR</t>
        </is>
      </c>
      <c r="C507" s="229" t="n">
        <v>1</v>
      </c>
      <c r="D507" s="229" t="n"/>
      <c r="E507" s="229" t="n"/>
      <c r="F507" s="230" t="n"/>
      <c r="G507" s="230" t="n"/>
      <c r="H507" s="257" t="n">
        <v>27000</v>
      </c>
      <c r="I507" s="258" t="n">
        <v>27000</v>
      </c>
      <c r="J507" s="258" t="n"/>
      <c r="K507" s="233" t="n"/>
      <c r="L507" s="233" t="n">
        <v>11200</v>
      </c>
      <c r="M507" s="156" t="n"/>
    </row>
    <row r="508" ht="15" customHeight="1" s="153">
      <c r="A508" s="227" t="n"/>
      <c r="B508" s="228" t="inlineStr">
        <is>
          <t>BRASERIA</t>
        </is>
      </c>
      <c r="C508" s="229" t="n"/>
      <c r="D508" s="229" t="n"/>
      <c r="E508" s="229" t="n">
        <v>1</v>
      </c>
      <c r="F508" s="230" t="n"/>
      <c r="G508" s="230" t="n"/>
      <c r="H508" s="257" t="n">
        <v>86000</v>
      </c>
      <c r="I508" s="258" t="n"/>
      <c r="J508" s="258" t="n">
        <v>86000</v>
      </c>
      <c r="K508" s="233" t="n"/>
      <c r="L508" s="233" t="n">
        <v>24000</v>
      </c>
      <c r="M508" s="156" t="n"/>
    </row>
    <row r="509" ht="15" customHeight="1" s="153">
      <c r="A509" s="227" t="n"/>
      <c r="B509" s="228" t="inlineStr">
        <is>
          <t>PADILLA 1747</t>
        </is>
      </c>
      <c r="C509" s="229" t="n">
        <v>1</v>
      </c>
      <c r="D509" s="229" t="n"/>
      <c r="E509" s="229" t="n"/>
      <c r="F509" s="230" t="n"/>
      <c r="G509" s="230" t="n"/>
      <c r="H509" s="257" t="n">
        <v>26500</v>
      </c>
      <c r="I509" s="258" t="n"/>
      <c r="J509" s="258" t="n">
        <v>26500</v>
      </c>
      <c r="K509" s="233" t="n"/>
      <c r="L509" s="233" t="n">
        <v>10700</v>
      </c>
      <c r="M509" s="156" t="n"/>
    </row>
    <row r="510" ht="15" customHeight="1" s="153">
      <c r="A510" s="227" t="n"/>
      <c r="B510" s="228" t="inlineStr">
        <is>
          <t>LA MADRID 4736</t>
        </is>
      </c>
      <c r="C510" s="229" t="n">
        <v>1</v>
      </c>
      <c r="D510" s="229" t="n"/>
      <c r="E510" s="229" t="n"/>
      <c r="F510" s="230" t="n"/>
      <c r="G510" s="230" t="n"/>
      <c r="H510" s="257" t="n">
        <v>26000</v>
      </c>
      <c r="I510" s="258" t="n">
        <v>26000</v>
      </c>
      <c r="J510" s="258" t="n"/>
      <c r="K510" s="233" t="n"/>
      <c r="L510" s="233" t="n">
        <v>10200</v>
      </c>
      <c r="M510" s="156" t="n"/>
    </row>
    <row r="511" ht="15" customHeight="1" s="153">
      <c r="A511" s="227" t="n"/>
      <c r="B511" s="228" t="inlineStr">
        <is>
          <t>1980 LEMON</t>
        </is>
      </c>
      <c r="C511" s="229" t="n">
        <v>4</v>
      </c>
      <c r="D511" s="229" t="n"/>
      <c r="E511" s="229" t="n"/>
      <c r="F511" s="230" t="n"/>
      <c r="G511" s="230" t="n"/>
      <c r="H511" s="257" t="n">
        <v>112000</v>
      </c>
      <c r="I511" s="258" t="n"/>
      <c r="J511" s="258" t="n">
        <v>112000</v>
      </c>
      <c r="K511" s="233" t="n"/>
      <c r="L511" s="233" t="n">
        <v>48800</v>
      </c>
      <c r="M511" s="156" t="n"/>
    </row>
    <row r="512" ht="15" customHeight="1" s="153">
      <c r="A512" s="227" t="n"/>
      <c r="B512" s="228" t="inlineStr">
        <is>
          <t>SANDRA</t>
        </is>
      </c>
      <c r="C512" s="229" t="n">
        <v>2</v>
      </c>
      <c r="D512" s="229" t="n"/>
      <c r="E512" s="229" t="n"/>
      <c r="F512" s="230" t="n"/>
      <c r="G512" s="230" t="n"/>
      <c r="H512" s="257" t="n">
        <v>39000</v>
      </c>
      <c r="I512" s="258" t="n">
        <v>39000</v>
      </c>
      <c r="J512" s="258" t="n"/>
      <c r="K512" s="233" t="n"/>
      <c r="L512" s="233" t="n">
        <v>7400</v>
      </c>
      <c r="M512" s="156" t="n"/>
    </row>
    <row r="513" ht="15" customHeight="1" s="153">
      <c r="A513" s="227" t="n"/>
      <c r="B513" s="228" t="inlineStr">
        <is>
          <t>ALBERTI 5298</t>
        </is>
      </c>
      <c r="C513" s="229" t="n">
        <v>2</v>
      </c>
      <c r="D513" s="229" t="n"/>
      <c r="E513" s="229" t="n"/>
      <c r="F513" s="230" t="n"/>
      <c r="G513" s="230" t="n"/>
      <c r="H513" s="257" t="n">
        <v>46000</v>
      </c>
      <c r="I513" s="258" t="n"/>
      <c r="J513" s="258" t="n">
        <v>46000</v>
      </c>
      <c r="K513" s="233" t="n"/>
      <c r="L513" s="233" t="n">
        <v>14400</v>
      </c>
      <c r="M513" s="156" t="n"/>
    </row>
    <row r="514" ht="15" customHeight="1" s="153">
      <c r="A514" s="227" t="n"/>
      <c r="B514" s="228" t="inlineStr">
        <is>
          <t>LA CUEVA</t>
        </is>
      </c>
      <c r="C514" s="229" t="n">
        <v>1</v>
      </c>
      <c r="D514" s="229" t="n"/>
      <c r="E514" s="229" t="n"/>
      <c r="F514" s="230" t="n"/>
      <c r="G514" s="230" t="n"/>
      <c r="H514" s="257" t="n">
        <v>23500</v>
      </c>
      <c r="I514" s="258" t="n">
        <v>23500</v>
      </c>
      <c r="J514" s="258" t="n"/>
      <c r="K514" s="233" t="n"/>
      <c r="L514" s="233" t="n">
        <v>7700</v>
      </c>
      <c r="M514" s="156" t="n"/>
    </row>
    <row r="515" ht="15" customHeight="1" s="153">
      <c r="A515" s="227" t="n">
        <v>46167</v>
      </c>
      <c r="B515" s="228" t="inlineStr">
        <is>
          <t>DOMINGO SILVA 4217</t>
        </is>
      </c>
      <c r="C515" s="229" t="n">
        <v>2</v>
      </c>
      <c r="D515" s="229" t="n">
        <v>1</v>
      </c>
      <c r="E515" s="229" t="n"/>
      <c r="F515" s="230" t="n"/>
      <c r="G515" s="230" t="n"/>
      <c r="H515" s="257" t="n">
        <v>71000</v>
      </c>
      <c r="I515" s="258" t="n">
        <v>71000</v>
      </c>
      <c r="J515" s="258" t="n"/>
      <c r="K515" s="233" t="n"/>
      <c r="L515" s="233" t="n">
        <v>15700</v>
      </c>
      <c r="M515" s="156" t="n"/>
    </row>
    <row r="516" ht="15" customHeight="1" s="153">
      <c r="A516" s="227" t="n"/>
      <c r="B516" s="228" t="inlineStr">
        <is>
          <t>9 DE JULIO 1144</t>
        </is>
      </c>
      <c r="C516" s="229" t="n"/>
      <c r="D516" s="229" t="n"/>
      <c r="E516" s="229" t="n">
        <v>2</v>
      </c>
      <c r="F516" s="230" t="n"/>
      <c r="G516" s="230" t="n"/>
      <c r="H516" s="257" t="n">
        <v>178000</v>
      </c>
      <c r="I516" s="258" t="n"/>
      <c r="J516" s="258" t="n">
        <v>178000</v>
      </c>
      <c r="K516" s="233" t="n"/>
      <c r="L516" s="233" t="n">
        <v>54000</v>
      </c>
      <c r="M516" s="156" t="n"/>
    </row>
    <row r="517" ht="15" customHeight="1" s="153">
      <c r="A517" s="227" t="n"/>
      <c r="B517" s="228" t="inlineStr">
        <is>
          <t>GENEIRO 8249</t>
        </is>
      </c>
      <c r="C517" s="229" t="n">
        <v>1</v>
      </c>
      <c r="D517" s="229" t="n"/>
      <c r="E517" s="229" t="n"/>
      <c r="F517" s="230" t="n"/>
      <c r="G517" s="230" t="n"/>
      <c r="H517" s="257" t="n">
        <v>26000</v>
      </c>
      <c r="I517" s="258" t="n"/>
      <c r="J517" s="258" t="n">
        <v>26000</v>
      </c>
      <c r="K517" s="233" t="n"/>
      <c r="L517" s="233" t="n">
        <v>10200</v>
      </c>
      <c r="M517" s="156" t="n"/>
    </row>
    <row r="518" ht="15" customHeight="1" s="153">
      <c r="A518" s="227" t="n"/>
      <c r="B518" s="228" t="inlineStr">
        <is>
          <t>CARRASCO 9330</t>
        </is>
      </c>
      <c r="C518" s="229" t="n">
        <v>1</v>
      </c>
      <c r="D518" s="229" t="n"/>
      <c r="E518" s="229" t="n"/>
      <c r="F518" s="230" t="n"/>
      <c r="G518" s="230" t="n"/>
      <c r="H518" s="257" t="n">
        <v>26000</v>
      </c>
      <c r="I518" s="258" t="n"/>
      <c r="J518" s="258" t="n">
        <v>26000</v>
      </c>
      <c r="K518" s="233" t="n"/>
      <c r="L518" s="233" t="n">
        <v>10200</v>
      </c>
      <c r="M518" s="156" t="n"/>
    </row>
    <row r="519" ht="15" customHeight="1" s="153">
      <c r="A519" s="227" t="n"/>
      <c r="B519" s="228" t="inlineStr">
        <is>
          <t>OTNIEL</t>
        </is>
      </c>
      <c r="C519" s="229" t="n"/>
      <c r="D519" s="229" t="n">
        <v>2</v>
      </c>
      <c r="E519" s="229" t="n"/>
      <c r="F519" s="230" t="n"/>
      <c r="G519" s="230" t="n"/>
      <c r="H519" s="257" t="n">
        <v>70000</v>
      </c>
      <c r="I519" s="258" t="n"/>
      <c r="J519" s="258" t="n">
        <v>70000</v>
      </c>
      <c r="K519" s="233" t="n"/>
      <c r="L519" s="233" t="n">
        <v>22600</v>
      </c>
      <c r="M519" s="156" t="n"/>
    </row>
    <row r="520" ht="15" customHeight="1" s="153">
      <c r="A520" s="227" t="n"/>
      <c r="B520" s="228" t="inlineStr">
        <is>
          <t>ROTI VIEYTES</t>
        </is>
      </c>
      <c r="C520" s="229" t="n"/>
      <c r="D520" s="229" t="n">
        <v>2</v>
      </c>
      <c r="E520" s="229" t="n"/>
      <c r="F520" s="230" t="n"/>
      <c r="G520" s="230" t="n"/>
      <c r="H520" s="257" t="n">
        <v>64000</v>
      </c>
      <c r="I520" s="258" t="n"/>
      <c r="J520" s="258" t="n">
        <v>64000</v>
      </c>
      <c r="K520" s="233" t="n"/>
      <c r="L520" s="233" t="n">
        <v>16600</v>
      </c>
      <c r="M520" s="156" t="n"/>
    </row>
    <row r="521" ht="15" customHeight="1" s="153">
      <c r="A521" s="227" t="n"/>
      <c r="B521" s="228" t="inlineStr">
        <is>
          <t>LEUMAN 5045</t>
        </is>
      </c>
      <c r="C521" s="229" t="n"/>
      <c r="D521" s="229" t="n">
        <v>1</v>
      </c>
      <c r="E521" s="229" t="n"/>
      <c r="F521" s="230" t="n"/>
      <c r="G521" s="230" t="n"/>
      <c r="H521" s="257" t="n">
        <v>41000</v>
      </c>
      <c r="I521" s="258" t="n"/>
      <c r="J521" s="258" t="n">
        <v>41000</v>
      </c>
      <c r="K521" s="233" t="n"/>
      <c r="L521" s="233" t="n">
        <v>17300</v>
      </c>
      <c r="M521" s="156" t="n"/>
    </row>
    <row r="522" ht="15" customHeight="1" s="153">
      <c r="A522" s="227" t="n"/>
      <c r="B522" s="228" t="inlineStr">
        <is>
          <t>LA PAMPA 5745</t>
        </is>
      </c>
      <c r="C522" s="229" t="n"/>
      <c r="D522" s="229" t="n">
        <v>1</v>
      </c>
      <c r="E522" s="229" t="n"/>
      <c r="F522" s="230" t="n"/>
      <c r="G522" s="230" t="n"/>
      <c r="H522" s="257" t="n">
        <v>41000</v>
      </c>
      <c r="I522" s="258" t="n">
        <v>41000</v>
      </c>
      <c r="J522" s="258" t="n"/>
      <c r="K522" s="233" t="n"/>
      <c r="L522" s="233" t="n">
        <v>17300</v>
      </c>
      <c r="M522" s="156" t="n"/>
    </row>
    <row r="523" ht="15" customHeight="1" s="153">
      <c r="A523" s="227" t="n"/>
      <c r="B523" s="228" t="inlineStr">
        <is>
          <t>PANA GORRITI 4600</t>
        </is>
      </c>
      <c r="C523" s="229" t="n"/>
      <c r="D523" s="229" t="n"/>
      <c r="E523" s="229" t="n">
        <v>1</v>
      </c>
      <c r="F523" s="230" t="n"/>
      <c r="G523" s="230" t="n"/>
      <c r="H523" s="257" t="n">
        <v>84000</v>
      </c>
      <c r="I523" s="258" t="n">
        <v>84000</v>
      </c>
      <c r="J523" s="258" t="n"/>
      <c r="K523" s="233" t="n"/>
      <c r="L523" s="233" t="n">
        <v>22000</v>
      </c>
      <c r="M523" s="156" t="n"/>
    </row>
    <row r="524" ht="15" customHeight="1" s="153">
      <c r="A524" s="227" t="n"/>
      <c r="B524" s="228" t="inlineStr">
        <is>
          <t>LOS PRIMOS</t>
        </is>
      </c>
      <c r="C524" s="229" t="n">
        <v>3</v>
      </c>
      <c r="D524" s="229" t="n"/>
      <c r="E524" s="229" t="n"/>
      <c r="F524" s="230" t="n"/>
      <c r="G524" s="230" t="n"/>
      <c r="H524" s="257" t="n">
        <v>81000</v>
      </c>
      <c r="I524" s="258" t="n">
        <v>81000</v>
      </c>
      <c r="J524" s="258" t="n"/>
      <c r="K524" s="233" t="n"/>
      <c r="L524" s="233" t="n">
        <v>33600</v>
      </c>
      <c r="M524" s="156" t="n"/>
    </row>
    <row r="525" ht="15" customHeight="1" s="153">
      <c r="A525" s="227" t="n"/>
      <c r="B525" s="228" t="inlineStr">
        <is>
          <t>RICARDO ALDAO 3459</t>
        </is>
      </c>
      <c r="C525" s="229" t="n">
        <v>1</v>
      </c>
      <c r="D525" s="229" t="n"/>
      <c r="E525" s="229" t="n"/>
      <c r="F525" s="230" t="n"/>
      <c r="G525" s="230" t="n"/>
      <c r="H525" s="257" t="n">
        <v>26000</v>
      </c>
      <c r="I525" s="258" t="n">
        <v>26000</v>
      </c>
      <c r="J525" s="258" t="n"/>
      <c r="K525" s="233" t="n"/>
      <c r="L525" s="233" t="n">
        <v>10200</v>
      </c>
      <c r="M525" s="156" t="n"/>
    </row>
    <row r="526" ht="15" customHeight="1" s="153">
      <c r="A526" s="227" t="n"/>
      <c r="B526" s="228" t="inlineStr">
        <is>
          <t>FLORENCIO FERNÁNDEZ 6196</t>
        </is>
      </c>
      <c r="C526" s="229" t="n">
        <v>6</v>
      </c>
      <c r="D526" s="229" t="n"/>
      <c r="E526" s="229" t="n"/>
      <c r="F526" s="230" t="n"/>
      <c r="G526" s="230" t="n"/>
      <c r="H526" s="257" t="n">
        <v>120000</v>
      </c>
      <c r="I526" s="258" t="n">
        <v>120000</v>
      </c>
      <c r="J526" s="258" t="n"/>
      <c r="K526" s="233" t="n"/>
      <c r="L526" s="233" t="n">
        <v>25200</v>
      </c>
      <c r="M526" s="156" t="n"/>
    </row>
    <row r="527" ht="15" customHeight="1" s="153">
      <c r="A527" s="227" t="n"/>
      <c r="B527" s="228" t="inlineStr">
        <is>
          <t>LUCHO</t>
        </is>
      </c>
      <c r="C527" s="229" t="n">
        <v>1</v>
      </c>
      <c r="D527" s="229" t="n"/>
      <c r="E527" s="229" t="n"/>
      <c r="F527" s="230" t="n"/>
      <c r="G527" s="230" t="n"/>
      <c r="H527" s="257" t="n">
        <v>20000</v>
      </c>
      <c r="I527" s="258" t="n"/>
      <c r="J527" s="258" t="n">
        <v>20000</v>
      </c>
      <c r="K527" s="233" t="n"/>
      <c r="L527" s="233" t="n">
        <v>4200</v>
      </c>
      <c r="M527" s="156" t="n"/>
    </row>
    <row r="528" ht="15" customHeight="1" s="153">
      <c r="A528" s="227" t="n"/>
      <c r="B528" s="228" t="inlineStr">
        <is>
          <t>LARREA 3164</t>
        </is>
      </c>
      <c r="C528" s="229" t="n">
        <v>1</v>
      </c>
      <c r="D528" s="229" t="n"/>
      <c r="E528" s="229" t="n"/>
      <c r="F528" s="230" t="n"/>
      <c r="G528" s="230" t="n"/>
      <c r="H528" s="257" t="n">
        <v>26000</v>
      </c>
      <c r="I528" s="258" t="n">
        <v>26000</v>
      </c>
      <c r="J528" s="258" t="n"/>
      <c r="K528" s="233" t="n"/>
      <c r="L528" s="233" t="n">
        <v>10200</v>
      </c>
      <c r="M528" s="156" t="n"/>
    </row>
    <row r="529" ht="15" customHeight="1" s="153">
      <c r="A529" s="227" t="n"/>
      <c r="B529" s="228" t="inlineStr">
        <is>
          <t>MADAME CHEESE</t>
        </is>
      </c>
      <c r="C529" s="229" t="n">
        <v>1</v>
      </c>
      <c r="D529" s="229" t="n"/>
      <c r="E529" s="229" t="n"/>
      <c r="F529" s="230" t="n"/>
      <c r="G529" s="230" t="n"/>
      <c r="H529" s="257" t="n">
        <v>25000</v>
      </c>
      <c r="I529" s="258" t="n"/>
      <c r="J529" s="258" t="n">
        <v>25000</v>
      </c>
      <c r="K529" s="233" t="n"/>
      <c r="L529" s="233" t="n">
        <v>9200</v>
      </c>
      <c r="M529" s="156" t="n"/>
    </row>
    <row r="530" ht="15" customHeight="1" s="153">
      <c r="A530" s="261" t="n"/>
      <c r="B530" s="228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33" t="n">
        <v>3700</v>
      </c>
      <c r="M530" s="156" t="n"/>
    </row>
    <row r="531" ht="15" customHeight="1" s="153">
      <c r="A531" s="227" t="n">
        <v>46168</v>
      </c>
      <c r="B531" s="228" t="inlineStr">
        <is>
          <t>SAN LORENZO 2846</t>
        </is>
      </c>
      <c r="C531" s="229" t="n">
        <v>1</v>
      </c>
      <c r="D531" s="229" t="n"/>
      <c r="E531" s="229" t="n"/>
      <c r="F531" s="230" t="n"/>
      <c r="G531" s="230" t="n"/>
      <c r="H531" s="257" t="n">
        <v>26000</v>
      </c>
      <c r="I531" s="258" t="n"/>
      <c r="J531" s="258" t="n">
        <v>26000</v>
      </c>
      <c r="K531" s="233" t="n"/>
      <c r="L531" s="233" t="n">
        <v>10200</v>
      </c>
      <c r="M531" s="156" t="n"/>
    </row>
    <row r="532" ht="15" customHeight="1" s="153">
      <c r="A532" s="227" t="n"/>
      <c r="B532" s="228" t="inlineStr">
        <is>
          <t>HERNANDARIAS 3445</t>
        </is>
      </c>
      <c r="C532" s="229" t="n">
        <v>1</v>
      </c>
      <c r="D532" s="229" t="n"/>
      <c r="E532" s="229" t="n"/>
      <c r="F532" s="230" t="n"/>
      <c r="G532" s="230" t="n"/>
      <c r="H532" s="257" t="n">
        <v>26000</v>
      </c>
      <c r="I532" s="258" t="n">
        <v>26000</v>
      </c>
      <c r="J532" s="258" t="n"/>
      <c r="K532" s="233" t="n"/>
      <c r="L532" s="233" t="n">
        <v>10200</v>
      </c>
      <c r="M532" s="156" t="n"/>
    </row>
    <row r="533" ht="15" customHeight="1" s="153">
      <c r="A533" s="227" t="n"/>
      <c r="B533" s="228" t="inlineStr">
        <is>
          <t>VIANDAS JORGE</t>
        </is>
      </c>
      <c r="C533" s="229" t="n">
        <v>1</v>
      </c>
      <c r="D533" s="229" t="n"/>
      <c r="E533" s="229" t="n"/>
      <c r="F533" s="230" t="n"/>
      <c r="G533" s="230" t="n"/>
      <c r="H533" s="257" t="n">
        <v>23000</v>
      </c>
      <c r="I533" s="258" t="n">
        <v>23000</v>
      </c>
      <c r="J533" s="258" t="n"/>
      <c r="K533" s="233" t="n"/>
      <c r="L533" s="233" t="n">
        <v>7200</v>
      </c>
      <c r="M533" s="156" t="n"/>
    </row>
    <row r="534" ht="15" customHeight="1" s="153">
      <c r="A534" s="227" t="n"/>
      <c r="B534" s="228" t="inlineStr">
        <is>
          <t>AZCUENAGA 2180</t>
        </is>
      </c>
      <c r="C534" s="229" t="n">
        <v>1</v>
      </c>
      <c r="D534" s="229" t="n"/>
      <c r="E534" s="229" t="n"/>
      <c r="F534" s="230" t="n"/>
      <c r="G534" s="230" t="n"/>
      <c r="H534" s="257" t="n">
        <v>27000</v>
      </c>
      <c r="I534" s="258" t="n">
        <v>27000</v>
      </c>
      <c r="J534" s="258" t="n"/>
      <c r="K534" s="233" t="n"/>
      <c r="L534" s="233" t="n">
        <v>11200</v>
      </c>
      <c r="M534" s="156" t="n"/>
    </row>
    <row r="535" ht="15" customHeight="1" s="153">
      <c r="A535" s="227" t="n"/>
      <c r="B535" s="228" t="inlineStr">
        <is>
          <t>PAVON 3941</t>
        </is>
      </c>
      <c r="C535" s="229" t="n">
        <v>1</v>
      </c>
      <c r="D535" s="229" t="n"/>
      <c r="E535" s="229" t="n"/>
      <c r="F535" s="230" t="n"/>
      <c r="G535" s="230" t="n"/>
      <c r="H535" s="257" t="n">
        <v>26000</v>
      </c>
      <c r="I535" s="258" t="n">
        <v>26000</v>
      </c>
      <c r="J535" s="258" t="n"/>
      <c r="K535" s="233" t="n"/>
      <c r="L535" s="233" t="n">
        <v>10200</v>
      </c>
      <c r="M535" s="156" t="n"/>
    </row>
    <row r="536" ht="15" customHeight="1" s="153">
      <c r="A536" s="227" t="n"/>
      <c r="B536" s="228" t="inlineStr">
        <is>
          <t>LA RIOJA 3730</t>
        </is>
      </c>
      <c r="C536" s="229" t="n">
        <v>1</v>
      </c>
      <c r="D536" s="229" t="n"/>
      <c r="E536" s="229" t="n"/>
      <c r="F536" s="230" t="n"/>
      <c r="G536" s="230" t="n"/>
      <c r="H536" s="257" t="n">
        <v>27000</v>
      </c>
      <c r="I536" s="258" t="n">
        <v>27000</v>
      </c>
      <c r="J536" s="258" t="n"/>
      <c r="K536" s="233" t="n"/>
      <c r="L536" s="233" t="n">
        <v>11200</v>
      </c>
      <c r="M536" s="156" t="n"/>
    </row>
    <row r="537" ht="15" customHeight="1" s="153">
      <c r="A537" s="227" t="n"/>
      <c r="B537" s="228" t="inlineStr">
        <is>
          <t>FACUNDO ZUVIRIA 4176</t>
        </is>
      </c>
      <c r="C537" s="229" t="n"/>
      <c r="D537" s="229" t="n"/>
      <c r="E537" s="229" t="n">
        <v>1</v>
      </c>
      <c r="F537" s="230" t="n"/>
      <c r="G537" s="230" t="n"/>
      <c r="H537" s="257" t="n">
        <v>87000</v>
      </c>
      <c r="I537" s="258" t="n"/>
      <c r="J537" s="258" t="n">
        <v>87000</v>
      </c>
      <c r="K537" s="233" t="n"/>
      <c r="L537" s="233" t="n">
        <v>25000</v>
      </c>
      <c r="M537" s="156" t="n"/>
    </row>
    <row r="538" ht="15" customHeight="1" s="153">
      <c r="A538" s="227" t="n"/>
      <c r="B538" s="228" t="inlineStr">
        <is>
          <t>12 DE INFANTERÍA 4278</t>
        </is>
      </c>
      <c r="C538" s="229" t="n">
        <v>1</v>
      </c>
      <c r="D538" s="229" t="n"/>
      <c r="E538" s="229" t="n"/>
      <c r="F538" s="230" t="n"/>
      <c r="G538" s="230" t="n"/>
      <c r="H538" s="257" t="n">
        <v>26000</v>
      </c>
      <c r="I538" s="258" t="n">
        <v>26000</v>
      </c>
      <c r="J538" s="258" t="n"/>
      <c r="K538" s="233" t="n"/>
      <c r="L538" s="233" t="n">
        <v>10200</v>
      </c>
      <c r="M538" s="156" t="n"/>
    </row>
    <row r="539" ht="15" customHeight="1" s="153">
      <c r="A539" s="227" t="n"/>
      <c r="B539" s="228" t="inlineStr">
        <is>
          <t>PEÑALOZA 5565</t>
        </is>
      </c>
      <c r="C539" s="229" t="n">
        <v>1</v>
      </c>
      <c r="D539" s="229" t="n"/>
      <c r="E539" s="229" t="n"/>
      <c r="F539" s="230" t="n"/>
      <c r="G539" s="230" t="n"/>
      <c r="H539" s="257" t="n">
        <v>26000</v>
      </c>
      <c r="I539" s="258" t="n">
        <v>26000</v>
      </c>
      <c r="J539" s="258" t="n"/>
      <c r="K539" s="233" t="n"/>
      <c r="L539" s="233" t="n">
        <v>10200</v>
      </c>
      <c r="M539" s="156" t="n"/>
    </row>
    <row r="540" ht="15" customHeight="1" s="153">
      <c r="A540" s="227" t="n"/>
      <c r="B540" s="228" t="inlineStr">
        <is>
          <t>ALBERTO PARROQUIA SAN ROQUE</t>
        </is>
      </c>
      <c r="C540" s="229" t="n">
        <v>1</v>
      </c>
      <c r="D540" s="229" t="n"/>
      <c r="E540" s="229" t="n"/>
      <c r="F540" s="230" t="n"/>
      <c r="G540" s="230" t="n"/>
      <c r="H540" s="257" t="n">
        <v>27000</v>
      </c>
      <c r="I540" s="258" t="n">
        <v>27000</v>
      </c>
      <c r="J540" s="258" t="n"/>
      <c r="K540" s="233" t="n"/>
      <c r="L540" s="233" t="n">
        <v>11200</v>
      </c>
      <c r="M540" s="156" t="n"/>
    </row>
    <row r="541" ht="15" customHeight="1" s="153">
      <c r="A541" s="227" t="n"/>
      <c r="B541" s="228" t="inlineStr">
        <is>
          <t>REPÚBLICA DE SIRIA 3961</t>
        </is>
      </c>
      <c r="C541" s="229" t="n">
        <v>1</v>
      </c>
      <c r="D541" s="229" t="n"/>
      <c r="E541" s="229" t="n"/>
      <c r="F541" s="230" t="n"/>
      <c r="G541" s="230" t="n"/>
      <c r="H541" s="257" t="n">
        <v>26000</v>
      </c>
      <c r="I541" s="258" t="n"/>
      <c r="J541" s="258" t="n">
        <v>26000</v>
      </c>
      <c r="K541" s="233" t="n"/>
      <c r="L541" s="233" t="n">
        <v>10200</v>
      </c>
      <c r="M541" s="156" t="n"/>
    </row>
    <row r="542" ht="15" customHeight="1" s="153">
      <c r="A542" s="227" t="n"/>
      <c r="B542" s="228" t="inlineStr">
        <is>
          <t>GABOTO 7227</t>
        </is>
      </c>
      <c r="C542" s="229" t="n"/>
      <c r="D542" s="229" t="n">
        <v>1</v>
      </c>
      <c r="E542" s="229" t="n"/>
      <c r="F542" s="230" t="n"/>
      <c r="G542" s="230" t="n"/>
      <c r="H542" s="257" t="n">
        <v>39500</v>
      </c>
      <c r="I542" s="258" t="n"/>
      <c r="J542" s="258" t="n">
        <v>39500</v>
      </c>
      <c r="K542" s="233" t="n"/>
      <c r="L542" s="233" t="n">
        <v>15800</v>
      </c>
      <c r="M542" s="156" t="n"/>
    </row>
    <row r="543" ht="15" customHeight="1" s="153">
      <c r="A543" s="227" t="n"/>
      <c r="B543" s="228" t="inlineStr">
        <is>
          <t>FILOMENA</t>
        </is>
      </c>
      <c r="C543" s="229" t="n">
        <v>2</v>
      </c>
      <c r="D543" s="229" t="n"/>
      <c r="E543" s="229" t="n"/>
      <c r="F543" s="230" t="n"/>
      <c r="G543" s="230" t="n"/>
      <c r="H543" s="257" t="n">
        <v>49000</v>
      </c>
      <c r="I543" s="258" t="n"/>
      <c r="J543" s="258" t="n">
        <v>49000</v>
      </c>
      <c r="K543" s="233" t="n"/>
      <c r="L543" s="233" t="n">
        <v>17400</v>
      </c>
      <c r="M543" s="156" t="n"/>
    </row>
    <row r="544" ht="15" customHeight="1" s="153">
      <c r="A544" s="227" t="n"/>
      <c r="B544" s="228" t="inlineStr">
        <is>
          <t>M ZAPATA 2101</t>
        </is>
      </c>
      <c r="C544" s="229" t="n">
        <v>2</v>
      </c>
      <c r="D544" s="229" t="n"/>
      <c r="E544" s="229" t="n"/>
      <c r="F544" s="230" t="n"/>
      <c r="G544" s="230" t="n"/>
      <c r="H544" s="257" t="n">
        <v>42000</v>
      </c>
      <c r="I544" s="258" t="n"/>
      <c r="J544" s="258" t="n">
        <v>42000</v>
      </c>
      <c r="K544" s="233" t="n"/>
      <c r="L544" s="233" t="n">
        <v>10400</v>
      </c>
      <c r="M544" s="156" t="n"/>
    </row>
    <row r="545" ht="15" customHeight="1" s="153">
      <c r="A545" s="227" t="n"/>
      <c r="B545" s="228" t="inlineStr">
        <is>
          <t>PEDRO DE VEGA 1428</t>
        </is>
      </c>
      <c r="C545" s="229" t="n">
        <v>1</v>
      </c>
      <c r="D545" s="229" t="n"/>
      <c r="E545" s="229" t="n"/>
      <c r="F545" s="230" t="n"/>
      <c r="G545" s="230" t="n"/>
      <c r="H545" s="257" t="n">
        <v>26500</v>
      </c>
      <c r="I545" s="258" t="n"/>
      <c r="J545" s="258" t="n">
        <v>26500</v>
      </c>
      <c r="K545" s="233" t="n"/>
      <c r="L545" s="233" t="n">
        <v>10700</v>
      </c>
      <c r="M545" s="156" t="n"/>
    </row>
    <row r="546" ht="15" customHeight="1" s="153">
      <c r="A546" s="227" t="n"/>
      <c r="B546" s="228" t="inlineStr">
        <is>
          <t>GRANDOLI 7655</t>
        </is>
      </c>
      <c r="C546" s="229" t="n"/>
      <c r="D546" s="229" t="n">
        <v>3</v>
      </c>
      <c r="E546" s="229" t="n"/>
      <c r="F546" s="230" t="n"/>
      <c r="G546" s="230" t="n"/>
      <c r="H546" s="257" t="n">
        <v>120000</v>
      </c>
      <c r="I546" s="258" t="n"/>
      <c r="J546" s="258" t="n">
        <v>120000</v>
      </c>
      <c r="K546" s="233" t="n"/>
      <c r="L546" s="233" t="n">
        <v>48900</v>
      </c>
      <c r="M546" s="156" t="n"/>
    </row>
    <row r="547" ht="15" customHeight="1" s="153">
      <c r="A547" s="227" t="n"/>
      <c r="B547" s="228" t="inlineStr">
        <is>
          <t>TROPPO</t>
        </is>
      </c>
      <c r="C547" s="229" t="n">
        <v>2</v>
      </c>
      <c r="D547" s="229" t="n"/>
      <c r="E547" s="229" t="n"/>
      <c r="F547" s="230" t="n"/>
      <c r="G547" s="230" t="n"/>
      <c r="H547" s="257" t="n">
        <v>56000</v>
      </c>
      <c r="I547" s="258" t="n">
        <v>56000</v>
      </c>
      <c r="J547" s="258" t="n"/>
      <c r="K547" s="233" t="n"/>
      <c r="L547" s="233" t="n">
        <v>24400</v>
      </c>
      <c r="M547" s="156" t="n"/>
    </row>
    <row r="548" ht="15" customHeight="1" s="153">
      <c r="A548" s="227" t="n"/>
      <c r="B548" s="228" t="inlineStr">
        <is>
          <t>RICARDO ALDAO 3750</t>
        </is>
      </c>
      <c r="C548" s="229" t="n"/>
      <c r="D548" s="229" t="n"/>
      <c r="E548" s="229" t="n">
        <v>1</v>
      </c>
      <c r="F548" s="230" t="n"/>
      <c r="G548" s="230" t="n"/>
      <c r="H548" s="257" t="n">
        <v>91000</v>
      </c>
      <c r="I548" s="258" t="n">
        <v>91000</v>
      </c>
      <c r="J548" s="258" t="n"/>
      <c r="K548" s="233" t="n"/>
      <c r="L548" s="233" t="n">
        <v>29000</v>
      </c>
      <c r="M548" s="156" t="n"/>
    </row>
    <row r="549" ht="15" customHeight="1" s="153">
      <c r="A549" s="227" t="n"/>
      <c r="B549" s="228" t="inlineStr">
        <is>
          <t>ARENALES 7850</t>
        </is>
      </c>
      <c r="C549" s="229" t="n">
        <v>2</v>
      </c>
      <c r="D549" s="229" t="n"/>
      <c r="E549" s="229" t="n"/>
      <c r="F549" s="230" t="n"/>
      <c r="G549" s="230" t="n"/>
      <c r="H549" s="257" t="n">
        <v>52000</v>
      </c>
      <c r="I549" s="258" t="n">
        <v>52000</v>
      </c>
      <c r="J549" s="258" t="n"/>
      <c r="K549" s="233" t="n"/>
      <c r="L549" s="233" t="n">
        <v>20400</v>
      </c>
      <c r="M549" s="156" t="n"/>
    </row>
    <row r="550" ht="15" customHeight="1" s="153">
      <c r="A550" s="227" t="n">
        <v>46169</v>
      </c>
      <c r="B550" s="228" t="inlineStr">
        <is>
          <t>GRACIELA DALBUSO</t>
        </is>
      </c>
      <c r="C550" s="229" t="n"/>
      <c r="D550" s="229" t="n"/>
      <c r="E550" s="229" t="n">
        <v>1</v>
      </c>
      <c r="F550" s="230" t="n"/>
      <c r="G550" s="230" t="n"/>
      <c r="H550" s="257" t="n">
        <v>88000</v>
      </c>
      <c r="I550" s="258" t="n"/>
      <c r="J550" s="258" t="n">
        <v>88000</v>
      </c>
      <c r="K550" s="233" t="n"/>
      <c r="L550" s="233" t="n">
        <v>26000</v>
      </c>
      <c r="M550" s="156" t="n"/>
    </row>
    <row r="551" ht="15" customHeight="1" s="153">
      <c r="A551" s="227" t="n"/>
      <c r="B551" s="228" t="inlineStr">
        <is>
          <t>EX COMBATIENTES 5583</t>
        </is>
      </c>
      <c r="C551" s="229" t="n">
        <v>1</v>
      </c>
      <c r="D551" s="229" t="n"/>
      <c r="E551" s="229" t="n"/>
      <c r="F551" s="230" t="n"/>
      <c r="G551" s="230" t="n"/>
      <c r="H551" s="257" t="n">
        <v>26500</v>
      </c>
      <c r="I551" s="258" t="n">
        <v>26500</v>
      </c>
      <c r="J551" s="258" t="n"/>
      <c r="K551" s="233" t="n"/>
      <c r="L551" s="233" t="n">
        <v>10700</v>
      </c>
      <c r="M551" s="156" t="n"/>
    </row>
    <row r="552" ht="15" customHeight="1" s="153">
      <c r="A552" s="227" t="n"/>
      <c r="B552" s="228" t="inlineStr">
        <is>
          <t>MARTINEZ 3221</t>
        </is>
      </c>
      <c r="C552" s="229" t="n"/>
      <c r="D552" s="229" t="n"/>
      <c r="E552" s="229" t="n">
        <v>1</v>
      </c>
      <c r="F552" s="230" t="n"/>
      <c r="G552" s="230" t="n"/>
      <c r="H552" s="257" t="n">
        <v>95000</v>
      </c>
      <c r="I552" s="258" t="n"/>
      <c r="J552" s="258" t="n">
        <v>95000</v>
      </c>
      <c r="K552" s="233" t="n"/>
      <c r="L552" s="233" t="n">
        <v>33000</v>
      </c>
      <c r="M552" s="156" t="n"/>
    </row>
    <row r="553" ht="15" customHeight="1" s="153">
      <c r="A553" s="227" t="n"/>
      <c r="B553" s="228" t="inlineStr">
        <is>
          <t>F1 M5 DTO 34</t>
        </is>
      </c>
      <c r="C553" s="229" t="n">
        <v>1</v>
      </c>
      <c r="D553" s="229" t="n"/>
      <c r="E553" s="229" t="n"/>
      <c r="F553" s="230" t="n"/>
      <c r="G553" s="230" t="n"/>
      <c r="H553" s="257" t="n">
        <v>26000</v>
      </c>
      <c r="I553" s="258" t="n">
        <v>26000</v>
      </c>
      <c r="J553" s="258" t="n"/>
      <c r="K553" s="233" t="n"/>
      <c r="L553" s="233" t="n">
        <v>10200</v>
      </c>
      <c r="M553" s="156" t="n"/>
    </row>
    <row r="554" ht="15" customHeight="1" s="153">
      <c r="A554" s="227" t="n"/>
      <c r="B554" s="228" t="inlineStr">
        <is>
          <t>MADAME CHEESE</t>
        </is>
      </c>
      <c r="C554" s="229" t="n"/>
      <c r="D554" s="229" t="n">
        <v>1</v>
      </c>
      <c r="E554" s="229" t="n"/>
      <c r="F554" s="230" t="n"/>
      <c r="G554" s="230" t="n"/>
      <c r="H554" s="257" t="n">
        <v>36000</v>
      </c>
      <c r="I554" s="258" t="n"/>
      <c r="J554" s="258" t="n">
        <v>36000</v>
      </c>
      <c r="K554" s="233" t="n"/>
      <c r="L554" s="233" t="n">
        <v>12300</v>
      </c>
      <c r="M554" s="156" t="n"/>
    </row>
    <row r="555" ht="15" customHeight="1" s="153">
      <c r="A555" s="227" t="n"/>
      <c r="B555" s="228" t="inlineStr">
        <is>
          <t>OTNIEL</t>
        </is>
      </c>
      <c r="C555" s="229" t="n"/>
      <c r="D555" s="229" t="n"/>
      <c r="E555" s="229" t="n"/>
      <c r="F555" s="230" t="n"/>
      <c r="G555" s="230" t="n">
        <v>2</v>
      </c>
      <c r="H555" s="257" t="n">
        <v>13000</v>
      </c>
      <c r="I555" s="258" t="n"/>
      <c r="J555" s="258" t="n">
        <v>13000</v>
      </c>
      <c r="K555" s="233" t="n"/>
      <c r="L555" s="233" t="n">
        <v>11160</v>
      </c>
      <c r="M555" s="156" t="n"/>
    </row>
    <row r="556" ht="15" customHeight="1" s="153">
      <c r="A556" s="227" t="n"/>
      <c r="B556" s="228" t="inlineStr">
        <is>
          <t>LASAGA 7051</t>
        </is>
      </c>
      <c r="C556" s="229" t="n">
        <v>1</v>
      </c>
      <c r="D556" s="229" t="n"/>
      <c r="E556" s="229" t="n"/>
      <c r="F556" s="230" t="n"/>
      <c r="G556" s="230" t="n"/>
      <c r="H556" s="257" t="n">
        <v>26500</v>
      </c>
      <c r="I556" s="258" t="n">
        <v>26500</v>
      </c>
      <c r="J556" s="258" t="n"/>
      <c r="K556" s="233" t="n"/>
      <c r="L556" s="233" t="n">
        <v>10700</v>
      </c>
      <c r="M556" s="156" t="n"/>
    </row>
    <row r="557" ht="15" customHeight="1" s="153">
      <c r="A557" s="227" t="n"/>
      <c r="B557" s="228" t="inlineStr">
        <is>
          <t>SANDRA</t>
        </is>
      </c>
      <c r="C557" s="229" t="n">
        <v>3</v>
      </c>
      <c r="D557" s="229" t="n"/>
      <c r="E557" s="229" t="n"/>
      <c r="F557" s="230" t="n"/>
      <c r="G557" s="230" t="n"/>
      <c r="H557" s="257" t="n">
        <v>58500</v>
      </c>
      <c r="I557" s="258" t="n">
        <v>58500</v>
      </c>
      <c r="J557" s="258" t="n"/>
      <c r="K557" s="233" t="n"/>
      <c r="L557" s="233" t="n">
        <v>11100</v>
      </c>
      <c r="M557" s="156" t="n"/>
    </row>
    <row r="558" ht="15" customHeight="1" s="153">
      <c r="A558" s="227" t="n"/>
      <c r="B558" s="228" t="inlineStr">
        <is>
          <t>BLAS PARERA 5655</t>
        </is>
      </c>
      <c r="C558" s="229" t="n">
        <v>1</v>
      </c>
      <c r="D558" s="229" t="n"/>
      <c r="E558" s="229" t="n"/>
      <c r="F558" s="230" t="n"/>
      <c r="G558" s="230" t="n"/>
      <c r="H558" s="257" t="n">
        <v>26000</v>
      </c>
      <c r="I558" s="258" t="n">
        <v>26000</v>
      </c>
      <c r="J558" s="258" t="n"/>
      <c r="K558" s="233" t="n"/>
      <c r="L558" s="233" t="n">
        <v>10200</v>
      </c>
      <c r="M558" s="156" t="n"/>
    </row>
    <row r="559" ht="15" customHeight="1" s="153">
      <c r="A559" s="227" t="n"/>
      <c r="B559" s="228" t="inlineStr">
        <is>
          <t>TROPPO (2 reguladores)</t>
        </is>
      </c>
      <c r="C559" s="229" t="n"/>
      <c r="D559" s="229" t="n"/>
      <c r="E559" s="229" t="n"/>
      <c r="F559" s="230" t="n"/>
      <c r="G559" s="230" t="n"/>
      <c r="H559" s="257" t="n">
        <v>50000</v>
      </c>
      <c r="I559" s="258" t="n"/>
      <c r="J559" s="258" t="n">
        <v>50000</v>
      </c>
      <c r="K559" s="233" t="n">
        <v>26000</v>
      </c>
      <c r="L559" s="233" t="n">
        <v>26000</v>
      </c>
      <c r="M559" s="156" t="n"/>
    </row>
    <row r="560" ht="15" customHeight="1" s="153">
      <c r="A560" s="227" t="n"/>
      <c r="B560" s="228" t="inlineStr">
        <is>
          <t>PUBLICO 3893</t>
        </is>
      </c>
      <c r="C560" s="229" t="n"/>
      <c r="D560" s="229" t="n">
        <v>1</v>
      </c>
      <c r="E560" s="229" t="n"/>
      <c r="F560" s="230" t="n"/>
      <c r="G560" s="230" t="n"/>
      <c r="H560" s="257" t="n">
        <v>38500</v>
      </c>
      <c r="I560" s="258" t="n"/>
      <c r="J560" s="258" t="n">
        <v>38500</v>
      </c>
      <c r="K560" s="233" t="n"/>
      <c r="L560" s="233" t="n">
        <v>14800</v>
      </c>
      <c r="M560" s="156" t="n"/>
    </row>
    <row r="561" ht="15" customHeight="1" s="153">
      <c r="A561" s="227" t="n"/>
      <c r="B561" s="228" t="inlineStr">
        <is>
          <t>PANA GENESIO</t>
        </is>
      </c>
      <c r="C561" s="229" t="n"/>
      <c r="D561" s="229" t="n"/>
      <c r="E561" s="229" t="n">
        <v>1</v>
      </c>
      <c r="F561" s="230" t="n"/>
      <c r="G561" s="230" t="n"/>
      <c r="H561" s="257" t="n">
        <v>79000</v>
      </c>
      <c r="I561" s="258" t="n">
        <v>79000</v>
      </c>
      <c r="J561" s="258" t="n"/>
      <c r="K561" s="233" t="n"/>
      <c r="L561" s="233" t="n">
        <v>17000</v>
      </c>
      <c r="M561" s="156" t="n"/>
    </row>
    <row r="562" ht="15" customHeight="1" s="153">
      <c r="A562" s="227" t="n"/>
      <c r="B562" s="228" t="inlineStr">
        <is>
          <t>BLAS PARERA 9129</t>
        </is>
      </c>
      <c r="C562" s="229" t="n">
        <v>1</v>
      </c>
      <c r="D562" s="229" t="n"/>
      <c r="E562" s="229" t="n"/>
      <c r="F562" s="230" t="n"/>
      <c r="G562" s="230" t="n"/>
      <c r="H562" s="257" t="n">
        <v>26000</v>
      </c>
      <c r="I562" s="258" t="n">
        <v>26000</v>
      </c>
      <c r="J562" s="258" t="n"/>
      <c r="K562" s="233" t="n"/>
      <c r="L562" s="233" t="n">
        <v>10200</v>
      </c>
      <c r="M562" s="156" t="n"/>
    </row>
    <row r="563" ht="15" customHeight="1" s="153">
      <c r="A563" s="227" t="n"/>
      <c r="B563" s="228" t="inlineStr">
        <is>
          <t>ARISTÓBULO 5137</t>
        </is>
      </c>
      <c r="C563" s="229" t="n">
        <v>1</v>
      </c>
      <c r="D563" s="229" t="n"/>
      <c r="E563" s="229" t="n"/>
      <c r="F563" s="230" t="n"/>
      <c r="G563" s="230" t="n"/>
      <c r="H563" s="257" t="n">
        <v>26500</v>
      </c>
      <c r="I563" s="258" t="n"/>
      <c r="J563" s="258" t="n">
        <v>26500</v>
      </c>
      <c r="K563" s="233" t="n"/>
      <c r="L563" s="233" t="n">
        <v>10700</v>
      </c>
      <c r="M563" s="156" t="n"/>
    </row>
    <row r="564" ht="15" customHeight="1" s="153">
      <c r="A564" s="227" t="n"/>
      <c r="B564" s="228" t="inlineStr">
        <is>
          <t>LARGUIA 6924</t>
        </is>
      </c>
      <c r="C564" s="229" t="n">
        <v>1</v>
      </c>
      <c r="D564" s="229" t="n"/>
      <c r="E564" s="229" t="n"/>
      <c r="F564" s="230" t="n"/>
      <c r="G564" s="230" t="n"/>
      <c r="H564" s="257" t="n">
        <v>26000</v>
      </c>
      <c r="I564" s="258" t="n">
        <v>26000</v>
      </c>
      <c r="J564" s="258" t="n"/>
      <c r="K564" s="233" t="n"/>
      <c r="L564" s="233" t="n">
        <v>10200</v>
      </c>
      <c r="M564" s="156" t="n"/>
    </row>
    <row r="565" ht="15" customHeight="1" s="153">
      <c r="A565" s="227" t="n"/>
      <c r="B565" s="228" t="inlineStr">
        <is>
          <t>LOPES Y PLANES 4585</t>
        </is>
      </c>
      <c r="C565" s="229" t="n">
        <v>1</v>
      </c>
      <c r="D565" s="229" t="n"/>
      <c r="E565" s="229" t="n"/>
      <c r="F565" s="230" t="n"/>
      <c r="G565" s="230" t="n"/>
      <c r="H565" s="257" t="n">
        <v>26000</v>
      </c>
      <c r="I565" s="258" t="n"/>
      <c r="J565" s="258" t="n">
        <v>26000</v>
      </c>
      <c r="K565" s="233" t="n"/>
      <c r="L565" s="233" t="n">
        <v>10200</v>
      </c>
      <c r="M565" s="156" t="n"/>
    </row>
    <row r="566" ht="15" customHeight="1" s="153">
      <c r="A566" s="227" t="n"/>
      <c r="B566" s="228" t="inlineStr">
        <is>
          <t>PANA BERUTI</t>
        </is>
      </c>
      <c r="C566" s="229" t="n"/>
      <c r="D566" s="229" t="n"/>
      <c r="E566" s="229" t="n">
        <v>1</v>
      </c>
      <c r="F566" s="230" t="n"/>
      <c r="G566" s="230" t="n"/>
      <c r="H566" s="257" t="n">
        <v>79000</v>
      </c>
      <c r="I566" s="258" t="n"/>
      <c r="J566" s="258" t="n">
        <v>79000</v>
      </c>
      <c r="K566" s="233" t="n"/>
      <c r="L566" s="233" t="n">
        <v>17000</v>
      </c>
      <c r="M566" s="156" t="n"/>
    </row>
    <row r="567" ht="15" customHeight="1" s="153">
      <c r="A567" s="227" t="n"/>
      <c r="B567" s="228" t="inlineStr">
        <is>
          <t>CAREN</t>
        </is>
      </c>
      <c r="C567" s="229" t="n"/>
      <c r="D567" s="229" t="n"/>
      <c r="E567" s="229" t="n">
        <v>1</v>
      </c>
      <c r="F567" s="230" t="n"/>
      <c r="G567" s="230" t="n"/>
      <c r="H567" s="257" t="n">
        <v>85000</v>
      </c>
      <c r="I567" s="258" t="n"/>
      <c r="J567" s="258" t="n">
        <v>85000</v>
      </c>
      <c r="K567" s="233" t="n"/>
      <c r="L567" s="233" t="n">
        <v>23000</v>
      </c>
      <c r="M567" s="156" t="n"/>
    </row>
    <row r="568" ht="15" customHeight="1" s="153">
      <c r="A568" s="227" t="n"/>
      <c r="B568" s="228" t="inlineStr">
        <is>
          <t>EXE</t>
        </is>
      </c>
      <c r="C568" s="229" t="n"/>
      <c r="D568" s="229" t="n"/>
      <c r="E568" s="229" t="n">
        <v>2</v>
      </c>
      <c r="F568" s="230" t="n"/>
      <c r="G568" s="230" t="n"/>
      <c r="H568" s="257" t="n">
        <v>170000</v>
      </c>
      <c r="I568" s="258" t="n"/>
      <c r="J568" s="258" t="n">
        <v>170000</v>
      </c>
      <c r="K568" s="233" t="n"/>
      <c r="L568" s="233" t="n">
        <v>46000</v>
      </c>
      <c r="M568" s="156" t="n"/>
    </row>
    <row r="569" ht="15" customHeight="1" s="153">
      <c r="A569" s="227" t="n"/>
      <c r="B569" s="228" t="inlineStr">
        <is>
          <t>SABOREAR</t>
        </is>
      </c>
      <c r="C569" s="229" t="n">
        <v>1</v>
      </c>
      <c r="D569" s="229" t="n"/>
      <c r="E569" s="229" t="n"/>
      <c r="F569" s="230" t="n"/>
      <c r="G569" s="230" t="n"/>
      <c r="H569" s="257" t="n">
        <v>23500</v>
      </c>
      <c r="I569" s="258" t="n"/>
      <c r="J569" s="258" t="n">
        <v>23500</v>
      </c>
      <c r="K569" s="233" t="n"/>
      <c r="L569" s="233" t="n">
        <v>7700</v>
      </c>
      <c r="M569" s="156" t="n"/>
    </row>
    <row r="570" ht="15" customHeight="1" s="153">
      <c r="A570" s="227" t="n"/>
      <c r="B570" s="228" t="inlineStr">
        <is>
          <t>LOLI</t>
        </is>
      </c>
      <c r="C570" s="229" t="n">
        <v>1</v>
      </c>
      <c r="D570" s="229" t="n"/>
      <c r="E570" s="229" t="n"/>
      <c r="F570" s="230" t="n">
        <v>6</v>
      </c>
      <c r="G570" s="230" t="n"/>
      <c r="H570" s="257" t="n">
        <v>47000</v>
      </c>
      <c r="I570" s="258" t="n">
        <v>47000</v>
      </c>
      <c r="J570" s="258" t="n"/>
      <c r="K570" s="233" t="n"/>
      <c r="L570" s="233" t="n">
        <v>17400</v>
      </c>
      <c r="M570" s="156" t="n"/>
    </row>
    <row r="571" ht="15" customHeight="1" s="153">
      <c r="A571" s="227" t="n"/>
      <c r="B571" s="228" t="inlineStr">
        <is>
          <t>LAVAISE 3786</t>
        </is>
      </c>
      <c r="C571" s="229" t="n">
        <v>1</v>
      </c>
      <c r="D571" s="229" t="n"/>
      <c r="E571" s="229" t="n"/>
      <c r="F571" s="230" t="n"/>
      <c r="G571" s="230" t="n"/>
      <c r="H571" s="257" t="n">
        <v>26000</v>
      </c>
      <c r="I571" s="258" t="n"/>
      <c r="J571" s="258" t="n">
        <v>26000</v>
      </c>
      <c r="K571" s="233" t="n"/>
      <c r="L571" s="233" t="n">
        <v>10200</v>
      </c>
      <c r="M571" s="156" t="n"/>
    </row>
    <row r="572" ht="15" customHeight="1" s="153">
      <c r="A572" s="227" t="n"/>
      <c r="B572" s="228" t="inlineStr">
        <is>
          <t>1 DE MAYO 8361</t>
        </is>
      </c>
      <c r="C572" s="229" t="n">
        <v>1</v>
      </c>
      <c r="D572" s="229" t="n"/>
      <c r="E572" s="229" t="n"/>
      <c r="F572" s="230" t="n"/>
      <c r="G572" s="230" t="n"/>
      <c r="H572" s="257" t="n">
        <v>26000</v>
      </c>
      <c r="I572" s="258" t="n">
        <v>26000</v>
      </c>
      <c r="J572" s="258" t="n"/>
      <c r="K572" s="233" t="n"/>
      <c r="L572" s="233" t="n">
        <v>10200</v>
      </c>
      <c r="M572" s="156" t="n"/>
    </row>
    <row r="573" ht="15" customHeight="1" s="153">
      <c r="A573" s="227" t="n">
        <v>46170</v>
      </c>
      <c r="B573" s="228" t="inlineStr">
        <is>
          <t>9 DE JULIO 3666</t>
        </is>
      </c>
      <c r="C573" s="229" t="n">
        <v>1</v>
      </c>
      <c r="D573" s="229" t="n"/>
      <c r="E573" s="229" t="n"/>
      <c r="F573" s="230" t="n"/>
      <c r="G573" s="230" t="n"/>
      <c r="H573" s="257" t="n">
        <v>26000</v>
      </c>
      <c r="I573" s="258" t="n">
        <v>26000</v>
      </c>
      <c r="J573" s="258" t="n"/>
      <c r="K573" s="233" t="n"/>
      <c r="L573" s="233" t="n">
        <v>10200</v>
      </c>
      <c r="M573" s="156" t="n"/>
    </row>
    <row r="574" ht="15" customHeight="1" s="153">
      <c r="A574" s="227" t="n"/>
      <c r="B574" s="228" t="inlineStr">
        <is>
          <t>OTNIEL</t>
        </is>
      </c>
      <c r="C574" s="229" t="n"/>
      <c r="D574" s="229" t="n"/>
      <c r="E574" s="229" t="n">
        <v>2</v>
      </c>
      <c r="F574" s="230" t="n"/>
      <c r="G574" s="230" t="n"/>
      <c r="H574" s="257" t="n">
        <v>168000</v>
      </c>
      <c r="I574" s="258" t="n">
        <v>168000</v>
      </c>
      <c r="J574" s="258" t="n"/>
      <c r="K574" s="233" t="n"/>
      <c r="L574" s="233" t="n">
        <v>44000</v>
      </c>
      <c r="M574" s="156" t="n"/>
    </row>
    <row r="575" ht="15" customHeight="1" s="153">
      <c r="A575" s="227" t="n"/>
      <c r="B575" s="228" t="inlineStr">
        <is>
          <t>PANA VIEYTES GISELA</t>
        </is>
      </c>
      <c r="C575" s="229" t="n">
        <v>1</v>
      </c>
      <c r="D575" s="229" t="n"/>
      <c r="E575" s="229" t="n"/>
      <c r="F575" s="230" t="n"/>
      <c r="G575" s="230" t="n"/>
      <c r="H575" s="257" t="n">
        <v>24000</v>
      </c>
      <c r="I575" s="258" t="n"/>
      <c r="J575" s="258" t="n">
        <v>24000</v>
      </c>
      <c r="K575" s="233" t="n"/>
      <c r="L575" s="233" t="n">
        <v>8200</v>
      </c>
      <c r="M575" s="156" t="n"/>
    </row>
    <row r="576" ht="15" customHeight="1" s="153">
      <c r="A576" s="227" t="n"/>
      <c r="B576" s="228" t="inlineStr">
        <is>
          <t>LUCHO</t>
        </is>
      </c>
      <c r="C576" s="229" t="n">
        <v>3</v>
      </c>
      <c r="D576" s="229" t="n"/>
      <c r="E576" s="229" t="n"/>
      <c r="F576" s="230" t="n"/>
      <c r="G576" s="230" t="n"/>
      <c r="H576" s="257" t="n">
        <v>60000</v>
      </c>
      <c r="I576" s="258" t="n">
        <v>60000</v>
      </c>
      <c r="J576" s="258" t="n"/>
      <c r="K576" s="233" t="n"/>
      <c r="L576" s="233" t="n">
        <v>12600</v>
      </c>
      <c r="M576" s="156" t="n"/>
    </row>
    <row r="577" ht="15" customHeight="1" s="153">
      <c r="A577" s="227" t="n"/>
      <c r="B577" s="228" t="inlineStr">
        <is>
          <t>IRMA</t>
        </is>
      </c>
      <c r="C577" s="229" t="n">
        <v>1</v>
      </c>
      <c r="D577" s="229" t="n"/>
      <c r="E577" s="229" t="n"/>
      <c r="F577" s="230" t="n"/>
      <c r="G577" s="230" t="n"/>
      <c r="H577" s="257" t="n">
        <v>27000</v>
      </c>
      <c r="I577" s="258" t="n">
        <v>27000</v>
      </c>
      <c r="J577" s="258" t="n"/>
      <c r="K577" s="233" t="n"/>
      <c r="L577" s="233" t="n">
        <v>11200</v>
      </c>
      <c r="M577" s="156" t="n"/>
    </row>
    <row r="578" ht="15" customHeight="1" s="153">
      <c r="A578" s="227" t="n"/>
      <c r="B578" s="228" t="inlineStr">
        <is>
          <t>VIANDAS JORGE</t>
        </is>
      </c>
      <c r="C578" s="229" t="n">
        <v>1</v>
      </c>
      <c r="D578" s="229" t="n"/>
      <c r="E578" s="229" t="n"/>
      <c r="F578" s="230" t="n"/>
      <c r="G578" s="230" t="n"/>
      <c r="H578" s="257" t="n">
        <v>23000</v>
      </c>
      <c r="I578" s="258" t="n">
        <v>23000</v>
      </c>
      <c r="J578" s="258" t="n"/>
      <c r="K578" s="233" t="n"/>
      <c r="L578" s="233" t="n">
        <v>7200</v>
      </c>
      <c r="M578" s="156" t="n"/>
    </row>
    <row r="579" ht="15" customHeight="1" s="153">
      <c r="A579" s="227" t="n"/>
      <c r="B579" s="228" t="inlineStr">
        <is>
          <t>PANA ALBERTI</t>
        </is>
      </c>
      <c r="C579" s="229" t="n"/>
      <c r="D579" s="229" t="n"/>
      <c r="E579" s="229" t="n">
        <v>1</v>
      </c>
      <c r="F579" s="230" t="n"/>
      <c r="G579" s="230" t="n"/>
      <c r="H579" s="257" t="n">
        <v>85000</v>
      </c>
      <c r="I579" s="258" t="n">
        <v>85000</v>
      </c>
      <c r="J579" s="258" t="n"/>
      <c r="K579" s="233" t="n"/>
      <c r="L579" s="233" t="n">
        <v>23000</v>
      </c>
      <c r="M579" s="156" t="n"/>
    </row>
    <row r="580" ht="15" customHeight="1" s="153">
      <c r="A580" s="227" t="n"/>
      <c r="B580" s="228" t="inlineStr">
        <is>
          <t>CHICLANA 7325</t>
        </is>
      </c>
      <c r="C580" s="229" t="n">
        <v>1</v>
      </c>
      <c r="D580" s="229" t="n"/>
      <c r="E580" s="229" t="n"/>
      <c r="F580" s="230" t="n"/>
      <c r="G580" s="230" t="n"/>
      <c r="H580" s="257" t="n">
        <v>20000</v>
      </c>
      <c r="I580" s="258" t="n"/>
      <c r="J580" s="258" t="n">
        <v>20000</v>
      </c>
      <c r="K580" s="233" t="n"/>
      <c r="L580" s="233" t="n">
        <v>4200</v>
      </c>
      <c r="M580" s="156" t="n"/>
    </row>
    <row r="581" ht="15" customHeight="1" s="153">
      <c r="A581" s="227" t="n"/>
      <c r="B581" s="228" t="inlineStr">
        <is>
          <t>PABLO FIGUEROA</t>
        </is>
      </c>
      <c r="C581" s="229" t="n">
        <v>1</v>
      </c>
      <c r="D581" s="229" t="n"/>
      <c r="E581" s="229" t="n"/>
      <c r="F581" s="230" t="n"/>
      <c r="G581" s="230" t="n"/>
      <c r="H581" s="257" t="n">
        <v>27000</v>
      </c>
      <c r="I581" s="258" t="n"/>
      <c r="J581" s="258" t="n">
        <v>27000</v>
      </c>
      <c r="K581" s="233" t="n"/>
      <c r="L581" s="233" t="n">
        <v>11200</v>
      </c>
      <c r="M581" s="156" t="n"/>
    </row>
    <row r="582" ht="15" customHeight="1" s="153">
      <c r="A582" s="227" t="n"/>
      <c r="B582" s="228" t="inlineStr">
        <is>
          <t>VIEYTES 4361</t>
        </is>
      </c>
      <c r="C582" s="229" t="n">
        <v>1</v>
      </c>
      <c r="D582" s="229" t="n"/>
      <c r="E582" s="229" t="n"/>
      <c r="F582" s="230" t="n"/>
      <c r="G582" s="230" t="n"/>
      <c r="H582" s="257" t="n">
        <v>26000</v>
      </c>
      <c r="I582" s="258" t="n">
        <v>26000</v>
      </c>
      <c r="J582" s="258" t="n"/>
      <c r="K582" s="233" t="n"/>
      <c r="L582" s="233" t="n">
        <v>10200</v>
      </c>
      <c r="M582" s="156" t="n"/>
    </row>
    <row r="583" ht="15" customHeight="1" s="153">
      <c r="A583" s="227" t="n"/>
      <c r="B583" s="228" t="inlineStr">
        <is>
          <t>LO DE NICO</t>
        </is>
      </c>
      <c r="C583" s="229" t="n">
        <v>4</v>
      </c>
      <c r="D583" s="229" t="n"/>
      <c r="E583" s="229" t="n"/>
      <c r="F583" s="230" t="n"/>
      <c r="G583" s="230" t="n"/>
      <c r="H583" s="257" t="n">
        <v>82000</v>
      </c>
      <c r="I583" s="258" t="n"/>
      <c r="J583" s="258" t="n">
        <v>82000</v>
      </c>
      <c r="K583" s="233" t="n"/>
      <c r="L583" s="233" t="n">
        <v>18800</v>
      </c>
      <c r="M583" s="156" t="n"/>
    </row>
    <row r="584" ht="15" customHeight="1" s="153">
      <c r="A584" s="227" t="n"/>
      <c r="B584" s="228" t="inlineStr">
        <is>
          <t>SERBANDO BAYO 6782</t>
        </is>
      </c>
      <c r="C584" s="229" t="n"/>
      <c r="D584" s="229" t="n"/>
      <c r="E584" s="229" t="n">
        <v>1</v>
      </c>
      <c r="F584" s="230" t="n"/>
      <c r="G584" s="230" t="n"/>
      <c r="H584" s="257" t="n">
        <v>91000</v>
      </c>
      <c r="I584" s="258" t="n">
        <v>91000</v>
      </c>
      <c r="J584" s="258" t="n"/>
      <c r="K584" s="233" t="n"/>
      <c r="L584" s="233" t="n">
        <v>29000</v>
      </c>
      <c r="M584" s="156" t="n"/>
    </row>
    <row r="585" ht="15" customHeight="1" s="153">
      <c r="A585" s="227" t="n"/>
      <c r="B585" s="228" t="inlineStr">
        <is>
          <t>DANA</t>
        </is>
      </c>
      <c r="C585" s="229" t="n">
        <v>2</v>
      </c>
      <c r="D585" s="229" t="n"/>
      <c r="E585" s="229" t="n"/>
      <c r="F585" s="230" t="n"/>
      <c r="G585" s="230" t="n"/>
      <c r="H585" s="257" t="n">
        <v>40000</v>
      </c>
      <c r="I585" s="258" t="n"/>
      <c r="J585" s="258" t="n">
        <v>40000</v>
      </c>
      <c r="K585" s="233" t="n"/>
      <c r="L585" s="233" t="n">
        <v>8400</v>
      </c>
      <c r="M585" s="156" t="n"/>
    </row>
    <row r="586" ht="15" customHeight="1" s="153">
      <c r="A586" s="227" t="n"/>
      <c r="B586" s="228" t="inlineStr">
        <is>
          <t>ITURRASPE 962</t>
        </is>
      </c>
      <c r="C586" s="229" t="n">
        <v>1</v>
      </c>
      <c r="D586" s="229" t="n"/>
      <c r="E586" s="229" t="n"/>
      <c r="F586" s="230" t="n"/>
      <c r="G586" s="230" t="n"/>
      <c r="H586" s="257" t="n">
        <v>26000</v>
      </c>
      <c r="I586" s="258" t="n">
        <v>26000</v>
      </c>
      <c r="J586" s="258" t="n"/>
      <c r="K586" s="233" t="n"/>
      <c r="L586" s="233" t="n">
        <v>10200</v>
      </c>
      <c r="M586" s="156" t="n"/>
    </row>
    <row r="587" ht="15" customHeight="1" s="153">
      <c r="A587" s="227" t="n"/>
      <c r="B587" s="228" t="inlineStr">
        <is>
          <t>JJ VALLE 5521</t>
        </is>
      </c>
      <c r="C587" s="229" t="n"/>
      <c r="D587" s="229" t="n">
        <v>1</v>
      </c>
      <c r="E587" s="229" t="n"/>
      <c r="F587" s="230" t="n"/>
      <c r="G587" s="230" t="n"/>
      <c r="H587" s="257" t="n">
        <v>34500</v>
      </c>
      <c r="I587" s="258" t="n"/>
      <c r="J587" s="258" t="n">
        <v>34500</v>
      </c>
      <c r="K587" s="233" t="n"/>
      <c r="L587" s="233" t="n">
        <v>10800</v>
      </c>
      <c r="M587" s="156" t="n"/>
    </row>
    <row r="588" ht="15" customHeight="1" s="153">
      <c r="A588" s="227" t="n"/>
      <c r="B588" s="228" t="inlineStr">
        <is>
          <t>CASTELLI 2312</t>
        </is>
      </c>
      <c r="C588" s="229" t="n"/>
      <c r="D588" s="229" t="n">
        <v>1</v>
      </c>
      <c r="E588" s="229" t="n"/>
      <c r="F588" s="230" t="n"/>
      <c r="G588" s="230" t="n"/>
      <c r="H588" s="257" t="n">
        <v>38500</v>
      </c>
      <c r="I588" s="258" t="n">
        <v>38500</v>
      </c>
      <c r="J588" s="258" t="n"/>
      <c r="K588" s="233" t="n"/>
      <c r="L588" s="233" t="n">
        <v>14800</v>
      </c>
      <c r="M588" s="156" t="n"/>
    </row>
    <row r="589" ht="15" customHeight="1" s="153">
      <c r="A589" s="227" t="n"/>
      <c r="B589" s="228" t="inlineStr">
        <is>
          <t>ALBERTI 5251</t>
        </is>
      </c>
      <c r="C589" s="229" t="n">
        <v>2</v>
      </c>
      <c r="D589" s="229" t="n"/>
      <c r="E589" s="229" t="n"/>
      <c r="F589" s="230" t="n"/>
      <c r="G589" s="230" t="n"/>
      <c r="H589" s="257" t="n">
        <v>50000</v>
      </c>
      <c r="I589" s="258" t="n">
        <v>50000</v>
      </c>
      <c r="J589" s="258" t="n"/>
      <c r="K589" s="233" t="n"/>
      <c r="L589" s="233" t="n">
        <v>18400</v>
      </c>
      <c r="M589" s="156" t="n"/>
    </row>
    <row r="590" ht="15" customHeight="1" s="153">
      <c r="A590" s="227" t="n"/>
      <c r="B590" s="228" t="inlineStr">
        <is>
          <t>FILOMENA</t>
        </is>
      </c>
      <c r="C590" s="229" t="n">
        <v>2</v>
      </c>
      <c r="D590" s="229" t="n"/>
      <c r="E590" s="229" t="n"/>
      <c r="F590" s="230" t="n"/>
      <c r="G590" s="230" t="n"/>
      <c r="H590" s="257" t="n">
        <v>49000</v>
      </c>
      <c r="I590" s="258" t="n"/>
      <c r="J590" s="258" t="n">
        <v>49000</v>
      </c>
      <c r="K590" s="233" t="n"/>
      <c r="L590" s="233" t="n">
        <v>17400</v>
      </c>
      <c r="M590" s="156" t="n"/>
    </row>
    <row r="591" ht="15" customHeight="1" s="153">
      <c r="A591" s="227" t="n"/>
      <c r="B591" s="228" t="inlineStr">
        <is>
          <t>PANA VIEYTES 4500</t>
        </is>
      </c>
      <c r="C591" s="229" t="n"/>
      <c r="D591" s="229" t="n"/>
      <c r="E591" s="229" t="n">
        <v>1</v>
      </c>
      <c r="F591" s="230" t="n"/>
      <c r="G591" s="230" t="n"/>
      <c r="H591" s="257" t="n">
        <v>81000</v>
      </c>
      <c r="I591" s="258" t="n"/>
      <c r="J591" s="258" t="n">
        <v>81000</v>
      </c>
      <c r="K591" s="233" t="n"/>
      <c r="L591" s="233" t="n">
        <v>19000</v>
      </c>
      <c r="M591" s="156" t="n"/>
    </row>
    <row r="592" ht="15" customHeight="1" s="153">
      <c r="A592" s="227" t="n"/>
      <c r="B592" s="228" t="inlineStr">
        <is>
          <t>PUBLICO 2527</t>
        </is>
      </c>
      <c r="C592" s="229" t="n">
        <v>1</v>
      </c>
      <c r="D592" s="229" t="n">
        <v>1</v>
      </c>
      <c r="E592" s="229" t="n"/>
      <c r="F592" s="230" t="n"/>
      <c r="G592" s="230" t="n"/>
      <c r="H592" s="257" t="n">
        <v>68000</v>
      </c>
      <c r="I592" s="258" t="n"/>
      <c r="J592" s="258" t="n">
        <v>68000</v>
      </c>
      <c r="K592" s="233" t="n"/>
      <c r="L592" s="233" t="n">
        <v>28500</v>
      </c>
      <c r="M592" s="156" t="n"/>
    </row>
    <row r="593" ht="15" customHeight="1" s="153">
      <c r="A593" s="227" t="n"/>
      <c r="B593" s="228" t="inlineStr">
        <is>
          <t>GABOTO 8168</t>
        </is>
      </c>
      <c r="C593" s="229" t="n"/>
      <c r="D593" s="229" t="n"/>
      <c r="E593" s="229" t="n">
        <v>1</v>
      </c>
      <c r="F593" s="230" t="n"/>
      <c r="G593" s="230" t="n"/>
      <c r="H593" s="257" t="n">
        <v>92000</v>
      </c>
      <c r="I593" s="258" t="n"/>
      <c r="J593" s="258" t="n">
        <v>92000</v>
      </c>
      <c r="K593" s="233" t="n"/>
      <c r="L593" s="233" t="n">
        <v>30000</v>
      </c>
      <c r="M593" s="156" t="n"/>
    </row>
    <row r="594" ht="15" customHeight="1" s="153">
      <c r="A594" s="227" t="n"/>
      <c r="B594" s="228" t="inlineStr">
        <is>
          <t>ROTI AGUADO</t>
        </is>
      </c>
      <c r="C594" s="229" t="n">
        <v>1</v>
      </c>
      <c r="D594" s="229" t="n">
        <v>1</v>
      </c>
      <c r="E594" s="229" t="n"/>
      <c r="F594" s="230" t="n"/>
      <c r="G594" s="230" t="n"/>
      <c r="H594" s="257" t="n">
        <v>61000</v>
      </c>
      <c r="I594" s="258" t="n"/>
      <c r="J594" s="258" t="n">
        <v>61000</v>
      </c>
      <c r="K594" s="233" t="n"/>
      <c r="L594" s="233" t="n">
        <v>21500</v>
      </c>
      <c r="M594" s="156" t="n"/>
    </row>
    <row r="595" ht="15" customHeight="1" s="153">
      <c r="A595" s="227" t="n">
        <v>46171</v>
      </c>
      <c r="B595" s="228" t="inlineStr">
        <is>
          <t>LUCHO</t>
        </is>
      </c>
      <c r="C595" s="229" t="n">
        <v>2</v>
      </c>
      <c r="D595" s="229" t="n"/>
      <c r="E595" s="229" t="n"/>
      <c r="F595" s="230" t="n"/>
      <c r="G595" s="230" t="n"/>
      <c r="H595" s="257" t="n">
        <v>40000</v>
      </c>
      <c r="I595" s="258" t="n">
        <v>40000</v>
      </c>
      <c r="J595" s="258" t="n"/>
      <c r="K595" s="233" t="n"/>
      <c r="L595" s="233" t="n">
        <v>8400</v>
      </c>
      <c r="M595" s="156" t="n"/>
    </row>
    <row r="596" ht="15" customHeight="1" s="153">
      <c r="A596" s="227" t="n"/>
      <c r="B596" s="228" t="inlineStr">
        <is>
          <t>ASCUÉNAGA 5023</t>
        </is>
      </c>
      <c r="C596" s="229" t="n">
        <v>4</v>
      </c>
      <c r="D596" s="229" t="n">
        <v>2</v>
      </c>
      <c r="E596" s="229" t="n"/>
      <c r="F596" s="230" t="n"/>
      <c r="G596" s="230" t="n"/>
      <c r="H596" s="257" t="n">
        <v>143000</v>
      </c>
      <c r="I596" s="258" t="n"/>
      <c r="J596" s="258" t="n">
        <v>143000</v>
      </c>
      <c r="K596" s="233" t="n"/>
      <c r="L596" s="233" t="n">
        <v>32400</v>
      </c>
      <c r="M596" s="156" t="n"/>
    </row>
    <row r="597" ht="15" customHeight="1" s="153">
      <c r="A597" s="227" t="n"/>
      <c r="B597" s="228" t="inlineStr">
        <is>
          <t>LOBOS</t>
        </is>
      </c>
      <c r="C597" s="229" t="n">
        <v>4</v>
      </c>
      <c r="D597" s="229" t="n">
        <v>2</v>
      </c>
      <c r="E597" s="229" t="n"/>
      <c r="F597" s="230" t="n"/>
      <c r="G597" s="230" t="n"/>
      <c r="H597" s="257" t="n">
        <v>173000</v>
      </c>
      <c r="I597" s="258" t="n">
        <v>173000</v>
      </c>
      <c r="J597" s="258" t="n"/>
      <c r="K597" s="233" t="n"/>
      <c r="L597" s="233" t="n">
        <v>62400</v>
      </c>
      <c r="M597" s="156" t="n"/>
    </row>
    <row r="598" ht="15" customHeight="1" s="153">
      <c r="A598" s="227" t="n"/>
      <c r="B598" s="228" t="inlineStr">
        <is>
          <t>DANI PAPÁ DE BRUNO</t>
        </is>
      </c>
      <c r="C598" s="229" t="n"/>
      <c r="D598" s="229" t="n">
        <v>1</v>
      </c>
      <c r="E598" s="229" t="n"/>
      <c r="F598" s="230" t="n"/>
      <c r="G598" s="230" t="n"/>
      <c r="H598" s="257" t="n">
        <v>37500</v>
      </c>
      <c r="I598" s="258" t="n"/>
      <c r="J598" s="258" t="n">
        <v>37500</v>
      </c>
      <c r="K598" s="233" t="n"/>
      <c r="L598" s="233" t="n">
        <v>13800</v>
      </c>
      <c r="M598" s="156" t="n"/>
    </row>
    <row r="599" ht="15" customHeight="1" s="153">
      <c r="A599" s="227" t="n"/>
      <c r="B599" s="228" t="inlineStr">
        <is>
          <t>9 DE JULIO 6933</t>
        </is>
      </c>
      <c r="C599" s="229" t="n">
        <v>1</v>
      </c>
      <c r="D599" s="229" t="n"/>
      <c r="E599" s="229" t="n"/>
      <c r="F599" s="230" t="n"/>
      <c r="G599" s="230" t="n"/>
      <c r="H599" s="257" t="n">
        <v>26500</v>
      </c>
      <c r="I599" s="258" t="n"/>
      <c r="J599" s="258" t="n">
        <v>26500</v>
      </c>
      <c r="K599" s="233" t="n"/>
      <c r="L599" s="233" t="n">
        <v>10700</v>
      </c>
      <c r="M599" s="156" t="n"/>
    </row>
    <row r="600" ht="15" customHeight="1" s="153">
      <c r="A600" s="227" t="n"/>
      <c r="B600" s="228" t="inlineStr">
        <is>
          <t>M POLONIA 2819</t>
        </is>
      </c>
      <c r="C600" s="229" t="n">
        <v>1</v>
      </c>
      <c r="D600" s="229" t="n"/>
      <c r="E600" s="229" t="n"/>
      <c r="F600" s="230" t="n"/>
      <c r="G600" s="230" t="n"/>
      <c r="H600" s="257" t="n">
        <v>27000</v>
      </c>
      <c r="I600" s="258" t="n"/>
      <c r="J600" s="258" t="n">
        <v>27000</v>
      </c>
      <c r="K600" s="233" t="n"/>
      <c r="L600" s="233" t="n">
        <v>11200</v>
      </c>
      <c r="M600" s="156" t="n"/>
    </row>
    <row r="601" ht="15" customHeight="1" s="153">
      <c r="A601" s="227" t="n"/>
      <c r="B601" s="228" t="inlineStr">
        <is>
          <t>9 DE JULIO 2833</t>
        </is>
      </c>
      <c r="C601" s="229" t="n">
        <v>1</v>
      </c>
      <c r="D601" s="229" t="n"/>
      <c r="E601" s="229" t="n"/>
      <c r="F601" s="230" t="n"/>
      <c r="G601" s="230" t="n"/>
      <c r="H601" s="257" t="n">
        <v>125000</v>
      </c>
      <c r="I601" s="258" t="n"/>
      <c r="J601" s="258" t="n">
        <v>125000</v>
      </c>
      <c r="K601" s="233" t="n">
        <v>34000</v>
      </c>
      <c r="L601" s="233" t="n">
        <v>44200</v>
      </c>
      <c r="M601" s="156" t="n"/>
    </row>
    <row r="602" ht="15" customHeight="1" s="153">
      <c r="A602" s="227" t="n"/>
      <c r="B602" s="228" t="inlineStr">
        <is>
          <t>EMIR SIMÓN</t>
        </is>
      </c>
      <c r="C602" s="229" t="n"/>
      <c r="D602" s="229" t="n"/>
      <c r="E602" s="229" t="n">
        <v>1</v>
      </c>
      <c r="F602" s="230" t="n"/>
      <c r="G602" s="230" t="n"/>
      <c r="H602" s="257" t="n">
        <v>96000</v>
      </c>
      <c r="I602" s="258" t="n"/>
      <c r="J602" s="258" t="n">
        <v>96000</v>
      </c>
      <c r="K602" s="233" t="n"/>
      <c r="L602" s="233" t="n">
        <v>34000</v>
      </c>
      <c r="M602" s="156" t="n"/>
    </row>
    <row r="603" ht="15" customHeight="1" s="153">
      <c r="A603" s="227" t="n"/>
      <c r="B603" s="228" t="inlineStr">
        <is>
          <t>LARGUIA 7142</t>
        </is>
      </c>
      <c r="C603" s="229" t="n">
        <v>1</v>
      </c>
      <c r="D603" s="229" t="n"/>
      <c r="E603" s="229" t="n"/>
      <c r="F603" s="230" t="n"/>
      <c r="G603" s="230" t="n"/>
      <c r="H603" s="257" t="n">
        <v>27000</v>
      </c>
      <c r="I603" s="258" t="n"/>
      <c r="J603" s="258" t="n">
        <v>27000</v>
      </c>
      <c r="K603" s="233" t="n"/>
      <c r="L603" s="233" t="n">
        <v>11200</v>
      </c>
      <c r="M603" s="156" t="n"/>
    </row>
    <row r="604" ht="15" customHeight="1" s="153">
      <c r="A604" s="227" t="n"/>
      <c r="B604" s="228" t="inlineStr">
        <is>
          <t>PICHY</t>
        </is>
      </c>
      <c r="C604" s="229" t="n">
        <v>1</v>
      </c>
      <c r="D604" s="229" t="n"/>
      <c r="E604" s="229" t="n"/>
      <c r="F604" s="230" t="n"/>
      <c r="G604" s="230" t="n"/>
      <c r="H604" s="257" t="n">
        <v>25000</v>
      </c>
      <c r="I604" s="258" t="n"/>
      <c r="J604" s="258" t="n">
        <v>25000</v>
      </c>
      <c r="K604" s="233" t="n"/>
      <c r="L604" s="233" t="n">
        <v>9200</v>
      </c>
      <c r="M604" s="156" t="n"/>
    </row>
    <row r="605" ht="15" customHeight="1" s="153">
      <c r="A605" s="227" t="n"/>
      <c r="B605" s="228" t="inlineStr">
        <is>
          <t>PUBLICO 8150</t>
        </is>
      </c>
      <c r="C605" s="229" t="n"/>
      <c r="D605" s="229" t="n">
        <v>1</v>
      </c>
      <c r="E605" s="229" t="n"/>
      <c r="F605" s="230" t="n"/>
      <c r="G605" s="230" t="n"/>
      <c r="H605" s="257" t="n">
        <v>42500</v>
      </c>
      <c r="I605" s="258" t="n"/>
      <c r="J605" s="258" t="n">
        <v>42500</v>
      </c>
      <c r="K605" s="233" t="n"/>
      <c r="L605" s="233" t="n">
        <v>18800</v>
      </c>
      <c r="M605" s="156" t="n"/>
    </row>
    <row r="606" ht="15" customHeight="1" s="153">
      <c r="A606" s="227" t="n"/>
      <c r="B606" s="228" t="inlineStr">
        <is>
          <t>LA CUEVA</t>
        </is>
      </c>
      <c r="C606" s="229" t="n">
        <v>1</v>
      </c>
      <c r="D606" s="229" t="n"/>
      <c r="E606" s="229" t="n"/>
      <c r="F606" s="230" t="n"/>
      <c r="G606" s="230" t="n"/>
      <c r="H606" s="257" t="n">
        <v>23500</v>
      </c>
      <c r="I606" s="258" t="n">
        <v>23500</v>
      </c>
      <c r="J606" s="258" t="n"/>
      <c r="K606" s="233" t="n"/>
      <c r="L606" s="233" t="n">
        <v>7700</v>
      </c>
      <c r="M606" s="156" t="n"/>
    </row>
    <row r="607" ht="15" customHeight="1" s="153">
      <c r="A607" s="227" t="n"/>
      <c r="B607" s="228" t="inlineStr">
        <is>
          <t>SABOREAR</t>
        </is>
      </c>
      <c r="C607" s="229" t="n">
        <v>1</v>
      </c>
      <c r="D607" s="229" t="n"/>
      <c r="E607" s="229" t="n"/>
      <c r="F607" s="230" t="n"/>
      <c r="G607" s="230" t="n"/>
      <c r="H607" s="257" t="n">
        <v>23500</v>
      </c>
      <c r="I607" s="258" t="n"/>
      <c r="J607" s="258" t="n">
        <v>23500</v>
      </c>
      <c r="K607" s="233" t="n"/>
      <c r="L607" s="233" t="n">
        <v>7700</v>
      </c>
      <c r="M607" s="156" t="n"/>
    </row>
    <row r="608" ht="15" customHeight="1" s="153">
      <c r="A608" s="227" t="n"/>
      <c r="B608" s="228" t="inlineStr">
        <is>
          <t>BRASERIA</t>
        </is>
      </c>
      <c r="C608" s="229" t="n"/>
      <c r="D608" s="229" t="n"/>
      <c r="E608" s="229" t="n">
        <v>1</v>
      </c>
      <c r="F608" s="230" t="n"/>
      <c r="G608" s="230" t="n"/>
      <c r="H608" s="257" t="n">
        <v>94000</v>
      </c>
      <c r="I608" s="258" t="n"/>
      <c r="J608" s="258" t="n">
        <v>94000</v>
      </c>
      <c r="K608" s="233" t="n"/>
      <c r="L608" s="233" t="n">
        <v>32000</v>
      </c>
      <c r="M608" s="156" t="n"/>
    </row>
    <row r="609" ht="15" customHeight="1" s="153">
      <c r="A609" s="227" t="n"/>
      <c r="B609" s="228" t="inlineStr">
        <is>
          <t>BRANDON IRIGOYEN 6854</t>
        </is>
      </c>
      <c r="C609" s="229" t="n">
        <v>1</v>
      </c>
      <c r="D609" s="229" t="n"/>
      <c r="E609" s="229" t="n"/>
      <c r="F609" s="230" t="n"/>
      <c r="G609" s="230" t="n"/>
      <c r="H609" s="257" t="n">
        <v>26000</v>
      </c>
      <c r="I609" s="258" t="n">
        <v>26000</v>
      </c>
      <c r="J609" s="258" t="n"/>
      <c r="K609" s="233" t="n"/>
      <c r="L609" s="233" t="n">
        <v>10200</v>
      </c>
      <c r="M609" s="156" t="n"/>
    </row>
    <row r="610" ht="15" customHeight="1" s="153">
      <c r="A610" s="227" t="n">
        <v>46172</v>
      </c>
      <c r="B610" s="228" t="inlineStr">
        <is>
          <t>VIANDAS JORGE</t>
        </is>
      </c>
      <c r="C610" s="229" t="n">
        <v>1</v>
      </c>
      <c r="D610" s="229" t="n"/>
      <c r="E610" s="229" t="n"/>
      <c r="F610" s="230" t="n"/>
      <c r="G610" s="230" t="n"/>
      <c r="H610" s="257" t="n">
        <v>25000</v>
      </c>
      <c r="I610" s="258" t="n">
        <v>25000</v>
      </c>
      <c r="J610" s="258" t="n"/>
      <c r="K610" s="233" t="n"/>
      <c r="L610" s="233" t="n">
        <v>9200</v>
      </c>
      <c r="M610" s="156" t="n"/>
    </row>
    <row r="611" ht="15" customHeight="1" s="153">
      <c r="A611" s="227" t="n"/>
      <c r="B611" s="228" t="inlineStr">
        <is>
          <t>PEDRO DE VEGA 3755</t>
        </is>
      </c>
      <c r="C611" s="229" t="n">
        <v>1</v>
      </c>
      <c r="D611" s="229" t="n"/>
      <c r="E611" s="229" t="n"/>
      <c r="F611" s="230" t="n"/>
      <c r="G611" s="230" t="n"/>
      <c r="H611" s="257" t="n">
        <v>25000</v>
      </c>
      <c r="I611" s="258" t="n"/>
      <c r="J611" s="258" t="n">
        <v>25000</v>
      </c>
      <c r="K611" s="233" t="n"/>
      <c r="L611" s="233" t="n">
        <v>9200</v>
      </c>
      <c r="M611" s="156" t="n"/>
    </row>
    <row r="612" ht="15" customHeight="1" s="153">
      <c r="A612" s="227" t="n"/>
      <c r="B612" s="228" t="inlineStr">
        <is>
          <t>PEDRONI 6521</t>
        </is>
      </c>
      <c r="C612" s="229" t="n">
        <v>2</v>
      </c>
      <c r="D612" s="229" t="n"/>
      <c r="E612" s="229" t="n"/>
      <c r="F612" s="230" t="n"/>
      <c r="G612" s="230" t="n"/>
      <c r="H612" s="257" t="n">
        <v>40000</v>
      </c>
      <c r="I612" s="258" t="n">
        <v>40000</v>
      </c>
      <c r="J612" s="258" t="n"/>
      <c r="K612" s="233" t="n"/>
      <c r="L612" s="233" t="n">
        <v>8400</v>
      </c>
      <c r="M612" s="156" t="n"/>
    </row>
    <row r="613" ht="15" customHeight="1" s="153">
      <c r="A613" s="227" t="n"/>
      <c r="B613" s="228" t="inlineStr">
        <is>
          <t>PAULO</t>
        </is>
      </c>
      <c r="C613" s="229" t="n">
        <v>2</v>
      </c>
      <c r="D613" s="229" t="n"/>
      <c r="E613" s="229" t="n"/>
      <c r="F613" s="230" t="n"/>
      <c r="G613" s="230" t="n"/>
      <c r="H613" s="257" t="n">
        <v>40000</v>
      </c>
      <c r="I613" s="258" t="n">
        <v>40000</v>
      </c>
      <c r="J613" s="258" t="n"/>
      <c r="K613" s="233" t="n"/>
      <c r="L613" s="233" t="n">
        <v>8400</v>
      </c>
      <c r="M613" s="156" t="n"/>
    </row>
    <row r="614" ht="15" customHeight="1" s="153">
      <c r="A614" s="227" t="n"/>
      <c r="B614" s="228" t="inlineStr">
        <is>
          <t>VIEYTES 4333</t>
        </is>
      </c>
      <c r="C614" s="229" t="n">
        <v>2</v>
      </c>
      <c r="D614" s="229" t="n"/>
      <c r="E614" s="229" t="n"/>
      <c r="F614" s="230" t="n"/>
      <c r="G614" s="230" t="n"/>
      <c r="H614" s="257" t="n">
        <v>51000</v>
      </c>
      <c r="I614" s="258" t="n">
        <v>51000</v>
      </c>
      <c r="J614" s="258" t="n"/>
      <c r="K614" s="233" t="n"/>
      <c r="L614" s="233" t="n">
        <v>19400</v>
      </c>
      <c r="M614" s="156" t="n"/>
    </row>
    <row r="615" ht="15" customHeight="1" s="153">
      <c r="A615" s="227" t="n"/>
      <c r="B615" s="228" t="inlineStr">
        <is>
          <t>AZOPARDO Y PRIMER PASAJE</t>
        </is>
      </c>
      <c r="C615" s="229" t="n"/>
      <c r="D615" s="229" t="n">
        <v>1</v>
      </c>
      <c r="E615" s="229" t="n"/>
      <c r="F615" s="230" t="n"/>
      <c r="G615" s="230" t="n"/>
      <c r="H615" s="257" t="n">
        <v>41500</v>
      </c>
      <c r="I615" s="258" t="n"/>
      <c r="J615" s="258" t="n">
        <v>41500</v>
      </c>
      <c r="K615" s="233" t="n"/>
      <c r="L615" s="233" t="n">
        <v>17800</v>
      </c>
      <c r="M615" s="156" t="n"/>
    </row>
    <row r="616" ht="15" customHeight="1" s="153">
      <c r="A616" s="227" t="n"/>
      <c r="B616" s="228" t="inlineStr">
        <is>
          <t>SAN JOSÉ 8494</t>
        </is>
      </c>
      <c r="C616" s="229" t="n">
        <v>1</v>
      </c>
      <c r="D616" s="229" t="n"/>
      <c r="E616" s="229" t="n">
        <v>1</v>
      </c>
      <c r="F616" s="230" t="n"/>
      <c r="G616" s="230" t="n"/>
      <c r="H616" s="257" t="n">
        <v>126000</v>
      </c>
      <c r="I616" s="258" t="n">
        <v>126000</v>
      </c>
      <c r="J616" s="258" t="n"/>
      <c r="K616" s="233" t="n"/>
      <c r="L616" s="233" t="n">
        <v>48200</v>
      </c>
      <c r="M616" s="156" t="n"/>
    </row>
    <row r="617" ht="15" customHeight="1" s="153">
      <c r="A617" s="227" t="n"/>
      <c r="B617" s="228" t="inlineStr">
        <is>
          <t>ALSINA 9251</t>
        </is>
      </c>
      <c r="C617" s="229" t="n"/>
      <c r="D617" s="229" t="n"/>
      <c r="E617" s="229" t="n">
        <v>1</v>
      </c>
      <c r="F617" s="230" t="n"/>
      <c r="G617" s="230" t="n"/>
      <c r="H617" s="257" t="n">
        <v>98000</v>
      </c>
      <c r="I617" s="258" t="n">
        <v>98000</v>
      </c>
      <c r="J617" s="258" t="n"/>
      <c r="K617" s="233" t="n"/>
      <c r="L617" s="233" t="n">
        <v>36000</v>
      </c>
      <c r="M617" s="156" t="n"/>
    </row>
    <row r="618" ht="15" customHeight="1" s="153">
      <c r="A618" s="227" t="n"/>
      <c r="B618" s="228" t="inlineStr">
        <is>
          <t>SANDRA</t>
        </is>
      </c>
      <c r="C618" s="229" t="n"/>
      <c r="D618" s="229" t="n">
        <v>1</v>
      </c>
      <c r="E618" s="229" t="n"/>
      <c r="F618" s="230" t="n"/>
      <c r="G618" s="230" t="n"/>
      <c r="H618" s="257" t="n">
        <v>33000</v>
      </c>
      <c r="I618" s="258" t="n">
        <v>33000</v>
      </c>
      <c r="J618" s="258" t="n"/>
      <c r="K618" s="233" t="n"/>
      <c r="L618" s="233" t="n">
        <v>9300</v>
      </c>
      <c r="M618" s="156" t="n"/>
    </row>
    <row r="619" ht="15" customHeight="1" s="153">
      <c r="A619" s="227" t="n"/>
      <c r="B619" s="228" t="inlineStr">
        <is>
          <t>NAMUNCURA 4439</t>
        </is>
      </c>
      <c r="C619" s="229" t="n"/>
      <c r="D619" s="229" t="n">
        <v>2</v>
      </c>
      <c r="E619" s="229" t="n"/>
      <c r="F619" s="230" t="n"/>
      <c r="G619" s="230" t="n"/>
      <c r="H619" s="257" t="n">
        <v>85000</v>
      </c>
      <c r="I619" s="258" t="n"/>
      <c r="J619" s="258" t="n">
        <v>85000</v>
      </c>
      <c r="K619" s="233" t="n"/>
      <c r="L619" s="233" t="n">
        <v>37600</v>
      </c>
      <c r="M619" s="156" t="n"/>
    </row>
    <row r="620" ht="15" customHeight="1" s="153">
      <c r="A620" s="227" t="n"/>
      <c r="B620" s="228" t="inlineStr">
        <is>
          <t>FILOMENA</t>
        </is>
      </c>
      <c r="C620" s="229" t="n">
        <v>2</v>
      </c>
      <c r="D620" s="229" t="n"/>
      <c r="E620" s="229" t="n"/>
      <c r="F620" s="230" t="n"/>
      <c r="G620" s="230" t="n"/>
      <c r="H620" s="257" t="n">
        <v>53000</v>
      </c>
      <c r="I620" s="258" t="n"/>
      <c r="J620" s="258" t="n">
        <v>53000</v>
      </c>
      <c r="K620" s="233" t="n"/>
      <c r="L620" s="233" t="n">
        <v>21400</v>
      </c>
      <c r="M620" s="156" t="n"/>
    </row>
    <row r="621" ht="15" customHeight="1" s="153">
      <c r="A621" s="227" t="n"/>
      <c r="B621" s="228" t="inlineStr">
        <is>
          <t>CASTELLI 5249</t>
        </is>
      </c>
      <c r="C621" s="229" t="n">
        <v>1</v>
      </c>
      <c r="D621" s="229" t="n"/>
      <c r="E621" s="229" t="n"/>
      <c r="F621" s="230" t="n"/>
      <c r="G621" s="230" t="n"/>
      <c r="H621" s="257" t="n">
        <v>27500</v>
      </c>
      <c r="I621" s="258" t="n"/>
      <c r="J621" s="258" t="n">
        <v>27500</v>
      </c>
      <c r="K621" s="233" t="n"/>
      <c r="L621" s="233" t="n">
        <v>11700</v>
      </c>
      <c r="M621" s="156" t="n"/>
    </row>
    <row r="622" ht="15" customHeight="1" s="153">
      <c r="A622" s="227" t="n"/>
      <c r="B622" s="228" t="inlineStr">
        <is>
          <t>GORRITI 5378</t>
        </is>
      </c>
      <c r="C622" s="229" t="n">
        <v>1</v>
      </c>
      <c r="D622" s="229" t="n"/>
      <c r="E622" s="229" t="n"/>
      <c r="F622" s="230" t="n"/>
      <c r="G622" s="230" t="n"/>
      <c r="H622" s="257" t="n">
        <v>28000</v>
      </c>
      <c r="I622" s="258" t="n"/>
      <c r="J622" s="258" t="n">
        <v>28000</v>
      </c>
      <c r="K622" s="233" t="n"/>
      <c r="L622" s="233" t="n">
        <v>12200</v>
      </c>
      <c r="M622" s="156" t="n"/>
    </row>
    <row r="623" ht="15" customHeight="1" s="153">
      <c r="A623" s="227" t="n"/>
      <c r="B623" s="228" t="inlineStr">
        <is>
          <t>TROPPO</t>
        </is>
      </c>
      <c r="C623" s="229" t="n">
        <v>7</v>
      </c>
      <c r="D623" s="229" t="n"/>
      <c r="E623" s="229" t="n"/>
      <c r="F623" s="230" t="n"/>
      <c r="G623" s="230" t="n"/>
      <c r="H623" s="257" t="n">
        <v>196000</v>
      </c>
      <c r="I623" s="258" t="n"/>
      <c r="J623" s="258" t="n">
        <v>196000</v>
      </c>
      <c r="K623" s="233" t="n"/>
      <c r="L623" s="233" t="n">
        <v>85400</v>
      </c>
      <c r="M623" s="156" t="n"/>
    </row>
    <row r="624" ht="15" customHeight="1" s="153">
      <c r="A624" s="227" t="n"/>
      <c r="B624" s="228" t="inlineStr">
        <is>
          <t>SABOREAR</t>
        </is>
      </c>
      <c r="C624" s="229" t="n"/>
      <c r="D624" s="229" t="n"/>
      <c r="E624" s="229" t="n">
        <v>1</v>
      </c>
      <c r="F624" s="230" t="n"/>
      <c r="G624" s="230" t="n"/>
      <c r="H624" s="257" t="n">
        <v>89000</v>
      </c>
      <c r="I624" s="258" t="n"/>
      <c r="J624" s="258" t="n">
        <v>89000</v>
      </c>
      <c r="K624" s="233" t="n"/>
      <c r="L624" s="233" t="n">
        <v>27000</v>
      </c>
      <c r="M624" s="156" t="n"/>
    </row>
    <row r="625" ht="15" customHeight="1" s="153">
      <c r="A625" s="227" t="n"/>
      <c r="B625" s="228" t="inlineStr">
        <is>
          <t>MARIO</t>
        </is>
      </c>
      <c r="C625" s="229" t="n">
        <v>2</v>
      </c>
      <c r="D625" s="229" t="n">
        <v>1</v>
      </c>
      <c r="E625" s="229" t="n"/>
      <c r="F625" s="230" t="n"/>
      <c r="G625" s="230" t="n"/>
      <c r="H625" s="257" t="n">
        <v>77000</v>
      </c>
      <c r="I625" s="258" t="n"/>
      <c r="J625" s="258" t="n">
        <v>77000</v>
      </c>
      <c r="K625" s="233" t="n"/>
      <c r="L625" s="233" t="n">
        <v>21700</v>
      </c>
      <c r="M625" s="156" t="n"/>
    </row>
    <row r="626" ht="15" customHeight="1" s="153">
      <c r="A626" s="227" t="n"/>
      <c r="B626" s="228" t="inlineStr">
        <is>
          <t>CAREN</t>
        </is>
      </c>
      <c r="C626" s="229" t="n"/>
      <c r="D626" s="229" t="n"/>
      <c r="E626" s="229" t="n">
        <v>1</v>
      </c>
      <c r="F626" s="230" t="n"/>
      <c r="G626" s="230" t="n"/>
      <c r="H626" s="257" t="n">
        <v>93000</v>
      </c>
      <c r="I626" s="258" t="n"/>
      <c r="J626" s="258" t="n">
        <v>93000</v>
      </c>
      <c r="K626" s="233" t="n"/>
      <c r="L626" s="233" t="n">
        <v>31000</v>
      </c>
      <c r="M626" s="156" t="n"/>
    </row>
    <row r="627" ht="15" customHeight="1" s="153">
      <c r="A627" s="227" t="n"/>
      <c r="B627" s="228" t="inlineStr">
        <is>
          <t>ROTI VIEYTES</t>
        </is>
      </c>
      <c r="C627" s="229" t="n"/>
      <c r="D627" s="229" t="n">
        <v>2</v>
      </c>
      <c r="E627" s="229" t="n"/>
      <c r="F627" s="230" t="n"/>
      <c r="G627" s="230" t="n"/>
      <c r="H627" s="257" t="n">
        <v>69000</v>
      </c>
      <c r="I627" s="258" t="n"/>
      <c r="J627" s="258" t="n">
        <v>69000</v>
      </c>
      <c r="K627" s="233" t="n"/>
      <c r="L627" s="233" t="n">
        <v>21600</v>
      </c>
      <c r="M627" s="156" t="n"/>
    </row>
    <row r="628" ht="15" customHeight="1" s="153">
      <c r="A628" s="227" t="n">
        <v>46173</v>
      </c>
      <c r="B628" s="228" t="inlineStr">
        <is>
          <t>NOE SAROMÉ</t>
        </is>
      </c>
      <c r="C628" s="229" t="n"/>
      <c r="D628" s="229" t="n"/>
      <c r="E628" s="229" t="n">
        <v>1</v>
      </c>
      <c r="F628" s="230" t="n"/>
      <c r="G628" s="230" t="n"/>
      <c r="H628" s="257" t="n">
        <v>98000</v>
      </c>
      <c r="I628" s="258" t="n"/>
      <c r="J628" s="258" t="n">
        <v>98000</v>
      </c>
      <c r="K628" s="233" t="n"/>
      <c r="L628" s="233" t="n">
        <v>36000</v>
      </c>
      <c r="M628" s="156" t="n"/>
    </row>
    <row r="629" ht="15" customHeight="1" s="153">
      <c r="A629" s="227" t="n"/>
      <c r="B629" s="228" t="inlineStr">
        <is>
          <t>CAFERATA 8877</t>
        </is>
      </c>
      <c r="C629" s="229" t="n"/>
      <c r="D629" s="229" t="n"/>
      <c r="E629" s="229" t="n">
        <v>1</v>
      </c>
      <c r="F629" s="230" t="n"/>
      <c r="G629" s="230" t="n"/>
      <c r="H629" s="257" t="n">
        <v>89000</v>
      </c>
      <c r="I629" s="258" t="n"/>
      <c r="J629" s="258" t="n">
        <v>89000</v>
      </c>
      <c r="K629" s="233" t="n"/>
      <c r="L629" s="233" t="n">
        <v>27000</v>
      </c>
      <c r="M629" s="156" t="n"/>
    </row>
    <row r="630" ht="15" customHeight="1" s="153">
      <c r="A630" s="227" t="n"/>
      <c r="B630" s="228" t="inlineStr">
        <is>
          <t>PUBLICO 8252</t>
        </is>
      </c>
      <c r="C630" s="229" t="n"/>
      <c r="D630" s="229" t="n"/>
      <c r="E630" s="229" t="n">
        <v>1</v>
      </c>
      <c r="F630" s="230" t="n"/>
      <c r="G630" s="230" t="n"/>
      <c r="H630" s="257" t="n">
        <v>96000</v>
      </c>
      <c r="I630" s="258" t="n"/>
      <c r="J630" s="258" t="n">
        <v>96000</v>
      </c>
      <c r="K630" s="233" t="n"/>
      <c r="L630" s="233" t="n">
        <v>34000</v>
      </c>
      <c r="M630" s="156" t="n"/>
    </row>
    <row r="631" ht="15" customHeight="1" s="153">
      <c r="A631" s="227" t="n"/>
      <c r="B631" s="228" t="inlineStr">
        <is>
          <t>FELIX BARRETO 9127</t>
        </is>
      </c>
      <c r="C631" s="229" t="n"/>
      <c r="D631" s="229" t="n"/>
      <c r="E631" s="229" t="n">
        <v>1</v>
      </c>
      <c r="F631" s="230" t="n"/>
      <c r="G631" s="230" t="n"/>
      <c r="H631" s="257" t="n">
        <v>96000</v>
      </c>
      <c r="I631" s="258" t="n"/>
      <c r="J631" s="258" t="n">
        <v>96000</v>
      </c>
      <c r="K631" s="233" t="n"/>
      <c r="L631" s="233" t="n">
        <v>34000</v>
      </c>
      <c r="M631" s="156" t="n"/>
    </row>
    <row r="632" ht="15" customHeight="1" s="153">
      <c r="A632" s="227" t="n"/>
      <c r="B632" s="228" t="inlineStr">
        <is>
          <t>OTNIEL</t>
        </is>
      </c>
      <c r="C632" s="229" t="n"/>
      <c r="D632" s="229" t="n">
        <v>2</v>
      </c>
      <c r="E632" s="229" t="n"/>
      <c r="F632" s="230" t="n"/>
      <c r="G632" s="230" t="n"/>
      <c r="H632" s="257" t="n">
        <v>75000</v>
      </c>
      <c r="I632" s="258" t="n"/>
      <c r="J632" s="258" t="n">
        <v>75000</v>
      </c>
      <c r="K632" s="233" t="n"/>
      <c r="L632" s="233" t="n">
        <v>27600</v>
      </c>
      <c r="M632" s="156" t="n"/>
    </row>
    <row r="633" ht="15" customHeight="1" s="153">
      <c r="A633" s="227" t="n"/>
      <c r="B633" s="228" t="inlineStr">
        <is>
          <t>LOS PRIMOS</t>
        </is>
      </c>
      <c r="C633" s="229" t="n">
        <v>2</v>
      </c>
      <c r="D633" s="229" t="n"/>
      <c r="E633" s="229" t="n"/>
      <c r="F633" s="230" t="n"/>
      <c r="G633" s="230" t="n"/>
      <c r="H633" s="257" t="n">
        <v>58000</v>
      </c>
      <c r="I633" s="258" t="n">
        <v>58000</v>
      </c>
      <c r="J633" s="258" t="n"/>
      <c r="K633" s="233" t="n"/>
      <c r="L633" s="233" t="n">
        <v>26400</v>
      </c>
      <c r="M633" s="156" t="n"/>
    </row>
    <row r="634" ht="15" customHeight="1" s="153">
      <c r="A634" s="227" t="n"/>
      <c r="B634" s="228" t="inlineStr">
        <is>
          <t>PAVÓN 3435</t>
        </is>
      </c>
      <c r="C634" s="229" t="n"/>
      <c r="D634" s="229" t="n">
        <v>1</v>
      </c>
      <c r="E634" s="229" t="n"/>
      <c r="F634" s="230" t="n"/>
      <c r="G634" s="230" t="n"/>
      <c r="H634" s="257" t="n">
        <v>38500</v>
      </c>
      <c r="I634" s="258" t="n"/>
      <c r="J634" s="258" t="n">
        <v>38500</v>
      </c>
      <c r="K634" s="233" t="n"/>
      <c r="L634" s="233" t="n">
        <v>14800</v>
      </c>
      <c r="M634" s="156" t="n"/>
    </row>
    <row r="635" ht="15" customHeight="1" s="153">
      <c r="A635" s="227" t="n"/>
      <c r="B635" s="228" t="inlineStr">
        <is>
          <t>JP LOPEZ 2322</t>
        </is>
      </c>
      <c r="C635" s="229" t="n">
        <v>1</v>
      </c>
      <c r="D635" s="229" t="n"/>
      <c r="E635" s="229" t="n"/>
      <c r="F635" s="230" t="n"/>
      <c r="G635" s="230" t="n"/>
      <c r="H635" s="257" t="n">
        <v>28000</v>
      </c>
      <c r="I635" s="258" t="n">
        <v>28000</v>
      </c>
      <c r="J635" s="258" t="n"/>
      <c r="K635" s="233" t="n"/>
      <c r="L635" s="233" t="n">
        <v>12200</v>
      </c>
      <c r="M635" s="156" t="n"/>
    </row>
    <row r="636" ht="15" customHeight="1" s="153">
      <c r="A636" s="227" t="n"/>
      <c r="B636" s="228" t="inlineStr">
        <is>
          <t>ARISTÓBULO 5137</t>
        </is>
      </c>
      <c r="C636" s="229" t="n"/>
      <c r="D636" s="229" t="n">
        <v>1</v>
      </c>
      <c r="E636" s="229" t="n"/>
      <c r="F636" s="230" t="n"/>
      <c r="G636" s="230" t="n"/>
      <c r="H636" s="257" t="n">
        <v>41500</v>
      </c>
      <c r="I636" s="258" t="n"/>
      <c r="J636" s="258" t="n">
        <v>41500</v>
      </c>
      <c r="K636" s="233" t="n"/>
      <c r="L636" s="233" t="n">
        <v>17800</v>
      </c>
      <c r="M636" s="156" t="n"/>
    </row>
    <row r="637" ht="15" customHeight="1" s="153">
      <c r="A637" s="227" t="n"/>
      <c r="B637" s="228" t="inlineStr">
        <is>
          <t>SAN LORENZO 7481</t>
        </is>
      </c>
      <c r="C637" s="229" t="n"/>
      <c r="D637" s="229" t="n">
        <v>1</v>
      </c>
      <c r="E637" s="229" t="n"/>
      <c r="F637" s="230" t="n"/>
      <c r="G637" s="230" t="n"/>
      <c r="H637" s="257" t="n">
        <v>42500</v>
      </c>
      <c r="I637" s="258" t="n"/>
      <c r="J637" s="258" t="n">
        <v>42500</v>
      </c>
      <c r="K637" s="233" t="n"/>
      <c r="L637" s="233" t="n">
        <v>18800</v>
      </c>
      <c r="M637" s="156" t="n"/>
    </row>
    <row r="638" ht="15" customHeight="1" s="153">
      <c r="A638" s="227" t="n"/>
      <c r="B638" s="228" t="inlineStr">
        <is>
          <t>SAVEDRA 4064</t>
        </is>
      </c>
      <c r="C638" s="229" t="n"/>
      <c r="D638" s="229" t="n">
        <v>1</v>
      </c>
      <c r="E638" s="229" t="n"/>
      <c r="F638" s="230" t="n"/>
      <c r="G638" s="230" t="n"/>
      <c r="H638" s="257" t="n">
        <v>36000</v>
      </c>
      <c r="I638" s="258" t="n">
        <v>36000</v>
      </c>
      <c r="J638" s="258" t="n"/>
      <c r="K638" s="233" t="n"/>
      <c r="L638" s="233" t="n">
        <v>12300</v>
      </c>
      <c r="M638" s="156" t="n"/>
    </row>
    <row r="639" ht="15" customHeight="1" s="153">
      <c r="A639" s="227" t="n"/>
      <c r="B639" s="228" t="inlineStr">
        <is>
          <t>AGUADO 9067</t>
        </is>
      </c>
      <c r="C639" s="229" t="n">
        <v>1</v>
      </c>
      <c r="D639" s="229" t="n">
        <v>1</v>
      </c>
      <c r="E639" s="229" t="n"/>
      <c r="F639" s="230" t="n"/>
      <c r="G639" s="230" t="n"/>
      <c r="H639" s="257" t="n">
        <v>68000</v>
      </c>
      <c r="I639" s="258" t="n"/>
      <c r="J639" s="258" t="n">
        <v>68000</v>
      </c>
      <c r="K639" s="233" t="n"/>
      <c r="L639" s="233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VIAJES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27" t="n"/>
      <c r="B166" s="228" t="n"/>
      <c r="C166" s="229" t="n"/>
      <c r="D166" s="229" t="n"/>
      <c r="E166" s="229" t="n"/>
      <c r="F166" s="230" t="n"/>
      <c r="G166" s="230" t="n"/>
      <c r="H166" s="257" t="n"/>
      <c r="I166" s="258" t="n"/>
      <c r="J166" s="258" t="n"/>
      <c r="K166" s="233" t="n"/>
      <c r="L166" s="233" t="n"/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57" t="n"/>
      <c r="I167" s="258" t="n"/>
      <c r="J167" s="258" t="n"/>
      <c r="K167" s="233" t="n"/>
      <c r="L167" s="233" t="n"/>
      <c r="M167" s="156" t="n"/>
      <c r="N167" s="156" t="n"/>
      <c r="O167" s="156" t="n"/>
    </row>
    <row r="168" ht="18.75" customHeight="1" s="153">
      <c r="A168" s="227" t="n"/>
      <c r="B168" s="228" t="n"/>
      <c r="C168" s="229" t="n"/>
      <c r="D168" s="229" t="n"/>
      <c r="E168" s="229" t="n"/>
      <c r="F168" s="230" t="n"/>
      <c r="G168" s="230" t="n"/>
      <c r="H168" s="257" t="n"/>
      <c r="I168" s="258" t="n"/>
      <c r="J168" s="258" t="n"/>
      <c r="K168" s="233" t="n"/>
      <c r="L168" s="233" t="n"/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57" t="n"/>
      <c r="I169" s="258" t="n"/>
      <c r="J169" s="258" t="n"/>
      <c r="K169" s="233" t="n"/>
      <c r="L169" s="233" t="n"/>
      <c r="M169" s="156" t="n"/>
      <c r="N169" s="156" t="n"/>
      <c r="O169" s="156" t="n"/>
    </row>
    <row r="170" ht="18.75" customHeight="1" s="153">
      <c r="A170" s="227" t="n"/>
      <c r="B170" s="228" t="n"/>
      <c r="C170" s="229" t="n"/>
      <c r="D170" s="229" t="n"/>
      <c r="E170" s="229" t="n"/>
      <c r="F170" s="230" t="n"/>
      <c r="G170" s="230" t="n"/>
      <c r="H170" s="257" t="n"/>
      <c r="I170" s="258" t="n"/>
      <c r="J170" s="258" t="n"/>
      <c r="K170" s="233" t="n"/>
      <c r="L170" s="233" t="n"/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57" t="n"/>
      <c r="I171" s="258" t="n"/>
      <c r="J171" s="258" t="n"/>
      <c r="K171" s="233" t="n"/>
      <c r="L171" s="233" t="n"/>
      <c r="M171" s="156" t="n"/>
      <c r="N171" s="156" t="n"/>
      <c r="O171" s="156" t="n"/>
    </row>
    <row r="172" ht="18.75" customHeight="1" s="153">
      <c r="A172" s="227" t="n"/>
      <c r="B172" s="228" t="n"/>
      <c r="C172" s="229" t="n"/>
      <c r="D172" s="229" t="n"/>
      <c r="E172" s="229" t="n"/>
      <c r="F172" s="230" t="n"/>
      <c r="G172" s="230" t="n"/>
      <c r="H172" s="257" t="n"/>
      <c r="I172" s="258" t="n"/>
      <c r="J172" s="258" t="n"/>
      <c r="K172" s="233" t="n"/>
      <c r="L172" s="233" t="n"/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57" t="n"/>
      <c r="I173" s="258" t="n"/>
      <c r="J173" s="258" t="n"/>
      <c r="K173" s="233" t="n"/>
      <c r="L173" s="233" t="n"/>
      <c r="M173" s="156" t="n"/>
      <c r="N173" s="156" t="n"/>
      <c r="O173" s="156" t="n"/>
    </row>
    <row r="174" ht="18.75" customHeight="1" s="153">
      <c r="A174" s="227" t="n"/>
      <c r="B174" s="228" t="n"/>
      <c r="C174" s="229" t="n"/>
      <c r="D174" s="229" t="n"/>
      <c r="E174" s="229" t="n"/>
      <c r="F174" s="230" t="n"/>
      <c r="G174" s="230" t="n"/>
      <c r="H174" s="257" t="n"/>
      <c r="I174" s="258" t="n"/>
      <c r="J174" s="258" t="n"/>
      <c r="K174" s="233" t="n"/>
      <c r="L174" s="233" t="n"/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57" t="n"/>
      <c r="I175" s="258" t="n"/>
      <c r="J175" s="258" t="n"/>
      <c r="K175" s="233" t="n"/>
      <c r="L175" s="233" t="n"/>
      <c r="M175" s="156" t="n"/>
      <c r="N175" s="156" t="n"/>
      <c r="O175" s="156" t="n"/>
    </row>
    <row r="176" ht="18.75" customHeight="1" s="153">
      <c r="A176" s="227" t="n"/>
      <c r="B176" s="228" t="n"/>
      <c r="C176" s="229" t="n"/>
      <c r="D176" s="229" t="n"/>
      <c r="E176" s="229" t="n"/>
      <c r="F176" s="230" t="n"/>
      <c r="G176" s="230" t="n"/>
      <c r="H176" s="257" t="n"/>
      <c r="I176" s="258" t="n"/>
      <c r="J176" s="258" t="n"/>
      <c r="K176" s="233" t="n"/>
      <c r="L176" s="233" t="n"/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57" t="n"/>
      <c r="I177" s="258" t="n"/>
      <c r="J177" s="258" t="n"/>
      <c r="K177" s="233" t="n"/>
      <c r="L177" s="233" t="n"/>
      <c r="M177" s="156" t="n"/>
      <c r="N177" s="156" t="n"/>
      <c r="O177" s="156" t="n"/>
    </row>
    <row r="178" ht="18.75" customHeight="1" s="153">
      <c r="A178" s="227" t="n"/>
      <c r="B178" s="228" t="n"/>
      <c r="C178" s="229" t="n"/>
      <c r="D178" s="229" t="n"/>
      <c r="E178" s="229" t="n"/>
      <c r="F178" s="230" t="n"/>
      <c r="G178" s="230" t="n"/>
      <c r="H178" s="257" t="n"/>
      <c r="I178" s="258" t="n"/>
      <c r="J178" s="258" t="n"/>
      <c r="K178" s="233" t="n"/>
      <c r="L178" s="233" t="n"/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57" t="n"/>
      <c r="I179" s="258" t="n"/>
      <c r="J179" s="258" t="n"/>
      <c r="K179" s="233" t="n"/>
      <c r="L179" s="233" t="n"/>
      <c r="M179" s="156" t="n"/>
      <c r="N179" s="156" t="n"/>
      <c r="O179" s="156" t="n"/>
    </row>
    <row r="180" ht="18.75" customHeight="1" s="153">
      <c r="A180" s="227" t="n"/>
      <c r="B180" s="228" t="n"/>
      <c r="C180" s="229" t="n"/>
      <c r="D180" s="229" t="n"/>
      <c r="E180" s="229" t="n"/>
      <c r="F180" s="230" t="n"/>
      <c r="G180" s="230" t="n"/>
      <c r="H180" s="257" t="n"/>
      <c r="I180" s="258" t="n"/>
      <c r="J180" s="258" t="n"/>
      <c r="K180" s="233" t="n"/>
      <c r="L180" s="233" t="n"/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57" t="n"/>
      <c r="I181" s="258" t="n"/>
      <c r="J181" s="258" t="n"/>
      <c r="K181" s="233" t="n"/>
      <c r="L181" s="233" t="n"/>
      <c r="M181" s="156" t="n"/>
      <c r="N181" s="156" t="n"/>
      <c r="O181" s="156" t="n"/>
    </row>
    <row r="182" ht="18.75" customHeight="1" s="153">
      <c r="A182" s="227" t="n"/>
      <c r="B182" s="228" t="n"/>
      <c r="C182" s="229" t="n"/>
      <c r="D182" s="229" t="n"/>
      <c r="E182" s="229" t="n"/>
      <c r="F182" s="230" t="n"/>
      <c r="G182" s="230" t="n"/>
      <c r="H182" s="257" t="n"/>
      <c r="I182" s="258" t="n"/>
      <c r="J182" s="258" t="n"/>
      <c r="K182" s="233" t="n"/>
      <c r="L182" s="233" t="n"/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57" t="n"/>
      <c r="I183" s="258" t="n"/>
      <c r="J183" s="258" t="n"/>
      <c r="K183" s="233" t="n"/>
      <c r="L183" s="233" t="n"/>
      <c r="M183" s="156" t="n"/>
      <c r="N183" s="156" t="n"/>
      <c r="O183" s="156" t="n"/>
    </row>
    <row r="184" ht="18.75" customHeight="1" s="153">
      <c r="A184" s="227" t="n"/>
      <c r="B184" s="228" t="n"/>
      <c r="C184" s="229" t="n"/>
      <c r="D184" s="229" t="n"/>
      <c r="E184" s="229" t="n"/>
      <c r="F184" s="230" t="n"/>
      <c r="G184" s="230" t="n"/>
      <c r="H184" s="257" t="n"/>
      <c r="I184" s="258" t="n"/>
      <c r="J184" s="258" t="n"/>
      <c r="K184" s="233" t="n"/>
      <c r="L184" s="233" t="n"/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57" t="n"/>
      <c r="I185" s="258" t="n"/>
      <c r="J185" s="258" t="n"/>
      <c r="K185" s="233" t="n"/>
      <c r="L185" s="233" t="n"/>
      <c r="M185" s="156" t="n"/>
      <c r="N185" s="156" t="n"/>
      <c r="O185" s="156" t="n"/>
    </row>
    <row r="186" ht="18.75" customHeight="1" s="153">
      <c r="A186" s="227" t="n"/>
      <c r="B186" s="228" t="n"/>
      <c r="C186" s="229" t="n"/>
      <c r="D186" s="229" t="n"/>
      <c r="E186" s="229" t="n"/>
      <c r="F186" s="230" t="n"/>
      <c r="G186" s="230" t="n"/>
      <c r="H186" s="257" t="n"/>
      <c r="I186" s="258" t="n"/>
      <c r="J186" s="258" t="n"/>
      <c r="K186" s="233" t="n"/>
      <c r="L186" s="233" t="n"/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57" t="n"/>
      <c r="I187" s="258" t="n"/>
      <c r="J187" s="258" t="n"/>
      <c r="K187" s="233" t="n"/>
      <c r="L187" s="233" t="n"/>
      <c r="M187" s="156" t="n"/>
      <c r="N187" s="156" t="n"/>
      <c r="O187" s="156" t="n"/>
    </row>
    <row r="188" ht="18.75" customHeight="1" s="153">
      <c r="A188" s="227" t="n"/>
      <c r="B188" s="228" t="n"/>
      <c r="C188" s="229" t="n"/>
      <c r="D188" s="229" t="n"/>
      <c r="E188" s="229" t="n"/>
      <c r="F188" s="230" t="n"/>
      <c r="G188" s="230" t="n"/>
      <c r="H188" s="257" t="n"/>
      <c r="I188" s="258" t="n"/>
      <c r="J188" s="258" t="n"/>
      <c r="K188" s="233" t="n"/>
      <c r="L188" s="233" t="n"/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57" t="n"/>
      <c r="I189" s="258" t="n"/>
      <c r="J189" s="258" t="n"/>
      <c r="K189" s="233" t="n"/>
      <c r="L189" s="233" t="n"/>
      <c r="M189" s="156" t="n"/>
      <c r="N189" s="156" t="n"/>
      <c r="O189" s="156" t="n"/>
    </row>
    <row r="190" ht="18.75" customHeight="1" s="153">
      <c r="A190" s="227" t="n"/>
      <c r="B190" s="228" t="n"/>
      <c r="C190" s="229" t="n"/>
      <c r="D190" s="229" t="n"/>
      <c r="E190" s="229" t="n"/>
      <c r="F190" s="230" t="n"/>
      <c r="G190" s="230" t="n"/>
      <c r="H190" s="257" t="n"/>
      <c r="I190" s="258" t="n"/>
      <c r="J190" s="258" t="n"/>
      <c r="K190" s="233" t="n"/>
      <c r="L190" s="233" t="n"/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57" t="n"/>
      <c r="I191" s="258" t="n"/>
      <c r="J191" s="258" t="n"/>
      <c r="K191" s="233" t="n"/>
      <c r="L191" s="233" t="n"/>
      <c r="M191" s="156" t="n"/>
      <c r="N191" s="156" t="n"/>
      <c r="O191" s="156" t="n"/>
    </row>
    <row r="192" ht="18.75" customHeight="1" s="153">
      <c r="A192" s="227" t="n"/>
      <c r="B192" s="228" t="n"/>
      <c r="C192" s="229" t="n"/>
      <c r="D192" s="229" t="n"/>
      <c r="E192" s="229" t="n"/>
      <c r="F192" s="230" t="n"/>
      <c r="G192" s="230" t="n"/>
      <c r="H192" s="257" t="n"/>
      <c r="I192" s="258" t="n"/>
      <c r="J192" s="258" t="n"/>
      <c r="K192" s="233" t="n"/>
      <c r="L192" s="233" t="n"/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57" t="n"/>
      <c r="I193" s="258" t="n"/>
      <c r="J193" s="258" t="n"/>
      <c r="K193" s="233" t="n"/>
      <c r="L193" s="233" t="n"/>
      <c r="M193" s="156" t="n"/>
      <c r="N193" s="156" t="n"/>
      <c r="O193" s="156" t="n"/>
    </row>
    <row r="194" ht="18.75" customHeight="1" s="153">
      <c r="A194" s="227" t="n"/>
      <c r="B194" s="228" t="n"/>
      <c r="C194" s="229" t="n"/>
      <c r="D194" s="229" t="n"/>
      <c r="E194" s="229" t="n"/>
      <c r="F194" s="230" t="n"/>
      <c r="G194" s="230" t="n"/>
      <c r="H194" s="257" t="n"/>
      <c r="I194" s="258" t="n"/>
      <c r="J194" s="258" t="n"/>
      <c r="K194" s="233" t="n"/>
      <c r="L194" s="233" t="n"/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57" t="n"/>
      <c r="I195" s="258" t="n"/>
      <c r="J195" s="258" t="n"/>
      <c r="K195" s="233" t="n"/>
      <c r="L195" s="233" t="n"/>
      <c r="M195" s="156" t="n"/>
      <c r="N195" s="156" t="n"/>
      <c r="O195" s="156" t="n"/>
    </row>
    <row r="196" ht="18.75" customHeight="1" s="153">
      <c r="A196" s="227" t="n"/>
      <c r="B196" s="228" t="n"/>
      <c r="C196" s="229" t="n"/>
      <c r="D196" s="229" t="n"/>
      <c r="E196" s="229" t="n"/>
      <c r="F196" s="230" t="n"/>
      <c r="G196" s="230" t="n"/>
      <c r="H196" s="257" t="n"/>
      <c r="I196" s="258" t="n"/>
      <c r="J196" s="258" t="n"/>
      <c r="K196" s="233" t="n"/>
      <c r="L196" s="233" t="n"/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57" t="n"/>
      <c r="I197" s="258" t="n"/>
      <c r="J197" s="258" t="n"/>
      <c r="K197" s="233" t="n"/>
      <c r="L197" s="233" t="n"/>
      <c r="M197" s="156" t="n"/>
      <c r="N197" s="156" t="n"/>
      <c r="O197" s="156" t="n"/>
    </row>
    <row r="198" ht="18.75" customHeight="1" s="153">
      <c r="A198" s="227" t="n"/>
      <c r="B198" s="228" t="n"/>
      <c r="C198" s="229" t="n"/>
      <c r="D198" s="229" t="n"/>
      <c r="E198" s="229" t="n"/>
      <c r="F198" s="230" t="n"/>
      <c r="G198" s="230" t="n"/>
      <c r="H198" s="257" t="n"/>
      <c r="I198" s="258" t="n"/>
      <c r="J198" s="258" t="n"/>
      <c r="K198" s="233" t="n"/>
      <c r="L198" s="233" t="n"/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57" t="n"/>
      <c r="I199" s="258" t="n"/>
      <c r="J199" s="258" t="n"/>
      <c r="K199" s="233" t="n"/>
      <c r="L199" s="233" t="n"/>
      <c r="M199" s="156" t="n"/>
      <c r="N199" s="156" t="n"/>
      <c r="O199" s="156" t="n"/>
    </row>
    <row r="200" ht="18.75" customHeight="1" s="153">
      <c r="A200" s="227" t="n"/>
      <c r="B200" s="228" t="n"/>
      <c r="C200" s="229" t="n"/>
      <c r="D200" s="229" t="n"/>
      <c r="E200" s="229" t="n"/>
      <c r="F200" s="230" t="n"/>
      <c r="G200" s="230" t="n"/>
      <c r="H200" s="257" t="n"/>
      <c r="I200" s="258" t="n"/>
      <c r="J200" s="258" t="n"/>
      <c r="K200" s="233" t="n"/>
      <c r="L200" s="233" t="n"/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57" t="n"/>
      <c r="I201" s="258" t="n"/>
      <c r="J201" s="258" t="n"/>
      <c r="K201" s="233" t="n"/>
      <c r="L201" s="233" t="n"/>
      <c r="M201" s="156" t="n"/>
      <c r="N201" s="156" t="n"/>
      <c r="O201" s="156" t="n"/>
    </row>
    <row r="202" ht="18.75" customHeight="1" s="153">
      <c r="A202" s="227" t="n"/>
      <c r="B202" s="228" t="n"/>
      <c r="C202" s="229" t="n"/>
      <c r="D202" s="229" t="n"/>
      <c r="E202" s="229" t="n"/>
      <c r="F202" s="230" t="n"/>
      <c r="G202" s="230" t="n"/>
      <c r="H202" s="257" t="n"/>
      <c r="I202" s="258" t="n"/>
      <c r="J202" s="258" t="n"/>
      <c r="K202" s="233" t="n"/>
      <c r="L202" s="233" t="n"/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57" t="n"/>
      <c r="I203" s="258" t="n"/>
      <c r="J203" s="258" t="n"/>
      <c r="K203" s="233" t="n"/>
      <c r="L203" s="233" t="n"/>
      <c r="M203" s="156" t="n"/>
      <c r="N203" s="156" t="n"/>
      <c r="O203" s="156" t="n"/>
    </row>
    <row r="204" ht="18.75" customHeight="1" s="153">
      <c r="A204" s="227" t="n"/>
      <c r="B204" s="228" t="n"/>
      <c r="C204" s="229" t="n"/>
      <c r="D204" s="229" t="n"/>
      <c r="E204" s="229" t="n"/>
      <c r="F204" s="230" t="n"/>
      <c r="G204" s="230" t="n"/>
      <c r="H204" s="257" t="n"/>
      <c r="I204" s="258" t="n"/>
      <c r="J204" s="258" t="n"/>
      <c r="K204" s="233" t="n"/>
      <c r="L204" s="233" t="n"/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57" t="n"/>
      <c r="I205" s="258" t="n"/>
      <c r="J205" s="258" t="n"/>
      <c r="K205" s="233" t="n"/>
      <c r="L205" s="233" t="n"/>
      <c r="M205" s="156" t="n"/>
      <c r="N205" s="156" t="n"/>
      <c r="O205" s="156" t="n"/>
    </row>
    <row r="206" ht="18.75" customHeight="1" s="153">
      <c r="A206" s="227" t="n"/>
      <c r="B206" s="228" t="n"/>
      <c r="C206" s="229" t="n"/>
      <c r="D206" s="229" t="n"/>
      <c r="E206" s="229" t="n"/>
      <c r="F206" s="230" t="n"/>
      <c r="G206" s="230" t="n"/>
      <c r="H206" s="257" t="n"/>
      <c r="I206" s="258" t="n"/>
      <c r="J206" s="258" t="n"/>
      <c r="K206" s="233" t="n"/>
      <c r="L206" s="233" t="n"/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57" t="n"/>
      <c r="I207" s="258" t="n"/>
      <c r="J207" s="258" t="n"/>
      <c r="K207" s="233" t="n"/>
      <c r="L207" s="233" t="n"/>
      <c r="M207" s="156" t="n"/>
      <c r="N207" s="156" t="n"/>
      <c r="O207" s="156" t="n"/>
    </row>
    <row r="208" ht="18.75" customHeight="1" s="153">
      <c r="A208" s="227" t="n"/>
      <c r="B208" s="228" t="n"/>
      <c r="C208" s="229" t="n"/>
      <c r="D208" s="229" t="n"/>
      <c r="E208" s="229" t="n"/>
      <c r="F208" s="230" t="n"/>
      <c r="G208" s="230" t="n"/>
      <c r="H208" s="257" t="n"/>
      <c r="I208" s="258" t="n"/>
      <c r="J208" s="258" t="n"/>
      <c r="K208" s="233" t="n"/>
      <c r="L208" s="233" t="n"/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57" t="n"/>
      <c r="I209" s="258" t="n"/>
      <c r="J209" s="258" t="n"/>
      <c r="K209" s="233" t="n"/>
      <c r="L209" s="233" t="n"/>
      <c r="M209" s="156" t="n"/>
      <c r="N209" s="156" t="n"/>
      <c r="O209" s="156" t="n"/>
    </row>
    <row r="210" ht="18.75" customHeight="1" s="153">
      <c r="A210" s="227" t="n"/>
      <c r="B210" s="228" t="n"/>
      <c r="C210" s="229" t="n"/>
      <c r="D210" s="229" t="n"/>
      <c r="E210" s="229" t="n"/>
      <c r="F210" s="230" t="n"/>
      <c r="G210" s="230" t="n"/>
      <c r="H210" s="257" t="n"/>
      <c r="I210" s="258" t="n"/>
      <c r="J210" s="258" t="n"/>
      <c r="K210" s="233" t="n"/>
      <c r="L210" s="233" t="n"/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57" t="n"/>
      <c r="I211" s="258" t="n"/>
      <c r="J211" s="258" t="n"/>
      <c r="K211" s="233" t="n"/>
      <c r="L211" s="233" t="n"/>
      <c r="M211" s="156" t="n"/>
      <c r="N211" s="156" t="n"/>
      <c r="O211" s="156" t="n"/>
    </row>
    <row r="212" ht="18.75" customHeight="1" s="153">
      <c r="A212" s="227" t="n"/>
      <c r="B212" s="228" t="n"/>
      <c r="C212" s="229" t="n"/>
      <c r="D212" s="229" t="n"/>
      <c r="E212" s="229" t="n"/>
      <c r="F212" s="230" t="n"/>
      <c r="G212" s="230" t="n"/>
      <c r="H212" s="257" t="n"/>
      <c r="I212" s="258" t="n"/>
      <c r="J212" s="258" t="n"/>
      <c r="K212" s="233" t="n"/>
      <c r="L212" s="233" t="n"/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57" t="n"/>
      <c r="I213" s="258" t="n"/>
      <c r="J213" s="258" t="n"/>
      <c r="K213" s="233" t="n"/>
      <c r="L213" s="233" t="n"/>
      <c r="M213" s="156" t="n"/>
      <c r="N213" s="156" t="n"/>
      <c r="O213" s="156" t="n"/>
    </row>
    <row r="214" ht="18.75" customHeight="1" s="153">
      <c r="A214" s="227" t="n"/>
      <c r="B214" s="228" t="n"/>
      <c r="C214" s="229" t="n"/>
      <c r="D214" s="229" t="n"/>
      <c r="E214" s="229" t="n"/>
      <c r="F214" s="230" t="n"/>
      <c r="G214" s="230" t="n"/>
      <c r="H214" s="257" t="n"/>
      <c r="I214" s="258" t="n"/>
      <c r="J214" s="258" t="n"/>
      <c r="K214" s="233" t="n"/>
      <c r="L214" s="233" t="n"/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57" t="n"/>
      <c r="I215" s="258" t="n"/>
      <c r="J215" s="258" t="n"/>
      <c r="K215" s="233" t="n"/>
      <c r="L215" s="233" t="n"/>
      <c r="M215" s="156" t="n"/>
      <c r="N215" s="156" t="n"/>
      <c r="O215" s="156" t="n"/>
    </row>
    <row r="216" ht="18.75" customHeight="1" s="153">
      <c r="A216" s="227" t="n"/>
      <c r="B216" s="228" t="n"/>
      <c r="C216" s="229" t="n"/>
      <c r="D216" s="229" t="n"/>
      <c r="E216" s="229" t="n"/>
      <c r="F216" s="230" t="n"/>
      <c r="G216" s="230" t="n"/>
      <c r="H216" s="257" t="n"/>
      <c r="I216" s="258" t="n"/>
      <c r="J216" s="258" t="n"/>
      <c r="K216" s="233" t="n"/>
      <c r="L216" s="233" t="n"/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57" t="n"/>
      <c r="I217" s="258" t="n"/>
      <c r="J217" s="258" t="n"/>
      <c r="K217" s="233" t="n"/>
      <c r="L217" s="233" t="n"/>
      <c r="M217" s="156" t="n"/>
      <c r="N217" s="156" t="n"/>
      <c r="O217" s="156" t="n"/>
    </row>
    <row r="218" ht="18.75" customHeight="1" s="153">
      <c r="A218" s="227" t="n"/>
      <c r="B218" s="228" t="n"/>
      <c r="C218" s="229" t="n"/>
      <c r="D218" s="229" t="n"/>
      <c r="E218" s="229" t="n"/>
      <c r="F218" s="230" t="n"/>
      <c r="G218" s="230" t="n"/>
      <c r="H218" s="257" t="n"/>
      <c r="I218" s="258" t="n"/>
      <c r="J218" s="258" t="n"/>
      <c r="K218" s="233" t="n"/>
      <c r="L218" s="233" t="n"/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57" t="n"/>
      <c r="I219" s="258" t="n"/>
      <c r="J219" s="258" t="n"/>
      <c r="K219" s="233" t="n"/>
      <c r="L219" s="233" t="n"/>
      <c r="M219" s="156" t="n"/>
      <c r="N219" s="156" t="n"/>
      <c r="O219" s="156" t="n"/>
    </row>
    <row r="220" ht="18.75" customHeight="1" s="153">
      <c r="A220" s="227" t="n"/>
      <c r="B220" s="228" t="n"/>
      <c r="C220" s="229" t="n"/>
      <c r="D220" s="229" t="n"/>
      <c r="E220" s="229" t="n"/>
      <c r="F220" s="230" t="n"/>
      <c r="G220" s="230" t="n"/>
      <c r="H220" s="257" t="n"/>
      <c r="I220" s="258" t="n"/>
      <c r="J220" s="258" t="n"/>
      <c r="K220" s="233" t="n"/>
      <c r="L220" s="233" t="n"/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57" t="n"/>
      <c r="I221" s="258" t="n"/>
      <c r="J221" s="258" t="n"/>
      <c r="K221" s="233" t="n"/>
      <c r="L221" s="233" t="n"/>
      <c r="M221" s="156" t="n"/>
      <c r="N221" s="156" t="n"/>
      <c r="O221" s="156" t="n"/>
    </row>
    <row r="222" ht="18.75" customHeight="1" s="153">
      <c r="A222" s="227" t="n"/>
      <c r="B222" s="228" t="n"/>
      <c r="C222" s="229" t="n"/>
      <c r="D222" s="229" t="n"/>
      <c r="E222" s="229" t="n"/>
      <c r="F222" s="230" t="n"/>
      <c r="G222" s="230" t="n"/>
      <c r="H222" s="257" t="n"/>
      <c r="I222" s="258" t="n"/>
      <c r="J222" s="258" t="n"/>
      <c r="K222" s="233" t="n"/>
      <c r="L222" s="233" t="n"/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57" t="n"/>
      <c r="I223" s="258" t="n"/>
      <c r="J223" s="258" t="n"/>
      <c r="K223" s="233" t="n"/>
      <c r="L223" s="233" t="n"/>
      <c r="M223" s="156" t="n"/>
      <c r="N223" s="156" t="n"/>
      <c r="O223" s="156" t="n"/>
    </row>
    <row r="224" ht="18.75" customHeight="1" s="153">
      <c r="A224" s="227" t="n"/>
      <c r="B224" s="228" t="n"/>
      <c r="C224" s="229" t="n"/>
      <c r="D224" s="229" t="n"/>
      <c r="E224" s="229" t="n"/>
      <c r="F224" s="230" t="n"/>
      <c r="G224" s="230" t="n"/>
      <c r="H224" s="257" t="n"/>
      <c r="I224" s="258" t="n"/>
      <c r="J224" s="258" t="n"/>
      <c r="K224" s="233" t="n"/>
      <c r="L224" s="233" t="n"/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57" t="n"/>
      <c r="I225" s="258" t="n"/>
      <c r="J225" s="258" t="n"/>
      <c r="K225" s="233" t="n"/>
      <c r="L225" s="233" t="n"/>
      <c r="M225" s="156" t="n"/>
      <c r="N225" s="156" t="n"/>
      <c r="O225" s="156" t="n"/>
    </row>
    <row r="226" ht="18.75" customHeight="1" s="153">
      <c r="A226" s="227" t="n"/>
      <c r="B226" s="228" t="n"/>
      <c r="C226" s="229" t="n"/>
      <c r="D226" s="229" t="n"/>
      <c r="E226" s="229" t="n"/>
      <c r="F226" s="230" t="n"/>
      <c r="G226" s="230" t="n"/>
      <c r="H226" s="257" t="n"/>
      <c r="I226" s="258" t="n"/>
      <c r="J226" s="258" t="n"/>
      <c r="K226" s="233" t="n"/>
      <c r="L226" s="233" t="n"/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57" t="n"/>
      <c r="I227" s="258" t="n"/>
      <c r="J227" s="258" t="n"/>
      <c r="K227" s="233" t="n"/>
      <c r="L227" s="233" t="n"/>
      <c r="M227" s="156" t="n"/>
      <c r="N227" s="156" t="n"/>
      <c r="O227" s="156" t="n"/>
    </row>
    <row r="228" ht="18.75" customHeight="1" s="153">
      <c r="A228" s="227" t="n"/>
      <c r="B228" s="228" t="n"/>
      <c r="C228" s="229" t="n"/>
      <c r="D228" s="229" t="n"/>
      <c r="E228" s="229" t="n"/>
      <c r="F228" s="230" t="n"/>
      <c r="G228" s="230" t="n"/>
      <c r="H228" s="257" t="n"/>
      <c r="I228" s="258" t="n"/>
      <c r="J228" s="258" t="n"/>
      <c r="K228" s="233" t="n"/>
      <c r="L228" s="233" t="n"/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57" t="n"/>
      <c r="I229" s="258" t="n"/>
      <c r="J229" s="258" t="n"/>
      <c r="K229" s="233" t="n"/>
      <c r="L229" s="233" t="n"/>
      <c r="M229" s="156" t="n"/>
      <c r="N229" s="156" t="n"/>
      <c r="O229" s="156" t="n"/>
    </row>
    <row r="230" ht="18.75" customHeight="1" s="153">
      <c r="A230" s="227" t="n"/>
      <c r="B230" s="228" t="n"/>
      <c r="C230" s="229" t="n"/>
      <c r="D230" s="229" t="n"/>
      <c r="E230" s="229" t="n"/>
      <c r="F230" s="230" t="n"/>
      <c r="G230" s="230" t="n"/>
      <c r="H230" s="257" t="n"/>
      <c r="I230" s="258" t="n"/>
      <c r="J230" s="258" t="n"/>
      <c r="K230" s="233" t="n"/>
      <c r="L230" s="233" t="n"/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57" t="n"/>
      <c r="I231" s="258" t="n"/>
      <c r="J231" s="258" t="n"/>
      <c r="K231" s="233" t="n"/>
      <c r="L231" s="233" t="n"/>
      <c r="M231" s="156" t="n"/>
      <c r="N231" s="156" t="n"/>
      <c r="O231" s="156" t="n"/>
    </row>
    <row r="232" ht="18.75" customHeight="1" s="153">
      <c r="A232" s="227" t="n"/>
      <c r="B232" s="228" t="n"/>
      <c r="C232" s="229" t="n"/>
      <c r="D232" s="229" t="n"/>
      <c r="E232" s="229" t="n"/>
      <c r="F232" s="230" t="n"/>
      <c r="G232" s="230" t="n"/>
      <c r="H232" s="257" t="n"/>
      <c r="I232" s="258" t="n"/>
      <c r="J232" s="258" t="n"/>
      <c r="K232" s="233" t="n"/>
      <c r="L232" s="233" t="n"/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57" t="n"/>
      <c r="I233" s="258" t="n"/>
      <c r="J233" s="258" t="n"/>
      <c r="K233" s="233" t="n"/>
      <c r="L233" s="233" t="n"/>
      <c r="M233" s="156" t="n"/>
      <c r="N233" s="156" t="n"/>
      <c r="O233" s="156" t="n"/>
    </row>
    <row r="234" ht="18.75" customHeight="1" s="153">
      <c r="A234" s="227" t="n"/>
      <c r="B234" s="228" t="n"/>
      <c r="C234" s="229" t="n"/>
      <c r="D234" s="229" t="n"/>
      <c r="E234" s="229" t="n"/>
      <c r="F234" s="230" t="n"/>
      <c r="G234" s="230" t="n"/>
      <c r="H234" s="257" t="n"/>
      <c r="I234" s="258" t="n"/>
      <c r="J234" s="258" t="n"/>
      <c r="K234" s="233" t="n"/>
      <c r="L234" s="233" t="n"/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57" t="n"/>
      <c r="I235" s="258" t="n"/>
      <c r="J235" s="258" t="n"/>
      <c r="K235" s="233" t="n"/>
      <c r="L235" s="233" t="n"/>
      <c r="M235" s="156" t="n"/>
      <c r="N235" s="156" t="n"/>
      <c r="O235" s="156" t="n"/>
    </row>
    <row r="236" ht="18.75" customHeight="1" s="153">
      <c r="A236" s="227" t="n"/>
      <c r="B236" s="228" t="n"/>
      <c r="C236" s="229" t="n"/>
      <c r="D236" s="229" t="n"/>
      <c r="E236" s="229" t="n"/>
      <c r="F236" s="230" t="n"/>
      <c r="G236" s="230" t="n"/>
      <c r="H236" s="257" t="n"/>
      <c r="I236" s="258" t="n"/>
      <c r="J236" s="258" t="n"/>
      <c r="K236" s="233" t="n"/>
      <c r="L236" s="233" t="n"/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57" t="n"/>
      <c r="I237" s="258" t="n"/>
      <c r="J237" s="258" t="n"/>
      <c r="K237" s="233" t="n"/>
      <c r="L237" s="233" t="n"/>
      <c r="M237" s="156" t="n"/>
      <c r="N237" s="156" t="n"/>
      <c r="O237" s="156" t="n"/>
    </row>
    <row r="238" ht="18.75" customHeight="1" s="153">
      <c r="A238" s="227" t="n"/>
      <c r="B238" s="228" t="n"/>
      <c r="C238" s="229" t="n"/>
      <c r="D238" s="229" t="n"/>
      <c r="E238" s="229" t="n"/>
      <c r="F238" s="230" t="n"/>
      <c r="G238" s="230" t="n"/>
      <c r="H238" s="257" t="n"/>
      <c r="I238" s="258" t="n"/>
      <c r="J238" s="258" t="n"/>
      <c r="K238" s="233" t="n"/>
      <c r="L238" s="233" t="n"/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57" t="n"/>
      <c r="I239" s="258" t="n"/>
      <c r="J239" s="258" t="n"/>
      <c r="K239" s="233" t="n"/>
      <c r="L239" s="233" t="n"/>
      <c r="M239" s="156" t="n"/>
      <c r="N239" s="156" t="n"/>
      <c r="O239" s="156" t="n"/>
    </row>
    <row r="240" ht="18.75" customHeight="1" s="153">
      <c r="A240" s="227" t="n"/>
      <c r="B240" s="228" t="n"/>
      <c r="C240" s="229" t="n"/>
      <c r="D240" s="229" t="n"/>
      <c r="E240" s="229" t="n"/>
      <c r="F240" s="230" t="n"/>
      <c r="G240" s="230" t="n"/>
      <c r="H240" s="257" t="n"/>
      <c r="I240" s="258" t="n"/>
      <c r="J240" s="258" t="n"/>
      <c r="K240" s="233" t="n"/>
      <c r="L240" s="233" t="n"/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57" t="n"/>
      <c r="I241" s="258" t="n"/>
      <c r="J241" s="258" t="n"/>
      <c r="K241" s="233" t="n"/>
      <c r="L241" s="233" t="n"/>
      <c r="M241" s="156" t="n"/>
      <c r="N241" s="156" t="n"/>
      <c r="O241" s="156" t="n"/>
    </row>
    <row r="242" ht="18.75" customHeight="1" s="153">
      <c r="A242" s="227" t="n"/>
      <c r="B242" s="228" t="n"/>
      <c r="C242" s="229" t="n"/>
      <c r="D242" s="229" t="n"/>
      <c r="E242" s="229" t="n"/>
      <c r="F242" s="230" t="n"/>
      <c r="G242" s="230" t="n"/>
      <c r="H242" s="257" t="n"/>
      <c r="I242" s="258" t="n"/>
      <c r="J242" s="258" t="n"/>
      <c r="K242" s="233" t="n"/>
      <c r="L242" s="233" t="n"/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57" t="n"/>
      <c r="I243" s="258" t="n"/>
      <c r="J243" s="258" t="n"/>
      <c r="K243" s="233" t="n"/>
      <c r="L243" s="233" t="n"/>
      <c r="M243" s="156" t="n"/>
      <c r="N243" s="156" t="n"/>
      <c r="O243" s="156" t="n"/>
    </row>
    <row r="244" ht="18.75" customHeight="1" s="153">
      <c r="A244" s="227" t="n"/>
      <c r="B244" s="228" t="n"/>
      <c r="C244" s="229" t="n"/>
      <c r="D244" s="229" t="n"/>
      <c r="E244" s="229" t="n"/>
      <c r="F244" s="230" t="n"/>
      <c r="G244" s="230" t="n"/>
      <c r="H244" s="257" t="n"/>
      <c r="I244" s="258" t="n"/>
      <c r="J244" s="258" t="n"/>
      <c r="K244" s="233" t="n"/>
      <c r="L244" s="233" t="n"/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57" t="n"/>
      <c r="I245" s="258" t="n"/>
      <c r="J245" s="258" t="n"/>
      <c r="K245" s="233" t="n"/>
      <c r="L245" s="233" t="n"/>
      <c r="M245" s="156" t="n"/>
      <c r="N245" s="156" t="n"/>
      <c r="O245" s="156" t="n"/>
    </row>
    <row r="246" ht="18.75" customHeight="1" s="153">
      <c r="A246" s="227" t="n"/>
      <c r="B246" s="228" t="n"/>
      <c r="C246" s="229" t="n"/>
      <c r="D246" s="229" t="n"/>
      <c r="E246" s="229" t="n"/>
      <c r="F246" s="230" t="n"/>
      <c r="G246" s="230" t="n"/>
      <c r="H246" s="257" t="n"/>
      <c r="I246" s="258" t="n"/>
      <c r="J246" s="258" t="n"/>
      <c r="K246" s="233" t="n"/>
      <c r="L246" s="233" t="n"/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57" t="n"/>
      <c r="I247" s="258" t="n"/>
      <c r="J247" s="258" t="n"/>
      <c r="K247" s="233" t="n"/>
      <c r="L247" s="233" t="n"/>
      <c r="M247" s="156" t="n"/>
      <c r="N247" s="156" t="n"/>
      <c r="O247" s="156" t="n"/>
    </row>
    <row r="248" ht="18.75" customHeight="1" s="153">
      <c r="A248" s="227" t="n"/>
      <c r="B248" s="228" t="n"/>
      <c r="C248" s="229" t="n"/>
      <c r="D248" s="229" t="n"/>
      <c r="E248" s="229" t="n"/>
      <c r="F248" s="230" t="n"/>
      <c r="G248" s="230" t="n"/>
      <c r="H248" s="257" t="n"/>
      <c r="I248" s="258" t="n"/>
      <c r="J248" s="258" t="n"/>
      <c r="K248" s="233" t="n"/>
      <c r="L248" s="233" t="n"/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57" t="n"/>
      <c r="I249" s="258" t="n"/>
      <c r="J249" s="258" t="n"/>
      <c r="K249" s="233" t="n"/>
      <c r="L249" s="233" t="n"/>
      <c r="M249" s="156" t="n"/>
      <c r="N249" s="156" t="n"/>
      <c r="O249" s="156" t="n"/>
    </row>
    <row r="250" ht="18.75" customHeight="1" s="153">
      <c r="A250" s="227" t="n"/>
      <c r="B250" s="228" t="n"/>
      <c r="C250" s="229" t="n"/>
      <c r="D250" s="229" t="n"/>
      <c r="E250" s="229" t="n"/>
      <c r="F250" s="230" t="n"/>
      <c r="G250" s="230" t="n"/>
      <c r="H250" s="257" t="n"/>
      <c r="I250" s="258" t="n"/>
      <c r="J250" s="258" t="n"/>
      <c r="K250" s="233" t="n"/>
      <c r="L250" s="233" t="n"/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57" t="n"/>
      <c r="I251" s="258" t="n"/>
      <c r="J251" s="258" t="n"/>
      <c r="K251" s="233" t="n"/>
      <c r="L251" s="233" t="n"/>
      <c r="M251" s="156" t="n"/>
      <c r="N251" s="156" t="n"/>
      <c r="O251" s="156" t="n"/>
    </row>
    <row r="252" ht="18.75" customHeight="1" s="153">
      <c r="A252" s="227" t="n"/>
      <c r="B252" s="228" t="n"/>
      <c r="C252" s="229" t="n"/>
      <c r="D252" s="229" t="n"/>
      <c r="E252" s="229" t="n"/>
      <c r="F252" s="230" t="n"/>
      <c r="G252" s="230" t="n"/>
      <c r="H252" s="257" t="n"/>
      <c r="I252" s="258" t="n"/>
      <c r="J252" s="258" t="n"/>
      <c r="K252" s="233" t="n"/>
      <c r="L252" s="233" t="n"/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57" t="n"/>
      <c r="I253" s="258" t="n"/>
      <c r="J253" s="258" t="n"/>
      <c r="K253" s="233" t="n"/>
      <c r="L253" s="233" t="n"/>
      <c r="M253" s="156" t="n"/>
      <c r="N253" s="156" t="n"/>
      <c r="O253" s="156" t="n"/>
    </row>
    <row r="254" ht="18.75" customHeight="1" s="153">
      <c r="A254" s="227" t="n"/>
      <c r="B254" s="228" t="n"/>
      <c r="C254" s="229" t="n"/>
      <c r="D254" s="229" t="n"/>
      <c r="E254" s="229" t="n"/>
      <c r="F254" s="230" t="n"/>
      <c r="G254" s="230" t="n"/>
      <c r="H254" s="257" t="n"/>
      <c r="I254" s="258" t="n"/>
      <c r="J254" s="258" t="n"/>
      <c r="K254" s="233" t="n"/>
      <c r="L254" s="233" t="n"/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57" t="n"/>
      <c r="I255" s="258" t="n"/>
      <c r="J255" s="258" t="n"/>
      <c r="K255" s="233" t="n"/>
      <c r="L255" s="233" t="n"/>
      <c r="M255" s="156" t="n"/>
      <c r="N255" s="156" t="n"/>
      <c r="O255" s="156" t="n"/>
    </row>
    <row r="256" ht="18.75" customHeight="1" s="153">
      <c r="A256" s="227" t="n"/>
      <c r="B256" s="228" t="n"/>
      <c r="C256" s="229" t="n"/>
      <c r="D256" s="229" t="n"/>
      <c r="E256" s="229" t="n"/>
      <c r="F256" s="230" t="n"/>
      <c r="G256" s="230" t="n"/>
      <c r="H256" s="257" t="n"/>
      <c r="I256" s="258" t="n"/>
      <c r="J256" s="258" t="n"/>
      <c r="K256" s="233" t="n"/>
      <c r="L256" s="233" t="n"/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57" t="n"/>
      <c r="I257" s="258" t="n"/>
      <c r="J257" s="258" t="n"/>
      <c r="K257" s="233" t="n"/>
      <c r="L257" s="233" t="n"/>
      <c r="M257" s="156" t="n"/>
      <c r="N257" s="156" t="n"/>
      <c r="O257" s="156" t="n"/>
    </row>
    <row r="258" ht="18.75" customHeight="1" s="153">
      <c r="A258" s="227" t="n"/>
      <c r="B258" s="228" t="n"/>
      <c r="C258" s="229" t="n"/>
      <c r="D258" s="229" t="n"/>
      <c r="E258" s="229" t="n"/>
      <c r="F258" s="230" t="n"/>
      <c r="G258" s="230" t="n"/>
      <c r="H258" s="257" t="n"/>
      <c r="I258" s="258" t="n"/>
      <c r="J258" s="258" t="n"/>
      <c r="K258" s="233" t="n"/>
      <c r="L258" s="233" t="n"/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57" t="n"/>
      <c r="I259" s="258" t="n"/>
      <c r="J259" s="258" t="n"/>
      <c r="K259" s="233" t="n"/>
      <c r="L259" s="233" t="n"/>
      <c r="M259" s="156" t="n"/>
      <c r="N259" s="156" t="n"/>
      <c r="O259" s="156" t="n"/>
    </row>
    <row r="260" ht="18.75" customHeight="1" s="153">
      <c r="A260" s="227" t="n"/>
      <c r="B260" s="228" t="n"/>
      <c r="C260" s="229" t="n"/>
      <c r="D260" s="229" t="n"/>
      <c r="E260" s="229" t="n"/>
      <c r="F260" s="230" t="n"/>
      <c r="G260" s="230" t="n"/>
      <c r="H260" s="257" t="n"/>
      <c r="I260" s="258" t="n"/>
      <c r="J260" s="258" t="n"/>
      <c r="K260" s="233" t="n"/>
      <c r="L260" s="233" t="n"/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57" t="n"/>
      <c r="I261" s="258" t="n"/>
      <c r="J261" s="258" t="n"/>
      <c r="K261" s="233" t="n"/>
      <c r="L261" s="233" t="n"/>
      <c r="M261" s="156" t="n"/>
      <c r="N261" s="156" t="n"/>
      <c r="O261" s="156" t="n"/>
    </row>
    <row r="262" ht="18.75" customHeight="1" s="153">
      <c r="A262" s="227" t="n"/>
      <c r="B262" s="228" t="n"/>
      <c r="C262" s="229" t="n"/>
      <c r="D262" s="229" t="n"/>
      <c r="E262" s="229" t="n"/>
      <c r="F262" s="230" t="n"/>
      <c r="G262" s="230" t="n"/>
      <c r="H262" s="257" t="n"/>
      <c r="I262" s="258" t="n"/>
      <c r="J262" s="258" t="n"/>
      <c r="K262" s="233" t="n"/>
      <c r="L262" s="233" t="n"/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57" t="n"/>
      <c r="I263" s="258" t="n"/>
      <c r="J263" s="258" t="n"/>
      <c r="K263" s="233" t="n"/>
      <c r="L263" s="233" t="n"/>
      <c r="M263" s="156" t="n"/>
      <c r="N263" s="156" t="n"/>
      <c r="O263" s="156" t="n"/>
    </row>
    <row r="264" ht="18.75" customHeight="1" s="153">
      <c r="A264" s="227" t="n"/>
      <c r="B264" s="228" t="n"/>
      <c r="C264" s="229" t="n"/>
      <c r="D264" s="229" t="n"/>
      <c r="E264" s="229" t="n"/>
      <c r="F264" s="230" t="n"/>
      <c r="G264" s="230" t="n"/>
      <c r="H264" s="257" t="n"/>
      <c r="I264" s="258" t="n"/>
      <c r="J264" s="258" t="n"/>
      <c r="K264" s="233" t="n"/>
      <c r="L264" s="233" t="n"/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57" t="n"/>
      <c r="I265" s="258" t="n"/>
      <c r="J265" s="258" t="n"/>
      <c r="K265" s="233" t="n"/>
      <c r="L265" s="233" t="n"/>
      <c r="M265" s="156" t="n"/>
      <c r="N265" s="156" t="n"/>
      <c r="O265" s="156" t="n"/>
    </row>
    <row r="266" ht="18.75" customHeight="1" s="153">
      <c r="A266" s="227" t="n"/>
      <c r="B266" s="228" t="n"/>
      <c r="C266" s="229" t="n"/>
      <c r="D266" s="229" t="n"/>
      <c r="E266" s="229" t="n"/>
      <c r="F266" s="230" t="n"/>
      <c r="G266" s="230" t="n"/>
      <c r="H266" s="257" t="n"/>
      <c r="I266" s="258" t="n"/>
      <c r="J266" s="258" t="n"/>
      <c r="K266" s="233" t="n"/>
      <c r="L266" s="233" t="n"/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57" t="n"/>
      <c r="I267" s="258" t="n"/>
      <c r="J267" s="258" t="n"/>
      <c r="K267" s="233" t="n"/>
      <c r="L267" s="233" t="n"/>
      <c r="M267" s="156" t="n"/>
      <c r="N267" s="156" t="n"/>
      <c r="O267" s="156" t="n"/>
    </row>
    <row r="268" ht="18.75" customHeight="1" s="153">
      <c r="A268" s="227" t="n"/>
      <c r="B268" s="228" t="n"/>
      <c r="C268" s="229" t="n"/>
      <c r="D268" s="229" t="n"/>
      <c r="E268" s="229" t="n"/>
      <c r="F268" s="230" t="n"/>
      <c r="G268" s="230" t="n"/>
      <c r="H268" s="257" t="n"/>
      <c r="I268" s="258" t="n"/>
      <c r="J268" s="258" t="n"/>
      <c r="K268" s="233" t="n"/>
      <c r="L268" s="233" t="n"/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57" t="n"/>
      <c r="I269" s="258" t="n"/>
      <c r="J269" s="258" t="n"/>
      <c r="K269" s="233" t="n"/>
      <c r="L269" s="233" t="n"/>
      <c r="M269" s="156" t="n"/>
      <c r="N269" s="156" t="n"/>
      <c r="O269" s="156" t="n"/>
    </row>
    <row r="270" ht="18.75" customHeight="1" s="153">
      <c r="A270" s="227" t="n"/>
      <c r="B270" s="228" t="n"/>
      <c r="C270" s="229" t="n"/>
      <c r="D270" s="229" t="n"/>
      <c r="E270" s="229" t="n"/>
      <c r="F270" s="230" t="n"/>
      <c r="G270" s="230" t="n"/>
      <c r="H270" s="257" t="n"/>
      <c r="I270" s="258" t="n"/>
      <c r="J270" s="258" t="n"/>
      <c r="K270" s="233" t="n"/>
      <c r="L270" s="233" t="n"/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57" t="n"/>
      <c r="I271" s="258" t="n"/>
      <c r="J271" s="258" t="n"/>
      <c r="K271" s="233" t="n"/>
      <c r="L271" s="233" t="n"/>
      <c r="M271" s="156" t="n"/>
      <c r="N271" s="156" t="n"/>
      <c r="O271" s="156" t="n"/>
    </row>
    <row r="272" ht="18.75" customHeight="1" s="153">
      <c r="A272" s="227" t="n"/>
      <c r="B272" s="228" t="n"/>
      <c r="C272" s="229" t="n"/>
      <c r="D272" s="229" t="n"/>
      <c r="E272" s="229" t="n"/>
      <c r="F272" s="230" t="n"/>
      <c r="G272" s="230" t="n"/>
      <c r="H272" s="257" t="n"/>
      <c r="I272" s="258" t="n"/>
      <c r="J272" s="258" t="n"/>
      <c r="K272" s="233" t="n"/>
      <c r="L272" s="233" t="n"/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57" t="n"/>
      <c r="I273" s="258" t="n"/>
      <c r="J273" s="258" t="n"/>
      <c r="K273" s="233" t="n"/>
      <c r="L273" s="233" t="n"/>
      <c r="M273" s="156" t="n"/>
      <c r="N273" s="156" t="n"/>
      <c r="O273" s="156" t="n"/>
    </row>
    <row r="274" ht="18.75" customHeight="1" s="153">
      <c r="A274" s="227" t="n"/>
      <c r="B274" s="228" t="n"/>
      <c r="C274" s="229" t="n"/>
      <c r="D274" s="229" t="n"/>
      <c r="E274" s="229" t="n"/>
      <c r="F274" s="230" t="n"/>
      <c r="G274" s="230" t="n"/>
      <c r="H274" s="257" t="n"/>
      <c r="I274" s="258" t="n"/>
      <c r="J274" s="258" t="n"/>
      <c r="K274" s="233" t="n"/>
      <c r="L274" s="233" t="n"/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57" t="n"/>
      <c r="I275" s="258" t="n"/>
      <c r="J275" s="258" t="n"/>
      <c r="K275" s="233" t="n"/>
      <c r="L275" s="233" t="n"/>
      <c r="M275" s="156" t="n"/>
      <c r="N275" s="156" t="n"/>
      <c r="O275" s="156" t="n"/>
    </row>
    <row r="276" ht="18.75" customHeight="1" s="153">
      <c r="A276" s="227" t="n"/>
      <c r="B276" s="228" t="n"/>
      <c r="C276" s="229" t="n"/>
      <c r="D276" s="229" t="n"/>
      <c r="E276" s="229" t="n"/>
      <c r="F276" s="230" t="n"/>
      <c r="G276" s="230" t="n"/>
      <c r="H276" s="257" t="n"/>
      <c r="I276" s="258" t="n"/>
      <c r="J276" s="258" t="n"/>
      <c r="K276" s="233" t="n"/>
      <c r="L276" s="233" t="n"/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57" t="n"/>
      <c r="I277" s="258" t="n"/>
      <c r="J277" s="258" t="n"/>
      <c r="K277" s="233" t="n"/>
      <c r="L277" s="233" t="n"/>
      <c r="M277" s="156" t="n"/>
      <c r="N277" s="156" t="n"/>
      <c r="O277" s="156" t="n"/>
    </row>
    <row r="278" ht="18.75" customHeight="1" s="153">
      <c r="A278" s="227" t="n"/>
      <c r="B278" s="228" t="n"/>
      <c r="C278" s="229" t="n"/>
      <c r="D278" s="229" t="n"/>
      <c r="E278" s="229" t="n"/>
      <c r="F278" s="230" t="n"/>
      <c r="G278" s="230" t="n"/>
      <c r="H278" s="257" t="n"/>
      <c r="I278" s="258" t="n"/>
      <c r="J278" s="258" t="n"/>
      <c r="K278" s="233" t="n"/>
      <c r="L278" s="233" t="n"/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57" t="n"/>
      <c r="I279" s="258" t="n"/>
      <c r="J279" s="258" t="n"/>
      <c r="K279" s="233" t="n"/>
      <c r="L279" s="233" t="n"/>
      <c r="M279" s="156" t="n"/>
      <c r="N279" s="156" t="n"/>
      <c r="O279" s="156" t="n"/>
    </row>
    <row r="280" ht="18.75" customHeight="1" s="153">
      <c r="A280" s="227" t="n"/>
      <c r="B280" s="228" t="n"/>
      <c r="C280" s="229" t="n"/>
      <c r="D280" s="229" t="n"/>
      <c r="E280" s="229" t="n"/>
      <c r="F280" s="230" t="n"/>
      <c r="G280" s="230" t="n"/>
      <c r="H280" s="257" t="n"/>
      <c r="I280" s="258" t="n"/>
      <c r="J280" s="258" t="n"/>
      <c r="K280" s="233" t="n"/>
      <c r="L280" s="233" t="n"/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57" t="n"/>
      <c r="I281" s="258" t="n"/>
      <c r="J281" s="258" t="n"/>
      <c r="K281" s="233" t="n"/>
      <c r="L281" s="233" t="n"/>
      <c r="M281" s="156" t="n"/>
      <c r="N281" s="156" t="n"/>
      <c r="O281" s="156" t="n"/>
    </row>
    <row r="282" ht="18.75" customHeight="1" s="153">
      <c r="A282" s="227" t="n"/>
      <c r="B282" s="228" t="n"/>
      <c r="C282" s="229" t="n"/>
      <c r="D282" s="229" t="n"/>
      <c r="E282" s="229" t="n"/>
      <c r="F282" s="230" t="n"/>
      <c r="G282" s="230" t="n"/>
      <c r="H282" s="257" t="n"/>
      <c r="I282" s="258" t="n"/>
      <c r="J282" s="258" t="n"/>
      <c r="K282" s="233" t="n"/>
      <c r="L282" s="233" t="n"/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57" t="n"/>
      <c r="I283" s="258" t="n"/>
      <c r="J283" s="258" t="n"/>
      <c r="K283" s="233" t="n"/>
      <c r="L283" s="233" t="n"/>
      <c r="M283" s="156" t="n"/>
      <c r="N283" s="156" t="n"/>
      <c r="O283" s="156" t="n"/>
    </row>
    <row r="284" ht="18.75" customHeight="1" s="153">
      <c r="A284" s="227" t="n"/>
      <c r="B284" s="228" t="n"/>
      <c r="C284" s="229" t="n"/>
      <c r="D284" s="229" t="n"/>
      <c r="E284" s="229" t="n"/>
      <c r="F284" s="230" t="n"/>
      <c r="G284" s="230" t="n"/>
      <c r="H284" s="257" t="n"/>
      <c r="I284" s="258" t="n"/>
      <c r="J284" s="258" t="n"/>
      <c r="K284" s="233" t="n"/>
      <c r="L284" s="233" t="n"/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57" t="n"/>
      <c r="I285" s="258" t="n"/>
      <c r="J285" s="258" t="n"/>
      <c r="K285" s="233" t="n"/>
      <c r="L285" s="233" t="n"/>
      <c r="M285" s="156" t="n"/>
      <c r="N285" s="156" t="n"/>
      <c r="O285" s="156" t="n"/>
    </row>
    <row r="286" ht="18.75" customHeight="1" s="153">
      <c r="A286" s="227" t="n"/>
      <c r="B286" s="228" t="n"/>
      <c r="C286" s="229" t="n"/>
      <c r="D286" s="229" t="n"/>
      <c r="E286" s="229" t="n"/>
      <c r="F286" s="230" t="n"/>
      <c r="G286" s="230" t="n"/>
      <c r="H286" s="257" t="n"/>
      <c r="I286" s="258" t="n"/>
      <c r="J286" s="258" t="n"/>
      <c r="K286" s="233" t="n"/>
      <c r="L286" s="233" t="n"/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57" t="n"/>
      <c r="I287" s="258" t="n"/>
      <c r="J287" s="258" t="n"/>
      <c r="K287" s="233" t="n"/>
      <c r="L287" s="233" t="n"/>
      <c r="M287" s="156" t="n"/>
      <c r="N287" s="156" t="n"/>
      <c r="O287" s="156" t="n"/>
    </row>
    <row r="288" ht="18.75" customHeight="1" s="153">
      <c r="A288" s="227" t="n"/>
      <c r="B288" s="228" t="n"/>
      <c r="C288" s="229" t="n"/>
      <c r="D288" s="229" t="n"/>
      <c r="E288" s="229" t="n"/>
      <c r="F288" s="230" t="n"/>
      <c r="G288" s="230" t="n"/>
      <c r="H288" s="257" t="n"/>
      <c r="I288" s="258" t="n"/>
      <c r="J288" s="258" t="n"/>
      <c r="K288" s="233" t="n"/>
      <c r="L288" s="233" t="n"/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57" t="n"/>
      <c r="I289" s="258" t="n"/>
      <c r="J289" s="258" t="n"/>
      <c r="K289" s="233" t="n"/>
      <c r="L289" s="233" t="n"/>
      <c r="M289" s="156" t="n"/>
      <c r="N289" s="156" t="n"/>
      <c r="O289" s="156" t="n"/>
    </row>
    <row r="290" ht="18.75" customHeight="1" s="153">
      <c r="A290" s="227" t="n"/>
      <c r="B290" s="228" t="n"/>
      <c r="C290" s="229" t="n"/>
      <c r="D290" s="229" t="n"/>
      <c r="E290" s="229" t="n"/>
      <c r="F290" s="230" t="n"/>
      <c r="G290" s="230" t="n"/>
      <c r="H290" s="257" t="n"/>
      <c r="I290" s="258" t="n"/>
      <c r="J290" s="258" t="n"/>
      <c r="K290" s="233" t="n"/>
      <c r="L290" s="233" t="n"/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57" t="n"/>
      <c r="I291" s="258" t="n"/>
      <c r="J291" s="258" t="n"/>
      <c r="K291" s="233" t="n"/>
      <c r="L291" s="233" t="n"/>
      <c r="M291" s="156" t="n"/>
      <c r="N291" s="156" t="n"/>
      <c r="O291" s="156" t="n"/>
    </row>
    <row r="292" ht="18.75" customHeight="1" s="153">
      <c r="A292" s="227" t="n"/>
      <c r="B292" s="228" t="n"/>
      <c r="C292" s="229" t="n"/>
      <c r="D292" s="229" t="n"/>
      <c r="E292" s="229" t="n"/>
      <c r="F292" s="230" t="n"/>
      <c r="G292" s="230" t="n"/>
      <c r="H292" s="257" t="n"/>
      <c r="I292" s="258" t="n"/>
      <c r="J292" s="258" t="n"/>
      <c r="K292" s="233" t="n"/>
      <c r="L292" s="233" t="n"/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57" t="n"/>
      <c r="I293" s="258" t="n"/>
      <c r="J293" s="258" t="n"/>
      <c r="K293" s="233" t="n"/>
      <c r="L293" s="233" t="n"/>
      <c r="M293" s="156" t="n"/>
      <c r="N293" s="156" t="n"/>
      <c r="O293" s="156" t="n"/>
    </row>
    <row r="294" ht="18.75" customHeight="1" s="153">
      <c r="A294" s="227" t="n"/>
      <c r="B294" s="228" t="n"/>
      <c r="C294" s="229" t="n"/>
      <c r="D294" s="229" t="n"/>
      <c r="E294" s="229" t="n"/>
      <c r="F294" s="230" t="n"/>
      <c r="G294" s="230" t="n"/>
      <c r="H294" s="257" t="n"/>
      <c r="I294" s="258" t="n"/>
      <c r="J294" s="258" t="n"/>
      <c r="K294" s="233" t="n"/>
      <c r="L294" s="233" t="n"/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57" t="n"/>
      <c r="I295" s="258" t="n"/>
      <c r="J295" s="258" t="n"/>
      <c r="K295" s="233" t="n"/>
      <c r="L295" s="233" t="n"/>
      <c r="M295" s="156" t="n"/>
      <c r="N295" s="156" t="n"/>
      <c r="O295" s="156" t="n"/>
    </row>
    <row r="296" ht="18.75" customHeight="1" s="153">
      <c r="A296" s="227" t="n"/>
      <c r="B296" s="228" t="n"/>
      <c r="C296" s="229" t="n"/>
      <c r="D296" s="229" t="n"/>
      <c r="E296" s="229" t="n"/>
      <c r="F296" s="230" t="n"/>
      <c r="G296" s="230" t="n"/>
      <c r="H296" s="257" t="n"/>
      <c r="I296" s="258" t="n"/>
      <c r="J296" s="258" t="n"/>
      <c r="K296" s="233" t="n"/>
      <c r="L296" s="233" t="n"/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57" t="n"/>
      <c r="I297" s="258" t="n"/>
      <c r="J297" s="258" t="n"/>
      <c r="K297" s="233" t="n"/>
      <c r="L297" s="233" t="n"/>
      <c r="M297" s="156" t="n"/>
      <c r="N297" s="156" t="n"/>
      <c r="O297" s="156" t="n"/>
    </row>
    <row r="298" ht="18.75" customHeight="1" s="153">
      <c r="A298" s="227" t="n"/>
      <c r="B298" s="228" t="n"/>
      <c r="C298" s="229" t="n"/>
      <c r="D298" s="229" t="n"/>
      <c r="E298" s="229" t="n"/>
      <c r="F298" s="230" t="n"/>
      <c r="G298" s="230" t="n"/>
      <c r="H298" s="257" t="n"/>
      <c r="I298" s="258" t="n"/>
      <c r="J298" s="258" t="n"/>
      <c r="K298" s="233" t="n"/>
      <c r="L298" s="233" t="n"/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57" t="n"/>
      <c r="I299" s="258" t="n"/>
      <c r="J299" s="258" t="n"/>
      <c r="K299" s="233" t="n"/>
      <c r="L299" s="233" t="n"/>
      <c r="M299" s="156" t="n"/>
      <c r="N299" s="156" t="n"/>
      <c r="O299" s="156" t="n"/>
    </row>
    <row r="300" ht="18.75" customHeight="1" s="153">
      <c r="A300" s="227" t="n"/>
      <c r="B300" s="228" t="n"/>
      <c r="C300" s="229" t="n"/>
      <c r="D300" s="229" t="n"/>
      <c r="E300" s="229" t="n"/>
      <c r="F300" s="230" t="n"/>
      <c r="G300" s="230" t="n"/>
      <c r="H300" s="257" t="n"/>
      <c r="I300" s="258" t="n"/>
      <c r="J300" s="258" t="n"/>
      <c r="K300" s="233" t="n"/>
      <c r="L300" s="233" t="n"/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57" t="n"/>
      <c r="I301" s="258" t="n"/>
      <c r="J301" s="258" t="n"/>
      <c r="K301" s="233" t="n"/>
      <c r="L301" s="233" t="n"/>
      <c r="M301" s="156" t="n"/>
      <c r="N301" s="156" t="n"/>
      <c r="O301" s="156" t="n"/>
    </row>
    <row r="302" ht="18.75" customHeight="1" s="153">
      <c r="A302" s="227" t="n"/>
      <c r="B302" s="228" t="n"/>
      <c r="C302" s="229" t="n"/>
      <c r="D302" s="229" t="n"/>
      <c r="E302" s="229" t="n"/>
      <c r="F302" s="230" t="n"/>
      <c r="G302" s="230" t="n"/>
      <c r="H302" s="257" t="n"/>
      <c r="I302" s="258" t="n"/>
      <c r="J302" s="258" t="n"/>
      <c r="K302" s="233" t="n"/>
      <c r="L302" s="233" t="n"/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57" t="n"/>
      <c r="I303" s="258" t="n"/>
      <c r="J303" s="258" t="n"/>
      <c r="K303" s="233" t="n"/>
      <c r="L303" s="233" t="n"/>
      <c r="M303" s="156" t="n"/>
      <c r="N303" s="156" t="n"/>
      <c r="O303" s="156" t="n"/>
    </row>
    <row r="304" ht="18.75" customHeight="1" s="153">
      <c r="A304" s="227" t="n"/>
      <c r="B304" s="228" t="n"/>
      <c r="C304" s="229" t="n"/>
      <c r="D304" s="229" t="n"/>
      <c r="E304" s="229" t="n"/>
      <c r="F304" s="230" t="n"/>
      <c r="G304" s="230" t="n"/>
      <c r="H304" s="257" t="n"/>
      <c r="I304" s="258" t="n"/>
      <c r="J304" s="258" t="n"/>
      <c r="K304" s="233" t="n"/>
      <c r="L304" s="233" t="n"/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57" t="n"/>
      <c r="I305" s="258" t="n"/>
      <c r="J305" s="258" t="n"/>
      <c r="K305" s="233" t="n"/>
      <c r="L305" s="233" t="n"/>
      <c r="M305" s="156" t="n"/>
      <c r="N305" s="156" t="n"/>
      <c r="O305" s="156" t="n"/>
    </row>
    <row r="306" ht="18.75" customHeight="1" s="153">
      <c r="A306" s="227" t="n"/>
      <c r="B306" s="228" t="n"/>
      <c r="C306" s="229" t="n"/>
      <c r="D306" s="229" t="n"/>
      <c r="E306" s="229" t="n"/>
      <c r="F306" s="230" t="n"/>
      <c r="G306" s="230" t="n"/>
      <c r="H306" s="257" t="n"/>
      <c r="I306" s="258" t="n"/>
      <c r="J306" s="258" t="n"/>
      <c r="K306" s="233" t="n"/>
      <c r="L306" s="233" t="n"/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57" t="n"/>
      <c r="I307" s="258" t="n"/>
      <c r="J307" s="258" t="n"/>
      <c r="K307" s="233" t="n"/>
      <c r="L307" s="233" t="n"/>
      <c r="M307" s="156" t="n"/>
      <c r="N307" s="156" t="n"/>
      <c r="O307" s="156" t="n"/>
    </row>
    <row r="308" ht="18.75" customHeight="1" s="153">
      <c r="A308" s="227" t="n"/>
      <c r="B308" s="228" t="n"/>
      <c r="C308" s="229" t="n"/>
      <c r="D308" s="229" t="n"/>
      <c r="E308" s="229" t="n"/>
      <c r="F308" s="230" t="n"/>
      <c r="G308" s="230" t="n"/>
      <c r="H308" s="257" t="n"/>
      <c r="I308" s="258" t="n"/>
      <c r="J308" s="258" t="n"/>
      <c r="K308" s="233" t="n"/>
      <c r="L308" s="233" t="n"/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57" t="n"/>
      <c r="I309" s="258" t="n"/>
      <c r="J309" s="258" t="n"/>
      <c r="K309" s="233" t="n"/>
      <c r="L309" s="233" t="n"/>
      <c r="M309" s="156" t="n"/>
      <c r="N309" s="156" t="n"/>
      <c r="O309" s="156" t="n"/>
    </row>
    <row r="310" ht="18.75" customHeight="1" s="153">
      <c r="A310" s="227" t="n"/>
      <c r="B310" s="228" t="n"/>
      <c r="C310" s="229" t="n"/>
      <c r="D310" s="229" t="n"/>
      <c r="E310" s="229" t="n"/>
      <c r="F310" s="230" t="n"/>
      <c r="G310" s="230" t="n"/>
      <c r="H310" s="257" t="n"/>
      <c r="I310" s="258" t="n"/>
      <c r="J310" s="258" t="n"/>
      <c r="K310" s="233" t="n"/>
      <c r="L310" s="233" t="n"/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57" t="n"/>
      <c r="I311" s="258" t="n"/>
      <c r="J311" s="258" t="n"/>
      <c r="K311" s="233" t="n"/>
      <c r="L311" s="233" t="n"/>
      <c r="M311" s="156" t="n"/>
      <c r="N311" s="156" t="n"/>
      <c r="O311" s="156" t="n"/>
    </row>
    <row r="312" ht="18.75" customHeight="1" s="153">
      <c r="A312" s="227" t="n"/>
      <c r="B312" s="228" t="n"/>
      <c r="C312" s="229" t="n"/>
      <c r="D312" s="229" t="n"/>
      <c r="E312" s="229" t="n"/>
      <c r="F312" s="230" t="n"/>
      <c r="G312" s="230" t="n"/>
      <c r="H312" s="257" t="n"/>
      <c r="I312" s="258" t="n"/>
      <c r="J312" s="258" t="n"/>
      <c r="K312" s="233" t="n"/>
      <c r="L312" s="233" t="n"/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57" t="n"/>
      <c r="I313" s="258" t="n"/>
      <c r="J313" s="258" t="n"/>
      <c r="K313" s="233" t="n"/>
      <c r="L313" s="233" t="n"/>
      <c r="M313" s="156" t="n"/>
      <c r="N313" s="156" t="n"/>
      <c r="O313" s="156" t="n"/>
    </row>
    <row r="314" ht="18.75" customHeight="1" s="153">
      <c r="A314" s="227" t="n"/>
      <c r="B314" s="228" t="n"/>
      <c r="C314" s="229" t="n"/>
      <c r="D314" s="229" t="n"/>
      <c r="E314" s="229" t="n"/>
      <c r="F314" s="230" t="n"/>
      <c r="G314" s="230" t="n"/>
      <c r="H314" s="257" t="n"/>
      <c r="I314" s="258" t="n"/>
      <c r="J314" s="258" t="n"/>
      <c r="K314" s="233" t="n"/>
      <c r="L314" s="233" t="n"/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57" t="n"/>
      <c r="I315" s="258" t="n"/>
      <c r="J315" s="258" t="n"/>
      <c r="K315" s="233" t="n"/>
      <c r="L315" s="233" t="n"/>
      <c r="M315" s="156" t="n"/>
      <c r="N315" s="156" t="n"/>
      <c r="O315" s="156" t="n"/>
    </row>
    <row r="316" ht="18.75" customHeight="1" s="153">
      <c r="A316" s="227" t="n"/>
      <c r="B316" s="228" t="n"/>
      <c r="C316" s="229" t="n"/>
      <c r="D316" s="229" t="n"/>
      <c r="E316" s="229" t="n"/>
      <c r="F316" s="230" t="n"/>
      <c r="G316" s="230" t="n"/>
      <c r="H316" s="257" t="n"/>
      <c r="I316" s="258" t="n"/>
      <c r="J316" s="258" t="n"/>
      <c r="K316" s="233" t="n"/>
      <c r="L316" s="233" t="n"/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57" t="n"/>
      <c r="I317" s="258" t="n"/>
      <c r="J317" s="258" t="n"/>
      <c r="K317" s="233" t="n"/>
      <c r="L317" s="233" t="n"/>
      <c r="M317" s="156" t="n"/>
      <c r="N317" s="156" t="n"/>
      <c r="O317" s="156" t="n"/>
    </row>
    <row r="318" ht="18.75" customHeight="1" s="153">
      <c r="A318" s="227" t="n"/>
      <c r="B318" s="228" t="n"/>
      <c r="C318" s="229" t="n"/>
      <c r="D318" s="229" t="n"/>
      <c r="E318" s="229" t="n"/>
      <c r="F318" s="230" t="n"/>
      <c r="G318" s="230" t="n"/>
      <c r="H318" s="257" t="n"/>
      <c r="I318" s="258" t="n"/>
      <c r="J318" s="258" t="n"/>
      <c r="K318" s="233" t="n"/>
      <c r="L318" s="233" t="n"/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57" t="n"/>
      <c r="I319" s="258" t="n"/>
      <c r="J319" s="258" t="n"/>
      <c r="K319" s="233" t="n"/>
      <c r="L319" s="233" t="n"/>
      <c r="M319" s="156" t="n"/>
      <c r="N319" s="156" t="n"/>
      <c r="O319" s="156" t="n"/>
    </row>
    <row r="320" ht="18.75" customHeight="1" s="153">
      <c r="A320" s="227" t="n"/>
      <c r="B320" s="228" t="n"/>
      <c r="C320" s="229" t="n"/>
      <c r="D320" s="229" t="n"/>
      <c r="E320" s="229" t="n"/>
      <c r="F320" s="230" t="n"/>
      <c r="G320" s="230" t="n"/>
      <c r="H320" s="257" t="n"/>
      <c r="I320" s="258" t="n"/>
      <c r="J320" s="258" t="n"/>
      <c r="K320" s="233" t="n"/>
      <c r="L320" s="233" t="n"/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57" t="n"/>
      <c r="I321" s="258" t="n"/>
      <c r="J321" s="258" t="n"/>
      <c r="K321" s="233" t="n"/>
      <c r="L321" s="233" t="n"/>
      <c r="M321" s="156" t="n"/>
      <c r="N321" s="156" t="n"/>
      <c r="O321" s="156" t="n"/>
    </row>
    <row r="322" ht="18.75" customHeight="1" s="153">
      <c r="A322" s="227" t="n"/>
      <c r="B322" s="228" t="n"/>
      <c r="C322" s="229" t="n"/>
      <c r="D322" s="229" t="n"/>
      <c r="E322" s="229" t="n"/>
      <c r="F322" s="230" t="n"/>
      <c r="G322" s="230" t="n"/>
      <c r="H322" s="257" t="n"/>
      <c r="I322" s="258" t="n"/>
      <c r="J322" s="258" t="n"/>
      <c r="K322" s="233" t="n"/>
      <c r="L322" s="233" t="n"/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57" t="n"/>
      <c r="I323" s="258" t="n"/>
      <c r="J323" s="258" t="n"/>
      <c r="K323" s="233" t="n"/>
      <c r="L323" s="233" t="n"/>
      <c r="M323" s="156" t="n"/>
      <c r="N323" s="156" t="n"/>
      <c r="O323" s="156" t="n"/>
    </row>
    <row r="324" ht="18.75" customHeight="1" s="153">
      <c r="A324" s="227" t="n"/>
      <c r="B324" s="228" t="n"/>
      <c r="C324" s="229" t="n"/>
      <c r="D324" s="229" t="n"/>
      <c r="E324" s="229" t="n"/>
      <c r="F324" s="230" t="n"/>
      <c r="G324" s="230" t="n"/>
      <c r="H324" s="257" t="n"/>
      <c r="I324" s="258" t="n"/>
      <c r="J324" s="258" t="n"/>
      <c r="K324" s="233" t="n"/>
      <c r="L324" s="233" t="n"/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57" t="n"/>
      <c r="I325" s="258" t="n"/>
      <c r="J325" s="258" t="n"/>
      <c r="K325" s="233" t="n"/>
      <c r="L325" s="233" t="n"/>
      <c r="M325" s="156" t="n"/>
      <c r="N325" s="156" t="n"/>
      <c r="O325" s="156" t="n"/>
    </row>
    <row r="326" ht="18.75" customHeight="1" s="153">
      <c r="A326" s="227" t="n"/>
      <c r="B326" s="228" t="n"/>
      <c r="C326" s="229" t="n"/>
      <c r="D326" s="229" t="n"/>
      <c r="E326" s="229" t="n"/>
      <c r="F326" s="230" t="n"/>
      <c r="G326" s="230" t="n"/>
      <c r="H326" s="257" t="n"/>
      <c r="I326" s="258" t="n"/>
      <c r="J326" s="258" t="n"/>
      <c r="K326" s="233" t="n"/>
      <c r="L326" s="233" t="n"/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57" t="n"/>
      <c r="I327" s="258" t="n"/>
      <c r="J327" s="258" t="n"/>
      <c r="K327" s="233" t="n"/>
      <c r="L327" s="233" t="n"/>
      <c r="M327" s="156" t="n"/>
      <c r="N327" s="156" t="n"/>
      <c r="O327" s="156" t="n"/>
    </row>
    <row r="328" ht="18.75" customHeight="1" s="153">
      <c r="A328" s="227" t="n"/>
      <c r="B328" s="228" t="n"/>
      <c r="C328" s="229" t="n"/>
      <c r="D328" s="229" t="n"/>
      <c r="E328" s="229" t="n"/>
      <c r="F328" s="230" t="n"/>
      <c r="G328" s="230" t="n"/>
      <c r="H328" s="257" t="n"/>
      <c r="I328" s="258" t="n"/>
      <c r="J328" s="258" t="n"/>
      <c r="K328" s="233" t="n"/>
      <c r="L328" s="233" t="n"/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57" t="n"/>
      <c r="I329" s="258" t="n"/>
      <c r="J329" s="258" t="n"/>
      <c r="K329" s="233" t="n"/>
      <c r="L329" s="233" t="n"/>
      <c r="M329" s="156" t="n"/>
      <c r="N329" s="156" t="n"/>
      <c r="O329" s="156" t="n"/>
    </row>
    <row r="330" ht="18.75" customHeight="1" s="153">
      <c r="A330" s="227" t="n"/>
      <c r="B330" s="228" t="n"/>
      <c r="C330" s="229" t="n"/>
      <c r="D330" s="229" t="n"/>
      <c r="E330" s="229" t="n"/>
      <c r="F330" s="230" t="n"/>
      <c r="G330" s="230" t="n"/>
      <c r="H330" s="257" t="n"/>
      <c r="I330" s="258" t="n"/>
      <c r="J330" s="258" t="n"/>
      <c r="K330" s="233" t="n"/>
      <c r="L330" s="233" t="n"/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57" t="n"/>
      <c r="I331" s="258" t="n"/>
      <c r="J331" s="258" t="n"/>
      <c r="K331" s="233" t="n"/>
      <c r="L331" s="233" t="n"/>
      <c r="M331" s="156" t="n"/>
      <c r="N331" s="156" t="n"/>
      <c r="O331" s="156" t="n"/>
    </row>
    <row r="332" ht="18.75" customHeight="1" s="153">
      <c r="A332" s="227" t="n"/>
      <c r="B332" s="228" t="n"/>
      <c r="C332" s="229" t="n"/>
      <c r="D332" s="229" t="n"/>
      <c r="E332" s="229" t="n"/>
      <c r="F332" s="230" t="n"/>
      <c r="G332" s="230" t="n"/>
      <c r="H332" s="257" t="n"/>
      <c r="I332" s="258" t="n"/>
      <c r="J332" s="258" t="n"/>
      <c r="K332" s="233" t="n"/>
      <c r="L332" s="233" t="n"/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57" t="n"/>
      <c r="I333" s="258" t="n"/>
      <c r="J333" s="258" t="n"/>
      <c r="K333" s="233" t="n"/>
      <c r="L333" s="233" t="n"/>
      <c r="M333" s="156" t="n"/>
      <c r="N333" s="156" t="n"/>
      <c r="O333" s="156" t="n"/>
    </row>
    <row r="334" ht="18.75" customHeight="1" s="153">
      <c r="A334" s="227" t="n"/>
      <c r="B334" s="228" t="n"/>
      <c r="C334" s="229" t="n"/>
      <c r="D334" s="229" t="n"/>
      <c r="E334" s="229" t="n"/>
      <c r="F334" s="230" t="n"/>
      <c r="G334" s="230" t="n"/>
      <c r="H334" s="257" t="n"/>
      <c r="I334" s="258" t="n"/>
      <c r="J334" s="258" t="n"/>
      <c r="K334" s="233" t="n"/>
      <c r="L334" s="233" t="n"/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57" t="n"/>
      <c r="I335" s="258" t="n"/>
      <c r="J335" s="258" t="n"/>
      <c r="K335" s="233" t="n"/>
      <c r="L335" s="233" t="n"/>
      <c r="M335" s="156" t="n"/>
      <c r="N335" s="156" t="n"/>
      <c r="O335" s="156" t="n"/>
    </row>
    <row r="336" ht="18.75" customHeight="1" s="153">
      <c r="A336" s="227" t="n"/>
      <c r="B336" s="228" t="n"/>
      <c r="C336" s="229" t="n"/>
      <c r="D336" s="229" t="n"/>
      <c r="E336" s="229" t="n"/>
      <c r="F336" s="230" t="n"/>
      <c r="G336" s="230" t="n"/>
      <c r="H336" s="257" t="n"/>
      <c r="I336" s="258" t="n"/>
      <c r="J336" s="258" t="n"/>
      <c r="K336" s="233" t="n"/>
      <c r="L336" s="233" t="n"/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57" t="n"/>
      <c r="I337" s="258" t="n"/>
      <c r="J337" s="258" t="n"/>
      <c r="K337" s="233" t="n"/>
      <c r="L337" s="233" t="n"/>
      <c r="M337" s="156" t="n"/>
      <c r="N337" s="156" t="n"/>
      <c r="O337" s="156" t="n"/>
    </row>
    <row r="338" ht="18.75" customHeight="1" s="153">
      <c r="A338" s="227" t="n"/>
      <c r="B338" s="228" t="n"/>
      <c r="C338" s="229" t="n"/>
      <c r="D338" s="229" t="n"/>
      <c r="E338" s="229" t="n"/>
      <c r="F338" s="230" t="n"/>
      <c r="G338" s="230" t="n"/>
      <c r="H338" s="257" t="n"/>
      <c r="I338" s="258" t="n"/>
      <c r="J338" s="258" t="n"/>
      <c r="K338" s="233" t="n"/>
      <c r="L338" s="233" t="n"/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57" t="n"/>
      <c r="I339" s="258" t="n"/>
      <c r="J339" s="258" t="n"/>
      <c r="K339" s="233" t="n"/>
      <c r="L339" s="233" t="n"/>
      <c r="M339" s="156" t="n"/>
      <c r="N339" s="156" t="n"/>
      <c r="O339" s="156" t="n"/>
    </row>
    <row r="340" ht="18.75" customHeight="1" s="153">
      <c r="A340" s="227" t="n"/>
      <c r="B340" s="228" t="n"/>
      <c r="C340" s="229" t="n"/>
      <c r="D340" s="229" t="n"/>
      <c r="E340" s="229" t="n"/>
      <c r="F340" s="230" t="n"/>
      <c r="G340" s="230" t="n"/>
      <c r="H340" s="257" t="n"/>
      <c r="I340" s="258" t="n"/>
      <c r="J340" s="258" t="n"/>
      <c r="K340" s="233" t="n"/>
      <c r="L340" s="233" t="n"/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 t="n"/>
      <c r="M341" s="156" t="n"/>
      <c r="N341" s="156" t="n"/>
      <c r="O341" s="156" t="n"/>
    </row>
    <row r="342" ht="18.75" customHeight="1" s="153">
      <c r="A342" s="227" t="n"/>
      <c r="B342" s="228" t="n"/>
      <c r="C342" s="229" t="n"/>
      <c r="D342" s="229" t="n"/>
      <c r="E342" s="229" t="n"/>
      <c r="F342" s="230" t="n"/>
      <c r="G342" s="230" t="n"/>
      <c r="H342" s="257" t="n"/>
      <c r="I342" s="258" t="n"/>
      <c r="J342" s="258" t="n"/>
      <c r="K342" s="233" t="n"/>
      <c r="L342" s="233" t="n"/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57" t="n"/>
      <c r="I343" s="258" t="n"/>
      <c r="J343" s="258" t="n"/>
      <c r="K343" s="233" t="n"/>
      <c r="L343" s="233" t="n"/>
      <c r="M343" s="156" t="n"/>
      <c r="N343" s="156" t="n"/>
      <c r="O343" s="156" t="n"/>
    </row>
    <row r="344" ht="18.75" customHeight="1" s="153">
      <c r="A344" s="227" t="n"/>
      <c r="B344" s="228" t="n"/>
      <c r="C344" s="229" t="n"/>
      <c r="D344" s="229" t="n"/>
      <c r="E344" s="229" t="n"/>
      <c r="F344" s="230" t="n"/>
      <c r="G344" s="230" t="n"/>
      <c r="H344" s="257" t="n"/>
      <c r="I344" s="258" t="n"/>
      <c r="J344" s="258" t="n"/>
      <c r="K344" s="233" t="n"/>
      <c r="L344" s="233" t="n"/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57" t="n"/>
      <c r="I345" s="258" t="n"/>
      <c r="J345" s="258" t="n"/>
      <c r="K345" s="233" t="n"/>
      <c r="L345" s="233" t="n"/>
      <c r="M345" s="156" t="n"/>
      <c r="N345" s="156" t="n"/>
      <c r="O345" s="156" t="n"/>
    </row>
    <row r="346" ht="18.75" customHeight="1" s="153">
      <c r="A346" s="227" t="n"/>
      <c r="B346" s="228" t="n"/>
      <c r="C346" s="229" t="n"/>
      <c r="D346" s="229" t="n"/>
      <c r="E346" s="229" t="n"/>
      <c r="F346" s="230" t="n"/>
      <c r="G346" s="230" t="n"/>
      <c r="H346" s="257" t="n"/>
      <c r="I346" s="258" t="n"/>
      <c r="J346" s="258" t="n"/>
      <c r="K346" s="233" t="n"/>
      <c r="L346" s="233" t="n"/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57" t="n"/>
      <c r="I347" s="258" t="n"/>
      <c r="J347" s="258" t="n"/>
      <c r="K347" s="233" t="n"/>
      <c r="L347" s="233" t="n"/>
      <c r="M347" s="156" t="n"/>
      <c r="N347" s="156" t="n"/>
      <c r="O347" s="156" t="n"/>
    </row>
    <row r="348" ht="18.75" customHeight="1" s="153">
      <c r="A348" s="227" t="n"/>
      <c r="B348" s="228" t="n"/>
      <c r="C348" s="229" t="n"/>
      <c r="D348" s="229" t="n"/>
      <c r="E348" s="229" t="n"/>
      <c r="F348" s="230" t="n"/>
      <c r="G348" s="230" t="n"/>
      <c r="H348" s="257" t="n"/>
      <c r="I348" s="258" t="n"/>
      <c r="J348" s="258" t="n"/>
      <c r="K348" s="233" t="n"/>
      <c r="L348" s="233" t="n"/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57" t="n"/>
      <c r="I349" s="258" t="n"/>
      <c r="J349" s="258" t="n"/>
      <c r="K349" s="233" t="n"/>
      <c r="L349" s="233" t="n"/>
      <c r="M349" s="156" t="n"/>
      <c r="N349" s="156" t="n"/>
      <c r="O349" s="156" t="n"/>
    </row>
    <row r="350" ht="18.75" customHeight="1" s="153">
      <c r="A350" s="227" t="n"/>
      <c r="B350" s="228" t="n"/>
      <c r="C350" s="229" t="n"/>
      <c r="D350" s="229" t="n"/>
      <c r="E350" s="229" t="n"/>
      <c r="F350" s="230" t="n"/>
      <c r="G350" s="230" t="n"/>
      <c r="H350" s="257" t="n"/>
      <c r="I350" s="258" t="n"/>
      <c r="J350" s="258" t="n"/>
      <c r="K350" s="233" t="n"/>
      <c r="L350" s="233" t="n"/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57" t="n"/>
      <c r="I351" s="258" t="n"/>
      <c r="J351" s="258" t="n"/>
      <c r="K351" s="233" t="n"/>
      <c r="L351" s="233" t="n"/>
      <c r="M351" s="156" t="n"/>
      <c r="N351" s="156" t="n"/>
      <c r="O351" s="156" t="n"/>
    </row>
    <row r="352" ht="18.75" customHeight="1" s="153">
      <c r="A352" s="227" t="n"/>
      <c r="B352" s="228" t="n"/>
      <c r="C352" s="229" t="n"/>
      <c r="D352" s="229" t="n"/>
      <c r="E352" s="229" t="n"/>
      <c r="F352" s="230" t="n"/>
      <c r="G352" s="230" t="n"/>
      <c r="H352" s="257" t="n"/>
      <c r="I352" s="258" t="n"/>
      <c r="J352" s="258" t="n"/>
      <c r="K352" s="233" t="n"/>
      <c r="L352" s="233" t="n"/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57" t="n"/>
      <c r="I353" s="258" t="n"/>
      <c r="J353" s="258" t="n"/>
      <c r="K353" s="233" t="n"/>
      <c r="L353" s="233" t="n"/>
      <c r="M353" s="156" t="n"/>
      <c r="N353" s="156" t="n"/>
      <c r="O353" s="156" t="n"/>
    </row>
    <row r="354" ht="18.75" customHeight="1" s="153">
      <c r="A354" s="227" t="n"/>
      <c r="B354" s="228" t="n"/>
      <c r="C354" s="229" t="n"/>
      <c r="D354" s="229" t="n"/>
      <c r="E354" s="229" t="n"/>
      <c r="F354" s="230" t="n"/>
      <c r="G354" s="230" t="n"/>
      <c r="H354" s="257" t="n"/>
      <c r="I354" s="258" t="n"/>
      <c r="J354" s="258" t="n"/>
      <c r="K354" s="233" t="n"/>
      <c r="L354" s="233" t="n"/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57" t="n"/>
      <c r="I355" s="258" t="n"/>
      <c r="J355" s="258" t="n"/>
      <c r="K355" s="233" t="n"/>
      <c r="L355" s="233" t="n"/>
      <c r="M355" s="156" t="n"/>
      <c r="N355" s="156" t="n"/>
      <c r="O355" s="156" t="n"/>
    </row>
    <row r="356" ht="15.75" customHeight="1" s="153">
      <c r="A356" s="227" t="n"/>
      <c r="B356" s="228" t="n"/>
      <c r="C356" s="229" t="n"/>
      <c r="D356" s="229" t="n"/>
      <c r="E356" s="229" t="n"/>
      <c r="F356" s="230" t="n"/>
      <c r="G356" s="230" t="n"/>
      <c r="H356" s="257" t="n"/>
      <c r="I356" s="258" t="n"/>
      <c r="J356" s="258" t="n"/>
      <c r="K356" s="233" t="n"/>
      <c r="L356" s="233" t="n"/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57" t="n"/>
      <c r="I357" s="258" t="n"/>
      <c r="J357" s="258" t="n"/>
      <c r="K357" s="233" t="n"/>
      <c r="L357" s="233" t="n"/>
      <c r="M357" s="156" t="n"/>
      <c r="N357" s="156" t="n"/>
      <c r="O357" s="156" t="n"/>
    </row>
    <row r="358" ht="15.75" customHeight="1" s="153">
      <c r="A358" s="227" t="n"/>
      <c r="B358" s="228" t="n"/>
      <c r="C358" s="229" t="n"/>
      <c r="D358" s="229" t="n"/>
      <c r="E358" s="229" t="n"/>
      <c r="F358" s="230" t="n"/>
      <c r="G358" s="230" t="n"/>
      <c r="H358" s="257" t="n"/>
      <c r="I358" s="258" t="n"/>
      <c r="J358" s="258" t="n"/>
      <c r="K358" s="233" t="n"/>
      <c r="L358" s="233" t="n"/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57" t="n"/>
      <c r="I359" s="258" t="n"/>
      <c r="J359" s="258" t="n"/>
      <c r="K359" s="233" t="n"/>
      <c r="L359" s="233" t="n"/>
      <c r="M359" s="156" t="n"/>
      <c r="N359" s="156" t="n"/>
      <c r="O359" s="156" t="n"/>
    </row>
    <row r="360" ht="15.75" customHeight="1" s="153">
      <c r="A360" s="227" t="n"/>
      <c r="B360" s="228" t="n"/>
      <c r="C360" s="229" t="n"/>
      <c r="D360" s="229" t="n"/>
      <c r="E360" s="229" t="n"/>
      <c r="F360" s="230" t="n"/>
      <c r="G360" s="230" t="n"/>
      <c r="H360" s="257" t="n"/>
      <c r="I360" s="258" t="n"/>
      <c r="J360" s="258" t="n"/>
      <c r="K360" s="233" t="n"/>
      <c r="L360" s="233" t="n"/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57" t="n"/>
      <c r="I361" s="258" t="n"/>
      <c r="J361" s="258" t="n"/>
      <c r="K361" s="233" t="n"/>
      <c r="L361" s="233" t="n"/>
      <c r="M361" s="156" t="n"/>
      <c r="N361" s="156" t="n"/>
      <c r="O361" s="156" t="n"/>
    </row>
    <row r="362" ht="15.75" customHeight="1" s="153">
      <c r="A362" s="227" t="n"/>
      <c r="B362" s="228" t="n"/>
      <c r="C362" s="229" t="n"/>
      <c r="D362" s="229" t="n"/>
      <c r="E362" s="229" t="n"/>
      <c r="F362" s="230" t="n"/>
      <c r="G362" s="230" t="n"/>
      <c r="H362" s="257" t="n"/>
      <c r="I362" s="258" t="n"/>
      <c r="J362" s="258" t="n"/>
      <c r="K362" s="233" t="n"/>
      <c r="L362" s="233" t="n"/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57" t="n"/>
      <c r="I363" s="258" t="n"/>
      <c r="J363" s="258" t="n"/>
      <c r="K363" s="233" t="n"/>
      <c r="L363" s="233" t="n"/>
      <c r="M363" s="156" t="n"/>
      <c r="N363" s="156" t="n"/>
      <c r="O363" s="156" t="n"/>
    </row>
    <row r="364" ht="15.75" customHeight="1" s="153">
      <c r="A364" s="227" t="n"/>
      <c r="B364" s="228" t="n"/>
      <c r="C364" s="229" t="n"/>
      <c r="D364" s="229" t="n"/>
      <c r="E364" s="229" t="n"/>
      <c r="F364" s="230" t="n"/>
      <c r="G364" s="230" t="n"/>
      <c r="H364" s="257" t="n"/>
      <c r="I364" s="258" t="n"/>
      <c r="J364" s="258" t="n"/>
      <c r="K364" s="233" t="n"/>
      <c r="L364" s="233" t="n"/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57" t="n"/>
      <c r="I365" s="258" t="n"/>
      <c r="J365" s="258" t="n"/>
      <c r="K365" s="233" t="n"/>
      <c r="L365" s="233" t="n"/>
      <c r="M365" s="156" t="n"/>
      <c r="N365" s="156" t="n"/>
      <c r="O365" s="156" t="n"/>
    </row>
    <row r="366" ht="15.75" customHeight="1" s="153">
      <c r="A366" s="227" t="n"/>
      <c r="B366" s="228" t="n"/>
      <c r="C366" s="229" t="n"/>
      <c r="D366" s="229" t="n"/>
      <c r="E366" s="229" t="n"/>
      <c r="F366" s="230" t="n"/>
      <c r="G366" s="230" t="n"/>
      <c r="H366" s="257" t="n"/>
      <c r="I366" s="258" t="n"/>
      <c r="J366" s="258" t="n"/>
      <c r="K366" s="233" t="n"/>
      <c r="L366" s="233" t="n"/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57" t="n"/>
      <c r="I367" s="258" t="n"/>
      <c r="J367" s="258" t="n"/>
      <c r="K367" s="233" t="n"/>
      <c r="L367" s="233" t="n"/>
      <c r="M367" s="156" t="n"/>
      <c r="N367" s="156" t="n"/>
      <c r="O367" s="156" t="n"/>
    </row>
    <row r="368" ht="15.75" customHeight="1" s="153">
      <c r="A368" s="227" t="n"/>
      <c r="B368" s="228" t="n"/>
      <c r="C368" s="229" t="n"/>
      <c r="D368" s="229" t="n"/>
      <c r="E368" s="229" t="n"/>
      <c r="F368" s="230" t="n"/>
      <c r="G368" s="230" t="n"/>
      <c r="H368" s="257" t="n"/>
      <c r="I368" s="258" t="n"/>
      <c r="J368" s="258" t="n"/>
      <c r="K368" s="233" t="n"/>
      <c r="L368" s="233" t="n"/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57" t="n"/>
      <c r="I369" s="258" t="n"/>
      <c r="J369" s="258" t="n"/>
      <c r="K369" s="233" t="n"/>
      <c r="L369" s="233" t="n"/>
      <c r="M369" s="156" t="n"/>
      <c r="N369" s="156" t="n"/>
      <c r="O369" s="156" t="n"/>
    </row>
    <row r="370" ht="15.75" customHeight="1" s="153">
      <c r="A370" s="227" t="n"/>
      <c r="B370" s="228" t="n"/>
      <c r="C370" s="229" t="n"/>
      <c r="D370" s="229" t="n"/>
      <c r="E370" s="229" t="n"/>
      <c r="F370" s="230" t="n"/>
      <c r="G370" s="230" t="n"/>
      <c r="H370" s="257" t="n"/>
      <c r="I370" s="258" t="n"/>
      <c r="J370" s="258" t="n"/>
      <c r="K370" s="233" t="n"/>
      <c r="L370" s="233" t="n"/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57" t="n"/>
      <c r="I371" s="258" t="n"/>
      <c r="J371" s="258" t="n"/>
      <c r="K371" s="233" t="n"/>
      <c r="L371" s="233" t="n"/>
      <c r="M371" s="156" t="n"/>
      <c r="N371" s="156" t="n"/>
      <c r="O371" s="156" t="n"/>
    </row>
    <row r="372" ht="15.75" customHeight="1" s="153">
      <c r="A372" s="227" t="n"/>
      <c r="B372" s="228" t="n"/>
      <c r="C372" s="229" t="n"/>
      <c r="D372" s="229" t="n"/>
      <c r="E372" s="229" t="n"/>
      <c r="F372" s="230" t="n"/>
      <c r="G372" s="230" t="n"/>
      <c r="H372" s="257" t="n"/>
      <c r="I372" s="258" t="n"/>
      <c r="J372" s="258" t="n"/>
      <c r="K372" s="233" t="n"/>
      <c r="L372" s="233" t="n"/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57" t="n"/>
      <c r="I373" s="258" t="n"/>
      <c r="J373" s="258" t="n"/>
      <c r="K373" s="233" t="n"/>
      <c r="L373" s="233" t="n"/>
      <c r="M373" s="156" t="n"/>
      <c r="N373" s="156" t="n"/>
      <c r="O373" s="156" t="n"/>
    </row>
    <row r="374" ht="15.75" customHeight="1" s="153">
      <c r="A374" s="227" t="n"/>
      <c r="B374" s="228" t="n"/>
      <c r="C374" s="229" t="n"/>
      <c r="D374" s="229" t="n"/>
      <c r="E374" s="229" t="n"/>
      <c r="F374" s="230" t="n"/>
      <c r="G374" s="230" t="n"/>
      <c r="H374" s="257" t="n"/>
      <c r="I374" s="258" t="n"/>
      <c r="J374" s="258" t="n"/>
      <c r="K374" s="233" t="n"/>
      <c r="L374" s="233" t="n"/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57" t="n"/>
      <c r="I375" s="258" t="n"/>
      <c r="J375" s="258" t="n"/>
      <c r="K375" s="233" t="n"/>
      <c r="L375" s="233" t="n"/>
      <c r="M375" s="156" t="n"/>
      <c r="N375" s="156" t="n"/>
      <c r="O375" s="156" t="n"/>
    </row>
    <row r="376" ht="15.75" customHeight="1" s="153">
      <c r="A376" s="227" t="n"/>
      <c r="B376" s="228" t="n"/>
      <c r="C376" s="229" t="n"/>
      <c r="D376" s="229" t="n"/>
      <c r="E376" s="229" t="n"/>
      <c r="F376" s="230" t="n"/>
      <c r="G376" s="230" t="n"/>
      <c r="H376" s="257" t="n"/>
      <c r="I376" s="258" t="n"/>
      <c r="J376" s="258" t="n"/>
      <c r="K376" s="233" t="n"/>
      <c r="L376" s="233" t="n"/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57" t="n"/>
      <c r="I377" s="258" t="n"/>
      <c r="J377" s="258" t="n"/>
      <c r="K377" s="233" t="n"/>
      <c r="L377" s="233" t="n"/>
      <c r="M377" s="156" t="n"/>
      <c r="N377" s="156" t="n"/>
      <c r="O377" s="156" t="n"/>
    </row>
    <row r="378" ht="15.75" customHeight="1" s="153">
      <c r="A378" s="227" t="n"/>
      <c r="B378" s="228" t="n"/>
      <c r="C378" s="229" t="n"/>
      <c r="D378" s="229" t="n"/>
      <c r="E378" s="229" t="n"/>
      <c r="F378" s="230" t="n"/>
      <c r="G378" s="230" t="n"/>
      <c r="H378" s="257" t="n"/>
      <c r="I378" s="258" t="n"/>
      <c r="J378" s="258" t="n"/>
      <c r="K378" s="233" t="n"/>
      <c r="L378" s="233" t="n"/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57" t="n"/>
      <c r="I379" s="258" t="n"/>
      <c r="J379" s="258" t="n"/>
      <c r="K379" s="233" t="n"/>
      <c r="L379" s="233" t="n"/>
      <c r="M379" s="156" t="n"/>
      <c r="N379" s="156" t="n"/>
      <c r="O379" s="156" t="n"/>
    </row>
    <row r="380" ht="15.75" customHeight="1" s="153">
      <c r="A380" s="227" t="n"/>
      <c r="B380" s="228" t="n"/>
      <c r="C380" s="229" t="n"/>
      <c r="D380" s="229" t="n"/>
      <c r="E380" s="229" t="n"/>
      <c r="F380" s="230" t="n"/>
      <c r="G380" s="230" t="n"/>
      <c r="H380" s="257" t="n"/>
      <c r="I380" s="258" t="n"/>
      <c r="J380" s="258" t="n"/>
      <c r="K380" s="233" t="n"/>
      <c r="L380" s="233" t="n"/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57" t="n"/>
      <c r="I381" s="258" t="n"/>
      <c r="J381" s="258" t="n"/>
      <c r="K381" s="233" t="n"/>
      <c r="L381" s="233" t="n"/>
      <c r="M381" s="156" t="n"/>
      <c r="N381" s="156" t="n"/>
      <c r="O381" s="156" t="n"/>
    </row>
    <row r="382" ht="15.75" customHeight="1" s="153">
      <c r="A382" s="227" t="n"/>
      <c r="B382" s="228" t="n"/>
      <c r="C382" s="229" t="n"/>
      <c r="D382" s="229" t="n"/>
      <c r="E382" s="229" t="n"/>
      <c r="F382" s="230" t="n"/>
      <c r="G382" s="230" t="n"/>
      <c r="H382" s="257" t="n"/>
      <c r="I382" s="258" t="n"/>
      <c r="J382" s="258" t="n"/>
      <c r="K382" s="233" t="n"/>
      <c r="L382" s="233" t="n"/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57" t="n"/>
      <c r="I383" s="258" t="n"/>
      <c r="J383" s="258" t="n"/>
      <c r="K383" s="233" t="n"/>
      <c r="L383" s="233" t="n"/>
      <c r="M383" s="156" t="n"/>
      <c r="N383" s="156" t="n"/>
      <c r="O383" s="156" t="n"/>
    </row>
    <row r="384" ht="15.75" customHeight="1" s="153">
      <c r="A384" s="227" t="n"/>
      <c r="B384" s="228" t="n"/>
      <c r="C384" s="229" t="n"/>
      <c r="D384" s="229" t="n"/>
      <c r="E384" s="229" t="n"/>
      <c r="F384" s="230" t="n"/>
      <c r="G384" s="230" t="n"/>
      <c r="H384" s="257" t="n"/>
      <c r="I384" s="258" t="n"/>
      <c r="J384" s="258" t="n"/>
      <c r="K384" s="233" t="n"/>
      <c r="L384" s="233" t="n"/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57" t="n"/>
      <c r="I385" s="258" t="n"/>
      <c r="J385" s="258" t="n"/>
      <c r="K385" s="233" t="n"/>
      <c r="L385" s="233" t="n"/>
      <c r="M385" s="156" t="n"/>
      <c r="N385" s="156" t="n"/>
      <c r="O385" s="156" t="n"/>
    </row>
    <row r="386" ht="15.75" customHeight="1" s="153">
      <c r="A386" s="227" t="n"/>
      <c r="B386" s="228" t="n"/>
      <c r="C386" s="229" t="n"/>
      <c r="D386" s="229" t="n"/>
      <c r="E386" s="229" t="n"/>
      <c r="F386" s="230" t="n"/>
      <c r="G386" s="230" t="n"/>
      <c r="H386" s="257" t="n"/>
      <c r="I386" s="258" t="n"/>
      <c r="J386" s="258" t="n"/>
      <c r="K386" s="233" t="n"/>
      <c r="L386" s="233" t="n"/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57" t="n"/>
      <c r="I387" s="258" t="n"/>
      <c r="J387" s="258" t="n"/>
      <c r="K387" s="233" t="n"/>
      <c r="L387" s="233" t="n"/>
      <c r="M387" s="156" t="n"/>
      <c r="N387" s="156" t="n"/>
      <c r="O387" s="156" t="n"/>
    </row>
    <row r="388" ht="15.75" customHeight="1" s="153">
      <c r="A388" s="227" t="n"/>
      <c r="B388" s="228" t="n"/>
      <c r="C388" s="229" t="n"/>
      <c r="D388" s="229" t="n"/>
      <c r="E388" s="229" t="n"/>
      <c r="F388" s="230" t="n"/>
      <c r="G388" s="230" t="n"/>
      <c r="H388" s="257" t="n"/>
      <c r="I388" s="258" t="n"/>
      <c r="J388" s="258" t="n"/>
      <c r="K388" s="233" t="n"/>
      <c r="L388" s="233" t="n"/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57" t="n"/>
      <c r="I389" s="258" t="n"/>
      <c r="J389" s="258" t="n"/>
      <c r="K389" s="233" t="n"/>
      <c r="L389" s="233" t="n"/>
      <c r="M389" s="156" t="n"/>
      <c r="N389" s="156" t="n"/>
      <c r="O389" s="156" t="n"/>
    </row>
    <row r="390" ht="15.75" customHeight="1" s="153">
      <c r="A390" s="227" t="n"/>
      <c r="B390" s="228" t="n"/>
      <c r="C390" s="229" t="n"/>
      <c r="D390" s="229" t="n"/>
      <c r="E390" s="229" t="n"/>
      <c r="F390" s="230" t="n"/>
      <c r="G390" s="230" t="n"/>
      <c r="H390" s="257" t="n"/>
      <c r="I390" s="258" t="n"/>
      <c r="J390" s="258" t="n"/>
      <c r="K390" s="233" t="n"/>
      <c r="L390" s="233" t="n"/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57" t="n"/>
      <c r="I391" s="258" t="n"/>
      <c r="J391" s="258" t="n"/>
      <c r="K391" s="233" t="n"/>
      <c r="L391" s="233" t="n"/>
      <c r="M391" s="156" t="n"/>
      <c r="N391" s="156" t="n"/>
      <c r="O391" s="156" t="n"/>
    </row>
    <row r="392" ht="15.75" customHeight="1" s="153">
      <c r="A392" s="227" t="n"/>
      <c r="B392" s="228" t="n"/>
      <c r="C392" s="229" t="n"/>
      <c r="D392" s="229" t="n"/>
      <c r="E392" s="229" t="n"/>
      <c r="F392" s="230" t="n"/>
      <c r="G392" s="230" t="n"/>
      <c r="H392" s="257" t="n"/>
      <c r="I392" s="258" t="n"/>
      <c r="J392" s="258" t="n"/>
      <c r="K392" s="233" t="n"/>
      <c r="L392" s="233" t="n"/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57" t="n"/>
      <c r="I393" s="258" t="n"/>
      <c r="J393" s="258" t="n"/>
      <c r="K393" s="233" t="n"/>
      <c r="L393" s="233" t="n"/>
      <c r="M393" s="156" t="n"/>
      <c r="N393" s="156" t="n"/>
      <c r="O393" s="156" t="n"/>
    </row>
    <row r="394" ht="15.75" customHeight="1" s="153">
      <c r="A394" s="227" t="n"/>
      <c r="B394" s="228" t="n"/>
      <c r="C394" s="229" t="n"/>
      <c r="D394" s="229" t="n"/>
      <c r="E394" s="229" t="n"/>
      <c r="F394" s="230" t="n"/>
      <c r="G394" s="230" t="n"/>
      <c r="H394" s="257" t="n"/>
      <c r="I394" s="258" t="n"/>
      <c r="J394" s="258" t="n"/>
      <c r="K394" s="233" t="n"/>
      <c r="L394" s="233" t="n"/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57" t="n"/>
      <c r="I395" s="258" t="n"/>
      <c r="J395" s="258" t="n"/>
      <c r="K395" s="233" t="n"/>
      <c r="L395" s="233" t="n"/>
      <c r="M395" s="156" t="n"/>
      <c r="N395" s="156" t="n"/>
      <c r="O395" s="156" t="n"/>
    </row>
    <row r="396" ht="15.75" customHeight="1" s="153">
      <c r="A396" s="227" t="n"/>
      <c r="B396" s="228" t="n"/>
      <c r="C396" s="229" t="n"/>
      <c r="D396" s="229" t="n"/>
      <c r="E396" s="229" t="n"/>
      <c r="F396" s="230" t="n"/>
      <c r="G396" s="230" t="n"/>
      <c r="H396" s="257" t="n"/>
      <c r="I396" s="258" t="n"/>
      <c r="J396" s="258" t="n"/>
      <c r="K396" s="233" t="n"/>
      <c r="L396" s="233" t="n"/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57" t="n"/>
      <c r="I397" s="258" t="n"/>
      <c r="J397" s="258" t="n"/>
      <c r="K397" s="233" t="n"/>
      <c r="L397" s="233" t="n"/>
      <c r="M397" s="156" t="n"/>
      <c r="N397" s="156" t="n"/>
      <c r="O397" s="156" t="n"/>
    </row>
    <row r="398" ht="15.75" customHeight="1" s="153">
      <c r="A398" s="227" t="n"/>
      <c r="B398" s="228" t="n"/>
      <c r="C398" s="229" t="n"/>
      <c r="D398" s="229" t="n"/>
      <c r="E398" s="229" t="n"/>
      <c r="F398" s="230" t="n"/>
      <c r="G398" s="230" t="n"/>
      <c r="H398" s="257" t="n"/>
      <c r="I398" s="258" t="n"/>
      <c r="J398" s="258" t="n"/>
      <c r="K398" s="233" t="n"/>
      <c r="L398" s="233" t="n"/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57" t="n"/>
      <c r="I399" s="258" t="n"/>
      <c r="J399" s="258" t="n"/>
      <c r="K399" s="233" t="n"/>
      <c r="L399" s="233" t="n"/>
      <c r="M399" s="156" t="n"/>
      <c r="N399" s="156" t="n"/>
      <c r="O399" s="156" t="n"/>
    </row>
    <row r="400" ht="15.75" customHeight="1" s="153">
      <c r="A400" s="227" t="n"/>
      <c r="B400" s="228" t="n"/>
      <c r="C400" s="229" t="n"/>
      <c r="D400" s="229" t="n"/>
      <c r="E400" s="229" t="n"/>
      <c r="F400" s="230" t="n"/>
      <c r="G400" s="230" t="n"/>
      <c r="H400" s="257" t="n"/>
      <c r="I400" s="258" t="n"/>
      <c r="J400" s="258" t="n"/>
      <c r="K400" s="233" t="n"/>
      <c r="L400" s="233" t="n"/>
      <c r="M400" s="156" t="n"/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57" t="n"/>
      <c r="I401" s="258" t="n"/>
      <c r="J401" s="258" t="n"/>
      <c r="K401" s="233" t="n"/>
      <c r="L401" s="233" t="n"/>
      <c r="M401" s="156" t="n"/>
    </row>
    <row r="402" ht="15.75" customHeight="1" s="153">
      <c r="A402" s="227" t="n"/>
      <c r="B402" s="228" t="n"/>
      <c r="C402" s="229" t="n"/>
      <c r="D402" s="229" t="n"/>
      <c r="E402" s="229" t="n"/>
      <c r="F402" s="230" t="n"/>
      <c r="G402" s="230" t="n"/>
      <c r="H402" s="257" t="n"/>
      <c r="I402" s="258" t="n"/>
      <c r="J402" s="258" t="n"/>
      <c r="K402" s="233" t="n"/>
      <c r="L402" s="233" t="n"/>
      <c r="M402" s="156" t="n"/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57" t="n"/>
      <c r="I403" s="258" t="n"/>
      <c r="J403" s="258" t="n"/>
      <c r="K403" s="233" t="n"/>
      <c r="L403" s="233" t="n"/>
      <c r="M403" s="156" t="n"/>
    </row>
    <row r="404" ht="15.75" customHeight="1" s="153">
      <c r="A404" s="227" t="n"/>
      <c r="B404" s="228" t="n"/>
      <c r="C404" s="229" t="n"/>
      <c r="D404" s="229" t="n"/>
      <c r="E404" s="229" t="n"/>
      <c r="F404" s="230" t="n"/>
      <c r="G404" s="230" t="n"/>
      <c r="H404" s="257" t="n"/>
      <c r="I404" s="258" t="n"/>
      <c r="J404" s="258" t="n"/>
      <c r="K404" s="233" t="n"/>
      <c r="L404" s="233" t="n"/>
      <c r="M404" s="156" t="n"/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57" t="n"/>
      <c r="I405" s="258" t="n"/>
      <c r="J405" s="258" t="n"/>
      <c r="K405" s="233" t="n"/>
      <c r="L405" s="233" t="n"/>
      <c r="M405" s="156" t="n"/>
    </row>
    <row r="406" ht="15.75" customHeight="1" s="153">
      <c r="A406" s="227" t="n"/>
      <c r="B406" s="228" t="n"/>
      <c r="C406" s="229" t="n"/>
      <c r="D406" s="229" t="n"/>
      <c r="E406" s="229" t="n"/>
      <c r="F406" s="230" t="n"/>
      <c r="G406" s="230" t="n"/>
      <c r="H406" s="257" t="n"/>
      <c r="I406" s="258" t="n"/>
      <c r="J406" s="258" t="n"/>
      <c r="K406" s="233" t="n"/>
      <c r="L406" s="233" t="n"/>
      <c r="M406" s="156" t="n"/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57" t="n"/>
      <c r="I407" s="258" t="n"/>
      <c r="J407" s="258" t="n"/>
      <c r="K407" s="233" t="n"/>
      <c r="L407" s="233" t="n"/>
      <c r="M407" s="156" t="n"/>
    </row>
    <row r="408" ht="15.75" customHeight="1" s="153">
      <c r="A408" s="227" t="n"/>
      <c r="B408" s="228" t="n"/>
      <c r="C408" s="229" t="n"/>
      <c r="D408" s="229" t="n"/>
      <c r="E408" s="229" t="n"/>
      <c r="F408" s="230" t="n"/>
      <c r="G408" s="230" t="n"/>
      <c r="H408" s="257" t="n"/>
      <c r="I408" s="258" t="n"/>
      <c r="J408" s="258" t="n"/>
      <c r="K408" s="233" t="n"/>
      <c r="L408" s="233" t="n"/>
      <c r="M408" s="156" t="n"/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57" t="n"/>
      <c r="I409" s="258" t="n"/>
      <c r="J409" s="258" t="n"/>
      <c r="K409" s="233" t="n"/>
      <c r="L409" s="233" t="n"/>
      <c r="M409" s="156" t="n"/>
    </row>
    <row r="410" ht="15.75" customHeight="1" s="153">
      <c r="A410" s="227" t="n"/>
      <c r="B410" s="228" t="n"/>
      <c r="C410" s="229" t="n"/>
      <c r="D410" s="229" t="n"/>
      <c r="E410" s="229" t="n"/>
      <c r="F410" s="230" t="n"/>
      <c r="G410" s="230" t="n"/>
      <c r="H410" s="257" t="n"/>
      <c r="I410" s="258" t="n"/>
      <c r="J410" s="258" t="n"/>
      <c r="K410" s="233" t="n"/>
      <c r="L410" s="233" t="n"/>
      <c r="M410" s="156" t="n"/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57" t="n"/>
      <c r="I411" s="258" t="n"/>
      <c r="J411" s="258" t="n"/>
      <c r="K411" s="233" t="n"/>
      <c r="L411" s="233" t="n"/>
      <c r="M411" s="156" t="n"/>
    </row>
    <row r="412" ht="15.75" customHeight="1" s="153">
      <c r="A412" s="227" t="n"/>
      <c r="B412" s="228" t="n"/>
      <c r="C412" s="229" t="n"/>
      <c r="D412" s="229" t="n"/>
      <c r="E412" s="229" t="n"/>
      <c r="F412" s="230" t="n"/>
      <c r="G412" s="230" t="n"/>
      <c r="H412" s="257" t="n"/>
      <c r="I412" s="258" t="n"/>
      <c r="J412" s="258" t="n"/>
      <c r="K412" s="233" t="n"/>
      <c r="L412" s="233" t="n"/>
      <c r="M412" s="156" t="n"/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57" t="n"/>
      <c r="I413" s="258" t="n"/>
      <c r="J413" s="258" t="n"/>
      <c r="K413" s="233" t="n"/>
      <c r="L413" s="233" t="n"/>
      <c r="M413" s="156" t="n"/>
    </row>
    <row r="414" ht="15.75" customHeight="1" s="153">
      <c r="A414" s="227" t="n"/>
      <c r="B414" s="228" t="n"/>
      <c r="C414" s="229" t="n"/>
      <c r="D414" s="229" t="n"/>
      <c r="E414" s="229" t="n"/>
      <c r="F414" s="230" t="n"/>
      <c r="G414" s="230" t="n"/>
      <c r="H414" s="257" t="n"/>
      <c r="I414" s="258" t="n"/>
      <c r="J414" s="258" t="n"/>
      <c r="K414" s="233" t="n"/>
      <c r="L414" s="233" t="n"/>
      <c r="M414" s="156" t="n"/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57" t="n"/>
      <c r="I415" s="258" t="n"/>
      <c r="J415" s="258" t="n"/>
      <c r="K415" s="233" t="n"/>
      <c r="L415" s="233" t="n"/>
      <c r="M415" s="156" t="n"/>
    </row>
    <row r="416" ht="15.75" customHeight="1" s="153">
      <c r="A416" s="227" t="n"/>
      <c r="B416" s="228" t="n"/>
      <c r="C416" s="229" t="n"/>
      <c r="D416" s="229" t="n"/>
      <c r="E416" s="229" t="n"/>
      <c r="F416" s="230" t="n"/>
      <c r="G416" s="230" t="n"/>
      <c r="H416" s="257" t="n"/>
      <c r="I416" s="258" t="n"/>
      <c r="J416" s="258" t="n"/>
      <c r="K416" s="233" t="n"/>
      <c r="L416" s="233" t="n"/>
      <c r="M416" s="156" t="n"/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57" t="n"/>
      <c r="I417" s="258" t="n"/>
      <c r="J417" s="258" t="n"/>
      <c r="K417" s="233" t="n"/>
      <c r="L417" s="233" t="n"/>
      <c r="M417" s="156" t="n"/>
    </row>
    <row r="418" ht="15.75" customHeight="1" s="153">
      <c r="A418" s="227" t="n"/>
      <c r="B418" s="228" t="n"/>
      <c r="C418" s="229" t="n"/>
      <c r="D418" s="229" t="n"/>
      <c r="E418" s="229" t="n"/>
      <c r="F418" s="230" t="n"/>
      <c r="G418" s="230" t="n"/>
      <c r="H418" s="257" t="n"/>
      <c r="I418" s="258" t="n"/>
      <c r="J418" s="258" t="n"/>
      <c r="K418" s="233" t="n"/>
      <c r="L418" s="233" t="n"/>
      <c r="M418" s="156" t="n"/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57" t="n"/>
      <c r="I419" s="258" t="n"/>
      <c r="J419" s="258" t="n"/>
      <c r="K419" s="233" t="n"/>
      <c r="L419" s="233" t="n"/>
      <c r="M419" s="156" t="n"/>
    </row>
    <row r="420" ht="15.75" customHeight="1" s="153">
      <c r="A420" s="227" t="n"/>
      <c r="B420" s="228" t="n"/>
      <c r="C420" s="229" t="n"/>
      <c r="D420" s="229" t="n"/>
      <c r="E420" s="229" t="n"/>
      <c r="F420" s="230" t="n"/>
      <c r="G420" s="230" t="n"/>
      <c r="H420" s="257" t="n"/>
      <c r="I420" s="258" t="n"/>
      <c r="J420" s="258" t="n"/>
      <c r="K420" s="233" t="n"/>
      <c r="L420" s="233" t="n"/>
      <c r="M420" s="156" t="n"/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57" t="n"/>
      <c r="I421" s="258" t="n"/>
      <c r="J421" s="258" t="n"/>
      <c r="K421" s="233" t="n"/>
      <c r="L421" s="233" t="n"/>
      <c r="M421" s="156" t="n"/>
    </row>
    <row r="422" ht="15.75" customHeight="1" s="153">
      <c r="A422" s="227" t="n"/>
      <c r="B422" s="228" t="n"/>
      <c r="C422" s="229" t="n"/>
      <c r="D422" s="229" t="n"/>
      <c r="E422" s="229" t="n"/>
      <c r="F422" s="230" t="n"/>
      <c r="G422" s="230" t="n"/>
      <c r="H422" s="257" t="n"/>
      <c r="I422" s="258" t="n"/>
      <c r="J422" s="258" t="n"/>
      <c r="K422" s="233" t="n"/>
      <c r="L422" s="233" t="n"/>
      <c r="M422" s="156" t="n"/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57" t="n"/>
      <c r="I423" s="258" t="n"/>
      <c r="J423" s="258" t="n"/>
      <c r="K423" s="233" t="n"/>
      <c r="L423" s="233" t="n"/>
      <c r="M423" s="156" t="n"/>
    </row>
    <row r="424" ht="15.75" customHeight="1" s="153">
      <c r="A424" s="227" t="n"/>
      <c r="B424" s="228" t="n"/>
      <c r="C424" s="229" t="n"/>
      <c r="D424" s="229" t="n"/>
      <c r="E424" s="229" t="n"/>
      <c r="F424" s="230" t="n"/>
      <c r="G424" s="230" t="n"/>
      <c r="H424" s="257" t="n"/>
      <c r="I424" s="258" t="n"/>
      <c r="J424" s="258" t="n"/>
      <c r="K424" s="233" t="n"/>
      <c r="L424" s="233" t="n"/>
      <c r="M424" s="156" t="n"/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57" t="n"/>
      <c r="I425" s="258" t="n"/>
      <c r="J425" s="258" t="n"/>
      <c r="K425" s="233" t="n"/>
      <c r="L425" s="233" t="n"/>
      <c r="M425" s="156" t="n"/>
    </row>
    <row r="426" ht="15.75" customHeight="1" s="153">
      <c r="A426" s="227" t="n"/>
      <c r="B426" s="228" t="n"/>
      <c r="C426" s="229" t="n"/>
      <c r="D426" s="229" t="n"/>
      <c r="E426" s="229" t="n"/>
      <c r="F426" s="230" t="n"/>
      <c r="G426" s="230" t="n"/>
      <c r="H426" s="257" t="n"/>
      <c r="I426" s="258" t="n"/>
      <c r="J426" s="258" t="n"/>
      <c r="K426" s="233" t="n"/>
      <c r="L426" s="233" t="n"/>
      <c r="M426" s="156" t="n"/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57" t="n"/>
      <c r="I427" s="258" t="n"/>
      <c r="J427" s="258" t="n"/>
      <c r="K427" s="233" t="n"/>
      <c r="L427" s="233" t="n"/>
      <c r="M427" s="156" t="n"/>
    </row>
    <row r="428" ht="15.75" customHeight="1" s="153">
      <c r="A428" s="227" t="n"/>
      <c r="B428" s="228" t="n"/>
      <c r="C428" s="229" t="n"/>
      <c r="D428" s="229" t="n"/>
      <c r="E428" s="229" t="n"/>
      <c r="F428" s="230" t="n"/>
      <c r="G428" s="230" t="n"/>
      <c r="H428" s="257" t="n"/>
      <c r="I428" s="258" t="n"/>
      <c r="J428" s="258" t="n"/>
      <c r="K428" s="233" t="n"/>
      <c r="L428" s="233" t="n"/>
      <c r="M428" s="156" t="n"/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57" t="n"/>
      <c r="I429" s="258" t="n"/>
      <c r="J429" s="258" t="n"/>
      <c r="K429" s="233" t="n"/>
      <c r="L429" s="233" t="n"/>
      <c r="M429" s="156" t="n"/>
    </row>
    <row r="430" ht="15.75" customHeight="1" s="153">
      <c r="A430" s="227" t="n"/>
      <c r="B430" s="228" t="n"/>
      <c r="C430" s="229" t="n"/>
      <c r="D430" s="229" t="n"/>
      <c r="E430" s="229" t="n"/>
      <c r="F430" s="230" t="n"/>
      <c r="G430" s="230" t="n"/>
      <c r="H430" s="257" t="n"/>
      <c r="I430" s="258" t="n"/>
      <c r="J430" s="258" t="n"/>
      <c r="K430" s="233" t="n"/>
      <c r="L430" s="233" t="n"/>
      <c r="M430" s="156" t="n"/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57" t="n"/>
      <c r="I431" s="258" t="n"/>
      <c r="J431" s="258" t="n"/>
      <c r="K431" s="233" t="n"/>
      <c r="L431" s="233" t="n"/>
      <c r="M431" s="156" t="n"/>
    </row>
    <row r="432" ht="15.75" customHeight="1" s="153">
      <c r="A432" s="227" t="n"/>
      <c r="B432" s="228" t="n"/>
      <c r="C432" s="229" t="n"/>
      <c r="D432" s="229" t="n"/>
      <c r="E432" s="229" t="n"/>
      <c r="F432" s="230" t="n"/>
      <c r="G432" s="230" t="n"/>
      <c r="H432" s="257" t="n"/>
      <c r="I432" s="258" t="n"/>
      <c r="J432" s="258" t="n"/>
      <c r="K432" s="233" t="n"/>
      <c r="L432" s="233" t="n"/>
      <c r="M432" s="156" t="n"/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57" t="n"/>
      <c r="I433" s="258" t="n"/>
      <c r="J433" s="258" t="n"/>
      <c r="K433" s="233" t="n"/>
      <c r="L433" s="233" t="n"/>
      <c r="M433" s="156" t="n"/>
    </row>
    <row r="434" ht="15.75" customHeight="1" s="153">
      <c r="A434" s="227" t="n"/>
      <c r="B434" s="228" t="n"/>
      <c r="C434" s="229" t="n"/>
      <c r="D434" s="229" t="n"/>
      <c r="E434" s="229" t="n"/>
      <c r="F434" s="230" t="n"/>
      <c r="G434" s="230" t="n"/>
      <c r="H434" s="257" t="n"/>
      <c r="I434" s="258" t="n"/>
      <c r="J434" s="258" t="n"/>
      <c r="K434" s="233" t="n"/>
      <c r="L434" s="233" t="n"/>
      <c r="M434" s="156" t="n"/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57" t="n"/>
      <c r="I435" s="258" t="n"/>
      <c r="J435" s="258" t="n"/>
      <c r="K435" s="233" t="n"/>
      <c r="L435" s="233" t="n"/>
      <c r="M435" s="156" t="n"/>
    </row>
    <row r="436" ht="15.75" customHeight="1" s="153">
      <c r="A436" s="227" t="n"/>
      <c r="B436" s="228" t="n"/>
      <c r="C436" s="229" t="n"/>
      <c r="D436" s="229" t="n"/>
      <c r="E436" s="229" t="n"/>
      <c r="F436" s="230" t="n"/>
      <c r="G436" s="230" t="n"/>
      <c r="H436" s="257" t="n"/>
      <c r="I436" s="258" t="n"/>
      <c r="J436" s="258" t="n"/>
      <c r="K436" s="233" t="n"/>
      <c r="L436" s="233" t="n"/>
      <c r="M436" s="156" t="n"/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57" t="n"/>
      <c r="I437" s="258" t="n"/>
      <c r="J437" s="258" t="n"/>
      <c r="K437" s="233" t="n"/>
      <c r="L437" s="233" t="n"/>
      <c r="M437" s="156" t="n"/>
    </row>
    <row r="438" ht="15.75" customHeight="1" s="153">
      <c r="A438" s="227" t="n"/>
      <c r="B438" s="228" t="n"/>
      <c r="C438" s="229" t="n"/>
      <c r="D438" s="229" t="n"/>
      <c r="E438" s="229" t="n"/>
      <c r="F438" s="230" t="n"/>
      <c r="G438" s="230" t="n"/>
      <c r="H438" s="257" t="n"/>
      <c r="I438" s="258" t="n"/>
      <c r="J438" s="258" t="n"/>
      <c r="K438" s="233" t="n"/>
      <c r="L438" s="233" t="n"/>
      <c r="M438" s="156" t="n"/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57" t="n"/>
      <c r="I439" s="258" t="n"/>
      <c r="J439" s="258" t="n"/>
      <c r="K439" s="233" t="n"/>
      <c r="L439" s="233" t="n"/>
      <c r="M439" s="156" t="n"/>
    </row>
    <row r="440" ht="15.75" customHeight="1" s="153">
      <c r="A440" s="227" t="n"/>
      <c r="B440" s="228" t="n"/>
      <c r="C440" s="229" t="n"/>
      <c r="D440" s="229" t="n"/>
      <c r="E440" s="229" t="n"/>
      <c r="F440" s="230" t="n"/>
      <c r="G440" s="230" t="n"/>
      <c r="H440" s="257" t="n"/>
      <c r="I440" s="258" t="n"/>
      <c r="J440" s="258" t="n"/>
      <c r="K440" s="233" t="n"/>
      <c r="L440" s="233" t="n"/>
      <c r="M440" s="156" t="n"/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57" t="n"/>
      <c r="I441" s="258" t="n"/>
      <c r="J441" s="258" t="n"/>
      <c r="K441" s="233" t="n"/>
      <c r="L441" s="233" t="n"/>
      <c r="M441" s="156" t="n"/>
    </row>
    <row r="442" ht="15.75" customHeight="1" s="153">
      <c r="A442" s="227" t="n"/>
      <c r="B442" s="228" t="n"/>
      <c r="C442" s="229" t="n"/>
      <c r="D442" s="229" t="n"/>
      <c r="E442" s="229" t="n"/>
      <c r="F442" s="230" t="n"/>
      <c r="G442" s="230" t="n"/>
      <c r="H442" s="257" t="n"/>
      <c r="I442" s="258" t="n"/>
      <c r="J442" s="258" t="n"/>
      <c r="K442" s="233" t="n"/>
      <c r="L442" s="233" t="n"/>
      <c r="M442" s="156" t="n"/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57" t="n"/>
      <c r="I443" s="258" t="n"/>
      <c r="J443" s="258" t="n"/>
      <c r="K443" s="233" t="n"/>
      <c r="L443" s="233" t="n"/>
      <c r="M443" s="156" t="n"/>
    </row>
    <row r="444" ht="15.75" customHeight="1" s="153">
      <c r="A444" s="227" t="n"/>
      <c r="B444" s="228" t="n"/>
      <c r="C444" s="229" t="n"/>
      <c r="D444" s="229" t="n"/>
      <c r="E444" s="229" t="n"/>
      <c r="F444" s="230" t="n"/>
      <c r="G444" s="230" t="n"/>
      <c r="H444" s="257" t="n"/>
      <c r="I444" s="258" t="n"/>
      <c r="J444" s="258" t="n"/>
      <c r="K444" s="233" t="n"/>
      <c r="L444" s="233" t="n"/>
      <c r="M444" s="156" t="n"/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57" t="n"/>
      <c r="I445" s="258" t="n"/>
      <c r="J445" s="258" t="n"/>
      <c r="K445" s="233" t="n"/>
      <c r="L445" s="233" t="n"/>
      <c r="M445" s="156" t="n"/>
    </row>
    <row r="446" ht="15.75" customHeight="1" s="153">
      <c r="A446" s="227" t="n"/>
      <c r="B446" s="228" t="n"/>
      <c r="C446" s="229" t="n"/>
      <c r="D446" s="229" t="n"/>
      <c r="E446" s="229" t="n"/>
      <c r="F446" s="230" t="n"/>
      <c r="G446" s="230" t="n"/>
      <c r="H446" s="257" t="n"/>
      <c r="I446" s="258" t="n"/>
      <c r="J446" s="258" t="n"/>
      <c r="K446" s="233" t="n"/>
      <c r="L446" s="233" t="n"/>
      <c r="M446" s="156" t="n"/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57" t="n"/>
      <c r="I447" s="258" t="n"/>
      <c r="J447" s="258" t="n"/>
      <c r="K447" s="233" t="n"/>
      <c r="L447" s="233" t="n"/>
      <c r="M447" s="156" t="n"/>
    </row>
    <row r="448" ht="15.75" customHeight="1" s="153">
      <c r="A448" s="227" t="n"/>
      <c r="B448" s="228" t="n"/>
      <c r="C448" s="229" t="n"/>
      <c r="D448" s="229" t="n"/>
      <c r="E448" s="229" t="n"/>
      <c r="F448" s="230" t="n"/>
      <c r="G448" s="230" t="n"/>
      <c r="H448" s="257" t="n"/>
      <c r="I448" s="258" t="n"/>
      <c r="J448" s="258" t="n"/>
      <c r="K448" s="233" t="n"/>
      <c r="L448" s="233" t="n"/>
      <c r="M448" s="156" t="n"/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57" t="n"/>
      <c r="I449" s="258" t="n"/>
      <c r="J449" s="258" t="n"/>
      <c r="K449" s="233" t="n"/>
      <c r="L449" s="233" t="n"/>
      <c r="M449" s="156" t="n"/>
    </row>
    <row r="450" ht="15.75" customHeight="1" s="153">
      <c r="A450" s="227" t="n"/>
      <c r="B450" s="228" t="n"/>
      <c r="C450" s="229" t="n"/>
      <c r="D450" s="229" t="n"/>
      <c r="E450" s="229" t="n"/>
      <c r="F450" s="230" t="n"/>
      <c r="G450" s="230" t="n"/>
      <c r="H450" s="257" t="n"/>
      <c r="I450" s="258" t="n"/>
      <c r="J450" s="258" t="n"/>
      <c r="K450" s="233" t="n"/>
      <c r="L450" s="233" t="n"/>
      <c r="M450" s="156" t="n"/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57" t="n"/>
      <c r="I451" s="258" t="n"/>
      <c r="J451" s="258" t="n"/>
      <c r="K451" s="233" t="n"/>
      <c r="L451" s="233" t="n"/>
      <c r="M451" s="156" t="n"/>
    </row>
    <row r="452" ht="15.75" customHeight="1" s="153">
      <c r="A452" s="227" t="n"/>
      <c r="B452" s="228" t="n"/>
      <c r="C452" s="229" t="n"/>
      <c r="D452" s="229" t="n"/>
      <c r="E452" s="229" t="n"/>
      <c r="F452" s="230" t="n"/>
      <c r="G452" s="230" t="n"/>
      <c r="H452" s="257" t="n"/>
      <c r="I452" s="258" t="n"/>
      <c r="J452" s="258" t="n"/>
      <c r="K452" s="233" t="n"/>
      <c r="L452" s="233" t="n"/>
      <c r="M452" s="156" t="n"/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57" t="n"/>
      <c r="I453" s="258" t="n"/>
      <c r="J453" s="258" t="n"/>
      <c r="K453" s="233" t="n"/>
      <c r="L453" s="233" t="n"/>
      <c r="M453" s="156" t="n"/>
    </row>
    <row r="454" ht="15.75" customHeight="1" s="153">
      <c r="A454" s="227" t="n"/>
      <c r="B454" s="228" t="n"/>
      <c r="C454" s="229" t="n"/>
      <c r="D454" s="229" t="n"/>
      <c r="E454" s="229" t="n"/>
      <c r="F454" s="230" t="n"/>
      <c r="G454" s="230" t="n"/>
      <c r="H454" s="257" t="n"/>
      <c r="I454" s="258" t="n"/>
      <c r="J454" s="258" t="n"/>
      <c r="K454" s="233" t="n"/>
      <c r="L454" s="233" t="n"/>
      <c r="M454" s="156" t="n"/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57" t="n"/>
      <c r="I455" s="258" t="n"/>
      <c r="J455" s="258" t="n"/>
      <c r="K455" s="233" t="n"/>
      <c r="L455" s="233" t="n"/>
      <c r="M455" s="156" t="n"/>
    </row>
    <row r="456" ht="15.75" customHeight="1" s="153">
      <c r="A456" s="227" t="n"/>
      <c r="B456" s="228" t="n"/>
      <c r="C456" s="229" t="n"/>
      <c r="D456" s="229" t="n"/>
      <c r="E456" s="229" t="n"/>
      <c r="F456" s="230" t="n"/>
      <c r="G456" s="230" t="n"/>
      <c r="H456" s="257" t="n"/>
      <c r="I456" s="258" t="n"/>
      <c r="J456" s="258" t="n"/>
      <c r="K456" s="233" t="n"/>
      <c r="L456" s="233" t="n"/>
      <c r="M456" s="156" t="n"/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57" t="n"/>
      <c r="I457" s="258" t="n"/>
      <c r="J457" s="258" t="n"/>
      <c r="K457" s="233" t="n"/>
      <c r="L457" s="233" t="n"/>
      <c r="M457" s="156" t="n"/>
    </row>
    <row r="458" ht="15.75" customHeight="1" s="153">
      <c r="A458" s="227" t="n"/>
      <c r="B458" s="228" t="n"/>
      <c r="C458" s="229" t="n"/>
      <c r="D458" s="229" t="n"/>
      <c r="E458" s="229" t="n"/>
      <c r="F458" s="230" t="n"/>
      <c r="G458" s="230" t="n"/>
      <c r="H458" s="257" t="n"/>
      <c r="I458" s="258" t="n"/>
      <c r="J458" s="258" t="n"/>
      <c r="K458" s="233" t="n"/>
      <c r="L458" s="233" t="n"/>
      <c r="M458" s="156" t="n"/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57" t="n"/>
      <c r="I459" s="258" t="n"/>
      <c r="J459" s="258" t="n"/>
      <c r="K459" s="233" t="n"/>
      <c r="L459" s="233" t="n"/>
      <c r="M459" s="156" t="n"/>
    </row>
    <row r="460" ht="15.75" customHeight="1" s="153">
      <c r="A460" s="227" t="n"/>
      <c r="B460" s="228" t="n"/>
      <c r="C460" s="229" t="n"/>
      <c r="D460" s="229" t="n"/>
      <c r="E460" s="229" t="n"/>
      <c r="F460" s="230" t="n"/>
      <c r="G460" s="230" t="n"/>
      <c r="H460" s="257" t="n"/>
      <c r="I460" s="258" t="n"/>
      <c r="J460" s="258" t="n"/>
      <c r="K460" s="233" t="n"/>
      <c r="L460" s="233" t="n"/>
      <c r="M460" s="156" t="n"/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57" t="n"/>
      <c r="I461" s="258" t="n"/>
      <c r="J461" s="258" t="n"/>
      <c r="K461" s="233" t="n"/>
      <c r="L461" s="233" t="n"/>
      <c r="M461" s="156" t="n"/>
    </row>
    <row r="462" ht="15.75" customHeight="1" s="153">
      <c r="A462" s="227" t="n"/>
      <c r="B462" s="228" t="n"/>
      <c r="C462" s="229" t="n"/>
      <c r="D462" s="229" t="n"/>
      <c r="E462" s="229" t="n"/>
      <c r="F462" s="230" t="n"/>
      <c r="G462" s="230" t="n"/>
      <c r="H462" s="257" t="n"/>
      <c r="I462" s="258" t="n"/>
      <c r="J462" s="258" t="n"/>
      <c r="K462" s="233" t="n"/>
      <c r="L462" s="233" t="n"/>
      <c r="M462" s="156" t="n"/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57" t="n"/>
      <c r="I463" s="258" t="n"/>
      <c r="J463" s="258" t="n"/>
      <c r="K463" s="233" t="n"/>
      <c r="L463" s="233" t="n"/>
      <c r="M463" s="156" t="n"/>
    </row>
    <row r="464" ht="15.75" customHeight="1" s="153">
      <c r="A464" s="227" t="n"/>
      <c r="B464" s="228" t="n"/>
      <c r="C464" s="229" t="n"/>
      <c r="D464" s="229" t="n"/>
      <c r="E464" s="229" t="n"/>
      <c r="F464" s="230" t="n"/>
      <c r="G464" s="230" t="n"/>
      <c r="H464" s="257" t="n"/>
      <c r="I464" s="258" t="n"/>
      <c r="J464" s="258" t="n"/>
      <c r="K464" s="233" t="n"/>
      <c r="L464" s="233" t="n"/>
      <c r="M464" s="156" t="n"/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57" t="n"/>
      <c r="I465" s="258" t="n"/>
      <c r="J465" s="258" t="n"/>
      <c r="K465" s="233" t="n"/>
      <c r="L465" s="233" t="n"/>
      <c r="M465" s="156" t="n"/>
    </row>
    <row r="466" ht="15.75" customHeight="1" s="153">
      <c r="A466" s="227" t="n"/>
      <c r="B466" s="228" t="n"/>
      <c r="C466" s="229" t="n"/>
      <c r="D466" s="229" t="n"/>
      <c r="E466" s="229" t="n"/>
      <c r="F466" s="230" t="n"/>
      <c r="G466" s="230" t="n"/>
      <c r="H466" s="257" t="n"/>
      <c r="I466" s="258" t="n"/>
      <c r="J466" s="258" t="n"/>
      <c r="K466" s="233" t="n"/>
      <c r="L466" s="233" t="n"/>
      <c r="M466" s="156" t="n"/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57" t="n"/>
      <c r="I467" s="258" t="n"/>
      <c r="J467" s="258" t="n"/>
      <c r="K467" s="233" t="n"/>
      <c r="L467" s="233" t="n"/>
      <c r="M467" s="156" t="n"/>
    </row>
    <row r="468" ht="15.75" customHeight="1" s="153">
      <c r="A468" s="227" t="n"/>
      <c r="B468" s="228" t="n"/>
      <c r="C468" s="229" t="n"/>
      <c r="D468" s="229" t="n"/>
      <c r="E468" s="229" t="n"/>
      <c r="F468" s="230" t="n"/>
      <c r="G468" s="230" t="n"/>
      <c r="H468" s="257" t="n"/>
      <c r="I468" s="258" t="n"/>
      <c r="J468" s="258" t="n"/>
      <c r="K468" s="233" t="n"/>
      <c r="L468" s="233" t="n"/>
      <c r="M468" s="156" t="n"/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57" t="n"/>
      <c r="I469" s="258" t="n"/>
      <c r="J469" s="258" t="n"/>
      <c r="K469" s="233" t="n"/>
      <c r="L469" s="233" t="n"/>
      <c r="M469" s="156" t="n"/>
    </row>
    <row r="470" ht="15.75" customHeight="1" s="153">
      <c r="A470" s="227" t="n"/>
      <c r="B470" s="228" t="n"/>
      <c r="C470" s="229" t="n"/>
      <c r="D470" s="229" t="n"/>
      <c r="E470" s="229" t="n"/>
      <c r="F470" s="230" t="n"/>
      <c r="G470" s="230" t="n"/>
      <c r="H470" s="257" t="n"/>
      <c r="I470" s="258" t="n"/>
      <c r="J470" s="258" t="n"/>
      <c r="K470" s="233" t="n"/>
      <c r="L470" s="233" t="n"/>
      <c r="M470" s="156" t="n"/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57" t="n"/>
      <c r="I471" s="258" t="n"/>
      <c r="J471" s="258" t="n"/>
      <c r="K471" s="233" t="n"/>
      <c r="L471" s="233" t="n"/>
      <c r="M471" s="156" t="n"/>
    </row>
    <row r="472" ht="15.75" customHeight="1" s="153">
      <c r="A472" s="227" t="n"/>
      <c r="B472" s="228" t="n"/>
      <c r="C472" s="229" t="n"/>
      <c r="D472" s="229" t="n"/>
      <c r="E472" s="229" t="n"/>
      <c r="F472" s="230" t="n"/>
      <c r="G472" s="230" t="n"/>
      <c r="H472" s="257" t="n"/>
      <c r="I472" s="258" t="n"/>
      <c r="J472" s="258" t="n"/>
      <c r="K472" s="233" t="n"/>
      <c r="L472" s="233" t="n"/>
      <c r="M472" s="156" t="n"/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57" t="n"/>
      <c r="I473" s="258" t="n"/>
      <c r="J473" s="258" t="n"/>
      <c r="K473" s="233" t="n"/>
      <c r="L473" s="233" t="n"/>
      <c r="M473" s="156" t="n"/>
    </row>
    <row r="474" ht="15.75" customHeight="1" s="153">
      <c r="A474" s="227" t="n"/>
      <c r="B474" s="228" t="n"/>
      <c r="C474" s="229" t="n"/>
      <c r="D474" s="229" t="n"/>
      <c r="E474" s="229" t="n"/>
      <c r="F474" s="230" t="n"/>
      <c r="G474" s="230" t="n"/>
      <c r="H474" s="257" t="n"/>
      <c r="I474" s="258" t="n"/>
      <c r="J474" s="258" t="n"/>
      <c r="K474" s="233" t="n"/>
      <c r="L474" s="233" t="n"/>
      <c r="M474" s="156" t="n"/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57" t="n"/>
      <c r="I475" s="258" t="n"/>
      <c r="J475" s="258" t="n"/>
      <c r="K475" s="233" t="n"/>
      <c r="L475" s="233" t="n"/>
      <c r="M475" s="156" t="n"/>
    </row>
    <row r="476" ht="15.75" customHeight="1" s="153">
      <c r="A476" s="227" t="n"/>
      <c r="B476" s="228" t="n"/>
      <c r="C476" s="229" t="n"/>
      <c r="D476" s="229" t="n"/>
      <c r="E476" s="229" t="n"/>
      <c r="F476" s="230" t="n"/>
      <c r="G476" s="230" t="n"/>
      <c r="H476" s="257" t="n"/>
      <c r="I476" s="258" t="n"/>
      <c r="J476" s="258" t="n"/>
      <c r="K476" s="233" t="n"/>
      <c r="L476" s="233" t="n"/>
      <c r="M476" s="156" t="n"/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57" t="n"/>
      <c r="I477" s="258" t="n"/>
      <c r="J477" s="258" t="n"/>
      <c r="K477" s="233" t="n"/>
      <c r="L477" s="233" t="n"/>
      <c r="M477" s="156" t="n"/>
    </row>
    <row r="478" ht="15.75" customHeight="1" s="153">
      <c r="A478" s="227" t="n"/>
      <c r="B478" s="228" t="n"/>
      <c r="C478" s="229" t="n"/>
      <c r="D478" s="229" t="n"/>
      <c r="E478" s="229" t="n"/>
      <c r="F478" s="230" t="n"/>
      <c r="G478" s="230" t="n"/>
      <c r="H478" s="257" t="n"/>
      <c r="I478" s="258" t="n"/>
      <c r="J478" s="258" t="n"/>
      <c r="K478" s="233" t="n"/>
      <c r="L478" s="233" t="n"/>
      <c r="M478" s="156" t="n"/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57" t="n"/>
      <c r="I479" s="258" t="n"/>
      <c r="J479" s="258" t="n"/>
      <c r="K479" s="233" t="n"/>
      <c r="L479" s="233" t="n"/>
      <c r="M479" s="156" t="n"/>
    </row>
    <row r="480" ht="15.75" customHeight="1" s="153">
      <c r="A480" s="227" t="n"/>
      <c r="B480" s="228" t="n"/>
      <c r="C480" s="229" t="n"/>
      <c r="D480" s="229" t="n"/>
      <c r="E480" s="229" t="n"/>
      <c r="F480" s="230" t="n"/>
      <c r="G480" s="230" t="n"/>
      <c r="H480" s="257" t="n"/>
      <c r="I480" s="258" t="n"/>
      <c r="J480" s="258" t="n"/>
      <c r="K480" s="233" t="n"/>
      <c r="L480" s="233" t="n"/>
      <c r="M480" s="156" t="n"/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57" t="n"/>
      <c r="I481" s="258" t="n"/>
      <c r="J481" s="258" t="n"/>
      <c r="K481" s="233" t="n"/>
      <c r="L481" s="233" t="n"/>
      <c r="M481" s="156" t="n"/>
    </row>
    <row r="482" ht="15.75" customHeight="1" s="153">
      <c r="A482" s="227" t="n"/>
      <c r="B482" s="228" t="n"/>
      <c r="C482" s="229" t="n"/>
      <c r="D482" s="229" t="n"/>
      <c r="E482" s="229" t="n"/>
      <c r="F482" s="230" t="n"/>
      <c r="G482" s="230" t="n"/>
      <c r="H482" s="257" t="n"/>
      <c r="I482" s="258" t="n"/>
      <c r="J482" s="258" t="n"/>
      <c r="K482" s="233" t="n"/>
      <c r="L482" s="233" t="n"/>
      <c r="M482" s="156" t="n"/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57" t="n"/>
      <c r="I483" s="258" t="n"/>
      <c r="J483" s="258" t="n"/>
      <c r="K483" s="233" t="n"/>
      <c r="L483" s="233" t="n"/>
      <c r="M483" s="156" t="n"/>
    </row>
    <row r="484" ht="15.75" customHeight="1" s="153">
      <c r="A484" s="227" t="n"/>
      <c r="B484" s="228" t="n"/>
      <c r="C484" s="229" t="n"/>
      <c r="D484" s="229" t="n"/>
      <c r="E484" s="229" t="n"/>
      <c r="F484" s="230" t="n"/>
      <c r="G484" s="230" t="n"/>
      <c r="H484" s="257" t="n"/>
      <c r="I484" s="258" t="n"/>
      <c r="J484" s="258" t="n"/>
      <c r="K484" s="233" t="n"/>
      <c r="L484" s="233" t="n"/>
      <c r="M484" s="156" t="n"/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57" t="n"/>
      <c r="I485" s="258" t="n"/>
      <c r="J485" s="258" t="n"/>
      <c r="K485" s="233" t="n"/>
      <c r="L485" s="233" t="n"/>
      <c r="M485" s="156" t="n"/>
    </row>
    <row r="486" ht="15.75" customHeight="1" s="153">
      <c r="A486" s="227" t="n"/>
      <c r="B486" s="228" t="n"/>
      <c r="C486" s="229" t="n"/>
      <c r="D486" s="229" t="n"/>
      <c r="E486" s="229" t="n"/>
      <c r="F486" s="230" t="n"/>
      <c r="G486" s="230" t="n"/>
      <c r="H486" s="257" t="n"/>
      <c r="I486" s="258" t="n"/>
      <c r="J486" s="258" t="n"/>
      <c r="K486" s="233" t="n"/>
      <c r="L486" s="233" t="n"/>
      <c r="M486" s="156" t="n"/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57" t="n"/>
      <c r="I487" s="258" t="n"/>
      <c r="J487" s="258" t="n"/>
      <c r="K487" s="233" t="n"/>
      <c r="L487" s="233" t="n"/>
      <c r="M487" s="156" t="n"/>
    </row>
    <row r="488" ht="15.75" customHeight="1" s="153">
      <c r="A488" s="227" t="n"/>
      <c r="B488" s="228" t="n"/>
      <c r="C488" s="229" t="n"/>
      <c r="D488" s="229" t="n"/>
      <c r="E488" s="229" t="n"/>
      <c r="F488" s="230" t="n"/>
      <c r="G488" s="230" t="n"/>
      <c r="H488" s="257" t="n"/>
      <c r="I488" s="258" t="n"/>
      <c r="J488" s="258" t="n"/>
      <c r="K488" s="233" t="n"/>
      <c r="L488" s="233" t="n"/>
      <c r="M488" s="156" t="n"/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57" t="n"/>
      <c r="I489" s="258" t="n"/>
      <c r="J489" s="258" t="n"/>
      <c r="K489" s="233" t="n"/>
      <c r="L489" s="233" t="n"/>
      <c r="M489" s="156" t="n"/>
    </row>
    <row r="490" ht="15.75" customHeight="1" s="153">
      <c r="A490" s="227" t="n"/>
      <c r="B490" s="228" t="n"/>
      <c r="C490" s="229" t="n"/>
      <c r="D490" s="229" t="n"/>
      <c r="E490" s="229" t="n"/>
      <c r="F490" s="230" t="n"/>
      <c r="G490" s="230" t="n"/>
      <c r="H490" s="257" t="n"/>
      <c r="I490" s="258" t="n"/>
      <c r="J490" s="258" t="n"/>
      <c r="K490" s="233" t="n"/>
      <c r="L490" s="233" t="n"/>
      <c r="M490" s="156" t="n"/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57" t="n"/>
      <c r="I491" s="258" t="n"/>
      <c r="J491" s="258" t="n"/>
      <c r="K491" s="233" t="n"/>
      <c r="L491" s="233" t="n"/>
      <c r="M491" s="156" t="n"/>
    </row>
    <row r="492" ht="15.75" customHeight="1" s="153">
      <c r="A492" s="227" t="n"/>
      <c r="B492" s="228" t="n"/>
      <c r="C492" s="229" t="n"/>
      <c r="D492" s="229" t="n"/>
      <c r="E492" s="229" t="n"/>
      <c r="F492" s="230" t="n"/>
      <c r="G492" s="230" t="n"/>
      <c r="H492" s="257" t="n"/>
      <c r="I492" s="258" t="n"/>
      <c r="J492" s="258" t="n"/>
      <c r="K492" s="233" t="n"/>
      <c r="L492" s="233" t="n"/>
      <c r="M492" s="156" t="n"/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57" t="n"/>
      <c r="I493" s="258" t="n"/>
      <c r="J493" s="258" t="n"/>
      <c r="K493" s="233" t="n"/>
      <c r="L493" s="233" t="n"/>
      <c r="M493" s="156" t="n"/>
    </row>
    <row r="494" ht="15.75" customHeight="1" s="153">
      <c r="A494" s="227" t="n"/>
      <c r="B494" s="228" t="n"/>
      <c r="C494" s="229" t="n"/>
      <c r="D494" s="229" t="n"/>
      <c r="E494" s="229" t="n"/>
      <c r="F494" s="230" t="n"/>
      <c r="G494" s="230" t="n"/>
      <c r="H494" s="257" t="n"/>
      <c r="I494" s="258" t="n"/>
      <c r="J494" s="258" t="n"/>
      <c r="K494" s="233" t="n"/>
      <c r="L494" s="233" t="n"/>
      <c r="M494" s="156" t="n"/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57" t="n"/>
      <c r="I495" s="258" t="n"/>
      <c r="J495" s="258" t="n"/>
      <c r="K495" s="233" t="n"/>
      <c r="L495" s="233" t="n"/>
      <c r="M495" s="156" t="n"/>
    </row>
    <row r="496" ht="15.75" customHeight="1" s="153">
      <c r="A496" s="227" t="n"/>
      <c r="B496" s="228" t="n"/>
      <c r="C496" s="229" t="n"/>
      <c r="D496" s="229" t="n"/>
      <c r="E496" s="229" t="n"/>
      <c r="F496" s="230" t="n"/>
      <c r="G496" s="230" t="n"/>
      <c r="H496" s="257" t="n"/>
      <c r="I496" s="258" t="n"/>
      <c r="J496" s="258" t="n"/>
      <c r="K496" s="233" t="n"/>
      <c r="L496" s="233" t="n"/>
      <c r="M496" s="156" t="n"/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57" t="n"/>
      <c r="I497" s="258" t="n"/>
      <c r="J497" s="258" t="n"/>
      <c r="K497" s="233" t="n"/>
      <c r="L497" s="233" t="n"/>
      <c r="M497" s="156" t="n"/>
    </row>
    <row r="498" ht="15.75" customHeight="1" s="153">
      <c r="A498" s="227" t="n"/>
      <c r="B498" s="228" t="n"/>
      <c r="C498" s="229" t="n"/>
      <c r="D498" s="229" t="n"/>
      <c r="E498" s="229" t="n"/>
      <c r="F498" s="230" t="n"/>
      <c r="G498" s="230" t="n"/>
      <c r="H498" s="257" t="n"/>
      <c r="I498" s="258" t="n"/>
      <c r="J498" s="258" t="n"/>
      <c r="K498" s="233" t="n"/>
      <c r="L498" s="233" t="n"/>
      <c r="M498" s="156" t="n"/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57" t="n"/>
      <c r="I499" s="258" t="n"/>
      <c r="J499" s="258" t="n"/>
      <c r="K499" s="233" t="n"/>
      <c r="L499" s="233" t="n"/>
      <c r="M499" s="156" t="n"/>
    </row>
    <row r="500" ht="15.75" customHeight="1" s="153">
      <c r="A500" s="227" t="n"/>
      <c r="B500" s="228" t="n"/>
      <c r="C500" s="229" t="n"/>
      <c r="D500" s="229" t="n"/>
      <c r="E500" s="229" t="n"/>
      <c r="F500" s="230" t="n"/>
      <c r="G500" s="230" t="n"/>
      <c r="H500" s="257" t="n"/>
      <c r="I500" s="258" t="n"/>
      <c r="J500" s="258" t="n"/>
      <c r="K500" s="233" t="n"/>
      <c r="L500" s="233" t="n"/>
      <c r="M500" s="156" t="n"/>
    </row>
    <row r="501" ht="21.75" customHeight="1" s="153">
      <c r="A501" s="227" t="n"/>
      <c r="B501" s="228" t="n"/>
      <c r="C501" s="229" t="n"/>
      <c r="D501" s="229" t="n"/>
      <c r="E501" s="229" t="n"/>
      <c r="F501" s="230" t="n"/>
      <c r="G501" s="230" t="n"/>
      <c r="H501" s="257" t="n"/>
      <c r="I501" s="258" t="n"/>
      <c r="J501" s="258" t="n"/>
      <c r="K501" s="233" t="n"/>
      <c r="L501" s="233" t="n"/>
      <c r="M501" s="156" t="n"/>
    </row>
    <row r="502" ht="15" customHeight="1" s="153">
      <c r="A502" s="227" t="n"/>
      <c r="B502" s="228" t="n"/>
      <c r="C502" s="229" t="n"/>
      <c r="D502" s="229" t="n"/>
      <c r="E502" s="229" t="n"/>
      <c r="F502" s="230" t="n"/>
      <c r="G502" s="230" t="n"/>
      <c r="H502" s="257" t="n"/>
      <c r="I502" s="258" t="n"/>
      <c r="J502" s="258" t="n"/>
      <c r="K502" s="233" t="n"/>
      <c r="L502" s="233" t="n"/>
      <c r="M502" s="156" t="n"/>
    </row>
    <row r="503" ht="15" customHeight="1" s="153">
      <c r="A503" s="227" t="n"/>
      <c r="B503" s="228" t="n"/>
      <c r="C503" s="229" t="n"/>
      <c r="D503" s="229" t="n"/>
      <c r="E503" s="229" t="n"/>
      <c r="F503" s="230" t="n"/>
      <c r="G503" s="230" t="n"/>
      <c r="H503" s="257" t="n"/>
      <c r="I503" s="258" t="n"/>
      <c r="J503" s="258" t="n"/>
      <c r="K503" s="233" t="n"/>
      <c r="L503" s="233" t="n"/>
      <c r="M503" s="156" t="n"/>
    </row>
    <row r="504" ht="15" customHeight="1" s="153">
      <c r="A504" s="227" t="n"/>
      <c r="B504" s="228" t="n"/>
      <c r="C504" s="229" t="n"/>
      <c r="D504" s="229" t="n"/>
      <c r="E504" s="229" t="n"/>
      <c r="F504" s="230" t="n"/>
      <c r="G504" s="230" t="n"/>
      <c r="H504" s="257" t="n"/>
      <c r="I504" s="258" t="n"/>
      <c r="J504" s="258" t="n"/>
      <c r="K504" s="233" t="n"/>
      <c r="L504" s="233" t="n"/>
      <c r="M504" s="156" t="n"/>
    </row>
    <row r="505" ht="15" customHeight="1" s="153">
      <c r="A505" s="227" t="n"/>
      <c r="B505" s="228" t="n"/>
      <c r="C505" s="229" t="n"/>
      <c r="D505" s="229" t="n"/>
      <c r="E505" s="229" t="n"/>
      <c r="F505" s="230" t="n"/>
      <c r="G505" s="230" t="n"/>
      <c r="H505" s="257" t="n"/>
      <c r="I505" s="258" t="n"/>
      <c r="J505" s="258" t="n"/>
      <c r="K505" s="233" t="n"/>
      <c r="L505" s="233" t="n"/>
      <c r="M505" s="156" t="n"/>
    </row>
    <row r="506" ht="15" customHeight="1" s="153">
      <c r="A506" s="227" t="n"/>
      <c r="B506" s="228" t="n"/>
      <c r="C506" s="229" t="n"/>
      <c r="D506" s="229" t="n"/>
      <c r="E506" s="229" t="n"/>
      <c r="F506" s="230" t="n"/>
      <c r="G506" s="230" t="n"/>
      <c r="H506" s="257" t="n"/>
      <c r="I506" s="258" t="n"/>
      <c r="J506" s="258" t="n"/>
      <c r="K506" s="233" t="n"/>
      <c r="L506" s="233" t="n"/>
      <c r="M506" s="156" t="n"/>
    </row>
    <row r="507" ht="15" customHeight="1" s="153">
      <c r="A507" s="227" t="n"/>
      <c r="B507" s="228" t="n"/>
      <c r="C507" s="229" t="n"/>
      <c r="D507" s="229" t="n"/>
      <c r="E507" s="229" t="n"/>
      <c r="F507" s="230" t="n"/>
      <c r="G507" s="230" t="n"/>
      <c r="H507" s="257" t="n"/>
      <c r="I507" s="258" t="n"/>
      <c r="J507" s="258" t="n"/>
      <c r="K507" s="233" t="n"/>
      <c r="L507" s="233" t="n"/>
      <c r="M507" s="156" t="n"/>
    </row>
    <row r="508" ht="15" customHeight="1" s="153">
      <c r="A508" s="227" t="n"/>
      <c r="B508" s="228" t="n"/>
      <c r="C508" s="229" t="n"/>
      <c r="D508" s="229" t="n"/>
      <c r="E508" s="229" t="n"/>
      <c r="F508" s="230" t="n"/>
      <c r="G508" s="230" t="n"/>
      <c r="H508" s="257" t="n"/>
      <c r="I508" s="258" t="n"/>
      <c r="J508" s="258" t="n"/>
      <c r="K508" s="233" t="n"/>
      <c r="L508" s="233" t="n"/>
      <c r="M508" s="156" t="n"/>
    </row>
    <row r="509" ht="15" customHeight="1" s="153">
      <c r="A509" s="227" t="n"/>
      <c r="B509" s="228" t="n"/>
      <c r="C509" s="229" t="n"/>
      <c r="D509" s="229" t="n"/>
      <c r="E509" s="229" t="n"/>
      <c r="F509" s="230" t="n"/>
      <c r="G509" s="230" t="n"/>
      <c r="H509" s="257" t="n"/>
      <c r="I509" s="258" t="n"/>
      <c r="J509" s="258" t="n"/>
      <c r="K509" s="233" t="n"/>
      <c r="L509" s="233" t="n"/>
      <c r="M509" s="156" t="n"/>
    </row>
    <row r="510" ht="15" customHeight="1" s="153">
      <c r="A510" s="227" t="n"/>
      <c r="B510" s="228" t="n"/>
      <c r="C510" s="229" t="n"/>
      <c r="D510" s="229" t="n"/>
      <c r="E510" s="229" t="n"/>
      <c r="F510" s="230" t="n"/>
      <c r="G510" s="230" t="n"/>
      <c r="H510" s="257" t="n"/>
      <c r="I510" s="258" t="n"/>
      <c r="J510" s="258" t="n"/>
      <c r="K510" s="233" t="n"/>
      <c r="L510" s="233" t="n"/>
      <c r="M510" s="156" t="n"/>
    </row>
    <row r="511" ht="15" customHeight="1" s="153">
      <c r="A511" s="227" t="n"/>
      <c r="B511" s="228" t="n"/>
      <c r="C511" s="229" t="n"/>
      <c r="D511" s="229" t="n"/>
      <c r="E511" s="229" t="n"/>
      <c r="F511" s="230" t="n"/>
      <c r="G511" s="230" t="n"/>
      <c r="H511" s="257" t="n"/>
      <c r="I511" s="258" t="n"/>
      <c r="J511" s="258" t="n"/>
      <c r="K511" s="233" t="n"/>
      <c r="L511" s="233" t="n"/>
      <c r="M511" s="156" t="n"/>
    </row>
    <row r="512" ht="15" customHeight="1" s="153">
      <c r="A512" s="227" t="n"/>
      <c r="B512" s="228" t="n"/>
      <c r="C512" s="229" t="n"/>
      <c r="D512" s="229" t="n"/>
      <c r="E512" s="229" t="n"/>
      <c r="F512" s="230" t="n"/>
      <c r="G512" s="230" t="n"/>
      <c r="H512" s="257" t="n"/>
      <c r="I512" s="258" t="n"/>
      <c r="J512" s="258" t="n"/>
      <c r="K512" s="233" t="n"/>
      <c r="L512" s="233" t="n"/>
      <c r="M512" s="156" t="n"/>
    </row>
    <row r="513" ht="15" customHeight="1" s="153">
      <c r="A513" s="227" t="n"/>
      <c r="B513" s="228" t="n"/>
      <c r="C513" s="229" t="n"/>
      <c r="D513" s="229" t="n"/>
      <c r="E513" s="229" t="n"/>
      <c r="F513" s="230" t="n"/>
      <c r="G513" s="230" t="n"/>
      <c r="H513" s="257" t="n"/>
      <c r="I513" s="258" t="n"/>
      <c r="J513" s="258" t="n"/>
      <c r="K513" s="233" t="n"/>
      <c r="L513" s="233" t="n"/>
      <c r="M513" s="156" t="n"/>
    </row>
    <row r="514" ht="15" customHeight="1" s="153">
      <c r="A514" s="227" t="n"/>
      <c r="B514" s="228" t="n"/>
      <c r="C514" s="229" t="n"/>
      <c r="D514" s="229" t="n"/>
      <c r="E514" s="229" t="n"/>
      <c r="F514" s="230" t="n"/>
      <c r="G514" s="230" t="n"/>
      <c r="H514" s="257" t="n"/>
      <c r="I514" s="258" t="n"/>
      <c r="J514" s="258" t="n"/>
      <c r="K514" s="233" t="n"/>
      <c r="L514" s="233" t="n"/>
      <c r="M514" s="156" t="n"/>
    </row>
    <row r="515" ht="15" customHeight="1" s="153">
      <c r="A515" s="227" t="n"/>
      <c r="B515" s="228" t="n"/>
      <c r="C515" s="229" t="n"/>
      <c r="D515" s="229" t="n"/>
      <c r="E515" s="229" t="n"/>
      <c r="F515" s="230" t="n"/>
      <c r="G515" s="230" t="n"/>
      <c r="H515" s="257" t="n"/>
      <c r="I515" s="258" t="n"/>
      <c r="J515" s="258" t="n"/>
      <c r="K515" s="233" t="n"/>
      <c r="L515" s="233" t="n"/>
      <c r="M515" s="156" t="n"/>
    </row>
    <row r="516" ht="15" customHeight="1" s="153">
      <c r="A516" s="227" t="n"/>
      <c r="B516" s="228" t="n"/>
      <c r="C516" s="229" t="n"/>
      <c r="D516" s="229" t="n"/>
      <c r="E516" s="229" t="n"/>
      <c r="F516" s="230" t="n"/>
      <c r="G516" s="230" t="n"/>
      <c r="H516" s="257" t="n"/>
      <c r="I516" s="258" t="n"/>
      <c r="J516" s="258" t="n"/>
      <c r="K516" s="233" t="n"/>
      <c r="L516" s="233" t="n"/>
      <c r="M516" s="156" t="n"/>
    </row>
    <row r="517" ht="15" customHeight="1" s="153">
      <c r="A517" s="227" t="n"/>
      <c r="B517" s="228" t="n"/>
      <c r="C517" s="229" t="n"/>
      <c r="D517" s="229" t="n"/>
      <c r="E517" s="229" t="n"/>
      <c r="F517" s="230" t="n"/>
      <c r="G517" s="230" t="n"/>
      <c r="H517" s="257" t="n"/>
      <c r="I517" s="258" t="n"/>
      <c r="J517" s="258" t="n"/>
      <c r="K517" s="233" t="n"/>
      <c r="L517" s="233" t="n"/>
      <c r="M517" s="156" t="n"/>
    </row>
    <row r="518" ht="15" customHeight="1" s="153">
      <c r="A518" s="227" t="n"/>
      <c r="B518" s="228" t="n"/>
      <c r="C518" s="229" t="n"/>
      <c r="D518" s="229" t="n"/>
      <c r="E518" s="229" t="n"/>
      <c r="F518" s="230" t="n"/>
      <c r="G518" s="230" t="n"/>
      <c r="H518" s="257" t="n"/>
      <c r="I518" s="258" t="n"/>
      <c r="J518" s="258" t="n"/>
      <c r="K518" s="233" t="n"/>
      <c r="L518" s="233" t="n"/>
      <c r="M518" s="156" t="n"/>
    </row>
    <row r="519" ht="15" customHeight="1" s="153">
      <c r="A519" s="227" t="n"/>
      <c r="B519" s="228" t="n"/>
      <c r="C519" s="229" t="n"/>
      <c r="D519" s="229" t="n"/>
      <c r="E519" s="229" t="n"/>
      <c r="F519" s="230" t="n"/>
      <c r="G519" s="230" t="n"/>
      <c r="H519" s="257" t="n"/>
      <c r="I519" s="258" t="n"/>
      <c r="J519" s="258" t="n"/>
      <c r="K519" s="233" t="n"/>
      <c r="L519" s="233" t="n"/>
      <c r="M519" s="156" t="n"/>
    </row>
    <row r="520" ht="15" customHeight="1" s="153">
      <c r="A520" s="227" t="n"/>
      <c r="B520" s="228" t="n"/>
      <c r="C520" s="229" t="n"/>
      <c r="D520" s="229" t="n"/>
      <c r="E520" s="229" t="n"/>
      <c r="F520" s="230" t="n"/>
      <c r="G520" s="230" t="n"/>
      <c r="H520" s="257" t="n"/>
      <c r="I520" s="258" t="n"/>
      <c r="J520" s="258" t="n"/>
      <c r="K520" s="233" t="n"/>
      <c r="L520" s="233" t="n"/>
      <c r="M520" s="156" t="n"/>
    </row>
    <row r="521" ht="15" customHeight="1" s="153">
      <c r="A521" s="227" t="n"/>
      <c r="B521" s="228" t="n"/>
      <c r="C521" s="229" t="n"/>
      <c r="D521" s="229" t="n"/>
      <c r="E521" s="229" t="n"/>
      <c r="F521" s="230" t="n"/>
      <c r="G521" s="230" t="n"/>
      <c r="H521" s="257" t="n"/>
      <c r="I521" s="258" t="n"/>
      <c r="J521" s="258" t="n"/>
      <c r="K521" s="233" t="n"/>
      <c r="L521" s="233" t="n"/>
      <c r="M521" s="156" t="n"/>
    </row>
    <row r="522" ht="15" customHeight="1" s="153">
      <c r="A522" s="227" t="n"/>
      <c r="B522" s="228" t="n"/>
      <c r="C522" s="229" t="n"/>
      <c r="D522" s="229" t="n"/>
      <c r="E522" s="229" t="n"/>
      <c r="F522" s="230" t="n"/>
      <c r="G522" s="230" t="n"/>
      <c r="H522" s="257" t="n"/>
      <c r="I522" s="258" t="n"/>
      <c r="J522" s="258" t="n"/>
      <c r="K522" s="233" t="n"/>
      <c r="L522" s="233" t="n"/>
      <c r="M522" s="156" t="n"/>
    </row>
    <row r="523" ht="15" customHeight="1" s="153">
      <c r="A523" s="227" t="n"/>
      <c r="B523" s="228" t="n"/>
      <c r="C523" s="229" t="n"/>
      <c r="D523" s="229" t="n"/>
      <c r="E523" s="229" t="n"/>
      <c r="F523" s="230" t="n"/>
      <c r="G523" s="230" t="n"/>
      <c r="H523" s="257" t="n"/>
      <c r="I523" s="258" t="n"/>
      <c r="J523" s="258" t="n"/>
      <c r="K523" s="233" t="n"/>
      <c r="L523" s="233" t="n"/>
      <c r="M523" s="156" t="n"/>
    </row>
    <row r="524" ht="15" customHeight="1" s="153">
      <c r="A524" s="227" t="n"/>
      <c r="B524" s="228" t="n"/>
      <c r="C524" s="229" t="n"/>
      <c r="D524" s="229" t="n"/>
      <c r="E524" s="229" t="n"/>
      <c r="F524" s="230" t="n"/>
      <c r="G524" s="230" t="n"/>
      <c r="H524" s="257" t="n"/>
      <c r="I524" s="258" t="n"/>
      <c r="J524" s="258" t="n"/>
      <c r="K524" s="233" t="n"/>
      <c r="L524" s="233" t="n"/>
      <c r="M524" s="156" t="n"/>
    </row>
    <row r="525" ht="15" customHeight="1" s="153">
      <c r="A525" s="227" t="n"/>
      <c r="B525" s="228" t="n"/>
      <c r="C525" s="229" t="n"/>
      <c r="D525" s="229" t="n"/>
      <c r="E525" s="229" t="n"/>
      <c r="F525" s="230" t="n"/>
      <c r="G525" s="230" t="n"/>
      <c r="H525" s="257" t="n"/>
      <c r="I525" s="258" t="n"/>
      <c r="J525" s="258" t="n"/>
      <c r="K525" s="233" t="n"/>
      <c r="L525" s="233" t="n"/>
      <c r="M525" s="156" t="n"/>
    </row>
    <row r="526" ht="15" customHeight="1" s="153">
      <c r="A526" s="227" t="n"/>
      <c r="B526" s="228" t="n"/>
      <c r="C526" s="229" t="n"/>
      <c r="D526" s="229" t="n"/>
      <c r="E526" s="229" t="n"/>
      <c r="F526" s="230" t="n"/>
      <c r="G526" s="230" t="n"/>
      <c r="H526" s="257" t="n"/>
      <c r="I526" s="258" t="n"/>
      <c r="J526" s="258" t="n"/>
      <c r="K526" s="233" t="n"/>
      <c r="L526" s="233" t="n"/>
      <c r="M526" s="156" t="n"/>
    </row>
    <row r="527" ht="15" customHeight="1" s="153">
      <c r="A527" s="227" t="n"/>
      <c r="B527" s="228" t="n"/>
      <c r="C527" s="229" t="n"/>
      <c r="D527" s="229" t="n"/>
      <c r="E527" s="229" t="n"/>
      <c r="F527" s="230" t="n"/>
      <c r="G527" s="230" t="n"/>
      <c r="H527" s="257" t="n"/>
      <c r="I527" s="258" t="n"/>
      <c r="J527" s="258" t="n"/>
      <c r="K527" s="233" t="n"/>
      <c r="L527" s="233" t="n"/>
      <c r="M527" s="156" t="n"/>
    </row>
    <row r="528" ht="15" customHeight="1" s="153">
      <c r="A528" s="227" t="n"/>
      <c r="B528" s="228" t="n"/>
      <c r="C528" s="229" t="n"/>
      <c r="D528" s="229" t="n"/>
      <c r="E528" s="229" t="n"/>
      <c r="F528" s="230" t="n"/>
      <c r="G528" s="230" t="n"/>
      <c r="H528" s="257" t="n"/>
      <c r="I528" s="258" t="n"/>
      <c r="J528" s="258" t="n"/>
      <c r="K528" s="233" t="n"/>
      <c r="L528" s="233" t="n"/>
      <c r="M528" s="156" t="n"/>
    </row>
    <row r="529" ht="15" customHeight="1" s="153">
      <c r="A529" s="227" t="n"/>
      <c r="B529" s="228" t="n"/>
      <c r="C529" s="229" t="n"/>
      <c r="D529" s="229" t="n"/>
      <c r="E529" s="229" t="n"/>
      <c r="F529" s="230" t="n"/>
      <c r="G529" s="230" t="n"/>
      <c r="H529" s="257" t="n"/>
      <c r="I529" s="258" t="n"/>
      <c r="J529" s="258" t="n"/>
      <c r="K529" s="233" t="n"/>
      <c r="L529" s="233" t="n"/>
      <c r="M529" s="156" t="n"/>
    </row>
    <row r="530" ht="15" customHeight="1" s="153">
      <c r="A530" s="261" t="n"/>
      <c r="B530" s="228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33" t="n"/>
      <c r="M530" s="156" t="n"/>
    </row>
    <row r="531" ht="15" customHeight="1" s="153">
      <c r="A531" s="227" t="n"/>
      <c r="B531" s="228" t="n"/>
      <c r="C531" s="229" t="n"/>
      <c r="D531" s="229" t="n"/>
      <c r="E531" s="229" t="n"/>
      <c r="F531" s="230" t="n"/>
      <c r="G531" s="230" t="n"/>
      <c r="H531" s="257" t="n"/>
      <c r="I531" s="258" t="n"/>
      <c r="J531" s="258" t="n"/>
      <c r="K531" s="233" t="n"/>
      <c r="L531" s="233" t="n"/>
      <c r="M531" s="156" t="n"/>
    </row>
    <row r="532" ht="15" customHeight="1" s="153">
      <c r="A532" s="227" t="n"/>
      <c r="B532" s="228" t="n"/>
      <c r="C532" s="229" t="n"/>
      <c r="D532" s="229" t="n"/>
      <c r="E532" s="229" t="n"/>
      <c r="F532" s="230" t="n"/>
      <c r="G532" s="230" t="n"/>
      <c r="H532" s="257" t="n"/>
      <c r="I532" s="258" t="n"/>
      <c r="J532" s="258" t="n"/>
      <c r="K532" s="233" t="n"/>
      <c r="L532" s="233" t="n"/>
      <c r="M532" s="156" t="n"/>
    </row>
    <row r="533" ht="15" customHeight="1" s="153">
      <c r="A533" s="227" t="n"/>
      <c r="B533" s="228" t="n"/>
      <c r="C533" s="229" t="n"/>
      <c r="D533" s="229" t="n"/>
      <c r="E533" s="229" t="n"/>
      <c r="F533" s="230" t="n"/>
      <c r="G533" s="230" t="n"/>
      <c r="H533" s="257" t="n"/>
      <c r="I533" s="258" t="n"/>
      <c r="J533" s="258" t="n"/>
      <c r="K533" s="233" t="n"/>
      <c r="L533" s="233" t="n"/>
      <c r="M533" s="156" t="n"/>
    </row>
    <row r="534" ht="15" customHeight="1" s="153">
      <c r="A534" s="227" t="n"/>
      <c r="B534" s="228" t="n"/>
      <c r="C534" s="229" t="n"/>
      <c r="D534" s="229" t="n"/>
      <c r="E534" s="229" t="n"/>
      <c r="F534" s="230" t="n"/>
      <c r="G534" s="230" t="n"/>
      <c r="H534" s="257" t="n"/>
      <c r="I534" s="258" t="n"/>
      <c r="J534" s="258" t="n"/>
      <c r="K534" s="233" t="n"/>
      <c r="L534" s="233" t="n"/>
      <c r="M534" s="156" t="n"/>
    </row>
    <row r="535" ht="15" customHeight="1" s="153">
      <c r="A535" s="227" t="n"/>
      <c r="B535" s="228" t="n"/>
      <c r="C535" s="229" t="n"/>
      <c r="D535" s="229" t="n"/>
      <c r="E535" s="229" t="n"/>
      <c r="F535" s="230" t="n"/>
      <c r="G535" s="230" t="n"/>
      <c r="H535" s="257" t="n"/>
      <c r="I535" s="258" t="n"/>
      <c r="J535" s="258" t="n"/>
      <c r="K535" s="233" t="n"/>
      <c r="L535" s="233" t="n"/>
      <c r="M535" s="156" t="n"/>
    </row>
    <row r="536" ht="15" customHeight="1" s="153">
      <c r="A536" s="227" t="n"/>
      <c r="B536" s="228" t="n"/>
      <c r="C536" s="229" t="n"/>
      <c r="D536" s="229" t="n"/>
      <c r="E536" s="229" t="n"/>
      <c r="F536" s="230" t="n"/>
      <c r="G536" s="230" t="n"/>
      <c r="H536" s="257" t="n"/>
      <c r="I536" s="258" t="n"/>
      <c r="J536" s="258" t="n"/>
      <c r="K536" s="233" t="n"/>
      <c r="L536" s="233" t="n"/>
      <c r="M536" s="156" t="n"/>
    </row>
    <row r="537" ht="15" customHeight="1" s="153">
      <c r="A537" s="227" t="n"/>
      <c r="B537" s="228" t="n"/>
      <c r="C537" s="229" t="n"/>
      <c r="D537" s="229" t="n"/>
      <c r="E537" s="229" t="n"/>
      <c r="F537" s="230" t="n"/>
      <c r="G537" s="230" t="n"/>
      <c r="H537" s="257" t="n"/>
      <c r="I537" s="258" t="n"/>
      <c r="J537" s="258" t="n"/>
      <c r="K537" s="233" t="n"/>
      <c r="L537" s="233" t="n"/>
      <c r="M537" s="156" t="n"/>
    </row>
    <row r="538" ht="15" customHeight="1" s="153">
      <c r="A538" s="227" t="n"/>
      <c r="B538" s="228" t="n"/>
      <c r="C538" s="229" t="n"/>
      <c r="D538" s="229" t="n"/>
      <c r="E538" s="229" t="n"/>
      <c r="F538" s="230" t="n"/>
      <c r="G538" s="230" t="n"/>
      <c r="H538" s="257" t="n"/>
      <c r="I538" s="258" t="n"/>
      <c r="J538" s="258" t="n"/>
      <c r="K538" s="233" t="n"/>
      <c r="L538" s="233" t="n"/>
      <c r="M538" s="156" t="n"/>
    </row>
    <row r="539" ht="15" customHeight="1" s="153">
      <c r="A539" s="227" t="n"/>
      <c r="B539" s="228" t="n"/>
      <c r="C539" s="229" t="n"/>
      <c r="D539" s="229" t="n"/>
      <c r="E539" s="229" t="n"/>
      <c r="F539" s="230" t="n"/>
      <c r="G539" s="230" t="n"/>
      <c r="H539" s="257" t="n"/>
      <c r="I539" s="258" t="n"/>
      <c r="J539" s="258" t="n"/>
      <c r="K539" s="233" t="n"/>
      <c r="L539" s="233" t="n"/>
      <c r="M539" s="156" t="n"/>
    </row>
    <row r="540" ht="15" customHeight="1" s="153">
      <c r="A540" s="227" t="n"/>
      <c r="B540" s="228" t="n"/>
      <c r="C540" s="229" t="n"/>
      <c r="D540" s="229" t="n"/>
      <c r="E540" s="229" t="n"/>
      <c r="F540" s="230" t="n"/>
      <c r="G540" s="230" t="n"/>
      <c r="H540" s="257" t="n"/>
      <c r="I540" s="258" t="n"/>
      <c r="J540" s="258" t="n"/>
      <c r="K540" s="233" t="n"/>
      <c r="L540" s="233" t="n"/>
      <c r="M540" s="156" t="n"/>
    </row>
    <row r="541" ht="15" customHeight="1" s="153">
      <c r="A541" s="227" t="n"/>
      <c r="B541" s="228" t="n"/>
      <c r="C541" s="229" t="n"/>
      <c r="D541" s="229" t="n"/>
      <c r="E541" s="229" t="n"/>
      <c r="F541" s="230" t="n"/>
      <c r="G541" s="230" t="n"/>
      <c r="H541" s="257" t="n"/>
      <c r="I541" s="258" t="n"/>
      <c r="J541" s="258" t="n"/>
      <c r="K541" s="233" t="n"/>
      <c r="L541" s="233" t="n"/>
      <c r="M541" s="156" t="n"/>
    </row>
    <row r="542" ht="15" customHeight="1" s="153">
      <c r="A542" s="227" t="n"/>
      <c r="B542" s="228" t="n"/>
      <c r="C542" s="229" t="n"/>
      <c r="D542" s="229" t="n"/>
      <c r="E542" s="229" t="n"/>
      <c r="F542" s="230" t="n"/>
      <c r="G542" s="230" t="n"/>
      <c r="H542" s="257" t="n"/>
      <c r="I542" s="258" t="n"/>
      <c r="J542" s="258" t="n"/>
      <c r="K542" s="233" t="n"/>
      <c r="L542" s="233" t="n"/>
      <c r="M542" s="156" t="n"/>
    </row>
    <row r="543" ht="15" customHeight="1" s="153">
      <c r="A543" s="227" t="n"/>
      <c r="B543" s="228" t="n"/>
      <c r="C543" s="229" t="n"/>
      <c r="D543" s="229" t="n"/>
      <c r="E543" s="229" t="n"/>
      <c r="F543" s="230" t="n"/>
      <c r="G543" s="230" t="n"/>
      <c r="H543" s="257" t="n"/>
      <c r="I543" s="258" t="n"/>
      <c r="J543" s="258" t="n"/>
      <c r="K543" s="233" t="n"/>
      <c r="L543" s="233" t="n"/>
      <c r="M543" s="156" t="n"/>
    </row>
    <row r="544" ht="15" customHeight="1" s="153">
      <c r="A544" s="227" t="n"/>
      <c r="B544" s="228" t="n"/>
      <c r="C544" s="229" t="n"/>
      <c r="D544" s="229" t="n"/>
      <c r="E544" s="229" t="n"/>
      <c r="F544" s="230" t="n"/>
      <c r="G544" s="230" t="n"/>
      <c r="H544" s="257" t="n"/>
      <c r="I544" s="258" t="n"/>
      <c r="J544" s="258" t="n"/>
      <c r="K544" s="233" t="n"/>
      <c r="L544" s="233" t="n"/>
      <c r="M544" s="156" t="n"/>
    </row>
    <row r="545" ht="15" customHeight="1" s="153">
      <c r="A545" s="227" t="n"/>
      <c r="B545" s="228" t="n"/>
      <c r="C545" s="229" t="n"/>
      <c r="D545" s="229" t="n"/>
      <c r="E545" s="229" t="n"/>
      <c r="F545" s="230" t="n"/>
      <c r="G545" s="230" t="n"/>
      <c r="H545" s="257" t="n"/>
      <c r="I545" s="258" t="n"/>
      <c r="J545" s="258" t="n"/>
      <c r="K545" s="233" t="n"/>
      <c r="L545" s="233" t="n"/>
      <c r="M545" s="156" t="n"/>
    </row>
    <row r="546" ht="15" customHeight="1" s="153">
      <c r="A546" s="227" t="n"/>
      <c r="B546" s="228" t="n"/>
      <c r="C546" s="229" t="n"/>
      <c r="D546" s="229" t="n"/>
      <c r="E546" s="229" t="n"/>
      <c r="F546" s="230" t="n"/>
      <c r="G546" s="230" t="n"/>
      <c r="H546" s="257" t="n"/>
      <c r="I546" s="258" t="n"/>
      <c r="J546" s="258" t="n"/>
      <c r="K546" s="233" t="n"/>
      <c r="L546" s="233" t="n"/>
      <c r="M546" s="156" t="n"/>
    </row>
    <row r="547" ht="15" customHeight="1" s="153">
      <c r="A547" s="227" t="n"/>
      <c r="B547" s="228" t="n"/>
      <c r="C547" s="229" t="n"/>
      <c r="D547" s="229" t="n"/>
      <c r="E547" s="229" t="n"/>
      <c r="F547" s="230" t="n"/>
      <c r="G547" s="230" t="n"/>
      <c r="H547" s="257" t="n"/>
      <c r="I547" s="258" t="n"/>
      <c r="J547" s="258" t="n"/>
      <c r="K547" s="233" t="n"/>
      <c r="L547" s="233" t="n"/>
      <c r="M547" s="156" t="n"/>
    </row>
    <row r="548" ht="15" customHeight="1" s="153">
      <c r="A548" s="227" t="n"/>
      <c r="B548" s="228" t="n"/>
      <c r="C548" s="229" t="n"/>
      <c r="D548" s="229" t="n"/>
      <c r="E548" s="229" t="n"/>
      <c r="F548" s="230" t="n"/>
      <c r="G548" s="230" t="n"/>
      <c r="H548" s="257" t="n"/>
      <c r="I548" s="258" t="n"/>
      <c r="J548" s="258" t="n"/>
      <c r="K548" s="233" t="n"/>
      <c r="L548" s="233" t="n"/>
      <c r="M548" s="156" t="n"/>
    </row>
    <row r="549" ht="15" customHeight="1" s="153">
      <c r="A549" s="227" t="n"/>
      <c r="B549" s="228" t="n"/>
      <c r="C549" s="229" t="n"/>
      <c r="D549" s="229" t="n"/>
      <c r="E549" s="229" t="n"/>
      <c r="F549" s="230" t="n"/>
      <c r="G549" s="230" t="n"/>
      <c r="H549" s="257" t="n"/>
      <c r="I549" s="258" t="n"/>
      <c r="J549" s="258" t="n"/>
      <c r="K549" s="233" t="n"/>
      <c r="L549" s="233" t="n"/>
      <c r="M549" s="156" t="n"/>
    </row>
    <row r="550" ht="15" customHeight="1" s="153">
      <c r="A550" s="227" t="n"/>
      <c r="B550" s="228" t="n"/>
      <c r="C550" s="229" t="n"/>
      <c r="D550" s="229" t="n"/>
      <c r="E550" s="229" t="n"/>
      <c r="F550" s="230" t="n"/>
      <c r="G550" s="230" t="n"/>
      <c r="H550" s="257" t="n"/>
      <c r="I550" s="258" t="n"/>
      <c r="J550" s="258" t="n"/>
      <c r="K550" s="233" t="n"/>
      <c r="L550" s="233" t="n"/>
      <c r="M550" s="156" t="n"/>
    </row>
    <row r="551" ht="15" customHeight="1" s="153">
      <c r="A551" s="227" t="n"/>
      <c r="B551" s="228" t="n"/>
      <c r="C551" s="229" t="n"/>
      <c r="D551" s="229" t="n"/>
      <c r="E551" s="229" t="n"/>
      <c r="F551" s="230" t="n"/>
      <c r="G551" s="230" t="n"/>
      <c r="H551" s="257" t="n"/>
      <c r="I551" s="258" t="n"/>
      <c r="J551" s="258" t="n"/>
      <c r="K551" s="233" t="n"/>
      <c r="L551" s="233" t="n"/>
      <c r="M551" s="156" t="n"/>
    </row>
    <row r="552" ht="15" customHeight="1" s="153">
      <c r="A552" s="227" t="n"/>
      <c r="B552" s="228" t="n"/>
      <c r="C552" s="229" t="n"/>
      <c r="D552" s="229" t="n"/>
      <c r="E552" s="229" t="n"/>
      <c r="F552" s="230" t="n"/>
      <c r="G552" s="230" t="n"/>
      <c r="H552" s="257" t="n"/>
      <c r="I552" s="258" t="n"/>
      <c r="J552" s="258" t="n"/>
      <c r="K552" s="233" t="n"/>
      <c r="L552" s="233" t="n"/>
      <c r="M552" s="156" t="n"/>
    </row>
    <row r="553" ht="15" customHeight="1" s="153">
      <c r="A553" s="227" t="n"/>
      <c r="B553" s="228" t="n"/>
      <c r="C553" s="229" t="n"/>
      <c r="D553" s="229" t="n"/>
      <c r="E553" s="229" t="n"/>
      <c r="F553" s="230" t="n"/>
      <c r="G553" s="230" t="n"/>
      <c r="H553" s="257" t="n"/>
      <c r="I553" s="258" t="n"/>
      <c r="J553" s="258" t="n"/>
      <c r="K553" s="233" t="n"/>
      <c r="L553" s="233" t="n"/>
      <c r="M553" s="156" t="n"/>
    </row>
    <row r="554" ht="15" customHeight="1" s="153">
      <c r="A554" s="227" t="n"/>
      <c r="B554" s="228" t="n"/>
      <c r="C554" s="229" t="n"/>
      <c r="D554" s="229" t="n"/>
      <c r="E554" s="229" t="n"/>
      <c r="F554" s="230" t="n"/>
      <c r="G554" s="230" t="n"/>
      <c r="H554" s="257" t="n"/>
      <c r="I554" s="258" t="n"/>
      <c r="J554" s="258" t="n"/>
      <c r="K554" s="233" t="n"/>
      <c r="L554" s="233" t="n"/>
      <c r="M554" s="156" t="n"/>
    </row>
    <row r="555" ht="15" customHeight="1" s="153">
      <c r="A555" s="227" t="n"/>
      <c r="B555" s="228" t="n"/>
      <c r="C555" s="229" t="n"/>
      <c r="D555" s="229" t="n"/>
      <c r="E555" s="229" t="n"/>
      <c r="F555" s="230" t="n"/>
      <c r="G555" s="230" t="n"/>
      <c r="H555" s="257" t="n"/>
      <c r="I555" s="258" t="n"/>
      <c r="J555" s="258" t="n"/>
      <c r="K555" s="233" t="n"/>
      <c r="L555" s="233" t="n"/>
      <c r="M555" s="156" t="n"/>
    </row>
    <row r="556" ht="15" customHeight="1" s="153">
      <c r="A556" s="227" t="n"/>
      <c r="B556" s="228" t="n"/>
      <c r="C556" s="229" t="n"/>
      <c r="D556" s="229" t="n"/>
      <c r="E556" s="229" t="n"/>
      <c r="F556" s="230" t="n"/>
      <c r="G556" s="230" t="n"/>
      <c r="H556" s="257" t="n"/>
      <c r="I556" s="258" t="n"/>
      <c r="J556" s="258" t="n"/>
      <c r="K556" s="233" t="n"/>
      <c r="L556" s="233" t="n"/>
      <c r="M556" s="156" t="n"/>
    </row>
    <row r="557" ht="15" customHeight="1" s="153">
      <c r="A557" s="227" t="n"/>
      <c r="B557" s="228" t="n"/>
      <c r="C557" s="229" t="n"/>
      <c r="D557" s="229" t="n"/>
      <c r="E557" s="229" t="n"/>
      <c r="F557" s="230" t="n"/>
      <c r="G557" s="230" t="n"/>
      <c r="H557" s="257" t="n"/>
      <c r="I557" s="258" t="n"/>
      <c r="J557" s="258" t="n"/>
      <c r="K557" s="233" t="n"/>
      <c r="L557" s="233" t="n"/>
      <c r="M557" s="156" t="n"/>
    </row>
    <row r="558" ht="15" customHeight="1" s="153">
      <c r="A558" s="227" t="n"/>
      <c r="B558" s="228" t="n"/>
      <c r="C558" s="229" t="n"/>
      <c r="D558" s="229" t="n"/>
      <c r="E558" s="229" t="n"/>
      <c r="F558" s="230" t="n"/>
      <c r="G558" s="230" t="n"/>
      <c r="H558" s="257" t="n"/>
      <c r="I558" s="258" t="n"/>
      <c r="J558" s="258" t="n"/>
      <c r="K558" s="233" t="n"/>
      <c r="L558" s="233" t="n"/>
      <c r="M558" s="156" t="n"/>
    </row>
    <row r="559" ht="15" customHeight="1" s="153">
      <c r="A559" s="227" t="n"/>
      <c r="B559" s="228" t="n"/>
      <c r="C559" s="229" t="n"/>
      <c r="D559" s="229" t="n"/>
      <c r="E559" s="229" t="n"/>
      <c r="F559" s="230" t="n"/>
      <c r="G559" s="230" t="n"/>
      <c r="H559" s="257" t="n"/>
      <c r="I559" s="258" t="n"/>
      <c r="J559" s="258" t="n"/>
      <c r="K559" s="233" t="n"/>
      <c r="L559" s="233" t="n"/>
      <c r="M559" s="156" t="n"/>
    </row>
    <row r="560" ht="15" customHeight="1" s="153">
      <c r="A560" s="227" t="n"/>
      <c r="B560" s="228" t="n"/>
      <c r="C560" s="229" t="n"/>
      <c r="D560" s="229" t="n"/>
      <c r="E560" s="229" t="n"/>
      <c r="F560" s="230" t="n"/>
      <c r="G560" s="230" t="n"/>
      <c r="H560" s="257" t="n"/>
      <c r="I560" s="258" t="n"/>
      <c r="J560" s="258" t="n"/>
      <c r="K560" s="233" t="n"/>
      <c r="L560" s="233" t="n"/>
      <c r="M560" s="156" t="n"/>
    </row>
    <row r="561" ht="15" customHeight="1" s="153">
      <c r="A561" s="227" t="n"/>
      <c r="B561" s="228" t="n"/>
      <c r="C561" s="229" t="n"/>
      <c r="D561" s="229" t="n"/>
      <c r="E561" s="229" t="n"/>
      <c r="F561" s="230" t="n"/>
      <c r="G561" s="230" t="n"/>
      <c r="H561" s="257" t="n"/>
      <c r="I561" s="258" t="n"/>
      <c r="J561" s="258" t="n"/>
      <c r="K561" s="233" t="n"/>
      <c r="L561" s="233" t="n"/>
      <c r="M561" s="156" t="n"/>
    </row>
    <row r="562" ht="15" customHeight="1" s="153">
      <c r="A562" s="227" t="n"/>
      <c r="B562" s="228" t="n"/>
      <c r="C562" s="229" t="n"/>
      <c r="D562" s="229" t="n"/>
      <c r="E562" s="229" t="n"/>
      <c r="F562" s="230" t="n"/>
      <c r="G562" s="230" t="n"/>
      <c r="H562" s="257" t="n"/>
      <c r="I562" s="258" t="n"/>
      <c r="J562" s="258" t="n"/>
      <c r="K562" s="233" t="n"/>
      <c r="L562" s="233" t="n"/>
      <c r="M562" s="156" t="n"/>
    </row>
    <row r="563" ht="15" customHeight="1" s="153">
      <c r="A563" s="227" t="n"/>
      <c r="B563" s="228" t="n"/>
      <c r="C563" s="229" t="n"/>
      <c r="D563" s="229" t="n"/>
      <c r="E563" s="229" t="n"/>
      <c r="F563" s="230" t="n"/>
      <c r="G563" s="230" t="n"/>
      <c r="H563" s="257" t="n"/>
      <c r="I563" s="258" t="n"/>
      <c r="J563" s="258" t="n"/>
      <c r="K563" s="233" t="n"/>
      <c r="L563" s="233" t="n"/>
      <c r="M563" s="156" t="n"/>
    </row>
    <row r="564" ht="15" customHeight="1" s="153">
      <c r="A564" s="227" t="n"/>
      <c r="B564" s="228" t="n"/>
      <c r="C564" s="229" t="n"/>
      <c r="D564" s="229" t="n"/>
      <c r="E564" s="229" t="n"/>
      <c r="F564" s="230" t="n"/>
      <c r="G564" s="230" t="n"/>
      <c r="H564" s="257" t="n"/>
      <c r="I564" s="258" t="n"/>
      <c r="J564" s="258" t="n"/>
      <c r="K564" s="233" t="n"/>
      <c r="L564" s="233" t="n"/>
      <c r="M564" s="156" t="n"/>
    </row>
    <row r="565" ht="15" customHeight="1" s="153">
      <c r="A565" s="227" t="n"/>
      <c r="B565" s="228" t="n"/>
      <c r="C565" s="229" t="n"/>
      <c r="D565" s="229" t="n"/>
      <c r="E565" s="229" t="n"/>
      <c r="F565" s="230" t="n"/>
      <c r="G565" s="230" t="n"/>
      <c r="H565" s="257" t="n"/>
      <c r="I565" s="258" t="n"/>
      <c r="J565" s="258" t="n"/>
      <c r="K565" s="233" t="n"/>
      <c r="L565" s="233" t="n"/>
      <c r="M565" s="156" t="n"/>
    </row>
    <row r="566" ht="15" customHeight="1" s="153">
      <c r="A566" s="227" t="n"/>
      <c r="B566" s="228" t="n"/>
      <c r="C566" s="229" t="n"/>
      <c r="D566" s="229" t="n"/>
      <c r="E566" s="229" t="n"/>
      <c r="F566" s="230" t="n"/>
      <c r="G566" s="230" t="n"/>
      <c r="H566" s="257" t="n"/>
      <c r="I566" s="258" t="n"/>
      <c r="J566" s="258" t="n"/>
      <c r="K566" s="233" t="n"/>
      <c r="L566" s="233" t="n"/>
      <c r="M566" s="156" t="n"/>
    </row>
    <row r="567" ht="15" customHeight="1" s="153">
      <c r="A567" s="227" t="n"/>
      <c r="B567" s="228" t="n"/>
      <c r="C567" s="229" t="n"/>
      <c r="D567" s="229" t="n"/>
      <c r="E567" s="229" t="n"/>
      <c r="F567" s="230" t="n"/>
      <c r="G567" s="230" t="n"/>
      <c r="H567" s="257" t="n"/>
      <c r="I567" s="258" t="n"/>
      <c r="J567" s="258" t="n"/>
      <c r="K567" s="233" t="n"/>
      <c r="L567" s="233" t="n"/>
      <c r="M567" s="156" t="n"/>
    </row>
    <row r="568" ht="15" customHeight="1" s="153">
      <c r="A568" s="227" t="n"/>
      <c r="B568" s="228" t="n"/>
      <c r="C568" s="229" t="n"/>
      <c r="D568" s="229" t="n"/>
      <c r="E568" s="229" t="n"/>
      <c r="F568" s="230" t="n"/>
      <c r="G568" s="230" t="n"/>
      <c r="H568" s="257" t="n"/>
      <c r="I568" s="258" t="n"/>
      <c r="J568" s="258" t="n"/>
      <c r="K568" s="233" t="n"/>
      <c r="L568" s="233" t="n"/>
      <c r="M568" s="156" t="n"/>
    </row>
    <row r="569" ht="15" customHeight="1" s="153">
      <c r="A569" s="227" t="n"/>
      <c r="B569" s="228" t="n"/>
      <c r="C569" s="229" t="n"/>
      <c r="D569" s="229" t="n"/>
      <c r="E569" s="229" t="n"/>
      <c r="F569" s="230" t="n"/>
      <c r="G569" s="230" t="n"/>
      <c r="H569" s="257" t="n"/>
      <c r="I569" s="258" t="n"/>
      <c r="J569" s="258" t="n"/>
      <c r="K569" s="233" t="n"/>
      <c r="L569" s="233" t="n"/>
      <c r="M569" s="156" t="n"/>
    </row>
    <row r="570" ht="15" customHeight="1" s="153">
      <c r="A570" s="227" t="n"/>
      <c r="B570" s="228" t="n"/>
      <c r="C570" s="229" t="n"/>
      <c r="D570" s="229" t="n"/>
      <c r="E570" s="229" t="n"/>
      <c r="F570" s="230" t="n"/>
      <c r="G570" s="230" t="n"/>
      <c r="H570" s="257" t="n"/>
      <c r="I570" s="258" t="n"/>
      <c r="J570" s="258" t="n"/>
      <c r="K570" s="233" t="n"/>
      <c r="L570" s="233" t="n"/>
      <c r="M570" s="156" t="n"/>
    </row>
    <row r="571" ht="15" customHeight="1" s="153">
      <c r="A571" s="227" t="n"/>
      <c r="B571" s="228" t="n"/>
      <c r="C571" s="229" t="n"/>
      <c r="D571" s="229" t="n"/>
      <c r="E571" s="229" t="n"/>
      <c r="F571" s="230" t="n"/>
      <c r="G571" s="230" t="n"/>
      <c r="H571" s="257" t="n"/>
      <c r="I571" s="258" t="n"/>
      <c r="J571" s="258" t="n"/>
      <c r="K571" s="233" t="n"/>
      <c r="L571" s="233" t="n"/>
      <c r="M571" s="156" t="n"/>
    </row>
    <row r="572" ht="15" customHeight="1" s="153">
      <c r="A572" s="227" t="n"/>
      <c r="B572" s="228" t="n"/>
      <c r="C572" s="229" t="n"/>
      <c r="D572" s="229" t="n"/>
      <c r="E572" s="229" t="n"/>
      <c r="F572" s="230" t="n"/>
      <c r="G572" s="230" t="n"/>
      <c r="H572" s="257" t="n"/>
      <c r="I572" s="258" t="n"/>
      <c r="J572" s="258" t="n"/>
      <c r="K572" s="233" t="n"/>
      <c r="L572" s="233" t="n"/>
      <c r="M572" s="156" t="n"/>
    </row>
    <row r="573" ht="15" customHeight="1" s="153">
      <c r="A573" s="227" t="n"/>
      <c r="B573" s="228" t="n"/>
      <c r="C573" s="229" t="n"/>
      <c r="D573" s="229" t="n"/>
      <c r="E573" s="229" t="n"/>
      <c r="F573" s="230" t="n"/>
      <c r="G573" s="230" t="n"/>
      <c r="H573" s="257" t="n"/>
      <c r="I573" s="258" t="n"/>
      <c r="J573" s="258" t="n"/>
      <c r="K573" s="233" t="n"/>
      <c r="L573" s="233" t="n"/>
      <c r="M573" s="156" t="n"/>
    </row>
    <row r="574" ht="15" customHeight="1" s="153">
      <c r="A574" s="227" t="n"/>
      <c r="B574" s="228" t="n"/>
      <c r="C574" s="229" t="n"/>
      <c r="D574" s="229" t="n"/>
      <c r="E574" s="229" t="n"/>
      <c r="F574" s="230" t="n"/>
      <c r="G574" s="230" t="n"/>
      <c r="H574" s="257" t="n"/>
      <c r="I574" s="258" t="n"/>
      <c r="J574" s="258" t="n"/>
      <c r="K574" s="233" t="n"/>
      <c r="L574" s="233" t="n"/>
      <c r="M574" s="156" t="n"/>
    </row>
    <row r="575" ht="15" customHeight="1" s="153">
      <c r="A575" s="227" t="n"/>
      <c r="B575" s="228" t="n"/>
      <c r="C575" s="229" t="n"/>
      <c r="D575" s="229" t="n"/>
      <c r="E575" s="229" t="n"/>
      <c r="F575" s="230" t="n"/>
      <c r="G575" s="230" t="n"/>
      <c r="H575" s="257" t="n"/>
      <c r="I575" s="258" t="n"/>
      <c r="J575" s="258" t="n"/>
      <c r="K575" s="233" t="n"/>
      <c r="L575" s="233" t="n"/>
      <c r="M575" s="156" t="n"/>
    </row>
    <row r="576" ht="15" customHeight="1" s="153">
      <c r="A576" s="227" t="n"/>
      <c r="B576" s="228" t="n"/>
      <c r="C576" s="229" t="n"/>
      <c r="D576" s="229" t="n"/>
      <c r="E576" s="229" t="n"/>
      <c r="F576" s="230" t="n"/>
      <c r="G576" s="230" t="n"/>
      <c r="H576" s="257" t="n"/>
      <c r="I576" s="258" t="n"/>
      <c r="J576" s="258" t="n"/>
      <c r="K576" s="233" t="n"/>
      <c r="L576" s="233" t="n"/>
      <c r="M576" s="156" t="n"/>
    </row>
    <row r="577" ht="15" customHeight="1" s="153">
      <c r="A577" s="227" t="n"/>
      <c r="B577" s="228" t="n"/>
      <c r="C577" s="229" t="n"/>
      <c r="D577" s="229" t="n"/>
      <c r="E577" s="229" t="n"/>
      <c r="F577" s="230" t="n"/>
      <c r="G577" s="230" t="n"/>
      <c r="H577" s="257" t="n"/>
      <c r="I577" s="258" t="n"/>
      <c r="J577" s="258" t="n"/>
      <c r="K577" s="233" t="n"/>
      <c r="L577" s="233" t="n"/>
      <c r="M577" s="156" t="n"/>
    </row>
    <row r="578" ht="15" customHeight="1" s="153">
      <c r="A578" s="227" t="n"/>
      <c r="B578" s="228" t="n"/>
      <c r="C578" s="229" t="n"/>
      <c r="D578" s="229" t="n"/>
      <c r="E578" s="229" t="n"/>
      <c r="F578" s="230" t="n"/>
      <c r="G578" s="230" t="n"/>
      <c r="H578" s="257" t="n"/>
      <c r="I578" s="258" t="n"/>
      <c r="J578" s="258" t="n"/>
      <c r="K578" s="233" t="n"/>
      <c r="L578" s="233" t="n"/>
      <c r="M578" s="156" t="n"/>
    </row>
    <row r="579" ht="15" customHeight="1" s="153">
      <c r="A579" s="227" t="n"/>
      <c r="B579" s="228" t="n"/>
      <c r="C579" s="229" t="n"/>
      <c r="D579" s="229" t="n"/>
      <c r="E579" s="229" t="n"/>
      <c r="F579" s="230" t="n"/>
      <c r="G579" s="230" t="n"/>
      <c r="H579" s="257" t="n"/>
      <c r="I579" s="258" t="n"/>
      <c r="J579" s="258" t="n"/>
      <c r="K579" s="233" t="n"/>
      <c r="L579" s="233" t="n"/>
      <c r="M579" s="156" t="n"/>
    </row>
    <row r="580" ht="15" customHeight="1" s="153">
      <c r="A580" s="227" t="n"/>
      <c r="B580" s="228" t="n"/>
      <c r="C580" s="229" t="n"/>
      <c r="D580" s="229" t="n"/>
      <c r="E580" s="229" t="n"/>
      <c r="F580" s="230" t="n"/>
      <c r="G580" s="230" t="n"/>
      <c r="H580" s="257" t="n"/>
      <c r="I580" s="258" t="n"/>
      <c r="J580" s="258" t="n"/>
      <c r="K580" s="233" t="n"/>
      <c r="L580" s="233" t="n"/>
      <c r="M580" s="156" t="n"/>
    </row>
    <row r="581" ht="15" customHeight="1" s="153">
      <c r="A581" s="227" t="n"/>
      <c r="B581" s="228" t="n"/>
      <c r="C581" s="229" t="n"/>
      <c r="D581" s="229" t="n"/>
      <c r="E581" s="229" t="n"/>
      <c r="F581" s="230" t="n"/>
      <c r="G581" s="230" t="n"/>
      <c r="H581" s="257" t="n"/>
      <c r="I581" s="258" t="n"/>
      <c r="J581" s="258" t="n"/>
      <c r="K581" s="233" t="n"/>
      <c r="L581" s="233" t="n"/>
      <c r="M581" s="156" t="n"/>
    </row>
    <row r="582" ht="15" customHeight="1" s="153">
      <c r="A582" s="227" t="n"/>
      <c r="B582" s="228" t="n"/>
      <c r="C582" s="229" t="n"/>
      <c r="D582" s="229" t="n"/>
      <c r="E582" s="229" t="n"/>
      <c r="F582" s="230" t="n"/>
      <c r="G582" s="230" t="n"/>
      <c r="H582" s="257" t="n"/>
      <c r="I582" s="258" t="n"/>
      <c r="J582" s="258" t="n"/>
      <c r="K582" s="233" t="n"/>
      <c r="L582" s="233" t="n"/>
      <c r="M582" s="156" t="n"/>
    </row>
    <row r="583" ht="15" customHeight="1" s="153">
      <c r="A583" s="227" t="n"/>
      <c r="B583" s="228" t="n"/>
      <c r="C583" s="229" t="n"/>
      <c r="D583" s="229" t="n"/>
      <c r="E583" s="229" t="n"/>
      <c r="F583" s="230" t="n"/>
      <c r="G583" s="230" t="n"/>
      <c r="H583" s="257" t="n"/>
      <c r="I583" s="258" t="n"/>
      <c r="J583" s="258" t="n"/>
      <c r="K583" s="233" t="n"/>
      <c r="L583" s="233" t="n"/>
      <c r="M583" s="156" t="n"/>
    </row>
    <row r="584" ht="15" customHeight="1" s="153">
      <c r="A584" s="227" t="n"/>
      <c r="B584" s="228" t="n"/>
      <c r="C584" s="229" t="n"/>
      <c r="D584" s="229" t="n"/>
      <c r="E584" s="229" t="n"/>
      <c r="F584" s="230" t="n"/>
      <c r="G584" s="230" t="n"/>
      <c r="H584" s="257" t="n"/>
      <c r="I584" s="258" t="n"/>
      <c r="J584" s="258" t="n"/>
      <c r="K584" s="233" t="n"/>
      <c r="L584" s="233" t="n"/>
      <c r="M584" s="156" t="n"/>
    </row>
    <row r="585" ht="15" customHeight="1" s="153">
      <c r="A585" s="227" t="n"/>
      <c r="B585" s="228" t="n"/>
      <c r="C585" s="229" t="n"/>
      <c r="D585" s="229" t="n"/>
      <c r="E585" s="229" t="n"/>
      <c r="F585" s="230" t="n"/>
      <c r="G585" s="230" t="n"/>
      <c r="H585" s="257" t="n"/>
      <c r="I585" s="258" t="n"/>
      <c r="J585" s="258" t="n"/>
      <c r="K585" s="233" t="n"/>
      <c r="L585" s="233" t="n"/>
      <c r="M585" s="156" t="n"/>
    </row>
    <row r="586" ht="15" customHeight="1" s="153">
      <c r="A586" s="227" t="n"/>
      <c r="B586" s="228" t="n"/>
      <c r="C586" s="229" t="n"/>
      <c r="D586" s="229" t="n"/>
      <c r="E586" s="229" t="n"/>
      <c r="F586" s="230" t="n"/>
      <c r="G586" s="230" t="n"/>
      <c r="H586" s="257" t="n"/>
      <c r="I586" s="258" t="n"/>
      <c r="J586" s="258" t="n"/>
      <c r="K586" s="233" t="n"/>
      <c r="L586" s="233" t="n"/>
      <c r="M586" s="156" t="n"/>
    </row>
    <row r="587" ht="15" customHeight="1" s="153">
      <c r="A587" s="227" t="n"/>
      <c r="B587" s="228" t="n"/>
      <c r="C587" s="229" t="n"/>
      <c r="D587" s="229" t="n"/>
      <c r="E587" s="229" t="n"/>
      <c r="F587" s="230" t="n"/>
      <c r="G587" s="230" t="n"/>
      <c r="H587" s="257" t="n"/>
      <c r="I587" s="258" t="n"/>
      <c r="J587" s="258" t="n"/>
      <c r="K587" s="233" t="n"/>
      <c r="L587" s="233" t="n"/>
      <c r="M587" s="156" t="n"/>
    </row>
    <row r="588" ht="15" customHeight="1" s="153">
      <c r="A588" s="227" t="n"/>
      <c r="B588" s="228" t="n"/>
      <c r="C588" s="229" t="n"/>
      <c r="D588" s="229" t="n"/>
      <c r="E588" s="229" t="n"/>
      <c r="F588" s="230" t="n"/>
      <c r="G588" s="230" t="n"/>
      <c r="H588" s="257" t="n"/>
      <c r="I588" s="258" t="n"/>
      <c r="J588" s="258" t="n"/>
      <c r="K588" s="233" t="n"/>
      <c r="L588" s="233" t="n"/>
      <c r="M588" s="156" t="n"/>
    </row>
    <row r="589" ht="15" customHeight="1" s="153">
      <c r="A589" s="227" t="n"/>
      <c r="B589" s="228" t="n"/>
      <c r="C589" s="229" t="n"/>
      <c r="D589" s="229" t="n"/>
      <c r="E589" s="229" t="n"/>
      <c r="F589" s="230" t="n"/>
      <c r="G589" s="230" t="n"/>
      <c r="H589" s="257" t="n"/>
      <c r="I589" s="258" t="n"/>
      <c r="J589" s="258" t="n"/>
      <c r="K589" s="233" t="n"/>
      <c r="L589" s="233" t="n"/>
      <c r="M589" s="156" t="n"/>
    </row>
    <row r="590" ht="15" customHeight="1" s="153">
      <c r="A590" s="227" t="n"/>
      <c r="B590" s="228" t="n"/>
      <c r="C590" s="229" t="n"/>
      <c r="D590" s="229" t="n"/>
      <c r="E590" s="229" t="n"/>
      <c r="F590" s="230" t="n"/>
      <c r="G590" s="230" t="n"/>
      <c r="H590" s="257" t="n"/>
      <c r="I590" s="258" t="n"/>
      <c r="J590" s="258" t="n"/>
      <c r="K590" s="233" t="n"/>
      <c r="L590" s="233" t="n"/>
      <c r="M590" s="156" t="n"/>
    </row>
    <row r="591" ht="15" customHeight="1" s="153">
      <c r="A591" s="227" t="n"/>
      <c r="B591" s="228" t="n"/>
      <c r="C591" s="229" t="n"/>
      <c r="D591" s="229" t="n"/>
      <c r="E591" s="229" t="n"/>
      <c r="F591" s="230" t="n"/>
      <c r="G591" s="230" t="n"/>
      <c r="H591" s="257" t="n"/>
      <c r="I591" s="258" t="n"/>
      <c r="J591" s="258" t="n"/>
      <c r="K591" s="233" t="n"/>
      <c r="L591" s="233" t="n"/>
      <c r="M591" s="156" t="n"/>
    </row>
    <row r="592" ht="15" customHeight="1" s="153">
      <c r="A592" s="227" t="n"/>
      <c r="B592" s="228" t="n"/>
      <c r="C592" s="229" t="n"/>
      <c r="D592" s="229" t="n"/>
      <c r="E592" s="229" t="n"/>
      <c r="F592" s="230" t="n"/>
      <c r="G592" s="230" t="n"/>
      <c r="H592" s="257" t="n"/>
      <c r="I592" s="258" t="n"/>
      <c r="J592" s="258" t="n"/>
      <c r="K592" s="233" t="n"/>
      <c r="L592" s="233" t="n"/>
      <c r="M592" s="156" t="n"/>
    </row>
    <row r="593" ht="15" customHeight="1" s="153">
      <c r="A593" s="227" t="n"/>
      <c r="B593" s="228" t="n"/>
      <c r="C593" s="229" t="n"/>
      <c r="D593" s="229" t="n"/>
      <c r="E593" s="229" t="n"/>
      <c r="F593" s="230" t="n"/>
      <c r="G593" s="230" t="n"/>
      <c r="H593" s="257" t="n"/>
      <c r="I593" s="258" t="n"/>
      <c r="J593" s="258" t="n"/>
      <c r="K593" s="233" t="n"/>
      <c r="L593" s="233" t="n"/>
      <c r="M593" s="156" t="n"/>
    </row>
    <row r="594" ht="15" customHeight="1" s="153">
      <c r="A594" s="227" t="n"/>
      <c r="B594" s="228" t="n"/>
      <c r="C594" s="229" t="n"/>
      <c r="D594" s="229" t="n"/>
      <c r="E594" s="229" t="n"/>
      <c r="F594" s="230" t="n"/>
      <c r="G594" s="230" t="n"/>
      <c r="H594" s="257" t="n"/>
      <c r="I594" s="258" t="n"/>
      <c r="J594" s="258" t="n"/>
      <c r="K594" s="233" t="n"/>
      <c r="L594" s="233" t="n"/>
      <c r="M594" s="156" t="n"/>
    </row>
    <row r="595" ht="15" customHeight="1" s="153">
      <c r="A595" s="227" t="n"/>
      <c r="B595" s="228" t="n"/>
      <c r="C595" s="229" t="n"/>
      <c r="D595" s="229" t="n"/>
      <c r="E595" s="229" t="n"/>
      <c r="F595" s="230" t="n"/>
      <c r="G595" s="230" t="n"/>
      <c r="H595" s="257" t="n"/>
      <c r="I595" s="258" t="n"/>
      <c r="J595" s="258" t="n"/>
      <c r="K595" s="233" t="n"/>
      <c r="L595" s="233" t="n"/>
      <c r="M595" s="156" t="n"/>
    </row>
    <row r="596" ht="15" customHeight="1" s="153">
      <c r="A596" s="227" t="n"/>
      <c r="B596" s="228" t="n"/>
      <c r="C596" s="229" t="n"/>
      <c r="D596" s="229" t="n"/>
      <c r="E596" s="229" t="n"/>
      <c r="F596" s="230" t="n"/>
      <c r="G596" s="230" t="n"/>
      <c r="H596" s="257" t="n"/>
      <c r="I596" s="258" t="n"/>
      <c r="J596" s="258" t="n"/>
      <c r="K596" s="233" t="n"/>
      <c r="L596" s="233" t="n"/>
      <c r="M596" s="156" t="n"/>
    </row>
    <row r="597" ht="15" customHeight="1" s="153">
      <c r="A597" s="227" t="n"/>
      <c r="B597" s="228" t="n"/>
      <c r="C597" s="229" t="n"/>
      <c r="D597" s="229" t="n"/>
      <c r="E597" s="229" t="n"/>
      <c r="F597" s="230" t="n"/>
      <c r="G597" s="230" t="n"/>
      <c r="H597" s="257" t="n"/>
      <c r="I597" s="258" t="n"/>
      <c r="J597" s="258" t="n"/>
      <c r="K597" s="233" t="n"/>
      <c r="L597" s="233" t="n"/>
      <c r="M597" s="156" t="n"/>
    </row>
    <row r="598" ht="15" customHeight="1" s="153">
      <c r="A598" s="227" t="n"/>
      <c r="B598" s="228" t="n"/>
      <c r="C598" s="229" t="n"/>
      <c r="D598" s="229" t="n"/>
      <c r="E598" s="229" t="n"/>
      <c r="F598" s="230" t="n"/>
      <c r="G598" s="230" t="n"/>
      <c r="H598" s="257" t="n"/>
      <c r="I598" s="258" t="n"/>
      <c r="J598" s="258" t="n"/>
      <c r="K598" s="233" t="n"/>
      <c r="L598" s="233" t="n"/>
      <c r="M598" s="156" t="n"/>
    </row>
    <row r="599" ht="15" customHeight="1" s="153">
      <c r="A599" s="227" t="n"/>
      <c r="B599" s="228" t="n"/>
      <c r="C599" s="229" t="n"/>
      <c r="D599" s="229" t="n"/>
      <c r="E599" s="229" t="n"/>
      <c r="F599" s="230" t="n"/>
      <c r="G599" s="230" t="n"/>
      <c r="H599" s="257" t="n"/>
      <c r="I599" s="258" t="n"/>
      <c r="J599" s="258" t="n"/>
      <c r="K599" s="233" t="n"/>
      <c r="L599" s="233" t="n"/>
      <c r="M599" s="156" t="n"/>
    </row>
    <row r="600" ht="15" customHeight="1" s="153">
      <c r="A600" s="227" t="n"/>
      <c r="B600" s="228" t="n"/>
      <c r="C600" s="229" t="n"/>
      <c r="D600" s="229" t="n"/>
      <c r="E600" s="229" t="n"/>
      <c r="F600" s="230" t="n"/>
      <c r="G600" s="230" t="n"/>
      <c r="H600" s="257" t="n"/>
      <c r="I600" s="258" t="n"/>
      <c r="J600" s="258" t="n"/>
      <c r="K600" s="233" t="n"/>
      <c r="L600" s="233" t="n"/>
      <c r="M600" s="156" t="n"/>
    </row>
    <row r="601" ht="15" customHeight="1" s="153">
      <c r="A601" s="227" t="n"/>
      <c r="B601" s="228" t="n"/>
      <c r="C601" s="229" t="n"/>
      <c r="D601" s="229" t="n"/>
      <c r="E601" s="229" t="n"/>
      <c r="F601" s="230" t="n"/>
      <c r="G601" s="230" t="n"/>
      <c r="H601" s="257" t="n"/>
      <c r="I601" s="258" t="n"/>
      <c r="J601" s="258" t="n"/>
      <c r="K601" s="233" t="n"/>
      <c r="L601" s="233" t="n"/>
      <c r="M601" s="156" t="n"/>
    </row>
    <row r="602" ht="15" customHeight="1" s="153">
      <c r="A602" s="227" t="n"/>
      <c r="B602" s="228" t="n"/>
      <c r="C602" s="229" t="n"/>
      <c r="D602" s="229" t="n"/>
      <c r="E602" s="229" t="n"/>
      <c r="F602" s="230" t="n"/>
      <c r="G602" s="230" t="n"/>
      <c r="H602" s="257" t="n"/>
      <c r="I602" s="258" t="n"/>
      <c r="J602" s="258" t="n"/>
      <c r="K602" s="233" t="n"/>
      <c r="L602" s="233" t="n"/>
      <c r="M602" s="156" t="n"/>
    </row>
    <row r="603" ht="15" customHeight="1" s="153">
      <c r="A603" s="227" t="n"/>
      <c r="B603" s="228" t="n"/>
      <c r="C603" s="229" t="n"/>
      <c r="D603" s="229" t="n"/>
      <c r="E603" s="229" t="n"/>
      <c r="F603" s="230" t="n"/>
      <c r="G603" s="230" t="n"/>
      <c r="H603" s="257" t="n"/>
      <c r="I603" s="258" t="n"/>
      <c r="J603" s="258" t="n"/>
      <c r="K603" s="233" t="n"/>
      <c r="L603" s="233" t="n"/>
      <c r="M603" s="156" t="n"/>
    </row>
    <row r="604" ht="15" customHeight="1" s="153">
      <c r="A604" s="227" t="n"/>
      <c r="B604" s="228" t="n"/>
      <c r="C604" s="229" t="n"/>
      <c r="D604" s="229" t="n"/>
      <c r="E604" s="229" t="n"/>
      <c r="F604" s="230" t="n"/>
      <c r="G604" s="230" t="n"/>
      <c r="H604" s="257" t="n"/>
      <c r="I604" s="258" t="n"/>
      <c r="J604" s="258" t="n"/>
      <c r="K604" s="233" t="n"/>
      <c r="L604" s="233" t="n"/>
      <c r="M604" s="156" t="n"/>
    </row>
    <row r="605" ht="15" customHeight="1" s="153">
      <c r="A605" s="227" t="n"/>
      <c r="B605" s="228" t="n"/>
      <c r="C605" s="229" t="n"/>
      <c r="D605" s="229" t="n"/>
      <c r="E605" s="229" t="n"/>
      <c r="F605" s="230" t="n"/>
      <c r="G605" s="230" t="n"/>
      <c r="H605" s="257" t="n"/>
      <c r="I605" s="258" t="n"/>
      <c r="J605" s="258" t="n"/>
      <c r="K605" s="233" t="n"/>
      <c r="L605" s="233" t="n"/>
      <c r="M605" s="156" t="n"/>
    </row>
    <row r="606" ht="15" customHeight="1" s="153">
      <c r="A606" s="227" t="n"/>
      <c r="B606" s="228" t="n"/>
      <c r="C606" s="229" t="n"/>
      <c r="D606" s="229" t="n"/>
      <c r="E606" s="229" t="n"/>
      <c r="F606" s="230" t="n"/>
      <c r="G606" s="230" t="n"/>
      <c r="H606" s="257" t="n"/>
      <c r="I606" s="258" t="n"/>
      <c r="J606" s="258" t="n"/>
      <c r="K606" s="233" t="n"/>
      <c r="L606" s="233" t="n"/>
      <c r="M606" s="156" t="n"/>
    </row>
    <row r="607" ht="15" customHeight="1" s="153">
      <c r="A607" s="227" t="n"/>
      <c r="B607" s="228" t="n"/>
      <c r="C607" s="229" t="n"/>
      <c r="D607" s="229" t="n"/>
      <c r="E607" s="229" t="n"/>
      <c r="F607" s="230" t="n"/>
      <c r="G607" s="230" t="n"/>
      <c r="H607" s="257" t="n"/>
      <c r="I607" s="258" t="n"/>
      <c r="J607" s="258" t="n"/>
      <c r="K607" s="233" t="n"/>
      <c r="L607" s="233" t="n"/>
      <c r="M607" s="156" t="n"/>
    </row>
    <row r="608" ht="15" customHeight="1" s="153">
      <c r="A608" s="227" t="n"/>
      <c r="B608" s="228" t="n"/>
      <c r="C608" s="229" t="n"/>
      <c r="D608" s="229" t="n"/>
      <c r="E608" s="229" t="n"/>
      <c r="F608" s="230" t="n"/>
      <c r="G608" s="230" t="n"/>
      <c r="H608" s="257" t="n"/>
      <c r="I608" s="258" t="n"/>
      <c r="J608" s="258" t="n"/>
      <c r="K608" s="233" t="n"/>
      <c r="L608" s="233" t="n"/>
      <c r="M608" s="156" t="n"/>
    </row>
    <row r="609" ht="15" customHeight="1" s="153">
      <c r="A609" s="227" t="n"/>
      <c r="B609" s="228" t="n"/>
      <c r="C609" s="229" t="n"/>
      <c r="D609" s="229" t="n"/>
      <c r="E609" s="229" t="n"/>
      <c r="F609" s="230" t="n"/>
      <c r="G609" s="230" t="n"/>
      <c r="H609" s="257" t="n"/>
      <c r="I609" s="258" t="n"/>
      <c r="J609" s="258" t="n"/>
      <c r="K609" s="233" t="n"/>
      <c r="L609" s="233" t="n"/>
      <c r="M609" s="156" t="n"/>
    </row>
    <row r="610" ht="15" customHeight="1" s="153">
      <c r="A610" s="227" t="n"/>
      <c r="B610" s="228" t="n"/>
      <c r="C610" s="229" t="n"/>
      <c r="D610" s="229" t="n"/>
      <c r="E610" s="229" t="n"/>
      <c r="F610" s="230" t="n"/>
      <c r="G610" s="230" t="n"/>
      <c r="H610" s="257" t="n"/>
      <c r="I610" s="258" t="n"/>
      <c r="J610" s="258" t="n"/>
      <c r="K610" s="233" t="n"/>
      <c r="L610" s="233" t="n"/>
      <c r="M610" s="156" t="n"/>
    </row>
    <row r="611" ht="15" customHeight="1" s="153">
      <c r="A611" s="227" t="n"/>
      <c r="B611" s="228" t="n"/>
      <c r="C611" s="229" t="n"/>
      <c r="D611" s="229" t="n"/>
      <c r="E611" s="229" t="n"/>
      <c r="F611" s="230" t="n"/>
      <c r="G611" s="230" t="n"/>
      <c r="H611" s="257" t="n"/>
      <c r="I611" s="258" t="n"/>
      <c r="J611" s="258" t="n"/>
      <c r="K611" s="233" t="n"/>
      <c r="L611" s="233" t="n"/>
      <c r="M611" s="156" t="n"/>
    </row>
    <row r="612" ht="15" customHeight="1" s="153">
      <c r="A612" s="227" t="n"/>
      <c r="B612" s="228" t="n"/>
      <c r="C612" s="229" t="n"/>
      <c r="D612" s="229" t="n"/>
      <c r="E612" s="229" t="n"/>
      <c r="F612" s="230" t="n"/>
      <c r="G612" s="230" t="n"/>
      <c r="H612" s="257" t="n"/>
      <c r="I612" s="258" t="n"/>
      <c r="J612" s="258" t="n"/>
      <c r="K612" s="233" t="n"/>
      <c r="L612" s="233" t="n"/>
      <c r="M612" s="156" t="n"/>
    </row>
    <row r="613" ht="15" customHeight="1" s="153">
      <c r="A613" s="227" t="n"/>
      <c r="B613" s="228" t="n"/>
      <c r="C613" s="229" t="n"/>
      <c r="D613" s="229" t="n"/>
      <c r="E613" s="229" t="n"/>
      <c r="F613" s="230" t="n"/>
      <c r="G613" s="230" t="n"/>
      <c r="H613" s="257" t="n"/>
      <c r="I613" s="258" t="n"/>
      <c r="J613" s="258" t="n"/>
      <c r="K613" s="233" t="n"/>
      <c r="L613" s="233" t="n"/>
      <c r="M613" s="156" t="n"/>
    </row>
    <row r="614" ht="15" customHeight="1" s="153">
      <c r="A614" s="227" t="n"/>
      <c r="B614" s="228" t="n"/>
      <c r="C614" s="229" t="n"/>
      <c r="D614" s="229" t="n"/>
      <c r="E614" s="229" t="n"/>
      <c r="F614" s="230" t="n"/>
      <c r="G614" s="230" t="n"/>
      <c r="H614" s="257" t="n"/>
      <c r="I614" s="258" t="n"/>
      <c r="J614" s="258" t="n"/>
      <c r="K614" s="233" t="n"/>
      <c r="L614" s="233" t="n"/>
      <c r="M614" s="156" t="n"/>
    </row>
    <row r="615" ht="15" customHeight="1" s="153">
      <c r="A615" s="227" t="n"/>
      <c r="B615" s="228" t="n"/>
      <c r="C615" s="229" t="n"/>
      <c r="D615" s="229" t="n"/>
      <c r="E615" s="229" t="n"/>
      <c r="F615" s="230" t="n"/>
      <c r="G615" s="230" t="n"/>
      <c r="H615" s="257" t="n"/>
      <c r="I615" s="258" t="n"/>
      <c r="J615" s="258" t="n"/>
      <c r="K615" s="233" t="n"/>
      <c r="L615" s="233" t="n"/>
      <c r="M615" s="156" t="n"/>
    </row>
    <row r="616" ht="15" customHeight="1" s="153">
      <c r="A616" s="227" t="n"/>
      <c r="B616" s="228" t="n"/>
      <c r="C616" s="229" t="n"/>
      <c r="D616" s="229" t="n"/>
      <c r="E616" s="229" t="n"/>
      <c r="F616" s="230" t="n"/>
      <c r="G616" s="230" t="n"/>
      <c r="H616" s="257" t="n"/>
      <c r="I616" s="258" t="n"/>
      <c r="J616" s="258" t="n"/>
      <c r="K616" s="233" t="n"/>
      <c r="L616" s="233" t="n"/>
      <c r="M616" s="156" t="n"/>
    </row>
    <row r="617" ht="15" customHeight="1" s="153">
      <c r="A617" s="227" t="n"/>
      <c r="B617" s="228" t="n"/>
      <c r="C617" s="229" t="n"/>
      <c r="D617" s="229" t="n"/>
      <c r="E617" s="229" t="n"/>
      <c r="F617" s="230" t="n"/>
      <c r="G617" s="230" t="n"/>
      <c r="H617" s="257" t="n"/>
      <c r="I617" s="258" t="n"/>
      <c r="J617" s="258" t="n"/>
      <c r="K617" s="233" t="n"/>
      <c r="L617" s="233" t="n"/>
      <c r="M617" s="156" t="n"/>
    </row>
    <row r="618" ht="15" customHeight="1" s="153">
      <c r="A618" s="227" t="n"/>
      <c r="B618" s="228" t="n"/>
      <c r="C618" s="229" t="n"/>
      <c r="D618" s="229" t="n"/>
      <c r="E618" s="229" t="n"/>
      <c r="F618" s="230" t="n"/>
      <c r="G618" s="230" t="n"/>
      <c r="H618" s="257" t="n"/>
      <c r="I618" s="258" t="n"/>
      <c r="J618" s="258" t="n"/>
      <c r="K618" s="233" t="n"/>
      <c r="L618" s="233" t="n"/>
      <c r="M618" s="156" t="n"/>
    </row>
    <row r="619" ht="15" customHeight="1" s="153">
      <c r="A619" s="227" t="n"/>
      <c r="B619" s="228" t="n"/>
      <c r="C619" s="229" t="n"/>
      <c r="D619" s="229" t="n"/>
      <c r="E619" s="229" t="n"/>
      <c r="F619" s="230" t="n"/>
      <c r="G619" s="230" t="n"/>
      <c r="H619" s="257" t="n"/>
      <c r="I619" s="258" t="n"/>
      <c r="J619" s="258" t="n"/>
      <c r="K619" s="233" t="n"/>
      <c r="L619" s="233" t="n"/>
      <c r="M619" s="156" t="n"/>
    </row>
    <row r="620" ht="15" customHeight="1" s="153">
      <c r="A620" s="227" t="n"/>
      <c r="B620" s="228" t="n"/>
      <c r="C620" s="229" t="n"/>
      <c r="D620" s="229" t="n"/>
      <c r="E620" s="229" t="n"/>
      <c r="F620" s="230" t="n"/>
      <c r="G620" s="230" t="n"/>
      <c r="H620" s="257" t="n"/>
      <c r="I620" s="258" t="n"/>
      <c r="J620" s="258" t="n"/>
      <c r="K620" s="233" t="n"/>
      <c r="L620" s="233" t="n"/>
      <c r="M620" s="156" t="n"/>
    </row>
    <row r="621" ht="15" customHeight="1" s="153">
      <c r="A621" s="227" t="n"/>
      <c r="B621" s="228" t="n"/>
      <c r="C621" s="229" t="n"/>
      <c r="D621" s="229" t="n"/>
      <c r="E621" s="229" t="n"/>
      <c r="F621" s="230" t="n"/>
      <c r="G621" s="230" t="n"/>
      <c r="H621" s="257" t="n"/>
      <c r="I621" s="258" t="n"/>
      <c r="J621" s="258" t="n"/>
      <c r="K621" s="233" t="n"/>
      <c r="L621" s="233" t="n"/>
      <c r="M621" s="156" t="n"/>
    </row>
    <row r="622" ht="15" customHeight="1" s="153">
      <c r="A622" s="227" t="n"/>
      <c r="B622" s="228" t="n"/>
      <c r="C622" s="229" t="n"/>
      <c r="D622" s="229" t="n"/>
      <c r="E622" s="229" t="n"/>
      <c r="F622" s="230" t="n"/>
      <c r="G622" s="230" t="n"/>
      <c r="H622" s="257" t="n"/>
      <c r="I622" s="258" t="n"/>
      <c r="J622" s="258" t="n"/>
      <c r="K622" s="233" t="n"/>
      <c r="L622" s="233" t="n"/>
      <c r="M622" s="156" t="n"/>
    </row>
    <row r="623" ht="15" customHeight="1" s="153">
      <c r="A623" s="227" t="n"/>
      <c r="B623" s="228" t="n"/>
      <c r="C623" s="229" t="n"/>
      <c r="D623" s="229" t="n"/>
      <c r="E623" s="229" t="n"/>
      <c r="F623" s="230" t="n"/>
      <c r="G623" s="230" t="n"/>
      <c r="H623" s="257" t="n"/>
      <c r="I623" s="258" t="n"/>
      <c r="J623" s="258" t="n"/>
      <c r="K623" s="233" t="n"/>
      <c r="L623" s="233" t="n"/>
      <c r="M623" s="156" t="n"/>
    </row>
    <row r="624" ht="15" customHeight="1" s="153">
      <c r="A624" s="227" t="n"/>
      <c r="B624" s="228" t="n"/>
      <c r="C624" s="229" t="n"/>
      <c r="D624" s="229" t="n"/>
      <c r="E624" s="229" t="n"/>
      <c r="F624" s="230" t="n"/>
      <c r="G624" s="230" t="n"/>
      <c r="H624" s="257" t="n"/>
      <c r="I624" s="258" t="n"/>
      <c r="J624" s="258" t="n"/>
      <c r="K624" s="233" t="n"/>
      <c r="L624" s="233" t="n"/>
      <c r="M624" s="156" t="n"/>
    </row>
    <row r="625" ht="15" customHeight="1" s="153">
      <c r="A625" s="227" t="n"/>
      <c r="B625" s="228" t="n"/>
      <c r="C625" s="229" t="n"/>
      <c r="D625" s="229" t="n"/>
      <c r="E625" s="229" t="n"/>
      <c r="F625" s="230" t="n"/>
      <c r="G625" s="230" t="n"/>
      <c r="H625" s="257" t="n"/>
      <c r="I625" s="258" t="n"/>
      <c r="J625" s="258" t="n"/>
      <c r="K625" s="233" t="n"/>
      <c r="L625" s="233" t="n"/>
      <c r="M625" s="156" t="n"/>
    </row>
    <row r="626" ht="15" customHeight="1" s="153">
      <c r="A626" s="227" t="n"/>
      <c r="B626" s="228" t="n"/>
      <c r="C626" s="229" t="n"/>
      <c r="D626" s="229" t="n"/>
      <c r="E626" s="229" t="n"/>
      <c r="F626" s="230" t="n"/>
      <c r="G626" s="230" t="n"/>
      <c r="H626" s="257" t="n"/>
      <c r="I626" s="258" t="n"/>
      <c r="J626" s="258" t="n"/>
      <c r="K626" s="233" t="n"/>
      <c r="L626" s="233" t="n"/>
      <c r="M626" s="156" t="n"/>
    </row>
    <row r="627" ht="15" customHeight="1" s="153">
      <c r="A627" s="227" t="n"/>
      <c r="B627" s="228" t="n"/>
      <c r="C627" s="229" t="n"/>
      <c r="D627" s="229" t="n"/>
      <c r="E627" s="229" t="n"/>
      <c r="F627" s="230" t="n"/>
      <c r="G627" s="230" t="n"/>
      <c r="H627" s="257" t="n"/>
      <c r="I627" s="258" t="n"/>
      <c r="J627" s="258" t="n"/>
      <c r="K627" s="233" t="n"/>
      <c r="L627" s="233" t="n"/>
      <c r="M627" s="156" t="n"/>
    </row>
    <row r="628" ht="15" customHeight="1" s="153">
      <c r="A628" s="227" t="n"/>
      <c r="B628" s="228" t="n"/>
      <c r="C628" s="229" t="n"/>
      <c r="D628" s="229" t="n"/>
      <c r="E628" s="229" t="n"/>
      <c r="F628" s="230" t="n"/>
      <c r="G628" s="230" t="n"/>
      <c r="H628" s="257" t="n"/>
      <c r="I628" s="258" t="n"/>
      <c r="J628" s="258" t="n"/>
      <c r="K628" s="233" t="n"/>
      <c r="L628" s="233" t="n"/>
      <c r="M628" s="156" t="n"/>
    </row>
    <row r="629" ht="15" customHeight="1" s="153">
      <c r="A629" s="227" t="n"/>
      <c r="B629" s="228" t="n"/>
      <c r="C629" s="229" t="n"/>
      <c r="D629" s="229" t="n"/>
      <c r="E629" s="229" t="n"/>
      <c r="F629" s="230" t="n"/>
      <c r="G629" s="230" t="n"/>
      <c r="H629" s="257" t="n"/>
      <c r="I629" s="258" t="n"/>
      <c r="J629" s="258" t="n"/>
      <c r="K629" s="233" t="n"/>
      <c r="L629" s="233" t="n"/>
      <c r="M629" s="156" t="n"/>
    </row>
    <row r="630" ht="15" customHeight="1" s="153">
      <c r="A630" s="227" t="n"/>
      <c r="B630" s="228" t="n"/>
      <c r="C630" s="229" t="n"/>
      <c r="D630" s="229" t="n"/>
      <c r="E630" s="229" t="n"/>
      <c r="F630" s="230" t="n"/>
      <c r="G630" s="230" t="n"/>
      <c r="H630" s="257" t="n"/>
      <c r="I630" s="258" t="n"/>
      <c r="J630" s="258" t="n"/>
      <c r="K630" s="233" t="n"/>
      <c r="L630" s="233" t="n"/>
      <c r="M630" s="156" t="n"/>
    </row>
    <row r="631" ht="15" customHeight="1" s="153">
      <c r="A631" s="227" t="n"/>
      <c r="B631" s="228" t="n"/>
      <c r="C631" s="229" t="n"/>
      <c r="D631" s="229" t="n"/>
      <c r="E631" s="229" t="n"/>
      <c r="F631" s="230" t="n"/>
      <c r="G631" s="230" t="n"/>
      <c r="H631" s="257" t="n"/>
      <c r="I631" s="258" t="n"/>
      <c r="J631" s="258" t="n"/>
      <c r="K631" s="233" t="n"/>
      <c r="L631" s="233" t="n"/>
      <c r="M631" s="156" t="n"/>
    </row>
    <row r="632" ht="15" customHeight="1" s="153">
      <c r="A632" s="227" t="n"/>
      <c r="B632" s="228" t="n"/>
      <c r="C632" s="229" t="n"/>
      <c r="D632" s="229" t="n"/>
      <c r="E632" s="229" t="n"/>
      <c r="F632" s="230" t="n"/>
      <c r="G632" s="230" t="n"/>
      <c r="H632" s="257" t="n"/>
      <c r="I632" s="258" t="n"/>
      <c r="J632" s="258" t="n"/>
      <c r="K632" s="233" t="n"/>
      <c r="L632" s="233" t="n"/>
      <c r="M632" s="156" t="n"/>
    </row>
    <row r="633" ht="15" customHeight="1" s="153">
      <c r="A633" s="227" t="n"/>
      <c r="B633" s="228" t="n"/>
      <c r="C633" s="229" t="n"/>
      <c r="D633" s="229" t="n"/>
      <c r="E633" s="229" t="n"/>
      <c r="F633" s="230" t="n"/>
      <c r="G633" s="230" t="n"/>
      <c r="H633" s="257" t="n"/>
      <c r="I633" s="258" t="n"/>
      <c r="J633" s="258" t="n"/>
      <c r="K633" s="233" t="n"/>
      <c r="L633" s="233" t="n"/>
      <c r="M633" s="156" t="n"/>
    </row>
    <row r="634" ht="15" customHeight="1" s="153">
      <c r="A634" s="227" t="n"/>
      <c r="B634" s="228" t="n"/>
      <c r="C634" s="229" t="n"/>
      <c r="D634" s="229" t="n"/>
      <c r="E634" s="229" t="n"/>
      <c r="F634" s="230" t="n"/>
      <c r="G634" s="230" t="n"/>
      <c r="H634" s="257" t="n"/>
      <c r="I634" s="258" t="n"/>
      <c r="J634" s="258" t="n"/>
      <c r="K634" s="233" t="n"/>
      <c r="L634" s="233" t="n"/>
      <c r="M634" s="156" t="n"/>
    </row>
    <row r="635" ht="15" customHeight="1" s="153">
      <c r="A635" s="227" t="n"/>
      <c r="B635" s="228" t="n"/>
      <c r="C635" s="229" t="n"/>
      <c r="D635" s="229" t="n"/>
      <c r="E635" s="229" t="n"/>
      <c r="F635" s="230" t="n"/>
      <c r="G635" s="230" t="n"/>
      <c r="H635" s="257" t="n"/>
      <c r="I635" s="258" t="n"/>
      <c r="J635" s="258" t="n"/>
      <c r="K635" s="233" t="n"/>
      <c r="L635" s="233" t="n"/>
      <c r="M635" s="156" t="n"/>
    </row>
    <row r="636" ht="15" customHeight="1" s="153">
      <c r="A636" s="227" t="n"/>
      <c r="B636" s="228" t="n"/>
      <c r="C636" s="229" t="n"/>
      <c r="D636" s="229" t="n"/>
      <c r="E636" s="229" t="n"/>
      <c r="F636" s="230" t="n"/>
      <c r="G636" s="230" t="n"/>
      <c r="H636" s="257" t="n"/>
      <c r="I636" s="258" t="n"/>
      <c r="J636" s="258" t="n"/>
      <c r="K636" s="233" t="n"/>
      <c r="L636" s="233" t="n"/>
      <c r="M636" s="156" t="n"/>
    </row>
    <row r="637" ht="15" customHeight="1" s="153">
      <c r="A637" s="227" t="n"/>
      <c r="B637" s="228" t="n"/>
      <c r="C637" s="229" t="n"/>
      <c r="D637" s="229" t="n"/>
      <c r="E637" s="229" t="n"/>
      <c r="F637" s="230" t="n"/>
      <c r="G637" s="230" t="n"/>
      <c r="H637" s="257" t="n"/>
      <c r="I637" s="258" t="n"/>
      <c r="J637" s="258" t="n"/>
      <c r="K637" s="233" t="n"/>
      <c r="L637" s="233" t="n"/>
      <c r="M637" s="156" t="n"/>
    </row>
    <row r="638" ht="15" customHeight="1" s="153">
      <c r="A638" s="227" t="n"/>
      <c r="B638" s="228" t="n"/>
      <c r="C638" s="229" t="n"/>
      <c r="D638" s="229" t="n"/>
      <c r="E638" s="229" t="n"/>
      <c r="F638" s="230" t="n"/>
      <c r="G638" s="230" t="n"/>
      <c r="H638" s="257" t="n"/>
      <c r="I638" s="258" t="n"/>
      <c r="J638" s="258" t="n"/>
      <c r="K638" s="233" t="n"/>
      <c r="L638" s="233" t="n"/>
      <c r="M638" s="156" t="n"/>
    </row>
    <row r="639" ht="15" customHeight="1" s="153">
      <c r="A639" s="227" t="n"/>
      <c r="B639" s="228" t="n"/>
      <c r="C639" s="229" t="n"/>
      <c r="D639" s="229" t="n"/>
      <c r="E639" s="229" t="n"/>
      <c r="F639" s="230" t="n"/>
      <c r="G639" s="230" t="n"/>
      <c r="H639" s="257" t="n"/>
      <c r="I639" s="258" t="n"/>
      <c r="J639" s="258" t="n"/>
      <c r="K639" s="233" t="n"/>
      <c r="L639" s="233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27" t="n"/>
      <c r="B5" s="228" t="n"/>
      <c r="C5" s="229" t="n"/>
      <c r="D5" s="229" t="n"/>
      <c r="E5" s="229" t="n"/>
      <c r="F5" s="230" t="n"/>
      <c r="G5" s="230" t="n"/>
      <c r="H5" s="231" t="n"/>
      <c r="I5" s="232" t="n"/>
      <c r="J5" s="232" t="n"/>
      <c r="K5" s="233" t="n"/>
      <c r="L5" s="233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37" t="n"/>
      <c r="B6" s="238" t="n"/>
      <c r="C6" s="239" t="n"/>
      <c r="D6" s="239" t="n"/>
      <c r="E6" s="239" t="n"/>
      <c r="F6" s="240" t="n"/>
      <c r="G6" s="240" t="n"/>
      <c r="H6" s="241" t="n"/>
      <c r="I6" s="242" t="n"/>
      <c r="J6" s="242" t="n"/>
      <c r="K6" s="233" t="n"/>
      <c r="L6" s="233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27" t="n"/>
      <c r="B7" s="228" t="n"/>
      <c r="C7" s="229" t="n"/>
      <c r="D7" s="229" t="n"/>
      <c r="E7" s="229" t="n"/>
      <c r="F7" s="230" t="n"/>
      <c r="G7" s="230" t="n"/>
      <c r="H7" s="231" t="n"/>
      <c r="I7" s="232" t="n"/>
      <c r="J7" s="232" t="n"/>
      <c r="K7" s="233" t="n"/>
      <c r="L7" s="233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37" t="n"/>
      <c r="B8" s="238" t="n"/>
      <c r="C8" s="239" t="n"/>
      <c r="D8" s="239" t="n"/>
      <c r="E8" s="239" t="n"/>
      <c r="F8" s="240" t="n"/>
      <c r="G8" s="240" t="n"/>
      <c r="H8" s="241" t="n"/>
      <c r="I8" s="242" t="n"/>
      <c r="J8" s="242" t="n"/>
      <c r="K8" s="233" t="n"/>
      <c r="L8" s="233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27" t="n"/>
      <c r="B9" s="228" t="n"/>
      <c r="C9" s="229" t="n"/>
      <c r="D9" s="229" t="n"/>
      <c r="E9" s="229" t="n"/>
      <c r="F9" s="230" t="n"/>
      <c r="G9" s="230" t="n"/>
      <c r="H9" s="231" t="n"/>
      <c r="I9" s="232" t="n"/>
      <c r="J9" s="232" t="n"/>
      <c r="K9" s="233" t="n"/>
      <c r="L9" s="233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37" t="n"/>
      <c r="B10" s="238" t="n"/>
      <c r="C10" s="239" t="n"/>
      <c r="D10" s="239" t="n"/>
      <c r="E10" s="239" t="n"/>
      <c r="F10" s="240" t="n"/>
      <c r="G10" s="240" t="n"/>
      <c r="H10" s="241" t="n"/>
      <c r="I10" s="242" t="n"/>
      <c r="J10" s="242" t="n"/>
      <c r="K10" s="233" t="n"/>
      <c r="L10" s="233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27" t="n"/>
      <c r="B11" s="228" t="n"/>
      <c r="C11" s="229" t="n"/>
      <c r="D11" s="229" t="n"/>
      <c r="E11" s="229" t="n"/>
      <c r="F11" s="230" t="n"/>
      <c r="G11" s="230" t="n"/>
      <c r="H11" s="231" t="n"/>
      <c r="I11" s="232" t="n"/>
      <c r="J11" s="232" t="n"/>
      <c r="K11" s="233" t="n"/>
      <c r="L11" s="233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37" t="n"/>
      <c r="B12" s="238" t="n"/>
      <c r="C12" s="239" t="n"/>
      <c r="D12" s="239" t="n"/>
      <c r="E12" s="239" t="n"/>
      <c r="F12" s="240" t="n"/>
      <c r="G12" s="240" t="n"/>
      <c r="H12" s="241" t="n"/>
      <c r="I12" s="242" t="n"/>
      <c r="J12" s="242" t="n"/>
      <c r="K12" s="233" t="n"/>
      <c r="L12" s="233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27" t="n"/>
      <c r="B13" s="228" t="n"/>
      <c r="C13" s="229" t="n"/>
      <c r="D13" s="229" t="n"/>
      <c r="E13" s="229" t="n"/>
      <c r="F13" s="230" t="n"/>
      <c r="G13" s="230" t="n"/>
      <c r="H13" s="231" t="n"/>
      <c r="I13" s="232" t="n"/>
      <c r="J13" s="232" t="n"/>
      <c r="K13" s="233" t="n"/>
      <c r="L13" s="233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37" t="n"/>
      <c r="B14" s="238" t="n"/>
      <c r="C14" s="239" t="n"/>
      <c r="D14" s="239" t="n"/>
      <c r="E14" s="239" t="n"/>
      <c r="F14" s="240" t="n"/>
      <c r="G14" s="240" t="n"/>
      <c r="H14" s="241" t="n"/>
      <c r="I14" s="242" t="n"/>
      <c r="J14" s="242" t="n"/>
      <c r="K14" s="233" t="n"/>
      <c r="L14" s="233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27" t="n"/>
      <c r="B15" s="228" t="n"/>
      <c r="C15" s="229" t="n"/>
      <c r="D15" s="229" t="n"/>
      <c r="E15" s="229" t="n"/>
      <c r="F15" s="230" t="n"/>
      <c r="G15" s="230" t="n"/>
      <c r="H15" s="231" t="n"/>
      <c r="I15" s="232" t="n"/>
      <c r="J15" s="232" t="n"/>
      <c r="K15" s="233" t="n"/>
      <c r="L15" s="233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37" t="n"/>
      <c r="B16" s="238" t="n"/>
      <c r="C16" s="239" t="n"/>
      <c r="D16" s="239" t="n"/>
      <c r="E16" s="239" t="n"/>
      <c r="F16" s="240" t="n"/>
      <c r="G16" s="240" t="n"/>
      <c r="H16" s="241" t="n"/>
      <c r="I16" s="242" t="n"/>
      <c r="J16" s="242" t="n"/>
      <c r="K16" s="233" t="n"/>
      <c r="L16" s="233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27" t="n"/>
      <c r="B17" s="228" t="n"/>
      <c r="C17" s="229" t="n"/>
      <c r="D17" s="229" t="n"/>
      <c r="E17" s="229" t="n"/>
      <c r="F17" s="230" t="n"/>
      <c r="G17" s="230" t="n"/>
      <c r="H17" s="231" t="n"/>
      <c r="I17" s="232" t="n"/>
      <c r="J17" s="232" t="n"/>
      <c r="K17" s="233" t="n"/>
      <c r="L17" s="233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37" t="n"/>
      <c r="B18" s="238" t="n"/>
      <c r="C18" s="239" t="n"/>
      <c r="D18" s="239" t="n"/>
      <c r="E18" s="239" t="n"/>
      <c r="F18" s="240" t="n"/>
      <c r="G18" s="240" t="n"/>
      <c r="H18" s="241" t="n"/>
      <c r="I18" s="242" t="n"/>
      <c r="J18" s="242" t="n"/>
      <c r="K18" s="233" t="n"/>
      <c r="L18" s="233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27" t="n"/>
      <c r="B19" s="228" t="n"/>
      <c r="C19" s="229" t="n"/>
      <c r="D19" s="229" t="n"/>
      <c r="E19" s="229" t="n"/>
      <c r="F19" s="230" t="n"/>
      <c r="G19" s="230" t="n"/>
      <c r="H19" s="231" t="n"/>
      <c r="I19" s="232" t="n"/>
      <c r="J19" s="232" t="n"/>
      <c r="K19" s="233" t="n"/>
      <c r="L19" s="233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37" t="n"/>
      <c r="B20" s="238" t="n"/>
      <c r="C20" s="239" t="n"/>
      <c r="D20" s="239" t="n"/>
      <c r="E20" s="239" t="n"/>
      <c r="F20" s="240" t="n"/>
      <c r="G20" s="240" t="n"/>
      <c r="H20" s="241" t="n"/>
      <c r="I20" s="242" t="n"/>
      <c r="J20" s="242" t="n"/>
      <c r="K20" s="233" t="n"/>
      <c r="L20" s="233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27" t="n"/>
      <c r="B21" s="228" t="n"/>
      <c r="C21" s="229" t="n"/>
      <c r="D21" s="229" t="n"/>
      <c r="E21" s="229" t="n"/>
      <c r="F21" s="230" t="n"/>
      <c r="G21" s="230" t="n"/>
      <c r="H21" s="231" t="n"/>
      <c r="I21" s="232" t="n"/>
      <c r="J21" s="232" t="n"/>
      <c r="K21" s="233" t="n"/>
      <c r="L21" s="233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37" t="n"/>
      <c r="B22" s="238" t="n"/>
      <c r="C22" s="239" t="n"/>
      <c r="D22" s="239" t="n"/>
      <c r="E22" s="239" t="n"/>
      <c r="F22" s="240" t="n"/>
      <c r="G22" s="240" t="n"/>
      <c r="H22" s="241" t="n"/>
      <c r="I22" s="242" t="n"/>
      <c r="J22" s="242" t="n"/>
      <c r="K22" s="233" t="n"/>
      <c r="L22" s="233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27" t="n"/>
      <c r="B23" s="228" t="n"/>
      <c r="C23" s="229" t="n"/>
      <c r="D23" s="229" t="n"/>
      <c r="E23" s="229" t="n"/>
      <c r="F23" s="230" t="n"/>
      <c r="G23" s="230" t="n"/>
      <c r="H23" s="231" t="n"/>
      <c r="I23" s="232" t="n"/>
      <c r="J23" s="232" t="n"/>
      <c r="K23" s="233" t="n"/>
      <c r="L23" s="233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37" t="n"/>
      <c r="B24" s="238" t="n"/>
      <c r="C24" s="239" t="n"/>
      <c r="D24" s="239" t="n"/>
      <c r="E24" s="239" t="n"/>
      <c r="F24" s="240" t="n"/>
      <c r="G24" s="240" t="n"/>
      <c r="H24" s="241" t="n"/>
      <c r="I24" s="242" t="n"/>
      <c r="J24" s="242" t="n"/>
      <c r="K24" s="233" t="n"/>
      <c r="L24" s="233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27" t="n"/>
      <c r="B25" s="228" t="n"/>
      <c r="C25" s="229" t="n"/>
      <c r="D25" s="229" t="n"/>
      <c r="E25" s="229" t="n"/>
      <c r="F25" s="230" t="n"/>
      <c r="G25" s="230" t="n"/>
      <c r="H25" s="231" t="n"/>
      <c r="I25" s="232" t="n"/>
      <c r="J25" s="232" t="n"/>
      <c r="K25" s="233" t="n"/>
      <c r="L25" s="233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37" t="n"/>
      <c r="B26" s="238" t="n"/>
      <c r="C26" s="239" t="n"/>
      <c r="D26" s="239" t="n"/>
      <c r="E26" s="239" t="n"/>
      <c r="F26" s="240" t="n"/>
      <c r="G26" s="240" t="n"/>
      <c r="H26" s="241" t="n"/>
      <c r="I26" s="242" t="n"/>
      <c r="J26" s="242" t="n"/>
      <c r="K26" s="233" t="n"/>
      <c r="L26" s="233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27" t="n"/>
      <c r="B27" s="228" t="n"/>
      <c r="C27" s="229" t="n"/>
      <c r="D27" s="229" t="n"/>
      <c r="E27" s="229" t="n"/>
      <c r="F27" s="230" t="n"/>
      <c r="G27" s="230" t="n"/>
      <c r="H27" s="231" t="n"/>
      <c r="I27" s="232" t="n"/>
      <c r="J27" s="232" t="n"/>
      <c r="K27" s="233" t="n"/>
      <c r="L27" s="233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37" t="n"/>
      <c r="B28" s="238" t="n"/>
      <c r="C28" s="239" t="n"/>
      <c r="D28" s="239" t="n"/>
      <c r="E28" s="239" t="n"/>
      <c r="F28" s="240" t="n"/>
      <c r="G28" s="240" t="n"/>
      <c r="H28" s="241" t="n"/>
      <c r="I28" s="242" t="n"/>
      <c r="J28" s="242" t="n"/>
      <c r="K28" s="233" t="n"/>
      <c r="L28" s="233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27" t="n"/>
      <c r="B29" s="228" t="n"/>
      <c r="C29" s="229" t="n"/>
      <c r="D29" s="229" t="n"/>
      <c r="E29" s="229" t="n"/>
      <c r="F29" s="230" t="n"/>
      <c r="G29" s="230" t="n"/>
      <c r="H29" s="231" t="n"/>
      <c r="I29" s="232" t="n"/>
      <c r="J29" s="232" t="n"/>
      <c r="K29" s="233" t="n"/>
      <c r="L29" s="233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37" t="n"/>
      <c r="B30" s="238" t="n"/>
      <c r="C30" s="239" t="n"/>
      <c r="D30" s="239" t="n"/>
      <c r="E30" s="239" t="n"/>
      <c r="F30" s="240" t="n"/>
      <c r="G30" s="240" t="n"/>
      <c r="H30" s="241" t="n"/>
      <c r="I30" s="242" t="n"/>
      <c r="J30" s="242" t="n"/>
      <c r="K30" s="233" t="n"/>
      <c r="L30" s="233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27" t="n"/>
      <c r="B31" s="228" t="n"/>
      <c r="C31" s="229" t="n"/>
      <c r="D31" s="229" t="n"/>
      <c r="E31" s="229" t="n"/>
      <c r="F31" s="230" t="n"/>
      <c r="G31" s="230" t="n"/>
      <c r="H31" s="231" t="n"/>
      <c r="I31" s="232" t="n"/>
      <c r="J31" s="232" t="n"/>
      <c r="K31" s="233" t="n"/>
      <c r="L31" s="233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37" t="n"/>
      <c r="B32" s="238" t="n"/>
      <c r="C32" s="239" t="n"/>
      <c r="D32" s="239" t="n"/>
      <c r="E32" s="239" t="n"/>
      <c r="F32" s="240" t="n"/>
      <c r="G32" s="240" t="n"/>
      <c r="H32" s="241" t="n"/>
      <c r="I32" s="242" t="n"/>
      <c r="J32" s="242" t="n"/>
      <c r="K32" s="233" t="n"/>
      <c r="L32" s="233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27" t="n"/>
      <c r="B33" s="228" t="n"/>
      <c r="C33" s="229" t="n"/>
      <c r="D33" s="229" t="n"/>
      <c r="E33" s="229" t="n"/>
      <c r="F33" s="230" t="n"/>
      <c r="G33" s="230" t="n"/>
      <c r="H33" s="231" t="n"/>
      <c r="I33" s="232" t="n"/>
      <c r="J33" s="232" t="n"/>
      <c r="K33" s="233" t="n"/>
      <c r="L33" s="233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37" t="n"/>
      <c r="B34" s="238" t="n"/>
      <c r="C34" s="239" t="n"/>
      <c r="D34" s="239" t="n"/>
      <c r="E34" s="239" t="n"/>
      <c r="F34" s="240" t="n"/>
      <c r="G34" s="240" t="n"/>
      <c r="H34" s="241" t="n"/>
      <c r="I34" s="242" t="n"/>
      <c r="J34" s="242" t="n"/>
      <c r="K34" s="233" t="n"/>
      <c r="L34" s="233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27" t="n"/>
      <c r="B35" s="228" t="n"/>
      <c r="C35" s="229" t="n"/>
      <c r="D35" s="229" t="n"/>
      <c r="E35" s="229" t="n"/>
      <c r="F35" s="230" t="n"/>
      <c r="G35" s="230" t="n"/>
      <c r="H35" s="231" t="n"/>
      <c r="I35" s="232" t="n"/>
      <c r="J35" s="232" t="n"/>
      <c r="K35" s="233" t="n"/>
      <c r="L35" s="233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37" t="n"/>
      <c r="B36" s="238" t="n"/>
      <c r="C36" s="239" t="n"/>
      <c r="D36" s="239" t="n"/>
      <c r="E36" s="239" t="n"/>
      <c r="F36" s="240" t="n"/>
      <c r="G36" s="240" t="n"/>
      <c r="H36" s="241" t="n"/>
      <c r="I36" s="242" t="n"/>
      <c r="J36" s="242" t="n"/>
      <c r="K36" s="233" t="n"/>
      <c r="L36" s="233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27" t="n"/>
      <c r="B37" s="228" t="n"/>
      <c r="C37" s="229" t="n"/>
      <c r="D37" s="229" t="n"/>
      <c r="E37" s="229" t="n"/>
      <c r="F37" s="230" t="n"/>
      <c r="G37" s="230" t="n"/>
      <c r="H37" s="231" t="n"/>
      <c r="I37" s="232" t="n"/>
      <c r="J37" s="232" t="n"/>
      <c r="K37" s="233" t="n"/>
      <c r="L37" s="233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37" t="n"/>
      <c r="B38" s="238" t="n"/>
      <c r="C38" s="239" t="n"/>
      <c r="D38" s="239" t="n"/>
      <c r="E38" s="239" t="n"/>
      <c r="F38" s="240" t="n"/>
      <c r="G38" s="240" t="n"/>
      <c r="H38" s="241" t="n"/>
      <c r="I38" s="242" t="n"/>
      <c r="J38" s="242" t="n"/>
      <c r="K38" s="233" t="n"/>
      <c r="L38" s="233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27" t="n"/>
      <c r="B39" s="228" t="n"/>
      <c r="C39" s="229" t="n"/>
      <c r="D39" s="229" t="n"/>
      <c r="E39" s="229" t="n"/>
      <c r="F39" s="230" t="n"/>
      <c r="G39" s="230" t="n"/>
      <c r="H39" s="231" t="n"/>
      <c r="I39" s="232" t="n"/>
      <c r="J39" s="232" t="n"/>
      <c r="K39" s="233" t="n"/>
      <c r="L39" s="233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37" t="n"/>
      <c r="B40" s="238" t="n"/>
      <c r="C40" s="239" t="n"/>
      <c r="D40" s="239" t="n"/>
      <c r="E40" s="239" t="n"/>
      <c r="F40" s="240" t="n"/>
      <c r="G40" s="240" t="n"/>
      <c r="H40" s="241" t="n"/>
      <c r="I40" s="242" t="n"/>
      <c r="J40" s="242" t="n"/>
      <c r="K40" s="233" t="n"/>
      <c r="L40" s="233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27" t="n"/>
      <c r="B41" s="228" t="n"/>
      <c r="C41" s="229" t="n"/>
      <c r="D41" s="229" t="n"/>
      <c r="E41" s="229" t="n"/>
      <c r="F41" s="230" t="n"/>
      <c r="G41" s="230" t="n"/>
      <c r="H41" s="231" t="n"/>
      <c r="I41" s="232" t="n"/>
      <c r="J41" s="232" t="n"/>
      <c r="K41" s="233" t="n"/>
      <c r="L41" s="233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37" t="n"/>
      <c r="B42" s="238" t="n"/>
      <c r="C42" s="239" t="n"/>
      <c r="D42" s="239" t="n"/>
      <c r="E42" s="239" t="n"/>
      <c r="F42" s="240" t="n"/>
      <c r="G42" s="240" t="n"/>
      <c r="H42" s="241" t="n"/>
      <c r="I42" s="242" t="n"/>
      <c r="J42" s="242" t="n"/>
      <c r="K42" s="233" t="n"/>
      <c r="L42" s="233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27" t="n"/>
      <c r="B43" s="228" t="n"/>
      <c r="C43" s="229" t="n"/>
      <c r="D43" s="229" t="n"/>
      <c r="E43" s="229" t="n"/>
      <c r="F43" s="230" t="n"/>
      <c r="G43" s="230" t="n"/>
      <c r="H43" s="231" t="n"/>
      <c r="I43" s="232" t="n"/>
      <c r="J43" s="232" t="n"/>
      <c r="K43" s="233" t="n"/>
      <c r="L43" s="233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37" t="n"/>
      <c r="B44" s="238" t="n"/>
      <c r="C44" s="239" t="n"/>
      <c r="D44" s="239" t="n"/>
      <c r="E44" s="239" t="n"/>
      <c r="F44" s="240" t="n"/>
      <c r="G44" s="240" t="n"/>
      <c r="H44" s="241" t="n"/>
      <c r="I44" s="242" t="n"/>
      <c r="J44" s="242" t="n"/>
      <c r="K44" s="233" t="n"/>
      <c r="L44" s="233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27" t="n"/>
      <c r="B45" s="228" t="n"/>
      <c r="C45" s="229" t="n"/>
      <c r="D45" s="229" t="n"/>
      <c r="E45" s="229" t="n"/>
      <c r="F45" s="230" t="n"/>
      <c r="G45" s="230" t="n"/>
      <c r="H45" s="231" t="n"/>
      <c r="I45" s="232" t="n"/>
      <c r="J45" s="232" t="n"/>
      <c r="K45" s="233" t="n"/>
      <c r="L45" s="233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37" t="n"/>
      <c r="B46" s="238" t="n"/>
      <c r="C46" s="239" t="n"/>
      <c r="D46" s="239" t="n"/>
      <c r="E46" s="239" t="n"/>
      <c r="F46" s="240" t="n"/>
      <c r="G46" s="240" t="n"/>
      <c r="H46" s="241" t="n"/>
      <c r="I46" s="242" t="n"/>
      <c r="J46" s="242" t="n"/>
      <c r="K46" s="233" t="n"/>
      <c r="L46" s="233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27" t="n"/>
      <c r="B47" s="228" t="n"/>
      <c r="C47" s="229" t="n"/>
      <c r="D47" s="229" t="n"/>
      <c r="E47" s="229" t="n"/>
      <c r="F47" s="230" t="n"/>
      <c r="G47" s="230" t="n"/>
      <c r="H47" s="231" t="n"/>
      <c r="I47" s="232" t="n"/>
      <c r="J47" s="232" t="n"/>
      <c r="K47" s="233" t="n"/>
      <c r="L47" s="233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37" t="n"/>
      <c r="B48" s="238" t="n"/>
      <c r="C48" s="239" t="n"/>
      <c r="D48" s="239" t="n"/>
      <c r="E48" s="239" t="n"/>
      <c r="F48" s="240" t="n"/>
      <c r="G48" s="240" t="n"/>
      <c r="H48" s="241" t="n"/>
      <c r="I48" s="242" t="n"/>
      <c r="J48" s="242" t="n"/>
      <c r="K48" s="233" t="n"/>
      <c r="L48" s="233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27" t="n"/>
      <c r="B49" s="228" t="n"/>
      <c r="C49" s="229" t="n"/>
      <c r="D49" s="229" t="n"/>
      <c r="E49" s="229" t="n"/>
      <c r="F49" s="230" t="n"/>
      <c r="G49" s="230" t="n"/>
      <c r="H49" s="231" t="n"/>
      <c r="I49" s="232" t="n"/>
      <c r="J49" s="232" t="n"/>
      <c r="K49" s="233" t="n"/>
      <c r="L49" s="233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37" t="n"/>
      <c r="B50" s="238" t="n"/>
      <c r="C50" s="239" t="n"/>
      <c r="D50" s="239" t="n"/>
      <c r="E50" s="239" t="n"/>
      <c r="F50" s="240" t="n"/>
      <c r="G50" s="240" t="n"/>
      <c r="H50" s="241" t="n"/>
      <c r="I50" s="242" t="n"/>
      <c r="J50" s="242" t="n"/>
      <c r="K50" s="233" t="n"/>
      <c r="L50" s="233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27" t="n"/>
      <c r="B51" s="228" t="n"/>
      <c r="C51" s="229" t="n"/>
      <c r="D51" s="229" t="n"/>
      <c r="E51" s="229" t="n"/>
      <c r="F51" s="230" t="n"/>
      <c r="G51" s="230" t="n"/>
      <c r="H51" s="231" t="n"/>
      <c r="I51" s="232" t="n"/>
      <c r="J51" s="232" t="n"/>
      <c r="K51" s="233" t="n"/>
      <c r="L51" s="233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37" t="n"/>
      <c r="B52" s="238" t="n"/>
      <c r="C52" s="239" t="n"/>
      <c r="D52" s="239" t="n"/>
      <c r="E52" s="239" t="n"/>
      <c r="F52" s="240" t="n"/>
      <c r="G52" s="240" t="n"/>
      <c r="H52" s="241" t="n"/>
      <c r="I52" s="242" t="n"/>
      <c r="J52" s="242" t="n"/>
      <c r="K52" s="233" t="n"/>
      <c r="L52" s="233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27" t="n"/>
      <c r="B53" s="228" t="n"/>
      <c r="C53" s="229" t="n"/>
      <c r="D53" s="229" t="n"/>
      <c r="E53" s="229" t="n"/>
      <c r="F53" s="230" t="n"/>
      <c r="G53" s="230" t="n"/>
      <c r="H53" s="231" t="n"/>
      <c r="I53" s="232" t="n"/>
      <c r="J53" s="232" t="n"/>
      <c r="K53" s="233" t="n"/>
      <c r="L53" s="233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37" t="n"/>
      <c r="B54" s="238" t="n"/>
      <c r="C54" s="239" t="n"/>
      <c r="D54" s="239" t="n"/>
      <c r="E54" s="239" t="n"/>
      <c r="F54" s="240" t="n"/>
      <c r="G54" s="240" t="n"/>
      <c r="H54" s="241" t="n"/>
      <c r="I54" s="242" t="n"/>
      <c r="J54" s="242" t="n"/>
      <c r="K54" s="233" t="n"/>
      <c r="L54" s="233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27" t="n"/>
      <c r="B55" s="228" t="n"/>
      <c r="C55" s="229" t="n"/>
      <c r="D55" s="229" t="n"/>
      <c r="E55" s="229" t="n"/>
      <c r="F55" s="230" t="n"/>
      <c r="G55" s="230" t="n"/>
      <c r="H55" s="231" t="n"/>
      <c r="I55" s="232" t="n"/>
      <c r="J55" s="232" t="n"/>
      <c r="K55" s="233" t="n"/>
      <c r="L55" s="233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37" t="n"/>
      <c r="B56" s="238" t="n"/>
      <c r="C56" s="239" t="n"/>
      <c r="D56" s="239" t="n"/>
      <c r="E56" s="239" t="n"/>
      <c r="F56" s="240" t="n"/>
      <c r="G56" s="240" t="n"/>
      <c r="H56" s="241" t="n"/>
      <c r="I56" s="242" t="n"/>
      <c r="J56" s="242" t="n"/>
      <c r="K56" s="233" t="n"/>
      <c r="L56" s="233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27" t="n"/>
      <c r="B57" s="228" t="n"/>
      <c r="C57" s="229" t="n"/>
      <c r="D57" s="229" t="n"/>
      <c r="E57" s="229" t="n"/>
      <c r="F57" s="230" t="n"/>
      <c r="G57" s="230" t="n"/>
      <c r="H57" s="231" t="n"/>
      <c r="I57" s="232" t="n"/>
      <c r="J57" s="232" t="n"/>
      <c r="K57" s="233" t="n"/>
      <c r="L57" s="233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37" t="n"/>
      <c r="B58" s="238" t="n"/>
      <c r="C58" s="239" t="n"/>
      <c r="D58" s="239" t="n"/>
      <c r="E58" s="239" t="n"/>
      <c r="F58" s="240" t="n"/>
      <c r="G58" s="240" t="n"/>
      <c r="H58" s="241" t="n"/>
      <c r="I58" s="242" t="n"/>
      <c r="J58" s="242" t="n"/>
      <c r="K58" s="233" t="n"/>
      <c r="L58" s="233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27" t="n"/>
      <c r="B59" s="228" t="n"/>
      <c r="C59" s="229" t="n"/>
      <c r="D59" s="229" t="n"/>
      <c r="E59" s="229" t="n"/>
      <c r="F59" s="230" t="n"/>
      <c r="G59" s="230" t="n"/>
      <c r="H59" s="231" t="n"/>
      <c r="I59" s="232" t="n"/>
      <c r="J59" s="232" t="n"/>
      <c r="K59" s="233" t="n"/>
      <c r="L59" s="233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37" t="n"/>
      <c r="B60" s="238" t="n"/>
      <c r="C60" s="239" t="n"/>
      <c r="D60" s="239" t="n"/>
      <c r="E60" s="239" t="n"/>
      <c r="F60" s="240" t="n"/>
      <c r="G60" s="240" t="n"/>
      <c r="H60" s="241" t="n"/>
      <c r="I60" s="242" t="n"/>
      <c r="J60" s="242" t="n"/>
      <c r="K60" s="233" t="n"/>
      <c r="L60" s="233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27" t="n"/>
      <c r="B61" s="228" t="n"/>
      <c r="C61" s="229" t="n"/>
      <c r="D61" s="229" t="n"/>
      <c r="E61" s="229" t="n"/>
      <c r="F61" s="230" t="n"/>
      <c r="G61" s="230" t="n"/>
      <c r="H61" s="231" t="n"/>
      <c r="I61" s="232" t="n"/>
      <c r="J61" s="232" t="n"/>
      <c r="K61" s="233" t="n"/>
      <c r="L61" s="233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37" t="n"/>
      <c r="B62" s="238" t="n"/>
      <c r="C62" s="239" t="n"/>
      <c r="D62" s="239" t="n"/>
      <c r="E62" s="239" t="n"/>
      <c r="F62" s="240" t="n"/>
      <c r="G62" s="240" t="n"/>
      <c r="H62" s="241" t="n"/>
      <c r="I62" s="242" t="n"/>
      <c r="J62" s="242" t="n"/>
      <c r="K62" s="233" t="n"/>
      <c r="L62" s="233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27" t="n"/>
      <c r="B63" s="228" t="n"/>
      <c r="C63" s="229" t="n"/>
      <c r="D63" s="229" t="n"/>
      <c r="E63" s="229" t="n"/>
      <c r="F63" s="230" t="n"/>
      <c r="G63" s="230" t="n"/>
      <c r="H63" s="231" t="n"/>
      <c r="I63" s="232" t="n"/>
      <c r="J63" s="232" t="n"/>
      <c r="K63" s="233" t="n"/>
      <c r="L63" s="233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37" t="n"/>
      <c r="B64" s="238" t="n"/>
      <c r="C64" s="239" t="n"/>
      <c r="D64" s="239" t="n"/>
      <c r="E64" s="239" t="n"/>
      <c r="F64" s="240" t="n"/>
      <c r="G64" s="240" t="n"/>
      <c r="H64" s="241" t="n"/>
      <c r="I64" s="242" t="n"/>
      <c r="J64" s="242" t="n"/>
      <c r="K64" s="233" t="n"/>
      <c r="L64" s="233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27" t="n"/>
      <c r="B65" s="228" t="n"/>
      <c r="C65" s="229" t="n"/>
      <c r="D65" s="229" t="n"/>
      <c r="E65" s="229" t="n"/>
      <c r="F65" s="230" t="n"/>
      <c r="G65" s="230" t="n"/>
      <c r="H65" s="231" t="n"/>
      <c r="I65" s="232" t="n"/>
      <c r="J65" s="232" t="n"/>
      <c r="K65" s="233" t="n"/>
      <c r="L65" s="233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37" t="n"/>
      <c r="B66" s="238" t="n"/>
      <c r="C66" s="239" t="n"/>
      <c r="D66" s="239" t="n"/>
      <c r="E66" s="239" t="n"/>
      <c r="F66" s="240" t="n"/>
      <c r="G66" s="240" t="n"/>
      <c r="H66" s="241" t="n"/>
      <c r="I66" s="242" t="n"/>
      <c r="J66" s="242" t="n"/>
      <c r="K66" s="233" t="n"/>
      <c r="L66" s="233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27" t="n"/>
      <c r="B67" s="228" t="n"/>
      <c r="C67" s="229" t="n"/>
      <c r="D67" s="229" t="n"/>
      <c r="E67" s="229" t="n"/>
      <c r="F67" s="230" t="n"/>
      <c r="G67" s="230" t="n"/>
      <c r="H67" s="231" t="n"/>
      <c r="I67" s="232" t="n"/>
      <c r="J67" s="232" t="n"/>
      <c r="K67" s="233" t="n"/>
      <c r="L67" s="233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37" t="n"/>
      <c r="B68" s="238" t="n"/>
      <c r="C68" s="239" t="n"/>
      <c r="D68" s="239" t="n"/>
      <c r="E68" s="239" t="n"/>
      <c r="F68" s="240" t="n"/>
      <c r="G68" s="240" t="n"/>
      <c r="H68" s="241" t="n"/>
      <c r="I68" s="242" t="n"/>
      <c r="J68" s="242" t="n"/>
      <c r="K68" s="233" t="n"/>
      <c r="L68" s="233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27" t="n"/>
      <c r="B69" s="228" t="n"/>
      <c r="C69" s="229" t="n"/>
      <c r="D69" s="229" t="n"/>
      <c r="E69" s="229" t="n"/>
      <c r="F69" s="230" t="n"/>
      <c r="G69" s="230" t="n"/>
      <c r="H69" s="231" t="n"/>
      <c r="I69" s="232" t="n"/>
      <c r="J69" s="232" t="n"/>
      <c r="K69" s="233" t="n"/>
      <c r="L69" s="233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37" t="n"/>
      <c r="B70" s="238" t="n"/>
      <c r="C70" s="239" t="n"/>
      <c r="D70" s="239" t="n"/>
      <c r="E70" s="239" t="n"/>
      <c r="F70" s="240" t="n"/>
      <c r="G70" s="240" t="n"/>
      <c r="H70" s="241" t="n"/>
      <c r="I70" s="242" t="n"/>
      <c r="J70" s="242" t="n"/>
      <c r="K70" s="233" t="n"/>
      <c r="L70" s="233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27" t="n"/>
      <c r="B71" s="228" t="n"/>
      <c r="C71" s="229" t="n"/>
      <c r="D71" s="229" t="n"/>
      <c r="E71" s="229" t="n"/>
      <c r="F71" s="230" t="n"/>
      <c r="G71" s="230" t="n"/>
      <c r="H71" s="231" t="n"/>
      <c r="I71" s="232" t="n"/>
      <c r="J71" s="232" t="n"/>
      <c r="K71" s="233" t="n"/>
      <c r="L71" s="233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37" t="n"/>
      <c r="B72" s="238" t="n"/>
      <c r="C72" s="239" t="n"/>
      <c r="D72" s="239" t="n"/>
      <c r="E72" s="239" t="n"/>
      <c r="F72" s="240" t="n"/>
      <c r="G72" s="240" t="n"/>
      <c r="H72" s="241" t="n"/>
      <c r="I72" s="242" t="n"/>
      <c r="J72" s="242" t="n"/>
      <c r="K72" s="233" t="n"/>
      <c r="L72" s="233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27" t="n"/>
      <c r="B73" s="228" t="n"/>
      <c r="C73" s="229" t="n"/>
      <c r="D73" s="229" t="n"/>
      <c r="E73" s="229" t="n"/>
      <c r="F73" s="230" t="n"/>
      <c r="G73" s="230" t="n"/>
      <c r="H73" s="231" t="n"/>
      <c r="I73" s="232" t="n"/>
      <c r="J73" s="232" t="n"/>
      <c r="K73" s="233" t="n"/>
      <c r="L73" s="233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37" t="n"/>
      <c r="B74" s="238" t="n"/>
      <c r="C74" s="239" t="n"/>
      <c r="D74" s="239" t="n"/>
      <c r="E74" s="239" t="n"/>
      <c r="F74" s="240" t="n"/>
      <c r="G74" s="240" t="n"/>
      <c r="H74" s="241" t="n"/>
      <c r="I74" s="242" t="n"/>
      <c r="J74" s="242" t="n"/>
      <c r="K74" s="233" t="n"/>
      <c r="L74" s="233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27" t="n"/>
      <c r="B75" s="228" t="n"/>
      <c r="C75" s="229" t="n"/>
      <c r="D75" s="229" t="n"/>
      <c r="E75" s="229" t="n"/>
      <c r="F75" s="230" t="n"/>
      <c r="G75" s="230" t="n"/>
      <c r="H75" s="231" t="n"/>
      <c r="I75" s="232" t="n"/>
      <c r="J75" s="232" t="n"/>
      <c r="K75" s="233" t="n"/>
      <c r="L75" s="233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37" t="n"/>
      <c r="B76" s="238" t="n"/>
      <c r="C76" s="239" t="n"/>
      <c r="D76" s="239" t="n"/>
      <c r="E76" s="239" t="n"/>
      <c r="F76" s="240" t="n"/>
      <c r="G76" s="240" t="n"/>
      <c r="H76" s="241" t="n"/>
      <c r="I76" s="242" t="n"/>
      <c r="J76" s="242" t="n"/>
      <c r="K76" s="233" t="n"/>
      <c r="L76" s="233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27" t="n"/>
      <c r="B77" s="228" t="n"/>
      <c r="C77" s="229" t="n"/>
      <c r="D77" s="229" t="n"/>
      <c r="E77" s="229" t="n"/>
      <c r="F77" s="230" t="n"/>
      <c r="G77" s="230" t="n"/>
      <c r="H77" s="231" t="n"/>
      <c r="I77" s="232" t="n"/>
      <c r="J77" s="232" t="n"/>
      <c r="K77" s="233" t="n"/>
      <c r="L77" s="233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37" t="n"/>
      <c r="B78" s="238" t="n"/>
      <c r="C78" s="239" t="n"/>
      <c r="D78" s="239" t="n"/>
      <c r="E78" s="239" t="n"/>
      <c r="F78" s="240" t="n"/>
      <c r="G78" s="240" t="n"/>
      <c r="H78" s="241" t="n"/>
      <c r="I78" s="242" t="n"/>
      <c r="J78" s="242" t="n"/>
      <c r="K78" s="233" t="n"/>
      <c r="L78" s="233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27" t="n"/>
      <c r="B79" s="228" t="n"/>
      <c r="C79" s="229" t="n"/>
      <c r="D79" s="229" t="n"/>
      <c r="E79" s="229" t="n"/>
      <c r="F79" s="230" t="n"/>
      <c r="G79" s="230" t="n"/>
      <c r="H79" s="231" t="n"/>
      <c r="I79" s="232" t="n"/>
      <c r="J79" s="232" t="n"/>
      <c r="K79" s="233" t="n"/>
      <c r="L79" s="233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37" t="n"/>
      <c r="B80" s="238" t="n"/>
      <c r="C80" s="239" t="n"/>
      <c r="D80" s="239" t="n"/>
      <c r="E80" s="239" t="n"/>
      <c r="F80" s="240" t="n"/>
      <c r="G80" s="240" t="n"/>
      <c r="H80" s="241" t="n"/>
      <c r="I80" s="242" t="n"/>
      <c r="J80" s="242" t="n"/>
      <c r="K80" s="233" t="n"/>
      <c r="L80" s="233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27" t="n"/>
      <c r="B81" s="228" t="n"/>
      <c r="C81" s="229" t="n"/>
      <c r="D81" s="229" t="n"/>
      <c r="E81" s="229" t="n"/>
      <c r="F81" s="230" t="n"/>
      <c r="G81" s="230" t="n"/>
      <c r="H81" s="231" t="n"/>
      <c r="I81" s="232" t="n"/>
      <c r="J81" s="232" t="n"/>
      <c r="K81" s="233" t="n"/>
      <c r="L81" s="233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37" t="n"/>
      <c r="B82" s="238" t="n"/>
      <c r="C82" s="239" t="n"/>
      <c r="D82" s="239" t="n"/>
      <c r="E82" s="239" t="n"/>
      <c r="F82" s="240" t="n"/>
      <c r="G82" s="240" t="n"/>
      <c r="H82" s="241" t="n"/>
      <c r="I82" s="242" t="n"/>
      <c r="J82" s="242" t="n"/>
      <c r="K82" s="233" t="n"/>
      <c r="L82" s="233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27" t="n"/>
      <c r="B83" s="228" t="n"/>
      <c r="C83" s="229" t="n"/>
      <c r="D83" s="229" t="n"/>
      <c r="E83" s="229" t="n"/>
      <c r="F83" s="230" t="n"/>
      <c r="G83" s="230" t="n"/>
      <c r="H83" s="231" t="n"/>
      <c r="I83" s="232" t="n"/>
      <c r="J83" s="232" t="n"/>
      <c r="K83" s="233" t="n"/>
      <c r="L83" s="233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37" t="n"/>
      <c r="B84" s="238" t="n"/>
      <c r="C84" s="239" t="n"/>
      <c r="D84" s="239" t="n"/>
      <c r="E84" s="239" t="n"/>
      <c r="F84" s="240" t="n"/>
      <c r="G84" s="240" t="n"/>
      <c r="H84" s="241" t="n"/>
      <c r="I84" s="242" t="n"/>
      <c r="J84" s="242" t="n"/>
      <c r="K84" s="233" t="n"/>
      <c r="L84" s="233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27" t="n"/>
      <c r="B85" s="228" t="n"/>
      <c r="C85" s="229" t="n"/>
      <c r="D85" s="229" t="n"/>
      <c r="E85" s="229" t="n"/>
      <c r="F85" s="230" t="n"/>
      <c r="G85" s="230" t="n"/>
      <c r="H85" s="231" t="n"/>
      <c r="I85" s="232" t="n"/>
      <c r="J85" s="232" t="n"/>
      <c r="K85" s="233" t="n"/>
      <c r="L85" s="233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37" t="n"/>
      <c r="B86" s="238" t="n"/>
      <c r="C86" s="239" t="n"/>
      <c r="D86" s="239" t="n"/>
      <c r="E86" s="239" t="n"/>
      <c r="F86" s="240" t="n"/>
      <c r="G86" s="240" t="n"/>
      <c r="H86" s="241" t="n"/>
      <c r="I86" s="242" t="n"/>
      <c r="J86" s="242" t="n"/>
      <c r="K86" s="233" t="n"/>
      <c r="L86" s="233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27" t="n"/>
      <c r="B87" s="228" t="n"/>
      <c r="C87" s="229" t="n"/>
      <c r="D87" s="229" t="n"/>
      <c r="E87" s="229" t="n"/>
      <c r="F87" s="230" t="n"/>
      <c r="G87" s="230" t="n"/>
      <c r="H87" s="231" t="n"/>
      <c r="I87" s="232" t="n"/>
      <c r="J87" s="232" t="n"/>
      <c r="K87" s="233" t="n"/>
      <c r="L87" s="233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37" t="n"/>
      <c r="B88" s="238" t="n"/>
      <c r="C88" s="239" t="n"/>
      <c r="D88" s="239" t="n"/>
      <c r="E88" s="239" t="n"/>
      <c r="F88" s="240" t="n"/>
      <c r="G88" s="240" t="n"/>
      <c r="H88" s="241" t="n"/>
      <c r="I88" s="242" t="n"/>
      <c r="J88" s="242" t="n"/>
      <c r="K88" s="233" t="n"/>
      <c r="L88" s="233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27" t="n"/>
      <c r="B89" s="228" t="n"/>
      <c r="C89" s="229" t="n"/>
      <c r="D89" s="229" t="n"/>
      <c r="E89" s="229" t="n"/>
      <c r="F89" s="230" t="n"/>
      <c r="G89" s="230" t="n"/>
      <c r="H89" s="231" t="n"/>
      <c r="I89" s="232" t="n"/>
      <c r="J89" s="232" t="n"/>
      <c r="K89" s="233" t="n"/>
      <c r="L89" s="233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37" t="n"/>
      <c r="B90" s="238" t="n"/>
      <c r="C90" s="239" t="n"/>
      <c r="D90" s="239" t="n"/>
      <c r="E90" s="239" t="n"/>
      <c r="F90" s="240" t="n"/>
      <c r="G90" s="240" t="n"/>
      <c r="H90" s="241" t="n"/>
      <c r="I90" s="242" t="n"/>
      <c r="J90" s="242" t="n"/>
      <c r="K90" s="233" t="n"/>
      <c r="L90" s="233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27" t="n"/>
      <c r="B91" s="228" t="n"/>
      <c r="C91" s="229" t="n"/>
      <c r="D91" s="229" t="n"/>
      <c r="E91" s="229" t="n"/>
      <c r="F91" s="230" t="n"/>
      <c r="G91" s="230" t="n"/>
      <c r="H91" s="231" t="n"/>
      <c r="I91" s="232" t="n"/>
      <c r="J91" s="232" t="n"/>
      <c r="K91" s="233" t="n"/>
      <c r="L91" s="233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37" t="n"/>
      <c r="B92" s="238" t="n"/>
      <c r="C92" s="239" t="n"/>
      <c r="D92" s="239" t="n"/>
      <c r="E92" s="239" t="n"/>
      <c r="F92" s="240" t="n"/>
      <c r="G92" s="240" t="n"/>
      <c r="H92" s="241" t="n"/>
      <c r="I92" s="242" t="n"/>
      <c r="J92" s="242" t="n"/>
      <c r="K92" s="233" t="n"/>
      <c r="L92" s="233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27" t="n"/>
      <c r="B93" s="228" t="n"/>
      <c r="C93" s="229" t="n"/>
      <c r="D93" s="229" t="n"/>
      <c r="E93" s="229" t="n"/>
      <c r="F93" s="230" t="n"/>
      <c r="G93" s="230" t="n"/>
      <c r="H93" s="231" t="n"/>
      <c r="I93" s="232" t="n"/>
      <c r="J93" s="232" t="n"/>
      <c r="K93" s="233" t="n"/>
      <c r="L93" s="233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37" t="n"/>
      <c r="B94" s="238" t="n"/>
      <c r="C94" s="239" t="n"/>
      <c r="D94" s="239" t="n"/>
      <c r="E94" s="239" t="n"/>
      <c r="F94" s="240" t="n"/>
      <c r="G94" s="240" t="n"/>
      <c r="H94" s="241" t="n"/>
      <c r="I94" s="242" t="n"/>
      <c r="J94" s="242" t="n"/>
      <c r="K94" s="233" t="n"/>
      <c r="L94" s="233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27" t="n"/>
      <c r="B95" s="228" t="n"/>
      <c r="C95" s="229" t="n"/>
      <c r="D95" s="229" t="n"/>
      <c r="E95" s="229" t="n"/>
      <c r="F95" s="230" t="n"/>
      <c r="G95" s="230" t="n"/>
      <c r="H95" s="231" t="n"/>
      <c r="I95" s="232" t="n"/>
      <c r="J95" s="232" t="n"/>
      <c r="K95" s="233" t="n"/>
      <c r="L95" s="233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37" t="n"/>
      <c r="B96" s="238" t="n"/>
      <c r="C96" s="239" t="n"/>
      <c r="D96" s="239" t="n"/>
      <c r="E96" s="239" t="n"/>
      <c r="F96" s="240" t="n"/>
      <c r="G96" s="240" t="n"/>
      <c r="H96" s="241" t="n"/>
      <c r="I96" s="242" t="n"/>
      <c r="J96" s="242" t="n"/>
      <c r="K96" s="233" t="n"/>
      <c r="L96" s="233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27" t="n"/>
      <c r="B97" s="228" t="n"/>
      <c r="C97" s="229" t="n"/>
      <c r="D97" s="229" t="n"/>
      <c r="E97" s="229" t="n"/>
      <c r="F97" s="230" t="n"/>
      <c r="G97" s="230" t="n"/>
      <c r="H97" s="231" t="n"/>
      <c r="I97" s="232" t="n"/>
      <c r="J97" s="232" t="n"/>
      <c r="K97" s="233" t="n"/>
      <c r="L97" s="233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37" t="n"/>
      <c r="B98" s="238" t="n"/>
      <c r="C98" s="239" t="n"/>
      <c r="D98" s="239" t="n"/>
      <c r="E98" s="239" t="n"/>
      <c r="F98" s="240" t="n"/>
      <c r="G98" s="240" t="n"/>
      <c r="H98" s="241" t="n"/>
      <c r="I98" s="242" t="n"/>
      <c r="J98" s="242" t="n"/>
      <c r="K98" s="233" t="n"/>
      <c r="L98" s="233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27" t="n"/>
      <c r="B99" s="228" t="n"/>
      <c r="C99" s="229" t="n"/>
      <c r="D99" s="229" t="n"/>
      <c r="E99" s="229" t="n"/>
      <c r="F99" s="230" t="n"/>
      <c r="G99" s="230" t="n"/>
      <c r="H99" s="231" t="n"/>
      <c r="I99" s="232" t="n"/>
      <c r="J99" s="232" t="n"/>
      <c r="K99" s="233" t="n"/>
      <c r="L99" s="233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37" t="n"/>
      <c r="B100" s="238" t="n"/>
      <c r="C100" s="239" t="n"/>
      <c r="D100" s="239" t="n"/>
      <c r="E100" s="239" t="n"/>
      <c r="F100" s="240" t="n"/>
      <c r="G100" s="240" t="n"/>
      <c r="H100" s="241" t="n"/>
      <c r="I100" s="242" t="n"/>
      <c r="J100" s="242" t="n"/>
      <c r="K100" s="233" t="n"/>
      <c r="L100" s="233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27" t="n"/>
      <c r="B101" s="228" t="n"/>
      <c r="C101" s="229" t="n"/>
      <c r="D101" s="229" t="n"/>
      <c r="E101" s="229" t="n"/>
      <c r="F101" s="230" t="n"/>
      <c r="G101" s="230" t="n"/>
      <c r="H101" s="231" t="n"/>
      <c r="I101" s="232" t="n"/>
      <c r="J101" s="232" t="n"/>
      <c r="K101" s="233" t="n"/>
      <c r="L101" s="233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37" t="n"/>
      <c r="B102" s="238" t="n"/>
      <c r="C102" s="239" t="n"/>
      <c r="D102" s="239" t="n"/>
      <c r="E102" s="239" t="n"/>
      <c r="F102" s="240" t="n"/>
      <c r="G102" s="240" t="n"/>
      <c r="H102" s="241" t="n"/>
      <c r="I102" s="242" t="n"/>
      <c r="J102" s="242" t="n"/>
      <c r="K102" s="233" t="n"/>
      <c r="L102" s="233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27" t="n"/>
      <c r="B103" s="228" t="n"/>
      <c r="C103" s="229" t="n"/>
      <c r="D103" s="229" t="n"/>
      <c r="E103" s="229" t="n"/>
      <c r="F103" s="230" t="n"/>
      <c r="G103" s="230" t="n"/>
      <c r="H103" s="231" t="n"/>
      <c r="I103" s="232" t="n"/>
      <c r="J103" s="232" t="n"/>
      <c r="K103" s="233" t="n"/>
      <c r="L103" s="233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37" t="n"/>
      <c r="B104" s="238" t="n"/>
      <c r="C104" s="239" t="n"/>
      <c r="D104" s="239" t="n"/>
      <c r="E104" s="239" t="n"/>
      <c r="F104" s="240" t="n"/>
      <c r="G104" s="240" t="n"/>
      <c r="H104" s="241" t="n"/>
      <c r="I104" s="242" t="n"/>
      <c r="J104" s="242" t="n"/>
      <c r="K104" s="233" t="n"/>
      <c r="L104" s="233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27" t="n"/>
      <c r="B105" s="228" t="n"/>
      <c r="C105" s="229" t="n"/>
      <c r="D105" s="229" t="n"/>
      <c r="E105" s="229" t="n"/>
      <c r="F105" s="230" t="n"/>
      <c r="G105" s="230" t="n"/>
      <c r="H105" s="231" t="n"/>
      <c r="I105" s="232" t="n"/>
      <c r="J105" s="232" t="n"/>
      <c r="K105" s="233" t="n"/>
      <c r="L105" s="233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37" t="n"/>
      <c r="B106" s="238" t="n"/>
      <c r="C106" s="239" t="n"/>
      <c r="D106" s="239" t="n"/>
      <c r="E106" s="239" t="n"/>
      <c r="F106" s="240" t="n"/>
      <c r="G106" s="240" t="n"/>
      <c r="H106" s="241" t="n"/>
      <c r="I106" s="242" t="n"/>
      <c r="J106" s="242" t="n"/>
      <c r="K106" s="233" t="n"/>
      <c r="L106" s="233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27" t="n"/>
      <c r="B107" s="228" t="n"/>
      <c r="C107" s="229" t="n"/>
      <c r="D107" s="229" t="n"/>
      <c r="E107" s="229" t="n"/>
      <c r="F107" s="230" t="n"/>
      <c r="G107" s="230" t="n"/>
      <c r="H107" s="231" t="n"/>
      <c r="I107" s="232" t="n"/>
      <c r="J107" s="232" t="n"/>
      <c r="K107" s="233" t="n"/>
      <c r="L107" s="233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37" t="n"/>
      <c r="B108" s="238" t="n"/>
      <c r="C108" s="239" t="n"/>
      <c r="D108" s="239" t="n"/>
      <c r="E108" s="239" t="n"/>
      <c r="F108" s="240" t="n"/>
      <c r="G108" s="240" t="n"/>
      <c r="H108" s="241" t="n"/>
      <c r="I108" s="242" t="n"/>
      <c r="J108" s="242" t="n"/>
      <c r="K108" s="233" t="n"/>
      <c r="L108" s="233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27" t="n"/>
      <c r="B109" s="228" t="n"/>
      <c r="C109" s="229" t="n"/>
      <c r="D109" s="229" t="n"/>
      <c r="E109" s="229" t="n"/>
      <c r="F109" s="230" t="n"/>
      <c r="G109" s="230" t="n"/>
      <c r="H109" s="231" t="n"/>
      <c r="I109" s="232" t="n"/>
      <c r="J109" s="232" t="n"/>
      <c r="K109" s="233" t="n"/>
      <c r="L109" s="233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37" t="n"/>
      <c r="B110" s="238" t="n"/>
      <c r="C110" s="239" t="n"/>
      <c r="D110" s="239" t="n"/>
      <c r="E110" s="239" t="n"/>
      <c r="F110" s="240" t="n"/>
      <c r="G110" s="240" t="n"/>
      <c r="H110" s="241" t="n"/>
      <c r="I110" s="242" t="n"/>
      <c r="J110" s="242" t="n"/>
      <c r="K110" s="233" t="n"/>
      <c r="L110" s="233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27" t="n"/>
      <c r="B111" s="228" t="n"/>
      <c r="C111" s="229" t="n"/>
      <c r="D111" s="229" t="n"/>
      <c r="E111" s="229" t="n"/>
      <c r="F111" s="230" t="n"/>
      <c r="G111" s="230" t="n"/>
      <c r="H111" s="231" t="n"/>
      <c r="I111" s="232" t="n"/>
      <c r="J111" s="232" t="n"/>
      <c r="K111" s="233" t="n"/>
      <c r="L111" s="233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37" t="n"/>
      <c r="B112" s="238" t="n"/>
      <c r="C112" s="239" t="n"/>
      <c r="D112" s="239" t="n"/>
      <c r="E112" s="239" t="n"/>
      <c r="F112" s="240" t="n"/>
      <c r="G112" s="240" t="n"/>
      <c r="H112" s="241" t="n"/>
      <c r="I112" s="242" t="n"/>
      <c r="J112" s="242" t="n"/>
      <c r="K112" s="233" t="n"/>
      <c r="L112" s="233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27" t="n"/>
      <c r="B113" s="228" t="n"/>
      <c r="C113" s="229" t="n"/>
      <c r="D113" s="229" t="n"/>
      <c r="E113" s="229" t="n"/>
      <c r="F113" s="230" t="n"/>
      <c r="G113" s="230" t="n"/>
      <c r="H113" s="231" t="n"/>
      <c r="I113" s="232" t="n"/>
      <c r="J113" s="232" t="n"/>
      <c r="K113" s="233" t="n"/>
      <c r="L113" s="233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37" t="n"/>
      <c r="B114" s="238" t="n"/>
      <c r="C114" s="239" t="n"/>
      <c r="D114" s="239" t="n"/>
      <c r="E114" s="239" t="n"/>
      <c r="F114" s="240" t="n"/>
      <c r="G114" s="240" t="n"/>
      <c r="H114" s="241" t="n"/>
      <c r="I114" s="242" t="n"/>
      <c r="J114" s="242" t="n"/>
      <c r="K114" s="233" t="n"/>
      <c r="L114" s="233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27" t="n"/>
      <c r="B115" s="228" t="n"/>
      <c r="C115" s="229" t="n"/>
      <c r="D115" s="229" t="n"/>
      <c r="E115" s="229" t="n"/>
      <c r="F115" s="230" t="n"/>
      <c r="G115" s="230" t="n"/>
      <c r="H115" s="231" t="n"/>
      <c r="I115" s="232" t="n"/>
      <c r="J115" s="232" t="n"/>
      <c r="K115" s="233" t="n"/>
      <c r="L115" s="233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37" t="n"/>
      <c r="B116" s="238" t="n"/>
      <c r="C116" s="239" t="n"/>
      <c r="D116" s="239" t="n"/>
      <c r="E116" s="239" t="n"/>
      <c r="F116" s="240" t="n"/>
      <c r="G116" s="240" t="n"/>
      <c r="H116" s="241" t="n"/>
      <c r="I116" s="242" t="n"/>
      <c r="J116" s="242" t="n"/>
      <c r="K116" s="233" t="n"/>
      <c r="L116" s="233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27" t="n"/>
      <c r="B117" s="228" t="n"/>
      <c r="C117" s="229" t="n"/>
      <c r="D117" s="229" t="n"/>
      <c r="E117" s="229" t="n"/>
      <c r="F117" s="230" t="n"/>
      <c r="G117" s="230" t="n"/>
      <c r="H117" s="231" t="n"/>
      <c r="I117" s="232" t="n"/>
      <c r="J117" s="232" t="n"/>
      <c r="K117" s="233" t="n"/>
      <c r="L117" s="233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37" t="n"/>
      <c r="B118" s="238" t="n"/>
      <c r="C118" s="239" t="n"/>
      <c r="D118" s="239" t="n"/>
      <c r="E118" s="239" t="n"/>
      <c r="F118" s="240" t="n"/>
      <c r="G118" s="240" t="n"/>
      <c r="H118" s="241" t="n"/>
      <c r="I118" s="242" t="n"/>
      <c r="J118" s="242" t="n"/>
      <c r="K118" s="233" t="n"/>
      <c r="L118" s="233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27" t="n"/>
      <c r="B119" s="228" t="n"/>
      <c r="C119" s="229" t="n"/>
      <c r="D119" s="229" t="n"/>
      <c r="E119" s="229" t="n"/>
      <c r="F119" s="230" t="n"/>
      <c r="G119" s="230" t="n"/>
      <c r="H119" s="231" t="n"/>
      <c r="I119" s="232" t="n"/>
      <c r="J119" s="232" t="n"/>
      <c r="K119" s="233" t="n"/>
      <c r="L119" s="233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37" t="n"/>
      <c r="B120" s="238" t="n"/>
      <c r="C120" s="239" t="n"/>
      <c r="D120" s="239" t="n"/>
      <c r="E120" s="239" t="n"/>
      <c r="F120" s="240" t="n"/>
      <c r="G120" s="240" t="n"/>
      <c r="H120" s="241" t="n"/>
      <c r="I120" s="242" t="n"/>
      <c r="J120" s="242" t="n"/>
      <c r="K120" s="233" t="n"/>
      <c r="L120" s="233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27" t="n"/>
      <c r="B121" s="228" t="n"/>
      <c r="C121" s="229" t="n"/>
      <c r="D121" s="229" t="n"/>
      <c r="E121" s="229" t="n"/>
      <c r="F121" s="230" t="n"/>
      <c r="G121" s="230" t="n"/>
      <c r="H121" s="231" t="n"/>
      <c r="I121" s="232" t="n"/>
      <c r="J121" s="232" t="n"/>
      <c r="K121" s="233" t="n"/>
      <c r="L121" s="233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37" t="n"/>
      <c r="B122" s="238" t="n"/>
      <c r="C122" s="239" t="n"/>
      <c r="D122" s="239" t="n"/>
      <c r="E122" s="239" t="n"/>
      <c r="F122" s="240" t="n"/>
      <c r="G122" s="240" t="n"/>
      <c r="H122" s="241" t="n"/>
      <c r="I122" s="242" t="n"/>
      <c r="J122" s="242" t="n"/>
      <c r="K122" s="233" t="n"/>
      <c r="L122" s="233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27" t="n"/>
      <c r="B123" s="228" t="n"/>
      <c r="C123" s="229" t="n"/>
      <c r="D123" s="229" t="n"/>
      <c r="E123" s="229" t="n"/>
      <c r="F123" s="230" t="n"/>
      <c r="G123" s="230" t="n"/>
      <c r="H123" s="231" t="n"/>
      <c r="I123" s="232" t="n"/>
      <c r="J123" s="232" t="n"/>
      <c r="K123" s="233" t="n"/>
      <c r="L123" s="233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37" t="n"/>
      <c r="B124" s="238" t="n"/>
      <c r="C124" s="239" t="n"/>
      <c r="D124" s="239" t="n"/>
      <c r="E124" s="239" t="n"/>
      <c r="F124" s="240" t="n"/>
      <c r="G124" s="240" t="n"/>
      <c r="H124" s="241" t="n"/>
      <c r="I124" s="242" t="n"/>
      <c r="J124" s="242" t="n"/>
      <c r="K124" s="233" t="n"/>
      <c r="L124" s="233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27" t="n"/>
      <c r="B125" s="228" t="n"/>
      <c r="C125" s="229" t="n"/>
      <c r="D125" s="229" t="n"/>
      <c r="E125" s="229" t="n"/>
      <c r="F125" s="230" t="n"/>
      <c r="G125" s="230" t="n"/>
      <c r="H125" s="231" t="n"/>
      <c r="I125" s="232" t="n"/>
      <c r="J125" s="232" t="n"/>
      <c r="K125" s="233" t="n"/>
      <c r="L125" s="233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37" t="n"/>
      <c r="B126" s="238" t="n"/>
      <c r="C126" s="239" t="n"/>
      <c r="D126" s="239" t="n"/>
      <c r="E126" s="239" t="n"/>
      <c r="F126" s="240" t="n"/>
      <c r="G126" s="240" t="n"/>
      <c r="H126" s="241" t="n"/>
      <c r="I126" s="242" t="n"/>
      <c r="J126" s="242" t="n"/>
      <c r="K126" s="233" t="n"/>
      <c r="L126" s="233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27" t="n"/>
      <c r="B127" s="228" t="n"/>
      <c r="C127" s="229" t="n"/>
      <c r="D127" s="229" t="n"/>
      <c r="E127" s="229" t="n"/>
      <c r="F127" s="230" t="n"/>
      <c r="G127" s="230" t="n"/>
      <c r="H127" s="231" t="n"/>
      <c r="I127" s="232" t="n"/>
      <c r="J127" s="232" t="n"/>
      <c r="K127" s="233" t="n"/>
      <c r="L127" s="233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37" t="n"/>
      <c r="B128" s="238" t="n"/>
      <c r="C128" s="239" t="n"/>
      <c r="D128" s="239" t="n"/>
      <c r="E128" s="239" t="n"/>
      <c r="F128" s="240" t="n"/>
      <c r="G128" s="240" t="n"/>
      <c r="H128" s="241" t="n"/>
      <c r="I128" s="242" t="n"/>
      <c r="J128" s="242" t="n"/>
      <c r="K128" s="233" t="n"/>
      <c r="L128" s="233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27" t="n"/>
      <c r="B129" s="228" t="n"/>
      <c r="C129" s="229" t="n"/>
      <c r="D129" s="229" t="n"/>
      <c r="E129" s="229" t="n"/>
      <c r="F129" s="230" t="n"/>
      <c r="G129" s="230" t="n"/>
      <c r="H129" s="231" t="n"/>
      <c r="I129" s="232" t="n"/>
      <c r="J129" s="232" t="n"/>
      <c r="K129" s="233" t="n"/>
      <c r="L129" s="233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37" t="n"/>
      <c r="B130" s="238" t="n"/>
      <c r="C130" s="239" t="n"/>
      <c r="D130" s="239" t="n"/>
      <c r="E130" s="239" t="n"/>
      <c r="F130" s="240" t="n"/>
      <c r="G130" s="240" t="n"/>
      <c r="H130" s="241" t="n"/>
      <c r="I130" s="242" t="n"/>
      <c r="J130" s="242" t="n"/>
      <c r="K130" s="233" t="n"/>
      <c r="L130" s="233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27" t="n"/>
      <c r="B131" s="228" t="n"/>
      <c r="C131" s="229" t="n"/>
      <c r="D131" s="229" t="n"/>
      <c r="E131" s="229" t="n"/>
      <c r="F131" s="230" t="n"/>
      <c r="G131" s="230" t="n"/>
      <c r="H131" s="231" t="n"/>
      <c r="I131" s="232" t="n"/>
      <c r="J131" s="232" t="n"/>
      <c r="K131" s="233" t="n"/>
      <c r="L131" s="233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37" t="n"/>
      <c r="B132" s="238" t="n"/>
      <c r="C132" s="239" t="n"/>
      <c r="D132" s="239" t="n"/>
      <c r="E132" s="239" t="n"/>
      <c r="F132" s="240" t="n"/>
      <c r="G132" s="240" t="n"/>
      <c r="H132" s="241" t="n"/>
      <c r="I132" s="242" t="n"/>
      <c r="J132" s="242" t="n"/>
      <c r="K132" s="233" t="n"/>
      <c r="L132" s="233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27" t="n"/>
      <c r="B133" s="228" t="n"/>
      <c r="C133" s="229" t="n"/>
      <c r="D133" s="229" t="n"/>
      <c r="E133" s="229" t="n"/>
      <c r="F133" s="230" t="n"/>
      <c r="G133" s="230" t="n"/>
      <c r="H133" s="231" t="n"/>
      <c r="I133" s="232" t="n"/>
      <c r="J133" s="232" t="n"/>
      <c r="K133" s="233" t="n"/>
      <c r="L133" s="233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37" t="n"/>
      <c r="B134" s="238" t="n"/>
      <c r="C134" s="239" t="n"/>
      <c r="D134" s="239" t="n"/>
      <c r="E134" s="239" t="n"/>
      <c r="F134" s="240" t="n"/>
      <c r="G134" s="240" t="n"/>
      <c r="H134" s="241" t="n"/>
      <c r="I134" s="242" t="n"/>
      <c r="J134" s="242" t="n"/>
      <c r="K134" s="233" t="n"/>
      <c r="L134" s="233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27" t="n"/>
      <c r="B135" s="228" t="n"/>
      <c r="C135" s="229" t="n"/>
      <c r="D135" s="229" t="n"/>
      <c r="E135" s="229" t="n"/>
      <c r="F135" s="230" t="n"/>
      <c r="G135" s="230" t="n"/>
      <c r="H135" s="231" t="n"/>
      <c r="I135" s="232" t="n"/>
      <c r="J135" s="232" t="n"/>
      <c r="K135" s="233" t="n"/>
      <c r="L135" s="233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37" t="n"/>
      <c r="B136" s="238" t="n"/>
      <c r="C136" s="239" t="n"/>
      <c r="D136" s="239" t="n"/>
      <c r="E136" s="239" t="n"/>
      <c r="F136" s="240" t="n"/>
      <c r="G136" s="240" t="n"/>
      <c r="H136" s="241" t="n"/>
      <c r="I136" s="242" t="n"/>
      <c r="J136" s="242" t="n"/>
      <c r="K136" s="233" t="n"/>
      <c r="L136" s="233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27" t="n"/>
      <c r="B137" s="228" t="n"/>
      <c r="C137" s="229" t="n"/>
      <c r="D137" s="229" t="n"/>
      <c r="E137" s="229" t="n"/>
      <c r="F137" s="230" t="n"/>
      <c r="G137" s="230" t="n"/>
      <c r="H137" s="231" t="n"/>
      <c r="I137" s="232" t="n"/>
      <c r="J137" s="232" t="n"/>
      <c r="K137" s="233" t="n"/>
      <c r="L137" s="233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37" t="n"/>
      <c r="B138" s="238" t="n"/>
      <c r="C138" s="239" t="n"/>
      <c r="D138" s="239" t="n"/>
      <c r="E138" s="239" t="n"/>
      <c r="F138" s="240" t="n"/>
      <c r="G138" s="240" t="n"/>
      <c r="H138" s="241" t="n"/>
      <c r="I138" s="242" t="n"/>
      <c r="J138" s="242" t="n"/>
      <c r="K138" s="233" t="n"/>
      <c r="L138" s="233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27" t="n"/>
      <c r="B139" s="228" t="n"/>
      <c r="C139" s="229" t="n"/>
      <c r="D139" s="229" t="n"/>
      <c r="E139" s="229" t="n"/>
      <c r="F139" s="230" t="n"/>
      <c r="G139" s="230" t="n"/>
      <c r="H139" s="231" t="n"/>
      <c r="I139" s="232" t="n"/>
      <c r="J139" s="232" t="n"/>
      <c r="K139" s="233" t="n"/>
      <c r="L139" s="233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37" t="n"/>
      <c r="B140" s="238" t="n"/>
      <c r="C140" s="239" t="n"/>
      <c r="D140" s="239" t="n"/>
      <c r="E140" s="239" t="n"/>
      <c r="F140" s="240" t="n"/>
      <c r="G140" s="240" t="n"/>
      <c r="H140" s="241" t="n"/>
      <c r="I140" s="242" t="n"/>
      <c r="J140" s="242" t="n"/>
      <c r="K140" s="233" t="n"/>
      <c r="L140" s="233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27" t="n"/>
      <c r="B141" s="228" t="n"/>
      <c r="C141" s="229" t="n"/>
      <c r="D141" s="229" t="n"/>
      <c r="E141" s="229" t="n"/>
      <c r="F141" s="230" t="n"/>
      <c r="G141" s="230" t="n"/>
      <c r="H141" s="231" t="n"/>
      <c r="I141" s="232" t="n"/>
      <c r="J141" s="232" t="n"/>
      <c r="K141" s="233" t="n"/>
      <c r="L141" s="233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37" t="n"/>
      <c r="B142" s="238" t="n"/>
      <c r="C142" s="239" t="n"/>
      <c r="D142" s="239" t="n"/>
      <c r="E142" s="239" t="n"/>
      <c r="F142" s="240" t="n"/>
      <c r="G142" s="240" t="n"/>
      <c r="H142" s="241" t="n"/>
      <c r="I142" s="242" t="n"/>
      <c r="J142" s="242" t="n"/>
      <c r="K142" s="233" t="n"/>
      <c r="L142" s="233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27" t="n"/>
      <c r="B143" s="228" t="n"/>
      <c r="C143" s="229" t="n"/>
      <c r="D143" s="229" t="n"/>
      <c r="E143" s="229" t="n"/>
      <c r="F143" s="230" t="n"/>
      <c r="G143" s="230" t="n"/>
      <c r="H143" s="231" t="n"/>
      <c r="I143" s="232" t="n"/>
      <c r="J143" s="232" t="n"/>
      <c r="K143" s="233" t="n"/>
      <c r="L143" s="233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37" t="n"/>
      <c r="B144" s="238" t="n"/>
      <c r="C144" s="239" t="n"/>
      <c r="D144" s="239" t="n"/>
      <c r="E144" s="239" t="n"/>
      <c r="F144" s="240" t="n"/>
      <c r="G144" s="240" t="n"/>
      <c r="H144" s="241" t="n"/>
      <c r="I144" s="242" t="n"/>
      <c r="J144" s="242" t="n"/>
      <c r="K144" s="233" t="n"/>
      <c r="L144" s="233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27" t="n"/>
      <c r="B145" s="228" t="n"/>
      <c r="C145" s="229" t="n"/>
      <c r="D145" s="229" t="n"/>
      <c r="E145" s="229" t="n"/>
      <c r="F145" s="230" t="n"/>
      <c r="G145" s="230" t="n"/>
      <c r="H145" s="231" t="n"/>
      <c r="I145" s="232" t="n"/>
      <c r="J145" s="232" t="n"/>
      <c r="K145" s="233" t="n"/>
      <c r="L145" s="233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37" t="n"/>
      <c r="B146" s="238" t="n"/>
      <c r="C146" s="239" t="n"/>
      <c r="D146" s="239" t="n"/>
      <c r="E146" s="239" t="n"/>
      <c r="F146" s="240" t="n"/>
      <c r="G146" s="240" t="n"/>
      <c r="H146" s="241" t="n"/>
      <c r="I146" s="242" t="n"/>
      <c r="J146" s="242" t="n"/>
      <c r="K146" s="233" t="n"/>
      <c r="L146" s="233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27" t="n"/>
      <c r="B147" s="228" t="n"/>
      <c r="C147" s="229" t="n"/>
      <c r="D147" s="229" t="n"/>
      <c r="E147" s="229" t="n"/>
      <c r="F147" s="230" t="n"/>
      <c r="G147" s="230" t="n"/>
      <c r="H147" s="231" t="n"/>
      <c r="I147" s="232" t="n"/>
      <c r="J147" s="232" t="n"/>
      <c r="K147" s="233" t="n"/>
      <c r="L147" s="233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37" t="n"/>
      <c r="B148" s="238" t="n"/>
      <c r="C148" s="239" t="n"/>
      <c r="D148" s="239" t="n"/>
      <c r="E148" s="239" t="n"/>
      <c r="F148" s="240" t="n"/>
      <c r="G148" s="240" t="n"/>
      <c r="H148" s="241" t="n"/>
      <c r="I148" s="242" t="n"/>
      <c r="J148" s="242" t="n"/>
      <c r="K148" s="233" t="n"/>
      <c r="L148" s="233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27" t="n"/>
      <c r="B149" s="228" t="n"/>
      <c r="C149" s="229" t="n"/>
      <c r="D149" s="229" t="n"/>
      <c r="E149" s="229" t="n"/>
      <c r="F149" s="230" t="n"/>
      <c r="G149" s="230" t="n"/>
      <c r="H149" s="231" t="n"/>
      <c r="I149" s="232" t="n"/>
      <c r="J149" s="232" t="n"/>
      <c r="K149" s="233" t="n"/>
      <c r="L149" s="233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37" t="n"/>
      <c r="B150" s="238" t="n"/>
      <c r="C150" s="239" t="n"/>
      <c r="D150" s="239" t="n"/>
      <c r="E150" s="239" t="n"/>
      <c r="F150" s="240" t="n"/>
      <c r="G150" s="240" t="n"/>
      <c r="H150" s="241" t="n"/>
      <c r="I150" s="242" t="n"/>
      <c r="J150" s="242" t="n"/>
      <c r="K150" s="233" t="n"/>
      <c r="L150" s="233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27" t="n"/>
      <c r="B151" s="228" t="n"/>
      <c r="C151" s="229" t="n"/>
      <c r="D151" s="229" t="n"/>
      <c r="E151" s="229" t="n"/>
      <c r="F151" s="230" t="n"/>
      <c r="G151" s="230" t="n"/>
      <c r="H151" s="231" t="n"/>
      <c r="I151" s="232" t="n"/>
      <c r="J151" s="232" t="n"/>
      <c r="K151" s="233" t="n"/>
      <c r="L151" s="233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37" t="n"/>
      <c r="B152" s="238" t="n"/>
      <c r="C152" s="239" t="n"/>
      <c r="D152" s="239" t="n"/>
      <c r="E152" s="239" t="n"/>
      <c r="F152" s="240" t="n"/>
      <c r="G152" s="240" t="n"/>
      <c r="H152" s="241" t="n"/>
      <c r="I152" s="242" t="n"/>
      <c r="J152" s="242" t="n"/>
      <c r="K152" s="233" t="n"/>
      <c r="L152" s="233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27" t="n"/>
      <c r="B153" s="228" t="n"/>
      <c r="C153" s="229" t="n"/>
      <c r="D153" s="229" t="n"/>
      <c r="E153" s="229" t="n"/>
      <c r="F153" s="230" t="n"/>
      <c r="G153" s="230" t="n"/>
      <c r="H153" s="231" t="n"/>
      <c r="I153" s="232" t="n"/>
      <c r="J153" s="232" t="n"/>
      <c r="K153" s="233" t="n"/>
      <c r="L153" s="233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37" t="n"/>
      <c r="B154" s="238" t="n"/>
      <c r="C154" s="239" t="n"/>
      <c r="D154" s="239" t="n"/>
      <c r="E154" s="239" t="n"/>
      <c r="F154" s="240" t="n"/>
      <c r="G154" s="240" t="n"/>
      <c r="H154" s="241" t="n"/>
      <c r="I154" s="242" t="n"/>
      <c r="J154" s="242" t="n"/>
      <c r="K154" s="233" t="n"/>
      <c r="L154" s="233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27" t="n"/>
      <c r="B155" s="228" t="n"/>
      <c r="C155" s="229" t="n"/>
      <c r="D155" s="229" t="n"/>
      <c r="E155" s="229" t="n"/>
      <c r="F155" s="230" t="n"/>
      <c r="G155" s="230" t="n"/>
      <c r="H155" s="231" t="n"/>
      <c r="I155" s="232" t="n"/>
      <c r="J155" s="232" t="n"/>
      <c r="K155" s="233" t="n"/>
      <c r="L155" s="233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37" t="n"/>
      <c r="B156" s="238" t="n"/>
      <c r="C156" s="239" t="n"/>
      <c r="D156" s="239" t="n"/>
      <c r="E156" s="239" t="n"/>
      <c r="F156" s="240" t="n"/>
      <c r="G156" s="240" t="n"/>
      <c r="H156" s="241" t="n"/>
      <c r="I156" s="242" t="n"/>
      <c r="J156" s="242" t="n"/>
      <c r="K156" s="233" t="n"/>
      <c r="L156" s="233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27" t="n"/>
      <c r="B157" s="228" t="n"/>
      <c r="C157" s="229" t="n"/>
      <c r="D157" s="229" t="n"/>
      <c r="E157" s="229" t="n"/>
      <c r="F157" s="230" t="n"/>
      <c r="G157" s="230" t="n"/>
      <c r="H157" s="231" t="n"/>
      <c r="I157" s="232" t="n"/>
      <c r="J157" s="232" t="n"/>
      <c r="K157" s="233" t="n"/>
      <c r="L157" s="233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37" t="n"/>
      <c r="B158" s="238" t="n"/>
      <c r="C158" s="239" t="n"/>
      <c r="D158" s="239" t="n"/>
      <c r="E158" s="239" t="n"/>
      <c r="F158" s="240" t="n"/>
      <c r="G158" s="240" t="n"/>
      <c r="H158" s="241" t="n"/>
      <c r="I158" s="242" t="n"/>
      <c r="J158" s="242" t="n"/>
      <c r="K158" s="233" t="n"/>
      <c r="L158" s="233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27" t="n"/>
      <c r="B159" s="228" t="n"/>
      <c r="C159" s="229" t="n"/>
      <c r="D159" s="229" t="n"/>
      <c r="E159" s="229" t="n"/>
      <c r="F159" s="230" t="n"/>
      <c r="G159" s="230" t="n"/>
      <c r="H159" s="231" t="n"/>
      <c r="I159" s="232" t="n"/>
      <c r="J159" s="232" t="n"/>
      <c r="K159" s="233" t="n"/>
      <c r="L159" s="233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37" t="n"/>
      <c r="B160" s="238" t="n"/>
      <c r="C160" s="239" t="n"/>
      <c r="D160" s="239" t="n"/>
      <c r="E160" s="239" t="n"/>
      <c r="F160" s="240" t="n"/>
      <c r="G160" s="240" t="n"/>
      <c r="H160" s="241" t="n"/>
      <c r="I160" s="242" t="n"/>
      <c r="J160" s="242" t="n"/>
      <c r="K160" s="233" t="n"/>
      <c r="L160" s="233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27" t="n"/>
      <c r="B161" s="228" t="n"/>
      <c r="C161" s="229" t="n"/>
      <c r="D161" s="229" t="n"/>
      <c r="E161" s="229" t="n"/>
      <c r="F161" s="230" t="n"/>
      <c r="G161" s="230" t="n"/>
      <c r="H161" s="231" t="n"/>
      <c r="I161" s="232" t="n"/>
      <c r="J161" s="232" t="n"/>
      <c r="K161" s="233" t="n"/>
      <c r="L161" s="233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37" t="n"/>
      <c r="B162" s="238" t="n"/>
      <c r="C162" s="239" t="n"/>
      <c r="D162" s="239" t="n"/>
      <c r="E162" s="239" t="n"/>
      <c r="F162" s="240" t="n"/>
      <c r="G162" s="240" t="n"/>
      <c r="H162" s="241" t="n"/>
      <c r="I162" s="242" t="n"/>
      <c r="J162" s="242" t="n"/>
      <c r="K162" s="233" t="n"/>
      <c r="L162" s="233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27" t="n"/>
      <c r="B163" s="228" t="n"/>
      <c r="C163" s="229" t="n"/>
      <c r="D163" s="229" t="n"/>
      <c r="E163" s="229" t="n"/>
      <c r="F163" s="230" t="n"/>
      <c r="G163" s="230" t="n"/>
      <c r="H163" s="231" t="n"/>
      <c r="I163" s="232" t="n"/>
      <c r="J163" s="232" t="n"/>
      <c r="K163" s="233" t="n"/>
      <c r="L163" s="233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37" t="n"/>
      <c r="B164" s="238" t="n"/>
      <c r="C164" s="239" t="n"/>
      <c r="D164" s="239" t="n"/>
      <c r="E164" s="239" t="n"/>
      <c r="F164" s="240" t="n"/>
      <c r="G164" s="240" t="n"/>
      <c r="H164" s="241" t="n"/>
      <c r="I164" s="242" t="n"/>
      <c r="J164" s="242" t="n"/>
      <c r="K164" s="233" t="n"/>
      <c r="L164" s="233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27" t="n"/>
      <c r="B165" s="228" t="n"/>
      <c r="C165" s="229" t="n"/>
      <c r="D165" s="229" t="n"/>
      <c r="E165" s="229" t="n"/>
      <c r="F165" s="230" t="n"/>
      <c r="G165" s="230" t="n"/>
      <c r="H165" s="231" t="n"/>
      <c r="I165" s="232" t="n"/>
      <c r="J165" s="232" t="n"/>
      <c r="K165" s="233" t="n"/>
      <c r="L165" s="233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37" t="n"/>
      <c r="B166" s="238" t="n"/>
      <c r="C166" s="239" t="n"/>
      <c r="D166" s="239" t="n"/>
      <c r="E166" s="239" t="n"/>
      <c r="F166" s="240" t="n"/>
      <c r="G166" s="240" t="n"/>
      <c r="H166" s="241" t="n"/>
      <c r="I166" s="242" t="n"/>
      <c r="J166" s="242" t="n"/>
      <c r="K166" s="233" t="n"/>
      <c r="L166" s="233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27" t="n"/>
      <c r="B167" s="228" t="n"/>
      <c r="C167" s="229" t="n"/>
      <c r="D167" s="229" t="n"/>
      <c r="E167" s="229" t="n"/>
      <c r="F167" s="230" t="n"/>
      <c r="G167" s="230" t="n"/>
      <c r="H167" s="231" t="n"/>
      <c r="I167" s="232" t="n"/>
      <c r="J167" s="232" t="n"/>
      <c r="K167" s="233" t="n"/>
      <c r="L167" s="233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37" t="n"/>
      <c r="B168" s="238" t="n"/>
      <c r="C168" s="239" t="n"/>
      <c r="D168" s="239" t="n"/>
      <c r="E168" s="239" t="n"/>
      <c r="F168" s="240" t="n"/>
      <c r="G168" s="240" t="n"/>
      <c r="H168" s="241" t="n"/>
      <c r="I168" s="242" t="n"/>
      <c r="J168" s="242" t="n"/>
      <c r="K168" s="233" t="n"/>
      <c r="L168" s="233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27" t="n"/>
      <c r="B169" s="228" t="n"/>
      <c r="C169" s="229" t="n"/>
      <c r="D169" s="229" t="n"/>
      <c r="E169" s="229" t="n"/>
      <c r="F169" s="230" t="n"/>
      <c r="G169" s="230" t="n"/>
      <c r="H169" s="231" t="n"/>
      <c r="I169" s="232" t="n"/>
      <c r="J169" s="232" t="n"/>
      <c r="K169" s="233" t="n"/>
      <c r="L169" s="233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37" t="n"/>
      <c r="B170" s="238" t="n"/>
      <c r="C170" s="239" t="n"/>
      <c r="D170" s="239" t="n"/>
      <c r="E170" s="239" t="n"/>
      <c r="F170" s="240" t="n"/>
      <c r="G170" s="240" t="n"/>
      <c r="H170" s="241" t="n"/>
      <c r="I170" s="242" t="n"/>
      <c r="J170" s="242" t="n"/>
      <c r="K170" s="233" t="n"/>
      <c r="L170" s="233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27" t="n"/>
      <c r="B171" s="228" t="n"/>
      <c r="C171" s="229" t="n"/>
      <c r="D171" s="229" t="n"/>
      <c r="E171" s="229" t="n"/>
      <c r="F171" s="230" t="n"/>
      <c r="G171" s="230" t="n"/>
      <c r="H171" s="231" t="n"/>
      <c r="I171" s="232" t="n"/>
      <c r="J171" s="232" t="n"/>
      <c r="K171" s="233" t="n"/>
      <c r="L171" s="233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37" t="n"/>
      <c r="B172" s="238" t="n"/>
      <c r="C172" s="239" t="n"/>
      <c r="D172" s="239" t="n"/>
      <c r="E172" s="239" t="n"/>
      <c r="F172" s="240" t="n"/>
      <c r="G172" s="240" t="n"/>
      <c r="H172" s="241" t="n"/>
      <c r="I172" s="242" t="n"/>
      <c r="J172" s="242" t="n"/>
      <c r="K172" s="233" t="n"/>
      <c r="L172" s="233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27" t="n"/>
      <c r="B173" s="228" t="n"/>
      <c r="C173" s="229" t="n"/>
      <c r="D173" s="229" t="n"/>
      <c r="E173" s="229" t="n"/>
      <c r="F173" s="230" t="n"/>
      <c r="G173" s="230" t="n"/>
      <c r="H173" s="231" t="n"/>
      <c r="I173" s="232" t="n"/>
      <c r="J173" s="232" t="n"/>
      <c r="K173" s="233" t="n"/>
      <c r="L173" s="233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37" t="n"/>
      <c r="B174" s="238" t="n"/>
      <c r="C174" s="239" t="n"/>
      <c r="D174" s="239" t="n"/>
      <c r="E174" s="239" t="n"/>
      <c r="F174" s="240" t="n"/>
      <c r="G174" s="240" t="n"/>
      <c r="H174" s="241" t="n"/>
      <c r="I174" s="242" t="n"/>
      <c r="J174" s="242" t="n"/>
      <c r="K174" s="233" t="n"/>
      <c r="L174" s="233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27" t="n"/>
      <c r="B175" s="228" t="n"/>
      <c r="C175" s="229" t="n"/>
      <c r="D175" s="229" t="n"/>
      <c r="E175" s="229" t="n"/>
      <c r="F175" s="230" t="n"/>
      <c r="G175" s="230" t="n"/>
      <c r="H175" s="231" t="n"/>
      <c r="I175" s="232" t="n"/>
      <c r="J175" s="232" t="n"/>
      <c r="K175" s="233" t="n"/>
      <c r="L175" s="233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37" t="n"/>
      <c r="B176" s="238" t="n"/>
      <c r="C176" s="239" t="n"/>
      <c r="D176" s="239" t="n"/>
      <c r="E176" s="239" t="n"/>
      <c r="F176" s="240" t="n"/>
      <c r="G176" s="240" t="n"/>
      <c r="H176" s="241" t="n"/>
      <c r="I176" s="242" t="n"/>
      <c r="J176" s="242" t="n"/>
      <c r="K176" s="233" t="n"/>
      <c r="L176" s="233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27" t="n"/>
      <c r="B177" s="228" t="n"/>
      <c r="C177" s="229" t="n"/>
      <c r="D177" s="229" t="n"/>
      <c r="E177" s="229" t="n"/>
      <c r="F177" s="230" t="n"/>
      <c r="G177" s="230" t="n"/>
      <c r="H177" s="231" t="n"/>
      <c r="I177" s="232" t="n"/>
      <c r="J177" s="232" t="n"/>
      <c r="K177" s="233" t="n"/>
      <c r="L177" s="233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37" t="n"/>
      <c r="B178" s="238" t="n"/>
      <c r="C178" s="239" t="n"/>
      <c r="D178" s="239" t="n"/>
      <c r="E178" s="239" t="n"/>
      <c r="F178" s="240" t="n"/>
      <c r="G178" s="240" t="n"/>
      <c r="H178" s="241" t="n"/>
      <c r="I178" s="242" t="n"/>
      <c r="J178" s="242" t="n"/>
      <c r="K178" s="233" t="n"/>
      <c r="L178" s="233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27" t="n"/>
      <c r="B179" s="228" t="n"/>
      <c r="C179" s="229" t="n"/>
      <c r="D179" s="229" t="n"/>
      <c r="E179" s="229" t="n"/>
      <c r="F179" s="230" t="n"/>
      <c r="G179" s="230" t="n"/>
      <c r="H179" s="231" t="n"/>
      <c r="I179" s="232" t="n"/>
      <c r="J179" s="232" t="n"/>
      <c r="K179" s="233" t="n"/>
      <c r="L179" s="233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37" t="n"/>
      <c r="B180" s="238" t="n"/>
      <c r="C180" s="239" t="n"/>
      <c r="D180" s="239" t="n"/>
      <c r="E180" s="239" t="n"/>
      <c r="F180" s="240" t="n"/>
      <c r="G180" s="240" t="n"/>
      <c r="H180" s="241" t="n"/>
      <c r="I180" s="242" t="n"/>
      <c r="J180" s="242" t="n"/>
      <c r="K180" s="233" t="n"/>
      <c r="L180" s="233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27" t="n"/>
      <c r="B181" s="228" t="n"/>
      <c r="C181" s="229" t="n"/>
      <c r="D181" s="229" t="n"/>
      <c r="E181" s="229" t="n"/>
      <c r="F181" s="230" t="n"/>
      <c r="G181" s="230" t="n"/>
      <c r="H181" s="231" t="n"/>
      <c r="I181" s="232" t="n"/>
      <c r="J181" s="232" t="n"/>
      <c r="K181" s="233" t="n"/>
      <c r="L181" s="233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37" t="n"/>
      <c r="B182" s="238" t="n"/>
      <c r="C182" s="239" t="n"/>
      <c r="D182" s="239" t="n"/>
      <c r="E182" s="239" t="n"/>
      <c r="F182" s="240" t="n"/>
      <c r="G182" s="240" t="n"/>
      <c r="H182" s="241" t="n"/>
      <c r="I182" s="242" t="n"/>
      <c r="J182" s="242" t="n"/>
      <c r="K182" s="233" t="n"/>
      <c r="L182" s="233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27" t="n"/>
      <c r="B183" s="228" t="n"/>
      <c r="C183" s="229" t="n"/>
      <c r="D183" s="229" t="n"/>
      <c r="E183" s="229" t="n"/>
      <c r="F183" s="230" t="n"/>
      <c r="G183" s="230" t="n"/>
      <c r="H183" s="231" t="n"/>
      <c r="I183" s="232" t="n"/>
      <c r="J183" s="232" t="n"/>
      <c r="K183" s="233" t="n"/>
      <c r="L183" s="233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37" t="n"/>
      <c r="B184" s="238" t="n"/>
      <c r="C184" s="239" t="n"/>
      <c r="D184" s="239" t="n"/>
      <c r="E184" s="239" t="n"/>
      <c r="F184" s="240" t="n"/>
      <c r="G184" s="240" t="n"/>
      <c r="H184" s="241" t="n"/>
      <c r="I184" s="242" t="n"/>
      <c r="J184" s="242" t="n"/>
      <c r="K184" s="233" t="n"/>
      <c r="L184" s="233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27" t="n"/>
      <c r="B185" s="228" t="n"/>
      <c r="C185" s="229" t="n"/>
      <c r="D185" s="229" t="n"/>
      <c r="E185" s="229" t="n"/>
      <c r="F185" s="230" t="n"/>
      <c r="G185" s="230" t="n"/>
      <c r="H185" s="231" t="n"/>
      <c r="I185" s="232" t="n"/>
      <c r="J185" s="232" t="n"/>
      <c r="K185" s="233" t="n"/>
      <c r="L185" s="233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37" t="n"/>
      <c r="B186" s="238" t="n"/>
      <c r="C186" s="239" t="n"/>
      <c r="D186" s="239" t="n"/>
      <c r="E186" s="239" t="n"/>
      <c r="F186" s="240" t="n"/>
      <c r="G186" s="240" t="n"/>
      <c r="H186" s="241" t="n"/>
      <c r="I186" s="242" t="n"/>
      <c r="J186" s="242" t="n"/>
      <c r="K186" s="233" t="n"/>
      <c r="L186" s="233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27" t="n"/>
      <c r="B187" s="228" t="n"/>
      <c r="C187" s="229" t="n"/>
      <c r="D187" s="229" t="n"/>
      <c r="E187" s="229" t="n"/>
      <c r="F187" s="230" t="n"/>
      <c r="G187" s="230" t="n"/>
      <c r="H187" s="231" t="n"/>
      <c r="I187" s="232" t="n"/>
      <c r="J187" s="232" t="n"/>
      <c r="K187" s="233" t="n"/>
      <c r="L187" s="233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37" t="n"/>
      <c r="B188" s="238" t="n"/>
      <c r="C188" s="239" t="n"/>
      <c r="D188" s="239" t="n"/>
      <c r="E188" s="239" t="n"/>
      <c r="F188" s="240" t="n"/>
      <c r="G188" s="240" t="n"/>
      <c r="H188" s="241" t="n"/>
      <c r="I188" s="242" t="n"/>
      <c r="J188" s="242" t="n"/>
      <c r="K188" s="233" t="n"/>
      <c r="L188" s="233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27" t="n"/>
      <c r="B189" s="228" t="n"/>
      <c r="C189" s="229" t="n"/>
      <c r="D189" s="229" t="n"/>
      <c r="E189" s="229" t="n"/>
      <c r="F189" s="230" t="n"/>
      <c r="G189" s="230" t="n"/>
      <c r="H189" s="231" t="n"/>
      <c r="I189" s="232" t="n"/>
      <c r="J189" s="232" t="n"/>
      <c r="K189" s="233" t="n"/>
      <c r="L189" s="233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37" t="n"/>
      <c r="B190" s="238" t="n"/>
      <c r="C190" s="239" t="n"/>
      <c r="D190" s="239" t="n"/>
      <c r="E190" s="239" t="n"/>
      <c r="F190" s="240" t="n"/>
      <c r="G190" s="240" t="n"/>
      <c r="H190" s="241" t="n"/>
      <c r="I190" s="242" t="n"/>
      <c r="J190" s="242" t="n"/>
      <c r="K190" s="233" t="n"/>
      <c r="L190" s="233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27" t="n"/>
      <c r="B191" s="228" t="n"/>
      <c r="C191" s="229" t="n"/>
      <c r="D191" s="229" t="n"/>
      <c r="E191" s="229" t="n"/>
      <c r="F191" s="230" t="n"/>
      <c r="G191" s="230" t="n"/>
      <c r="H191" s="231" t="n"/>
      <c r="I191" s="232" t="n"/>
      <c r="J191" s="232" t="n"/>
      <c r="K191" s="233" t="n"/>
      <c r="L191" s="233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37" t="n"/>
      <c r="B192" s="238" t="n"/>
      <c r="C192" s="239" t="n"/>
      <c r="D192" s="239" t="n"/>
      <c r="E192" s="239" t="n"/>
      <c r="F192" s="240" t="n"/>
      <c r="G192" s="240" t="n"/>
      <c r="H192" s="241" t="n"/>
      <c r="I192" s="242" t="n"/>
      <c r="J192" s="242" t="n"/>
      <c r="K192" s="233" t="n"/>
      <c r="L192" s="233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27" t="n"/>
      <c r="B193" s="228" t="n"/>
      <c r="C193" s="229" t="n"/>
      <c r="D193" s="229" t="n"/>
      <c r="E193" s="229" t="n"/>
      <c r="F193" s="230" t="n"/>
      <c r="G193" s="230" t="n"/>
      <c r="H193" s="231" t="n"/>
      <c r="I193" s="232" t="n"/>
      <c r="J193" s="232" t="n"/>
      <c r="K193" s="233" t="n"/>
      <c r="L193" s="233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37" t="n"/>
      <c r="B194" s="238" t="n"/>
      <c r="C194" s="239" t="n"/>
      <c r="D194" s="239" t="n"/>
      <c r="E194" s="239" t="n"/>
      <c r="F194" s="240" t="n"/>
      <c r="G194" s="240" t="n"/>
      <c r="H194" s="241" t="n"/>
      <c r="I194" s="242" t="n"/>
      <c r="J194" s="242" t="n"/>
      <c r="K194" s="233" t="n"/>
      <c r="L194" s="233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27" t="n"/>
      <c r="B195" s="228" t="n"/>
      <c r="C195" s="229" t="n"/>
      <c r="D195" s="229" t="n"/>
      <c r="E195" s="229" t="n"/>
      <c r="F195" s="230" t="n"/>
      <c r="G195" s="230" t="n"/>
      <c r="H195" s="231" t="n"/>
      <c r="I195" s="232" t="n"/>
      <c r="J195" s="232" t="n"/>
      <c r="K195" s="233" t="n"/>
      <c r="L195" s="233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37" t="n"/>
      <c r="B196" s="238" t="n"/>
      <c r="C196" s="239" t="n"/>
      <c r="D196" s="239" t="n"/>
      <c r="E196" s="239" t="n"/>
      <c r="F196" s="240" t="n"/>
      <c r="G196" s="240" t="n"/>
      <c r="H196" s="241" t="n"/>
      <c r="I196" s="242" t="n"/>
      <c r="J196" s="242" t="n"/>
      <c r="K196" s="233" t="n"/>
      <c r="L196" s="233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27" t="n"/>
      <c r="B197" s="228" t="n"/>
      <c r="C197" s="229" t="n"/>
      <c r="D197" s="229" t="n"/>
      <c r="E197" s="229" t="n"/>
      <c r="F197" s="230" t="n"/>
      <c r="G197" s="230" t="n"/>
      <c r="H197" s="231" t="n"/>
      <c r="I197" s="232" t="n"/>
      <c r="J197" s="232" t="n"/>
      <c r="K197" s="233" t="n"/>
      <c r="L197" s="233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37" t="n"/>
      <c r="B198" s="238" t="n"/>
      <c r="C198" s="239" t="n"/>
      <c r="D198" s="239" t="n"/>
      <c r="E198" s="239" t="n"/>
      <c r="F198" s="240" t="n"/>
      <c r="G198" s="240" t="n"/>
      <c r="H198" s="241" t="n"/>
      <c r="I198" s="242" t="n"/>
      <c r="J198" s="242" t="n"/>
      <c r="K198" s="233" t="n"/>
      <c r="L198" s="233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27" t="n"/>
      <c r="B199" s="228" t="n"/>
      <c r="C199" s="229" t="n"/>
      <c r="D199" s="229" t="n"/>
      <c r="E199" s="229" t="n"/>
      <c r="F199" s="230" t="n"/>
      <c r="G199" s="230" t="n"/>
      <c r="H199" s="231" t="n"/>
      <c r="I199" s="232" t="n"/>
      <c r="J199" s="232" t="n"/>
      <c r="K199" s="233" t="n"/>
      <c r="L199" s="233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37" t="n"/>
      <c r="B200" s="238" t="n"/>
      <c r="C200" s="239" t="n"/>
      <c r="D200" s="239" t="n"/>
      <c r="E200" s="239" t="n"/>
      <c r="F200" s="240" t="n"/>
      <c r="G200" s="240" t="n"/>
      <c r="H200" s="241" t="n"/>
      <c r="I200" s="242" t="n"/>
      <c r="J200" s="242" t="n"/>
      <c r="K200" s="233" t="n"/>
      <c r="L200" s="233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27" t="n"/>
      <c r="B201" s="228" t="n"/>
      <c r="C201" s="229" t="n"/>
      <c r="D201" s="229" t="n"/>
      <c r="E201" s="229" t="n"/>
      <c r="F201" s="230" t="n"/>
      <c r="G201" s="230" t="n"/>
      <c r="H201" s="231" t="n"/>
      <c r="I201" s="232" t="n"/>
      <c r="J201" s="232" t="n"/>
      <c r="K201" s="233" t="n"/>
      <c r="L201" s="233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37" t="n"/>
      <c r="B202" s="238" t="n"/>
      <c r="C202" s="239" t="n"/>
      <c r="D202" s="239" t="n"/>
      <c r="E202" s="239" t="n"/>
      <c r="F202" s="240" t="n"/>
      <c r="G202" s="240" t="n"/>
      <c r="H202" s="241" t="n"/>
      <c r="I202" s="242" t="n"/>
      <c r="J202" s="242" t="n"/>
      <c r="K202" s="233" t="n"/>
      <c r="L202" s="233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27" t="n"/>
      <c r="B203" s="228" t="n"/>
      <c r="C203" s="229" t="n"/>
      <c r="D203" s="229" t="n"/>
      <c r="E203" s="229" t="n"/>
      <c r="F203" s="230" t="n"/>
      <c r="G203" s="230" t="n"/>
      <c r="H203" s="231" t="n"/>
      <c r="I203" s="232" t="n"/>
      <c r="J203" s="232" t="n"/>
      <c r="K203" s="233" t="n"/>
      <c r="L203" s="233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37" t="n"/>
      <c r="B204" s="238" t="n"/>
      <c r="C204" s="239" t="n"/>
      <c r="D204" s="239" t="n"/>
      <c r="E204" s="239" t="n"/>
      <c r="F204" s="240" t="n"/>
      <c r="G204" s="240" t="n"/>
      <c r="H204" s="241" t="n"/>
      <c r="I204" s="242" t="n"/>
      <c r="J204" s="242" t="n"/>
      <c r="K204" s="233" t="n"/>
      <c r="L204" s="233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27" t="n"/>
      <c r="B205" s="228" t="n"/>
      <c r="C205" s="229" t="n"/>
      <c r="D205" s="229" t="n"/>
      <c r="E205" s="229" t="n"/>
      <c r="F205" s="230" t="n"/>
      <c r="G205" s="230" t="n"/>
      <c r="H205" s="231" t="n"/>
      <c r="I205" s="232" t="n"/>
      <c r="J205" s="232" t="n"/>
      <c r="K205" s="233" t="n"/>
      <c r="L205" s="233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37" t="n"/>
      <c r="B206" s="238" t="n"/>
      <c r="C206" s="239" t="n"/>
      <c r="D206" s="239" t="n"/>
      <c r="E206" s="239" t="n"/>
      <c r="F206" s="240" t="n"/>
      <c r="G206" s="240" t="n"/>
      <c r="H206" s="241" t="n"/>
      <c r="I206" s="242" t="n"/>
      <c r="J206" s="242" t="n"/>
      <c r="K206" s="233" t="n"/>
      <c r="L206" s="233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27" t="n"/>
      <c r="B207" s="228" t="n"/>
      <c r="C207" s="229" t="n"/>
      <c r="D207" s="229" t="n"/>
      <c r="E207" s="229" t="n"/>
      <c r="F207" s="230" t="n"/>
      <c r="G207" s="230" t="n"/>
      <c r="H207" s="231" t="n"/>
      <c r="I207" s="232" t="n"/>
      <c r="J207" s="232" t="n"/>
      <c r="K207" s="233" t="n"/>
      <c r="L207" s="233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37" t="n"/>
      <c r="B208" s="238" t="n"/>
      <c r="C208" s="239" t="n"/>
      <c r="D208" s="239" t="n"/>
      <c r="E208" s="239" t="n"/>
      <c r="F208" s="240" t="n"/>
      <c r="G208" s="240" t="n"/>
      <c r="H208" s="241" t="n"/>
      <c r="I208" s="242" t="n"/>
      <c r="J208" s="242" t="n"/>
      <c r="K208" s="233" t="n"/>
      <c r="L208" s="233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27" t="n"/>
      <c r="B209" s="228" t="n"/>
      <c r="C209" s="229" t="n"/>
      <c r="D209" s="229" t="n"/>
      <c r="E209" s="229" t="n"/>
      <c r="F209" s="230" t="n"/>
      <c r="G209" s="230" t="n"/>
      <c r="H209" s="231" t="n"/>
      <c r="I209" s="232" t="n"/>
      <c r="J209" s="232" t="n"/>
      <c r="K209" s="233" t="n"/>
      <c r="L209" s="233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37" t="n"/>
      <c r="B210" s="238" t="n"/>
      <c r="C210" s="239" t="n"/>
      <c r="D210" s="239" t="n"/>
      <c r="E210" s="239" t="n"/>
      <c r="F210" s="240" t="n"/>
      <c r="G210" s="240" t="n"/>
      <c r="H210" s="241" t="n"/>
      <c r="I210" s="242" t="n"/>
      <c r="J210" s="242" t="n"/>
      <c r="K210" s="233" t="n"/>
      <c r="L210" s="233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27" t="n"/>
      <c r="B211" s="228" t="n"/>
      <c r="C211" s="229" t="n"/>
      <c r="D211" s="229" t="n"/>
      <c r="E211" s="229" t="n"/>
      <c r="F211" s="230" t="n"/>
      <c r="G211" s="230" t="n"/>
      <c r="H211" s="231" t="n"/>
      <c r="I211" s="232" t="n"/>
      <c r="J211" s="232" t="n"/>
      <c r="K211" s="233" t="n"/>
      <c r="L211" s="233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37" t="n"/>
      <c r="B212" s="238" t="n"/>
      <c r="C212" s="239" t="n"/>
      <c r="D212" s="239" t="n"/>
      <c r="E212" s="239" t="n"/>
      <c r="F212" s="240" t="n"/>
      <c r="G212" s="240" t="n"/>
      <c r="H212" s="241" t="n"/>
      <c r="I212" s="242" t="n"/>
      <c r="J212" s="242" t="n"/>
      <c r="K212" s="233" t="n"/>
      <c r="L212" s="233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27" t="n"/>
      <c r="B213" s="228" t="n"/>
      <c r="C213" s="229" t="n"/>
      <c r="D213" s="229" t="n"/>
      <c r="E213" s="229" t="n"/>
      <c r="F213" s="230" t="n"/>
      <c r="G213" s="230" t="n"/>
      <c r="H213" s="231" t="n"/>
      <c r="I213" s="232" t="n"/>
      <c r="J213" s="232" t="n"/>
      <c r="K213" s="233" t="n"/>
      <c r="L213" s="233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37" t="n"/>
      <c r="B214" s="238" t="n"/>
      <c r="C214" s="239" t="n"/>
      <c r="D214" s="239" t="n"/>
      <c r="E214" s="239" t="n"/>
      <c r="F214" s="240" t="n"/>
      <c r="G214" s="240" t="n"/>
      <c r="H214" s="241" t="n"/>
      <c r="I214" s="242" t="n"/>
      <c r="J214" s="242" t="n"/>
      <c r="K214" s="233" t="n"/>
      <c r="L214" s="233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27" t="n"/>
      <c r="B215" s="228" t="n"/>
      <c r="C215" s="229" t="n"/>
      <c r="D215" s="229" t="n"/>
      <c r="E215" s="229" t="n"/>
      <c r="F215" s="230" t="n"/>
      <c r="G215" s="230" t="n"/>
      <c r="H215" s="231" t="n"/>
      <c r="I215" s="232" t="n"/>
      <c r="J215" s="232" t="n"/>
      <c r="K215" s="233" t="n"/>
      <c r="L215" s="233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37" t="n"/>
      <c r="B216" s="238" t="n"/>
      <c r="C216" s="239" t="n"/>
      <c r="D216" s="239" t="n"/>
      <c r="E216" s="239" t="n"/>
      <c r="F216" s="240" t="n"/>
      <c r="G216" s="240" t="n"/>
      <c r="H216" s="241" t="n"/>
      <c r="I216" s="242" t="n"/>
      <c r="J216" s="242" t="n"/>
      <c r="K216" s="233" t="n"/>
      <c r="L216" s="233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27" t="n"/>
      <c r="B217" s="228" t="n"/>
      <c r="C217" s="229" t="n"/>
      <c r="D217" s="229" t="n"/>
      <c r="E217" s="229" t="n"/>
      <c r="F217" s="230" t="n"/>
      <c r="G217" s="230" t="n"/>
      <c r="H217" s="231" t="n"/>
      <c r="I217" s="232" t="n"/>
      <c r="J217" s="232" t="n"/>
      <c r="K217" s="233" t="n"/>
      <c r="L217" s="233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37" t="n"/>
      <c r="B218" s="238" t="n"/>
      <c r="C218" s="239" t="n"/>
      <c r="D218" s="239" t="n"/>
      <c r="E218" s="239" t="n"/>
      <c r="F218" s="240" t="n"/>
      <c r="G218" s="240" t="n"/>
      <c r="H218" s="241" t="n"/>
      <c r="I218" s="242" t="n"/>
      <c r="J218" s="242" t="n"/>
      <c r="K218" s="233" t="n"/>
      <c r="L218" s="233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27" t="n"/>
      <c r="B219" s="228" t="n"/>
      <c r="C219" s="229" t="n"/>
      <c r="D219" s="229" t="n"/>
      <c r="E219" s="229" t="n"/>
      <c r="F219" s="230" t="n"/>
      <c r="G219" s="230" t="n"/>
      <c r="H219" s="231" t="n"/>
      <c r="I219" s="232" t="n"/>
      <c r="J219" s="232" t="n"/>
      <c r="K219" s="233" t="n"/>
      <c r="L219" s="233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37" t="n"/>
      <c r="B220" s="238" t="n"/>
      <c r="C220" s="239" t="n"/>
      <c r="D220" s="239" t="n"/>
      <c r="E220" s="239" t="n"/>
      <c r="F220" s="240" t="n"/>
      <c r="G220" s="240" t="n"/>
      <c r="H220" s="241" t="n"/>
      <c r="I220" s="242" t="n"/>
      <c r="J220" s="242" t="n"/>
      <c r="K220" s="233" t="n"/>
      <c r="L220" s="233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27" t="n"/>
      <c r="B221" s="228" t="n"/>
      <c r="C221" s="229" t="n"/>
      <c r="D221" s="229" t="n"/>
      <c r="E221" s="229" t="n"/>
      <c r="F221" s="230" t="n"/>
      <c r="G221" s="230" t="n"/>
      <c r="H221" s="231" t="n"/>
      <c r="I221" s="232" t="n"/>
      <c r="J221" s="232" t="n"/>
      <c r="K221" s="233" t="n"/>
      <c r="L221" s="233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37" t="n"/>
      <c r="B222" s="238" t="n"/>
      <c r="C222" s="239" t="n"/>
      <c r="D222" s="239" t="n"/>
      <c r="E222" s="239" t="n"/>
      <c r="F222" s="240" t="n"/>
      <c r="G222" s="240" t="n"/>
      <c r="H222" s="241" t="n"/>
      <c r="I222" s="242" t="n"/>
      <c r="J222" s="242" t="n"/>
      <c r="K222" s="233" t="n"/>
      <c r="L222" s="233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27" t="n"/>
      <c r="B223" s="228" t="n"/>
      <c r="C223" s="229" t="n"/>
      <c r="D223" s="229" t="n"/>
      <c r="E223" s="229" t="n"/>
      <c r="F223" s="230" t="n"/>
      <c r="G223" s="230" t="n"/>
      <c r="H223" s="231" t="n"/>
      <c r="I223" s="232" t="n"/>
      <c r="J223" s="232" t="n"/>
      <c r="K223" s="233" t="n"/>
      <c r="L223" s="233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37" t="n"/>
      <c r="B224" s="238" t="n"/>
      <c r="C224" s="239" t="n"/>
      <c r="D224" s="239" t="n"/>
      <c r="E224" s="239" t="n"/>
      <c r="F224" s="240" t="n"/>
      <c r="G224" s="240" t="n"/>
      <c r="H224" s="241" t="n"/>
      <c r="I224" s="242" t="n"/>
      <c r="J224" s="242" t="n"/>
      <c r="K224" s="233" t="n"/>
      <c r="L224" s="233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27" t="n"/>
      <c r="B225" s="228" t="n"/>
      <c r="C225" s="229" t="n"/>
      <c r="D225" s="229" t="n"/>
      <c r="E225" s="229" t="n"/>
      <c r="F225" s="230" t="n"/>
      <c r="G225" s="230" t="n"/>
      <c r="H225" s="231" t="n"/>
      <c r="I225" s="232" t="n"/>
      <c r="J225" s="232" t="n"/>
      <c r="K225" s="233" t="n"/>
      <c r="L225" s="233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37" t="n"/>
      <c r="B226" s="238" t="n"/>
      <c r="C226" s="239" t="n"/>
      <c r="D226" s="239" t="n"/>
      <c r="E226" s="239" t="n"/>
      <c r="F226" s="240" t="n"/>
      <c r="G226" s="240" t="n"/>
      <c r="H226" s="241" t="n"/>
      <c r="I226" s="242" t="n"/>
      <c r="J226" s="242" t="n"/>
      <c r="K226" s="233" t="n"/>
      <c r="L226" s="233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27" t="n"/>
      <c r="B227" s="228" t="n"/>
      <c r="C227" s="229" t="n"/>
      <c r="D227" s="229" t="n"/>
      <c r="E227" s="229" t="n"/>
      <c r="F227" s="230" t="n"/>
      <c r="G227" s="230" t="n"/>
      <c r="H227" s="231" t="n"/>
      <c r="I227" s="232" t="n"/>
      <c r="J227" s="232" t="n"/>
      <c r="K227" s="233" t="n"/>
      <c r="L227" s="233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37" t="n"/>
      <c r="B228" s="238" t="n"/>
      <c r="C228" s="239" t="n"/>
      <c r="D228" s="239" t="n"/>
      <c r="E228" s="239" t="n"/>
      <c r="F228" s="240" t="n"/>
      <c r="G228" s="240" t="n"/>
      <c r="H228" s="241" t="n"/>
      <c r="I228" s="242" t="n"/>
      <c r="J228" s="242" t="n"/>
      <c r="K228" s="233" t="n"/>
      <c r="L228" s="233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27" t="n"/>
      <c r="B229" s="228" t="n"/>
      <c r="C229" s="229" t="n"/>
      <c r="D229" s="229" t="n"/>
      <c r="E229" s="229" t="n"/>
      <c r="F229" s="230" t="n"/>
      <c r="G229" s="230" t="n"/>
      <c r="H229" s="231" t="n"/>
      <c r="I229" s="232" t="n"/>
      <c r="J229" s="232" t="n"/>
      <c r="K229" s="233" t="n"/>
      <c r="L229" s="233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37" t="n"/>
      <c r="B230" s="238" t="n"/>
      <c r="C230" s="239" t="n"/>
      <c r="D230" s="239" t="n"/>
      <c r="E230" s="239" t="n"/>
      <c r="F230" s="240" t="n"/>
      <c r="G230" s="240" t="n"/>
      <c r="H230" s="241" t="n"/>
      <c r="I230" s="242" t="n"/>
      <c r="J230" s="242" t="n"/>
      <c r="K230" s="233" t="n"/>
      <c r="L230" s="233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27" t="n"/>
      <c r="B231" s="228" t="n"/>
      <c r="C231" s="229" t="n"/>
      <c r="D231" s="229" t="n"/>
      <c r="E231" s="229" t="n"/>
      <c r="F231" s="230" t="n"/>
      <c r="G231" s="230" t="n"/>
      <c r="H231" s="231" t="n"/>
      <c r="I231" s="232" t="n"/>
      <c r="J231" s="232" t="n"/>
      <c r="K231" s="233" t="n"/>
      <c r="L231" s="233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37" t="n"/>
      <c r="B232" s="238" t="n"/>
      <c r="C232" s="239" t="n"/>
      <c r="D232" s="239" t="n"/>
      <c r="E232" s="239" t="n"/>
      <c r="F232" s="240" t="n"/>
      <c r="G232" s="240" t="n"/>
      <c r="H232" s="241" t="n"/>
      <c r="I232" s="242" t="n"/>
      <c r="J232" s="242" t="n"/>
      <c r="K232" s="233" t="n"/>
      <c r="L232" s="233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27" t="n"/>
      <c r="B233" s="228" t="n"/>
      <c r="C233" s="229" t="n"/>
      <c r="D233" s="229" t="n"/>
      <c r="E233" s="229" t="n"/>
      <c r="F233" s="230" t="n"/>
      <c r="G233" s="230" t="n"/>
      <c r="H233" s="231" t="n"/>
      <c r="I233" s="232" t="n"/>
      <c r="J233" s="232" t="n"/>
      <c r="K233" s="233" t="n"/>
      <c r="L233" s="233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37" t="n"/>
      <c r="B234" s="238" t="n"/>
      <c r="C234" s="239" t="n"/>
      <c r="D234" s="239" t="n"/>
      <c r="E234" s="239" t="n"/>
      <c r="F234" s="240" t="n"/>
      <c r="G234" s="240" t="n"/>
      <c r="H234" s="241" t="n"/>
      <c r="I234" s="242" t="n"/>
      <c r="J234" s="242" t="n"/>
      <c r="K234" s="233" t="n"/>
      <c r="L234" s="233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27" t="n"/>
      <c r="B235" s="228" t="n"/>
      <c r="C235" s="229" t="n"/>
      <c r="D235" s="229" t="n"/>
      <c r="E235" s="229" t="n"/>
      <c r="F235" s="230" t="n"/>
      <c r="G235" s="230" t="n"/>
      <c r="H235" s="231" t="n"/>
      <c r="I235" s="232" t="n"/>
      <c r="J235" s="232" t="n"/>
      <c r="K235" s="233" t="n"/>
      <c r="L235" s="233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37" t="n"/>
      <c r="B236" s="238" t="n"/>
      <c r="C236" s="239" t="n"/>
      <c r="D236" s="239" t="n"/>
      <c r="E236" s="239" t="n"/>
      <c r="F236" s="240" t="n"/>
      <c r="G236" s="240" t="n"/>
      <c r="H236" s="241" t="n"/>
      <c r="I236" s="242" t="n"/>
      <c r="J236" s="242" t="n"/>
      <c r="K236" s="233" t="n"/>
      <c r="L236" s="233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27" t="n"/>
      <c r="B237" s="228" t="n"/>
      <c r="C237" s="229" t="n"/>
      <c r="D237" s="229" t="n"/>
      <c r="E237" s="229" t="n"/>
      <c r="F237" s="230" t="n"/>
      <c r="G237" s="230" t="n"/>
      <c r="H237" s="231" t="n"/>
      <c r="I237" s="232" t="n"/>
      <c r="J237" s="232" t="n"/>
      <c r="K237" s="233" t="n"/>
      <c r="L237" s="233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37" t="n"/>
      <c r="B238" s="238" t="n"/>
      <c r="C238" s="239" t="n"/>
      <c r="D238" s="239" t="n"/>
      <c r="E238" s="239" t="n"/>
      <c r="F238" s="240" t="n"/>
      <c r="G238" s="240" t="n"/>
      <c r="H238" s="241" t="n"/>
      <c r="I238" s="242" t="n"/>
      <c r="J238" s="242" t="n"/>
      <c r="K238" s="233" t="n"/>
      <c r="L238" s="233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27" t="n"/>
      <c r="B239" s="228" t="n"/>
      <c r="C239" s="229" t="n"/>
      <c r="D239" s="229" t="n"/>
      <c r="E239" s="229" t="n"/>
      <c r="F239" s="230" t="n"/>
      <c r="G239" s="230" t="n"/>
      <c r="H239" s="231" t="n"/>
      <c r="I239" s="232" t="n"/>
      <c r="J239" s="232" t="n"/>
      <c r="K239" s="233" t="n"/>
      <c r="L239" s="233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37" t="n"/>
      <c r="B240" s="238" t="n"/>
      <c r="C240" s="239" t="n"/>
      <c r="D240" s="239" t="n"/>
      <c r="E240" s="239" t="n"/>
      <c r="F240" s="240" t="n"/>
      <c r="G240" s="240" t="n"/>
      <c r="H240" s="241" t="n"/>
      <c r="I240" s="242" t="n"/>
      <c r="J240" s="242" t="n"/>
      <c r="K240" s="233" t="n"/>
      <c r="L240" s="233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27" t="n"/>
      <c r="B241" s="228" t="n"/>
      <c r="C241" s="229" t="n"/>
      <c r="D241" s="229" t="n"/>
      <c r="E241" s="229" t="n"/>
      <c r="F241" s="230" t="n"/>
      <c r="G241" s="230" t="n"/>
      <c r="H241" s="231" t="n"/>
      <c r="I241" s="232" t="n"/>
      <c r="J241" s="232" t="n"/>
      <c r="K241" s="233" t="n"/>
      <c r="L241" s="233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37" t="n"/>
      <c r="B242" s="238" t="n"/>
      <c r="C242" s="239" t="n"/>
      <c r="D242" s="239" t="n"/>
      <c r="E242" s="239" t="n"/>
      <c r="F242" s="240" t="n"/>
      <c r="G242" s="240" t="n"/>
      <c r="H242" s="241" t="n"/>
      <c r="I242" s="242" t="n"/>
      <c r="J242" s="242" t="n"/>
      <c r="K242" s="233" t="n"/>
      <c r="L242" s="233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27" t="n"/>
      <c r="B243" s="228" t="n"/>
      <c r="C243" s="229" t="n"/>
      <c r="D243" s="229" t="n"/>
      <c r="E243" s="229" t="n"/>
      <c r="F243" s="230" t="n"/>
      <c r="G243" s="230" t="n"/>
      <c r="H243" s="231" t="n"/>
      <c r="I243" s="232" t="n"/>
      <c r="J243" s="232" t="n"/>
      <c r="K243" s="233" t="n"/>
      <c r="L243" s="233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37" t="n"/>
      <c r="B244" s="238" t="n"/>
      <c r="C244" s="239" t="n"/>
      <c r="D244" s="239" t="n"/>
      <c r="E244" s="239" t="n"/>
      <c r="F244" s="240" t="n"/>
      <c r="G244" s="240" t="n"/>
      <c r="H244" s="241" t="n"/>
      <c r="I244" s="242" t="n"/>
      <c r="J244" s="242" t="n"/>
      <c r="K244" s="233" t="n"/>
      <c r="L244" s="233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27" t="n"/>
      <c r="B245" s="228" t="n"/>
      <c r="C245" s="229" t="n"/>
      <c r="D245" s="229" t="n"/>
      <c r="E245" s="229" t="n"/>
      <c r="F245" s="230" t="n"/>
      <c r="G245" s="230" t="n"/>
      <c r="H245" s="231" t="n"/>
      <c r="I245" s="232" t="n"/>
      <c r="J245" s="232" t="n"/>
      <c r="K245" s="233" t="n"/>
      <c r="L245" s="233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37" t="n"/>
      <c r="B246" s="238" t="n"/>
      <c r="C246" s="239" t="n"/>
      <c r="D246" s="239" t="n"/>
      <c r="E246" s="239" t="n"/>
      <c r="F246" s="240" t="n"/>
      <c r="G246" s="240" t="n"/>
      <c r="H246" s="241" t="n"/>
      <c r="I246" s="242" t="n"/>
      <c r="J246" s="242" t="n"/>
      <c r="K246" s="233" t="n"/>
      <c r="L246" s="233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27" t="n"/>
      <c r="B247" s="228" t="n"/>
      <c r="C247" s="229" t="n"/>
      <c r="D247" s="229" t="n"/>
      <c r="E247" s="229" t="n"/>
      <c r="F247" s="230" t="n"/>
      <c r="G247" s="230" t="n"/>
      <c r="H247" s="231" t="n"/>
      <c r="I247" s="232" t="n"/>
      <c r="J247" s="232" t="n"/>
      <c r="K247" s="233" t="n"/>
      <c r="L247" s="233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37" t="n"/>
      <c r="B248" s="238" t="n"/>
      <c r="C248" s="239" t="n"/>
      <c r="D248" s="239" t="n"/>
      <c r="E248" s="239" t="n"/>
      <c r="F248" s="240" t="n"/>
      <c r="G248" s="240" t="n"/>
      <c r="H248" s="241" t="n"/>
      <c r="I248" s="242" t="n"/>
      <c r="J248" s="242" t="n"/>
      <c r="K248" s="233" t="n"/>
      <c r="L248" s="233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27" t="n"/>
      <c r="B249" s="228" t="n"/>
      <c r="C249" s="229" t="n"/>
      <c r="D249" s="229" t="n"/>
      <c r="E249" s="229" t="n"/>
      <c r="F249" s="230" t="n"/>
      <c r="G249" s="230" t="n"/>
      <c r="H249" s="231" t="n"/>
      <c r="I249" s="232" t="n"/>
      <c r="J249" s="232" t="n"/>
      <c r="K249" s="233" t="n"/>
      <c r="L249" s="233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37" t="n"/>
      <c r="B250" s="238" t="n"/>
      <c r="C250" s="239" t="n"/>
      <c r="D250" s="239" t="n"/>
      <c r="E250" s="239" t="n"/>
      <c r="F250" s="240" t="n"/>
      <c r="G250" s="240" t="n"/>
      <c r="H250" s="241" t="n"/>
      <c r="I250" s="242" t="n"/>
      <c r="J250" s="242" t="n"/>
      <c r="K250" s="233" t="n"/>
      <c r="L250" s="233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27" t="n"/>
      <c r="B251" s="228" t="n"/>
      <c r="C251" s="229" t="n"/>
      <c r="D251" s="229" t="n"/>
      <c r="E251" s="229" t="n"/>
      <c r="F251" s="230" t="n"/>
      <c r="G251" s="230" t="n"/>
      <c r="H251" s="231" t="n"/>
      <c r="I251" s="232" t="n"/>
      <c r="J251" s="232" t="n"/>
      <c r="K251" s="233" t="n"/>
      <c r="L251" s="233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37" t="n"/>
      <c r="B252" s="238" t="n"/>
      <c r="C252" s="239" t="n"/>
      <c r="D252" s="239" t="n"/>
      <c r="E252" s="239" t="n"/>
      <c r="F252" s="240" t="n"/>
      <c r="G252" s="240" t="n"/>
      <c r="H252" s="241" t="n"/>
      <c r="I252" s="242" t="n"/>
      <c r="J252" s="242" t="n"/>
      <c r="K252" s="233" t="n"/>
      <c r="L252" s="233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27" t="n"/>
      <c r="B253" s="228" t="n"/>
      <c r="C253" s="229" t="n"/>
      <c r="D253" s="229" t="n"/>
      <c r="E253" s="229" t="n"/>
      <c r="F253" s="230" t="n"/>
      <c r="G253" s="230" t="n"/>
      <c r="H253" s="231" t="n"/>
      <c r="I253" s="232" t="n"/>
      <c r="J253" s="232" t="n"/>
      <c r="K253" s="233" t="n"/>
      <c r="L253" s="233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37" t="n"/>
      <c r="B254" s="238" t="n"/>
      <c r="C254" s="239" t="n"/>
      <c r="D254" s="239" t="n"/>
      <c r="E254" s="239" t="n"/>
      <c r="F254" s="240" t="n"/>
      <c r="G254" s="240" t="n"/>
      <c r="H254" s="241" t="n"/>
      <c r="I254" s="242" t="n"/>
      <c r="J254" s="242" t="n"/>
      <c r="K254" s="233" t="n"/>
      <c r="L254" s="233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27" t="n"/>
      <c r="B255" s="228" t="n"/>
      <c r="C255" s="229" t="n"/>
      <c r="D255" s="229" t="n"/>
      <c r="E255" s="229" t="n"/>
      <c r="F255" s="230" t="n"/>
      <c r="G255" s="230" t="n"/>
      <c r="H255" s="231" t="n"/>
      <c r="I255" s="232" t="n"/>
      <c r="J255" s="232" t="n"/>
      <c r="K255" s="233" t="n"/>
      <c r="L255" s="233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37" t="n"/>
      <c r="B256" s="238" t="n"/>
      <c r="C256" s="239" t="n"/>
      <c r="D256" s="239" t="n"/>
      <c r="E256" s="239" t="n"/>
      <c r="F256" s="240" t="n"/>
      <c r="G256" s="240" t="n"/>
      <c r="H256" s="241" t="n"/>
      <c r="I256" s="242" t="n"/>
      <c r="J256" s="242" t="n"/>
      <c r="K256" s="233" t="n"/>
      <c r="L256" s="233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27" t="n"/>
      <c r="B257" s="228" t="n"/>
      <c r="C257" s="229" t="n"/>
      <c r="D257" s="229" t="n"/>
      <c r="E257" s="229" t="n"/>
      <c r="F257" s="230" t="n"/>
      <c r="G257" s="230" t="n"/>
      <c r="H257" s="231" t="n"/>
      <c r="I257" s="232" t="n"/>
      <c r="J257" s="232" t="n"/>
      <c r="K257" s="233" t="n"/>
      <c r="L257" s="233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37" t="n"/>
      <c r="B258" s="238" t="n"/>
      <c r="C258" s="239" t="n"/>
      <c r="D258" s="239" t="n"/>
      <c r="E258" s="239" t="n"/>
      <c r="F258" s="240" t="n"/>
      <c r="G258" s="240" t="n"/>
      <c r="H258" s="241" t="n"/>
      <c r="I258" s="242" t="n"/>
      <c r="J258" s="242" t="n"/>
      <c r="K258" s="233" t="n"/>
      <c r="L258" s="233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27" t="n"/>
      <c r="B259" s="228" t="n"/>
      <c r="C259" s="229" t="n"/>
      <c r="D259" s="229" t="n"/>
      <c r="E259" s="229" t="n"/>
      <c r="F259" s="230" t="n"/>
      <c r="G259" s="230" t="n"/>
      <c r="H259" s="231" t="n"/>
      <c r="I259" s="232" t="n"/>
      <c r="J259" s="232" t="n"/>
      <c r="K259" s="233" t="n"/>
      <c r="L259" s="233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37" t="n"/>
      <c r="B260" s="238" t="n"/>
      <c r="C260" s="239" t="n"/>
      <c r="D260" s="239" t="n"/>
      <c r="E260" s="239" t="n"/>
      <c r="F260" s="240" t="n"/>
      <c r="G260" s="240" t="n"/>
      <c r="H260" s="241" t="n"/>
      <c r="I260" s="242" t="n"/>
      <c r="J260" s="242" t="n"/>
      <c r="K260" s="233" t="n"/>
      <c r="L260" s="233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27" t="n"/>
      <c r="B261" s="228" t="n"/>
      <c r="C261" s="229" t="n"/>
      <c r="D261" s="229" t="n"/>
      <c r="E261" s="229" t="n"/>
      <c r="F261" s="230" t="n"/>
      <c r="G261" s="230" t="n"/>
      <c r="H261" s="231" t="n"/>
      <c r="I261" s="232" t="n"/>
      <c r="J261" s="232" t="n"/>
      <c r="K261" s="233" t="n"/>
      <c r="L261" s="233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37" t="n"/>
      <c r="B262" s="238" t="n"/>
      <c r="C262" s="239" t="n"/>
      <c r="D262" s="239" t="n"/>
      <c r="E262" s="239" t="n"/>
      <c r="F262" s="240" t="n"/>
      <c r="G262" s="240" t="n"/>
      <c r="H262" s="241" t="n"/>
      <c r="I262" s="242" t="n"/>
      <c r="J262" s="242" t="n"/>
      <c r="K262" s="233" t="n"/>
      <c r="L262" s="233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27" t="n"/>
      <c r="B263" s="228" t="n"/>
      <c r="C263" s="229" t="n"/>
      <c r="D263" s="229" t="n"/>
      <c r="E263" s="229" t="n"/>
      <c r="F263" s="230" t="n"/>
      <c r="G263" s="230" t="n"/>
      <c r="H263" s="231" t="n"/>
      <c r="I263" s="232" t="n"/>
      <c r="J263" s="232" t="n"/>
      <c r="K263" s="233" t="n"/>
      <c r="L263" s="233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37" t="n"/>
      <c r="B264" s="238" t="n"/>
      <c r="C264" s="239" t="n"/>
      <c r="D264" s="239" t="n"/>
      <c r="E264" s="239" t="n"/>
      <c r="F264" s="240" t="n"/>
      <c r="G264" s="240" t="n"/>
      <c r="H264" s="241" t="n"/>
      <c r="I264" s="242" t="n"/>
      <c r="J264" s="242" t="n"/>
      <c r="K264" s="233" t="n"/>
      <c r="L264" s="233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27" t="n"/>
      <c r="B265" s="228" t="n"/>
      <c r="C265" s="229" t="n"/>
      <c r="D265" s="229" t="n"/>
      <c r="E265" s="229" t="n"/>
      <c r="F265" s="230" t="n"/>
      <c r="G265" s="230" t="n"/>
      <c r="H265" s="231" t="n"/>
      <c r="I265" s="232" t="n"/>
      <c r="J265" s="232" t="n"/>
      <c r="K265" s="233" t="n"/>
      <c r="L265" s="233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37" t="n"/>
      <c r="B266" s="238" t="n"/>
      <c r="C266" s="239" t="n"/>
      <c r="D266" s="239" t="n"/>
      <c r="E266" s="239" t="n"/>
      <c r="F266" s="240" t="n"/>
      <c r="G266" s="240" t="n"/>
      <c r="H266" s="241" t="n"/>
      <c r="I266" s="242" t="n"/>
      <c r="J266" s="242" t="n"/>
      <c r="K266" s="233" t="n"/>
      <c r="L266" s="233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27" t="n"/>
      <c r="B267" s="228" t="n"/>
      <c r="C267" s="229" t="n"/>
      <c r="D267" s="229" t="n"/>
      <c r="E267" s="229" t="n"/>
      <c r="F267" s="230" t="n"/>
      <c r="G267" s="230" t="n"/>
      <c r="H267" s="231" t="n"/>
      <c r="I267" s="232" t="n"/>
      <c r="J267" s="232" t="n"/>
      <c r="K267" s="233" t="n"/>
      <c r="L267" s="233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37" t="n"/>
      <c r="B268" s="238" t="n"/>
      <c r="C268" s="239" t="n"/>
      <c r="D268" s="239" t="n"/>
      <c r="E268" s="239" t="n"/>
      <c r="F268" s="240" t="n"/>
      <c r="G268" s="240" t="n"/>
      <c r="H268" s="241" t="n"/>
      <c r="I268" s="242" t="n"/>
      <c r="J268" s="242" t="n"/>
      <c r="K268" s="233" t="n"/>
      <c r="L268" s="233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27" t="n"/>
      <c r="B269" s="228" t="n"/>
      <c r="C269" s="229" t="n"/>
      <c r="D269" s="229" t="n"/>
      <c r="E269" s="229" t="n"/>
      <c r="F269" s="230" t="n"/>
      <c r="G269" s="230" t="n"/>
      <c r="H269" s="231" t="n"/>
      <c r="I269" s="232" t="n"/>
      <c r="J269" s="232" t="n"/>
      <c r="K269" s="233" t="n"/>
      <c r="L269" s="233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37" t="n"/>
      <c r="B270" s="238" t="n"/>
      <c r="C270" s="239" t="n"/>
      <c r="D270" s="239" t="n"/>
      <c r="E270" s="239" t="n"/>
      <c r="F270" s="240" t="n"/>
      <c r="G270" s="240" t="n"/>
      <c r="H270" s="241" t="n"/>
      <c r="I270" s="242" t="n"/>
      <c r="J270" s="242" t="n"/>
      <c r="K270" s="233" t="n"/>
      <c r="L270" s="233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27" t="n"/>
      <c r="B271" s="228" t="n"/>
      <c r="C271" s="229" t="n"/>
      <c r="D271" s="229" t="n"/>
      <c r="E271" s="229" t="n"/>
      <c r="F271" s="230" t="n"/>
      <c r="G271" s="230" t="n"/>
      <c r="H271" s="231" t="n"/>
      <c r="I271" s="232" t="n"/>
      <c r="J271" s="232" t="n"/>
      <c r="K271" s="233" t="n"/>
      <c r="L271" s="233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37" t="n"/>
      <c r="B272" s="238" t="n"/>
      <c r="C272" s="239" t="n"/>
      <c r="D272" s="239" t="n"/>
      <c r="E272" s="239" t="n"/>
      <c r="F272" s="240" t="n"/>
      <c r="G272" s="240" t="n"/>
      <c r="H272" s="241" t="n"/>
      <c r="I272" s="242" t="n"/>
      <c r="J272" s="242" t="n"/>
      <c r="K272" s="233" t="n"/>
      <c r="L272" s="233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27" t="n"/>
      <c r="B273" s="228" t="n"/>
      <c r="C273" s="229" t="n"/>
      <c r="D273" s="229" t="n"/>
      <c r="E273" s="229" t="n"/>
      <c r="F273" s="230" t="n"/>
      <c r="G273" s="230" t="n"/>
      <c r="H273" s="231" t="n"/>
      <c r="I273" s="232" t="n"/>
      <c r="J273" s="232" t="n"/>
      <c r="K273" s="233" t="n"/>
      <c r="L273" s="233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37" t="n"/>
      <c r="B274" s="238" t="n"/>
      <c r="C274" s="239" t="n"/>
      <c r="D274" s="239" t="n"/>
      <c r="E274" s="239" t="n"/>
      <c r="F274" s="240" t="n"/>
      <c r="G274" s="240" t="n"/>
      <c r="H274" s="241" t="n"/>
      <c r="I274" s="242" t="n"/>
      <c r="J274" s="242" t="n"/>
      <c r="K274" s="233" t="n"/>
      <c r="L274" s="233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27" t="n"/>
      <c r="B275" s="228" t="n"/>
      <c r="C275" s="229" t="n"/>
      <c r="D275" s="229" t="n"/>
      <c r="E275" s="229" t="n"/>
      <c r="F275" s="230" t="n"/>
      <c r="G275" s="230" t="n"/>
      <c r="H275" s="231" t="n"/>
      <c r="I275" s="232" t="n"/>
      <c r="J275" s="232" t="n"/>
      <c r="K275" s="233" t="n"/>
      <c r="L275" s="233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37" t="n"/>
      <c r="B276" s="238" t="n"/>
      <c r="C276" s="239" t="n"/>
      <c r="D276" s="239" t="n"/>
      <c r="E276" s="239" t="n"/>
      <c r="F276" s="240" t="n"/>
      <c r="G276" s="240" t="n"/>
      <c r="H276" s="241" t="n"/>
      <c r="I276" s="242" t="n"/>
      <c r="J276" s="242" t="n"/>
      <c r="K276" s="233" t="n"/>
      <c r="L276" s="233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27" t="n"/>
      <c r="B277" s="228" t="n"/>
      <c r="C277" s="229" t="n"/>
      <c r="D277" s="229" t="n"/>
      <c r="E277" s="229" t="n"/>
      <c r="F277" s="230" t="n"/>
      <c r="G277" s="230" t="n"/>
      <c r="H277" s="231" t="n"/>
      <c r="I277" s="232" t="n"/>
      <c r="J277" s="232" t="n"/>
      <c r="K277" s="233" t="n"/>
      <c r="L277" s="233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37" t="n"/>
      <c r="B278" s="238" t="n"/>
      <c r="C278" s="239" t="n"/>
      <c r="D278" s="239" t="n"/>
      <c r="E278" s="239" t="n"/>
      <c r="F278" s="240" t="n"/>
      <c r="G278" s="240" t="n"/>
      <c r="H278" s="241" t="n"/>
      <c r="I278" s="242" t="n"/>
      <c r="J278" s="242" t="n"/>
      <c r="K278" s="233" t="n"/>
      <c r="L278" s="233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27" t="n"/>
      <c r="B279" s="228" t="n"/>
      <c r="C279" s="229" t="n"/>
      <c r="D279" s="229" t="n"/>
      <c r="E279" s="229" t="n"/>
      <c r="F279" s="230" t="n"/>
      <c r="G279" s="230" t="n"/>
      <c r="H279" s="231" t="n"/>
      <c r="I279" s="232" t="n"/>
      <c r="J279" s="232" t="n"/>
      <c r="K279" s="233" t="n"/>
      <c r="L279" s="233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37" t="n"/>
      <c r="B280" s="238" t="n"/>
      <c r="C280" s="239" t="n"/>
      <c r="D280" s="239" t="n"/>
      <c r="E280" s="239" t="n"/>
      <c r="F280" s="240" t="n"/>
      <c r="G280" s="240" t="n"/>
      <c r="H280" s="241" t="n"/>
      <c r="I280" s="242" t="n"/>
      <c r="J280" s="242" t="n"/>
      <c r="K280" s="233" t="n"/>
      <c r="L280" s="233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27" t="n"/>
      <c r="B281" s="228" t="n"/>
      <c r="C281" s="229" t="n"/>
      <c r="D281" s="229" t="n"/>
      <c r="E281" s="229" t="n"/>
      <c r="F281" s="230" t="n"/>
      <c r="G281" s="230" t="n"/>
      <c r="H281" s="231" t="n"/>
      <c r="I281" s="232" t="n"/>
      <c r="J281" s="232" t="n"/>
      <c r="K281" s="233" t="n"/>
      <c r="L281" s="233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37" t="n"/>
      <c r="B282" s="238" t="n"/>
      <c r="C282" s="239" t="n"/>
      <c r="D282" s="239" t="n"/>
      <c r="E282" s="239" t="n"/>
      <c r="F282" s="240" t="n"/>
      <c r="G282" s="240" t="n"/>
      <c r="H282" s="241" t="n"/>
      <c r="I282" s="242" t="n"/>
      <c r="J282" s="242" t="n"/>
      <c r="K282" s="233" t="n"/>
      <c r="L282" s="233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27" t="n"/>
      <c r="B283" s="228" t="n"/>
      <c r="C283" s="229" t="n"/>
      <c r="D283" s="229" t="n"/>
      <c r="E283" s="229" t="n"/>
      <c r="F283" s="230" t="n"/>
      <c r="G283" s="230" t="n"/>
      <c r="H283" s="231" t="n"/>
      <c r="I283" s="232" t="n"/>
      <c r="J283" s="232" t="n"/>
      <c r="K283" s="233" t="n"/>
      <c r="L283" s="233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37" t="n"/>
      <c r="B284" s="238" t="n"/>
      <c r="C284" s="239" t="n"/>
      <c r="D284" s="239" t="n"/>
      <c r="E284" s="239" t="n"/>
      <c r="F284" s="240" t="n"/>
      <c r="G284" s="240" t="n"/>
      <c r="H284" s="241" t="n"/>
      <c r="I284" s="242" t="n"/>
      <c r="J284" s="242" t="n"/>
      <c r="K284" s="233" t="n"/>
      <c r="L284" s="233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27" t="n"/>
      <c r="B285" s="228" t="n"/>
      <c r="C285" s="229" t="n"/>
      <c r="D285" s="229" t="n"/>
      <c r="E285" s="229" t="n"/>
      <c r="F285" s="230" t="n"/>
      <c r="G285" s="230" t="n"/>
      <c r="H285" s="231" t="n"/>
      <c r="I285" s="232" t="n"/>
      <c r="J285" s="232" t="n"/>
      <c r="K285" s="233" t="n"/>
      <c r="L285" s="233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37" t="n"/>
      <c r="B286" s="238" t="n"/>
      <c r="C286" s="239" t="n"/>
      <c r="D286" s="239" t="n"/>
      <c r="E286" s="239" t="n"/>
      <c r="F286" s="240" t="n"/>
      <c r="G286" s="240" t="n"/>
      <c r="H286" s="241" t="n"/>
      <c r="I286" s="242" t="n"/>
      <c r="J286" s="242" t="n"/>
      <c r="K286" s="233" t="n"/>
      <c r="L286" s="233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27" t="n"/>
      <c r="B287" s="228" t="n"/>
      <c r="C287" s="229" t="n"/>
      <c r="D287" s="229" t="n"/>
      <c r="E287" s="229" t="n"/>
      <c r="F287" s="230" t="n"/>
      <c r="G287" s="230" t="n"/>
      <c r="H287" s="231" t="n"/>
      <c r="I287" s="232" t="n"/>
      <c r="J287" s="232" t="n"/>
      <c r="K287" s="233" t="n"/>
      <c r="L287" s="233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37" t="n"/>
      <c r="B288" s="238" t="n"/>
      <c r="C288" s="239" t="n"/>
      <c r="D288" s="239" t="n"/>
      <c r="E288" s="239" t="n"/>
      <c r="F288" s="240" t="n"/>
      <c r="G288" s="240" t="n"/>
      <c r="H288" s="241" t="n"/>
      <c r="I288" s="242" t="n"/>
      <c r="J288" s="242" t="n"/>
      <c r="K288" s="233" t="n"/>
      <c r="L288" s="233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27" t="n"/>
      <c r="B289" s="228" t="n"/>
      <c r="C289" s="229" t="n"/>
      <c r="D289" s="229" t="n"/>
      <c r="E289" s="229" t="n"/>
      <c r="F289" s="230" t="n"/>
      <c r="G289" s="230" t="n"/>
      <c r="H289" s="231" t="n"/>
      <c r="I289" s="232" t="n"/>
      <c r="J289" s="232" t="n"/>
      <c r="K289" s="233" t="n"/>
      <c r="L289" s="233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37" t="n"/>
      <c r="B290" s="238" t="n"/>
      <c r="C290" s="239" t="n"/>
      <c r="D290" s="239" t="n"/>
      <c r="E290" s="239" t="n"/>
      <c r="F290" s="240" t="n"/>
      <c r="G290" s="240" t="n"/>
      <c r="H290" s="241" t="n"/>
      <c r="I290" s="242" t="n"/>
      <c r="J290" s="242" t="n"/>
      <c r="K290" s="233" t="n"/>
      <c r="L290" s="233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27" t="n"/>
      <c r="B291" s="228" t="n"/>
      <c r="C291" s="229" t="n"/>
      <c r="D291" s="229" t="n"/>
      <c r="E291" s="229" t="n"/>
      <c r="F291" s="230" t="n"/>
      <c r="G291" s="230" t="n"/>
      <c r="H291" s="231" t="n"/>
      <c r="I291" s="232" t="n"/>
      <c r="J291" s="232" t="n"/>
      <c r="K291" s="233" t="n"/>
      <c r="L291" s="233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37" t="n"/>
      <c r="B292" s="238" t="n"/>
      <c r="C292" s="239" t="n"/>
      <c r="D292" s="239" t="n"/>
      <c r="E292" s="239" t="n"/>
      <c r="F292" s="240" t="n"/>
      <c r="G292" s="240" t="n"/>
      <c r="H292" s="241" t="n"/>
      <c r="I292" s="242" t="n"/>
      <c r="J292" s="242" t="n"/>
      <c r="K292" s="233" t="n"/>
      <c r="L292" s="233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27" t="n"/>
      <c r="B293" s="228" t="n"/>
      <c r="C293" s="229" t="n"/>
      <c r="D293" s="229" t="n"/>
      <c r="E293" s="229" t="n"/>
      <c r="F293" s="230" t="n"/>
      <c r="G293" s="230" t="n"/>
      <c r="H293" s="231" t="n"/>
      <c r="I293" s="232" t="n"/>
      <c r="J293" s="232" t="n"/>
      <c r="K293" s="233" t="n"/>
      <c r="L293" s="233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37" t="n"/>
      <c r="B294" s="238" t="n"/>
      <c r="C294" s="239" t="n"/>
      <c r="D294" s="239" t="n"/>
      <c r="E294" s="239" t="n"/>
      <c r="F294" s="240" t="n"/>
      <c r="G294" s="240" t="n"/>
      <c r="H294" s="241" t="n"/>
      <c r="I294" s="242" t="n"/>
      <c r="J294" s="242" t="n"/>
      <c r="K294" s="233" t="n"/>
      <c r="L294" s="233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27" t="n"/>
      <c r="B295" s="228" t="n"/>
      <c r="C295" s="229" t="n"/>
      <c r="D295" s="229" t="n"/>
      <c r="E295" s="229" t="n"/>
      <c r="F295" s="230" t="n"/>
      <c r="G295" s="230" t="n"/>
      <c r="H295" s="231" t="n"/>
      <c r="I295" s="232" t="n"/>
      <c r="J295" s="232" t="n"/>
      <c r="K295" s="233" t="n"/>
      <c r="L295" s="233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37" t="n"/>
      <c r="B296" s="238" t="n"/>
      <c r="C296" s="239" t="n"/>
      <c r="D296" s="239" t="n"/>
      <c r="E296" s="239" t="n"/>
      <c r="F296" s="240" t="n"/>
      <c r="G296" s="240" t="n"/>
      <c r="H296" s="241" t="n"/>
      <c r="I296" s="242" t="n"/>
      <c r="J296" s="242" t="n"/>
      <c r="K296" s="233" t="n"/>
      <c r="L296" s="233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27" t="n"/>
      <c r="B297" s="228" t="n"/>
      <c r="C297" s="229" t="n"/>
      <c r="D297" s="229" t="n"/>
      <c r="E297" s="229" t="n"/>
      <c r="F297" s="230" t="n"/>
      <c r="G297" s="230" t="n"/>
      <c r="H297" s="231" t="n"/>
      <c r="I297" s="232" t="n"/>
      <c r="J297" s="232" t="n"/>
      <c r="K297" s="233" t="n"/>
      <c r="L297" s="233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37" t="n"/>
      <c r="B298" s="238" t="n"/>
      <c r="C298" s="239" t="n"/>
      <c r="D298" s="239" t="n"/>
      <c r="E298" s="239" t="n"/>
      <c r="F298" s="240" t="n"/>
      <c r="G298" s="240" t="n"/>
      <c r="H298" s="241" t="n"/>
      <c r="I298" s="242" t="n"/>
      <c r="J298" s="242" t="n"/>
      <c r="K298" s="233" t="n"/>
      <c r="L298" s="233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27" t="n"/>
      <c r="B299" s="228" t="n"/>
      <c r="C299" s="229" t="n"/>
      <c r="D299" s="229" t="n"/>
      <c r="E299" s="229" t="n"/>
      <c r="F299" s="230" t="n"/>
      <c r="G299" s="230" t="n"/>
      <c r="H299" s="231" t="n"/>
      <c r="I299" s="232" t="n"/>
      <c r="J299" s="232" t="n"/>
      <c r="K299" s="233" t="n"/>
      <c r="L299" s="233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37" t="n"/>
      <c r="B300" s="238" t="n"/>
      <c r="C300" s="239" t="n"/>
      <c r="D300" s="239" t="n"/>
      <c r="E300" s="239" t="n"/>
      <c r="F300" s="240" t="n"/>
      <c r="G300" s="240" t="n"/>
      <c r="H300" s="241" t="n"/>
      <c r="I300" s="242" t="n"/>
      <c r="J300" s="242" t="n"/>
      <c r="K300" s="233" t="n"/>
      <c r="L300" s="233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27" t="n"/>
      <c r="B301" s="228" t="n"/>
      <c r="C301" s="229" t="n"/>
      <c r="D301" s="229" t="n"/>
      <c r="E301" s="229" t="n"/>
      <c r="F301" s="230" t="n"/>
      <c r="G301" s="230" t="n"/>
      <c r="H301" s="231" t="n"/>
      <c r="I301" s="232" t="n"/>
      <c r="J301" s="232" t="n"/>
      <c r="K301" s="233" t="n"/>
      <c r="L301" s="233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37" t="n"/>
      <c r="B302" s="238" t="n"/>
      <c r="C302" s="239" t="n"/>
      <c r="D302" s="239" t="n"/>
      <c r="E302" s="239" t="n"/>
      <c r="F302" s="240" t="n"/>
      <c r="G302" s="240" t="n"/>
      <c r="H302" s="241" t="n"/>
      <c r="I302" s="242" t="n"/>
      <c r="J302" s="242" t="n"/>
      <c r="K302" s="233" t="n"/>
      <c r="L302" s="233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27" t="n"/>
      <c r="B303" s="228" t="n"/>
      <c r="C303" s="229" t="n"/>
      <c r="D303" s="229" t="n"/>
      <c r="E303" s="229" t="n"/>
      <c r="F303" s="230" t="n"/>
      <c r="G303" s="230" t="n"/>
      <c r="H303" s="231" t="n"/>
      <c r="I303" s="232" t="n"/>
      <c r="J303" s="232" t="n"/>
      <c r="K303" s="233" t="n"/>
      <c r="L303" s="233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37" t="n"/>
      <c r="B304" s="238" t="n"/>
      <c r="C304" s="239" t="n"/>
      <c r="D304" s="239" t="n"/>
      <c r="E304" s="239" t="n"/>
      <c r="F304" s="240" t="n"/>
      <c r="G304" s="240" t="n"/>
      <c r="H304" s="241" t="n"/>
      <c r="I304" s="242" t="n"/>
      <c r="J304" s="242" t="n"/>
      <c r="K304" s="233" t="n"/>
      <c r="L304" s="233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27" t="n"/>
      <c r="B305" s="228" t="n"/>
      <c r="C305" s="229" t="n"/>
      <c r="D305" s="229" t="n"/>
      <c r="E305" s="229" t="n"/>
      <c r="F305" s="230" t="n"/>
      <c r="G305" s="230" t="n"/>
      <c r="H305" s="231" t="n"/>
      <c r="I305" s="232" t="n"/>
      <c r="J305" s="232" t="n"/>
      <c r="K305" s="233" t="n"/>
      <c r="L305" s="233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37" t="n"/>
      <c r="B306" s="238" t="n"/>
      <c r="C306" s="239" t="n"/>
      <c r="D306" s="239" t="n"/>
      <c r="E306" s="239" t="n"/>
      <c r="F306" s="240" t="n"/>
      <c r="G306" s="240" t="n"/>
      <c r="H306" s="241" t="n"/>
      <c r="I306" s="242" t="n"/>
      <c r="J306" s="242" t="n"/>
      <c r="K306" s="233" t="n"/>
      <c r="L306" s="233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27" t="n"/>
      <c r="B307" s="228" t="n"/>
      <c r="C307" s="229" t="n"/>
      <c r="D307" s="229" t="n"/>
      <c r="E307" s="229" t="n"/>
      <c r="F307" s="230" t="n"/>
      <c r="G307" s="230" t="n"/>
      <c r="H307" s="231" t="n"/>
      <c r="I307" s="232" t="n"/>
      <c r="J307" s="232" t="n"/>
      <c r="K307" s="233" t="n"/>
      <c r="L307" s="233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37" t="n"/>
      <c r="B308" s="238" t="n"/>
      <c r="C308" s="239" t="n"/>
      <c r="D308" s="239" t="n"/>
      <c r="E308" s="239" t="n"/>
      <c r="F308" s="240" t="n"/>
      <c r="G308" s="240" t="n"/>
      <c r="H308" s="241" t="n"/>
      <c r="I308" s="242" t="n"/>
      <c r="J308" s="242" t="n"/>
      <c r="K308" s="233" t="n"/>
      <c r="L308" s="233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27" t="n"/>
      <c r="B309" s="228" t="n"/>
      <c r="C309" s="229" t="n"/>
      <c r="D309" s="229" t="n"/>
      <c r="E309" s="229" t="n"/>
      <c r="F309" s="230" t="n"/>
      <c r="G309" s="230" t="n"/>
      <c r="H309" s="231" t="n"/>
      <c r="I309" s="232" t="n"/>
      <c r="J309" s="232" t="n"/>
      <c r="K309" s="233" t="n"/>
      <c r="L309" s="233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37" t="n"/>
      <c r="B310" s="238" t="n"/>
      <c r="C310" s="239" t="n"/>
      <c r="D310" s="239" t="n"/>
      <c r="E310" s="239" t="n"/>
      <c r="F310" s="240" t="n"/>
      <c r="G310" s="240" t="n"/>
      <c r="H310" s="241" t="n"/>
      <c r="I310" s="242" t="n"/>
      <c r="J310" s="242" t="n"/>
      <c r="K310" s="233" t="n"/>
      <c r="L310" s="233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27" t="n"/>
      <c r="B311" s="228" t="n"/>
      <c r="C311" s="229" t="n"/>
      <c r="D311" s="229" t="n"/>
      <c r="E311" s="229" t="n"/>
      <c r="F311" s="230" t="n"/>
      <c r="G311" s="230" t="n"/>
      <c r="H311" s="231" t="n"/>
      <c r="I311" s="232" t="n"/>
      <c r="J311" s="232" t="n"/>
      <c r="K311" s="233" t="n"/>
      <c r="L311" s="233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37" t="n"/>
      <c r="B312" s="238" t="n"/>
      <c r="C312" s="239" t="n"/>
      <c r="D312" s="239" t="n"/>
      <c r="E312" s="239" t="n"/>
      <c r="F312" s="240" t="n"/>
      <c r="G312" s="240" t="n"/>
      <c r="H312" s="241" t="n"/>
      <c r="I312" s="242" t="n"/>
      <c r="J312" s="242" t="n"/>
      <c r="K312" s="233" t="n"/>
      <c r="L312" s="233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27" t="n"/>
      <c r="B313" s="228" t="n"/>
      <c r="C313" s="229" t="n"/>
      <c r="D313" s="229" t="n"/>
      <c r="E313" s="229" t="n"/>
      <c r="F313" s="230" t="n"/>
      <c r="G313" s="230" t="n"/>
      <c r="H313" s="231" t="n"/>
      <c r="I313" s="232" t="n"/>
      <c r="J313" s="232" t="n"/>
      <c r="K313" s="233" t="n"/>
      <c r="L313" s="233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37" t="n"/>
      <c r="B314" s="238" t="n"/>
      <c r="C314" s="239" t="n"/>
      <c r="D314" s="239" t="n"/>
      <c r="E314" s="239" t="n"/>
      <c r="F314" s="240" t="n"/>
      <c r="G314" s="240" t="n"/>
      <c r="H314" s="241" t="n"/>
      <c r="I314" s="242" t="n"/>
      <c r="J314" s="242" t="n"/>
      <c r="K314" s="233" t="n"/>
      <c r="L314" s="233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27" t="n"/>
      <c r="B315" s="228" t="n"/>
      <c r="C315" s="229" t="n"/>
      <c r="D315" s="229" t="n"/>
      <c r="E315" s="229" t="n"/>
      <c r="F315" s="230" t="n"/>
      <c r="G315" s="230" t="n"/>
      <c r="H315" s="231" t="n"/>
      <c r="I315" s="232" t="n"/>
      <c r="J315" s="232" t="n"/>
      <c r="K315" s="233" t="n"/>
      <c r="L315" s="233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37" t="n"/>
      <c r="B316" s="238" t="n"/>
      <c r="C316" s="239" t="n"/>
      <c r="D316" s="239" t="n"/>
      <c r="E316" s="239" t="n"/>
      <c r="F316" s="240" t="n"/>
      <c r="G316" s="240" t="n"/>
      <c r="H316" s="241" t="n"/>
      <c r="I316" s="242" t="n"/>
      <c r="J316" s="242" t="n"/>
      <c r="K316" s="233" t="n"/>
      <c r="L316" s="233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27" t="n"/>
      <c r="B317" s="228" t="n"/>
      <c r="C317" s="229" t="n"/>
      <c r="D317" s="229" t="n"/>
      <c r="E317" s="229" t="n"/>
      <c r="F317" s="230" t="n"/>
      <c r="G317" s="230" t="n"/>
      <c r="H317" s="231" t="n"/>
      <c r="I317" s="232" t="n"/>
      <c r="J317" s="232" t="n"/>
      <c r="K317" s="233" t="n"/>
      <c r="L317" s="233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37" t="n"/>
      <c r="B318" s="238" t="n"/>
      <c r="C318" s="239" t="n"/>
      <c r="D318" s="239" t="n"/>
      <c r="E318" s="239" t="n"/>
      <c r="F318" s="240" t="n"/>
      <c r="G318" s="240" t="n"/>
      <c r="H318" s="241" t="n"/>
      <c r="I318" s="242" t="n"/>
      <c r="J318" s="242" t="n"/>
      <c r="K318" s="233" t="n"/>
      <c r="L318" s="233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27" t="n"/>
      <c r="B319" s="228" t="n"/>
      <c r="C319" s="229" t="n"/>
      <c r="D319" s="229" t="n"/>
      <c r="E319" s="229" t="n"/>
      <c r="F319" s="230" t="n"/>
      <c r="G319" s="230" t="n"/>
      <c r="H319" s="231" t="n"/>
      <c r="I319" s="232" t="n"/>
      <c r="J319" s="232" t="n"/>
      <c r="K319" s="233" t="n"/>
      <c r="L319" s="233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37" t="n"/>
      <c r="B320" s="238" t="n"/>
      <c r="C320" s="239" t="n"/>
      <c r="D320" s="239" t="n"/>
      <c r="E320" s="239" t="n"/>
      <c r="F320" s="240" t="n"/>
      <c r="G320" s="240" t="n"/>
      <c r="H320" s="241" t="n"/>
      <c r="I320" s="242" t="n"/>
      <c r="J320" s="242" t="n"/>
      <c r="K320" s="233" t="n"/>
      <c r="L320" s="233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27" t="n"/>
      <c r="B321" s="228" t="n"/>
      <c r="C321" s="229" t="n"/>
      <c r="D321" s="229" t="n"/>
      <c r="E321" s="229" t="n"/>
      <c r="F321" s="230" t="n"/>
      <c r="G321" s="230" t="n"/>
      <c r="H321" s="231" t="n"/>
      <c r="I321" s="232" t="n"/>
      <c r="J321" s="232" t="n"/>
      <c r="K321" s="233" t="n"/>
      <c r="L321" s="233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37" t="n"/>
      <c r="B322" s="238" t="n"/>
      <c r="C322" s="239" t="n"/>
      <c r="D322" s="239" t="n"/>
      <c r="E322" s="239" t="n"/>
      <c r="F322" s="240" t="n"/>
      <c r="G322" s="240" t="n"/>
      <c r="H322" s="241" t="n"/>
      <c r="I322" s="242" t="n"/>
      <c r="J322" s="242" t="n"/>
      <c r="K322" s="233" t="n"/>
      <c r="L322" s="233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27" t="n"/>
      <c r="B323" s="228" t="n"/>
      <c r="C323" s="229" t="n"/>
      <c r="D323" s="229" t="n"/>
      <c r="E323" s="229" t="n"/>
      <c r="F323" s="230" t="n"/>
      <c r="G323" s="230" t="n"/>
      <c r="H323" s="231" t="n"/>
      <c r="I323" s="232" t="n"/>
      <c r="J323" s="232" t="n"/>
      <c r="K323" s="233" t="n"/>
      <c r="L323" s="233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37" t="n"/>
      <c r="B324" s="238" t="n"/>
      <c r="C324" s="239" t="n"/>
      <c r="D324" s="239" t="n"/>
      <c r="E324" s="239" t="n"/>
      <c r="F324" s="240" t="n"/>
      <c r="G324" s="240" t="n"/>
      <c r="H324" s="241" t="n"/>
      <c r="I324" s="242" t="n"/>
      <c r="J324" s="242" t="n"/>
      <c r="K324" s="233" t="n"/>
      <c r="L324" s="233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27" t="n"/>
      <c r="B325" s="228" t="n"/>
      <c r="C325" s="229" t="n"/>
      <c r="D325" s="229" t="n"/>
      <c r="E325" s="229" t="n"/>
      <c r="F325" s="230" t="n"/>
      <c r="G325" s="230" t="n"/>
      <c r="H325" s="231" t="n"/>
      <c r="I325" s="232" t="n"/>
      <c r="J325" s="232" t="n"/>
      <c r="K325" s="233" t="n"/>
      <c r="L325" s="233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37" t="n"/>
      <c r="B326" s="238" t="n"/>
      <c r="C326" s="239" t="n"/>
      <c r="D326" s="239" t="n"/>
      <c r="E326" s="239" t="n"/>
      <c r="F326" s="240" t="n"/>
      <c r="G326" s="240" t="n"/>
      <c r="H326" s="241" t="n"/>
      <c r="I326" s="242" t="n"/>
      <c r="J326" s="242" t="n"/>
      <c r="K326" s="233" t="n"/>
      <c r="L326" s="233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27" t="n"/>
      <c r="B327" s="228" t="n"/>
      <c r="C327" s="229" t="n"/>
      <c r="D327" s="229" t="n"/>
      <c r="E327" s="229" t="n"/>
      <c r="F327" s="230" t="n"/>
      <c r="G327" s="230" t="n"/>
      <c r="H327" s="231" t="n"/>
      <c r="I327" s="232" t="n"/>
      <c r="J327" s="232" t="n"/>
      <c r="K327" s="233" t="n"/>
      <c r="L327" s="233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37" t="n"/>
      <c r="B328" s="238" t="n"/>
      <c r="C328" s="239" t="n"/>
      <c r="D328" s="239" t="n"/>
      <c r="E328" s="239" t="n"/>
      <c r="F328" s="240" t="n"/>
      <c r="G328" s="240" t="n"/>
      <c r="H328" s="241" t="n"/>
      <c r="I328" s="242" t="n"/>
      <c r="J328" s="242" t="n"/>
      <c r="K328" s="233" t="n"/>
      <c r="L328" s="233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27" t="n"/>
      <c r="B329" s="228" t="n"/>
      <c r="C329" s="229" t="n"/>
      <c r="D329" s="229" t="n"/>
      <c r="E329" s="229" t="n"/>
      <c r="F329" s="230" t="n"/>
      <c r="G329" s="230" t="n"/>
      <c r="H329" s="231" t="n"/>
      <c r="I329" s="232" t="n"/>
      <c r="J329" s="232" t="n"/>
      <c r="K329" s="233" t="n"/>
      <c r="L329" s="233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37" t="n"/>
      <c r="B330" s="238" t="n"/>
      <c r="C330" s="239" t="n"/>
      <c r="D330" s="239" t="n"/>
      <c r="E330" s="239" t="n"/>
      <c r="F330" s="240" t="n"/>
      <c r="G330" s="240" t="n"/>
      <c r="H330" s="241" t="n"/>
      <c r="I330" s="242" t="n"/>
      <c r="J330" s="242" t="n"/>
      <c r="K330" s="233" t="n"/>
      <c r="L330" s="233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27" t="n"/>
      <c r="B331" s="228" t="n"/>
      <c r="C331" s="229" t="n"/>
      <c r="D331" s="229" t="n"/>
      <c r="E331" s="229" t="n"/>
      <c r="F331" s="230" t="n"/>
      <c r="G331" s="230" t="n"/>
      <c r="H331" s="231" t="n"/>
      <c r="I331" s="232" t="n"/>
      <c r="J331" s="232" t="n"/>
      <c r="K331" s="233" t="n"/>
      <c r="L331" s="233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37" t="n"/>
      <c r="B332" s="238" t="n"/>
      <c r="C332" s="239" t="n"/>
      <c r="D332" s="239" t="n"/>
      <c r="E332" s="239" t="n"/>
      <c r="F332" s="240" t="n"/>
      <c r="G332" s="240" t="n"/>
      <c r="H332" s="241" t="n"/>
      <c r="I332" s="242" t="n"/>
      <c r="J332" s="242" t="n"/>
      <c r="K332" s="233" t="n"/>
      <c r="L332" s="233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27" t="n"/>
      <c r="B333" s="228" t="n"/>
      <c r="C333" s="229" t="n"/>
      <c r="D333" s="229" t="n"/>
      <c r="E333" s="229" t="n"/>
      <c r="F333" s="230" t="n"/>
      <c r="G333" s="230" t="n"/>
      <c r="H333" s="231" t="n"/>
      <c r="I333" s="232" t="n"/>
      <c r="J333" s="232" t="n"/>
      <c r="K333" s="233" t="n"/>
      <c r="L333" s="233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37" t="n"/>
      <c r="B334" s="238" t="n"/>
      <c r="C334" s="239" t="n"/>
      <c r="D334" s="239" t="n"/>
      <c r="E334" s="239" t="n"/>
      <c r="F334" s="240" t="n"/>
      <c r="G334" s="240" t="n"/>
      <c r="H334" s="241" t="n"/>
      <c r="I334" s="242" t="n"/>
      <c r="J334" s="242" t="n"/>
      <c r="K334" s="233" t="n"/>
      <c r="L334" s="233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27" t="n"/>
      <c r="B335" s="228" t="n"/>
      <c r="C335" s="229" t="n"/>
      <c r="D335" s="229" t="n"/>
      <c r="E335" s="229" t="n"/>
      <c r="F335" s="230" t="n"/>
      <c r="G335" s="230" t="n"/>
      <c r="H335" s="231" t="n"/>
      <c r="I335" s="232" t="n"/>
      <c r="J335" s="232" t="n"/>
      <c r="K335" s="233" t="n"/>
      <c r="L335" s="233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37" t="n"/>
      <c r="B336" s="238" t="n"/>
      <c r="C336" s="239" t="n"/>
      <c r="D336" s="239" t="n"/>
      <c r="E336" s="239" t="n"/>
      <c r="F336" s="240" t="n"/>
      <c r="G336" s="240" t="n"/>
      <c r="H336" s="241" t="n"/>
      <c r="I336" s="242" t="n"/>
      <c r="J336" s="242" t="n"/>
      <c r="K336" s="233" t="n"/>
      <c r="L336" s="233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27" t="n"/>
      <c r="B337" s="228" t="n"/>
      <c r="C337" s="229" t="n"/>
      <c r="D337" s="229" t="n"/>
      <c r="E337" s="229" t="n"/>
      <c r="F337" s="230" t="n"/>
      <c r="G337" s="230" t="n"/>
      <c r="H337" s="231" t="n"/>
      <c r="I337" s="232" t="n"/>
      <c r="J337" s="232" t="n"/>
      <c r="K337" s="233" t="n"/>
      <c r="L337" s="233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37" t="n"/>
      <c r="B338" s="238" t="n"/>
      <c r="C338" s="239" t="n"/>
      <c r="D338" s="239" t="n"/>
      <c r="E338" s="239" t="n"/>
      <c r="F338" s="240" t="n"/>
      <c r="G338" s="240" t="n"/>
      <c r="H338" s="241" t="n"/>
      <c r="I338" s="242" t="n"/>
      <c r="J338" s="242" t="n"/>
      <c r="K338" s="233" t="n"/>
      <c r="L338" s="233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27" t="n"/>
      <c r="B339" s="228" t="n"/>
      <c r="C339" s="229" t="n"/>
      <c r="D339" s="229" t="n"/>
      <c r="E339" s="229" t="n"/>
      <c r="F339" s="230" t="n"/>
      <c r="G339" s="230" t="n"/>
      <c r="H339" s="231" t="n"/>
      <c r="I339" s="232" t="n"/>
      <c r="J339" s="232" t="n"/>
      <c r="K339" s="233" t="n"/>
      <c r="L339" s="233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37" t="n"/>
      <c r="B340" s="238" t="n"/>
      <c r="C340" s="239" t="n"/>
      <c r="D340" s="239" t="n"/>
      <c r="E340" s="239" t="n"/>
      <c r="F340" s="240" t="n"/>
      <c r="G340" s="240" t="n"/>
      <c r="H340" s="241" t="n"/>
      <c r="I340" s="242" t="n"/>
      <c r="J340" s="242" t="n"/>
      <c r="K340" s="233" t="n"/>
      <c r="L340" s="233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27" t="n"/>
      <c r="B341" s="228" t="n"/>
      <c r="C341" s="229" t="n"/>
      <c r="D341" s="229" t="n"/>
      <c r="E341" s="229" t="n"/>
      <c r="F341" s="230" t="n"/>
      <c r="G341" s="230" t="n"/>
      <c r="H341" s="231" t="n"/>
      <c r="I341" s="232" t="n"/>
      <c r="J341" s="232" t="n"/>
      <c r="K341" s="233" t="n"/>
      <c r="L341" s="233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37" t="n"/>
      <c r="B342" s="238" t="n"/>
      <c r="C342" s="239" t="n"/>
      <c r="D342" s="239" t="n"/>
      <c r="E342" s="239" t="n"/>
      <c r="F342" s="240" t="n"/>
      <c r="G342" s="240" t="n"/>
      <c r="H342" s="241" t="n"/>
      <c r="I342" s="242" t="n"/>
      <c r="J342" s="242" t="n"/>
      <c r="K342" s="233" t="n"/>
      <c r="L342" s="233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27" t="n"/>
      <c r="B343" s="228" t="n"/>
      <c r="C343" s="229" t="n"/>
      <c r="D343" s="229" t="n"/>
      <c r="E343" s="229" t="n"/>
      <c r="F343" s="230" t="n"/>
      <c r="G343" s="230" t="n"/>
      <c r="H343" s="231" t="n"/>
      <c r="I343" s="232" t="n"/>
      <c r="J343" s="232" t="n"/>
      <c r="K343" s="233" t="n"/>
      <c r="L343" s="233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37" t="n"/>
      <c r="B344" s="238" t="n"/>
      <c r="C344" s="239" t="n"/>
      <c r="D344" s="239" t="n"/>
      <c r="E344" s="239" t="n"/>
      <c r="F344" s="240" t="n"/>
      <c r="G344" s="240" t="n"/>
      <c r="H344" s="241" t="n"/>
      <c r="I344" s="242" t="n"/>
      <c r="J344" s="242" t="n"/>
      <c r="K344" s="233" t="n"/>
      <c r="L344" s="233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27" t="n"/>
      <c r="B345" s="228" t="n"/>
      <c r="C345" s="229" t="n"/>
      <c r="D345" s="229" t="n"/>
      <c r="E345" s="229" t="n"/>
      <c r="F345" s="230" t="n"/>
      <c r="G345" s="230" t="n"/>
      <c r="H345" s="231" t="n"/>
      <c r="I345" s="232" t="n"/>
      <c r="J345" s="232" t="n"/>
      <c r="K345" s="233" t="n"/>
      <c r="L345" s="233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37" t="n"/>
      <c r="B346" s="238" t="n"/>
      <c r="C346" s="239" t="n"/>
      <c r="D346" s="239" t="n"/>
      <c r="E346" s="239" t="n"/>
      <c r="F346" s="240" t="n"/>
      <c r="G346" s="240" t="n"/>
      <c r="H346" s="241" t="n"/>
      <c r="I346" s="242" t="n"/>
      <c r="J346" s="242" t="n"/>
      <c r="K346" s="233" t="n"/>
      <c r="L346" s="233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27" t="n"/>
      <c r="B347" s="228" t="n"/>
      <c r="C347" s="229" t="n"/>
      <c r="D347" s="229" t="n"/>
      <c r="E347" s="229" t="n"/>
      <c r="F347" s="230" t="n"/>
      <c r="G347" s="230" t="n"/>
      <c r="H347" s="231" t="n"/>
      <c r="I347" s="232" t="n"/>
      <c r="J347" s="232" t="n"/>
      <c r="K347" s="233" t="n"/>
      <c r="L347" s="233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37" t="n"/>
      <c r="B348" s="238" t="n"/>
      <c r="C348" s="239" t="n"/>
      <c r="D348" s="239" t="n"/>
      <c r="E348" s="239" t="n"/>
      <c r="F348" s="240" t="n"/>
      <c r="G348" s="240" t="n"/>
      <c r="H348" s="241" t="n"/>
      <c r="I348" s="242" t="n"/>
      <c r="J348" s="242" t="n"/>
      <c r="K348" s="233" t="n"/>
      <c r="L348" s="233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27" t="n"/>
      <c r="B349" s="228" t="n"/>
      <c r="C349" s="229" t="n"/>
      <c r="D349" s="229" t="n"/>
      <c r="E349" s="229" t="n"/>
      <c r="F349" s="230" t="n"/>
      <c r="G349" s="230" t="n"/>
      <c r="H349" s="231" t="n"/>
      <c r="I349" s="232" t="n"/>
      <c r="J349" s="232" t="n"/>
      <c r="K349" s="233" t="n"/>
      <c r="L349" s="233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37" t="n"/>
      <c r="B350" s="238" t="n"/>
      <c r="C350" s="239" t="n"/>
      <c r="D350" s="239" t="n"/>
      <c r="E350" s="239" t="n"/>
      <c r="F350" s="240" t="n"/>
      <c r="G350" s="240" t="n"/>
      <c r="H350" s="241" t="n"/>
      <c r="I350" s="242" t="n"/>
      <c r="J350" s="242" t="n"/>
      <c r="K350" s="233" t="n"/>
      <c r="L350" s="233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27" t="n"/>
      <c r="B351" s="228" t="n"/>
      <c r="C351" s="229" t="n"/>
      <c r="D351" s="229" t="n"/>
      <c r="E351" s="229" t="n"/>
      <c r="F351" s="230" t="n"/>
      <c r="G351" s="230" t="n"/>
      <c r="H351" s="231" t="n"/>
      <c r="I351" s="232" t="n"/>
      <c r="J351" s="232" t="n"/>
      <c r="K351" s="233" t="n"/>
      <c r="L351" s="233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37" t="n"/>
      <c r="B352" s="238" t="n"/>
      <c r="C352" s="239" t="n"/>
      <c r="D352" s="239" t="n"/>
      <c r="E352" s="239" t="n"/>
      <c r="F352" s="240" t="n"/>
      <c r="G352" s="240" t="n"/>
      <c r="H352" s="241" t="n"/>
      <c r="I352" s="242" t="n"/>
      <c r="J352" s="242" t="n"/>
      <c r="K352" s="233" t="n"/>
      <c r="L352" s="233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27" t="n"/>
      <c r="B353" s="228" t="n"/>
      <c r="C353" s="229" t="n"/>
      <c r="D353" s="229" t="n"/>
      <c r="E353" s="229" t="n"/>
      <c r="F353" s="230" t="n"/>
      <c r="G353" s="230" t="n"/>
      <c r="H353" s="231" t="n"/>
      <c r="I353" s="232" t="n"/>
      <c r="J353" s="232" t="n"/>
      <c r="K353" s="233" t="n"/>
      <c r="L353" s="233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37" t="n"/>
      <c r="B354" s="238" t="n"/>
      <c r="C354" s="239" t="n"/>
      <c r="D354" s="239" t="n"/>
      <c r="E354" s="239" t="n"/>
      <c r="F354" s="240" t="n"/>
      <c r="G354" s="240" t="n"/>
      <c r="H354" s="241" t="n"/>
      <c r="I354" s="242" t="n"/>
      <c r="J354" s="242" t="n"/>
      <c r="K354" s="233" t="n"/>
      <c r="L354" s="233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27" t="n"/>
      <c r="B355" s="228" t="n"/>
      <c r="C355" s="229" t="n"/>
      <c r="D355" s="229" t="n"/>
      <c r="E355" s="229" t="n"/>
      <c r="F355" s="230" t="n"/>
      <c r="G355" s="230" t="n"/>
      <c r="H355" s="231" t="n"/>
      <c r="I355" s="232" t="n"/>
      <c r="J355" s="232" t="n"/>
      <c r="K355" s="233" t="n"/>
      <c r="L355" s="233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37" t="n"/>
      <c r="B356" s="238" t="n"/>
      <c r="C356" s="239" t="n"/>
      <c r="D356" s="239" t="n"/>
      <c r="E356" s="239" t="n"/>
      <c r="F356" s="240" t="n"/>
      <c r="G356" s="240" t="n"/>
      <c r="H356" s="241" t="n"/>
      <c r="I356" s="242" t="n"/>
      <c r="J356" s="242" t="n"/>
      <c r="K356" s="233" t="n"/>
      <c r="L356" s="233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27" t="n"/>
      <c r="B357" s="228" t="n"/>
      <c r="C357" s="229" t="n"/>
      <c r="D357" s="229" t="n"/>
      <c r="E357" s="229" t="n"/>
      <c r="F357" s="230" t="n"/>
      <c r="G357" s="230" t="n"/>
      <c r="H357" s="231" t="n"/>
      <c r="I357" s="232" t="n"/>
      <c r="J357" s="232" t="n"/>
      <c r="K357" s="233" t="n"/>
      <c r="L357" s="233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37" t="n"/>
      <c r="B358" s="238" t="n"/>
      <c r="C358" s="239" t="n"/>
      <c r="D358" s="239" t="n"/>
      <c r="E358" s="239" t="n"/>
      <c r="F358" s="240" t="n"/>
      <c r="G358" s="240" t="n"/>
      <c r="H358" s="241" t="n"/>
      <c r="I358" s="242" t="n"/>
      <c r="J358" s="242" t="n"/>
      <c r="K358" s="233" t="n"/>
      <c r="L358" s="233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27" t="n"/>
      <c r="B359" s="228" t="n"/>
      <c r="C359" s="229" t="n"/>
      <c r="D359" s="229" t="n"/>
      <c r="E359" s="229" t="n"/>
      <c r="F359" s="230" t="n"/>
      <c r="G359" s="230" t="n"/>
      <c r="H359" s="231" t="n"/>
      <c r="I359" s="232" t="n"/>
      <c r="J359" s="232" t="n"/>
      <c r="K359" s="233" t="n"/>
      <c r="L359" s="233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37" t="n"/>
      <c r="B360" s="238" t="n"/>
      <c r="C360" s="239" t="n"/>
      <c r="D360" s="239" t="n"/>
      <c r="E360" s="239" t="n"/>
      <c r="F360" s="240" t="n"/>
      <c r="G360" s="240" t="n"/>
      <c r="H360" s="241" t="n"/>
      <c r="I360" s="242" t="n"/>
      <c r="J360" s="242" t="n"/>
      <c r="K360" s="233" t="n"/>
      <c r="L360" s="233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27" t="n"/>
      <c r="B361" s="228" t="n"/>
      <c r="C361" s="229" t="n"/>
      <c r="D361" s="229" t="n"/>
      <c r="E361" s="229" t="n"/>
      <c r="F361" s="230" t="n"/>
      <c r="G361" s="230" t="n"/>
      <c r="H361" s="231" t="n"/>
      <c r="I361" s="232" t="n"/>
      <c r="J361" s="232" t="n"/>
      <c r="K361" s="233" t="n"/>
      <c r="L361" s="233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37" t="n"/>
      <c r="B362" s="238" t="n"/>
      <c r="C362" s="239" t="n"/>
      <c r="D362" s="239" t="n"/>
      <c r="E362" s="239" t="n"/>
      <c r="F362" s="240" t="n"/>
      <c r="G362" s="240" t="n"/>
      <c r="H362" s="241" t="n"/>
      <c r="I362" s="242" t="n"/>
      <c r="J362" s="242" t="n"/>
      <c r="K362" s="233" t="n"/>
      <c r="L362" s="233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27" t="n"/>
      <c r="B363" s="228" t="n"/>
      <c r="C363" s="229" t="n"/>
      <c r="D363" s="229" t="n"/>
      <c r="E363" s="229" t="n"/>
      <c r="F363" s="230" t="n"/>
      <c r="G363" s="230" t="n"/>
      <c r="H363" s="231" t="n"/>
      <c r="I363" s="232" t="n"/>
      <c r="J363" s="232" t="n"/>
      <c r="K363" s="233" t="n"/>
      <c r="L363" s="233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37" t="n"/>
      <c r="B364" s="238" t="n"/>
      <c r="C364" s="239" t="n"/>
      <c r="D364" s="239" t="n"/>
      <c r="E364" s="239" t="n"/>
      <c r="F364" s="240" t="n"/>
      <c r="G364" s="240" t="n"/>
      <c r="H364" s="241" t="n"/>
      <c r="I364" s="242" t="n"/>
      <c r="J364" s="242" t="n"/>
      <c r="K364" s="233" t="n"/>
      <c r="L364" s="233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27" t="n"/>
      <c r="B365" s="228" t="n"/>
      <c r="C365" s="229" t="n"/>
      <c r="D365" s="229" t="n"/>
      <c r="E365" s="229" t="n"/>
      <c r="F365" s="230" t="n"/>
      <c r="G365" s="230" t="n"/>
      <c r="H365" s="231" t="n"/>
      <c r="I365" s="232" t="n"/>
      <c r="J365" s="232" t="n"/>
      <c r="K365" s="233" t="n"/>
      <c r="L365" s="233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37" t="n"/>
      <c r="B366" s="238" t="n"/>
      <c r="C366" s="239" t="n"/>
      <c r="D366" s="239" t="n"/>
      <c r="E366" s="239" t="n"/>
      <c r="F366" s="240" t="n"/>
      <c r="G366" s="240" t="n"/>
      <c r="H366" s="241" t="n"/>
      <c r="I366" s="242" t="n"/>
      <c r="J366" s="242" t="n"/>
      <c r="K366" s="233" t="n"/>
      <c r="L366" s="233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27" t="n"/>
      <c r="B367" s="228" t="n"/>
      <c r="C367" s="229" t="n"/>
      <c r="D367" s="229" t="n"/>
      <c r="E367" s="229" t="n"/>
      <c r="F367" s="230" t="n"/>
      <c r="G367" s="230" t="n"/>
      <c r="H367" s="231" t="n"/>
      <c r="I367" s="232" t="n"/>
      <c r="J367" s="232" t="n"/>
      <c r="K367" s="233" t="n"/>
      <c r="L367" s="233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37" t="n"/>
      <c r="B368" s="238" t="n"/>
      <c r="C368" s="239" t="n"/>
      <c r="D368" s="239" t="n"/>
      <c r="E368" s="239" t="n"/>
      <c r="F368" s="240" t="n"/>
      <c r="G368" s="240" t="n"/>
      <c r="H368" s="241" t="n"/>
      <c r="I368" s="242" t="n"/>
      <c r="J368" s="242" t="n"/>
      <c r="K368" s="233" t="n"/>
      <c r="L368" s="233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27" t="n"/>
      <c r="B369" s="228" t="n"/>
      <c r="C369" s="229" t="n"/>
      <c r="D369" s="229" t="n"/>
      <c r="E369" s="229" t="n"/>
      <c r="F369" s="230" t="n"/>
      <c r="G369" s="230" t="n"/>
      <c r="H369" s="231" t="n"/>
      <c r="I369" s="232" t="n"/>
      <c r="J369" s="232" t="n"/>
      <c r="K369" s="233" t="n"/>
      <c r="L369" s="233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37" t="n"/>
      <c r="B370" s="238" t="n"/>
      <c r="C370" s="239" t="n"/>
      <c r="D370" s="239" t="n"/>
      <c r="E370" s="239" t="n"/>
      <c r="F370" s="240" t="n"/>
      <c r="G370" s="240" t="n"/>
      <c r="H370" s="241" t="n"/>
      <c r="I370" s="242" t="n"/>
      <c r="J370" s="242" t="n"/>
      <c r="K370" s="233" t="n"/>
      <c r="L370" s="233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27" t="n"/>
      <c r="B371" s="228" t="n"/>
      <c r="C371" s="229" t="n"/>
      <c r="D371" s="229" t="n"/>
      <c r="E371" s="229" t="n"/>
      <c r="F371" s="230" t="n"/>
      <c r="G371" s="230" t="n"/>
      <c r="H371" s="231" t="n"/>
      <c r="I371" s="232" t="n"/>
      <c r="J371" s="232" t="n"/>
      <c r="K371" s="233" t="n"/>
      <c r="L371" s="233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37" t="n"/>
      <c r="B372" s="238" t="n"/>
      <c r="C372" s="239" t="n"/>
      <c r="D372" s="239" t="n"/>
      <c r="E372" s="239" t="n"/>
      <c r="F372" s="240" t="n"/>
      <c r="G372" s="240" t="n"/>
      <c r="H372" s="241" t="n"/>
      <c r="I372" s="242" t="n"/>
      <c r="J372" s="242" t="n"/>
      <c r="K372" s="233" t="n"/>
      <c r="L372" s="233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27" t="n"/>
      <c r="B373" s="228" t="n"/>
      <c r="C373" s="229" t="n"/>
      <c r="D373" s="229" t="n"/>
      <c r="E373" s="229" t="n"/>
      <c r="F373" s="230" t="n"/>
      <c r="G373" s="230" t="n"/>
      <c r="H373" s="231" t="n"/>
      <c r="I373" s="232" t="n"/>
      <c r="J373" s="232" t="n"/>
      <c r="K373" s="233" t="n"/>
      <c r="L373" s="233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37" t="n"/>
      <c r="B374" s="238" t="n"/>
      <c r="C374" s="239" t="n"/>
      <c r="D374" s="239" t="n"/>
      <c r="E374" s="239" t="n"/>
      <c r="F374" s="240" t="n"/>
      <c r="G374" s="240" t="n"/>
      <c r="H374" s="241" t="n"/>
      <c r="I374" s="242" t="n"/>
      <c r="J374" s="242" t="n"/>
      <c r="K374" s="233" t="n"/>
      <c r="L374" s="233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27" t="n"/>
      <c r="B375" s="228" t="n"/>
      <c r="C375" s="229" t="n"/>
      <c r="D375" s="229" t="n"/>
      <c r="E375" s="229" t="n"/>
      <c r="F375" s="230" t="n"/>
      <c r="G375" s="230" t="n"/>
      <c r="H375" s="231" t="n"/>
      <c r="I375" s="232" t="n"/>
      <c r="J375" s="232" t="n"/>
      <c r="K375" s="233" t="n"/>
      <c r="L375" s="233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37" t="n"/>
      <c r="B376" s="238" t="n"/>
      <c r="C376" s="239" t="n"/>
      <c r="D376" s="239" t="n"/>
      <c r="E376" s="239" t="n"/>
      <c r="F376" s="240" t="n"/>
      <c r="G376" s="240" t="n"/>
      <c r="H376" s="241" t="n"/>
      <c r="I376" s="242" t="n"/>
      <c r="J376" s="242" t="n"/>
      <c r="K376" s="233" t="n"/>
      <c r="L376" s="233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27" t="n"/>
      <c r="B377" s="228" t="n"/>
      <c r="C377" s="229" t="n"/>
      <c r="D377" s="229" t="n"/>
      <c r="E377" s="229" t="n"/>
      <c r="F377" s="230" t="n"/>
      <c r="G377" s="230" t="n"/>
      <c r="H377" s="231" t="n"/>
      <c r="I377" s="232" t="n"/>
      <c r="J377" s="232" t="n"/>
      <c r="K377" s="233" t="n"/>
      <c r="L377" s="233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37" t="n"/>
      <c r="B378" s="238" t="n"/>
      <c r="C378" s="239" t="n"/>
      <c r="D378" s="239" t="n"/>
      <c r="E378" s="239" t="n"/>
      <c r="F378" s="240" t="n"/>
      <c r="G378" s="240" t="n"/>
      <c r="H378" s="241" t="n"/>
      <c r="I378" s="242" t="n"/>
      <c r="J378" s="242" t="n"/>
      <c r="K378" s="233" t="n"/>
      <c r="L378" s="233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27" t="n"/>
      <c r="B379" s="228" t="n"/>
      <c r="C379" s="229" t="n"/>
      <c r="D379" s="229" t="n"/>
      <c r="E379" s="229" t="n"/>
      <c r="F379" s="230" t="n"/>
      <c r="G379" s="230" t="n"/>
      <c r="H379" s="231" t="n"/>
      <c r="I379" s="232" t="n"/>
      <c r="J379" s="232" t="n"/>
      <c r="K379" s="233" t="n"/>
      <c r="L379" s="233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37" t="n"/>
      <c r="B380" s="238" t="n"/>
      <c r="C380" s="239" t="n"/>
      <c r="D380" s="239" t="n"/>
      <c r="E380" s="239" t="n"/>
      <c r="F380" s="240" t="n"/>
      <c r="G380" s="240" t="n"/>
      <c r="H380" s="241" t="n"/>
      <c r="I380" s="242" t="n"/>
      <c r="J380" s="242" t="n"/>
      <c r="K380" s="233" t="n"/>
      <c r="L380" s="233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27" t="n"/>
      <c r="B381" s="228" t="n"/>
      <c r="C381" s="229" t="n"/>
      <c r="D381" s="229" t="n"/>
      <c r="E381" s="229" t="n"/>
      <c r="F381" s="230" t="n"/>
      <c r="G381" s="230" t="n"/>
      <c r="H381" s="231" t="n"/>
      <c r="I381" s="232" t="n"/>
      <c r="J381" s="232" t="n"/>
      <c r="K381" s="233" t="n"/>
      <c r="L381" s="233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37" t="n"/>
      <c r="B382" s="238" t="n"/>
      <c r="C382" s="239" t="n"/>
      <c r="D382" s="239" t="n"/>
      <c r="E382" s="239" t="n"/>
      <c r="F382" s="240" t="n"/>
      <c r="G382" s="240" t="n"/>
      <c r="H382" s="241" t="n"/>
      <c r="I382" s="242" t="n"/>
      <c r="J382" s="242" t="n"/>
      <c r="K382" s="233" t="n"/>
      <c r="L382" s="233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27" t="n"/>
      <c r="B383" s="228" t="n"/>
      <c r="C383" s="229" t="n"/>
      <c r="D383" s="229" t="n"/>
      <c r="E383" s="229" t="n"/>
      <c r="F383" s="230" t="n"/>
      <c r="G383" s="230" t="n"/>
      <c r="H383" s="231" t="n"/>
      <c r="I383" s="232" t="n"/>
      <c r="J383" s="232" t="n"/>
      <c r="K383" s="233" t="n"/>
      <c r="L383" s="233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37" t="n"/>
      <c r="B384" s="238" t="n"/>
      <c r="C384" s="239" t="n"/>
      <c r="D384" s="239" t="n"/>
      <c r="E384" s="239" t="n"/>
      <c r="F384" s="240" t="n"/>
      <c r="G384" s="240" t="n"/>
      <c r="H384" s="241" t="n"/>
      <c r="I384" s="242" t="n"/>
      <c r="J384" s="242" t="n"/>
      <c r="K384" s="233" t="n"/>
      <c r="L384" s="233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27" t="n"/>
      <c r="B385" s="228" t="n"/>
      <c r="C385" s="229" t="n"/>
      <c r="D385" s="229" t="n"/>
      <c r="E385" s="229" t="n"/>
      <c r="F385" s="230" t="n"/>
      <c r="G385" s="230" t="n"/>
      <c r="H385" s="231" t="n"/>
      <c r="I385" s="232" t="n"/>
      <c r="J385" s="232" t="n"/>
      <c r="K385" s="233" t="n"/>
      <c r="L385" s="233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37" t="n"/>
      <c r="B386" s="238" t="n"/>
      <c r="C386" s="239" t="n"/>
      <c r="D386" s="239" t="n"/>
      <c r="E386" s="239" t="n"/>
      <c r="F386" s="240" t="n"/>
      <c r="G386" s="240" t="n"/>
      <c r="H386" s="241" t="n"/>
      <c r="I386" s="242" t="n"/>
      <c r="J386" s="242" t="n"/>
      <c r="K386" s="233" t="n"/>
      <c r="L386" s="233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27" t="n"/>
      <c r="B387" s="228" t="n"/>
      <c r="C387" s="229" t="n"/>
      <c r="D387" s="229" t="n"/>
      <c r="E387" s="229" t="n"/>
      <c r="F387" s="230" t="n"/>
      <c r="G387" s="230" t="n"/>
      <c r="H387" s="231" t="n"/>
      <c r="I387" s="232" t="n"/>
      <c r="J387" s="232" t="n"/>
      <c r="K387" s="233" t="n"/>
      <c r="L387" s="233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37" t="n"/>
      <c r="B388" s="238" t="n"/>
      <c r="C388" s="239" t="n"/>
      <c r="D388" s="239" t="n"/>
      <c r="E388" s="239" t="n"/>
      <c r="F388" s="240" t="n"/>
      <c r="G388" s="240" t="n"/>
      <c r="H388" s="241" t="n"/>
      <c r="I388" s="242" t="n"/>
      <c r="J388" s="242" t="n"/>
      <c r="K388" s="233" t="n"/>
      <c r="L388" s="233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27" t="n"/>
      <c r="B389" s="228" t="n"/>
      <c r="C389" s="229" t="n"/>
      <c r="D389" s="229" t="n"/>
      <c r="E389" s="229" t="n"/>
      <c r="F389" s="230" t="n"/>
      <c r="G389" s="230" t="n"/>
      <c r="H389" s="231" t="n"/>
      <c r="I389" s="232" t="n"/>
      <c r="J389" s="232" t="n"/>
      <c r="K389" s="233" t="n"/>
      <c r="L389" s="233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37" t="n"/>
      <c r="B390" s="238" t="n"/>
      <c r="C390" s="239" t="n"/>
      <c r="D390" s="239" t="n"/>
      <c r="E390" s="239" t="n"/>
      <c r="F390" s="240" t="n"/>
      <c r="G390" s="240" t="n"/>
      <c r="H390" s="241" t="n"/>
      <c r="I390" s="242" t="n"/>
      <c r="J390" s="242" t="n"/>
      <c r="K390" s="233" t="n"/>
      <c r="L390" s="233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27" t="n"/>
      <c r="B391" s="228" t="n"/>
      <c r="C391" s="229" t="n"/>
      <c r="D391" s="229" t="n"/>
      <c r="E391" s="229" t="n"/>
      <c r="F391" s="230" t="n"/>
      <c r="G391" s="230" t="n"/>
      <c r="H391" s="231" t="n"/>
      <c r="I391" s="232" t="n"/>
      <c r="J391" s="232" t="n"/>
      <c r="K391" s="233" t="n"/>
      <c r="L391" s="233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37" t="n"/>
      <c r="B392" s="238" t="n"/>
      <c r="C392" s="239" t="n"/>
      <c r="D392" s="239" t="n"/>
      <c r="E392" s="239" t="n"/>
      <c r="F392" s="240" t="n"/>
      <c r="G392" s="240" t="n"/>
      <c r="H392" s="241" t="n"/>
      <c r="I392" s="242" t="n"/>
      <c r="J392" s="242" t="n"/>
      <c r="K392" s="233" t="n"/>
      <c r="L392" s="233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27" t="n"/>
      <c r="B393" s="228" t="n"/>
      <c r="C393" s="229" t="n"/>
      <c r="D393" s="229" t="n"/>
      <c r="E393" s="229" t="n"/>
      <c r="F393" s="230" t="n"/>
      <c r="G393" s="230" t="n"/>
      <c r="H393" s="231" t="n"/>
      <c r="I393" s="232" t="n"/>
      <c r="J393" s="232" t="n"/>
      <c r="K393" s="233" t="n"/>
      <c r="L393" s="233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37" t="n"/>
      <c r="B394" s="238" t="n"/>
      <c r="C394" s="239" t="n"/>
      <c r="D394" s="239" t="n"/>
      <c r="E394" s="239" t="n"/>
      <c r="F394" s="240" t="n"/>
      <c r="G394" s="240" t="n"/>
      <c r="H394" s="241" t="n"/>
      <c r="I394" s="242" t="n"/>
      <c r="J394" s="242" t="n"/>
      <c r="K394" s="233" t="n"/>
      <c r="L394" s="233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27" t="n"/>
      <c r="B395" s="228" t="n"/>
      <c r="C395" s="229" t="n"/>
      <c r="D395" s="229" t="n"/>
      <c r="E395" s="229" t="n"/>
      <c r="F395" s="230" t="n"/>
      <c r="G395" s="230" t="n"/>
      <c r="H395" s="231" t="n"/>
      <c r="I395" s="232" t="n"/>
      <c r="J395" s="232" t="n"/>
      <c r="K395" s="233" t="n"/>
      <c r="L395" s="233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37" t="n"/>
      <c r="B396" s="238" t="n"/>
      <c r="C396" s="239" t="n"/>
      <c r="D396" s="239" t="n"/>
      <c r="E396" s="239" t="n"/>
      <c r="F396" s="240" t="n"/>
      <c r="G396" s="240" t="n"/>
      <c r="H396" s="241" t="n"/>
      <c r="I396" s="242" t="n"/>
      <c r="J396" s="242" t="n"/>
      <c r="K396" s="233" t="n"/>
      <c r="L396" s="233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27" t="n"/>
      <c r="B397" s="228" t="n"/>
      <c r="C397" s="229" t="n"/>
      <c r="D397" s="229" t="n"/>
      <c r="E397" s="229" t="n"/>
      <c r="F397" s="230" t="n"/>
      <c r="G397" s="230" t="n"/>
      <c r="H397" s="231" t="n"/>
      <c r="I397" s="232" t="n"/>
      <c r="J397" s="232" t="n"/>
      <c r="K397" s="233" t="n"/>
      <c r="L397" s="233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37" t="n"/>
      <c r="B398" s="238" t="n"/>
      <c r="C398" s="239" t="n"/>
      <c r="D398" s="239" t="n"/>
      <c r="E398" s="239" t="n"/>
      <c r="F398" s="240" t="n"/>
      <c r="G398" s="240" t="n"/>
      <c r="H398" s="241" t="n"/>
      <c r="I398" s="242" t="n"/>
      <c r="J398" s="242" t="n"/>
      <c r="K398" s="233" t="n"/>
      <c r="L398" s="233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27" t="n"/>
      <c r="B399" s="228" t="n"/>
      <c r="C399" s="229" t="n"/>
      <c r="D399" s="229" t="n"/>
      <c r="E399" s="229" t="n"/>
      <c r="F399" s="230" t="n"/>
      <c r="G399" s="230" t="n"/>
      <c r="H399" s="231" t="n"/>
      <c r="I399" s="232" t="n"/>
      <c r="J399" s="232" t="n"/>
      <c r="K399" s="233" t="n"/>
      <c r="L399" s="233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37" t="n"/>
      <c r="B400" s="238" t="n"/>
      <c r="C400" s="239" t="n"/>
      <c r="D400" s="239" t="n"/>
      <c r="E400" s="239" t="n"/>
      <c r="F400" s="240" t="n"/>
      <c r="G400" s="240" t="n"/>
      <c r="H400" s="241" t="n"/>
      <c r="I400" s="242" t="n"/>
      <c r="J400" s="242" t="n"/>
      <c r="K400" s="233" t="n"/>
      <c r="L400" s="233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27" t="n"/>
      <c r="B401" s="228" t="n"/>
      <c r="C401" s="229" t="n"/>
      <c r="D401" s="229" t="n"/>
      <c r="E401" s="229" t="n"/>
      <c r="F401" s="230" t="n"/>
      <c r="G401" s="230" t="n"/>
      <c r="H401" s="231" t="n"/>
      <c r="I401" s="232" t="n"/>
      <c r="J401" s="232" t="n"/>
      <c r="K401" s="233" t="n"/>
      <c r="L401" s="233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37" t="n"/>
      <c r="B402" s="238" t="n"/>
      <c r="C402" s="239" t="n"/>
      <c r="D402" s="239" t="n"/>
      <c r="E402" s="239" t="n"/>
      <c r="F402" s="240" t="n"/>
      <c r="G402" s="240" t="n"/>
      <c r="H402" s="241" t="n"/>
      <c r="I402" s="242" t="n"/>
      <c r="J402" s="242" t="n"/>
      <c r="K402" s="233" t="n"/>
      <c r="L402" s="233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27" t="n"/>
      <c r="B403" s="228" t="n"/>
      <c r="C403" s="229" t="n"/>
      <c r="D403" s="229" t="n"/>
      <c r="E403" s="229" t="n"/>
      <c r="F403" s="230" t="n"/>
      <c r="G403" s="230" t="n"/>
      <c r="H403" s="231" t="n"/>
      <c r="I403" s="232" t="n"/>
      <c r="J403" s="232" t="n"/>
      <c r="K403" s="233" t="n"/>
      <c r="L403" s="233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37" t="n"/>
      <c r="B404" s="238" t="n"/>
      <c r="C404" s="239" t="n"/>
      <c r="D404" s="239" t="n"/>
      <c r="E404" s="239" t="n"/>
      <c r="F404" s="240" t="n"/>
      <c r="G404" s="240" t="n"/>
      <c r="H404" s="241" t="n"/>
      <c r="I404" s="242" t="n"/>
      <c r="J404" s="242" t="n"/>
      <c r="K404" s="233" t="n"/>
      <c r="L404" s="233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27" t="n"/>
      <c r="B405" s="228" t="n"/>
      <c r="C405" s="229" t="n"/>
      <c r="D405" s="229" t="n"/>
      <c r="E405" s="229" t="n"/>
      <c r="F405" s="230" t="n"/>
      <c r="G405" s="230" t="n"/>
      <c r="H405" s="231" t="n"/>
      <c r="I405" s="232" t="n"/>
      <c r="J405" s="232" t="n"/>
      <c r="K405" s="233" t="n"/>
      <c r="L405" s="233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37" t="n"/>
      <c r="B406" s="238" t="n"/>
      <c r="C406" s="239" t="n"/>
      <c r="D406" s="239" t="n"/>
      <c r="E406" s="239" t="n"/>
      <c r="F406" s="240" t="n"/>
      <c r="G406" s="240" t="n"/>
      <c r="H406" s="241" t="n"/>
      <c r="I406" s="242" t="n"/>
      <c r="J406" s="242" t="n"/>
      <c r="K406" s="233" t="n"/>
      <c r="L406" s="233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27" t="n"/>
      <c r="B407" s="228" t="n"/>
      <c r="C407" s="229" t="n"/>
      <c r="D407" s="229" t="n"/>
      <c r="E407" s="229" t="n"/>
      <c r="F407" s="230" t="n"/>
      <c r="G407" s="230" t="n"/>
      <c r="H407" s="231" t="n"/>
      <c r="I407" s="232" t="n"/>
      <c r="J407" s="232" t="n"/>
      <c r="K407" s="233" t="n"/>
      <c r="L407" s="233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37" t="n"/>
      <c r="B408" s="238" t="n"/>
      <c r="C408" s="239" t="n"/>
      <c r="D408" s="239" t="n"/>
      <c r="E408" s="239" t="n"/>
      <c r="F408" s="240" t="n"/>
      <c r="G408" s="240" t="n"/>
      <c r="H408" s="241" t="n"/>
      <c r="I408" s="242" t="n"/>
      <c r="J408" s="242" t="n"/>
      <c r="K408" s="233" t="n"/>
      <c r="L408" s="233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27" t="n"/>
      <c r="B409" s="228" t="n"/>
      <c r="C409" s="229" t="n"/>
      <c r="D409" s="229" t="n"/>
      <c r="E409" s="229" t="n"/>
      <c r="F409" s="230" t="n"/>
      <c r="G409" s="230" t="n"/>
      <c r="H409" s="231" t="n"/>
      <c r="I409" s="232" t="n"/>
      <c r="J409" s="232" t="n"/>
      <c r="K409" s="233" t="n"/>
      <c r="L409" s="233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37" t="n"/>
      <c r="B410" s="238" t="n"/>
      <c r="C410" s="239" t="n"/>
      <c r="D410" s="239" t="n"/>
      <c r="E410" s="239" t="n"/>
      <c r="F410" s="240" t="n"/>
      <c r="G410" s="240" t="n"/>
      <c r="H410" s="241" t="n"/>
      <c r="I410" s="242" t="n"/>
      <c r="J410" s="242" t="n"/>
      <c r="K410" s="233" t="n"/>
      <c r="L410" s="233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27" t="n"/>
      <c r="B411" s="228" t="n"/>
      <c r="C411" s="229" t="n"/>
      <c r="D411" s="229" t="n"/>
      <c r="E411" s="229" t="n"/>
      <c r="F411" s="230" t="n"/>
      <c r="G411" s="230" t="n"/>
      <c r="H411" s="231" t="n"/>
      <c r="I411" s="232" t="n"/>
      <c r="J411" s="232" t="n"/>
      <c r="K411" s="233" t="n"/>
      <c r="L411" s="233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37" t="n"/>
      <c r="B412" s="238" t="n"/>
      <c r="C412" s="239" t="n"/>
      <c r="D412" s="239" t="n"/>
      <c r="E412" s="239" t="n"/>
      <c r="F412" s="240" t="n"/>
      <c r="G412" s="240" t="n"/>
      <c r="H412" s="241" t="n"/>
      <c r="I412" s="242" t="n"/>
      <c r="J412" s="242" t="n"/>
      <c r="K412" s="233" t="n"/>
      <c r="L412" s="233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27" t="n"/>
      <c r="B413" s="228" t="n"/>
      <c r="C413" s="229" t="n"/>
      <c r="D413" s="229" t="n"/>
      <c r="E413" s="229" t="n"/>
      <c r="F413" s="230" t="n"/>
      <c r="G413" s="230" t="n"/>
      <c r="H413" s="231" t="n"/>
      <c r="I413" s="232" t="n"/>
      <c r="J413" s="232" t="n"/>
      <c r="K413" s="233" t="n"/>
      <c r="L413" s="233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37" t="n"/>
      <c r="B414" s="238" t="n"/>
      <c r="C414" s="239" t="n"/>
      <c r="D414" s="239" t="n"/>
      <c r="E414" s="239" t="n"/>
      <c r="F414" s="240" t="n"/>
      <c r="G414" s="240" t="n"/>
      <c r="H414" s="241" t="n"/>
      <c r="I414" s="242" t="n"/>
      <c r="J414" s="242" t="n"/>
      <c r="K414" s="233" t="n"/>
      <c r="L414" s="233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27" t="n"/>
      <c r="B415" s="228" t="n"/>
      <c r="C415" s="229" t="n"/>
      <c r="D415" s="229" t="n"/>
      <c r="E415" s="229" t="n"/>
      <c r="F415" s="230" t="n"/>
      <c r="G415" s="230" t="n"/>
      <c r="H415" s="231" t="n"/>
      <c r="I415" s="232" t="n"/>
      <c r="J415" s="232" t="n"/>
      <c r="K415" s="233" t="n"/>
      <c r="L415" s="233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37" t="n"/>
      <c r="B416" s="238" t="n"/>
      <c r="C416" s="239" t="n"/>
      <c r="D416" s="239" t="n"/>
      <c r="E416" s="239" t="n"/>
      <c r="F416" s="240" t="n"/>
      <c r="G416" s="240" t="n"/>
      <c r="H416" s="241" t="n"/>
      <c r="I416" s="242" t="n"/>
      <c r="J416" s="242" t="n"/>
      <c r="K416" s="233" t="n"/>
      <c r="L416" s="233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27" t="n"/>
      <c r="B417" s="228" t="n"/>
      <c r="C417" s="229" t="n"/>
      <c r="D417" s="229" t="n"/>
      <c r="E417" s="229" t="n"/>
      <c r="F417" s="230" t="n"/>
      <c r="G417" s="230" t="n"/>
      <c r="H417" s="231" t="n"/>
      <c r="I417" s="232" t="n"/>
      <c r="J417" s="232" t="n"/>
      <c r="K417" s="233" t="n"/>
      <c r="L417" s="233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37" t="n"/>
      <c r="B418" s="238" t="n"/>
      <c r="C418" s="239" t="n"/>
      <c r="D418" s="239" t="n"/>
      <c r="E418" s="239" t="n"/>
      <c r="F418" s="240" t="n"/>
      <c r="G418" s="240" t="n"/>
      <c r="H418" s="241" t="n"/>
      <c r="I418" s="242" t="n"/>
      <c r="J418" s="242" t="n"/>
      <c r="K418" s="233" t="n"/>
      <c r="L418" s="233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27" t="n"/>
      <c r="B419" s="228" t="n"/>
      <c r="C419" s="229" t="n"/>
      <c r="D419" s="229" t="n"/>
      <c r="E419" s="229" t="n"/>
      <c r="F419" s="230" t="n"/>
      <c r="G419" s="230" t="n"/>
      <c r="H419" s="231" t="n"/>
      <c r="I419" s="232" t="n"/>
      <c r="J419" s="232" t="n"/>
      <c r="K419" s="233" t="n"/>
      <c r="L419" s="233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37" t="n"/>
      <c r="B420" s="238" t="n"/>
      <c r="C420" s="239" t="n"/>
      <c r="D420" s="239" t="n"/>
      <c r="E420" s="239" t="n"/>
      <c r="F420" s="240" t="n"/>
      <c r="G420" s="240" t="n"/>
      <c r="H420" s="241" t="n"/>
      <c r="I420" s="242" t="n"/>
      <c r="J420" s="242" t="n"/>
      <c r="K420" s="233" t="n"/>
      <c r="L420" s="233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27" t="n"/>
      <c r="B421" s="228" t="n"/>
      <c r="C421" s="229" t="n"/>
      <c r="D421" s="229" t="n"/>
      <c r="E421" s="229" t="n"/>
      <c r="F421" s="230" t="n"/>
      <c r="G421" s="230" t="n"/>
      <c r="H421" s="231" t="n"/>
      <c r="I421" s="232" t="n"/>
      <c r="J421" s="232" t="n"/>
      <c r="K421" s="233" t="n"/>
      <c r="L421" s="233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37" t="n"/>
      <c r="B422" s="238" t="n"/>
      <c r="C422" s="239" t="n"/>
      <c r="D422" s="239" t="n"/>
      <c r="E422" s="239" t="n"/>
      <c r="F422" s="240" t="n"/>
      <c r="G422" s="240" t="n"/>
      <c r="H422" s="241" t="n"/>
      <c r="I422" s="242" t="n"/>
      <c r="J422" s="242" t="n"/>
      <c r="K422" s="233" t="n"/>
      <c r="L422" s="233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27" t="n"/>
      <c r="B423" s="228" t="n"/>
      <c r="C423" s="229" t="n"/>
      <c r="D423" s="229" t="n"/>
      <c r="E423" s="229" t="n"/>
      <c r="F423" s="230" t="n"/>
      <c r="G423" s="230" t="n"/>
      <c r="H423" s="231" t="n"/>
      <c r="I423" s="232" t="n"/>
      <c r="J423" s="232" t="n"/>
      <c r="K423" s="233" t="n"/>
      <c r="L423" s="233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37" t="n"/>
      <c r="B424" s="238" t="n"/>
      <c r="C424" s="239" t="n"/>
      <c r="D424" s="239" t="n"/>
      <c r="E424" s="239" t="n"/>
      <c r="F424" s="240" t="n"/>
      <c r="G424" s="240" t="n"/>
      <c r="H424" s="241" t="n"/>
      <c r="I424" s="242" t="n"/>
      <c r="J424" s="242" t="n"/>
      <c r="K424" s="233" t="n"/>
      <c r="L424" s="233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27" t="n"/>
      <c r="B425" s="228" t="n"/>
      <c r="C425" s="229" t="n"/>
      <c r="D425" s="229" t="n"/>
      <c r="E425" s="229" t="n"/>
      <c r="F425" s="230" t="n"/>
      <c r="G425" s="230" t="n"/>
      <c r="H425" s="231" t="n"/>
      <c r="I425" s="232" t="n"/>
      <c r="J425" s="232" t="n"/>
      <c r="K425" s="233" t="n"/>
      <c r="L425" s="233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37" t="n"/>
      <c r="B426" s="238" t="n"/>
      <c r="C426" s="239" t="n"/>
      <c r="D426" s="239" t="n"/>
      <c r="E426" s="239" t="n"/>
      <c r="F426" s="240" t="n"/>
      <c r="G426" s="240" t="n"/>
      <c r="H426" s="241" t="n"/>
      <c r="I426" s="242" t="n"/>
      <c r="J426" s="242" t="n"/>
      <c r="K426" s="233" t="n"/>
      <c r="L426" s="233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27" t="n"/>
      <c r="B427" s="228" t="n"/>
      <c r="C427" s="229" t="n"/>
      <c r="D427" s="229" t="n"/>
      <c r="E427" s="229" t="n"/>
      <c r="F427" s="230" t="n"/>
      <c r="G427" s="230" t="n"/>
      <c r="H427" s="231" t="n"/>
      <c r="I427" s="232" t="n"/>
      <c r="J427" s="232" t="n"/>
      <c r="K427" s="233" t="n"/>
      <c r="L427" s="233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37" t="n"/>
      <c r="B428" s="238" t="n"/>
      <c r="C428" s="239" t="n"/>
      <c r="D428" s="239" t="n"/>
      <c r="E428" s="239" t="n"/>
      <c r="F428" s="240" t="n"/>
      <c r="G428" s="240" t="n"/>
      <c r="H428" s="241" t="n"/>
      <c r="I428" s="242" t="n"/>
      <c r="J428" s="242" t="n"/>
      <c r="K428" s="233" t="n"/>
      <c r="L428" s="233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27" t="n"/>
      <c r="B429" s="228" t="n"/>
      <c r="C429" s="229" t="n"/>
      <c r="D429" s="229" t="n"/>
      <c r="E429" s="229" t="n"/>
      <c r="F429" s="230" t="n"/>
      <c r="G429" s="230" t="n"/>
      <c r="H429" s="231" t="n"/>
      <c r="I429" s="232" t="n"/>
      <c r="J429" s="232" t="n"/>
      <c r="K429" s="233" t="n"/>
      <c r="L429" s="233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37" t="n"/>
      <c r="B430" s="238" t="n"/>
      <c r="C430" s="239" t="n"/>
      <c r="D430" s="239" t="n"/>
      <c r="E430" s="239" t="n"/>
      <c r="F430" s="240" t="n"/>
      <c r="G430" s="240" t="n"/>
      <c r="H430" s="241" t="n"/>
      <c r="I430" s="242" t="n"/>
      <c r="J430" s="242" t="n"/>
      <c r="K430" s="233" t="n"/>
      <c r="L430" s="233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27" t="n"/>
      <c r="B431" s="228" t="n"/>
      <c r="C431" s="229" t="n"/>
      <c r="D431" s="229" t="n"/>
      <c r="E431" s="229" t="n"/>
      <c r="F431" s="230" t="n"/>
      <c r="G431" s="230" t="n"/>
      <c r="H431" s="231" t="n"/>
      <c r="I431" s="232" t="n"/>
      <c r="J431" s="232" t="n"/>
      <c r="K431" s="233" t="n"/>
      <c r="L431" s="233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37" t="n"/>
      <c r="B432" s="238" t="n"/>
      <c r="C432" s="239" t="n"/>
      <c r="D432" s="239" t="n"/>
      <c r="E432" s="239" t="n"/>
      <c r="F432" s="240" t="n"/>
      <c r="G432" s="240" t="n"/>
      <c r="H432" s="241" t="n"/>
      <c r="I432" s="242" t="n"/>
      <c r="J432" s="242" t="n"/>
      <c r="K432" s="233" t="n"/>
      <c r="L432" s="233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27" t="n"/>
      <c r="B433" s="228" t="n"/>
      <c r="C433" s="229" t="n"/>
      <c r="D433" s="229" t="n"/>
      <c r="E433" s="229" t="n"/>
      <c r="F433" s="230" t="n"/>
      <c r="G433" s="230" t="n"/>
      <c r="H433" s="231" t="n"/>
      <c r="I433" s="232" t="n"/>
      <c r="J433" s="232" t="n"/>
      <c r="K433" s="233" t="n"/>
      <c r="L433" s="233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37" t="n"/>
      <c r="B434" s="238" t="n"/>
      <c r="C434" s="239" t="n"/>
      <c r="D434" s="239" t="n"/>
      <c r="E434" s="239" t="n"/>
      <c r="F434" s="240" t="n"/>
      <c r="G434" s="240" t="n"/>
      <c r="H434" s="241" t="n"/>
      <c r="I434" s="242" t="n"/>
      <c r="J434" s="242" t="n"/>
      <c r="K434" s="233" t="n"/>
      <c r="L434" s="233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27" t="n"/>
      <c r="B435" s="228" t="n"/>
      <c r="C435" s="229" t="n"/>
      <c r="D435" s="229" t="n"/>
      <c r="E435" s="229" t="n"/>
      <c r="F435" s="230" t="n"/>
      <c r="G435" s="230" t="n"/>
      <c r="H435" s="231" t="n"/>
      <c r="I435" s="232" t="n"/>
      <c r="J435" s="232" t="n"/>
      <c r="K435" s="233" t="n"/>
      <c r="L435" s="233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37" t="n"/>
      <c r="B436" s="238" t="n"/>
      <c r="C436" s="239" t="n"/>
      <c r="D436" s="239" t="n"/>
      <c r="E436" s="239" t="n"/>
      <c r="F436" s="240" t="n"/>
      <c r="G436" s="240" t="n"/>
      <c r="H436" s="241" t="n"/>
      <c r="I436" s="242" t="n"/>
      <c r="J436" s="242" t="n"/>
      <c r="K436" s="233" t="n"/>
      <c r="L436" s="233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27" t="n"/>
      <c r="B437" s="228" t="n"/>
      <c r="C437" s="229" t="n"/>
      <c r="D437" s="229" t="n"/>
      <c r="E437" s="229" t="n"/>
      <c r="F437" s="230" t="n"/>
      <c r="G437" s="230" t="n"/>
      <c r="H437" s="231" t="n"/>
      <c r="I437" s="232" t="n"/>
      <c r="J437" s="232" t="n"/>
      <c r="K437" s="233" t="n"/>
      <c r="L437" s="233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37" t="n"/>
      <c r="B438" s="238" t="n"/>
      <c r="C438" s="239" t="n"/>
      <c r="D438" s="239" t="n"/>
      <c r="E438" s="239" t="n"/>
      <c r="F438" s="240" t="n"/>
      <c r="G438" s="240" t="n"/>
      <c r="H438" s="241" t="n"/>
      <c r="I438" s="242" t="n"/>
      <c r="J438" s="242" t="n"/>
      <c r="K438" s="233" t="n"/>
      <c r="L438" s="233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27" t="n"/>
      <c r="B439" s="228" t="n"/>
      <c r="C439" s="229" t="n"/>
      <c r="D439" s="229" t="n"/>
      <c r="E439" s="229" t="n"/>
      <c r="F439" s="230" t="n"/>
      <c r="G439" s="230" t="n"/>
      <c r="H439" s="231" t="n"/>
      <c r="I439" s="232" t="n"/>
      <c r="J439" s="232" t="n"/>
      <c r="K439" s="233" t="n"/>
      <c r="L439" s="233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37" t="n"/>
      <c r="B440" s="238" t="n"/>
      <c r="C440" s="239" t="n"/>
      <c r="D440" s="239" t="n"/>
      <c r="E440" s="239" t="n"/>
      <c r="F440" s="240" t="n"/>
      <c r="G440" s="240" t="n"/>
      <c r="H440" s="241" t="n"/>
      <c r="I440" s="242" t="n"/>
      <c r="J440" s="242" t="n"/>
      <c r="K440" s="233" t="n"/>
      <c r="L440" s="233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27" t="n"/>
      <c r="B441" s="228" t="n"/>
      <c r="C441" s="229" t="n"/>
      <c r="D441" s="229" t="n"/>
      <c r="E441" s="229" t="n"/>
      <c r="F441" s="230" t="n"/>
      <c r="G441" s="230" t="n"/>
      <c r="H441" s="231" t="n"/>
      <c r="I441" s="232" t="n"/>
      <c r="J441" s="232" t="n"/>
      <c r="K441" s="233" t="n"/>
      <c r="L441" s="233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37" t="n"/>
      <c r="B442" s="238" t="n"/>
      <c r="C442" s="239" t="n"/>
      <c r="D442" s="239" t="n"/>
      <c r="E442" s="239" t="n"/>
      <c r="F442" s="240" t="n"/>
      <c r="G442" s="240" t="n"/>
      <c r="H442" s="241" t="n"/>
      <c r="I442" s="242" t="n"/>
      <c r="J442" s="242" t="n"/>
      <c r="K442" s="233" t="n"/>
      <c r="L442" s="233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27" t="n"/>
      <c r="B443" s="228" t="n"/>
      <c r="C443" s="229" t="n"/>
      <c r="D443" s="229" t="n"/>
      <c r="E443" s="229" t="n"/>
      <c r="F443" s="230" t="n"/>
      <c r="G443" s="230" t="n"/>
      <c r="H443" s="231" t="n"/>
      <c r="I443" s="232" t="n"/>
      <c r="J443" s="232" t="n"/>
      <c r="K443" s="233" t="n"/>
      <c r="L443" s="233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37" t="n"/>
      <c r="B444" s="238" t="n"/>
      <c r="C444" s="239" t="n"/>
      <c r="D444" s="239" t="n"/>
      <c r="E444" s="239" t="n"/>
      <c r="F444" s="240" t="n"/>
      <c r="G444" s="240" t="n"/>
      <c r="H444" s="241" t="n"/>
      <c r="I444" s="242" t="n"/>
      <c r="J444" s="242" t="n"/>
      <c r="K444" s="233" t="n"/>
      <c r="L444" s="233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27" t="n"/>
      <c r="B445" s="228" t="n"/>
      <c r="C445" s="229" t="n"/>
      <c r="D445" s="229" t="n"/>
      <c r="E445" s="229" t="n"/>
      <c r="F445" s="230" t="n"/>
      <c r="G445" s="230" t="n"/>
      <c r="H445" s="231" t="n"/>
      <c r="I445" s="232" t="n"/>
      <c r="J445" s="232" t="n"/>
      <c r="K445" s="233" t="n"/>
      <c r="L445" s="233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37" t="n"/>
      <c r="B446" s="238" t="n"/>
      <c r="C446" s="239" t="n"/>
      <c r="D446" s="239" t="n"/>
      <c r="E446" s="239" t="n"/>
      <c r="F446" s="240" t="n"/>
      <c r="G446" s="240" t="n"/>
      <c r="H446" s="241" t="n"/>
      <c r="I446" s="242" t="n"/>
      <c r="J446" s="242" t="n"/>
      <c r="K446" s="233" t="n"/>
      <c r="L446" s="233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27" t="n"/>
      <c r="B447" s="228" t="n"/>
      <c r="C447" s="229" t="n"/>
      <c r="D447" s="229" t="n"/>
      <c r="E447" s="229" t="n"/>
      <c r="F447" s="230" t="n"/>
      <c r="G447" s="230" t="n"/>
      <c r="H447" s="231" t="n"/>
      <c r="I447" s="232" t="n"/>
      <c r="J447" s="232" t="n"/>
      <c r="K447" s="233" t="n"/>
      <c r="L447" s="233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37" t="n"/>
      <c r="B448" s="238" t="n"/>
      <c r="C448" s="239" t="n"/>
      <c r="D448" s="239" t="n"/>
      <c r="E448" s="239" t="n"/>
      <c r="F448" s="240" t="n"/>
      <c r="G448" s="240" t="n"/>
      <c r="H448" s="241" t="n"/>
      <c r="I448" s="242" t="n"/>
      <c r="J448" s="242" t="n"/>
      <c r="K448" s="233" t="n"/>
      <c r="L448" s="233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27" t="n"/>
      <c r="B449" s="228" t="n"/>
      <c r="C449" s="229" t="n"/>
      <c r="D449" s="229" t="n"/>
      <c r="E449" s="229" t="n"/>
      <c r="F449" s="230" t="n"/>
      <c r="G449" s="230" t="n"/>
      <c r="H449" s="231" t="n"/>
      <c r="I449" s="232" t="n"/>
      <c r="J449" s="232" t="n"/>
      <c r="K449" s="233" t="n"/>
      <c r="L449" s="233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37" t="n"/>
      <c r="B450" s="238" t="n"/>
      <c r="C450" s="239" t="n"/>
      <c r="D450" s="239" t="n"/>
      <c r="E450" s="239" t="n"/>
      <c r="F450" s="240" t="n"/>
      <c r="G450" s="240" t="n"/>
      <c r="H450" s="241" t="n"/>
      <c r="I450" s="242" t="n"/>
      <c r="J450" s="242" t="n"/>
      <c r="K450" s="233" t="n"/>
      <c r="L450" s="233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27" t="n"/>
      <c r="B451" s="228" t="n"/>
      <c r="C451" s="229" t="n"/>
      <c r="D451" s="229" t="n"/>
      <c r="E451" s="229" t="n"/>
      <c r="F451" s="230" t="n"/>
      <c r="G451" s="230" t="n"/>
      <c r="H451" s="231" t="n"/>
      <c r="I451" s="232" t="n"/>
      <c r="J451" s="232" t="n"/>
      <c r="K451" s="233" t="n"/>
      <c r="L451" s="233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37" t="n"/>
      <c r="B452" s="238" t="n"/>
      <c r="C452" s="239" t="n"/>
      <c r="D452" s="239" t="n"/>
      <c r="E452" s="239" t="n"/>
      <c r="F452" s="240" t="n"/>
      <c r="G452" s="240" t="n"/>
      <c r="H452" s="241" t="n"/>
      <c r="I452" s="242" t="n"/>
      <c r="J452" s="242" t="n"/>
      <c r="K452" s="233" t="n"/>
      <c r="L452" s="233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27" t="n"/>
      <c r="B453" s="228" t="n"/>
      <c r="C453" s="229" t="n"/>
      <c r="D453" s="229" t="n"/>
      <c r="E453" s="229" t="n"/>
      <c r="F453" s="230" t="n"/>
      <c r="G453" s="230" t="n"/>
      <c r="H453" s="231" t="n"/>
      <c r="I453" s="232" t="n"/>
      <c r="J453" s="232" t="n"/>
      <c r="K453" s="233" t="n"/>
      <c r="L453" s="233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37" t="n"/>
      <c r="B454" s="238" t="n"/>
      <c r="C454" s="239" t="n"/>
      <c r="D454" s="239" t="n"/>
      <c r="E454" s="239" t="n"/>
      <c r="F454" s="240" t="n"/>
      <c r="G454" s="240" t="n"/>
      <c r="H454" s="241" t="n"/>
      <c r="I454" s="242" t="n"/>
      <c r="J454" s="242" t="n"/>
      <c r="K454" s="233" t="n"/>
      <c r="L454" s="233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27" t="n"/>
      <c r="B455" s="228" t="n"/>
      <c r="C455" s="229" t="n"/>
      <c r="D455" s="229" t="n"/>
      <c r="E455" s="229" t="n"/>
      <c r="F455" s="230" t="n"/>
      <c r="G455" s="230" t="n"/>
      <c r="H455" s="231" t="n"/>
      <c r="I455" s="232" t="n"/>
      <c r="J455" s="232" t="n"/>
      <c r="K455" s="233" t="n"/>
      <c r="L455" s="233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37" t="n"/>
      <c r="B456" s="238" t="n"/>
      <c r="C456" s="239" t="n"/>
      <c r="D456" s="239" t="n"/>
      <c r="E456" s="239" t="n"/>
      <c r="F456" s="240" t="n"/>
      <c r="G456" s="240" t="n"/>
      <c r="H456" s="241" t="n"/>
      <c r="I456" s="242" t="n"/>
      <c r="J456" s="242" t="n"/>
      <c r="K456" s="233" t="n"/>
      <c r="L456" s="233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27" t="n"/>
      <c r="B457" s="228" t="n"/>
      <c r="C457" s="229" t="n"/>
      <c r="D457" s="229" t="n"/>
      <c r="E457" s="229" t="n"/>
      <c r="F457" s="230" t="n"/>
      <c r="G457" s="230" t="n"/>
      <c r="H457" s="231" t="n"/>
      <c r="I457" s="232" t="n"/>
      <c r="J457" s="232" t="n"/>
      <c r="K457" s="233" t="n"/>
      <c r="L457" s="233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37" t="n"/>
      <c r="B458" s="238" t="n"/>
      <c r="C458" s="239" t="n"/>
      <c r="D458" s="239" t="n"/>
      <c r="E458" s="239" t="n"/>
      <c r="F458" s="240" t="n"/>
      <c r="G458" s="240" t="n"/>
      <c r="H458" s="241" t="n"/>
      <c r="I458" s="242" t="n"/>
      <c r="J458" s="242" t="n"/>
      <c r="K458" s="233" t="n"/>
      <c r="L458" s="233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27" t="n"/>
      <c r="B459" s="228" t="n"/>
      <c r="C459" s="229" t="n"/>
      <c r="D459" s="229" t="n"/>
      <c r="E459" s="229" t="n"/>
      <c r="F459" s="230" t="n"/>
      <c r="G459" s="230" t="n"/>
      <c r="H459" s="231" t="n"/>
      <c r="I459" s="232" t="n"/>
      <c r="J459" s="232" t="n"/>
      <c r="K459" s="233" t="n"/>
      <c r="L459" s="233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37" t="n"/>
      <c r="B460" s="238" t="n"/>
      <c r="C460" s="239" t="n"/>
      <c r="D460" s="239" t="n"/>
      <c r="E460" s="239" t="n"/>
      <c r="F460" s="240" t="n"/>
      <c r="G460" s="240" t="n"/>
      <c r="H460" s="241" t="n"/>
      <c r="I460" s="242" t="n"/>
      <c r="J460" s="242" t="n"/>
      <c r="K460" s="233" t="n"/>
      <c r="L460" s="233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27" t="n"/>
      <c r="B461" s="228" t="n"/>
      <c r="C461" s="229" t="n"/>
      <c r="D461" s="229" t="n"/>
      <c r="E461" s="229" t="n"/>
      <c r="F461" s="230" t="n"/>
      <c r="G461" s="230" t="n"/>
      <c r="H461" s="231" t="n"/>
      <c r="I461" s="232" t="n"/>
      <c r="J461" s="232" t="n"/>
      <c r="K461" s="233" t="n"/>
      <c r="L461" s="233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37" t="n"/>
      <c r="B462" s="238" t="n"/>
      <c r="C462" s="239" t="n"/>
      <c r="D462" s="239" t="n"/>
      <c r="E462" s="239" t="n"/>
      <c r="F462" s="240" t="n"/>
      <c r="G462" s="240" t="n"/>
      <c r="H462" s="241" t="n"/>
      <c r="I462" s="242" t="n"/>
      <c r="J462" s="242" t="n"/>
      <c r="K462" s="233" t="n"/>
      <c r="L462" s="233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27" t="n"/>
      <c r="B463" s="228" t="n"/>
      <c r="C463" s="229" t="n"/>
      <c r="D463" s="229" t="n"/>
      <c r="E463" s="229" t="n"/>
      <c r="F463" s="230" t="n"/>
      <c r="G463" s="230" t="n"/>
      <c r="H463" s="231" t="n"/>
      <c r="I463" s="232" t="n"/>
      <c r="J463" s="232" t="n"/>
      <c r="K463" s="233" t="n"/>
      <c r="L463" s="233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37" t="n"/>
      <c r="B464" s="238" t="n"/>
      <c r="C464" s="239" t="n"/>
      <c r="D464" s="239" t="n"/>
      <c r="E464" s="239" t="n"/>
      <c r="F464" s="240" t="n"/>
      <c r="G464" s="240" t="n"/>
      <c r="H464" s="241" t="n"/>
      <c r="I464" s="242" t="n"/>
      <c r="J464" s="242" t="n"/>
      <c r="K464" s="233" t="n"/>
      <c r="L464" s="233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27" t="n"/>
      <c r="B465" s="228" t="n"/>
      <c r="C465" s="229" t="n"/>
      <c r="D465" s="229" t="n"/>
      <c r="E465" s="229" t="n"/>
      <c r="F465" s="230" t="n"/>
      <c r="G465" s="230" t="n"/>
      <c r="H465" s="231" t="n"/>
      <c r="I465" s="232" t="n"/>
      <c r="J465" s="232" t="n"/>
      <c r="K465" s="233" t="n"/>
      <c r="L465" s="233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37" t="n"/>
      <c r="B466" s="238" t="n"/>
      <c r="C466" s="239" t="n"/>
      <c r="D466" s="239" t="n"/>
      <c r="E466" s="239" t="n"/>
      <c r="F466" s="240" t="n"/>
      <c r="G466" s="240" t="n"/>
      <c r="H466" s="241" t="n"/>
      <c r="I466" s="242" t="n"/>
      <c r="J466" s="242" t="n"/>
      <c r="K466" s="233" t="n"/>
      <c r="L466" s="233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27" t="n"/>
      <c r="B467" s="228" t="n"/>
      <c r="C467" s="229" t="n"/>
      <c r="D467" s="229" t="n"/>
      <c r="E467" s="229" t="n"/>
      <c r="F467" s="230" t="n"/>
      <c r="G467" s="230" t="n"/>
      <c r="H467" s="231" t="n"/>
      <c r="I467" s="232" t="n"/>
      <c r="J467" s="232" t="n"/>
      <c r="K467" s="233" t="n"/>
      <c r="L467" s="233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37" t="n"/>
      <c r="B468" s="238" t="n"/>
      <c r="C468" s="239" t="n"/>
      <c r="D468" s="239" t="n"/>
      <c r="E468" s="239" t="n"/>
      <c r="F468" s="240" t="n"/>
      <c r="G468" s="240" t="n"/>
      <c r="H468" s="241" t="n"/>
      <c r="I468" s="242" t="n"/>
      <c r="J468" s="242" t="n"/>
      <c r="K468" s="233" t="n"/>
      <c r="L468" s="233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27" t="n"/>
      <c r="B469" s="228" t="n"/>
      <c r="C469" s="229" t="n"/>
      <c r="D469" s="229" t="n"/>
      <c r="E469" s="229" t="n"/>
      <c r="F469" s="230" t="n"/>
      <c r="G469" s="230" t="n"/>
      <c r="H469" s="231" t="n"/>
      <c r="I469" s="232" t="n"/>
      <c r="J469" s="232" t="n"/>
      <c r="K469" s="233" t="n"/>
      <c r="L469" s="233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37" t="n"/>
      <c r="B470" s="238" t="n"/>
      <c r="C470" s="239" t="n"/>
      <c r="D470" s="239" t="n"/>
      <c r="E470" s="239" t="n"/>
      <c r="F470" s="240" t="n"/>
      <c r="G470" s="240" t="n"/>
      <c r="H470" s="241" t="n"/>
      <c r="I470" s="242" t="n"/>
      <c r="J470" s="242" t="n"/>
      <c r="K470" s="233" t="n"/>
      <c r="L470" s="233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27" t="n"/>
      <c r="B471" s="228" t="n"/>
      <c r="C471" s="229" t="n"/>
      <c r="D471" s="229" t="n"/>
      <c r="E471" s="229" t="n"/>
      <c r="F471" s="230" t="n"/>
      <c r="G471" s="230" t="n"/>
      <c r="H471" s="231" t="n"/>
      <c r="I471" s="232" t="n"/>
      <c r="J471" s="232" t="n"/>
      <c r="K471" s="233" t="n"/>
      <c r="L471" s="233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37" t="n"/>
      <c r="B472" s="238" t="n"/>
      <c r="C472" s="239" t="n"/>
      <c r="D472" s="239" t="n"/>
      <c r="E472" s="239" t="n"/>
      <c r="F472" s="240" t="n"/>
      <c r="G472" s="240" t="n"/>
      <c r="H472" s="241" t="n"/>
      <c r="I472" s="242" t="n"/>
      <c r="J472" s="242" t="n"/>
      <c r="K472" s="233" t="n"/>
      <c r="L472" s="233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27" t="n"/>
      <c r="B473" s="228" t="n"/>
      <c r="C473" s="229" t="n"/>
      <c r="D473" s="229" t="n"/>
      <c r="E473" s="229" t="n"/>
      <c r="F473" s="230" t="n"/>
      <c r="G473" s="230" t="n"/>
      <c r="H473" s="231" t="n"/>
      <c r="I473" s="232" t="n"/>
      <c r="J473" s="232" t="n"/>
      <c r="K473" s="233" t="n"/>
      <c r="L473" s="233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37" t="n"/>
      <c r="B474" s="238" t="n"/>
      <c r="C474" s="239" t="n"/>
      <c r="D474" s="239" t="n"/>
      <c r="E474" s="239" t="n"/>
      <c r="F474" s="240" t="n"/>
      <c r="G474" s="240" t="n"/>
      <c r="H474" s="241" t="n"/>
      <c r="I474" s="242" t="n"/>
      <c r="J474" s="242" t="n"/>
      <c r="K474" s="233" t="n"/>
      <c r="L474" s="233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27" t="n"/>
      <c r="B475" s="228" t="n"/>
      <c r="C475" s="229" t="n"/>
      <c r="D475" s="229" t="n"/>
      <c r="E475" s="229" t="n"/>
      <c r="F475" s="230" t="n"/>
      <c r="G475" s="230" t="n"/>
      <c r="H475" s="231" t="n"/>
      <c r="I475" s="232" t="n"/>
      <c r="J475" s="232" t="n"/>
      <c r="K475" s="233" t="n"/>
      <c r="L475" s="233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37" t="n"/>
      <c r="B476" s="238" t="n"/>
      <c r="C476" s="239" t="n"/>
      <c r="D476" s="239" t="n"/>
      <c r="E476" s="239" t="n"/>
      <c r="F476" s="240" t="n"/>
      <c r="G476" s="240" t="n"/>
      <c r="H476" s="241" t="n"/>
      <c r="I476" s="242" t="n"/>
      <c r="J476" s="242" t="n"/>
      <c r="K476" s="233" t="n"/>
      <c r="L476" s="233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27" t="n"/>
      <c r="B477" s="228" t="n"/>
      <c r="C477" s="229" t="n"/>
      <c r="D477" s="229" t="n"/>
      <c r="E477" s="229" t="n"/>
      <c r="F477" s="230" t="n"/>
      <c r="G477" s="230" t="n"/>
      <c r="H477" s="231" t="n"/>
      <c r="I477" s="232" t="n"/>
      <c r="J477" s="232" t="n"/>
      <c r="K477" s="233" t="n"/>
      <c r="L477" s="233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37" t="n"/>
      <c r="B478" s="238" t="n"/>
      <c r="C478" s="239" t="n"/>
      <c r="D478" s="239" t="n"/>
      <c r="E478" s="239" t="n"/>
      <c r="F478" s="240" t="n"/>
      <c r="G478" s="240" t="n"/>
      <c r="H478" s="241" t="n"/>
      <c r="I478" s="242" t="n"/>
      <c r="J478" s="242" t="n"/>
      <c r="K478" s="233" t="n"/>
      <c r="L478" s="233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27" t="n"/>
      <c r="B479" s="228" t="n"/>
      <c r="C479" s="229" t="n"/>
      <c r="D479" s="229" t="n"/>
      <c r="E479" s="229" t="n"/>
      <c r="F479" s="230" t="n"/>
      <c r="G479" s="230" t="n"/>
      <c r="H479" s="231" t="n"/>
      <c r="I479" s="232" t="n"/>
      <c r="J479" s="232" t="n"/>
      <c r="K479" s="233" t="n"/>
      <c r="L479" s="233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37" t="n"/>
      <c r="B480" s="238" t="n"/>
      <c r="C480" s="239" t="n"/>
      <c r="D480" s="239" t="n"/>
      <c r="E480" s="239" t="n"/>
      <c r="F480" s="240" t="n"/>
      <c r="G480" s="240" t="n"/>
      <c r="H480" s="241" t="n"/>
      <c r="I480" s="242" t="n"/>
      <c r="J480" s="242" t="n"/>
      <c r="K480" s="233" t="n"/>
      <c r="L480" s="233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27" t="n"/>
      <c r="B481" s="228" t="n"/>
      <c r="C481" s="229" t="n"/>
      <c r="D481" s="229" t="n"/>
      <c r="E481" s="229" t="n"/>
      <c r="F481" s="230" t="n"/>
      <c r="G481" s="230" t="n"/>
      <c r="H481" s="231" t="n"/>
      <c r="I481" s="232" t="n"/>
      <c r="J481" s="232" t="n"/>
      <c r="K481" s="233" t="n"/>
      <c r="L481" s="233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37" t="n"/>
      <c r="B482" s="238" t="n"/>
      <c r="C482" s="239" t="n"/>
      <c r="D482" s="239" t="n"/>
      <c r="E482" s="239" t="n"/>
      <c r="F482" s="240" t="n"/>
      <c r="G482" s="240" t="n"/>
      <c r="H482" s="241" t="n"/>
      <c r="I482" s="242" t="n"/>
      <c r="J482" s="242" t="n"/>
      <c r="K482" s="233" t="n"/>
      <c r="L482" s="233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27" t="n"/>
      <c r="B483" s="228" t="n"/>
      <c r="C483" s="229" t="n"/>
      <c r="D483" s="229" t="n"/>
      <c r="E483" s="229" t="n"/>
      <c r="F483" s="230" t="n"/>
      <c r="G483" s="230" t="n"/>
      <c r="H483" s="231" t="n"/>
      <c r="I483" s="232" t="n"/>
      <c r="J483" s="232" t="n"/>
      <c r="K483" s="233" t="n"/>
      <c r="L483" s="233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37" t="n"/>
      <c r="B484" s="238" t="n"/>
      <c r="C484" s="239" t="n"/>
      <c r="D484" s="239" t="n"/>
      <c r="E484" s="239" t="n"/>
      <c r="F484" s="240" t="n"/>
      <c r="G484" s="240" t="n"/>
      <c r="H484" s="241" t="n"/>
      <c r="I484" s="242" t="n"/>
      <c r="J484" s="242" t="n"/>
      <c r="K484" s="233" t="n"/>
      <c r="L484" s="233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27" t="n"/>
      <c r="B485" s="228" t="n"/>
      <c r="C485" s="229" t="n"/>
      <c r="D485" s="229" t="n"/>
      <c r="E485" s="229" t="n"/>
      <c r="F485" s="230" t="n"/>
      <c r="G485" s="230" t="n"/>
      <c r="H485" s="231" t="n"/>
      <c r="I485" s="232" t="n"/>
      <c r="J485" s="232" t="n"/>
      <c r="K485" s="233" t="n"/>
      <c r="L485" s="233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37" t="n"/>
      <c r="B486" s="238" t="n"/>
      <c r="C486" s="239" t="n"/>
      <c r="D486" s="239" t="n"/>
      <c r="E486" s="239" t="n"/>
      <c r="F486" s="240" t="n"/>
      <c r="G486" s="240" t="n"/>
      <c r="H486" s="241" t="n"/>
      <c r="I486" s="242" t="n"/>
      <c r="J486" s="242" t="n"/>
      <c r="K486" s="233" t="n"/>
      <c r="L486" s="233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27" t="n"/>
      <c r="B487" s="228" t="n"/>
      <c r="C487" s="229" t="n"/>
      <c r="D487" s="229" t="n"/>
      <c r="E487" s="229" t="n"/>
      <c r="F487" s="230" t="n"/>
      <c r="G487" s="230" t="n"/>
      <c r="H487" s="231" t="n"/>
      <c r="I487" s="232" t="n"/>
      <c r="J487" s="232" t="n"/>
      <c r="K487" s="233" t="n"/>
      <c r="L487" s="233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37" t="n"/>
      <c r="B488" s="238" t="n"/>
      <c r="C488" s="239" t="n"/>
      <c r="D488" s="239" t="n"/>
      <c r="E488" s="239" t="n"/>
      <c r="F488" s="240" t="n"/>
      <c r="G488" s="240" t="n"/>
      <c r="H488" s="241" t="n"/>
      <c r="I488" s="242" t="n"/>
      <c r="J488" s="242" t="n"/>
      <c r="K488" s="233" t="n"/>
      <c r="L488" s="233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27" t="n"/>
      <c r="B489" s="228" t="n"/>
      <c r="C489" s="229" t="n"/>
      <c r="D489" s="229" t="n"/>
      <c r="E489" s="229" t="n"/>
      <c r="F489" s="230" t="n"/>
      <c r="G489" s="230" t="n"/>
      <c r="H489" s="231" t="n"/>
      <c r="I489" s="232" t="n"/>
      <c r="J489" s="232" t="n"/>
      <c r="K489" s="233" t="n"/>
      <c r="L489" s="233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37" t="n"/>
      <c r="B490" s="238" t="n"/>
      <c r="C490" s="239" t="n"/>
      <c r="D490" s="239" t="n"/>
      <c r="E490" s="239" t="n"/>
      <c r="F490" s="240" t="n"/>
      <c r="G490" s="240" t="n"/>
      <c r="H490" s="241" t="n"/>
      <c r="I490" s="242" t="n"/>
      <c r="J490" s="242" t="n"/>
      <c r="K490" s="233" t="n"/>
      <c r="L490" s="233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27" t="n"/>
      <c r="B491" s="228" t="n"/>
      <c r="C491" s="229" t="n"/>
      <c r="D491" s="229" t="n"/>
      <c r="E491" s="229" t="n"/>
      <c r="F491" s="230" t="n"/>
      <c r="G491" s="230" t="n"/>
      <c r="H491" s="231" t="n"/>
      <c r="I491" s="232" t="n"/>
      <c r="J491" s="232" t="n"/>
      <c r="K491" s="233" t="n"/>
      <c r="L491" s="233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37" t="n"/>
      <c r="B492" s="238" t="n"/>
      <c r="C492" s="239" t="n"/>
      <c r="D492" s="239" t="n"/>
      <c r="E492" s="239" t="n"/>
      <c r="F492" s="240" t="n"/>
      <c r="G492" s="240" t="n"/>
      <c r="H492" s="241" t="n"/>
      <c r="I492" s="242" t="n"/>
      <c r="J492" s="242" t="n"/>
      <c r="K492" s="233" t="n"/>
      <c r="L492" s="233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27" t="n"/>
      <c r="B493" s="228" t="n"/>
      <c r="C493" s="229" t="n"/>
      <c r="D493" s="229" t="n"/>
      <c r="E493" s="229" t="n"/>
      <c r="F493" s="230" t="n"/>
      <c r="G493" s="230" t="n"/>
      <c r="H493" s="231" t="n"/>
      <c r="I493" s="232" t="n"/>
      <c r="J493" s="232" t="n"/>
      <c r="K493" s="233" t="n"/>
      <c r="L493" s="233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37" t="n"/>
      <c r="B494" s="238" t="n"/>
      <c r="C494" s="239" t="n"/>
      <c r="D494" s="239" t="n"/>
      <c r="E494" s="239" t="n"/>
      <c r="F494" s="240" t="n"/>
      <c r="G494" s="240" t="n"/>
      <c r="H494" s="241" t="n"/>
      <c r="I494" s="242" t="n"/>
      <c r="J494" s="242" t="n"/>
      <c r="K494" s="233" t="n"/>
      <c r="L494" s="233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27" t="n"/>
      <c r="B495" s="228" t="n"/>
      <c r="C495" s="229" t="n"/>
      <c r="D495" s="229" t="n"/>
      <c r="E495" s="229" t="n"/>
      <c r="F495" s="230" t="n"/>
      <c r="G495" s="230" t="n"/>
      <c r="H495" s="231" t="n"/>
      <c r="I495" s="232" t="n"/>
      <c r="J495" s="232" t="n"/>
      <c r="K495" s="233" t="n"/>
      <c r="L495" s="233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37" t="n"/>
      <c r="B496" s="238" t="n"/>
      <c r="C496" s="239" t="n"/>
      <c r="D496" s="239" t="n"/>
      <c r="E496" s="239" t="n"/>
      <c r="F496" s="240" t="n"/>
      <c r="G496" s="240" t="n"/>
      <c r="H496" s="241" t="n"/>
      <c r="I496" s="242" t="n"/>
      <c r="J496" s="242" t="n"/>
      <c r="K496" s="233" t="n"/>
      <c r="L496" s="233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27" t="n"/>
      <c r="B497" s="228" t="n"/>
      <c r="C497" s="229" t="n"/>
      <c r="D497" s="229" t="n"/>
      <c r="E497" s="229" t="n"/>
      <c r="F497" s="230" t="n"/>
      <c r="G497" s="230" t="n"/>
      <c r="H497" s="231" t="n"/>
      <c r="I497" s="232" t="n"/>
      <c r="J497" s="232" t="n"/>
      <c r="K497" s="233" t="n"/>
      <c r="L497" s="233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37" t="n"/>
      <c r="B498" s="238" t="n"/>
      <c r="C498" s="239" t="n"/>
      <c r="D498" s="239" t="n"/>
      <c r="E498" s="239" t="n"/>
      <c r="F498" s="240" t="n"/>
      <c r="G498" s="240" t="n"/>
      <c r="H498" s="241" t="n"/>
      <c r="I498" s="242" t="n"/>
      <c r="J498" s="242" t="n"/>
      <c r="K498" s="233" t="n"/>
      <c r="L498" s="233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27" t="n"/>
      <c r="B499" s="228" t="n"/>
      <c r="C499" s="229" t="n"/>
      <c r="D499" s="229" t="n"/>
      <c r="E499" s="229" t="n"/>
      <c r="F499" s="230" t="n"/>
      <c r="G499" s="230" t="n"/>
      <c r="H499" s="231" t="n"/>
      <c r="I499" s="232" t="n"/>
      <c r="J499" s="232" t="n"/>
      <c r="K499" s="233" t="n"/>
      <c r="L499" s="233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37" t="n"/>
      <c r="B500" s="238" t="n"/>
      <c r="C500" s="239" t="n"/>
      <c r="D500" s="239" t="n"/>
      <c r="E500" s="239" t="n"/>
      <c r="F500" s="240" t="n"/>
      <c r="G500" s="240" t="n"/>
      <c r="H500" s="241" t="n"/>
      <c r="I500" s="242" t="n"/>
      <c r="J500" s="242" t="n"/>
      <c r="K500" s="233" t="n"/>
      <c r="L500" s="233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2026-06-09T18:12:17Z</dcterms:modified>
  <cp:revision>34</cp:revision>
</cp:coreProperties>
</file>